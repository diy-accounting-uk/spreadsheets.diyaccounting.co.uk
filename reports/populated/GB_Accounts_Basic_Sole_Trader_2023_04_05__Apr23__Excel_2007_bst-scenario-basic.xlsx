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Home" sheetId="1" state="visible" r:id="rId3"/>
    <sheet name="Business Details" sheetId="2" state="visible" r:id="rId4"/>
    <sheet name="SE Short" sheetId="3" state="visible" r:id="rId5"/>
    <sheet name="Profit &amp; Loss Acc" sheetId="4" state="visible" r:id="rId6"/>
    <sheet name="Income Tax" sheetId="5" state="visible" r:id="rId7"/>
    <sheet name="Fixed Assets" sheetId="6" state="visible" r:id="rId8"/>
    <sheet name="PurchasesStock" sheetId="7" state="visible" r:id="rId9"/>
    <sheet name="Debtors &amp; Creditors" sheetId="8" state="visible" r:id="rId10"/>
    <sheet name="SalesApr" sheetId="9" state="visible" r:id="rId11"/>
    <sheet name="PurchasesApr" sheetId="10" state="visible" r:id="rId12"/>
    <sheet name="SalesMay" sheetId="11" state="visible" r:id="rId13"/>
    <sheet name="PurchasesMay" sheetId="12" state="visible" r:id="rId14"/>
    <sheet name="SalesJun" sheetId="13" state="visible" r:id="rId15"/>
    <sheet name="PurchasesJun" sheetId="14" state="visible" r:id="rId16"/>
    <sheet name="SalesJul" sheetId="15" state="visible" r:id="rId17"/>
    <sheet name="PurchasesJul" sheetId="16" state="visible" r:id="rId18"/>
    <sheet name="SalesAug" sheetId="17" state="visible" r:id="rId19"/>
    <sheet name="PurchasesAug" sheetId="18" state="visible" r:id="rId20"/>
    <sheet name="SalesSep" sheetId="19" state="visible" r:id="rId21"/>
    <sheet name="PurchasesSep" sheetId="20" state="visible" r:id="rId22"/>
    <sheet name="SalesOct" sheetId="21" state="visible" r:id="rId23"/>
    <sheet name="PurchasesOct" sheetId="22" state="visible" r:id="rId24"/>
    <sheet name="SalesNov" sheetId="23" state="visible" r:id="rId25"/>
    <sheet name="PurchasesNov" sheetId="24" state="visible" r:id="rId26"/>
    <sheet name="SalesDec" sheetId="25" state="visible" r:id="rId27"/>
    <sheet name="PurchasesDec" sheetId="26" state="visible" r:id="rId28"/>
    <sheet name="SalesJan" sheetId="27" state="visible" r:id="rId29"/>
    <sheet name="PurchasesJan" sheetId="28" state="visible" r:id="rId30"/>
    <sheet name="SalesFeb" sheetId="29" state="visible" r:id="rId31"/>
    <sheet name="PurchasesFeb" sheetId="30" state="visible" r:id="rId32"/>
    <sheet name="SalesMar" sheetId="31" state="visible" r:id="rId33"/>
    <sheet name="PurchasesMar" sheetId="32" state="visible" r:id="rId34"/>
    <sheet name="Admin" sheetId="33" state="visible" r:id="rId35"/>
  </sheets>
  <definedNames>
    <definedName function="false" hidden="false" localSheetId="3" name="_xlnm.Print_Titles" vbProcedure="false">'Profit &amp; Loss Acc'!$1:$3</definedName>
    <definedName function="false" hidden="false" localSheetId="9" name="_xlnm.Print_Area" vbProcedure="false">PurchasesApr!$A$1:$X$68</definedName>
    <definedName function="false" hidden="false" localSheetId="9" name="_xlnm.Print_Titles" vbProcedure="false">PurchasesApr!$A:$A,PurchasesApr!$1:$2</definedName>
    <definedName function="false" hidden="false" localSheetId="17" name="_xlnm.Print_Area" vbProcedure="false">PurchasesAug!$A$1:$X$68</definedName>
    <definedName function="false" hidden="false" localSheetId="17" name="_xlnm.Print_Titles" vbProcedure="false">PurchasesAug!$A:$A,PurchasesAug!$1:$2</definedName>
    <definedName function="false" hidden="false" localSheetId="25" name="_xlnm.Print_Area" vbProcedure="false">PurchasesDec!$A$1:$X$68</definedName>
    <definedName function="false" hidden="false" localSheetId="25" name="_xlnm.Print_Titles" vbProcedure="false">PurchasesDec!$A:$A,PurchasesDec!$1:$2</definedName>
    <definedName function="false" hidden="false" localSheetId="29" name="_xlnm.Print_Area" vbProcedure="false">PurchasesFeb!$A$1:$X$68</definedName>
    <definedName function="false" hidden="false" localSheetId="29" name="_xlnm.Print_Titles" vbProcedure="false">PurchasesFeb!$A:$A,PurchasesFeb!$1:$2</definedName>
    <definedName function="false" hidden="false" localSheetId="27" name="_xlnm.Print_Area" vbProcedure="false">PurchasesJan!$A$1:$X$68</definedName>
    <definedName function="false" hidden="false" localSheetId="27" name="_xlnm.Print_Titles" vbProcedure="false">PurchasesJan!$A:$A,PurchasesJan!$1:$2</definedName>
    <definedName function="false" hidden="false" localSheetId="15" name="_xlnm.Print_Area" vbProcedure="false">PurchasesJul!$A$1:$X$68</definedName>
    <definedName function="false" hidden="false" localSheetId="15" name="_xlnm.Print_Titles" vbProcedure="false">PurchasesJul!$A:$A,PurchasesJul!$1:$2</definedName>
    <definedName function="false" hidden="false" localSheetId="13" name="_xlnm.Print_Area" vbProcedure="false">PurchasesJun!$A$1:$X$68</definedName>
    <definedName function="false" hidden="false" localSheetId="13" name="_xlnm.Print_Titles" vbProcedure="false">PurchasesJun!$A:$A,PurchasesJun!$1:$2</definedName>
    <definedName function="false" hidden="false" localSheetId="31" name="_xlnm.Print_Area" vbProcedure="false">PurchasesMar!$A$1:$X$68</definedName>
    <definedName function="false" hidden="false" localSheetId="31" name="_xlnm.Print_Titles" vbProcedure="false">PurchasesMar!$A:$A,PurchasesMar!$1:$2</definedName>
    <definedName function="false" hidden="false" localSheetId="11" name="_xlnm.Print_Area" vbProcedure="false">PurchasesMay!$A$1:$X$68</definedName>
    <definedName function="false" hidden="false" localSheetId="11" name="_xlnm.Print_Titles" vbProcedure="false">PurchasesMay!$A:$A,PurchasesMay!$1:$2</definedName>
    <definedName function="false" hidden="false" localSheetId="23" name="_xlnm.Print_Area" vbProcedure="false">PurchasesNov!$A$1:$X$68</definedName>
    <definedName function="false" hidden="false" localSheetId="23" name="_xlnm.Print_Titles" vbProcedure="false">PurchasesNov!$A:$A,PurchasesNov!$1:$2</definedName>
    <definedName function="false" hidden="false" localSheetId="21" name="_xlnm.Print_Area" vbProcedure="false">PurchasesOct!$A$1:$X$68</definedName>
    <definedName function="false" hidden="false" localSheetId="21" name="_xlnm.Print_Titles" vbProcedure="false">PurchasesOct!$A:$A,PurchasesOct!$1:$2</definedName>
    <definedName function="false" hidden="false" localSheetId="19" name="_xlnm.Print_Area" vbProcedure="false">PurchasesSep!$A$1:$X$68</definedName>
    <definedName function="false" hidden="false" localSheetId="19" name="_xlnm.Print_Titles" vbProcedure="false">PurchasesSep!$A:$A,PurchasesSep!$1:$2</definedName>
    <definedName function="false" hidden="false" localSheetId="8" name="_xlnm.Print_Area" vbProcedure="false">SalesApr!$A$1:$K$68</definedName>
    <definedName function="false" hidden="false" localSheetId="8" name="_xlnm.Print_Titles" vbProcedure="false">SalesApr!$1:$3</definedName>
    <definedName function="false" hidden="false" localSheetId="16" name="_xlnm.Print_Area" vbProcedure="false">SalesAug!$A$1:$K$68</definedName>
    <definedName function="false" hidden="false" localSheetId="16" name="_xlnm.Print_Titles" vbProcedure="false">SalesAug!$1:$3</definedName>
    <definedName function="false" hidden="false" localSheetId="24" name="_xlnm.Print_Area" vbProcedure="false">SalesDec!$A$1:$K$68</definedName>
    <definedName function="false" hidden="false" localSheetId="24" name="_xlnm.Print_Titles" vbProcedure="false">SalesDec!$1:$3</definedName>
    <definedName function="false" hidden="false" localSheetId="28" name="_xlnm.Print_Area" vbProcedure="false">SalesFeb!$A$1:$K$68</definedName>
    <definedName function="false" hidden="false" localSheetId="28" name="_xlnm.Print_Titles" vbProcedure="false">SalesFeb!$1:$3</definedName>
    <definedName function="false" hidden="false" localSheetId="26" name="_xlnm.Print_Area" vbProcedure="false">SalesJan!$A$1:$K$68</definedName>
    <definedName function="false" hidden="false" localSheetId="26" name="_xlnm.Print_Titles" vbProcedure="false">SalesJan!$1:$3</definedName>
    <definedName function="false" hidden="false" localSheetId="14" name="_xlnm.Print_Area" vbProcedure="false">SalesJul!$A$1:$K$68</definedName>
    <definedName function="false" hidden="false" localSheetId="14" name="_xlnm.Print_Titles" vbProcedure="false">SalesJul!$1:$3</definedName>
    <definedName function="false" hidden="false" localSheetId="12" name="_xlnm.Print_Area" vbProcedure="false">SalesJun!$A$1:$K$68</definedName>
    <definedName function="false" hidden="false" localSheetId="12" name="_xlnm.Print_Titles" vbProcedure="false">SalesJun!$1:$3</definedName>
    <definedName function="false" hidden="false" localSheetId="30" name="_xlnm.Print_Area" vbProcedure="false">SalesMar!$A$1:$K$68</definedName>
    <definedName function="false" hidden="false" localSheetId="30" name="_xlnm.Print_Titles" vbProcedure="false">SalesMar!$1:$3</definedName>
    <definedName function="false" hidden="false" localSheetId="10" name="_xlnm.Print_Area" vbProcedure="false">SalesMay!$A$1:$K$68</definedName>
    <definedName function="false" hidden="false" localSheetId="10" name="_xlnm.Print_Titles" vbProcedure="false">SalesMay!$1:$3</definedName>
    <definedName function="false" hidden="false" localSheetId="22" name="_xlnm.Print_Area" vbProcedure="false">SalesNov!$A$1:$K$68</definedName>
    <definedName function="false" hidden="false" localSheetId="22" name="_xlnm.Print_Titles" vbProcedure="false">SalesNov!$1:$3</definedName>
    <definedName function="false" hidden="false" localSheetId="20" name="_xlnm.Print_Area" vbProcedure="false">SalesOct!$A$1:$K$68</definedName>
    <definedName function="false" hidden="false" localSheetId="20" name="_xlnm.Print_Titles" vbProcedure="false">SalesOct!$1:$3</definedName>
    <definedName function="false" hidden="false" localSheetId="18" name="_xlnm.Print_Area" vbProcedure="false">SalesSep!$A$1:$K$68</definedName>
    <definedName function="false" hidden="false" localSheetId="18" name="_xlnm.Print_Titles" vbProcedure="false">SalesSep!$1:$3</definedName>
    <definedName function="false" hidden="false" name="Annual_ConsolidatedExpenses" vbProcedure="false">'Profit &amp; Loss Acc'!$X$28</definedName>
    <definedName function="false" hidden="false" name="Annual_ExpenseAdminCosts" vbProcedure="false">'Profit &amp; Loss Acc'!$X$14</definedName>
    <definedName function="false" hidden="false" name="Annual_ExpenseAdminCostsDisallowable" vbProcedure="false">'Profit &amp; Loss Acc'!$X$41</definedName>
    <definedName function="false" hidden="false" name="Annual_ExpenseAdvertisingCosts" vbProcedure="false">'Profit &amp; Loss Acc'!$X$17</definedName>
    <definedName function="false" hidden="false" name="Annual_ExpenseAdvertisingCostsDisallowable" vbProcedure="false">'Profit &amp; Loss Acc'!$X$42</definedName>
    <definedName function="false" hidden="false" name="Annual_ExpenseBadDebt" vbProcedure="false">'Profit &amp; Loss Acc'!$X$19</definedName>
    <definedName function="false" hidden="false" name="Annual_ExpenseBadDebtDisallowable" vbProcedure="false">'Profit &amp; Loss Acc'!$X$46</definedName>
    <definedName function="false" hidden="false" name="Annual_ExpenseBusinessEntertainmentCosts" vbProcedure="false">'Profit &amp; Loss Acc'!$X$24</definedName>
    <definedName function="false" hidden="false" name="Annual_ExpenseBusinessEntertainmentCostsDisallowable" vbProcedure="false">'Profit &amp; Loss Acc'!$X$43</definedName>
    <definedName function="false" hidden="false" name="Annual_ExpenseCisPaymentsToSubcontractors" vbProcedure="false">'Profit &amp; Loss Acc'!$X$23</definedName>
    <definedName function="false" hidden="false" name="Annual_ExpenseCisPaymentsToSubcontractorsDisallowable" vbProcedure="false">'Profit &amp; Loss Acc'!$X$36</definedName>
    <definedName function="false" hidden="false" name="Annual_ExpenseCostOfGoodsBought" vbProcedure="false">'Profit &amp; Loss Acc'!$X$6</definedName>
    <definedName function="false" hidden="false" name="Annual_ExpenseCostOfGoodsBoughtDisallowable" vbProcedure="false">'Profit &amp; Loss Acc'!$X$35</definedName>
    <definedName function="false" hidden="false" name="Annual_ExpenseDepreciation" vbProcedure="false">'Profit &amp; Loss Acc'!$X$25</definedName>
    <definedName function="false" hidden="false" name="Annual_ExpenseDepreciationDisallowable" vbProcedure="false">'Profit &amp; Loss Acc'!$X$48</definedName>
    <definedName function="false" hidden="false" name="Annual_ExpenseFinancialCharges" vbProcedure="false">'Profit &amp; Loss Acc'!$X$15</definedName>
    <definedName function="false" hidden="false" name="Annual_ExpenseFinancialChargesDisallowable" vbProcedure="false">'Profit &amp; Loss Acc'!$X$45</definedName>
    <definedName function="false" hidden="false" name="Annual_ExpenseInterest" vbProcedure="false">'Profit &amp; Loss Acc'!$X$20</definedName>
    <definedName function="false" hidden="false" name="Annual_ExpenseInterestDisallowable" vbProcedure="false">'Profit &amp; Loss Acc'!$X$44</definedName>
    <definedName function="false" hidden="false" name="Annual_ExpenseMaintenanceCosts" vbProcedure="false">'Profit &amp; Loss Acc'!$X$13</definedName>
    <definedName function="false" hidden="false" name="Annual_ExpenseMaintenanceCostsDisallowable" vbProcedure="false">'Profit &amp; Loss Acc'!$X$40</definedName>
    <definedName function="false" hidden="false" name="Annual_ExpenseOther" vbProcedure="false">'Profit &amp; Loss Acc'!$X$21</definedName>
    <definedName function="false" hidden="false" name="Annual_ExpenseOtherDisallowable" vbProcedure="false">'Profit &amp; Loss Acc'!$X$49</definedName>
    <definedName function="false" hidden="false" name="Annual_ExpensePremisesRunningCosts" vbProcedure="false">'Profit &amp; Loss Acc'!$X$12</definedName>
    <definedName function="false" hidden="false" name="Annual_ExpensePremisesRunningCostsDisallowable" vbProcedure="false">'Profit &amp; Loss Acc'!$X$39</definedName>
    <definedName function="false" hidden="false" name="Annual_ExpenseProfessionalFees" vbProcedure="false">'Profit &amp; Loss Acc'!$X$18</definedName>
    <definedName function="false" hidden="false" name="Annual_ExpenseProfessionalFeesDisallowable" vbProcedure="false">'Profit &amp; Loss Acc'!$X$47</definedName>
    <definedName function="false" hidden="false" name="Annual_ExpenseStaffCosts" vbProcedure="false">'Profit &amp; Loss Acc'!$X$11</definedName>
    <definedName function="false" hidden="false" name="Annual_ExpenseStaffCostsDisallowable" vbProcedure="false">'Profit &amp; Loss Acc'!$X$37</definedName>
    <definedName function="false" hidden="false" name="Annual_ExpenseTravelCosts" vbProcedure="false">'Profit &amp; Loss Acc'!$X$16</definedName>
    <definedName function="false" hidden="false" name="Annual_ExpenseTravelCostsDisallowable" vbProcedure="false">'Profit &amp; Loss Acc'!$X$38</definedName>
    <definedName function="false" hidden="false" name="Annual_IncomeOther" vbProcedure="false">'Profit &amp; Loss Acc'!$X$5</definedName>
    <definedName function="false" hidden="false" name="Annual_IncomeTurnover" vbProcedure="false">'Profit &amp; Loss Acc'!$X$4</definedName>
    <definedName function="false" hidden="false" name="Q1_ConsolidatedExpenses" vbProcedure="false">'Profit &amp; Loss Acc'!$T$28</definedName>
    <definedName function="false" hidden="false" name="Q1_ExpenseAdminCosts" vbProcedure="false">'Profit &amp; Loss Acc'!$T$14</definedName>
    <definedName function="false" hidden="false" name="Q1_ExpenseAdminCostsDisallowable" vbProcedure="false">'Profit &amp; Loss Acc'!$T$41</definedName>
    <definedName function="false" hidden="false" name="Q1_ExpenseAdvertisingCosts" vbProcedure="false">'Profit &amp; Loss Acc'!$T$17</definedName>
    <definedName function="false" hidden="false" name="Q1_ExpenseAdvertisingCostsDisallowable" vbProcedure="false">'Profit &amp; Loss Acc'!$T$42</definedName>
    <definedName function="false" hidden="false" name="Q1_ExpenseBadDebt" vbProcedure="false">'Profit &amp; Loss Acc'!$T$19</definedName>
    <definedName function="false" hidden="false" name="Q1_ExpenseBadDebtDisallowable" vbProcedure="false">'Profit &amp; Loss Acc'!$T$46</definedName>
    <definedName function="false" hidden="false" name="Q1_ExpenseBusinessEntertainmentCosts" vbProcedure="false">'Profit &amp; Loss Acc'!$T$24</definedName>
    <definedName function="false" hidden="false" name="Q1_ExpenseBusinessEntertainmentCostsDisallowable" vbProcedure="false">'Profit &amp; Loss Acc'!$T$43</definedName>
    <definedName function="false" hidden="false" name="Q1_ExpenseCisPaymentsToSubcontractors" vbProcedure="false">'Profit &amp; Loss Acc'!$T$23</definedName>
    <definedName function="false" hidden="false" name="Q1_ExpenseCisPaymentsToSubcontractorsDisallowable" vbProcedure="false">'Profit &amp; Loss Acc'!$T$36</definedName>
    <definedName function="false" hidden="false" name="Q1_ExpenseCostOfGoodsBought" vbProcedure="false">'Profit &amp; Loss Acc'!$T$6</definedName>
    <definedName function="false" hidden="false" name="Q1_ExpenseCostOfGoodsBoughtDisallowable" vbProcedure="false">'Profit &amp; Loss Acc'!$T$35</definedName>
    <definedName function="false" hidden="false" name="Q1_ExpenseDepreciation" vbProcedure="false">'Profit &amp; Loss Acc'!$T$25</definedName>
    <definedName function="false" hidden="false" name="Q1_ExpenseDepreciationDisallowable" vbProcedure="false">'Profit &amp; Loss Acc'!$T$48</definedName>
    <definedName function="false" hidden="false" name="Q1_ExpenseFinancialCharges" vbProcedure="false">'Profit &amp; Loss Acc'!$T$15</definedName>
    <definedName function="false" hidden="false" name="Q1_ExpenseFinancialChargesDisallowable" vbProcedure="false">'Profit &amp; Loss Acc'!$T$45</definedName>
    <definedName function="false" hidden="false" name="Q1_ExpenseInterest" vbProcedure="false">'Profit &amp; Loss Acc'!$T$20</definedName>
    <definedName function="false" hidden="false" name="Q1_ExpenseInterestDisallowable" vbProcedure="false">'Profit &amp; Loss Acc'!$T$44</definedName>
    <definedName function="false" hidden="false" name="Q1_ExpenseMaintenanceCosts" vbProcedure="false">'Profit &amp; Loss Acc'!$T$13</definedName>
    <definedName function="false" hidden="false" name="Q1_ExpenseMaintenanceCostsDisallowable" vbProcedure="false">'Profit &amp; Loss Acc'!$T$40</definedName>
    <definedName function="false" hidden="false" name="Q1_ExpenseOther" vbProcedure="false">'Profit &amp; Loss Acc'!$T$21</definedName>
    <definedName function="false" hidden="false" name="Q1_ExpenseOtherDisallowable" vbProcedure="false">'Profit &amp; Loss Acc'!$T$49</definedName>
    <definedName function="false" hidden="false" name="Q1_ExpensePremisesRunningCosts" vbProcedure="false">'Profit &amp; Loss Acc'!$T$12</definedName>
    <definedName function="false" hidden="false" name="Q1_ExpensePremisesRunningCostsDisallowable" vbProcedure="false">'Profit &amp; Loss Acc'!$T$39</definedName>
    <definedName function="false" hidden="false" name="Q1_ExpenseProfessionalFees" vbProcedure="false">'Profit &amp; Loss Acc'!$T$18</definedName>
    <definedName function="false" hidden="false" name="Q1_ExpenseProfessionalFeesDisallowable" vbProcedure="false">'Profit &amp; Loss Acc'!$T$47</definedName>
    <definedName function="false" hidden="false" name="Q1_ExpenseStaffCosts" vbProcedure="false">'Profit &amp; Loss Acc'!$T$11</definedName>
    <definedName function="false" hidden="false" name="Q1_ExpenseStaffCostsDisallowable" vbProcedure="false">'Profit &amp; Loss Acc'!$T$37</definedName>
    <definedName function="false" hidden="false" name="Q1_ExpenseTravelCosts" vbProcedure="false">'Profit &amp; Loss Acc'!$T$16</definedName>
    <definedName function="false" hidden="false" name="Q1_ExpenseTravelCostsDisallowable" vbProcedure="false">'Profit &amp; Loss Acc'!$T$38</definedName>
    <definedName function="false" hidden="false" name="Q1_IncomeOther" vbProcedure="false">'Profit &amp; Loss Acc'!$T$5</definedName>
    <definedName function="false" hidden="false" name="Q1_IncomeTurnover" vbProcedure="false">'Profit &amp; Loss Acc'!$T$4</definedName>
    <definedName function="false" hidden="false" name="Q2_ConsolidatedExpenses" vbProcedure="false">'Profit &amp; Loss Acc'!$U$28</definedName>
    <definedName function="false" hidden="false" name="Q2_ExpenseAdminCosts" vbProcedure="false">'Profit &amp; Loss Acc'!$U$14</definedName>
    <definedName function="false" hidden="false" name="Q2_ExpenseAdminCostsDisallowable" vbProcedure="false">'Profit &amp; Loss Acc'!$U$41</definedName>
    <definedName function="false" hidden="false" name="Q2_ExpenseAdvertisingCosts" vbProcedure="false">'Profit &amp; Loss Acc'!$U$17</definedName>
    <definedName function="false" hidden="false" name="Q2_ExpenseAdvertisingCostsDisallowable" vbProcedure="false">'Profit &amp; Loss Acc'!$U$42</definedName>
    <definedName function="false" hidden="false" name="Q2_ExpenseBadDebt" vbProcedure="false">'Profit &amp; Loss Acc'!$U$19</definedName>
    <definedName function="false" hidden="false" name="Q2_ExpenseBadDebtDisallowable" vbProcedure="false">'Profit &amp; Loss Acc'!$U$46</definedName>
    <definedName function="false" hidden="false" name="Q2_ExpenseBusinessEntertainmentCosts" vbProcedure="false">'Profit &amp; Loss Acc'!$U$24</definedName>
    <definedName function="false" hidden="false" name="Q2_ExpenseBusinessEntertainmentCostsDisallowable" vbProcedure="false">'Profit &amp; Loss Acc'!$U$43</definedName>
    <definedName function="false" hidden="false" name="Q2_ExpenseCisPaymentsToSubcontractors" vbProcedure="false">'Profit &amp; Loss Acc'!$U$23</definedName>
    <definedName function="false" hidden="false" name="Q2_ExpenseCisPaymentsToSubcontractorsDisallowable" vbProcedure="false">'Profit &amp; Loss Acc'!$U$36</definedName>
    <definedName function="false" hidden="false" name="Q2_ExpenseCostOfGoodsBought" vbProcedure="false">'Profit &amp; Loss Acc'!$U$6</definedName>
    <definedName function="false" hidden="false" name="Q2_ExpenseCostOfGoodsBoughtDisallowable" vbProcedure="false">'Profit &amp; Loss Acc'!$U$35</definedName>
    <definedName function="false" hidden="false" name="Q2_ExpenseDepreciation" vbProcedure="false">'Profit &amp; Loss Acc'!$U$25</definedName>
    <definedName function="false" hidden="false" name="Q2_ExpenseDepreciationDisallowable" vbProcedure="false">'Profit &amp; Loss Acc'!$U$48</definedName>
    <definedName function="false" hidden="false" name="Q2_ExpenseFinancialCharges" vbProcedure="false">'Profit &amp; Loss Acc'!$U$15</definedName>
    <definedName function="false" hidden="false" name="Q2_ExpenseFinancialChargesDisallowable" vbProcedure="false">'Profit &amp; Loss Acc'!$U$45</definedName>
    <definedName function="false" hidden="false" name="Q2_ExpenseInterest" vbProcedure="false">'Profit &amp; Loss Acc'!$U$20</definedName>
    <definedName function="false" hidden="false" name="Q2_ExpenseInterestDisallowable" vbProcedure="false">'Profit &amp; Loss Acc'!$U$44</definedName>
    <definedName function="false" hidden="false" name="Q2_ExpenseMaintenanceCosts" vbProcedure="false">'Profit &amp; Loss Acc'!$U$13</definedName>
    <definedName function="false" hidden="false" name="Q2_ExpenseMaintenanceCostsDisallowable" vbProcedure="false">'Profit &amp; Loss Acc'!$U$40</definedName>
    <definedName function="false" hidden="false" name="Q2_ExpenseOther" vbProcedure="false">'Profit &amp; Loss Acc'!$U$21</definedName>
    <definedName function="false" hidden="false" name="Q2_ExpenseOtherDisallowable" vbProcedure="false">'Profit &amp; Loss Acc'!$U$49</definedName>
    <definedName function="false" hidden="false" name="Q2_ExpensePremisesRunningCosts" vbProcedure="false">'Profit &amp; Loss Acc'!$U$12</definedName>
    <definedName function="false" hidden="false" name="Q2_ExpensePremisesRunningCostsDisallowable" vbProcedure="false">'Profit &amp; Loss Acc'!$U$39</definedName>
    <definedName function="false" hidden="false" name="Q2_ExpenseProfessionalFees" vbProcedure="false">'Profit &amp; Loss Acc'!$U$18</definedName>
    <definedName function="false" hidden="false" name="Q2_ExpenseProfessionalFeesDisallowable" vbProcedure="false">'Profit &amp; Loss Acc'!$U$47</definedName>
    <definedName function="false" hidden="false" name="Q2_ExpenseStaffCosts" vbProcedure="false">'Profit &amp; Loss Acc'!$U$11</definedName>
    <definedName function="false" hidden="false" name="Q2_ExpenseStaffCostsDisallowable" vbProcedure="false">'Profit &amp; Loss Acc'!$U$37</definedName>
    <definedName function="false" hidden="false" name="Q2_ExpenseTravelCosts" vbProcedure="false">'Profit &amp; Loss Acc'!$U$16</definedName>
    <definedName function="false" hidden="false" name="Q2_ExpenseTravelCostsDisallowable" vbProcedure="false">'Profit &amp; Loss Acc'!$U$38</definedName>
    <definedName function="false" hidden="false" name="Q2_IncomeOther" vbProcedure="false">'Profit &amp; Loss Acc'!$U$5</definedName>
    <definedName function="false" hidden="false" name="Q2_IncomeTurnover" vbProcedure="false">'Profit &amp; Loss Acc'!$U$4</definedName>
    <definedName function="false" hidden="false" name="Q3_ConsolidatedExpenses" vbProcedure="false">'Profit &amp; Loss Acc'!$V$28</definedName>
    <definedName function="false" hidden="false" name="Q3_ExpenseAdminCosts" vbProcedure="false">'Profit &amp; Loss Acc'!$V$14</definedName>
    <definedName function="false" hidden="false" name="Q3_ExpenseAdminCostsDisallowable" vbProcedure="false">'Profit &amp; Loss Acc'!$V$41</definedName>
    <definedName function="false" hidden="false" name="Q3_ExpenseAdvertisingCosts" vbProcedure="false">'Profit &amp; Loss Acc'!$V$17</definedName>
    <definedName function="false" hidden="false" name="Q3_ExpenseAdvertisingCostsDisallowable" vbProcedure="false">'Profit &amp; Loss Acc'!$V$42</definedName>
    <definedName function="false" hidden="false" name="Q3_ExpenseBadDebt" vbProcedure="false">'Profit &amp; Loss Acc'!$V$19</definedName>
    <definedName function="false" hidden="false" name="Q3_ExpenseBadDebtDisallowable" vbProcedure="false">'Profit &amp; Loss Acc'!$V$46</definedName>
    <definedName function="false" hidden="false" name="Q3_ExpenseBusinessEntertainmentCosts" vbProcedure="false">'Profit &amp; Loss Acc'!$V$24</definedName>
    <definedName function="false" hidden="false" name="Q3_ExpenseBusinessEntertainmentCostsDisallowable" vbProcedure="false">'Profit &amp; Loss Acc'!$V$43</definedName>
    <definedName function="false" hidden="false" name="Q3_ExpenseCisPaymentsToSubcontractors" vbProcedure="false">'Profit &amp; Loss Acc'!$V$23</definedName>
    <definedName function="false" hidden="false" name="Q3_ExpenseCisPaymentsToSubcontractorsDisallowable" vbProcedure="false">'Profit &amp; Loss Acc'!$V$36</definedName>
    <definedName function="false" hidden="false" name="Q3_ExpenseCostOfGoodsBought" vbProcedure="false">'Profit &amp; Loss Acc'!$V$6</definedName>
    <definedName function="false" hidden="false" name="Q3_ExpenseCostOfGoodsBoughtDisallowable" vbProcedure="false">'Profit &amp; Loss Acc'!$V$35</definedName>
    <definedName function="false" hidden="false" name="Q3_ExpenseDepreciation" vbProcedure="false">'Profit &amp; Loss Acc'!$V$25</definedName>
    <definedName function="false" hidden="false" name="Q3_ExpenseDepreciationDisallowable" vbProcedure="false">'Profit &amp; Loss Acc'!$V$48</definedName>
    <definedName function="false" hidden="false" name="Q3_ExpenseFinancialCharges" vbProcedure="false">'Profit &amp; Loss Acc'!$V$15</definedName>
    <definedName function="false" hidden="false" name="Q3_ExpenseFinancialChargesDisallowable" vbProcedure="false">'Profit &amp; Loss Acc'!$V$45</definedName>
    <definedName function="false" hidden="false" name="Q3_ExpenseInterest" vbProcedure="false">'Profit &amp; Loss Acc'!$V$20</definedName>
    <definedName function="false" hidden="false" name="Q3_ExpenseInterestDisallowable" vbProcedure="false">'Profit &amp; Loss Acc'!$V$44</definedName>
    <definedName function="false" hidden="false" name="Q3_ExpenseMaintenanceCosts" vbProcedure="false">'Profit &amp; Loss Acc'!$V$13</definedName>
    <definedName function="false" hidden="false" name="Q3_ExpenseMaintenanceCostsDisallowable" vbProcedure="false">'Profit &amp; Loss Acc'!$V$40</definedName>
    <definedName function="false" hidden="false" name="Q3_ExpenseOther" vbProcedure="false">'Profit &amp; Loss Acc'!$V$21</definedName>
    <definedName function="false" hidden="false" name="Q3_ExpenseOtherDisallowable" vbProcedure="false">'Profit &amp; Loss Acc'!$V$49</definedName>
    <definedName function="false" hidden="false" name="Q3_ExpensePremisesRunningCosts" vbProcedure="false">'Profit &amp; Loss Acc'!$V$12</definedName>
    <definedName function="false" hidden="false" name="Q3_ExpensePremisesRunningCostsDisallowable" vbProcedure="false">'Profit &amp; Loss Acc'!$V$39</definedName>
    <definedName function="false" hidden="false" name="Q3_ExpenseProfessionalFees" vbProcedure="false">'Profit &amp; Loss Acc'!$V$18</definedName>
    <definedName function="false" hidden="false" name="Q3_ExpenseProfessionalFeesDisallowable" vbProcedure="false">'Profit &amp; Loss Acc'!$V$47</definedName>
    <definedName function="false" hidden="false" name="Q3_ExpenseStaffCosts" vbProcedure="false">'Profit &amp; Loss Acc'!$V$11</definedName>
    <definedName function="false" hidden="false" name="Q3_ExpenseStaffCostsDisallowable" vbProcedure="false">'Profit &amp; Loss Acc'!$V$37</definedName>
    <definedName function="false" hidden="false" name="Q3_ExpenseTravelCosts" vbProcedure="false">'Profit &amp; Loss Acc'!$V$16</definedName>
    <definedName function="false" hidden="false" name="Q3_ExpenseTravelCostsDisallowable" vbProcedure="false">'Profit &amp; Loss Acc'!$V$38</definedName>
    <definedName function="false" hidden="false" name="Q3_IncomeOther" vbProcedure="false">'Profit &amp; Loss Acc'!$V$5</definedName>
    <definedName function="false" hidden="false" name="Q3_IncomeTurnover" vbProcedure="false">'Profit &amp; Loss Acc'!$V$4</definedName>
    <definedName function="false" hidden="false" name="Q4_ConsolidatedExpenses" vbProcedure="false">'Profit &amp; Loss Acc'!$W$28</definedName>
    <definedName function="false" hidden="false" name="Q4_ExpenseAdminCosts" vbProcedure="false">'Profit &amp; Loss Acc'!$W$14</definedName>
    <definedName function="false" hidden="false" name="Q4_ExpenseAdminCostsDisallowable" vbProcedure="false">'Profit &amp; Loss Acc'!$W$41</definedName>
    <definedName function="false" hidden="false" name="Q4_ExpenseAdvertisingCosts" vbProcedure="false">'Profit &amp; Loss Acc'!$W$17</definedName>
    <definedName function="false" hidden="false" name="Q4_ExpenseAdvertisingCostsDisallowable" vbProcedure="false">'Profit &amp; Loss Acc'!$W$42</definedName>
    <definedName function="false" hidden="false" name="Q4_ExpenseBadDebt" vbProcedure="false">'Profit &amp; Loss Acc'!$W$19</definedName>
    <definedName function="false" hidden="false" name="Q4_ExpenseBadDebtDisallowable" vbProcedure="false">'Profit &amp; Loss Acc'!$W$46</definedName>
    <definedName function="false" hidden="false" name="Q4_ExpenseBusinessEntertainmentCosts" vbProcedure="false">'Profit &amp; Loss Acc'!$W$24</definedName>
    <definedName function="false" hidden="false" name="Q4_ExpenseBusinessEntertainmentCostsDisallowable" vbProcedure="false">'Profit &amp; Loss Acc'!$W$43</definedName>
    <definedName function="false" hidden="false" name="Q4_ExpenseCisPaymentsToSubcontractors" vbProcedure="false">'Profit &amp; Loss Acc'!$W$23</definedName>
    <definedName function="false" hidden="false" name="Q4_ExpenseCisPaymentsToSubcontractorsDisallowable" vbProcedure="false">'Profit &amp; Loss Acc'!$W$36</definedName>
    <definedName function="false" hidden="false" name="Q4_ExpenseCostOfGoodsBought" vbProcedure="false">'Profit &amp; Loss Acc'!$W$6</definedName>
    <definedName function="false" hidden="false" name="Q4_ExpenseCostOfGoodsBoughtDisallowable" vbProcedure="false">'Profit &amp; Loss Acc'!$W$35</definedName>
    <definedName function="false" hidden="false" name="Q4_ExpenseDepreciation" vbProcedure="false">'Profit &amp; Loss Acc'!$W$25</definedName>
    <definedName function="false" hidden="false" name="Q4_ExpenseDepreciationDisallowable" vbProcedure="false">'Profit &amp; Loss Acc'!$W$48</definedName>
    <definedName function="false" hidden="false" name="Q4_ExpenseFinancialCharges" vbProcedure="false">'Profit &amp; Loss Acc'!$W$15</definedName>
    <definedName function="false" hidden="false" name="Q4_ExpenseFinancialChargesDisallowable" vbProcedure="false">'Profit &amp; Loss Acc'!$W$45</definedName>
    <definedName function="false" hidden="false" name="Q4_ExpenseInterest" vbProcedure="false">'Profit &amp; Loss Acc'!$W$20</definedName>
    <definedName function="false" hidden="false" name="Q4_ExpenseInterestDisallowable" vbProcedure="false">'Profit &amp; Loss Acc'!$W$44</definedName>
    <definedName function="false" hidden="false" name="Q4_ExpenseMaintenanceCosts" vbProcedure="false">'Profit &amp; Loss Acc'!$W$13</definedName>
    <definedName function="false" hidden="false" name="Q4_ExpenseMaintenanceCostsDisallowable" vbProcedure="false">'Profit &amp; Loss Acc'!$W$40</definedName>
    <definedName function="false" hidden="false" name="Q4_ExpenseOther" vbProcedure="false">'Profit &amp; Loss Acc'!$W$21</definedName>
    <definedName function="false" hidden="false" name="Q4_ExpenseOtherDisallowable" vbProcedure="false">'Profit &amp; Loss Acc'!$W$49</definedName>
    <definedName function="false" hidden="false" name="Q4_ExpensePremisesRunningCosts" vbProcedure="false">'Profit &amp; Loss Acc'!$W$12</definedName>
    <definedName function="false" hidden="false" name="Q4_ExpensePremisesRunningCostsDisallowable" vbProcedure="false">'Profit &amp; Loss Acc'!$W$39</definedName>
    <definedName function="false" hidden="false" name="Q4_ExpenseProfessionalFees" vbProcedure="false">'Profit &amp; Loss Acc'!$W$18</definedName>
    <definedName function="false" hidden="false" name="Q4_ExpenseProfessionalFeesDisallowable" vbProcedure="false">'Profit &amp; Loss Acc'!$W$47</definedName>
    <definedName function="false" hidden="false" name="Q4_ExpenseStaffCosts" vbProcedure="false">'Profit &amp; Loss Acc'!$W$11</definedName>
    <definedName function="false" hidden="false" name="Q4_ExpenseStaffCostsDisallowable" vbProcedure="false">'Profit &amp; Loss Acc'!$W$37</definedName>
    <definedName function="false" hidden="false" name="Q4_ExpenseTravelCosts" vbProcedure="false">'Profit &amp; Loss Acc'!$W$16</definedName>
    <definedName function="false" hidden="false" name="Q4_ExpenseTravelCostsDisallowable" vbProcedure="false">'Profit &amp; Loss Acc'!$W$38</definedName>
    <definedName function="false" hidden="false" name="Q4_IncomeOther" vbProcedure="false">'Profit &amp; Loss Acc'!$W$5</definedName>
    <definedName function="false" hidden="false" name="Q4_IncomeTurnover" vbProcedure="false">'Profit &amp; Loss Acc'!$W$4</definedName>
    <definedName function="false" hidden="false" localSheetId="3" name="_xlnm_Print_Titles" vbProcedure="false">'Profit &amp; Loss Acc'!$1:$3</definedName>
    <definedName function="false" hidden="false" localSheetId="8" name="_xlnm_Print_Area" vbProcedure="false">SalesApr!$A$1:$K$68</definedName>
    <definedName function="false" hidden="false" localSheetId="8" name="_xlnm_Print_Titles" vbProcedure="false">SalesApr!$1:$3</definedName>
    <definedName function="false" hidden="false" localSheetId="9" name="Excel_BuiltIn_Print_Titles" vbProcedure="false">(PurchasesApr!$A:$A,PurchasesApr!$1:$2)</definedName>
    <definedName function="false" hidden="false" localSheetId="9" name="_xlnm_Print_Area" vbProcedure="false">PurchasesApr!$A$1:$X$68</definedName>
    <definedName function="false" hidden="false" localSheetId="9" name="_xlnm_Print_Titles" vbProcedure="false">(PurchasesApr!$A:$A,PurchasesApr!$1:$2)</definedName>
    <definedName function="false" hidden="false" localSheetId="10" name="_xlnm_Print_Area" vbProcedure="false">SalesMay!$A$1:$K$68</definedName>
    <definedName function="false" hidden="false" localSheetId="10" name="_xlnm_Print_Titles" vbProcedure="false">SalesMay!$1:$3</definedName>
    <definedName function="false" hidden="false" localSheetId="11" name="Excel_BuiltIn_Print_Titles" vbProcedure="false">(PurchasesMay!$A:$A,PurchasesMay!$1:$2)</definedName>
    <definedName function="false" hidden="false" localSheetId="11" name="_xlnm_Print_Area" vbProcedure="false">PurchasesMay!$A$1:$X$68</definedName>
    <definedName function="false" hidden="false" localSheetId="11" name="_xlnm_Print_Titles" vbProcedure="false">(PurchasesMay!$A:$A,PurchasesMay!$1:$2)</definedName>
    <definedName function="false" hidden="false" localSheetId="12" name="_xlnm_Print_Area" vbProcedure="false">SalesJun!$A$1:$K$68</definedName>
    <definedName function="false" hidden="false" localSheetId="12" name="_xlnm_Print_Titles" vbProcedure="false">SalesJun!$1:$3</definedName>
    <definedName function="false" hidden="false" localSheetId="13" name="Excel_BuiltIn_Print_Titles" vbProcedure="false">(PurchasesJun!$A:$A,PurchasesJun!$1:$2)</definedName>
    <definedName function="false" hidden="false" localSheetId="13" name="_xlnm_Print_Area" vbProcedure="false">PurchasesJun!$A$1:$X$68</definedName>
    <definedName function="false" hidden="false" localSheetId="13" name="_xlnm_Print_Titles" vbProcedure="false">(PurchasesJun!$A:$A,PurchasesJun!$1:$2)</definedName>
    <definedName function="false" hidden="false" localSheetId="14" name="_xlnm_Print_Area" vbProcedure="false">SalesJul!$A$1:$K$68</definedName>
    <definedName function="false" hidden="false" localSheetId="14" name="_xlnm_Print_Titles" vbProcedure="false">SalesJul!$1:$3</definedName>
    <definedName function="false" hidden="false" localSheetId="15" name="Excel_BuiltIn_Print_Titles" vbProcedure="false">(PurchasesJul!$A:$A,PurchasesJul!$1:$2)</definedName>
    <definedName function="false" hidden="false" localSheetId="15" name="_xlnm_Print_Area" vbProcedure="false">PurchasesJul!$A$1:$X$68</definedName>
    <definedName function="false" hidden="false" localSheetId="15" name="_xlnm_Print_Titles" vbProcedure="false">(PurchasesJul!$A:$A,PurchasesJul!$1:$2)</definedName>
    <definedName function="false" hidden="false" localSheetId="16" name="_xlnm_Print_Area" vbProcedure="false">SalesAug!$A$1:$K$68</definedName>
    <definedName function="false" hidden="false" localSheetId="16" name="_xlnm_Print_Titles" vbProcedure="false">SalesAug!$1:$3</definedName>
    <definedName function="false" hidden="false" localSheetId="17" name="Excel_BuiltIn_Print_Titles" vbProcedure="false">(PurchasesAug!$A:$A,PurchasesAug!$1:$2)</definedName>
    <definedName function="false" hidden="false" localSheetId="17" name="_xlnm_Print_Area" vbProcedure="false">PurchasesAug!$A$1:$X$68</definedName>
    <definedName function="false" hidden="false" localSheetId="17" name="_xlnm_Print_Titles" vbProcedure="false">(PurchasesAug!$A:$A,PurchasesAug!$1:$2)</definedName>
    <definedName function="false" hidden="false" localSheetId="18" name="_xlnm_Print_Area" vbProcedure="false">SalesSep!$A$1:$K$68</definedName>
    <definedName function="false" hidden="false" localSheetId="18" name="_xlnm_Print_Titles" vbProcedure="false">SalesSep!$1:$3</definedName>
    <definedName function="false" hidden="false" localSheetId="19" name="Excel_BuiltIn_Print_Titles" vbProcedure="false">(PurchasesSep!$A:$A,PurchasesSep!$1:$2)</definedName>
    <definedName function="false" hidden="false" localSheetId="19" name="_xlnm_Print_Area" vbProcedure="false">PurchasesSep!$A$1:$X$68</definedName>
    <definedName function="false" hidden="false" localSheetId="19" name="_xlnm_Print_Titles" vbProcedure="false">(PurchasesSep!$A:$A,PurchasesSep!$1:$2)</definedName>
    <definedName function="false" hidden="false" localSheetId="20" name="_xlnm_Print_Area" vbProcedure="false">SalesOct!$A$1:$K$68</definedName>
    <definedName function="false" hidden="false" localSheetId="20" name="_xlnm_Print_Titles" vbProcedure="false">SalesOct!$1:$3</definedName>
    <definedName function="false" hidden="false" localSheetId="21" name="Excel_BuiltIn_Print_Titles" vbProcedure="false">(PurchasesOct!$A:$A,PurchasesOct!$1:$2)</definedName>
    <definedName function="false" hidden="false" localSheetId="21" name="_xlnm_Print_Area" vbProcedure="false">PurchasesOct!$A$1:$X$68</definedName>
    <definedName function="false" hidden="false" localSheetId="21" name="_xlnm_Print_Titles" vbProcedure="false">(PurchasesOct!$A:$A,PurchasesOct!$1:$2)</definedName>
    <definedName function="false" hidden="false" localSheetId="22" name="_xlnm_Print_Area" vbProcedure="false">SalesNov!$A$1:$K$68</definedName>
    <definedName function="false" hidden="false" localSheetId="22" name="_xlnm_Print_Titles" vbProcedure="false">SalesNov!$1:$3</definedName>
    <definedName function="false" hidden="false" localSheetId="23" name="Excel_BuiltIn_Print_Titles" vbProcedure="false">(PurchasesNov!$A:$A,PurchasesNov!$1:$2)</definedName>
    <definedName function="false" hidden="false" localSheetId="23" name="_xlnm_Print_Area" vbProcedure="false">PurchasesNov!$A$1:$X$68</definedName>
    <definedName function="false" hidden="false" localSheetId="23" name="_xlnm_Print_Titles" vbProcedure="false">(PurchasesNov!$A:$A,PurchasesNov!$1:$2)</definedName>
    <definedName function="false" hidden="false" localSheetId="24" name="_xlnm_Print_Area" vbProcedure="false">SalesDec!$A$1:$K$68</definedName>
    <definedName function="false" hidden="false" localSheetId="24" name="_xlnm_Print_Titles" vbProcedure="false">SalesDec!$1:$3</definedName>
    <definedName function="false" hidden="false" localSheetId="25" name="Excel_BuiltIn_Print_Titles" vbProcedure="false">(PurchasesDec!$A:$A,PurchasesDec!$1:$2)</definedName>
    <definedName function="false" hidden="false" localSheetId="25" name="_xlnm_Print_Area" vbProcedure="false">PurchasesDec!$A$1:$X$68</definedName>
    <definedName function="false" hidden="false" localSheetId="25" name="_xlnm_Print_Titles" vbProcedure="false">(PurchasesDec!$A:$A,PurchasesDec!$1:$2)</definedName>
    <definedName function="false" hidden="false" localSheetId="26" name="_xlnm_Print_Area" vbProcedure="false">SalesJan!$A$1:$K$68</definedName>
    <definedName function="false" hidden="false" localSheetId="26" name="_xlnm_Print_Titles" vbProcedure="false">SalesJan!$1:$3</definedName>
    <definedName function="false" hidden="false" localSheetId="27" name="Excel_BuiltIn_Print_Titles" vbProcedure="false">(PurchasesJan!$A:$A,PurchasesJan!$1:$2)</definedName>
    <definedName function="false" hidden="false" localSheetId="27" name="_xlnm_Print_Area" vbProcedure="false">PurchasesJan!$A$1:$X$68</definedName>
    <definedName function="false" hidden="false" localSheetId="27" name="_xlnm_Print_Titles" vbProcedure="false">(PurchasesJan!$A:$A,PurchasesJan!$1:$2)</definedName>
    <definedName function="false" hidden="false" localSheetId="28" name="_xlnm_Print_Area" vbProcedure="false">SalesFeb!$A$1:$K$68</definedName>
    <definedName function="false" hidden="false" localSheetId="28" name="_xlnm_Print_Titles" vbProcedure="false">SalesFeb!$1:$3</definedName>
    <definedName function="false" hidden="false" localSheetId="29" name="Excel_BuiltIn_Print_Titles" vbProcedure="false">(PurchasesFeb!$A:$A,PurchasesFeb!$1:$2)</definedName>
    <definedName function="false" hidden="false" localSheetId="29" name="_xlnm_Print_Area" vbProcedure="false">PurchasesFeb!$A$1:$X$68</definedName>
    <definedName function="false" hidden="false" localSheetId="29" name="_xlnm_Print_Titles" vbProcedure="false">(PurchasesFeb!$A:$A,PurchasesFeb!$1:$2)</definedName>
    <definedName function="false" hidden="false" localSheetId="30" name="_xlnm_Print_Area" vbProcedure="false">SalesMar!$A$1:$K$68</definedName>
    <definedName function="false" hidden="false" localSheetId="30" name="_xlnm_Print_Titles" vbProcedure="false">SalesMar!$1:$3</definedName>
    <definedName function="false" hidden="false" localSheetId="31" name="Excel_BuiltIn_Print_Titles" vbProcedure="false">(PurchasesMar!$A:$A,PurchasesMar!$1:$2)</definedName>
    <definedName function="false" hidden="false" localSheetId="31" name="_xlnm_Print_Area" vbProcedure="false">PurchasesMar!$A$1:$X$68</definedName>
    <definedName function="false" hidden="false" localSheetId="31" name="_xlnm_Print_Titles" vbProcedure="false">(PurchasesMar!$A:$A,PurchasesMar!$1:$2)</definedName>
  </definedName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<sst xmlns="http://schemas.openxmlformats.org/spreadsheetml/2006/main" count="1163" uniqueCount="341">
  <si>
    <t xml:space="preserve">Basic Sole Trader Accounts</t>
  </si>
  <si>
    <r>
      <rPr>
        <i val="true"/>
        <sz val="10"/>
        <rFont val="Arial"/>
        <family val="2"/>
        <charset val="1"/>
      </rPr>
      <t xml:space="preserve">Click a link below to navigate to the desired page.
To return to the home page click the Home tab. If you can't see the Home tab, you can scroll to it by clicking the </t>
    </r>
    <r>
      <rPr>
        <b val="true"/>
        <i val="true"/>
        <sz val="10"/>
        <rFont val="Arial"/>
        <family val="2"/>
        <charset val="1"/>
      </rPr>
      <t xml:space="preserve">|&lt;</t>
    </r>
    <r>
      <rPr>
        <i val="true"/>
        <sz val="10"/>
        <rFont val="Arial"/>
        <family val="2"/>
        <charset val="1"/>
      </rPr>
      <t xml:space="preserve"> symbol (bottom left).</t>
    </r>
  </si>
  <si>
    <t xml:space="preserve">Preparation</t>
  </si>
  <si>
    <t xml:space="preserve">Sales</t>
  </si>
  <si>
    <t xml:space="preserve">Purchases</t>
  </si>
  <si>
    <t xml:space="preserve">Results</t>
  </si>
  <si>
    <r>
      <rPr>
        <b val="true"/>
        <sz val="9"/>
        <rFont val="Arial"/>
        <family val="2"/>
        <charset val="1"/>
      </rPr>
      <t xml:space="preserve">ENTER YOUR BUSINESS DETAILS </t>
    </r>
    <r>
      <rPr>
        <i val="true"/>
        <sz val="9"/>
        <rFont val="Arial"/>
        <family val="2"/>
        <charset val="1"/>
      </rPr>
      <t xml:space="preserve">- which are then transferred to the Self-employment Tax Return</t>
    </r>
  </si>
  <si>
    <t xml:space="preserve">Your name</t>
  </si>
  <si>
    <t xml:space="preserve">Your unique taxpayer reference (UTR)</t>
  </si>
  <si>
    <t xml:space="preserve">Description of business</t>
  </si>
  <si>
    <t xml:space="preserve">If you are a foster carer or adult placement carer, put 'X'</t>
  </si>
  <si>
    <r>
      <rPr>
        <sz val="8"/>
        <rFont val="Arial"/>
        <family val="2"/>
        <charset val="1"/>
      </rPr>
      <t xml:space="preserve">in the box - </t>
    </r>
    <r>
      <rPr>
        <i val="true"/>
        <sz val="8"/>
        <rFont val="Arial"/>
        <family val="2"/>
        <charset val="1"/>
      </rPr>
      <t xml:space="preserve">read page SESN 2 of the notes</t>
    </r>
  </si>
  <si>
    <t xml:space="preserve">If your business started sifter </t>
  </si>
  <si>
    <r>
      <rPr>
        <sz val="8"/>
        <rFont val="Arial"/>
        <family val="2"/>
        <charset val="1"/>
      </rPr>
      <t xml:space="preserve">enter the start date </t>
    </r>
    <r>
      <rPr>
        <i val="true"/>
        <sz val="8"/>
        <rFont val="Arial"/>
        <family val="2"/>
        <charset val="1"/>
      </rPr>
      <t xml:space="preserve">DD/MM/YYY</t>
    </r>
  </si>
  <si>
    <t xml:space="preserve">Postcode of your business</t>
  </si>
  <si>
    <t xml:space="preserve">If your business ceased before</t>
  </si>
  <si>
    <t xml:space="preserve">If your business name, description, address or postcode</t>
  </si>
  <si>
    <t xml:space="preserve">enter the final date of trading</t>
  </si>
  <si>
    <t xml:space="preserve">have changed in the last 12 months, put 'X' in the box</t>
  </si>
  <si>
    <t xml:space="preserve">and give details in the 'Any other information' box of</t>
  </si>
  <si>
    <t xml:space="preserve">of your Tax Return</t>
  </si>
  <si>
    <r>
      <rPr>
        <sz val="8"/>
        <rFont val="Arial"/>
        <family val="2"/>
        <charset val="1"/>
      </rPr>
      <t xml:space="preserve">Date your books or accounts are made up to -</t>
    </r>
    <r>
      <rPr>
        <i val="true"/>
        <sz val="8"/>
        <rFont val="Arial"/>
        <family val="2"/>
        <charset val="1"/>
      </rPr>
      <t xml:space="preserve"> read</t>
    </r>
  </si>
  <si>
    <t xml:space="preserve">page SESN 2 of the notes</t>
  </si>
  <si>
    <r>
      <rPr>
        <b val="true"/>
        <sz val="8"/>
        <rFont val="Arial"/>
        <family val="2"/>
        <charset val="1"/>
      </rPr>
      <t xml:space="preserve">ENTER</t>
    </r>
    <r>
      <rPr>
        <sz val="8"/>
        <rFont val="Arial"/>
        <family val="2"/>
        <charset val="1"/>
      </rPr>
      <t xml:space="preserve">: Total losses brought forward from earlier years</t>
    </r>
  </si>
  <si>
    <r>
      <rPr>
        <b val="true"/>
        <sz val="8"/>
        <rFont val="Arial"/>
        <family val="2"/>
        <charset val="1"/>
      </rPr>
      <t xml:space="preserve">ENTER</t>
    </r>
    <r>
      <rPr>
        <sz val="8"/>
        <rFont val="Arial"/>
        <family val="2"/>
        <charset val="1"/>
      </rPr>
      <t xml:space="preserve">: Value of goods and services for your own use</t>
    </r>
  </si>
  <si>
    <t xml:space="preserve"> - read page SESN 7 of the notes</t>
  </si>
  <si>
    <t xml:space="preserve">£</t>
  </si>
  <si>
    <t xml:space="preserve">.</t>
  </si>
  <si>
    <t xml:space="preserve">Loss used this year</t>
  </si>
  <si>
    <t xml:space="preserve">Total loss carried forward to future years</t>
  </si>
  <si>
    <t xml:space="preserve">Calculated no entry required</t>
  </si>
  <si>
    <t xml:space="preserve">HM Revenue                  &amp; Customs</t>
  </si>
  <si>
    <t xml:space="preserve">Self-employment (short)</t>
  </si>
  <si>
    <t xml:space="preserve">Tax year </t>
  </si>
  <si>
    <t xml:space="preserve">to</t>
  </si>
  <si>
    <t xml:space="preserve">Business details</t>
  </si>
  <si>
    <t xml:space="preserve">If your business started after </t>
  </si>
  <si>
    <r>
      <rPr>
        <sz val="8"/>
        <rFont val="Arial"/>
        <family val="2"/>
        <charset val="1"/>
      </rPr>
      <t xml:space="preserve">Your turnover -</t>
    </r>
    <r>
      <rPr>
        <i val="true"/>
        <sz val="8"/>
        <rFont val="Arial"/>
        <family val="2"/>
        <charset val="1"/>
      </rPr>
      <t xml:space="preserve"> the takings, fees, sales or money earned</t>
    </r>
  </si>
  <si>
    <t xml:space="preserve">Any other business income not included in box 8</t>
  </si>
  <si>
    <t xml:space="preserve">by your business</t>
  </si>
  <si>
    <t xml:space="preserve"> - excluding Business Start-up Allowance</t>
  </si>
  <si>
    <t xml:space="preserve">Allowable business expenses</t>
  </si>
  <si>
    <r>
      <rPr>
        <sz val="8"/>
        <rFont val="Arial"/>
        <family val="2"/>
        <charset val="1"/>
      </rPr>
      <t xml:space="preserve">Read pages SESN 3 of the </t>
    </r>
    <r>
      <rPr>
        <i val="true"/>
        <sz val="8"/>
        <rFont val="Arial"/>
        <family val="2"/>
        <charset val="1"/>
      </rPr>
      <t xml:space="preserve">notes</t>
    </r>
    <r>
      <rPr>
        <sz val="8"/>
        <rFont val="Arial"/>
        <family val="2"/>
        <charset val="1"/>
      </rPr>
      <t xml:space="preserve"> to see which expenses are allowed for tax purposes. If your annual turnover was below £30,000</t>
    </r>
  </si>
  <si>
    <t xml:space="preserve">you may just put your total expenses in box 19, rather than filling in the whole section.</t>
  </si>
  <si>
    <t xml:space="preserve">Cost of goods bought for re-sale or goods used</t>
  </si>
  <si>
    <t xml:space="preserve">Accountancy, legal and other professional fees</t>
  </si>
  <si>
    <r>
      <rPr>
        <sz val="8"/>
        <rFont val="Arial"/>
        <family val="2"/>
        <charset val="1"/>
      </rPr>
      <t xml:space="preserve">Car, van and other travel expenses - </t>
    </r>
    <r>
      <rPr>
        <i val="true"/>
        <sz val="8"/>
        <rFont val="Arial"/>
        <family val="2"/>
        <charset val="1"/>
      </rPr>
      <t xml:space="preserve">after private</t>
    </r>
  </si>
  <si>
    <t xml:space="preserve">Interest and bank and credit card etc. financial charges</t>
  </si>
  <si>
    <t xml:space="preserve">use proportion</t>
  </si>
  <si>
    <t xml:space="preserve">Wages, salaries and other staff costs</t>
  </si>
  <si>
    <t xml:space="preserve">Telephone, fax, stationery and other office costs</t>
  </si>
  <si>
    <t xml:space="preserve">Rent, rates, power and insurance costs</t>
  </si>
  <si>
    <r>
      <rPr>
        <sz val="8"/>
        <rFont val="Arial"/>
        <family val="2"/>
        <charset val="1"/>
      </rPr>
      <t xml:space="preserve">Other allowable business expenses - </t>
    </r>
    <r>
      <rPr>
        <i val="true"/>
        <sz val="8"/>
        <rFont val="Arial"/>
        <family val="2"/>
        <charset val="1"/>
      </rPr>
      <t xml:space="preserve">client entertaining</t>
    </r>
  </si>
  <si>
    <t xml:space="preserve">costs are not an allowable expense</t>
  </si>
  <si>
    <t xml:space="preserve">Repairs and renewals of property and equipment</t>
  </si>
  <si>
    <r>
      <rPr>
        <sz val="8"/>
        <rFont val="Arial"/>
        <family val="2"/>
        <charset val="1"/>
      </rPr>
      <t xml:space="preserve">Total allowable expenses - </t>
    </r>
    <r>
      <rPr>
        <i val="true"/>
        <sz val="8"/>
        <rFont val="Arial"/>
        <family val="2"/>
        <charset val="1"/>
      </rPr>
      <t xml:space="preserve">total of boxes 10 to 18</t>
    </r>
  </si>
  <si>
    <t xml:space="preserve">Net profit or loss</t>
  </si>
  <si>
    <r>
      <rPr>
        <sz val="8"/>
        <rFont val="Arial"/>
        <family val="2"/>
        <charset val="1"/>
      </rPr>
      <t xml:space="preserve">Net profit -</t>
    </r>
    <r>
      <rPr>
        <i val="true"/>
        <sz val="8"/>
        <rFont val="Arial"/>
        <family val="2"/>
        <charset val="1"/>
      </rPr>
      <t xml:space="preserve"> if your business income is more then your</t>
    </r>
  </si>
  <si>
    <r>
      <rPr>
        <sz val="8"/>
        <rFont val="Arial"/>
        <family val="2"/>
        <charset val="1"/>
      </rPr>
      <t xml:space="preserve">Or, net loss -</t>
    </r>
    <r>
      <rPr>
        <i val="true"/>
        <sz val="8"/>
        <rFont val="Arial"/>
        <family val="2"/>
        <charset val="1"/>
      </rPr>
      <t xml:space="preserve"> if your expenses exceed your business</t>
    </r>
  </si>
  <si>
    <t xml:space="preserve">expenses (box 8 + box 9 minus box 19)</t>
  </si>
  <si>
    <t xml:space="preserve">income (box 8 + box 9 minus box 19 is negative)</t>
  </si>
  <si>
    <t xml:space="preserve">Tax allowances for vehicles and equipment (capital allowances)</t>
  </si>
  <si>
    <t xml:space="preserve">There are 'capital' tax allowances for vehicles and equipment used in your business (you should not have included the cost of</t>
  </si>
  <si>
    <r>
      <rPr>
        <sz val="8"/>
        <rFont val="Arial"/>
        <family val="2"/>
        <charset val="1"/>
      </rPr>
      <t xml:space="preserve">these in your business expenses)  Read pages SESN 3 to SEFN 6 of the </t>
    </r>
    <r>
      <rPr>
        <i val="true"/>
        <sz val="8"/>
        <rFont val="Arial"/>
        <family val="2"/>
        <charset val="1"/>
      </rPr>
      <t xml:space="preserve">notes</t>
    </r>
    <r>
      <rPr>
        <sz val="8"/>
        <rFont val="Arial"/>
        <family val="2"/>
        <charset val="1"/>
      </rPr>
      <t xml:space="preserve"> and use the example and Working Sheets to work out</t>
    </r>
  </si>
  <si>
    <t xml:space="preserve">your capital allowances.</t>
  </si>
  <si>
    <t xml:space="preserve">Annual Investment Allowance</t>
  </si>
  <si>
    <t xml:space="preserve">Other Capital Allowances</t>
  </si>
  <si>
    <t xml:space="preserve">Allowance of small balance of unrelieved</t>
  </si>
  <si>
    <t xml:space="preserve">Total balancing charges - where you have disposed of</t>
  </si>
  <si>
    <t xml:space="preserve">expenditure</t>
  </si>
  <si>
    <t xml:space="preserve">items for more than their value</t>
  </si>
  <si>
    <t xml:space="preserve">Calculating your taxable profits</t>
  </si>
  <si>
    <r>
      <rPr>
        <sz val="8"/>
        <rFont val="Arial"/>
        <family val="2"/>
        <charset val="1"/>
      </rPr>
      <t xml:space="preserve">Your taxable profit may not be the same as your net profit. Read page SESN 7 of the </t>
    </r>
    <r>
      <rPr>
        <i val="true"/>
        <sz val="8"/>
        <rFont val="Arial"/>
        <family val="2"/>
        <charset val="1"/>
      </rPr>
      <t xml:space="preserve">notes</t>
    </r>
    <r>
      <rPr>
        <sz val="8"/>
        <rFont val="Arial"/>
        <family val="2"/>
        <charset val="1"/>
      </rPr>
      <t xml:space="preserve"> to see if you need to make any</t>
    </r>
  </si>
  <si>
    <t xml:space="preserve">adjustments and fill in the boxes which apply to arrive at your taxable profit for the year.</t>
  </si>
  <si>
    <r>
      <rPr>
        <sz val="8"/>
        <rFont val="Arial"/>
        <family val="2"/>
        <charset val="1"/>
      </rPr>
      <t xml:space="preserve">Goods and services for your own use - </t>
    </r>
    <r>
      <rPr>
        <i val="true"/>
        <sz val="8"/>
        <rFont val="Arial"/>
        <family val="2"/>
        <charset val="1"/>
      </rPr>
      <t xml:space="preserve">read page</t>
    </r>
  </si>
  <si>
    <t xml:space="preserve">Loss brought forward from earlier years set-off against</t>
  </si>
  <si>
    <t xml:space="preserve">SESN 9 of the notes</t>
  </si>
  <si>
    <r>
      <rPr>
        <sz val="8"/>
        <rFont val="Arial"/>
        <family val="2"/>
        <charset val="1"/>
      </rPr>
      <t xml:space="preserve">this year's profits - </t>
    </r>
    <r>
      <rPr>
        <i val="true"/>
        <sz val="8"/>
        <rFont val="Arial"/>
        <family val="2"/>
        <charset val="1"/>
      </rPr>
      <t xml:space="preserve">up to the amount in box 27</t>
    </r>
  </si>
  <si>
    <t xml:space="preserve">Net business profit for tax purposes (if box 20 + box 25 +</t>
  </si>
  <si>
    <t xml:space="preserve">Any other business income not included in boxes 8 or 9</t>
  </si>
  <si>
    <t xml:space="preserve">box 26 minus boxes 21 to 24) is positive)</t>
  </si>
  <si>
    <t xml:space="preserve"> - for example, Business Start-up Allowance</t>
  </si>
  <si>
    <t xml:space="preserve">Total taxable profits or net business loss</t>
  </si>
  <si>
    <t xml:space="preserve">Total taxable profits from this business</t>
  </si>
  <si>
    <t xml:space="preserve">Net business loss for tax purposes (if boxes 21 to 24</t>
  </si>
  <si>
    <t xml:space="preserve">if box 27 + box 29 minus box 28 is positive</t>
  </si>
  <si>
    <t xml:space="preserve">minus (box 20 + box 25 + box 26) is positive)</t>
  </si>
  <si>
    <t xml:space="preserve">Losses, Class 4 NICs and deductions</t>
  </si>
  <si>
    <r>
      <rPr>
        <sz val="8"/>
        <rFont val="Arial"/>
        <family val="2"/>
        <charset val="1"/>
      </rPr>
      <t xml:space="preserve">If you have made a loss for tax purposes (box 29), read page SESN 7 of the </t>
    </r>
    <r>
      <rPr>
        <i val="true"/>
        <sz val="8"/>
        <rFont val="Arial"/>
        <family val="2"/>
        <charset val="1"/>
      </rPr>
      <t xml:space="preserve">notes</t>
    </r>
    <r>
      <rPr>
        <sz val="8"/>
        <rFont val="Arial"/>
        <family val="2"/>
        <charset val="1"/>
      </rPr>
      <t xml:space="preserve"> and fill in boxes 30 to 32 as appropriate.</t>
    </r>
  </si>
  <si>
    <t xml:space="preserve">Loss from this tax year set-off against other income</t>
  </si>
  <si>
    <t xml:space="preserve">If you are exempt from paying Class 4 NICs, put 'X' in the</t>
  </si>
  <si>
    <t xml:space="preserve">for </t>
  </si>
  <si>
    <r>
      <rPr>
        <sz val="8"/>
        <rFont val="Arial"/>
        <family val="2"/>
        <charset val="1"/>
      </rPr>
      <t xml:space="preserve">box - </t>
    </r>
    <r>
      <rPr>
        <i val="true"/>
        <sz val="8"/>
        <rFont val="Arial"/>
        <family val="2"/>
        <charset val="1"/>
      </rPr>
      <t xml:space="preserve">read page SESN 10 of the notes</t>
    </r>
  </si>
  <si>
    <t xml:space="preserve">Loss to be carried back to previous year(s) and set-off</t>
  </si>
  <si>
    <t xml:space="preserve">If you have been given a Class 4 NICs</t>
  </si>
  <si>
    <t xml:space="preserve">against income (or capital gains)</t>
  </si>
  <si>
    <r>
      <rPr>
        <sz val="8"/>
        <rFont val="Arial"/>
        <family val="2"/>
        <charset val="1"/>
      </rPr>
      <t xml:space="preserve">deferment certificate, put 'X' in the box - </t>
    </r>
    <r>
      <rPr>
        <i val="true"/>
        <sz val="8"/>
        <rFont val="Arial"/>
        <family val="2"/>
        <charset val="1"/>
      </rPr>
      <t xml:space="preserve">read page SESN 10</t>
    </r>
  </si>
  <si>
    <t xml:space="preserve">of the notes</t>
  </si>
  <si>
    <t xml:space="preserve">Total loss to carry forward after all other set-offs</t>
  </si>
  <si>
    <t xml:space="preserve">Deductions on payment and deduction statements from</t>
  </si>
  <si>
    <t xml:space="preserve"> - including unused losses brought forward</t>
  </si>
  <si>
    <r>
      <rPr>
        <sz val="8"/>
        <rFont val="Arial"/>
        <family val="2"/>
        <charset val="1"/>
      </rPr>
      <t xml:space="preserve">contractors -</t>
    </r>
    <r>
      <rPr>
        <i val="true"/>
        <sz val="8"/>
        <rFont val="Arial"/>
        <family val="2"/>
        <charset val="1"/>
      </rPr>
      <t xml:space="preserve"> construction industry subcontractors only</t>
    </r>
  </si>
  <si>
    <t xml:space="preserve">Profit &amp; Loss Account</t>
  </si>
  <si>
    <t xml:space="preserve">Ref</t>
  </si>
  <si>
    <t xml:space="preserve">TOTAL</t>
  </si>
  <si>
    <t xml:space="preserve">VitalTax summary</t>
  </si>
  <si>
    <t xml:space="preserve">Q1</t>
  </si>
  <si>
    <t xml:space="preserve">Q2</t>
  </si>
  <si>
    <t xml:space="preserve">Q3</t>
  </si>
  <si>
    <t xml:space="preserve">Q4</t>
  </si>
  <si>
    <t xml:space="preserve">Annual</t>
  </si>
  <si>
    <t xml:space="preserve">Notes</t>
  </si>
  <si>
    <t xml:space="preserve">Sales Turnover</t>
  </si>
  <si>
    <t xml:space="preserve">Turnover</t>
  </si>
  <si>
    <t xml:space="preserve">Other income</t>
  </si>
  <si>
    <t xml:space="preserve">Cost of sales</t>
  </si>
  <si>
    <t xml:space="preserve">Cost of goods bought</t>
  </si>
  <si>
    <t xml:space="preserve">Other direct costs</t>
  </si>
  <si>
    <t xml:space="preserve">Gross Profit</t>
  </si>
  <si>
    <t xml:space="preserve">Allowable expenses</t>
  </si>
  <si>
    <t xml:space="preserve">Employee costs</t>
  </si>
  <si>
    <t xml:space="preserve">Staff costs</t>
  </si>
  <si>
    <t xml:space="preserve">Premises costs</t>
  </si>
  <si>
    <t xml:space="preserve">Premises running costs</t>
  </si>
  <si>
    <t xml:space="preserve">Repairs</t>
  </si>
  <si>
    <t xml:space="preserve">Maintenance</t>
  </si>
  <si>
    <t xml:space="preserve">General admin expenses</t>
  </si>
  <si>
    <t xml:space="preserve">Admin</t>
  </si>
  <si>
    <t xml:space="preserve">Motor expenses</t>
  </si>
  <si>
    <t xml:space="preserve">Financial charges</t>
  </si>
  <si>
    <t xml:space="preserve">Travel &amp; subsistence</t>
  </si>
  <si>
    <t xml:space="preserve">Travel</t>
  </si>
  <si>
    <t xml:space="preserve">Advertising &amp; promotion</t>
  </si>
  <si>
    <t xml:space="preserve">Advertising</t>
  </si>
  <si>
    <t xml:space="preserve">Legal &amp; professional</t>
  </si>
  <si>
    <t xml:space="preserve">Professional</t>
  </si>
  <si>
    <t xml:space="preserve">Bad debts</t>
  </si>
  <si>
    <t xml:space="preserve">Bad debt</t>
  </si>
  <si>
    <t xml:space="preserve">Interest, finance charges</t>
  </si>
  <si>
    <t xml:space="preserve">Interest</t>
  </si>
  <si>
    <t xml:space="preserve">Other expenses</t>
  </si>
  <si>
    <t xml:space="preserve">Other</t>
  </si>
  <si>
    <t xml:space="preserve">Total Expenses</t>
  </si>
  <si>
    <t xml:space="preserve">CIS payment to subcontractors</t>
  </si>
  <si>
    <t xml:space="preserve">Not captured in DIY Accounting</t>
  </si>
  <si>
    <t xml:space="preserve">Net Profit/Loss</t>
  </si>
  <si>
    <t xml:space="preserve">Business entertainment</t>
  </si>
  <si>
    <t xml:space="preserve">Depreciation</t>
  </si>
  <si>
    <t xml:space="preserve">Less Capital Allowances</t>
  </si>
  <si>
    <t xml:space="preserve">NET TAXABLE PROFIT</t>
  </si>
  <si>
    <t xml:space="preserve">Total allowable expenses </t>
  </si>
  <si>
    <t xml:space="preserve">Any Other Business Income</t>
  </si>
  <si>
    <t xml:space="preserve"> Income Tax</t>
  </si>
  <si>
    <t xml:space="preserve"> National Insurance</t>
  </si>
  <si>
    <t xml:space="preserve">Disallowable expenses</t>
  </si>
  <si>
    <t xml:space="preserve"> Net Income after Tax</t>
  </si>
  <si>
    <t xml:space="preserve">Enter Drawings (optional)</t>
  </si>
  <si>
    <t xml:space="preserve">Travel </t>
  </si>
  <si>
    <t xml:space="preserve">Financial charges </t>
  </si>
  <si>
    <t xml:space="preserve">Bad debt </t>
  </si>
  <si>
    <t xml:space="preserve">TAXATION CALCULATION </t>
  </si>
  <si>
    <t xml:space="preserve">This section an indication and for your information only</t>
  </si>
  <si>
    <t xml:space="preserve">Profit from Self employment</t>
  </si>
  <si>
    <t xml:space="preserve">Minus Personal Allowance</t>
  </si>
  <si>
    <t xml:space="preserve">Total income on which tax is due</t>
  </si>
  <si>
    <t xml:space="preserve">Income Tax first band</t>
  </si>
  <si>
    <t xml:space="preserve">Income Tax second band</t>
  </si>
  <si>
    <t xml:space="preserve">Income Tax payable</t>
  </si>
  <si>
    <t xml:space="preserve">Deductions by contractors</t>
  </si>
  <si>
    <t xml:space="preserve">Amounts Payable by</t>
  </si>
  <si>
    <t xml:space="preserve">Class 4 NI Contribution Lower - Upper profits</t>
  </si>
  <si>
    <t xml:space="preserve">Class 4 NI Contribution Upper profits</t>
  </si>
  <si>
    <t xml:space="preserve">TOTAL Income Tax &amp; NI Liability</t>
  </si>
  <si>
    <t xml:space="preserve">FUTURE TAX LIABILITY (if over £500)</t>
  </si>
  <si>
    <t xml:space="preserve">This section for your information only</t>
  </si>
  <si>
    <t xml:space="preserve">Due Date</t>
  </si>
  <si>
    <t xml:space="preserve">Amount Payable</t>
  </si>
  <si>
    <t xml:space="preserve">Tax &amp; NI Assessment</t>
  </si>
  <si>
    <t xml:space="preserve">Previous Year</t>
  </si>
  <si>
    <t xml:space="preserve">50% Payable</t>
  </si>
  <si>
    <t xml:space="preserve">NOTES:</t>
  </si>
  <si>
    <t xml:space="preserve">Working Tax Credit</t>
  </si>
  <si>
    <t xml:space="preserve">Not taxable and not added to self employment income for tax purposes</t>
  </si>
  <si>
    <t xml:space="preserve">Pension Entitlement</t>
  </si>
  <si>
    <t xml:space="preserve">To receive Full Pension entitlement NI has to be paid 44 years out of 49 years (16 - 65)</t>
  </si>
  <si>
    <t xml:space="preserve">UK residents aged 60 - 65 get 5 years bonus.</t>
  </si>
  <si>
    <t xml:space="preserve">To confirm current NI / Pension entitlement years the helpline number is 0845 3000 168</t>
  </si>
  <si>
    <t xml:space="preserve">Date Asset Purchased</t>
  </si>
  <si>
    <t xml:space="preserve">FIXED ASSETS</t>
  </si>
  <si>
    <t xml:space="preserve">Enter % Personal use of vehicles</t>
  </si>
  <si>
    <t xml:space="preserve">First Year Allow</t>
  </si>
  <si>
    <t xml:space="preserve">Date Asset  Sold</t>
  </si>
  <si>
    <t xml:space="preserve">Asset Description</t>
  </si>
  <si>
    <t xml:space="preserve">Purchase Reference</t>
  </si>
  <si>
    <t xml:space="preserve">Original Cost</t>
  </si>
  <si>
    <r>
      <rPr>
        <sz val="9"/>
        <rFont val="Times New Roman"/>
        <family val="1"/>
        <charset val="1"/>
      </rPr>
      <t xml:space="preserve">Written Down </t>
    </r>
    <r>
      <rPr>
        <b val="true"/>
        <sz val="9"/>
        <rFont val="Times New Roman"/>
        <family val="1"/>
        <charset val="1"/>
      </rPr>
      <t xml:space="preserve">Tax Value</t>
    </r>
  </si>
  <si>
    <t xml:space="preserve">First Year Allowance</t>
  </si>
  <si>
    <t xml:space="preserve">W Down Allowance</t>
  </si>
  <si>
    <r>
      <rPr>
        <sz val="9"/>
        <rFont val="Times New Roman"/>
        <family val="1"/>
        <charset val="1"/>
      </rPr>
      <t xml:space="preserve">Written Down   </t>
    </r>
    <r>
      <rPr>
        <b val="true"/>
        <sz val="9"/>
        <rFont val="Times New Roman"/>
        <family val="1"/>
        <charset val="1"/>
      </rPr>
      <t xml:space="preserve">Tax Value</t>
    </r>
  </si>
  <si>
    <r>
      <rPr>
        <b val="true"/>
        <sz val="9"/>
        <rFont val="Times New Roman"/>
        <family val="1"/>
        <charset val="1"/>
      </rPr>
      <t xml:space="preserve">Sales Value</t>
    </r>
    <r>
      <rPr>
        <sz val="9"/>
        <rFont val="Times New Roman"/>
        <family val="1"/>
        <charset val="1"/>
      </rPr>
      <t xml:space="preserve"> Assets Sold</t>
    </r>
  </si>
  <si>
    <t xml:space="preserve">Capital Allowance</t>
  </si>
  <si>
    <t xml:space="preserve">Balancing Charge</t>
  </si>
  <si>
    <t xml:space="preserve">EXISTING FIXED ASSETS at </t>
  </si>
  <si>
    <t xml:space="preserve">Land &amp; Property</t>
  </si>
  <si>
    <t xml:space="preserve">Existing Land &amp; Property</t>
  </si>
  <si>
    <t xml:space="preserve">Plant &amp; Machinery</t>
  </si>
  <si>
    <t xml:space="preserve">Existing Plant &amp; Machinery</t>
  </si>
  <si>
    <t xml:space="preserve">Fixtures &amp; Fittings</t>
  </si>
  <si>
    <t xml:space="preserve">Existing Fixtures &amp; Fittings</t>
  </si>
  <si>
    <t xml:space="preserve">Computers</t>
  </si>
  <si>
    <t xml:space="preserve">Existing Computers</t>
  </si>
  <si>
    <t xml:space="preserve">Motor Vehicles - costing over £</t>
  </si>
  <si>
    <t xml:space="preserve">Motor Vehicles - costing under £</t>
  </si>
  <si>
    <t xml:space="preserve">Motor Vehicles - Vans &amp; Lorries</t>
  </si>
  <si>
    <t xml:space="preserve">Existing Motor Vehicles</t>
  </si>
  <si>
    <t xml:space="preserve">NEW FIXED ASSETS Bought AFTER </t>
  </si>
  <si>
    <t xml:space="preserve">New Land &amp; Property</t>
  </si>
  <si>
    <t xml:space="preserve">New Plant &amp; Machinery</t>
  </si>
  <si>
    <t xml:space="preserve">New Fixtures &amp; Fittings</t>
  </si>
  <si>
    <t xml:space="preserve">New Computers</t>
  </si>
  <si>
    <t xml:space="preserve">New Motor Vehicles</t>
  </si>
  <si>
    <t xml:space="preserve">Month end   Date</t>
  </si>
  <si>
    <t xml:space="preserve">Physical     Stock Value</t>
  </si>
  <si>
    <t xml:space="preserve">Opening Stock</t>
  </si>
  <si>
    <t xml:space="preserve">Closing Stock</t>
  </si>
  <si>
    <t xml:space="preserve">Sales         Month</t>
  </si>
  <si>
    <t xml:space="preserve">Sales not yet received</t>
  </si>
  <si>
    <t xml:space="preserve">Purchase    Month</t>
  </si>
  <si>
    <t xml:space="preserve">Purchases still   to be paid</t>
  </si>
  <si>
    <t xml:space="preserve">Owed start year</t>
  </si>
  <si>
    <t xml:space="preserve">Amount owed by customers</t>
  </si>
  <si>
    <t xml:space="preserve">Amount owed    to suppliers</t>
  </si>
  <si>
    <t xml:space="preserve">Sales    Date</t>
  </si>
  <si>
    <t xml:space="preserve">Customer Name</t>
  </si>
  <si>
    <t xml:space="preserve">Total for Month</t>
  </si>
  <si>
    <t xml:space="preserve">Sales Invoice or reference</t>
  </si>
  <si>
    <t xml:space="preserve">Receipt record            Cash, Bank deposit, Dr Cr Card</t>
  </si>
  <si>
    <t xml:space="preserve">Sales Mileage</t>
  </si>
  <si>
    <t xml:space="preserve">Gross Sales Value</t>
  </si>
  <si>
    <t xml:space="preserve">Other Income (start up grants)</t>
  </si>
  <si>
    <t xml:space="preserve">Sales Value not yet received</t>
  </si>
  <si>
    <t xml:space="preserve">Number of Days Outstanding</t>
  </si>
  <si>
    <t xml:space="preserve">Sub contractors only</t>
  </si>
  <si>
    <t xml:space="preserve">CIS Tax Deducted</t>
  </si>
  <si>
    <t xml:space="preserve">CIS Certificate reference</t>
  </si>
  <si>
    <t xml:space="preserve">Client A</t>
  </si>
  <si>
    <t xml:space="preserve">Bank</t>
  </si>
  <si>
    <t xml:space="preserve">Client B</t>
  </si>
  <si>
    <t xml:space="preserve">Entries below this line not included in totals</t>
  </si>
  <si>
    <t xml:space="preserve">Mileage to date</t>
  </si>
  <si>
    <t xml:space="preserve">Purchase Date</t>
  </si>
  <si>
    <t xml:space="preserve">Purchase Reference / Invoice Number</t>
  </si>
  <si>
    <t xml:space="preserve">Payment method    Enter cash, cheque no., DD, credit card</t>
  </si>
  <si>
    <t xml:space="preserve"> Enter Expense Code Letter</t>
  </si>
  <si>
    <t xml:space="preserve">Enter Mileage on purchases</t>
  </si>
  <si>
    <t xml:space="preserve">Total Purchase Value incl Vat</t>
  </si>
  <si>
    <t xml:space="preserve">Purchases waiting payment</t>
  </si>
  <si>
    <t xml:space="preserve">Purchases number of days outstanding</t>
  </si>
  <si>
    <t xml:space="preserve">Stock Purchases</t>
  </si>
  <si>
    <t xml:space="preserve">Direct other costs</t>
  </si>
  <si>
    <t xml:space="preserve">Employee Costs</t>
  </si>
  <si>
    <t xml:space="preserve">Premises Costs</t>
  </si>
  <si>
    <t xml:space="preserve">Repairs &amp; Maintenance</t>
  </si>
  <si>
    <t xml:space="preserve">Gen Admin Postage Tel &amp; Stationery</t>
  </si>
  <si>
    <t xml:space="preserve">Motor Expenses</t>
  </si>
  <si>
    <t xml:space="preserve">Travel &amp; Subsistence</t>
  </si>
  <si>
    <t xml:space="preserve">Advertising &amp; Promotion</t>
  </si>
  <si>
    <t xml:space="preserve">Legal &amp; Professional</t>
  </si>
  <si>
    <t xml:space="preserve">Bad      Debts</t>
  </si>
  <si>
    <t xml:space="preserve">Bank Interest Charges</t>
  </si>
  <si>
    <t xml:space="preserve">Other Expenses</t>
  </si>
  <si>
    <t xml:space="preserve">Fixed Assets (items over £100)</t>
  </si>
  <si>
    <t xml:space="preserve">Contractors </t>
  </si>
  <si>
    <t xml:space="preserve">CIS Certificates</t>
  </si>
  <si>
    <t xml:space="preserve">m</t>
  </si>
  <si>
    <t xml:space="preserve">S</t>
  </si>
  <si>
    <t xml:space="preserve">D</t>
  </si>
  <si>
    <t xml:space="preserve">E</t>
  </si>
  <si>
    <t xml:space="preserve">P</t>
  </si>
  <si>
    <t xml:space="preserve">R</t>
  </si>
  <si>
    <t xml:space="preserve">G</t>
  </si>
  <si>
    <t xml:space="preserve">M</t>
  </si>
  <si>
    <t xml:space="preserve">T</t>
  </si>
  <si>
    <t xml:space="preserve">A</t>
  </si>
  <si>
    <t xml:space="preserve">L</t>
  </si>
  <si>
    <t xml:space="preserve">B</t>
  </si>
  <si>
    <t xml:space="preserve">I</t>
  </si>
  <si>
    <t xml:space="preserve">O</t>
  </si>
  <si>
    <t xml:space="preserve">F</t>
  </si>
  <si>
    <t xml:space="preserve">Tax Paid</t>
  </si>
  <si>
    <t xml:space="preserve">Certificate No</t>
  </si>
  <si>
    <t xml:space="preserve">Landlord</t>
  </si>
  <si>
    <t xml:space="preserve">DD</t>
  </si>
  <si>
    <t xml:space="preserve">p</t>
  </si>
  <si>
    <t xml:space="preserve">BT</t>
  </si>
  <si>
    <t xml:space="preserve">g</t>
  </si>
  <si>
    <t xml:space="preserve">Hiscox</t>
  </si>
  <si>
    <t xml:space="preserve">l</t>
  </si>
  <si>
    <t xml:space="preserve">Client C</t>
  </si>
  <si>
    <t xml:space="preserve">Enter Mileage</t>
  </si>
  <si>
    <t xml:space="preserve">Apple</t>
  </si>
  <si>
    <t xml:space="preserve">f</t>
  </si>
  <si>
    <t xml:space="preserve">Accountant</t>
  </si>
  <si>
    <t xml:space="preserve">Dates</t>
  </si>
  <si>
    <t xml:space="preserve">Capital Tax Allowances </t>
  </si>
  <si>
    <t xml:space="preserve">Income Tax Rates</t>
  </si>
  <si>
    <t xml:space="preserve">Personal allowance</t>
  </si>
  <si>
    <t xml:space="preserve">Writing down allowance</t>
  </si>
  <si>
    <t xml:space="preserve">Starting tax rate on lower tax band</t>
  </si>
  <si>
    <t xml:space="preserve">%</t>
  </si>
  <si>
    <t xml:space="preserve">Allowances restricted on Motor vehicles</t>
  </si>
  <si>
    <t xml:space="preserve">Basic rate applicable on taxable income up to higher rate</t>
  </si>
  <si>
    <t xml:space="preserve">Costing over </t>
  </si>
  <si>
    <t xml:space="preserve">Restricted to</t>
  </si>
  <si>
    <t xml:space="preserve">Higher rate applicable on taxable income over higher rate</t>
  </si>
  <si>
    <t xml:space="preserve">Taxable Bands Allowances</t>
  </si>
  <si>
    <t xml:space="preserve">Start Level</t>
  </si>
  <si>
    <t xml:space="preserve"> End Level</t>
  </si>
  <si>
    <t xml:space="preserve"> Tax Band </t>
  </si>
  <si>
    <t xml:space="preserve">Depreciation Rates Applied</t>
  </si>
  <si>
    <t xml:space="preserve">Starter rate</t>
  </si>
  <si>
    <t xml:space="preserve">Basic rate</t>
  </si>
  <si>
    <t xml:space="preserve">Higher rate</t>
  </si>
  <si>
    <t xml:space="preserve">National Insurance rates</t>
  </si>
  <si>
    <t xml:space="preserve">Computer Equipment</t>
  </si>
  <si>
    <t xml:space="preserve">Motor Vehicles</t>
  </si>
  <si>
    <t xml:space="preserve">NI Class 2 rate</t>
  </si>
  <si>
    <t xml:space="preserve">Above Lower Profits Threshold (LPT)</t>
  </si>
  <si>
    <t xml:space="preserve">Mileage Allowances</t>
  </si>
  <si>
    <t xml:space="preserve">Miles</t>
  </si>
  <si>
    <t xml:space="preserve">p per mile</t>
  </si>
  <si>
    <t xml:space="preserve">NI Class 4 rate between lower profits and upper profits limit</t>
  </si>
  <si>
    <t xml:space="preserve">NIC class 4 lower limit</t>
  </si>
  <si>
    <t xml:space="preserve">Higher rate allowance up to</t>
  </si>
  <si>
    <t xml:space="preserve">Lower rate allowance over</t>
  </si>
  <si>
    <t xml:space="preserve">NI Class 4 rate above upper profits limit</t>
  </si>
  <si>
    <t xml:space="preserve">NIC class 4 upper limit</t>
  </si>
  <si>
    <t xml:space="preserve">2022-23</t>
  </si>
  <si>
    <t xml:space="preserve">2023-24</t>
  </si>
  <si>
    <t xml:space="preserve">VAT</t>
  </si>
  <si>
    <t xml:space="preserve">VAT Registration threshold</t>
  </si>
</sst>
</file>

<file path=xl/styles.xml><?xml version="1.0" encoding="utf-8"?>
<styleSheet xmlns="http://schemas.openxmlformats.org/spreadsheetml/2006/main">
  <numFmts count="17">
    <numFmt numFmtId="164" formatCode="General"/>
    <numFmt numFmtId="165" formatCode="m/d/yyyy"/>
    <numFmt numFmtId="166" formatCode="General"/>
    <numFmt numFmtId="167" formatCode="mmm\-yy"/>
    <numFmt numFmtId="168" formatCode="[$-F800]dddd&quot;, &quot;mmmm\ dd&quot;, &quot;yyyy"/>
    <numFmt numFmtId="169" formatCode="dd/mm/yyyy;@"/>
    <numFmt numFmtId="170" formatCode="#,##0"/>
    <numFmt numFmtId="171" formatCode="0"/>
    <numFmt numFmtId="172" formatCode="d\-mmm\-yy"/>
    <numFmt numFmtId="173" formatCode="0.00_ ;[RED]\-0.00\ "/>
    <numFmt numFmtId="174" formatCode="#,##0_ ;[RED]\-#,##0\ "/>
    <numFmt numFmtId="175" formatCode="#,##0.00"/>
    <numFmt numFmtId="176" formatCode="0.00"/>
    <numFmt numFmtId="177" formatCode="#,##0.00_ ;[RED]\-#,##0.00\ "/>
    <numFmt numFmtId="178" formatCode="0_ ;[RED]\-0\ "/>
    <numFmt numFmtId="179" formatCode="0%"/>
    <numFmt numFmtId="180" formatCode="0.00%"/>
  </numFmts>
  <fonts count="38">
    <font>
      <sz val="10"/>
      <name val="Arial"/>
      <family val="0"/>
      <charset val="1"/>
    </font>
    <font>
      <sz val="10"/>
      <name val="Arial"/>
      <family val="0"/>
    </font>
    <font>
      <sz val="10"/>
      <name val="Arial"/>
      <family val="0"/>
    </font>
    <font>
      <sz val="10"/>
      <name val="Arial"/>
      <family val="0"/>
    </font>
    <font>
      <sz val="10"/>
      <name val="Arial"/>
      <family val="2"/>
      <charset val="1"/>
    </font>
    <font>
      <b val="true"/>
      <sz val="10"/>
      <name val="Arial"/>
      <family val="2"/>
      <charset val="1"/>
    </font>
    <font>
      <sz val="10"/>
      <color rgb="FFFFFFFF"/>
      <name val="Arial"/>
      <family val="2"/>
      <charset val="1"/>
    </font>
    <font>
      <i val="true"/>
      <sz val="10"/>
      <name val="Arial"/>
      <family val="2"/>
      <charset val="1"/>
    </font>
    <font>
      <b val="true"/>
      <i val="true"/>
      <sz val="10"/>
      <name val="Arial"/>
      <family val="2"/>
      <charset val="1"/>
    </font>
    <font>
      <u val="single"/>
      <sz val="10"/>
      <color rgb="FF0000FF"/>
      <name val="Arial"/>
      <family val="2"/>
      <charset val="1"/>
    </font>
    <font>
      <sz val="9"/>
      <name val="Arial"/>
      <family val="2"/>
      <charset val="1"/>
    </font>
    <font>
      <b val="true"/>
      <sz val="9"/>
      <name val="Arial"/>
      <family val="2"/>
      <charset val="1"/>
    </font>
    <font>
      <i val="true"/>
      <sz val="9"/>
      <name val="Arial"/>
      <family val="2"/>
      <charset val="1"/>
    </font>
    <font>
      <sz val="8"/>
      <name val="Arial"/>
      <family val="2"/>
      <charset val="1"/>
    </font>
    <font>
      <b val="true"/>
      <sz val="11"/>
      <name val="Arial"/>
      <family val="2"/>
      <charset val="1"/>
    </font>
    <font>
      <i val="true"/>
      <sz val="8"/>
      <name val="Arial"/>
      <family val="2"/>
      <charset val="1"/>
    </font>
    <font>
      <b val="true"/>
      <sz val="14"/>
      <name val="Arial"/>
      <family val="2"/>
      <charset val="1"/>
    </font>
    <font>
      <b val="true"/>
      <sz val="8"/>
      <name val="Arial"/>
      <family val="2"/>
      <charset val="1"/>
    </font>
    <font>
      <sz val="10"/>
      <color rgb="FF3366FF"/>
      <name val="Arial"/>
      <family val="2"/>
      <charset val="1"/>
    </font>
    <font>
      <b val="true"/>
      <sz val="12"/>
      <name val="Arial"/>
      <family val="2"/>
      <charset val="1"/>
    </font>
    <font>
      <i val="true"/>
      <sz val="8"/>
      <color rgb="FF0000FF"/>
      <name val="Arial"/>
      <family val="2"/>
      <charset val="1"/>
    </font>
    <font>
      <b val="true"/>
      <sz val="14"/>
      <color rgb="FF333399"/>
      <name val="Arial"/>
      <family val="2"/>
      <charset val="1"/>
    </font>
    <font>
      <b val="true"/>
      <sz val="8"/>
      <color rgb="FFFF6600"/>
      <name val="Arial"/>
      <family val="2"/>
      <charset val="1"/>
    </font>
    <font>
      <b val="true"/>
      <sz val="16"/>
      <color rgb="FF333399"/>
      <name val="Arial"/>
      <family val="2"/>
      <charset val="1"/>
    </font>
    <font>
      <b val="true"/>
      <sz val="10"/>
      <color rgb="FF333399"/>
      <name val="Arial"/>
      <family val="2"/>
      <charset val="1"/>
    </font>
    <font>
      <sz val="12"/>
      <name val="Arial"/>
      <family val="2"/>
      <charset val="1"/>
    </font>
    <font>
      <sz val="11"/>
      <color rgb="FF3366FF"/>
      <name val="Arial"/>
      <family val="2"/>
      <charset val="1"/>
    </font>
    <font>
      <sz val="10"/>
      <name val="Times New Roman"/>
      <family val="1"/>
      <charset val="1"/>
    </font>
    <font>
      <b val="true"/>
      <sz val="10"/>
      <name val="Times New Roman"/>
      <family val="1"/>
      <charset val="1"/>
    </font>
    <font>
      <sz val="10"/>
      <color rgb="FFFF0000"/>
      <name val="Times New Roman"/>
      <family val="1"/>
      <charset val="1"/>
    </font>
    <font>
      <sz val="9"/>
      <name val="Times New Roman"/>
      <family val="1"/>
      <charset val="1"/>
    </font>
    <font>
      <sz val="10"/>
      <color rgb="FF0000FF"/>
      <name val="Times New Roman"/>
      <family val="1"/>
      <charset val="1"/>
    </font>
    <font>
      <b val="true"/>
      <sz val="10"/>
      <color rgb="FF0000FF"/>
      <name val="Times New Roman"/>
      <family val="1"/>
      <charset val="1"/>
    </font>
    <font>
      <b val="true"/>
      <i val="true"/>
      <sz val="10"/>
      <name val="Times New Roman"/>
      <family val="1"/>
      <charset val="1"/>
    </font>
    <font>
      <b val="true"/>
      <sz val="9"/>
      <name val="Times New Roman"/>
      <family val="1"/>
      <charset val="1"/>
    </font>
    <font>
      <sz val="8"/>
      <name val="Times New Roman"/>
      <family val="1"/>
      <charset val="1"/>
    </font>
    <font>
      <b val="true"/>
      <sz val="8"/>
      <name val="Times New Roman"/>
      <family val="1"/>
      <charset val="1"/>
    </font>
    <font>
      <b val="true"/>
      <i val="true"/>
      <sz val="8"/>
      <name val="Times New Roman"/>
      <family val="1"/>
      <charset val="1"/>
    </font>
  </fonts>
  <fills count="6">
    <fill>
      <patternFill patternType="none"/>
    </fill>
    <fill>
      <patternFill patternType="gray125"/>
    </fill>
    <fill>
      <patternFill patternType="solid">
        <fgColor rgb="FFFFFF99"/>
        <bgColor rgb="FFFFFFCC"/>
      </patternFill>
    </fill>
    <fill>
      <patternFill patternType="solid">
        <fgColor rgb="FFFFFFCC"/>
        <bgColor rgb="FFFFFFFF"/>
      </patternFill>
    </fill>
    <fill>
      <patternFill patternType="solid">
        <fgColor rgb="FFFF9900"/>
        <bgColor rgb="FFFFCC00"/>
      </patternFill>
    </fill>
    <fill>
      <patternFill patternType="solid">
        <fgColor rgb="FFCCFFFF"/>
        <bgColor rgb="FFCCFFFF"/>
      </patternFill>
    </fill>
  </fills>
  <borders count="43">
    <border diagonalUp="false" diagonalDown="false">
      <left/>
      <right/>
      <top/>
      <bottom/>
      <diagonal/>
    </border>
    <border diagonalUp="false" diagonalDown="false">
      <left style="thin">
        <color rgb="FF00CCFF"/>
      </left>
      <right style="thin">
        <color rgb="FF00CCFF"/>
      </right>
      <top style="thin">
        <color rgb="FF00CCFF"/>
      </top>
      <bottom style="thin">
        <color rgb="FF00CCFF"/>
      </bottom>
      <diagonal/>
    </border>
    <border diagonalUp="false" diagonalDown="false">
      <left style="thin">
        <color rgb="FF00CCFF"/>
      </left>
      <right/>
      <top style="thin">
        <color rgb="FF00CCFF"/>
      </top>
      <bottom/>
      <diagonal/>
    </border>
    <border diagonalUp="false" diagonalDown="false">
      <left/>
      <right/>
      <top style="thin">
        <color rgb="FF00CCFF"/>
      </top>
      <bottom/>
      <diagonal/>
    </border>
    <border diagonalUp="false" diagonalDown="false">
      <left/>
      <right style="thin">
        <color rgb="FF00CCFF"/>
      </right>
      <top style="thin">
        <color rgb="FF00CCFF"/>
      </top>
      <bottom/>
      <diagonal/>
    </border>
    <border diagonalUp="false" diagonalDown="false">
      <left style="thin">
        <color rgb="FF00CCFF"/>
      </left>
      <right/>
      <top/>
      <bottom/>
      <diagonal/>
    </border>
    <border diagonalUp="false" diagonalDown="false">
      <left/>
      <right style="thin">
        <color rgb="FF00CCFF"/>
      </right>
      <top/>
      <bottom/>
      <diagonal/>
    </border>
    <border diagonalUp="false" diagonalDown="false">
      <left style="thin">
        <color rgb="FF99CCFF"/>
      </left>
      <right style="thin">
        <color rgb="FF99CCFF"/>
      </right>
      <top style="thin">
        <color rgb="FF99CCFF"/>
      </top>
      <bottom style="thin">
        <color rgb="FF99CCFF"/>
      </bottom>
      <diagonal/>
    </border>
    <border diagonalUp="false" diagonalDown="false">
      <left/>
      <right style="thin">
        <color rgb="FF99CCFF"/>
      </right>
      <top/>
      <bottom/>
      <diagonal/>
    </border>
    <border diagonalUp="false" diagonalDown="false">
      <left style="thin">
        <color rgb="FF99CCFF"/>
      </left>
      <right/>
      <top/>
      <bottom/>
      <diagonal/>
    </border>
    <border diagonalUp="false" diagonalDown="false">
      <left style="thin">
        <color rgb="FF99CCFF"/>
      </left>
      <right/>
      <top/>
      <bottom style="thin">
        <color rgb="FF99CCFF"/>
      </bottom>
      <diagonal/>
    </border>
    <border diagonalUp="false" diagonalDown="false">
      <left/>
      <right/>
      <top/>
      <bottom style="thin">
        <color rgb="FF99CCFF"/>
      </bottom>
      <diagonal/>
    </border>
    <border diagonalUp="false" diagonalDown="false">
      <left/>
      <right style="thin">
        <color rgb="FF99CCFF"/>
      </right>
      <top/>
      <bottom style="thin">
        <color rgb="FF99CCFF"/>
      </bottom>
      <diagonal/>
    </border>
    <border diagonalUp="false" diagonalDown="false">
      <left/>
      <right/>
      <top/>
      <bottom style="thin">
        <color rgb="FF00CCFF"/>
      </bottom>
      <diagonal/>
    </border>
    <border diagonalUp="false" diagonalDown="false">
      <left style="thin">
        <color rgb="FF00CCFF"/>
      </left>
      <right/>
      <top/>
      <bottom style="thin">
        <color rgb="FF00CCFF"/>
      </bottom>
      <diagonal/>
    </border>
    <border diagonalUp="false" diagonalDown="false">
      <left/>
      <right style="thin">
        <color rgb="FF00CCFF"/>
      </right>
      <top/>
      <bottom style="thin">
        <color rgb="FF00CCFF"/>
      </bottom>
      <diagonal/>
    </border>
    <border diagonalUp="false" diagonalDown="false">
      <left style="thin">
        <color rgb="FF99CCFF"/>
      </left>
      <right/>
      <top style="thin">
        <color rgb="FF99CCFF"/>
      </top>
      <bottom/>
      <diagonal/>
    </border>
    <border diagonalUp="false" diagonalDown="false">
      <left/>
      <right/>
      <top style="thin">
        <color rgb="FF99CCFF"/>
      </top>
      <bottom/>
      <diagonal/>
    </border>
    <border diagonalUp="false" diagonalDown="false">
      <left/>
      <right style="thin">
        <color rgb="FF99CCFF"/>
      </right>
      <top style="thin">
        <color rgb="FF99CCFF"/>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style="thin"/>
      <right style="thin"/>
      <top style="thin"/>
      <bottom style="medium"/>
      <diagonal/>
    </border>
    <border diagonalUp="false" diagonalDown="false">
      <left/>
      <right/>
      <top style="thin"/>
      <bottom style="medium"/>
      <diagonal/>
    </border>
    <border diagonalUp="false" diagonalDown="false">
      <left/>
      <right/>
      <top/>
      <bottom style="thin"/>
      <diagonal/>
    </border>
    <border diagonalUp="false" diagonalDown="false">
      <left/>
      <right/>
      <top style="thin"/>
      <bottom style="double"/>
      <diagonal/>
    </border>
    <border diagonalUp="false" diagonalDown="false">
      <left style="medium"/>
      <right style="medium"/>
      <top style="medium"/>
      <bottom style="medium"/>
      <diagonal/>
    </border>
    <border diagonalUp="false" diagonalDown="false">
      <left/>
      <right/>
      <top style="thin"/>
      <bottom style="thin"/>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right style="thin"/>
      <top style="thin"/>
      <bottom style="thin"/>
      <diagonal/>
    </border>
    <border diagonalUp="false" diagonalDown="false">
      <left style="thin"/>
      <right style="thin"/>
      <top style="medium"/>
      <bottom style="thin"/>
      <diagonal/>
    </border>
    <border diagonalUp="false" diagonalDown="false">
      <left style="thin"/>
      <right style="thin"/>
      <top style="medium"/>
      <bottom/>
      <diagonal/>
    </border>
    <border diagonalUp="false" diagonalDown="false">
      <left/>
      <right style="medium"/>
      <top style="medium"/>
      <bottom/>
      <diagonal/>
    </border>
    <border diagonalUp="false" diagonalDown="false">
      <left/>
      <right style="medium"/>
      <top/>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style="medium"/>
      <top style="medium"/>
      <bottom/>
      <diagonal/>
    </border>
    <border diagonalUp="false" diagonalDown="false">
      <left style="medium"/>
      <right style="medium"/>
      <top/>
      <bottom style="medium"/>
      <diagonal/>
    </border>
    <border diagonalUp="false" diagonalDown="false">
      <left style="thin"/>
      <right style="thin"/>
      <top/>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9"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cellStyleXfs>
  <cellXfs count="432">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center"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7" fillId="2" borderId="0" xfId="0" applyFont="true" applyBorder="true" applyAlignment="true" applyProtection="false">
      <alignment horizontal="left" vertical="bottom" textRotation="0" wrapText="tru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6" fontId="9" fillId="2" borderId="0" xfId="20" applyFont="true" applyBorder="true" applyAlignment="true" applyProtection="true">
      <alignment horizontal="general" vertical="bottom" textRotation="0" wrapText="false" indent="0" shrinkToFit="false"/>
      <protection locked="true" hidden="false"/>
    </xf>
    <xf numFmtId="167" fontId="9" fillId="2" borderId="0" xfId="20" applyFont="true" applyBorder="true" applyAlignment="true" applyProtection="tru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left" vertical="center" textRotation="0" wrapText="false" indent="1" shrinkToFit="false"/>
      <protection locked="true" hidden="false"/>
    </xf>
    <xf numFmtId="164" fontId="10" fillId="3" borderId="2" xfId="0" applyFont="true" applyBorder="true" applyAlignment="false" applyProtection="false">
      <alignment horizontal="general" vertical="bottom" textRotation="0" wrapText="false" indent="0" shrinkToFit="false"/>
      <protection locked="true" hidden="false"/>
    </xf>
    <xf numFmtId="164" fontId="10" fillId="3" borderId="3" xfId="0" applyFont="true" applyBorder="true" applyAlignment="false" applyProtection="false">
      <alignment horizontal="general" vertical="bottom" textRotation="0" wrapText="false" indent="0" shrinkToFit="false"/>
      <protection locked="true" hidden="false"/>
    </xf>
    <xf numFmtId="164" fontId="10" fillId="3" borderId="4" xfId="0" applyFont="true" applyBorder="true" applyAlignment="false" applyProtection="false">
      <alignment horizontal="general" vertical="bottom" textRotation="0" wrapText="false" indent="0" shrinkToFit="false"/>
      <protection locked="true" hidden="false"/>
    </xf>
    <xf numFmtId="164" fontId="10" fillId="3" borderId="5" xfId="0" applyFont="true" applyBorder="true" applyAlignment="false" applyProtection="false">
      <alignment horizontal="general" vertical="bottom" textRotation="0" wrapText="fals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13" fillId="3" borderId="0" xfId="0" applyFont="true" applyBorder="false" applyAlignment="false" applyProtection="false">
      <alignment horizontal="general" vertical="bottom" textRotation="0" wrapText="false" indent="0" shrinkToFit="false"/>
      <protection locked="true" hidden="false"/>
    </xf>
    <xf numFmtId="164" fontId="13" fillId="3" borderId="6" xfId="0" applyFont="true" applyBorder="true" applyAlignment="false" applyProtection="false">
      <alignment horizontal="general" vertical="bottom" textRotation="0" wrapText="false" indent="0" shrinkToFit="false"/>
      <protection locked="true" hidden="false"/>
    </xf>
    <xf numFmtId="164" fontId="10" fillId="0" borderId="7" xfId="0" applyFont="true" applyBorder="true" applyAlignment="true" applyProtection="false">
      <alignment horizontal="general" vertical="center" textRotation="0" wrapText="false" indent="0" shrinkToFit="false"/>
      <protection locked="true" hidden="false"/>
    </xf>
    <xf numFmtId="164" fontId="14" fillId="0" borderId="7" xfId="0" applyFont="true" applyBorder="true" applyAlignment="true" applyProtection="false">
      <alignment horizontal="center" vertical="center" textRotation="0" wrapText="false" indent="0" shrinkToFit="false"/>
      <protection locked="true" hidden="false"/>
    </xf>
    <xf numFmtId="164" fontId="10" fillId="3" borderId="6" xfId="0" applyFont="true" applyBorder="true" applyAlignment="false" applyProtection="false">
      <alignment horizontal="general" vertical="bottom" textRotation="0" wrapText="false" indent="0" shrinkToFit="false"/>
      <protection locked="true" hidden="false"/>
    </xf>
    <xf numFmtId="164" fontId="13" fillId="0" borderId="7" xfId="0" applyFont="true" applyBorder="true" applyAlignment="false" applyProtection="false">
      <alignment horizontal="general" vertical="bottom" textRotation="0" wrapText="false" indent="0" shrinkToFit="false"/>
      <protection locked="true" hidden="false"/>
    </xf>
    <xf numFmtId="168" fontId="13"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13" fillId="3" borderId="8" xfId="0" applyFont="true" applyBorder="true" applyAlignment="false" applyProtection="false">
      <alignment horizontal="general" vertical="bottom" textRotation="0" wrapText="false" indent="0" shrinkToFit="false"/>
      <protection locked="true" hidden="false"/>
    </xf>
    <xf numFmtId="164" fontId="10" fillId="3" borderId="9" xfId="0" applyFont="true" applyBorder="true" applyAlignment="false" applyProtection="false">
      <alignment horizontal="general" vertical="bottom" textRotation="0" wrapText="false" indent="0" shrinkToFit="false"/>
      <protection locked="true" hidden="false"/>
    </xf>
    <xf numFmtId="164" fontId="13" fillId="3" borderId="0" xfId="0" applyFont="true" applyBorder="false" applyAlignment="true" applyProtection="false">
      <alignment horizontal="general" vertical="center" textRotation="0" wrapText="false" indent="0" shrinkToFit="false"/>
      <protection locked="true" hidden="false"/>
    </xf>
    <xf numFmtId="164" fontId="10" fillId="3" borderId="0" xfId="0" applyFont="true" applyBorder="false" applyAlignment="true" applyProtection="false">
      <alignment horizontal="general" vertical="center" textRotation="0" wrapText="false" indent="0" shrinkToFit="false"/>
      <protection locked="true" hidden="false"/>
    </xf>
    <xf numFmtId="164" fontId="10" fillId="3" borderId="8" xfId="0" applyFont="tru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true" applyProtection="false">
      <alignment horizontal="center" vertical="bottom" textRotation="0" wrapText="false" indent="0" shrinkToFit="false"/>
      <protection locked="true" hidden="false"/>
    </xf>
    <xf numFmtId="168" fontId="13" fillId="3" borderId="0" xfId="0" applyFont="true" applyBorder="true" applyAlignment="true" applyProtection="false">
      <alignment horizontal="left" vertical="bottom" textRotation="0" wrapText="false" indent="0" shrinkToFit="false"/>
      <protection locked="true" hidden="false"/>
    </xf>
    <xf numFmtId="164" fontId="13" fillId="3" borderId="0" xfId="0" applyFont="true" applyBorder="true" applyAlignment="true" applyProtection="false">
      <alignment horizontal="general" vertical="center" textRotation="0" wrapText="false" indent="0" shrinkToFit="false"/>
      <protection locked="true" hidden="false"/>
    </xf>
    <xf numFmtId="164" fontId="13" fillId="3" borderId="8" xfId="0" applyFont="true" applyBorder="true" applyAlignment="true" applyProtection="false">
      <alignment horizontal="general" vertical="center" textRotation="0" wrapText="false" indent="0" shrinkToFit="false"/>
      <protection locked="true" hidden="false"/>
    </xf>
    <xf numFmtId="169" fontId="14" fillId="0" borderId="7" xfId="0" applyFont="true" applyBorder="true" applyAlignment="true" applyProtection="false">
      <alignment horizontal="center" vertical="center" textRotation="0" wrapText="false" indent="0" shrinkToFit="false"/>
      <protection locked="true" hidden="false"/>
    </xf>
    <xf numFmtId="164" fontId="10" fillId="0" borderId="7" xfId="0" applyFont="true" applyBorder="true" applyAlignment="true" applyProtection="false">
      <alignment horizontal="right" vertical="bottom" textRotation="0" wrapText="false" indent="0" shrinkToFit="false"/>
      <protection locked="true" hidden="false"/>
    </xf>
    <xf numFmtId="164" fontId="10" fillId="0" borderId="7" xfId="0" applyFont="true" applyBorder="true" applyAlignment="true" applyProtection="false">
      <alignment horizontal="left" vertical="bottom" textRotation="0" wrapText="false" indent="0" shrinkToFit="false"/>
      <protection locked="true" hidden="false"/>
    </xf>
    <xf numFmtId="164" fontId="15" fillId="3" borderId="0" xfId="0" applyFont="true" applyBorder="false" applyAlignment="false" applyProtection="false">
      <alignment horizontal="general" vertical="bottom" textRotation="0" wrapText="false" indent="0" shrinkToFit="false"/>
      <protection locked="true" hidden="false"/>
    </xf>
    <xf numFmtId="164" fontId="16" fillId="0" borderId="7" xfId="0" applyFont="true" applyBorder="true" applyAlignment="true" applyProtection="false">
      <alignment horizontal="center" vertical="bottom" textRotation="0" wrapText="false" indent="0" shrinkToFit="false"/>
      <protection locked="true" hidden="false"/>
    </xf>
    <xf numFmtId="164" fontId="15" fillId="3" borderId="0" xfId="0" applyFont="true" applyBorder="false" applyAlignment="true" applyProtection="false">
      <alignment horizontal="general" vertical="center" textRotation="0" wrapText="false" indent="0" shrinkToFit="false"/>
      <protection locked="true" hidden="false"/>
    </xf>
    <xf numFmtId="164" fontId="17" fillId="3" borderId="0" xfId="0" applyFont="true" applyBorder="false" applyAlignment="false" applyProtection="false">
      <alignment horizontal="general" vertical="bottom" textRotation="0" wrapText="false" indent="0" shrinkToFit="false"/>
      <protection locked="true" hidden="false"/>
    </xf>
    <xf numFmtId="164" fontId="18" fillId="3" borderId="7" xfId="0" applyFont="true" applyBorder="true" applyAlignment="true" applyProtection="false">
      <alignment horizontal="center" vertical="center" textRotation="0" wrapText="false" indent="0" shrinkToFit="false"/>
      <protection locked="true" hidden="false"/>
    </xf>
    <xf numFmtId="170" fontId="14" fillId="0" borderId="7" xfId="0" applyFont="true" applyBorder="true" applyAlignment="true" applyProtection="false">
      <alignment horizontal="general" vertical="center" textRotation="0" wrapText="false" indent="0" shrinkToFit="false"/>
      <protection locked="true" hidden="false"/>
    </xf>
    <xf numFmtId="164" fontId="19" fillId="3" borderId="0" xfId="0" applyFont="true" applyBorder="false" applyAlignment="true" applyProtection="false">
      <alignment horizontal="center" vertical="center" textRotation="0" wrapText="false" indent="0" shrinkToFit="false"/>
      <protection locked="true" hidden="false"/>
    </xf>
    <xf numFmtId="171" fontId="18" fillId="3" borderId="7" xfId="0" applyFont="true" applyBorder="true" applyAlignment="true" applyProtection="false">
      <alignment horizontal="center" vertical="center" textRotation="0" wrapText="false" indent="0" shrinkToFit="false"/>
      <protection locked="true" hidden="false"/>
    </xf>
    <xf numFmtId="164" fontId="18" fillId="3" borderId="0" xfId="0" applyFont="true" applyBorder="false" applyAlignment="true" applyProtection="false">
      <alignment horizontal="center" vertical="center" textRotation="0" wrapText="false" indent="0" shrinkToFit="false"/>
      <protection locked="true" hidden="false"/>
    </xf>
    <xf numFmtId="170" fontId="14" fillId="3" borderId="0" xfId="0" applyFont="true" applyBorder="false" applyAlignment="true" applyProtection="false">
      <alignment horizontal="general" vertical="center" textRotation="0" wrapText="false" indent="0" shrinkToFit="false"/>
      <protection locked="true" hidden="false"/>
    </xf>
    <xf numFmtId="171" fontId="18" fillId="3" borderId="0" xfId="0" applyFont="true" applyBorder="false" applyAlignment="true" applyProtection="false">
      <alignment horizontal="center" vertical="center" textRotation="0" wrapText="false" indent="0" shrinkToFit="false"/>
      <protection locked="true" hidden="false"/>
    </xf>
    <xf numFmtId="164" fontId="10" fillId="3" borderId="8" xfId="0" applyFont="true" applyBorder="tru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xf numFmtId="164" fontId="20" fillId="3" borderId="0" xfId="0" applyFont="true" applyBorder="false" applyAlignment="true" applyProtection="false">
      <alignment horizontal="general" vertical="center" textRotation="0" wrapText="false" indent="0" shrinkToFit="false"/>
      <protection locked="true" hidden="false"/>
    </xf>
    <xf numFmtId="170" fontId="14" fillId="3" borderId="7" xfId="0" applyFont="true" applyBorder="true" applyAlignment="true" applyProtection="false">
      <alignment horizontal="general" vertical="center" textRotation="0" wrapText="false" indent="0" shrinkToFit="false"/>
      <protection locked="true" hidden="false"/>
    </xf>
    <xf numFmtId="164" fontId="10" fillId="3" borderId="10" xfId="0" applyFont="true" applyBorder="true" applyAlignment="false" applyProtection="false">
      <alignment horizontal="general" vertical="bottom" textRotation="0" wrapText="false" indent="0" shrinkToFit="false"/>
      <protection locked="true" hidden="false"/>
    </xf>
    <xf numFmtId="164" fontId="10" fillId="3" borderId="11" xfId="0" applyFont="true" applyBorder="true" applyAlignment="false" applyProtection="false">
      <alignment horizontal="general" vertical="bottom" textRotation="0" wrapText="false" indent="0" shrinkToFit="false"/>
      <protection locked="true" hidden="false"/>
    </xf>
    <xf numFmtId="164" fontId="10" fillId="3" borderId="12"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true">
      <alignment horizontal="general" vertical="bottom" textRotation="0" wrapText="false" indent="0" shrinkToFit="false"/>
      <protection locked="true" hidden="true"/>
    </xf>
    <xf numFmtId="164" fontId="21" fillId="0" borderId="0" xfId="0" applyFont="true" applyBorder="true" applyAlignment="true" applyProtection="true">
      <alignment horizontal="center" vertical="center" textRotation="0" wrapText="true" indent="0" shrinkToFit="false"/>
      <protection locked="true" hidden="true"/>
    </xf>
    <xf numFmtId="166" fontId="22" fillId="0" borderId="0" xfId="0" applyFont="true" applyBorder="true" applyAlignment="true" applyProtection="true">
      <alignment horizontal="center" vertical="center" textRotation="0" wrapText="true" indent="0" shrinkToFit="false"/>
      <protection locked="true" hidden="true"/>
    </xf>
    <xf numFmtId="164" fontId="23" fillId="0" borderId="0" xfId="0" applyFont="true" applyBorder="true" applyAlignment="true" applyProtection="true">
      <alignment horizontal="left" vertical="center" textRotation="0" wrapText="true" indent="1" shrinkToFit="false"/>
      <protection locked="true" hidden="true"/>
    </xf>
    <xf numFmtId="164" fontId="24" fillId="0" borderId="0" xfId="0" applyFont="true" applyBorder="true" applyAlignment="true" applyProtection="true">
      <alignment horizontal="right" vertical="center" textRotation="0" wrapText="false" indent="0" shrinkToFit="false"/>
      <protection locked="true" hidden="true"/>
    </xf>
    <xf numFmtId="168" fontId="24" fillId="0" borderId="0" xfId="0" applyFont="true" applyBorder="true" applyAlignment="true" applyProtection="true">
      <alignment horizontal="center" vertical="center" textRotation="0" wrapText="false" indent="0" shrinkToFit="false"/>
      <protection locked="true" hidden="true"/>
    </xf>
    <xf numFmtId="164" fontId="24" fillId="0" borderId="0" xfId="0" applyFont="true" applyBorder="false" applyAlignment="true" applyProtection="true">
      <alignment horizontal="center" vertical="center" textRotation="0" wrapText="false" indent="0" shrinkToFit="false"/>
      <protection locked="true" hidden="true"/>
    </xf>
    <xf numFmtId="164" fontId="10" fillId="4" borderId="0" xfId="0" applyFont="true" applyBorder="true" applyAlignment="false" applyProtection="true">
      <alignment horizontal="general" vertical="bottom" textRotation="0" wrapText="false" indent="0" shrinkToFit="false"/>
      <protection locked="true" hidden="true"/>
    </xf>
    <xf numFmtId="164" fontId="10" fillId="0" borderId="13" xfId="0" applyFont="true" applyBorder="true" applyAlignment="false" applyProtection="true">
      <alignment horizontal="general" vertical="bottom" textRotation="0" wrapText="false" indent="0" shrinkToFit="false"/>
      <protection locked="true" hidden="true"/>
    </xf>
    <xf numFmtId="164" fontId="10" fillId="3" borderId="2" xfId="0" applyFont="true" applyBorder="true" applyAlignment="false" applyProtection="true">
      <alignment horizontal="general" vertical="bottom" textRotation="0" wrapText="false" indent="0" shrinkToFit="false"/>
      <protection locked="true" hidden="true"/>
    </xf>
    <xf numFmtId="164" fontId="10" fillId="3" borderId="3" xfId="0" applyFont="true" applyBorder="true" applyAlignment="false" applyProtection="true">
      <alignment horizontal="general" vertical="bottom" textRotation="0" wrapText="false" indent="0" shrinkToFit="false"/>
      <protection locked="true" hidden="true"/>
    </xf>
    <xf numFmtId="164" fontId="10" fillId="3" borderId="4" xfId="0" applyFont="true" applyBorder="true" applyAlignment="false" applyProtection="true">
      <alignment horizontal="general" vertical="bottom" textRotation="0" wrapText="false" indent="0" shrinkToFit="false"/>
      <protection locked="true" hidden="true"/>
    </xf>
    <xf numFmtId="164" fontId="10" fillId="3" borderId="5" xfId="0" applyFont="true" applyBorder="true" applyAlignment="false" applyProtection="true">
      <alignment horizontal="general" vertical="bottom" textRotation="0" wrapText="false" indent="0" shrinkToFit="false"/>
      <protection locked="true" hidden="true"/>
    </xf>
    <xf numFmtId="164" fontId="10" fillId="3" borderId="0" xfId="0" applyFont="true" applyBorder="false" applyAlignment="false" applyProtection="true">
      <alignment horizontal="general" vertical="bottom" textRotation="0" wrapText="false" indent="0" shrinkToFit="false"/>
      <protection locked="true" hidden="true"/>
    </xf>
    <xf numFmtId="164" fontId="13" fillId="3" borderId="0" xfId="0" applyFont="true" applyBorder="false" applyAlignment="false" applyProtection="true">
      <alignment horizontal="general" vertical="bottom" textRotation="0" wrapText="false" indent="0" shrinkToFit="false"/>
      <protection locked="true" hidden="true"/>
    </xf>
    <xf numFmtId="164" fontId="13" fillId="3" borderId="6" xfId="0" applyFont="true" applyBorder="true" applyAlignment="false" applyProtection="true">
      <alignment horizontal="general" vertical="bottom" textRotation="0" wrapText="false" indent="0" shrinkToFit="false"/>
      <protection locked="true" hidden="true"/>
    </xf>
    <xf numFmtId="166" fontId="10" fillId="0" borderId="7" xfId="0" applyFont="true" applyBorder="true" applyAlignment="true" applyProtection="true">
      <alignment horizontal="general" vertical="center" textRotation="0" wrapText="false" indent="0" shrinkToFit="false"/>
      <protection locked="true" hidden="true"/>
    </xf>
    <xf numFmtId="166" fontId="11" fillId="0" borderId="7" xfId="0" applyFont="true" applyBorder="true" applyAlignment="true" applyProtection="true">
      <alignment horizontal="center" vertical="center" textRotation="0" wrapText="false" indent="0" shrinkToFit="false"/>
      <protection locked="true" hidden="true"/>
    </xf>
    <xf numFmtId="164" fontId="10" fillId="3" borderId="6" xfId="0" applyFont="true" applyBorder="true" applyAlignment="false" applyProtection="true">
      <alignment horizontal="general" vertical="bottom" textRotation="0" wrapText="false" indent="0" shrinkToFit="false"/>
      <protection locked="true" hidden="true"/>
    </xf>
    <xf numFmtId="164" fontId="10" fillId="3" borderId="14" xfId="0" applyFont="true" applyBorder="true" applyAlignment="false" applyProtection="true">
      <alignment horizontal="general" vertical="bottom" textRotation="0" wrapText="false" indent="0" shrinkToFit="false"/>
      <protection locked="true" hidden="true"/>
    </xf>
    <xf numFmtId="164" fontId="10" fillId="3" borderId="13" xfId="0" applyFont="true" applyBorder="true" applyAlignment="false" applyProtection="true">
      <alignment horizontal="general" vertical="bottom" textRotation="0" wrapText="false" indent="0" shrinkToFit="false"/>
      <protection locked="true" hidden="true"/>
    </xf>
    <xf numFmtId="164" fontId="10" fillId="3" borderId="15" xfId="0" applyFont="true" applyBorder="true" applyAlignment="false" applyProtection="true">
      <alignment horizontal="general" vertical="bottom" textRotation="0" wrapText="false" indent="0" shrinkToFit="false"/>
      <protection locked="true" hidden="true"/>
    </xf>
    <xf numFmtId="164" fontId="25" fillId="0" borderId="3" xfId="0" applyFont="true" applyBorder="true" applyAlignment="true" applyProtection="true">
      <alignment horizontal="general" vertical="center" textRotation="0" wrapText="false" indent="0" shrinkToFit="false"/>
      <protection locked="true" hidden="true"/>
    </xf>
    <xf numFmtId="164" fontId="10" fillId="3" borderId="16" xfId="0" applyFont="true" applyBorder="true" applyAlignment="false" applyProtection="true">
      <alignment horizontal="general" vertical="bottom" textRotation="0" wrapText="false" indent="0" shrinkToFit="false"/>
      <protection locked="true" hidden="true"/>
    </xf>
    <xf numFmtId="164" fontId="10" fillId="3" borderId="17" xfId="0" applyFont="true" applyBorder="true" applyAlignment="false" applyProtection="true">
      <alignment horizontal="general" vertical="bottom" textRotation="0" wrapText="false" indent="0" shrinkToFit="false"/>
      <protection locked="true" hidden="true"/>
    </xf>
    <xf numFmtId="164" fontId="10" fillId="3" borderId="18" xfId="0" applyFont="true" applyBorder="true" applyAlignment="false" applyProtection="true">
      <alignment horizontal="general" vertical="bottom" textRotation="0" wrapText="false" indent="0" shrinkToFit="false"/>
      <protection locked="true" hidden="true"/>
    </xf>
    <xf numFmtId="164" fontId="13" fillId="0" borderId="7" xfId="0" applyFont="true" applyBorder="true" applyAlignment="false" applyProtection="true">
      <alignment horizontal="general" vertical="bottom" textRotation="0" wrapText="false" indent="0" shrinkToFit="false"/>
      <protection locked="true" hidden="true"/>
    </xf>
    <xf numFmtId="168" fontId="13" fillId="3" borderId="0" xfId="0" applyFont="true" applyBorder="false" applyAlignment="false" applyProtection="true">
      <alignment horizontal="general" vertical="bottom" textRotation="0" wrapText="false" indent="0" shrinkToFit="false"/>
      <protection locked="true" hidden="true"/>
    </xf>
    <xf numFmtId="164" fontId="0" fillId="3" borderId="0" xfId="0" applyFont="false" applyBorder="false" applyAlignment="false" applyProtection="true">
      <alignment horizontal="general" vertical="bottom" textRotation="0" wrapText="false" indent="0" shrinkToFit="false"/>
      <protection locked="true" hidden="true"/>
    </xf>
    <xf numFmtId="164" fontId="13" fillId="3" borderId="8" xfId="0" applyFont="true" applyBorder="true" applyAlignment="false" applyProtection="true">
      <alignment horizontal="general" vertical="bottom" textRotation="0" wrapText="false" indent="0" shrinkToFit="false"/>
      <protection locked="true" hidden="true"/>
    </xf>
    <xf numFmtId="164" fontId="10" fillId="3" borderId="9" xfId="0" applyFont="true" applyBorder="true" applyAlignment="false" applyProtection="true">
      <alignment horizontal="general" vertical="bottom" textRotation="0" wrapText="false" indent="0" shrinkToFit="false"/>
      <protection locked="true" hidden="true"/>
    </xf>
    <xf numFmtId="164" fontId="13" fillId="3" borderId="0" xfId="0" applyFont="true" applyBorder="false" applyAlignment="true" applyProtection="true">
      <alignment horizontal="general" vertical="center" textRotation="0" wrapText="false" indent="0" shrinkToFit="false"/>
      <protection locked="true" hidden="true"/>
    </xf>
    <xf numFmtId="164" fontId="10" fillId="3" borderId="0" xfId="0" applyFont="true" applyBorder="false" applyAlignment="true" applyProtection="true">
      <alignment horizontal="general" vertical="center" textRotation="0" wrapText="false" indent="0" shrinkToFit="false"/>
      <protection locked="true" hidden="true"/>
    </xf>
    <xf numFmtId="164" fontId="10" fillId="3" borderId="8" xfId="0" applyFont="true" applyBorder="true" applyAlignment="false" applyProtection="true">
      <alignment horizontal="general" vertical="bottom" textRotation="0" wrapText="false" indent="0" shrinkToFit="false"/>
      <protection locked="true" hidden="true"/>
    </xf>
    <xf numFmtId="166" fontId="10" fillId="0" borderId="7" xfId="0" applyFont="true" applyBorder="true" applyAlignment="true" applyProtection="true">
      <alignment horizontal="left" vertical="bottom" textRotation="0" wrapText="false" indent="0" shrinkToFit="false"/>
      <protection locked="true" hidden="true"/>
    </xf>
    <xf numFmtId="168" fontId="13" fillId="3" borderId="0" xfId="0" applyFont="true" applyBorder="true" applyAlignment="true" applyProtection="true">
      <alignment horizontal="left" vertical="bottom" textRotation="0" wrapText="false" indent="0" shrinkToFit="false"/>
      <protection locked="true" hidden="true"/>
    </xf>
    <xf numFmtId="164" fontId="13" fillId="3" borderId="0" xfId="0" applyFont="true" applyBorder="true" applyAlignment="true" applyProtection="true">
      <alignment horizontal="general" vertical="center" textRotation="0" wrapText="false" indent="0" shrinkToFit="false"/>
      <protection locked="true" hidden="true"/>
    </xf>
    <xf numFmtId="164" fontId="13" fillId="3" borderId="8" xfId="0" applyFont="true" applyBorder="true" applyAlignment="true" applyProtection="true">
      <alignment horizontal="general" vertical="center" textRotation="0" wrapText="false" indent="0" shrinkToFit="false"/>
      <protection locked="true" hidden="true"/>
    </xf>
    <xf numFmtId="169" fontId="14" fillId="0" borderId="7" xfId="0" applyFont="true" applyBorder="true" applyAlignment="true" applyProtection="true">
      <alignment horizontal="center" vertical="center" textRotation="0" wrapText="false" indent="0" shrinkToFit="false"/>
      <protection locked="true" hidden="true"/>
    </xf>
    <xf numFmtId="166" fontId="10" fillId="0" borderId="7" xfId="0" applyFont="true" applyBorder="true" applyAlignment="true" applyProtection="true">
      <alignment horizontal="right" vertical="bottom" textRotation="0" wrapText="false" indent="0" shrinkToFit="false"/>
      <protection locked="true" hidden="true"/>
    </xf>
    <xf numFmtId="164" fontId="15" fillId="3" borderId="0" xfId="0" applyFont="true" applyBorder="false" applyAlignment="false" applyProtection="true">
      <alignment horizontal="general" vertical="bottom" textRotation="0" wrapText="false" indent="0" shrinkToFit="false"/>
      <protection locked="true" hidden="true"/>
    </xf>
    <xf numFmtId="164" fontId="15" fillId="3" borderId="0" xfId="0" applyFont="true" applyBorder="false" applyAlignment="true" applyProtection="true">
      <alignment horizontal="general" vertical="center" textRotation="0" wrapText="false" indent="0" shrinkToFit="false"/>
      <protection locked="true" hidden="true"/>
    </xf>
    <xf numFmtId="164" fontId="10" fillId="3" borderId="10" xfId="0" applyFont="true" applyBorder="true" applyAlignment="false" applyProtection="true">
      <alignment horizontal="general" vertical="bottom" textRotation="0" wrapText="false" indent="0" shrinkToFit="false"/>
      <protection locked="true" hidden="true"/>
    </xf>
    <xf numFmtId="164" fontId="10" fillId="3" borderId="11" xfId="0" applyFont="true" applyBorder="true" applyAlignment="false" applyProtection="true">
      <alignment horizontal="general" vertical="bottom" textRotation="0" wrapText="false" indent="0" shrinkToFit="false"/>
      <protection locked="true" hidden="true"/>
    </xf>
    <xf numFmtId="164" fontId="10" fillId="3" borderId="12" xfId="0" applyFont="true" applyBorder="true" applyAlignment="false" applyProtection="true">
      <alignment horizontal="general" vertical="bottom" textRotation="0" wrapText="false" indent="0" shrinkToFit="false"/>
      <protection locked="true" hidden="true"/>
    </xf>
    <xf numFmtId="166" fontId="25" fillId="0" borderId="0" xfId="0" applyFont="true" applyBorder="true" applyAlignment="true" applyProtection="true">
      <alignment horizontal="general" vertical="center" textRotation="0" wrapText="false" indent="0" shrinkToFit="false"/>
      <protection locked="true" hidden="true"/>
    </xf>
    <xf numFmtId="164" fontId="18" fillId="3" borderId="7" xfId="0" applyFont="true" applyBorder="true" applyAlignment="true" applyProtection="true">
      <alignment horizontal="center" vertical="center" textRotation="0" wrapText="false" indent="0" shrinkToFit="false"/>
      <protection locked="true" hidden="true"/>
    </xf>
    <xf numFmtId="170" fontId="14" fillId="0" borderId="7" xfId="0" applyFont="true" applyBorder="true" applyAlignment="true" applyProtection="true">
      <alignment horizontal="general" vertical="center" textRotation="0" wrapText="false" indent="0" shrinkToFit="false"/>
      <protection locked="true" hidden="true"/>
    </xf>
    <xf numFmtId="164" fontId="19" fillId="3" borderId="0" xfId="0" applyFont="true" applyBorder="false" applyAlignment="true" applyProtection="true">
      <alignment horizontal="center" vertical="center" textRotation="0" wrapText="false" indent="0" shrinkToFit="false"/>
      <protection locked="true" hidden="true"/>
    </xf>
    <xf numFmtId="171" fontId="18" fillId="3" borderId="7" xfId="0" applyFont="true" applyBorder="true" applyAlignment="true" applyProtection="true">
      <alignment horizontal="center" vertical="center" textRotation="0" wrapText="false" indent="0" shrinkToFit="false"/>
      <protection locked="true" hidden="true"/>
    </xf>
    <xf numFmtId="171" fontId="26" fillId="3" borderId="9" xfId="0" applyFont="true" applyBorder="true" applyAlignment="true" applyProtection="true">
      <alignment horizontal="center" vertical="center" textRotation="0" wrapText="false" indent="0" shrinkToFit="false"/>
      <protection locked="true" hidden="true"/>
    </xf>
    <xf numFmtId="171" fontId="26" fillId="3" borderId="0" xfId="0" applyFont="true" applyBorder="false" applyAlignment="true" applyProtection="true">
      <alignment horizontal="center" vertical="center" textRotation="0" wrapText="false" indent="0" shrinkToFit="false"/>
      <protection locked="true" hidden="true"/>
    </xf>
    <xf numFmtId="164" fontId="13" fillId="0" borderId="0" xfId="0" applyFont="true" applyBorder="true" applyAlignment="true" applyProtection="true">
      <alignment horizontal="general" vertical="center" textRotation="0" wrapText="false" indent="0" shrinkToFit="false"/>
      <protection locked="true" hidden="true"/>
    </xf>
    <xf numFmtId="164" fontId="4" fillId="0" borderId="0" xfId="0" applyFont="true" applyBorder="false" applyAlignment="false" applyProtection="true">
      <alignment horizontal="general" vertical="bottom" textRotation="0" wrapText="false" indent="0" shrinkToFit="false"/>
      <protection locked="true" hidden="true"/>
    </xf>
    <xf numFmtId="164" fontId="13" fillId="3" borderId="9" xfId="0" applyFont="true" applyBorder="true" applyAlignment="false" applyProtection="true">
      <alignment horizontal="general" vertical="bottom" textRotation="0" wrapText="false" indent="0" shrinkToFit="false"/>
      <protection locked="true" hidden="true"/>
    </xf>
    <xf numFmtId="164" fontId="25" fillId="0" borderId="11" xfId="0" applyFont="true" applyBorder="true" applyAlignment="true" applyProtection="true">
      <alignment horizontal="general" vertical="center" textRotation="0" wrapText="false" indent="0" shrinkToFit="false"/>
      <protection locked="true" hidden="true"/>
    </xf>
    <xf numFmtId="164" fontId="10" fillId="3" borderId="8" xfId="0" applyFont="true" applyBorder="true" applyAlignment="true" applyProtection="true">
      <alignment horizontal="center" vertical="bottom" textRotation="0" wrapText="false" indent="0" shrinkToFit="false"/>
      <protection locked="true" hidden="true"/>
    </xf>
    <xf numFmtId="170" fontId="10" fillId="0" borderId="0" xfId="0" applyFont="true" applyBorder="false" applyAlignment="false" applyProtection="true">
      <alignment horizontal="general" vertical="bottom" textRotation="0" wrapText="false" indent="0" shrinkToFit="false"/>
      <protection locked="true" hidden="true"/>
    </xf>
    <xf numFmtId="164" fontId="12" fillId="3" borderId="0" xfId="0" applyFont="true" applyBorder="false" applyAlignment="false" applyProtection="true">
      <alignment horizontal="general" vertical="bottom" textRotation="0" wrapText="false" indent="0" shrinkToFit="false"/>
      <protection locked="true" hidden="true"/>
    </xf>
    <xf numFmtId="164" fontId="25" fillId="0" borderId="17" xfId="0" applyFont="true" applyBorder="true" applyAlignment="true" applyProtection="true">
      <alignment horizontal="general" vertical="center" textRotation="0" wrapText="false" indent="0" shrinkToFit="false"/>
      <protection locked="true" hidden="true"/>
    </xf>
    <xf numFmtId="164" fontId="14" fillId="3" borderId="0" xfId="0" applyFont="true" applyBorder="false" applyAlignment="true" applyProtection="true">
      <alignment horizontal="general" vertical="center" textRotation="0" wrapText="false" indent="0" shrinkToFit="false"/>
      <protection locked="true" hidden="true"/>
    </xf>
    <xf numFmtId="164" fontId="13" fillId="3" borderId="11" xfId="0" applyFont="true" applyBorder="true" applyAlignment="false" applyProtection="true">
      <alignment horizontal="general" vertical="bottom" textRotation="0" wrapText="false" indent="0" shrinkToFit="false"/>
      <protection locked="true" hidden="true"/>
    </xf>
    <xf numFmtId="172" fontId="13" fillId="3" borderId="0" xfId="0" applyFont="true" applyBorder="true" applyAlignment="true" applyProtection="true">
      <alignment horizontal="left" vertical="bottom" textRotation="0" wrapText="false" indent="0" shrinkToFit="false"/>
      <protection locked="true" hidden="true"/>
    </xf>
    <xf numFmtId="164" fontId="13" fillId="3" borderId="0" xfId="0" applyFont="true" applyBorder="true" applyAlignment="false" applyProtection="true">
      <alignment horizontal="general" vertical="bottom" textRotation="0" wrapText="false" indent="0" shrinkToFit="false"/>
      <protection locked="true" hidden="true"/>
    </xf>
    <xf numFmtId="164" fontId="26" fillId="3" borderId="11" xfId="0" applyFont="true" applyBorder="true" applyAlignment="true" applyProtection="true">
      <alignment horizontal="center" vertical="center" textRotation="0" wrapText="false" indent="0" shrinkToFit="false"/>
      <protection locked="true" hidden="true"/>
    </xf>
    <xf numFmtId="164" fontId="14" fillId="3" borderId="11" xfId="0" applyFont="true" applyBorder="true" applyAlignment="true" applyProtection="true">
      <alignment horizontal="general" vertical="center" textRotation="0" wrapText="false" indent="0" shrinkToFit="false"/>
      <protection locked="true" hidden="true"/>
    </xf>
    <xf numFmtId="164" fontId="19" fillId="3" borderId="11" xfId="0" applyFont="true" applyBorder="true" applyAlignment="true" applyProtection="true">
      <alignment horizontal="center" vertical="center" textRotation="0" wrapText="false" indent="0" shrinkToFit="false"/>
      <protection locked="true" hidden="true"/>
    </xf>
    <xf numFmtId="171" fontId="26" fillId="3" borderId="11" xfId="0" applyFont="true" applyBorder="true" applyAlignment="true" applyProtection="true">
      <alignment horizontal="center" vertical="center" textRotation="0" wrapText="false" indent="0" shrinkToFit="false"/>
      <protection locked="true" hidden="true"/>
    </xf>
    <xf numFmtId="164" fontId="27" fillId="0" borderId="0" xfId="0" applyFont="true" applyBorder="false" applyAlignment="false" applyProtection="true">
      <alignment horizontal="general" vertical="bottom" textRotation="0" wrapText="false" indent="0" shrinkToFit="false"/>
      <protection locked="true" hidden="true"/>
    </xf>
    <xf numFmtId="173" fontId="27" fillId="0" borderId="0" xfId="0" applyFont="true" applyBorder="false" applyAlignment="true" applyProtection="true">
      <alignment horizontal="center" vertical="bottom" textRotation="0" wrapText="false" indent="0" shrinkToFit="false"/>
      <protection locked="true" hidden="true"/>
    </xf>
    <xf numFmtId="174" fontId="27" fillId="0" borderId="0" xfId="0" applyFont="true" applyBorder="false" applyAlignment="true" applyProtection="true">
      <alignment horizontal="center" vertical="bottom" textRotation="0" wrapText="false" indent="0" shrinkToFit="false"/>
      <protection locked="true" hidden="true"/>
    </xf>
    <xf numFmtId="164" fontId="28" fillId="3" borderId="19" xfId="0" applyFont="true" applyBorder="true" applyAlignment="true" applyProtection="true">
      <alignment horizontal="center" vertical="center" textRotation="0" wrapText="true" indent="0" shrinkToFit="false"/>
      <protection locked="true" hidden="true"/>
    </xf>
    <xf numFmtId="167" fontId="28" fillId="3" borderId="19" xfId="0" applyFont="true" applyBorder="true" applyAlignment="true" applyProtection="true">
      <alignment horizontal="center" vertical="bottom" textRotation="0" wrapText="false" indent="0" shrinkToFit="false"/>
      <protection locked="true" hidden="true"/>
    </xf>
    <xf numFmtId="167" fontId="28" fillId="3" borderId="20" xfId="0" applyFont="true" applyBorder="true" applyAlignment="true" applyProtection="true">
      <alignment horizontal="center" vertical="center" textRotation="0" wrapText="true" indent="0" shrinkToFit="false"/>
      <protection locked="true" hidden="true"/>
    </xf>
    <xf numFmtId="167" fontId="27" fillId="3" borderId="19" xfId="0" applyFont="true" applyBorder="true" applyAlignment="true" applyProtection="true">
      <alignment horizontal="center" vertical="center" textRotation="0" wrapText="true" indent="0" shrinkToFit="false"/>
      <protection locked="true" hidden="true"/>
    </xf>
    <xf numFmtId="167" fontId="27" fillId="3" borderId="0" xfId="0" applyFont="true" applyBorder="false" applyAlignment="true" applyProtection="true">
      <alignment horizontal="center" vertical="bottom" textRotation="0" wrapText="false" indent="0" shrinkToFit="false"/>
      <protection locked="true" hidden="true"/>
    </xf>
    <xf numFmtId="167" fontId="27" fillId="0" borderId="0" xfId="0" applyFont="true" applyBorder="false" applyAlignment="true" applyProtection="true">
      <alignment horizontal="center" vertical="bottom" textRotation="0" wrapText="false" indent="0" shrinkToFit="false"/>
      <protection locked="true" hidden="true"/>
    </xf>
    <xf numFmtId="164" fontId="27" fillId="3" borderId="0" xfId="0" applyFont="true" applyBorder="false" applyAlignment="false" applyProtection="true">
      <alignment horizontal="general" vertical="bottom" textRotation="0" wrapText="false" indent="0" shrinkToFit="false"/>
      <protection locked="true" hidden="true"/>
    </xf>
    <xf numFmtId="164" fontId="28" fillId="3" borderId="19" xfId="0" applyFont="true" applyBorder="true" applyAlignment="true" applyProtection="true">
      <alignment horizontal="center" vertical="center" textRotation="0" wrapText="false" indent="0" shrinkToFit="false"/>
      <protection locked="true" hidden="true"/>
    </xf>
    <xf numFmtId="173" fontId="28" fillId="3" borderId="19" xfId="0" applyFont="true" applyBorder="true" applyAlignment="true" applyProtection="true">
      <alignment horizontal="center" vertical="bottom" textRotation="0" wrapText="false" indent="0" shrinkToFit="false"/>
      <protection locked="true" hidden="true"/>
    </xf>
    <xf numFmtId="166" fontId="28" fillId="3" borderId="21" xfId="0" applyFont="true" applyBorder="true" applyAlignment="true" applyProtection="true">
      <alignment horizontal="center" vertical="center" textRotation="0" wrapText="true" indent="0" shrinkToFit="false"/>
      <protection locked="true" hidden="true"/>
    </xf>
    <xf numFmtId="173" fontId="29" fillId="3" borderId="0" xfId="0" applyFont="true" applyBorder="false" applyAlignment="true" applyProtection="true">
      <alignment horizontal="center" vertical="bottom" textRotation="0" wrapText="false" indent="0" shrinkToFit="false"/>
      <protection locked="true" hidden="true"/>
    </xf>
    <xf numFmtId="174" fontId="29" fillId="3" borderId="0" xfId="0" applyFont="true" applyBorder="false" applyAlignment="true" applyProtection="true">
      <alignment horizontal="center" vertical="bottom" textRotation="0" wrapText="false" indent="0" shrinkToFit="false"/>
      <protection locked="true" hidden="true"/>
    </xf>
    <xf numFmtId="164" fontId="29" fillId="3" borderId="0" xfId="0" applyFont="true" applyBorder="false" applyAlignment="true" applyProtection="true">
      <alignment horizontal="center" vertical="bottom" textRotation="0" wrapText="false" indent="0" shrinkToFit="false"/>
      <protection locked="true" hidden="true"/>
    </xf>
    <xf numFmtId="164" fontId="29" fillId="0" borderId="0" xfId="0" applyFont="true" applyBorder="false" applyAlignment="true" applyProtection="true">
      <alignment horizontal="center" vertical="bottom" textRotation="0" wrapText="false" indent="0" shrinkToFit="false"/>
      <protection locked="true" hidden="true"/>
    </xf>
    <xf numFmtId="164" fontId="28" fillId="3" borderId="0" xfId="0" applyFont="true" applyBorder="false" applyAlignment="true" applyProtection="true">
      <alignment horizontal="center" vertical="bottom" textRotation="0" wrapText="true" indent="0" shrinkToFit="false"/>
      <protection locked="true" hidden="true"/>
    </xf>
    <xf numFmtId="173" fontId="28" fillId="0" borderId="0" xfId="0" applyFont="true" applyBorder="false" applyAlignment="true" applyProtection="true">
      <alignment horizontal="center" vertical="bottom" textRotation="0" wrapText="true" indent="0" shrinkToFit="false"/>
      <protection locked="true" hidden="true"/>
    </xf>
    <xf numFmtId="174" fontId="28" fillId="0" borderId="19" xfId="0" applyFont="true" applyBorder="true" applyAlignment="true" applyProtection="true">
      <alignment horizontal="right" vertical="bottom" textRotation="0" wrapText="false" indent="1" shrinkToFit="false"/>
      <protection locked="true" hidden="true"/>
    </xf>
    <xf numFmtId="174" fontId="27" fillId="0" borderId="0" xfId="0" applyFont="true" applyBorder="false" applyAlignment="false" applyProtection="true">
      <alignment horizontal="general" vertical="bottom" textRotation="0" wrapText="false" indent="0" shrinkToFit="false"/>
      <protection locked="true" hidden="true"/>
    </xf>
    <xf numFmtId="175" fontId="27" fillId="0" borderId="0" xfId="0" applyFont="true" applyBorder="false" applyAlignment="false" applyProtection="true">
      <alignment horizontal="general" vertical="bottom" textRotation="0" wrapText="false" indent="0" shrinkToFit="false"/>
      <protection locked="true" hidden="true"/>
    </xf>
    <xf numFmtId="164" fontId="27" fillId="3" borderId="0" xfId="0" applyFont="true" applyBorder="false" applyAlignment="true" applyProtection="true">
      <alignment horizontal="center" vertical="bottom" textRotation="0" wrapText="true" indent="0" shrinkToFit="false"/>
      <protection locked="true" hidden="true"/>
    </xf>
    <xf numFmtId="173" fontId="27" fillId="0" borderId="0" xfId="0" applyFont="true" applyBorder="false" applyAlignment="true" applyProtection="true">
      <alignment horizontal="center" vertical="bottom" textRotation="0" wrapText="true" indent="0" shrinkToFit="false"/>
      <protection locked="true" hidden="true"/>
    </xf>
    <xf numFmtId="174" fontId="27" fillId="3" borderId="0" xfId="0" applyFont="true" applyBorder="false" applyAlignment="true" applyProtection="true">
      <alignment horizontal="right" vertical="bottom" textRotation="0" wrapText="false" indent="1" shrinkToFit="false"/>
      <protection locked="true" hidden="true"/>
    </xf>
    <xf numFmtId="174" fontId="27" fillId="3" borderId="0" xfId="0" applyFont="true" applyBorder="false" applyAlignment="true" applyProtection="true">
      <alignment horizontal="center" vertical="bottom" textRotation="0" wrapText="false" indent="0" shrinkToFit="false"/>
      <protection locked="true" hidden="true"/>
    </xf>
    <xf numFmtId="174" fontId="27" fillId="0" borderId="19" xfId="0" applyFont="true" applyBorder="true" applyAlignment="true" applyProtection="true">
      <alignment horizontal="right" vertical="bottom" textRotation="0" wrapText="false" indent="1" shrinkToFit="false"/>
      <protection locked="true" hidden="true"/>
    </xf>
    <xf numFmtId="176" fontId="27" fillId="3" borderId="0" xfId="0" applyFont="true" applyBorder="false" applyAlignment="false" applyProtection="true">
      <alignment horizontal="general" vertical="bottom" textRotation="0" wrapText="false" indent="0" shrinkToFit="false"/>
      <protection locked="true" hidden="true"/>
    </xf>
    <xf numFmtId="176" fontId="27" fillId="0" borderId="0" xfId="0" applyFont="true" applyBorder="false" applyAlignment="false" applyProtection="true">
      <alignment horizontal="general" vertical="bottom" textRotation="0" wrapText="false" indent="0" shrinkToFit="false"/>
      <protection locked="true" hidden="true"/>
    </xf>
    <xf numFmtId="164" fontId="28" fillId="3" borderId="0" xfId="0" applyFont="true" applyBorder="false" applyAlignment="true" applyProtection="true">
      <alignment horizontal="center" vertical="bottom" textRotation="0" wrapText="false" indent="0" shrinkToFit="false"/>
      <protection locked="true" hidden="true"/>
    </xf>
    <xf numFmtId="173" fontId="28" fillId="0" borderId="0" xfId="0" applyFont="true" applyBorder="false" applyAlignment="true" applyProtection="true">
      <alignment horizontal="center" vertical="bottom" textRotation="0" wrapText="false" indent="0" shrinkToFit="false"/>
      <protection locked="true" hidden="true"/>
    </xf>
    <xf numFmtId="174" fontId="27" fillId="0" borderId="0" xfId="0" applyFont="true" applyBorder="false" applyAlignment="true" applyProtection="true">
      <alignment horizontal="right" vertical="bottom" textRotation="0" wrapText="false" indent="1" shrinkToFit="false"/>
      <protection locked="true" hidden="true"/>
    </xf>
    <xf numFmtId="164" fontId="28" fillId="3" borderId="0" xfId="0" applyFont="true" applyBorder="false" applyAlignment="false" applyProtection="true">
      <alignment horizontal="general" vertical="bottom" textRotation="0" wrapText="false" indent="0" shrinkToFit="false"/>
      <protection locked="true" hidden="true"/>
    </xf>
    <xf numFmtId="164" fontId="27" fillId="3" borderId="0" xfId="0" applyFont="true" applyBorder="false" applyAlignment="true" applyProtection="true">
      <alignment horizontal="center" vertical="bottom" textRotation="0" wrapText="false" indent="0" shrinkToFit="false"/>
      <protection locked="true" hidden="true"/>
    </xf>
    <xf numFmtId="174" fontId="28" fillId="0" borderId="22" xfId="0" applyFont="true" applyBorder="true" applyAlignment="true" applyProtection="true">
      <alignment horizontal="right" vertical="bottom" textRotation="0" wrapText="false" indent="1" shrinkToFit="false"/>
      <protection locked="true" hidden="true"/>
    </xf>
    <xf numFmtId="174" fontId="27" fillId="0" borderId="23" xfId="0" applyFont="true" applyBorder="true" applyAlignment="true" applyProtection="true">
      <alignment horizontal="right" vertical="bottom" textRotation="0" wrapText="false" indent="1" shrinkToFit="false"/>
      <protection locked="true" hidden="true"/>
    </xf>
    <xf numFmtId="174" fontId="27" fillId="3" borderId="24" xfId="0" applyFont="true" applyBorder="true" applyAlignment="true" applyProtection="true">
      <alignment horizontal="right" vertical="bottom" textRotation="0" wrapText="false" indent="1" shrinkToFit="false"/>
      <protection locked="true" hidden="true"/>
    </xf>
    <xf numFmtId="174" fontId="27" fillId="0" borderId="25" xfId="0" applyFont="true" applyBorder="true" applyAlignment="true" applyProtection="true">
      <alignment horizontal="right" vertical="bottom" textRotation="0" wrapText="false" indent="1" shrinkToFit="false"/>
      <protection locked="true" hidden="true"/>
    </xf>
    <xf numFmtId="173" fontId="27" fillId="3" borderId="0" xfId="0" applyFont="true" applyBorder="false" applyAlignment="true" applyProtection="true">
      <alignment horizontal="center" vertical="bottom" textRotation="0" wrapText="false" indent="0" shrinkToFit="false"/>
      <protection locked="true" hidden="true"/>
    </xf>
    <xf numFmtId="164" fontId="11" fillId="3" borderId="0" xfId="0" applyFont="true" applyBorder="false" applyAlignment="true" applyProtection="true">
      <alignment horizontal="center" vertical="bottom" textRotation="0" wrapText="false" indent="0" shrinkToFit="false"/>
      <protection locked="true" hidden="true"/>
    </xf>
    <xf numFmtId="174" fontId="28" fillId="0" borderId="26" xfId="0" applyFont="true" applyBorder="true" applyAlignment="true" applyProtection="true">
      <alignment horizontal="right" vertical="bottom" textRotation="0" wrapText="false" indent="1" shrinkToFit="false"/>
      <protection locked="true" hidden="true"/>
    </xf>
    <xf numFmtId="174" fontId="28" fillId="0" borderId="27" xfId="0" applyFont="true" applyBorder="true" applyAlignment="false" applyProtection="true">
      <alignment horizontal="general" vertical="bottom" textRotation="0" wrapText="false" indent="0" shrinkToFit="false"/>
      <protection locked="true" hidden="true"/>
    </xf>
    <xf numFmtId="164" fontId="27" fillId="3" borderId="27" xfId="0" applyFont="true" applyBorder="true" applyAlignment="false" applyProtection="true">
      <alignment horizontal="general" vertical="bottom" textRotation="0" wrapText="false" indent="0" shrinkToFit="false"/>
      <protection locked="true" hidden="true"/>
    </xf>
    <xf numFmtId="164" fontId="30" fillId="3" borderId="0" xfId="0" applyFont="true" applyBorder="false" applyAlignment="false" applyProtection="true">
      <alignment horizontal="general" vertical="bottom" textRotation="0" wrapText="false" indent="0" shrinkToFit="false"/>
      <protection locked="true" hidden="true"/>
    </xf>
    <xf numFmtId="164" fontId="5" fillId="3" borderId="0" xfId="0" applyFont="true" applyBorder="false" applyAlignment="false" applyProtection="true">
      <alignment horizontal="general" vertical="bottom" textRotation="0" wrapText="false" indent="0" shrinkToFit="false"/>
      <protection locked="true" hidden="true"/>
    </xf>
    <xf numFmtId="176" fontId="27" fillId="0" borderId="0" xfId="0" applyFont="true" applyBorder="false" applyAlignment="true" applyProtection="true">
      <alignment horizontal="center" vertical="bottom" textRotation="0" wrapText="false" indent="0" shrinkToFit="false"/>
      <protection locked="true" hidden="true"/>
    </xf>
    <xf numFmtId="177" fontId="27" fillId="0" borderId="0" xfId="0" applyFont="true" applyBorder="false" applyAlignment="true" applyProtection="true">
      <alignment horizontal="center" vertical="bottom" textRotation="0" wrapText="false" indent="0" shrinkToFit="false"/>
      <protection locked="true" hidden="true"/>
    </xf>
    <xf numFmtId="171" fontId="27" fillId="0" borderId="0" xfId="0" applyFont="true" applyBorder="false" applyAlignment="false" applyProtection="true">
      <alignment horizontal="general" vertical="bottom" textRotation="0" wrapText="false" indent="0" shrinkToFit="false"/>
      <protection locked="true" hidden="true"/>
    </xf>
    <xf numFmtId="176" fontId="27" fillId="3" borderId="0" xfId="0" applyFont="true" applyBorder="false" applyAlignment="true" applyProtection="true">
      <alignment horizontal="center" vertical="bottom" textRotation="0" wrapText="false" indent="0" shrinkToFit="false"/>
      <protection locked="true" hidden="true"/>
    </xf>
    <xf numFmtId="177" fontId="27" fillId="3" borderId="0" xfId="0" applyFont="true" applyBorder="false" applyAlignment="true" applyProtection="true">
      <alignment horizontal="center" vertical="bottom" textRotation="0" wrapText="false" indent="0" shrinkToFit="false"/>
      <protection locked="true" hidden="true"/>
    </xf>
    <xf numFmtId="171" fontId="27" fillId="3" borderId="0" xfId="0" applyFont="true" applyBorder="false" applyAlignment="false" applyProtection="true">
      <alignment horizontal="general" vertical="bottom" textRotation="0" wrapText="false" indent="0" shrinkToFit="false"/>
      <protection locked="true" hidden="true"/>
    </xf>
    <xf numFmtId="164" fontId="5" fillId="3" borderId="28" xfId="0" applyFont="true" applyBorder="true" applyAlignment="true" applyProtection="true">
      <alignment horizontal="left" vertical="center" textRotation="0" wrapText="true" indent="1" shrinkToFit="false"/>
      <protection locked="true" hidden="true"/>
    </xf>
    <xf numFmtId="166" fontId="5" fillId="3" borderId="29" xfId="0" applyFont="true" applyBorder="true" applyAlignment="true" applyProtection="false">
      <alignment horizontal="left" vertical="center" textRotation="0" wrapText="true" indent="1" shrinkToFit="false"/>
      <protection locked="true" hidden="false"/>
    </xf>
    <xf numFmtId="176" fontId="27" fillId="3" borderId="30" xfId="0" applyFont="true" applyBorder="true" applyAlignment="true" applyProtection="true">
      <alignment horizontal="center" vertical="center" textRotation="0" wrapText="true" indent="0" shrinkToFit="false"/>
      <protection locked="true" hidden="true"/>
    </xf>
    <xf numFmtId="164" fontId="0" fillId="3" borderId="0" xfId="0" applyFont="false" applyBorder="false" applyAlignment="true" applyProtection="false">
      <alignment horizontal="left" vertical="center" textRotation="0" wrapText="true" indent="1" shrinkToFit="false"/>
      <protection locked="true" hidden="false"/>
    </xf>
    <xf numFmtId="164" fontId="27" fillId="3" borderId="0" xfId="0" applyFont="true" applyBorder="false" applyAlignment="true" applyProtection="true">
      <alignment horizontal="left" vertical="bottom" textRotation="0" wrapText="false" indent="1" shrinkToFit="false"/>
      <protection locked="true" hidden="true"/>
    </xf>
    <xf numFmtId="164" fontId="27" fillId="3" borderId="19" xfId="0" applyFont="true" applyBorder="true" applyAlignment="true" applyProtection="true">
      <alignment horizontal="left" vertical="center" textRotation="0" wrapText="false" indent="1" shrinkToFit="false"/>
      <protection locked="true" hidden="true"/>
    </xf>
    <xf numFmtId="177" fontId="27" fillId="0" borderId="19" xfId="0" applyFont="true" applyBorder="true" applyAlignment="true" applyProtection="true">
      <alignment horizontal="center" vertical="bottom" textRotation="0" wrapText="false" indent="0" shrinkToFit="false"/>
      <protection locked="true" hidden="true"/>
    </xf>
    <xf numFmtId="178" fontId="27" fillId="3" borderId="0" xfId="0" applyFont="true" applyBorder="false" applyAlignment="true" applyProtection="true">
      <alignment horizontal="center" vertical="bottom" textRotation="0" wrapText="false" indent="0" shrinkToFit="false"/>
      <protection locked="true" hidden="true"/>
    </xf>
    <xf numFmtId="171" fontId="27" fillId="3" borderId="0" xfId="0" applyFont="true" applyBorder="false" applyAlignment="true" applyProtection="true">
      <alignment horizontal="center" vertical="bottom" textRotation="0" wrapText="false" indent="0" shrinkToFit="false"/>
      <protection locked="true" hidden="true"/>
    </xf>
    <xf numFmtId="179" fontId="27" fillId="3" borderId="0" xfId="0" applyFont="true" applyBorder="false" applyAlignment="true" applyProtection="true">
      <alignment horizontal="center" vertical="bottom" textRotation="0" wrapText="false" indent="0" shrinkToFit="false"/>
      <protection locked="true" hidden="true"/>
    </xf>
    <xf numFmtId="164" fontId="31" fillId="0" borderId="0" xfId="0" applyFont="true" applyBorder="false" applyAlignment="false" applyProtection="true">
      <alignment horizontal="general" vertical="bottom" textRotation="0" wrapText="false" indent="0" shrinkToFit="false"/>
      <protection locked="true" hidden="true"/>
    </xf>
    <xf numFmtId="164" fontId="27" fillId="3" borderId="26" xfId="0" applyFont="true" applyBorder="true" applyAlignment="true" applyProtection="true">
      <alignment horizontal="left" vertical="center" textRotation="0" wrapText="false" indent="1" shrinkToFit="false"/>
      <protection locked="true" hidden="true"/>
    </xf>
    <xf numFmtId="164" fontId="27" fillId="3" borderId="0" xfId="0" applyFont="true" applyBorder="false" applyAlignment="true" applyProtection="true">
      <alignment horizontal="left" vertical="center" textRotation="0" wrapText="false" indent="1" shrinkToFit="false"/>
      <protection locked="true" hidden="true"/>
    </xf>
    <xf numFmtId="164" fontId="5" fillId="3" borderId="0" xfId="0" applyFont="true" applyBorder="false" applyAlignment="true" applyProtection="false">
      <alignment horizontal="left" vertical="center" textRotation="0" wrapText="false" indent="1" shrinkToFit="false"/>
      <protection locked="true" hidden="false"/>
    </xf>
    <xf numFmtId="177" fontId="28" fillId="0" borderId="26" xfId="0" applyFont="true" applyBorder="true" applyAlignment="true" applyProtection="true">
      <alignment horizontal="center" vertical="bottom" textRotation="0" wrapText="false" indent="0" shrinkToFit="false"/>
      <protection locked="true" hidden="true"/>
    </xf>
    <xf numFmtId="173" fontId="27" fillId="3" borderId="0" xfId="0" applyFont="true" applyBorder="false" applyAlignment="false" applyProtection="true">
      <alignment horizontal="general" vertical="bottom" textRotation="0" wrapText="false" indent="0" shrinkToFit="false"/>
      <protection locked="true" hidden="true"/>
    </xf>
    <xf numFmtId="171" fontId="32" fillId="3" borderId="0" xfId="0" applyFont="true" applyBorder="false" applyAlignment="true" applyProtection="true">
      <alignment horizontal="center" vertical="bottom" textRotation="0" wrapText="false" indent="0" shrinkToFit="false"/>
      <protection locked="true" hidden="true"/>
    </xf>
    <xf numFmtId="174" fontId="28" fillId="3" borderId="0" xfId="0" applyFont="true" applyBorder="false" applyAlignment="true" applyProtection="true">
      <alignment horizontal="center" vertical="bottom" textRotation="0" wrapText="false" indent="0" shrinkToFit="false"/>
      <protection locked="true" hidden="true"/>
    </xf>
    <xf numFmtId="164" fontId="33" fillId="3" borderId="0" xfId="0" applyFont="true" applyBorder="false" applyAlignment="true" applyProtection="true">
      <alignment horizontal="right" vertical="bottom" textRotation="0" wrapText="false" indent="0" shrinkToFit="false"/>
      <protection locked="true" hidden="true"/>
    </xf>
    <xf numFmtId="168" fontId="33" fillId="3" borderId="0" xfId="0" applyFont="true" applyBorder="true" applyAlignment="true" applyProtection="true">
      <alignment horizontal="left" vertical="bottom" textRotation="0" wrapText="false" indent="0" shrinkToFit="false"/>
      <protection locked="true" hidden="true"/>
    </xf>
    <xf numFmtId="172" fontId="27" fillId="3" borderId="0" xfId="0" applyFont="true" applyBorder="false" applyAlignment="true" applyProtection="true">
      <alignment horizontal="center" vertical="bottom" textRotation="0" wrapText="false" indent="0" shrinkToFit="false"/>
      <protection locked="true" hidden="true"/>
    </xf>
    <xf numFmtId="177" fontId="28" fillId="3" borderId="0" xfId="0" applyFont="true" applyBorder="false" applyAlignment="true" applyProtection="true">
      <alignment horizontal="center" vertical="bottom" textRotation="0" wrapText="false" indent="0" shrinkToFit="false"/>
      <protection locked="true" hidden="true"/>
    </xf>
    <xf numFmtId="164" fontId="27" fillId="3" borderId="26" xfId="0" applyFont="true" applyBorder="true" applyAlignment="true" applyProtection="true">
      <alignment horizontal="left" vertical="bottom" textRotation="0" wrapText="false" indent="1" shrinkToFit="false"/>
      <protection locked="true" hidden="true"/>
    </xf>
    <xf numFmtId="177" fontId="27" fillId="3" borderId="19" xfId="0" applyFont="true" applyBorder="true" applyAlignment="true" applyProtection="true">
      <alignment horizontal="center" vertical="bottom" textRotation="0" wrapText="false" indent="0" shrinkToFit="false"/>
      <protection locked="true" hidden="true"/>
    </xf>
    <xf numFmtId="179" fontId="27" fillId="0" borderId="0" xfId="0" applyFont="true" applyBorder="false" applyAlignment="false" applyProtection="true">
      <alignment horizontal="general" vertical="bottom" textRotation="0" wrapText="false" indent="0" shrinkToFit="false"/>
      <protection locked="true" hidden="true"/>
    </xf>
    <xf numFmtId="164" fontId="28" fillId="3" borderId="26" xfId="0" applyFont="true" applyBorder="true" applyAlignment="true" applyProtection="true">
      <alignment horizontal="left" vertical="bottom" textRotation="0" wrapText="false" indent="1" shrinkToFit="false"/>
      <protection locked="true" hidden="true"/>
    </xf>
    <xf numFmtId="164" fontId="27" fillId="3" borderId="28" xfId="0" applyFont="true" applyBorder="true" applyAlignment="true" applyProtection="true">
      <alignment horizontal="left" vertical="center" textRotation="0" wrapText="false" indent="1" shrinkToFit="false"/>
      <protection locked="true" hidden="true"/>
    </xf>
    <xf numFmtId="174" fontId="27" fillId="3" borderId="26" xfId="0" applyFont="true" applyBorder="true" applyAlignment="true" applyProtection="true">
      <alignment horizontal="center" vertical="center" textRotation="0" wrapText="true" indent="0" shrinkToFit="false"/>
      <protection locked="true" hidden="true"/>
    </xf>
    <xf numFmtId="176" fontId="27" fillId="3" borderId="19" xfId="0" applyFont="true" applyBorder="true" applyAlignment="true" applyProtection="true">
      <alignment horizontal="center" vertical="bottom" textRotation="0" wrapText="true" indent="0" shrinkToFit="false"/>
      <protection locked="true" hidden="true"/>
    </xf>
    <xf numFmtId="177" fontId="27" fillId="3" borderId="19" xfId="0" applyFont="true" applyBorder="true" applyAlignment="true" applyProtection="true">
      <alignment horizontal="center" vertical="bottom" textRotation="0" wrapText="true" indent="0" shrinkToFit="false"/>
      <protection locked="true" hidden="true"/>
    </xf>
    <xf numFmtId="164" fontId="27" fillId="0" borderId="0" xfId="0" applyFont="true" applyBorder="false" applyAlignment="true" applyProtection="true">
      <alignment horizontal="center" vertical="bottom" textRotation="0" wrapText="false" indent="0" shrinkToFit="false"/>
      <protection locked="true" hidden="true"/>
    </xf>
    <xf numFmtId="172" fontId="27" fillId="3" borderId="0" xfId="0" applyFont="true" applyBorder="false" applyAlignment="true" applyProtection="true">
      <alignment horizontal="left" vertical="bottom" textRotation="0" wrapText="false" indent="1" shrinkToFit="false"/>
      <protection locked="true" hidden="true"/>
    </xf>
    <xf numFmtId="176" fontId="27" fillId="3" borderId="19" xfId="0" applyFont="true" applyBorder="true" applyAlignment="true" applyProtection="true">
      <alignment horizontal="center" vertical="bottom" textRotation="0" wrapText="false" indent="0" shrinkToFit="false"/>
      <protection locked="true" hidden="true"/>
    </xf>
    <xf numFmtId="172" fontId="27" fillId="3" borderId="19" xfId="0" applyFont="true" applyBorder="true" applyAlignment="true" applyProtection="true">
      <alignment horizontal="center" vertical="bottom" textRotation="0" wrapText="false" indent="0" shrinkToFit="false"/>
      <protection locked="true" hidden="true"/>
    </xf>
    <xf numFmtId="164" fontId="30" fillId="3" borderId="19" xfId="0" applyFont="true" applyBorder="true" applyAlignment="true" applyProtection="true">
      <alignment horizontal="left" vertical="bottom" textRotation="0" wrapText="false" indent="1" shrinkToFit="false"/>
      <protection locked="true" hidden="true"/>
    </xf>
    <xf numFmtId="164" fontId="30" fillId="3" borderId="0" xfId="0" applyFont="true" applyBorder="false" applyAlignment="true" applyProtection="true">
      <alignment horizontal="left" vertical="bottom" textRotation="0" wrapText="false" indent="1" shrinkToFit="false"/>
      <protection locked="true" hidden="true"/>
    </xf>
    <xf numFmtId="164" fontId="34" fillId="3" borderId="0" xfId="0" applyFont="true" applyBorder="false" applyAlignment="true" applyProtection="true">
      <alignment horizontal="left" vertical="bottom" textRotation="0" wrapText="false" indent="1" shrinkToFit="false"/>
      <protection locked="true" hidden="true"/>
    </xf>
    <xf numFmtId="177" fontId="28" fillId="3" borderId="0" xfId="0" applyFont="true" applyBorder="false" applyAlignment="false" applyProtection="true">
      <alignment horizontal="general" vertical="bottom" textRotation="0" wrapText="false" indent="0" shrinkToFit="false"/>
      <protection locked="true" hidden="true"/>
    </xf>
    <xf numFmtId="174" fontId="27" fillId="3" borderId="0" xfId="0" applyFont="true" applyBorder="false" applyAlignment="false" applyProtection="true">
      <alignment horizontal="general" vertical="bottom" textRotation="0" wrapText="false" indent="0" shrinkToFit="false"/>
      <protection locked="true" hidden="true"/>
    </xf>
    <xf numFmtId="172" fontId="30" fillId="3" borderId="0" xfId="0" applyFont="true" applyBorder="false" applyAlignment="true" applyProtection="true">
      <alignment horizontal="left" vertical="bottom" textRotation="0" wrapText="false" indent="1" shrinkToFit="false"/>
      <protection locked="true" hidden="true"/>
    </xf>
    <xf numFmtId="172" fontId="27" fillId="3" borderId="0" xfId="0" applyFont="true" applyBorder="false" applyAlignment="false" applyProtection="true">
      <alignment horizontal="general" vertical="bottom" textRotation="0" wrapText="false" indent="0" shrinkToFit="false"/>
      <protection locked="true" hidden="true"/>
    </xf>
    <xf numFmtId="172" fontId="34" fillId="3" borderId="0" xfId="0" applyFont="true" applyBorder="false" applyAlignment="true" applyProtection="true">
      <alignment horizontal="left" vertical="bottom" textRotation="0" wrapText="false" indent="1" shrinkToFit="false"/>
      <protection locked="true" hidden="true"/>
    </xf>
    <xf numFmtId="177" fontId="27" fillId="3" borderId="0" xfId="0" applyFont="true" applyBorder="false" applyAlignment="false" applyProtection="true">
      <alignment horizontal="general" vertical="bottom" textRotation="0" wrapText="false" indent="0" shrinkToFit="false"/>
      <protection locked="true" hidden="true"/>
    </xf>
    <xf numFmtId="164" fontId="30" fillId="0" borderId="0" xfId="0" applyFont="true" applyBorder="false" applyAlignment="false" applyProtection="false">
      <alignment horizontal="general" vertical="bottom" textRotation="0" wrapText="false" indent="0" shrinkToFit="false"/>
      <protection locked="true" hidden="false"/>
    </xf>
    <xf numFmtId="172" fontId="30"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71" fontId="30" fillId="0" borderId="0" xfId="0" applyFont="true" applyBorder="false" applyAlignment="false" applyProtection="false">
      <alignment horizontal="general" vertical="bottom" textRotation="0" wrapText="false" indent="0" shrinkToFit="false"/>
      <protection locked="true" hidden="false"/>
    </xf>
    <xf numFmtId="177" fontId="30" fillId="0" borderId="0" xfId="0" applyFont="true" applyBorder="false" applyAlignment="false" applyProtection="false">
      <alignment horizontal="general" vertical="bottom" textRotation="0" wrapText="false" indent="0" shrinkToFit="false"/>
      <protection locked="true" hidden="false"/>
    </xf>
    <xf numFmtId="179" fontId="30" fillId="0" borderId="0" xfId="0" applyFont="true" applyBorder="false" applyAlignment="true" applyProtection="false">
      <alignment horizontal="center" vertical="bottom" textRotation="0" wrapText="false" indent="0" shrinkToFit="false"/>
      <protection locked="true" hidden="false"/>
    </xf>
    <xf numFmtId="177" fontId="30" fillId="0" borderId="0" xfId="0" applyFont="true" applyBorder="false" applyAlignment="true" applyProtection="false">
      <alignment horizontal="center" vertical="bottom" textRotation="0" wrapText="false" indent="0" shrinkToFit="false"/>
      <protection locked="true" hidden="false"/>
    </xf>
    <xf numFmtId="171" fontId="30" fillId="0" borderId="0" xfId="0" applyFont="true" applyBorder="false" applyAlignment="true" applyProtection="false">
      <alignment horizontal="center" vertical="bottom" textRotation="0" wrapText="false" indent="0" shrinkToFit="false"/>
      <protection locked="true" hidden="false"/>
    </xf>
    <xf numFmtId="164" fontId="34" fillId="3" borderId="19" xfId="0" applyFont="true" applyBorder="true" applyAlignment="false" applyProtection="false">
      <alignment horizontal="general" vertical="bottom" textRotation="0" wrapText="false" indent="0" shrinkToFit="false"/>
      <protection locked="true" hidden="false"/>
    </xf>
    <xf numFmtId="172" fontId="30" fillId="3" borderId="19" xfId="0" applyFont="true" applyBorder="true" applyAlignment="true" applyProtection="false">
      <alignment horizontal="center" vertical="center" textRotation="0" wrapText="true" indent="0" shrinkToFit="false"/>
      <protection locked="true" hidden="false"/>
    </xf>
    <xf numFmtId="164" fontId="34" fillId="3" borderId="19" xfId="0" applyFont="true" applyBorder="true" applyAlignment="true" applyProtection="false">
      <alignment horizontal="center" vertical="center" textRotation="0" wrapText="false" indent="0" shrinkToFit="false"/>
      <protection locked="true" hidden="false"/>
    </xf>
    <xf numFmtId="177" fontId="34" fillId="3" borderId="19" xfId="0" applyFont="true" applyBorder="true" applyAlignment="true" applyProtection="false">
      <alignment horizontal="center" vertical="bottom" textRotation="0" wrapText="false" indent="0" shrinkToFit="false"/>
      <protection locked="true" hidden="false"/>
    </xf>
    <xf numFmtId="177" fontId="34" fillId="3" borderId="31" xfId="0" applyFont="true" applyBorder="true" applyAlignment="true" applyProtection="false">
      <alignment horizontal="center" vertical="bottom" textRotation="0" wrapText="false" indent="0" shrinkToFit="false"/>
      <protection locked="true" hidden="false"/>
    </xf>
    <xf numFmtId="179" fontId="35" fillId="3" borderId="31" xfId="0" applyFont="true" applyBorder="true" applyAlignment="true" applyProtection="false">
      <alignment horizontal="center" vertical="center" textRotation="0" wrapText="true" indent="0" shrinkToFit="false"/>
      <protection locked="true" hidden="false"/>
    </xf>
    <xf numFmtId="171" fontId="30" fillId="3" borderId="32" xfId="0" applyFont="true" applyBorder="true" applyAlignment="true" applyProtection="false">
      <alignment horizontal="center" vertical="center" textRotation="0" wrapText="true" indent="0" shrinkToFit="false"/>
      <protection locked="true" hidden="false"/>
    </xf>
    <xf numFmtId="177" fontId="34" fillId="3" borderId="32" xfId="0" applyFont="true" applyBorder="true" applyAlignment="true" applyProtection="false">
      <alignment horizontal="center" vertical="bottom" textRotation="0" wrapText="false" indent="0" shrinkToFit="false"/>
      <protection locked="true" hidden="false"/>
    </xf>
    <xf numFmtId="172" fontId="30" fillId="3" borderId="31" xfId="0" applyFont="true" applyBorder="true" applyAlignment="true" applyProtection="false">
      <alignment horizontal="center" vertical="center" textRotation="0" wrapText="true" indent="0" shrinkToFit="false"/>
      <protection locked="true" hidden="false"/>
    </xf>
    <xf numFmtId="164" fontId="34" fillId="3" borderId="33" xfId="0" applyFont="true" applyBorder="tru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5" fontId="30" fillId="3" borderId="19" xfId="0" applyFont="true" applyBorder="true" applyAlignment="true" applyProtection="false">
      <alignment horizontal="center" vertical="center" textRotation="0" wrapText="true" indent="0" shrinkToFit="false"/>
      <protection locked="true" hidden="false"/>
    </xf>
    <xf numFmtId="171" fontId="30" fillId="3" borderId="19" xfId="0" applyFont="true" applyBorder="true" applyAlignment="true" applyProtection="false">
      <alignment horizontal="center" vertical="center" textRotation="0" wrapText="true" indent="0" shrinkToFit="false"/>
      <protection locked="true" hidden="false"/>
    </xf>
    <xf numFmtId="177" fontId="30" fillId="3" borderId="19" xfId="0" applyFont="true" applyBorder="true" applyAlignment="true" applyProtection="false">
      <alignment horizontal="center" vertical="center" textRotation="0" wrapText="true" indent="0" shrinkToFit="false"/>
      <protection locked="true" hidden="false"/>
    </xf>
    <xf numFmtId="177" fontId="34" fillId="3" borderId="19" xfId="0" applyFont="true" applyBorder="true" applyAlignment="true" applyProtection="false">
      <alignment horizontal="center" vertical="center" textRotation="0" wrapText="true" indent="0" shrinkToFit="false"/>
      <protection locked="true" hidden="false"/>
    </xf>
    <xf numFmtId="164" fontId="30" fillId="3" borderId="34" xfId="0" applyFont="true" applyBorder="true" applyAlignment="false" applyProtection="false">
      <alignment horizontal="general" vertical="bottom" textRotation="0" wrapText="false" indent="0" shrinkToFit="false"/>
      <protection locked="true" hidden="false"/>
    </xf>
    <xf numFmtId="172" fontId="35" fillId="3" borderId="19" xfId="0" applyFont="true" applyBorder="true" applyAlignment="true" applyProtection="false">
      <alignment horizontal="center" vertical="center" textRotation="0" wrapText="true" indent="0" shrinkToFit="false"/>
      <protection locked="true" hidden="false"/>
    </xf>
    <xf numFmtId="179" fontId="36" fillId="3" borderId="21" xfId="0" applyFont="true" applyBorder="true" applyAlignment="true" applyProtection="false">
      <alignment horizontal="center" vertical="bottom" textRotation="0" wrapText="true" indent="0" shrinkToFit="false"/>
      <protection locked="true" hidden="false"/>
    </xf>
    <xf numFmtId="179" fontId="34" fillId="3" borderId="19" xfId="0" applyFont="true" applyBorder="true" applyAlignment="true" applyProtection="false">
      <alignment horizontal="center" vertical="bottom" textRotation="0" wrapText="false" indent="0" shrinkToFit="false"/>
      <protection locked="true" hidden="false"/>
    </xf>
    <xf numFmtId="165" fontId="30" fillId="3" borderId="34" xfId="0" applyFont="true" applyBorder="true" applyAlignment="false" applyProtection="false">
      <alignment horizontal="general" vertical="bottom" textRotation="0" wrapText="false" indent="0" shrinkToFit="false"/>
      <protection locked="true" hidden="false"/>
    </xf>
    <xf numFmtId="165" fontId="30" fillId="0" borderId="0" xfId="0" applyFont="true" applyBorder="false" applyAlignment="false" applyProtection="false">
      <alignment horizontal="general" vertical="bottom" textRotation="0" wrapText="false" indent="0" shrinkToFit="false"/>
      <protection locked="true" hidden="false"/>
    </xf>
    <xf numFmtId="165" fontId="30" fillId="3" borderId="35" xfId="0" applyFont="true" applyBorder="true" applyAlignment="false" applyProtection="false">
      <alignment horizontal="general" vertical="bottom" textRotation="0" wrapText="false" indent="0" shrinkToFit="false"/>
      <protection locked="true" hidden="false"/>
    </xf>
    <xf numFmtId="172" fontId="30" fillId="3" borderId="0" xfId="0" applyFont="true" applyBorder="false" applyAlignment="true" applyProtection="false">
      <alignment horizontal="center" vertical="center" textRotation="0" wrapText="true" indent="0" shrinkToFit="false"/>
      <protection locked="true" hidden="false"/>
    </xf>
    <xf numFmtId="164" fontId="35" fillId="3" borderId="0" xfId="0" applyFont="true" applyBorder="false" applyAlignment="true" applyProtection="false">
      <alignment horizontal="center" vertical="center" textRotation="0" wrapText="true" indent="0" shrinkToFit="false"/>
      <protection locked="true" hidden="false"/>
    </xf>
    <xf numFmtId="171" fontId="30" fillId="3" borderId="0" xfId="0" applyFont="true" applyBorder="false" applyAlignment="true" applyProtection="false">
      <alignment horizontal="center" vertical="center" textRotation="0" wrapText="true" indent="0" shrinkToFit="false"/>
      <protection locked="true" hidden="false"/>
    </xf>
    <xf numFmtId="177" fontId="30" fillId="3" borderId="0" xfId="0" applyFont="true" applyBorder="false" applyAlignment="true" applyProtection="false">
      <alignment horizontal="center" vertical="center" textRotation="0" wrapText="true" indent="0" shrinkToFit="false"/>
      <protection locked="true" hidden="false"/>
    </xf>
    <xf numFmtId="164" fontId="0" fillId="3" borderId="0" xfId="0" applyFont="false" applyBorder="false" applyAlignment="true" applyProtection="false">
      <alignment horizontal="center" vertical="bottom" textRotation="0" wrapText="false" indent="0" shrinkToFit="false"/>
      <protection locked="true" hidden="false"/>
    </xf>
    <xf numFmtId="179" fontId="30" fillId="3" borderId="0" xfId="0" applyFont="true" applyBorder="false" applyAlignment="true" applyProtection="false">
      <alignment horizontal="center" vertical="center" textRotation="0" wrapText="true" indent="0" shrinkToFit="false"/>
      <protection locked="true" hidden="false"/>
    </xf>
    <xf numFmtId="177" fontId="30" fillId="3" borderId="0" xfId="0" applyFont="true" applyBorder="false" applyAlignment="true" applyProtection="false">
      <alignment horizontal="center" vertical="center" textRotation="0" wrapText="false" indent="0" shrinkToFit="false"/>
      <protection locked="true" hidden="false"/>
    </xf>
    <xf numFmtId="179" fontId="34" fillId="3" borderId="0" xfId="0" applyFont="true" applyBorder="false" applyAlignment="true" applyProtection="false">
      <alignment horizontal="center" vertical="bottom" textRotation="0" wrapText="false" indent="0" shrinkToFit="false"/>
      <protection locked="true" hidden="false"/>
    </xf>
    <xf numFmtId="164" fontId="30" fillId="3" borderId="35" xfId="0" applyFont="true" applyBorder="true" applyAlignment="false" applyProtection="false">
      <alignment horizontal="general" vertical="bottom" textRotation="0" wrapText="false" indent="0" shrinkToFit="false"/>
      <protection locked="true" hidden="false"/>
    </xf>
    <xf numFmtId="164" fontId="34" fillId="3" borderId="28" xfId="0" applyFont="true" applyBorder="true" applyAlignment="true" applyProtection="false">
      <alignment horizontal="right" vertical="center" textRotation="0" wrapText="false" indent="0" shrinkToFit="false"/>
      <protection locked="true" hidden="false"/>
    </xf>
    <xf numFmtId="168" fontId="36" fillId="3" borderId="29" xfId="0" applyFont="true" applyBorder="true" applyAlignment="true" applyProtection="false">
      <alignment horizontal="center" vertical="center" textRotation="0" wrapText="true" indent="0" shrinkToFit="false"/>
      <protection locked="true" hidden="false"/>
    </xf>
    <xf numFmtId="177" fontId="30" fillId="3" borderId="0" xfId="0" applyFont="true" applyBorder="false" applyAlignment="true" applyProtection="false">
      <alignment horizontal="left" vertical="center" textRotation="0" wrapText="false" indent="2" shrinkToFit="false"/>
      <protection locked="true" hidden="false"/>
    </xf>
    <xf numFmtId="179" fontId="30" fillId="3" borderId="0" xfId="0" applyFont="true" applyBorder="false" applyAlignment="true" applyProtection="false">
      <alignment horizontal="center" vertical="center" textRotation="0" wrapText="false" indent="0" shrinkToFit="false"/>
      <protection locked="true" hidden="false"/>
    </xf>
    <xf numFmtId="177" fontId="30" fillId="3" borderId="0" xfId="0" applyFont="true" applyBorder="false" applyAlignment="true" applyProtection="false">
      <alignment horizontal="center" vertical="bottom" textRotation="0" wrapText="false" indent="0" shrinkToFit="false"/>
      <protection locked="true" hidden="false"/>
    </xf>
    <xf numFmtId="171" fontId="30" fillId="3" borderId="0" xfId="0" applyFont="true" applyBorder="false" applyAlignment="true" applyProtection="false">
      <alignment horizontal="center" vertical="bottom" textRotation="0" wrapText="false" indent="0" shrinkToFit="false"/>
      <protection locked="true" hidden="false"/>
    </xf>
    <xf numFmtId="172" fontId="30" fillId="3" borderId="0" xfId="0" applyFont="true" applyBorder="false" applyAlignment="false" applyProtection="false">
      <alignment horizontal="general" vertical="bottom" textRotation="0" wrapText="false" indent="0" shrinkToFit="false"/>
      <protection locked="true" hidden="false"/>
    </xf>
    <xf numFmtId="177" fontId="30" fillId="3" borderId="0" xfId="0" applyFont="true" applyBorder="false" applyAlignment="false" applyProtection="false">
      <alignment horizontal="general" vertical="bottom" textRotation="0" wrapText="false" indent="0" shrinkToFit="false"/>
      <protection locked="true" hidden="false"/>
    </xf>
    <xf numFmtId="164" fontId="34" fillId="3" borderId="0" xfId="0" applyFont="true" applyBorder="true" applyAlignment="true" applyProtection="false">
      <alignment horizontal="general" vertical="center" textRotation="0" wrapText="true" indent="0" shrinkToFit="false"/>
      <protection locked="true" hidden="false"/>
    </xf>
    <xf numFmtId="171" fontId="30" fillId="3" borderId="0" xfId="0" applyFont="true" applyBorder="false" applyAlignment="true" applyProtection="false">
      <alignment horizontal="general" vertical="center" textRotation="0" wrapText="false" indent="0" shrinkToFit="false"/>
      <protection locked="true" hidden="false"/>
    </xf>
    <xf numFmtId="172" fontId="30" fillId="0" borderId="19" xfId="0" applyFont="true" applyBorder="true" applyAlignment="false" applyProtection="false">
      <alignment horizontal="general" vertical="bottom" textRotation="0" wrapText="false" indent="0" shrinkToFit="false"/>
      <protection locked="true" hidden="false"/>
    </xf>
    <xf numFmtId="164" fontId="35" fillId="0" borderId="19" xfId="0" applyFont="true" applyBorder="true" applyAlignment="false" applyProtection="false">
      <alignment horizontal="general" vertical="bottom" textRotation="0" wrapText="false" indent="0" shrinkToFit="false"/>
      <protection locked="true" hidden="false"/>
    </xf>
    <xf numFmtId="171" fontId="30" fillId="0" borderId="19" xfId="0" applyFont="true" applyBorder="true" applyAlignment="false" applyProtection="false">
      <alignment horizontal="general" vertical="bottom" textRotation="0" wrapText="false" indent="0" shrinkToFit="false"/>
      <protection locked="true" hidden="false"/>
    </xf>
    <xf numFmtId="177" fontId="30" fillId="0" borderId="19" xfId="0" applyFont="true" applyBorder="true" applyAlignment="false" applyProtection="false">
      <alignment horizontal="general" vertical="bottom" textRotation="0" wrapText="false" indent="0" shrinkToFit="false"/>
      <protection locked="true" hidden="false"/>
    </xf>
    <xf numFmtId="179" fontId="30" fillId="3" borderId="0" xfId="0" applyFont="true" applyBorder="false" applyAlignment="true" applyProtection="false">
      <alignment horizontal="center" vertical="bottom" textRotation="0" wrapText="false" indent="0" shrinkToFit="false"/>
      <protection locked="true" hidden="false"/>
    </xf>
    <xf numFmtId="172" fontId="30" fillId="3" borderId="36" xfId="0" applyFont="true" applyBorder="true" applyAlignment="true" applyProtection="false">
      <alignment horizontal="left" vertical="bottom" textRotation="0" wrapText="true" indent="7" shrinkToFit="false"/>
      <protection locked="true" hidden="false"/>
    </xf>
    <xf numFmtId="177" fontId="30" fillId="3" borderId="21" xfId="0" applyFont="true" applyBorder="true" applyAlignment="false" applyProtection="false">
      <alignment horizontal="general" vertical="bottom" textRotation="0" wrapText="false" indent="0" shrinkToFit="false"/>
      <protection locked="true" hidden="false"/>
    </xf>
    <xf numFmtId="177" fontId="30" fillId="3" borderId="19" xfId="0" applyFont="true" applyBorder="true" applyAlignment="false" applyProtection="false">
      <alignment horizontal="general" vertical="bottom" textRotation="0" wrapText="false" indent="0" shrinkToFit="false"/>
      <protection locked="true" hidden="false"/>
    </xf>
    <xf numFmtId="171" fontId="30" fillId="3" borderId="0" xfId="0" applyFont="true" applyBorder="false" applyAlignment="false" applyProtection="false">
      <alignment horizontal="general" vertical="bottom" textRotation="0" wrapText="false" indent="0" shrinkToFit="false"/>
      <protection locked="true" hidden="false"/>
    </xf>
    <xf numFmtId="172" fontId="30" fillId="3" borderId="0" xfId="0" applyFont="true" applyBorder="false" applyAlignment="true" applyProtection="false">
      <alignment horizontal="left" vertical="bottom" textRotation="0" wrapText="true" indent="7" shrinkToFit="false"/>
      <protection locked="true" hidden="false"/>
    </xf>
    <xf numFmtId="164" fontId="35" fillId="3" borderId="0" xfId="0" applyFont="true" applyBorder="false" applyAlignment="true" applyProtection="false">
      <alignment horizontal="left" vertical="bottom" textRotation="0" wrapText="true" indent="7" shrinkToFit="false"/>
      <protection locked="true" hidden="false"/>
    </xf>
    <xf numFmtId="164" fontId="30" fillId="3" borderId="0" xfId="0" applyFont="true" applyBorder="false" applyAlignment="true" applyProtection="false">
      <alignment horizontal="left" vertical="bottom" textRotation="0" wrapText="true" indent="7" shrinkToFit="false"/>
      <protection locked="true" hidden="false"/>
    </xf>
    <xf numFmtId="177" fontId="30" fillId="0" borderId="19" xfId="0" applyFont="true" applyBorder="true" applyAlignment="true" applyProtection="false">
      <alignment horizontal="center" vertical="bottom" textRotation="0" wrapText="false" indent="0" shrinkToFit="false"/>
      <protection locked="true" hidden="false"/>
    </xf>
    <xf numFmtId="171" fontId="34" fillId="3" borderId="0" xfId="0" applyFont="true" applyBorder="false" applyAlignment="false" applyProtection="false">
      <alignment horizontal="general" vertical="bottom" textRotation="0" wrapText="false" indent="0" shrinkToFit="false"/>
      <protection locked="true" hidden="false"/>
    </xf>
    <xf numFmtId="164" fontId="34" fillId="3" borderId="24" xfId="0" applyFont="true" applyBorder="true" applyAlignment="true" applyProtection="false">
      <alignment horizontal="right" vertical="center" textRotation="0" wrapText="true" indent="0" shrinkToFit="false"/>
      <protection locked="true" hidden="false"/>
    </xf>
    <xf numFmtId="170" fontId="34" fillId="3" borderId="0" xfId="0" applyFont="true" applyBorder="false" applyAlignment="true" applyProtection="false">
      <alignment horizontal="left" vertical="bottom" textRotation="0" wrapText="false" indent="0" shrinkToFit="false"/>
      <protection locked="true" hidden="false"/>
    </xf>
    <xf numFmtId="179" fontId="30" fillId="3" borderId="0" xfId="0" applyFont="true" applyBorder="false" applyAlignment="false" applyProtection="false">
      <alignment horizontal="general" vertical="bottom" textRotation="0" wrapText="false" indent="0" shrinkToFit="false"/>
      <protection locked="true" hidden="false"/>
    </xf>
    <xf numFmtId="164" fontId="30" fillId="3" borderId="0" xfId="0" applyFont="true" applyBorder="false" applyAlignment="false" applyProtection="false">
      <alignment horizontal="general" vertical="bottom" textRotation="0" wrapText="false" indent="0" shrinkToFit="false"/>
      <protection locked="true" hidden="false"/>
    </xf>
    <xf numFmtId="179" fontId="30" fillId="0" borderId="19" xfId="0" applyFont="true" applyBorder="true" applyAlignment="true" applyProtection="false">
      <alignment horizontal="center" vertical="bottom" textRotation="0" wrapText="false" indent="0" shrinkToFit="false"/>
      <protection locked="true" hidden="false"/>
    </xf>
    <xf numFmtId="164" fontId="35" fillId="3" borderId="0" xfId="0" applyFont="true" applyBorder="false" applyAlignment="false" applyProtection="false">
      <alignment horizontal="general" vertical="bottom" textRotation="0" wrapText="false" indent="0" shrinkToFit="false"/>
      <protection locked="true" hidden="false"/>
    </xf>
    <xf numFmtId="177" fontId="30" fillId="3" borderId="26" xfId="0" applyFont="true" applyBorder="true" applyAlignment="false" applyProtection="false">
      <alignment horizontal="general" vertical="bottom" textRotation="0" wrapText="false" indent="0" shrinkToFit="false"/>
      <protection locked="true" hidden="false"/>
    </xf>
    <xf numFmtId="172" fontId="34" fillId="3" borderId="0" xfId="0" applyFont="true" applyBorder="false" applyAlignment="true" applyProtection="false">
      <alignment horizontal="general" vertical="bottom" textRotation="0" wrapText="true" indent="0" shrinkToFit="false"/>
      <protection locked="true" hidden="false"/>
    </xf>
    <xf numFmtId="164" fontId="37" fillId="3" borderId="0" xfId="0" applyFont="true" applyBorder="false" applyAlignment="true" applyProtection="false">
      <alignment horizontal="general" vertical="bottom" textRotation="0" wrapText="true" indent="0" shrinkToFit="false"/>
      <protection locked="true" hidden="false"/>
    </xf>
    <xf numFmtId="171" fontId="34" fillId="3" borderId="0" xfId="0" applyFont="true" applyBorder="false" applyAlignment="true" applyProtection="false">
      <alignment horizontal="general" vertical="bottom" textRotation="0" wrapText="true" indent="0" shrinkToFit="false"/>
      <protection locked="true" hidden="false"/>
    </xf>
    <xf numFmtId="171" fontId="34" fillId="0" borderId="19" xfId="0" applyFont="true" applyBorder="true" applyAlignment="false" applyProtection="false">
      <alignment horizontal="general" vertical="bottom" textRotation="0" wrapText="false" indent="0" shrinkToFit="false"/>
      <protection locked="true" hidden="false"/>
    </xf>
    <xf numFmtId="171" fontId="30" fillId="3" borderId="19" xfId="0" applyFont="true" applyBorder="true" applyAlignment="false" applyProtection="false">
      <alignment horizontal="general" vertical="bottom" textRotation="0" wrapText="false" indent="0" shrinkToFit="false"/>
      <protection locked="true" hidden="false"/>
    </xf>
    <xf numFmtId="166" fontId="34" fillId="3" borderId="27" xfId="0" applyFont="true" applyBorder="true" applyAlignment="true" applyProtection="false">
      <alignment horizontal="right" vertical="center" textRotation="0" wrapText="true" indent="0" shrinkToFit="false"/>
      <protection locked="true" hidden="false"/>
    </xf>
    <xf numFmtId="177" fontId="30" fillId="0" borderId="20" xfId="0" applyFont="true" applyBorder="true" applyAlignment="false" applyProtection="false">
      <alignment horizontal="general" vertical="bottom" textRotation="0" wrapText="false" indent="0" shrinkToFit="false"/>
      <protection locked="true" hidden="false"/>
    </xf>
    <xf numFmtId="164" fontId="30" fillId="3" borderId="37" xfId="0" applyFont="true" applyBorder="true" applyAlignment="false" applyProtection="false">
      <alignment horizontal="general" vertical="bottom" textRotation="0" wrapText="false" indent="0" shrinkToFit="false"/>
      <protection locked="true" hidden="false"/>
    </xf>
    <xf numFmtId="172" fontId="30" fillId="3" borderId="38" xfId="0" applyFont="true" applyBorder="true" applyAlignment="false" applyProtection="false">
      <alignment horizontal="general" vertical="bottom" textRotation="0" wrapText="false" indent="0" shrinkToFit="false"/>
      <protection locked="true" hidden="false"/>
    </xf>
    <xf numFmtId="164" fontId="35" fillId="3" borderId="38" xfId="0" applyFont="true" applyBorder="true" applyAlignment="false" applyProtection="false">
      <alignment horizontal="general" vertical="bottom" textRotation="0" wrapText="false" indent="0" shrinkToFit="false"/>
      <protection locked="true" hidden="false"/>
    </xf>
    <xf numFmtId="171" fontId="30" fillId="3" borderId="38" xfId="0" applyFont="true" applyBorder="true" applyAlignment="false" applyProtection="false">
      <alignment horizontal="general" vertical="bottom" textRotation="0" wrapText="false" indent="0" shrinkToFit="false"/>
      <protection locked="true" hidden="false"/>
    </xf>
    <xf numFmtId="177" fontId="30" fillId="3" borderId="38" xfId="0" applyFont="true" applyBorder="true" applyAlignment="false" applyProtection="false">
      <alignment horizontal="general" vertical="bottom" textRotation="0" wrapText="false" indent="0" shrinkToFit="false"/>
      <protection locked="true" hidden="false"/>
    </xf>
    <xf numFmtId="179" fontId="30" fillId="3" borderId="38" xfId="0" applyFont="true" applyBorder="true" applyAlignment="true" applyProtection="false">
      <alignment horizontal="center" vertical="bottom" textRotation="0" wrapText="false" indent="0" shrinkToFit="false"/>
      <protection locked="true" hidden="false"/>
    </xf>
    <xf numFmtId="177" fontId="30" fillId="3" borderId="38" xfId="0" applyFont="true" applyBorder="true" applyAlignment="true" applyProtection="false">
      <alignment horizontal="center" vertical="bottom" textRotation="0" wrapText="false" indent="0" shrinkToFit="false"/>
      <protection locked="true" hidden="false"/>
    </xf>
    <xf numFmtId="171" fontId="30" fillId="3" borderId="38" xfId="0" applyFont="true" applyBorder="true" applyAlignment="true" applyProtection="false">
      <alignment horizontal="center" vertical="bottom" textRotation="0" wrapText="false" indent="0" shrinkToFit="false"/>
      <protection locked="true" hidden="false"/>
    </xf>
    <xf numFmtId="164" fontId="30" fillId="3" borderId="39" xfId="0" applyFont="true" applyBorder="true" applyAlignment="false" applyProtection="false">
      <alignment horizontal="general" vertical="bottom" textRotation="0" wrapText="false" indent="0" shrinkToFit="false"/>
      <protection locked="true" hidden="false"/>
    </xf>
    <xf numFmtId="164" fontId="10" fillId="0" borderId="0" xfId="21" applyFont="true" applyBorder="false" applyAlignment="false" applyProtection="false">
      <alignment horizontal="general" vertical="bottom" textRotation="0" wrapText="false" indent="0" shrinkToFit="false"/>
      <protection locked="true" hidden="false"/>
    </xf>
    <xf numFmtId="172" fontId="10" fillId="0" borderId="0" xfId="21" applyFont="true" applyBorder="false" applyAlignment="false" applyProtection="false">
      <alignment horizontal="general" vertical="bottom" textRotation="0" wrapText="false" indent="0" shrinkToFit="false"/>
      <protection locked="true" hidden="false"/>
    </xf>
    <xf numFmtId="174" fontId="10" fillId="0" borderId="0" xfId="21" applyFont="true" applyBorder="false" applyAlignment="false" applyProtection="false">
      <alignment horizontal="general" vertical="bottom" textRotation="0" wrapText="false" indent="0" shrinkToFit="false"/>
      <protection locked="true" hidden="false"/>
    </xf>
    <xf numFmtId="164" fontId="10" fillId="3" borderId="0" xfId="21" applyFont="true" applyBorder="false" applyAlignment="false" applyProtection="false">
      <alignment horizontal="general" vertical="bottom" textRotation="0" wrapText="false" indent="0" shrinkToFit="false"/>
      <protection locked="true" hidden="false"/>
    </xf>
    <xf numFmtId="172" fontId="10" fillId="3" borderId="0" xfId="21" applyFont="true" applyBorder="false" applyAlignment="false" applyProtection="false">
      <alignment horizontal="general" vertical="bottom" textRotation="0" wrapText="false" indent="0" shrinkToFit="false"/>
      <protection locked="true" hidden="false"/>
    </xf>
    <xf numFmtId="174" fontId="10" fillId="3" borderId="0" xfId="21" applyFont="true" applyBorder="false" applyAlignment="false" applyProtection="false">
      <alignment horizontal="general" vertical="bottom" textRotation="0" wrapText="false" indent="0" shrinkToFit="false"/>
      <protection locked="true" hidden="false"/>
    </xf>
    <xf numFmtId="172" fontId="11" fillId="3" borderId="19" xfId="21" applyFont="true" applyBorder="true" applyAlignment="true" applyProtection="false">
      <alignment horizontal="center" vertical="bottom" textRotation="0" wrapText="true" indent="0" shrinkToFit="false"/>
      <protection locked="true" hidden="false"/>
    </xf>
    <xf numFmtId="172" fontId="10" fillId="3" borderId="0" xfId="21" applyFont="true" applyBorder="false" applyAlignment="true" applyProtection="false">
      <alignment horizontal="center" vertical="bottom" textRotation="0" wrapText="true" indent="0" shrinkToFit="false"/>
      <protection locked="true" hidden="false"/>
    </xf>
    <xf numFmtId="174" fontId="11" fillId="3" borderId="19" xfId="21" applyFont="true" applyBorder="true" applyAlignment="true" applyProtection="false">
      <alignment horizontal="center" vertical="bottom" textRotation="0" wrapText="true" indent="0" shrinkToFit="false"/>
      <protection locked="true" hidden="false"/>
    </xf>
    <xf numFmtId="174" fontId="10" fillId="3" borderId="0" xfId="21" applyFont="true" applyBorder="false" applyAlignment="true" applyProtection="false">
      <alignment horizontal="center" vertical="bottom" textRotation="0" wrapText="true" indent="0" shrinkToFit="false"/>
      <protection locked="true" hidden="false"/>
    </xf>
    <xf numFmtId="172" fontId="11" fillId="3" borderId="40" xfId="21" applyFont="true" applyBorder="true" applyAlignment="true" applyProtection="false">
      <alignment horizontal="center" vertical="bottom" textRotation="0" wrapText="false" indent="0" shrinkToFit="false"/>
      <protection locked="true" hidden="false"/>
    </xf>
    <xf numFmtId="172" fontId="11" fillId="3" borderId="41" xfId="21" applyFont="true" applyBorder="true" applyAlignment="true" applyProtection="false">
      <alignment horizontal="left" vertical="bottom" textRotation="0" wrapText="false" indent="1" shrinkToFit="false"/>
      <protection locked="true" hidden="false"/>
    </xf>
    <xf numFmtId="172" fontId="10" fillId="3" borderId="0" xfId="21" applyFont="true" applyBorder="false" applyAlignment="true" applyProtection="false">
      <alignment horizontal="left" vertical="bottom" textRotation="0" wrapText="false" indent="1" shrinkToFit="false"/>
      <protection locked="true" hidden="false"/>
    </xf>
    <xf numFmtId="174" fontId="10" fillId="0" borderId="26" xfId="21" applyFont="true" applyBorder="true" applyAlignment="false" applyProtection="false">
      <alignment horizontal="general" vertical="bottom" textRotation="0" wrapText="false" indent="0" shrinkToFit="false"/>
      <protection locked="true" hidden="false"/>
    </xf>
    <xf numFmtId="172" fontId="10" fillId="3" borderId="19" xfId="21" applyFont="true" applyBorder="true" applyAlignment="true" applyProtection="false">
      <alignment horizontal="left" vertical="bottom" textRotation="0" wrapText="false" indent="1"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center" vertical="bottom" textRotation="0" wrapText="false" indent="0" shrinkToFit="false"/>
      <protection locked="true" hidden="false"/>
    </xf>
    <xf numFmtId="177" fontId="27" fillId="0" borderId="0" xfId="0" applyFont="true" applyBorder="false" applyAlignment="false" applyProtection="false">
      <alignment horizontal="general" vertical="bottom" textRotation="0" wrapText="false" indent="0" shrinkToFit="false"/>
      <protection locked="true" hidden="false"/>
    </xf>
    <xf numFmtId="164" fontId="27" fillId="3" borderId="0" xfId="0" applyFont="true" applyBorder="false" applyAlignment="true" applyProtection="false">
      <alignment horizontal="general" vertical="bottom" textRotation="0" wrapText="true" indent="0" shrinkToFit="false"/>
      <protection locked="true" hidden="false"/>
    </xf>
    <xf numFmtId="164" fontId="27" fillId="3" borderId="19" xfId="0" applyFont="true" applyBorder="true" applyAlignment="true" applyProtection="false">
      <alignment horizontal="center" vertical="center" textRotation="0" wrapText="true" indent="0" shrinkToFit="false"/>
      <protection locked="true" hidden="false"/>
    </xf>
    <xf numFmtId="177" fontId="27" fillId="3" borderId="19" xfId="0" applyFont="true" applyBorder="true" applyAlignment="true" applyProtection="false">
      <alignment horizontal="center" vertical="center" textRotation="0" wrapText="true" indent="0" shrinkToFit="false"/>
      <protection locked="true" hidden="false"/>
    </xf>
    <xf numFmtId="164" fontId="27" fillId="3" borderId="0" xfId="0" applyFont="true" applyBorder="false" applyAlignment="true" applyProtection="false">
      <alignment horizontal="center" vertical="center" textRotation="0" wrapText="true" indent="0" shrinkToFit="false"/>
      <protection locked="true" hidden="false"/>
    </xf>
    <xf numFmtId="164" fontId="27" fillId="0" borderId="0" xfId="0" applyFont="true" applyBorder="false" applyAlignment="true" applyProtection="false">
      <alignment horizontal="general" vertical="bottom" textRotation="0" wrapText="true" indent="0" shrinkToFit="false"/>
      <protection locked="true" hidden="false"/>
    </xf>
    <xf numFmtId="164" fontId="27" fillId="3" borderId="0" xfId="0" applyFont="true" applyBorder="false" applyAlignment="false" applyProtection="false">
      <alignment horizontal="general" vertical="bottom" textRotation="0" wrapText="false" indent="0" shrinkToFit="false"/>
      <protection locked="true" hidden="false"/>
    </xf>
    <xf numFmtId="164" fontId="27" fillId="3" borderId="0" xfId="0" applyFont="true" applyBorder="false" applyAlignment="true" applyProtection="false">
      <alignment horizontal="center" vertical="bottom" textRotation="0" wrapText="false" indent="0" shrinkToFit="false"/>
      <protection locked="true" hidden="false"/>
    </xf>
    <xf numFmtId="177" fontId="27" fillId="3" borderId="0" xfId="0" applyFont="true" applyBorder="false" applyAlignment="false" applyProtection="false">
      <alignment horizontal="general" vertical="bottom" textRotation="0" wrapText="false" indent="0" shrinkToFit="false"/>
      <protection locked="true" hidden="false"/>
    </xf>
    <xf numFmtId="164" fontId="27" fillId="0" borderId="19" xfId="0" applyFont="true" applyBorder="true" applyAlignment="true" applyProtection="false">
      <alignment horizontal="center" vertical="bottom" textRotation="0" wrapText="false" indent="0" shrinkToFit="false"/>
      <protection locked="true" hidden="false"/>
    </xf>
    <xf numFmtId="177" fontId="27" fillId="0" borderId="19" xfId="0" applyFont="true" applyBorder="true" applyAlignment="false" applyProtection="false">
      <alignment horizontal="general" vertical="bottom" textRotation="0" wrapText="false" indent="0" shrinkToFit="false"/>
      <protection locked="true" hidden="false"/>
    </xf>
    <xf numFmtId="167" fontId="27" fillId="0" borderId="19" xfId="0" applyFont="true" applyBorder="true" applyAlignment="true" applyProtection="false">
      <alignment horizontal="center" vertical="bottom" textRotation="0" wrapText="false" indent="0" shrinkToFit="false"/>
      <protection locked="true" hidden="false"/>
    </xf>
    <xf numFmtId="177" fontId="27" fillId="0" borderId="19" xfId="0" applyFont="true" applyBorder="true" applyAlignment="false" applyProtection="true">
      <alignment horizontal="general" vertical="bottom" textRotation="0" wrapText="false" indent="0" shrinkToFit="false"/>
      <protection locked="true" hidden="true"/>
    </xf>
    <xf numFmtId="164" fontId="27" fillId="3" borderId="0" xfId="0" applyFont="true" applyBorder="false" applyAlignment="true" applyProtection="false">
      <alignment horizontal="center" vertical="bottom" textRotation="0" wrapText="true" indent="0" shrinkToFit="false"/>
      <protection locked="true" hidden="false"/>
    </xf>
    <xf numFmtId="177" fontId="27" fillId="0" borderId="26" xfId="0" applyFont="true" applyBorder="true" applyAlignment="true" applyProtection="false">
      <alignment horizontal="center" vertical="center" textRotation="0" wrapText="true" indent="0" shrinkToFit="false"/>
      <protection locked="true" hidden="false"/>
    </xf>
    <xf numFmtId="172" fontId="27" fillId="0" borderId="0" xfId="21" applyFont="true" applyBorder="false" applyAlignment="false" applyProtection="false">
      <alignment horizontal="general" vertical="bottom" textRotation="0" wrapText="false" indent="0" shrinkToFit="false"/>
      <protection locked="true" hidden="false"/>
    </xf>
    <xf numFmtId="177" fontId="27" fillId="0" borderId="0" xfId="21" applyFont="true" applyBorder="false" applyAlignment="false" applyProtection="false">
      <alignment horizontal="general" vertical="bottom" textRotation="0" wrapText="false" indent="0" shrinkToFit="false"/>
      <protection locked="true" hidden="false"/>
    </xf>
    <xf numFmtId="171" fontId="27" fillId="0" borderId="0" xfId="21" applyFont="true" applyBorder="false" applyAlignment="false" applyProtection="false">
      <alignment horizontal="general" vertical="bottom" textRotation="0" wrapText="false" indent="0" shrinkToFit="false"/>
      <protection locked="true" hidden="false"/>
    </xf>
    <xf numFmtId="178" fontId="27" fillId="0" borderId="0" xfId="21" applyFont="true" applyBorder="false" applyAlignment="false" applyProtection="false">
      <alignment horizontal="general" vertical="bottom" textRotation="0" wrapText="false" indent="0" shrinkToFit="false"/>
      <protection locked="true" hidden="false"/>
    </xf>
    <xf numFmtId="174" fontId="27" fillId="0" borderId="0" xfId="21" applyFont="true" applyBorder="false" applyAlignment="true" applyProtection="false">
      <alignment horizontal="center" vertical="bottom" textRotation="0" wrapText="false" indent="0" shrinkToFit="false"/>
      <protection locked="true" hidden="false"/>
    </xf>
    <xf numFmtId="177" fontId="29" fillId="0" borderId="0" xfId="21" applyFont="true" applyBorder="false" applyAlignment="true" applyProtection="false">
      <alignment horizontal="center" vertical="bottom" textRotation="0" wrapText="false" indent="0" shrinkToFit="false"/>
      <protection locked="true" hidden="false"/>
    </xf>
    <xf numFmtId="171" fontId="29" fillId="0" borderId="0" xfId="21" applyFont="true" applyBorder="false" applyAlignment="true" applyProtection="false">
      <alignment horizontal="center" vertical="bottom" textRotation="0" wrapText="false" indent="0" shrinkToFit="false"/>
      <protection locked="true" hidden="false"/>
    </xf>
    <xf numFmtId="172" fontId="27" fillId="3" borderId="19" xfId="21" applyFont="true" applyBorder="true" applyAlignment="true" applyProtection="false">
      <alignment horizontal="center" vertical="center" textRotation="0" wrapText="true" indent="0" shrinkToFit="false"/>
      <protection locked="true" hidden="false"/>
    </xf>
    <xf numFmtId="177" fontId="27" fillId="3" borderId="19" xfId="21" applyFont="true" applyBorder="true" applyAlignment="true" applyProtection="false">
      <alignment horizontal="center" vertical="center" textRotation="0" wrapText="true" indent="0" shrinkToFit="false"/>
      <protection locked="true" hidden="false"/>
    </xf>
    <xf numFmtId="171" fontId="28" fillId="3" borderId="0" xfId="21" applyFont="true" applyBorder="false" applyAlignment="false" applyProtection="false">
      <alignment horizontal="general" vertical="bottom" textRotation="0" wrapText="false" indent="0" shrinkToFit="false"/>
      <protection locked="true" hidden="false"/>
    </xf>
    <xf numFmtId="177" fontId="28" fillId="3" borderId="19" xfId="21" applyFont="true" applyBorder="true" applyAlignment="true" applyProtection="false">
      <alignment horizontal="center" vertical="bottom" textRotation="0" wrapText="false" indent="0" shrinkToFit="false"/>
      <protection locked="true" hidden="false"/>
    </xf>
    <xf numFmtId="174" fontId="28" fillId="3" borderId="19" xfId="21" applyFont="true" applyBorder="true" applyAlignment="true" applyProtection="false">
      <alignment horizontal="center" vertical="bottom" textRotation="0" wrapText="false" indent="0" shrinkToFit="false"/>
      <protection locked="true" hidden="false"/>
    </xf>
    <xf numFmtId="177" fontId="28" fillId="5" borderId="19" xfId="21" applyFont="true" applyBorder="true" applyAlignment="true" applyProtection="false">
      <alignment horizontal="center" vertical="bottom" textRotation="0" wrapText="false" indent="0" shrinkToFit="false"/>
      <protection locked="true" hidden="false"/>
    </xf>
    <xf numFmtId="172" fontId="28" fillId="5" borderId="19" xfId="21" applyFont="true" applyBorder="true" applyAlignment="true" applyProtection="false">
      <alignment horizontal="center" vertical="bottom" textRotation="0" wrapText="false" indent="0" shrinkToFit="false"/>
      <protection locked="true" hidden="false"/>
    </xf>
    <xf numFmtId="177" fontId="28" fillId="3" borderId="30" xfId="21" applyFont="true" applyBorder="true" applyAlignment="true" applyProtection="false">
      <alignment horizontal="center" vertical="bottom" textRotation="0" wrapText="false" indent="0" shrinkToFit="false"/>
      <protection locked="true" hidden="false"/>
    </xf>
    <xf numFmtId="177" fontId="28" fillId="0" borderId="0" xfId="21" applyFont="true" applyBorder="false" applyAlignment="false" applyProtection="false">
      <alignment horizontal="general" vertical="bottom" textRotation="0" wrapText="false" indent="0" shrinkToFit="false"/>
      <protection locked="true" hidden="false"/>
    </xf>
    <xf numFmtId="171" fontId="27" fillId="3" borderId="21" xfId="21" applyFont="true" applyBorder="true" applyAlignment="true" applyProtection="false">
      <alignment horizontal="center" vertical="center" textRotation="0" wrapText="true" indent="0" shrinkToFit="false"/>
      <protection locked="true" hidden="false"/>
    </xf>
    <xf numFmtId="178" fontId="30" fillId="3" borderId="30" xfId="21" applyFont="true" applyBorder="true" applyAlignment="true" applyProtection="false">
      <alignment horizontal="center" vertical="center" textRotation="0" wrapText="true" indent="0" shrinkToFit="false"/>
      <protection locked="true" hidden="false"/>
    </xf>
    <xf numFmtId="174" fontId="27" fillId="3" borderId="19" xfId="21" applyFont="true" applyBorder="true" applyAlignment="true" applyProtection="false">
      <alignment horizontal="center" vertical="center" textRotation="0" wrapText="true" indent="0" shrinkToFit="false"/>
      <protection locked="true" hidden="false"/>
    </xf>
    <xf numFmtId="177" fontId="27" fillId="5" borderId="19" xfId="21" applyFont="true" applyBorder="true" applyAlignment="true" applyProtection="false">
      <alignment horizontal="center" vertical="center" textRotation="0" wrapText="true" indent="0" shrinkToFit="false"/>
      <protection locked="true" hidden="false"/>
    </xf>
    <xf numFmtId="171" fontId="27" fillId="5" borderId="19" xfId="21" applyFont="true" applyBorder="true" applyAlignment="true" applyProtection="false">
      <alignment horizontal="center" vertical="center" textRotation="0" wrapText="true" indent="0" shrinkToFit="false"/>
      <protection locked="true" hidden="false"/>
    </xf>
    <xf numFmtId="177" fontId="27" fillId="0" borderId="0" xfId="21" applyFont="true" applyBorder="false" applyAlignment="true" applyProtection="false">
      <alignment horizontal="center" vertical="center" textRotation="0" wrapText="true" indent="0" shrinkToFit="false"/>
      <protection locked="true" hidden="false"/>
    </xf>
    <xf numFmtId="172" fontId="30" fillId="0" borderId="0" xfId="21" applyFont="true" applyBorder="false" applyAlignment="false" applyProtection="false">
      <alignment horizontal="general" vertical="bottom" textRotation="0" wrapText="false" indent="0" shrinkToFit="false"/>
      <protection locked="true" hidden="false"/>
    </xf>
    <xf numFmtId="177" fontId="27" fillId="0" borderId="38" xfId="21" applyFont="true" applyBorder="true" applyAlignment="false" applyProtection="false">
      <alignment horizontal="general" vertical="bottom" textRotation="0" wrapText="false" indent="0" shrinkToFit="false"/>
      <protection locked="true" hidden="false"/>
    </xf>
    <xf numFmtId="171" fontId="27" fillId="0" borderId="38" xfId="21" applyFont="true" applyBorder="true" applyAlignment="false" applyProtection="false">
      <alignment horizontal="general" vertical="bottom" textRotation="0" wrapText="false" indent="0" shrinkToFit="false"/>
      <protection locked="true" hidden="false"/>
    </xf>
    <xf numFmtId="178" fontId="27" fillId="0" borderId="38" xfId="21" applyFont="true" applyBorder="true" applyAlignment="false" applyProtection="false">
      <alignment horizontal="general" vertical="bottom" textRotation="0" wrapText="false" indent="0" shrinkToFit="false"/>
      <protection locked="true" hidden="false"/>
    </xf>
    <xf numFmtId="174" fontId="27" fillId="0" borderId="38" xfId="21" applyFont="true" applyBorder="true" applyAlignment="true" applyProtection="false">
      <alignment horizontal="center" vertical="bottom" textRotation="0" wrapText="false" indent="0" shrinkToFit="false"/>
      <protection locked="true" hidden="false"/>
    </xf>
    <xf numFmtId="177" fontId="29" fillId="0" borderId="38" xfId="21" applyFont="true" applyBorder="true" applyAlignment="true" applyProtection="false">
      <alignment horizontal="center" vertical="bottom" textRotation="0" wrapText="false" indent="0" shrinkToFit="false"/>
      <protection locked="true" hidden="false"/>
    </xf>
    <xf numFmtId="171" fontId="29" fillId="0" borderId="38" xfId="21" applyFont="true" applyBorder="true" applyAlignment="true" applyProtection="false">
      <alignment horizontal="center" vertical="bottom" textRotation="0" wrapText="false" indent="0" shrinkToFit="false"/>
      <protection locked="true" hidden="false"/>
    </xf>
    <xf numFmtId="172" fontId="27" fillId="0" borderId="0" xfId="21" applyFont="true" applyBorder="false" applyAlignment="true" applyProtection="false">
      <alignment horizontal="center" vertical="bottom" textRotation="0" wrapText="false" indent="0" shrinkToFit="false"/>
      <protection locked="true" hidden="false"/>
    </xf>
    <xf numFmtId="164" fontId="27" fillId="0" borderId="0" xfId="21" applyFont="true" applyBorder="false" applyAlignment="false" applyProtection="false">
      <alignment horizontal="general" vertical="bottom" textRotation="0" wrapText="false" indent="0" shrinkToFit="false"/>
      <protection locked="true" hidden="false"/>
    </xf>
    <xf numFmtId="164" fontId="27" fillId="0" borderId="0" xfId="21" applyFont="true" applyBorder="false" applyAlignment="true" applyProtection="false">
      <alignment horizontal="left" vertical="bottom" textRotation="0" wrapText="false" indent="0" shrinkToFit="false"/>
      <protection locked="true" hidden="false"/>
    </xf>
    <xf numFmtId="164" fontId="27" fillId="0" borderId="0" xfId="21" applyFont="true" applyBorder="false" applyAlignment="true" applyProtection="false">
      <alignment horizontal="center" vertical="bottom" textRotation="0" wrapText="false" indent="0" shrinkToFit="false"/>
      <protection locked="true" hidden="false"/>
    </xf>
    <xf numFmtId="177" fontId="27" fillId="0" borderId="0" xfId="21" applyFont="true" applyBorder="false" applyAlignment="true" applyProtection="false">
      <alignment horizontal="right" vertical="bottom" textRotation="0" wrapText="false" indent="0" shrinkToFit="false"/>
      <protection locked="true" hidden="false"/>
    </xf>
    <xf numFmtId="178" fontId="29" fillId="0" borderId="0" xfId="21" applyFont="true" applyBorder="false" applyAlignment="true" applyProtection="false">
      <alignment horizontal="center" vertical="bottom" textRotation="0" wrapText="false" indent="0" shrinkToFit="false"/>
      <protection locked="true" hidden="false"/>
    </xf>
    <xf numFmtId="177" fontId="30" fillId="0" borderId="0" xfId="21" applyFont="true" applyBorder="false" applyAlignment="false" applyProtection="false">
      <alignment horizontal="general" vertical="bottom" textRotation="0" wrapText="false" indent="0" shrinkToFit="false"/>
      <protection locked="true" hidden="false"/>
    </xf>
    <xf numFmtId="177" fontId="27" fillId="3" borderId="19" xfId="21" applyFont="true" applyBorder="true" applyAlignment="true" applyProtection="false">
      <alignment horizontal="center" vertical="bottom" textRotation="0" wrapText="false" indent="0" shrinkToFit="false"/>
      <protection locked="true" hidden="false"/>
    </xf>
    <xf numFmtId="177" fontId="28" fillId="3" borderId="19" xfId="21" applyFont="true" applyBorder="true" applyAlignment="true" applyProtection="false">
      <alignment horizontal="center" vertical="center" textRotation="0" wrapText="false" indent="0" shrinkToFit="false"/>
      <protection locked="true" hidden="false"/>
    </xf>
    <xf numFmtId="177" fontId="29" fillId="3" borderId="19" xfId="21" applyFont="true" applyBorder="true" applyAlignment="true" applyProtection="false">
      <alignment horizontal="center" vertical="bottom" textRotation="0" wrapText="false" indent="0" shrinkToFit="false"/>
      <protection locked="true" hidden="false"/>
    </xf>
    <xf numFmtId="177" fontId="27" fillId="5" borderId="19" xfId="21" applyFont="true" applyBorder="true" applyAlignment="true" applyProtection="false">
      <alignment horizontal="center" vertical="bottom" textRotation="0" wrapText="false" indent="0" shrinkToFit="false"/>
      <protection locked="true" hidden="false"/>
    </xf>
    <xf numFmtId="172" fontId="27" fillId="5" borderId="19" xfId="21" applyFont="true" applyBorder="true" applyAlignment="true" applyProtection="false">
      <alignment horizontal="center" vertical="bottom" textRotation="0" wrapText="false" indent="0" shrinkToFit="false"/>
      <protection locked="true" hidden="false"/>
    </xf>
    <xf numFmtId="177" fontId="27" fillId="5" borderId="19" xfId="21" applyFont="true" applyBorder="true" applyAlignment="false" applyProtection="false">
      <alignment horizontal="general" vertical="bottom" textRotation="0" wrapText="false" indent="0" shrinkToFit="false"/>
      <protection locked="true" hidden="false"/>
    </xf>
    <xf numFmtId="177" fontId="34" fillId="3" borderId="19" xfId="21" applyFont="true" applyBorder="true" applyAlignment="true" applyProtection="false">
      <alignment horizontal="center" vertical="bottom" textRotation="0" wrapText="false" indent="0" shrinkToFit="false"/>
      <protection locked="true" hidden="false"/>
    </xf>
    <xf numFmtId="177" fontId="34" fillId="3" borderId="30" xfId="21" applyFont="true" applyBorder="true" applyAlignment="true" applyProtection="false">
      <alignment horizontal="center" vertical="bottom" textRotation="0" wrapText="false" indent="0" shrinkToFit="false"/>
      <protection locked="true" hidden="false"/>
    </xf>
    <xf numFmtId="172" fontId="30" fillId="3" borderId="19" xfId="21" applyFont="true" applyBorder="true" applyAlignment="true" applyProtection="false">
      <alignment horizontal="center" vertical="center" textRotation="0" wrapText="true" indent="0" shrinkToFit="false"/>
      <protection locked="true" hidden="false"/>
    </xf>
    <xf numFmtId="177" fontId="28" fillId="3" borderId="19" xfId="21" applyFont="true" applyBorder="true" applyAlignment="true" applyProtection="false">
      <alignment horizontal="center" vertical="center" textRotation="0" wrapText="true" indent="0" shrinkToFit="false"/>
      <protection locked="true" hidden="false"/>
    </xf>
    <xf numFmtId="164" fontId="30" fillId="3" borderId="19" xfId="21" applyFont="true" applyBorder="true" applyAlignment="true" applyProtection="false">
      <alignment horizontal="center" vertical="center" textRotation="0" wrapText="true" indent="0" shrinkToFit="false"/>
      <protection locked="true" hidden="false"/>
    </xf>
    <xf numFmtId="177" fontId="30" fillId="3" borderId="19" xfId="21" applyFont="true" applyBorder="true" applyAlignment="true" applyProtection="false">
      <alignment horizontal="center" vertical="center" textRotation="0" wrapText="true" indent="0" shrinkToFit="false"/>
      <protection locked="true" hidden="false"/>
    </xf>
    <xf numFmtId="177" fontId="30" fillId="5" borderId="19" xfId="21" applyFont="true" applyBorder="true" applyAlignment="true" applyProtection="false">
      <alignment horizontal="center" vertical="center" textRotation="0" wrapText="true" indent="0" shrinkToFit="false"/>
      <protection locked="true" hidden="false"/>
    </xf>
    <xf numFmtId="178" fontId="30" fillId="5" borderId="19" xfId="21" applyFont="true" applyBorder="true" applyAlignment="true" applyProtection="false">
      <alignment horizontal="center" vertical="center" textRotation="0" wrapText="true" indent="0" shrinkToFit="false"/>
      <protection locked="true" hidden="false"/>
    </xf>
    <xf numFmtId="166" fontId="30" fillId="5" borderId="19" xfId="21" applyFont="true" applyBorder="true" applyAlignment="true" applyProtection="false">
      <alignment horizontal="center" vertical="center" textRotation="0" wrapText="true" indent="0" shrinkToFit="false"/>
      <protection locked="true" hidden="false"/>
    </xf>
    <xf numFmtId="164" fontId="30" fillId="0" borderId="0" xfId="21" applyFont="true" applyBorder="false" applyAlignment="true" applyProtection="false">
      <alignment horizontal="center" vertical="center" textRotation="0" wrapText="false" indent="0" shrinkToFit="false"/>
      <protection locked="true" hidden="false"/>
    </xf>
    <xf numFmtId="177" fontId="27" fillId="3" borderId="19" xfId="21" applyFont="true" applyBorder="true" applyAlignment="false" applyProtection="false">
      <alignment horizontal="general" vertical="bottom" textRotation="0" wrapText="false" indent="0" shrinkToFit="false"/>
      <protection locked="true" hidden="false"/>
    </xf>
    <xf numFmtId="164" fontId="34" fillId="0" borderId="0" xfId="21" applyFont="true" applyBorder="false" applyAlignment="true" applyProtection="false">
      <alignment horizontal="center" vertical="center" textRotation="0" wrapText="false" indent="0" shrinkToFit="false"/>
      <protection locked="true" hidden="false"/>
    </xf>
    <xf numFmtId="164" fontId="27" fillId="3" borderId="19" xfId="21" applyFont="true" applyBorder="true" applyAlignment="true" applyProtection="false">
      <alignment horizontal="center" vertical="bottom" textRotation="0" wrapText="false" indent="0" shrinkToFit="false"/>
      <protection locked="true" hidden="false"/>
    </xf>
    <xf numFmtId="177" fontId="27" fillId="3" borderId="19" xfId="21" applyFont="true" applyBorder="true" applyAlignment="true" applyProtection="false">
      <alignment horizontal="right" vertical="bottom" textRotation="0" wrapText="false" indent="0" shrinkToFit="false"/>
      <protection locked="true" hidden="false"/>
    </xf>
    <xf numFmtId="177" fontId="34" fillId="3" borderId="30" xfId="21" applyFont="true" applyBorder="true" applyAlignment="true" applyProtection="false">
      <alignment horizontal="center" vertical="center" textRotation="0" wrapText="true" indent="0" shrinkToFit="false"/>
      <protection locked="true" hidden="false"/>
    </xf>
    <xf numFmtId="177" fontId="34" fillId="3" borderId="19" xfId="21" applyFont="true" applyBorder="true" applyAlignment="true" applyProtection="false">
      <alignment horizontal="center" vertical="center" textRotation="0" wrapText="true" indent="0" shrinkToFit="false"/>
      <protection locked="true" hidden="false"/>
    </xf>
    <xf numFmtId="164" fontId="28" fillId="3" borderId="0" xfId="21" applyFont="true" applyBorder="false" applyAlignment="true" applyProtection="false">
      <alignment horizontal="center" vertical="bottom" textRotation="0" wrapText="false" indent="0" shrinkToFit="false"/>
      <protection locked="true" hidden="false"/>
    </xf>
    <xf numFmtId="177" fontId="34" fillId="5" borderId="19" xfId="21" applyFont="true" applyBorder="true" applyAlignment="true" applyProtection="false">
      <alignment horizontal="center" vertical="center" textRotation="0" wrapText="true" indent="0" shrinkToFit="false"/>
      <protection locked="true" hidden="false"/>
    </xf>
    <xf numFmtId="176" fontId="27" fillId="0" borderId="0" xfId="21" applyFont="true" applyBorder="false" applyAlignment="true" applyProtection="false">
      <alignment horizontal="left" vertical="bottom" textRotation="0" wrapText="false" indent="0" shrinkToFit="false"/>
      <protection locked="true" hidden="false"/>
    </xf>
    <xf numFmtId="164" fontId="27" fillId="0" borderId="38" xfId="21" applyFont="true" applyBorder="true" applyAlignment="false" applyProtection="false">
      <alignment horizontal="general" vertical="bottom" textRotation="0" wrapText="false" indent="0" shrinkToFit="false"/>
      <protection locked="true" hidden="false"/>
    </xf>
    <xf numFmtId="164" fontId="27" fillId="0" borderId="38" xfId="21" applyFont="true" applyBorder="true" applyAlignment="true" applyProtection="false">
      <alignment horizontal="left" vertical="bottom" textRotation="0" wrapText="false" indent="0" shrinkToFit="false"/>
      <protection locked="true" hidden="false"/>
    </xf>
    <xf numFmtId="166" fontId="27" fillId="0" borderId="38" xfId="21" applyFont="true" applyBorder="true" applyAlignment="true" applyProtection="false">
      <alignment horizontal="center" vertical="bottom" textRotation="0" wrapText="false" indent="0" shrinkToFit="false"/>
      <protection locked="true" hidden="false"/>
    </xf>
    <xf numFmtId="164" fontId="27" fillId="0" borderId="38" xfId="21" applyFont="true" applyBorder="true" applyAlignment="true" applyProtection="false">
      <alignment horizontal="center" vertical="bottom" textRotation="0" wrapText="false" indent="0" shrinkToFit="false"/>
      <protection locked="true" hidden="false"/>
    </xf>
    <xf numFmtId="177" fontId="27" fillId="0" borderId="38" xfId="21" applyFont="true" applyBorder="true" applyAlignment="true" applyProtection="false">
      <alignment horizontal="right" vertical="bottom" textRotation="0" wrapText="false" indent="0" shrinkToFit="false"/>
      <protection locked="true" hidden="false"/>
    </xf>
    <xf numFmtId="178" fontId="29" fillId="0" borderId="38" xfId="21" applyFont="true" applyBorder="true" applyAlignment="true" applyProtection="false">
      <alignment horizontal="center" vertical="bottom" textRotation="0" wrapText="false" indent="0" shrinkToFit="false"/>
      <protection locked="true" hidden="false"/>
    </xf>
    <xf numFmtId="177" fontId="30" fillId="0" borderId="38" xfId="21" applyFont="true" applyBorder="true" applyAlignment="false" applyProtection="false">
      <alignment horizontal="general" vertical="bottom" textRotation="0" wrapText="false" indent="0" shrinkToFit="false"/>
      <protection locked="true" hidden="false"/>
    </xf>
    <xf numFmtId="176" fontId="13" fillId="3" borderId="0" xfId="21" applyFont="true" applyBorder="false" applyAlignment="false" applyProtection="false">
      <alignment horizontal="general" vertical="bottom" textRotation="0" wrapText="false" indent="0" shrinkToFit="false"/>
      <protection locked="true" hidden="false"/>
    </xf>
    <xf numFmtId="175" fontId="27" fillId="3" borderId="19" xfId="21" applyFont="true" applyBorder="true" applyAlignment="true" applyProtection="false">
      <alignment horizontal="center" vertical="bottom" textRotation="0" wrapText="false" indent="0" shrinkToFit="false"/>
      <protection locked="true" hidden="false"/>
    </xf>
    <xf numFmtId="172" fontId="30" fillId="0" borderId="38" xfId="21" applyFont="true" applyBorder="true" applyAlignment="false" applyProtection="false">
      <alignment horizontal="general" vertical="bottom" textRotation="0" wrapText="false" indent="0" shrinkToFit="false"/>
      <protection locked="true" hidden="false"/>
    </xf>
    <xf numFmtId="172" fontId="13" fillId="0" borderId="0" xfId="0" applyFont="true" applyBorder="false" applyAlignment="true" applyProtection="true">
      <alignment horizontal="center" vertical="bottom" textRotation="0" wrapText="false" indent="0" shrinkToFit="false"/>
      <protection locked="true" hidden="true"/>
    </xf>
    <xf numFmtId="164" fontId="10" fillId="0" borderId="0" xfId="0" applyFont="true" applyBorder="false" applyAlignment="true" applyProtection="true">
      <alignment horizontal="center" vertical="bottom" textRotation="0" wrapText="false" indent="0" shrinkToFit="false"/>
      <protection locked="true" hidden="true"/>
    </xf>
    <xf numFmtId="172" fontId="13" fillId="3" borderId="38" xfId="0" applyFont="true" applyBorder="true" applyAlignment="true" applyProtection="true">
      <alignment horizontal="center" vertical="bottom" textRotation="0" wrapText="false" indent="0" shrinkToFit="false"/>
      <protection locked="true" hidden="true"/>
    </xf>
    <xf numFmtId="164" fontId="11" fillId="3" borderId="0" xfId="0" applyFont="true" applyBorder="true" applyAlignment="true" applyProtection="true">
      <alignment horizontal="center" vertical="bottom" textRotation="0" wrapText="false" indent="0" shrinkToFit="false"/>
      <protection locked="true" hidden="true"/>
    </xf>
    <xf numFmtId="172" fontId="13" fillId="0" borderId="42" xfId="0" applyFont="true" applyBorder="true" applyAlignment="true" applyProtection="true">
      <alignment horizontal="center" vertical="bottom" textRotation="0" wrapText="false" indent="0" shrinkToFit="false"/>
      <protection locked="true" hidden="true"/>
    </xf>
    <xf numFmtId="164" fontId="11" fillId="0" borderId="19" xfId="0" applyFont="true" applyBorder="true" applyAlignment="true" applyProtection="true">
      <alignment horizontal="center" vertical="bottom" textRotation="0" wrapText="false" indent="0" shrinkToFit="false"/>
      <protection locked="true" hidden="true"/>
    </xf>
    <xf numFmtId="172" fontId="11" fillId="0" borderId="19" xfId="0" applyFont="true" applyBorder="true" applyAlignment="true" applyProtection="true">
      <alignment horizontal="center" vertical="bottom" textRotation="0" wrapText="false" indent="0" shrinkToFit="false"/>
      <protection locked="true" hidden="true"/>
    </xf>
    <xf numFmtId="164" fontId="11" fillId="0" borderId="19" xfId="0" applyFont="true" applyBorder="true" applyAlignment="true" applyProtection="true">
      <alignment horizontal="center" vertical="center" textRotation="0" wrapText="false" indent="0" shrinkToFit="false"/>
      <protection locked="true" hidden="true"/>
    </xf>
    <xf numFmtId="166" fontId="11" fillId="0" borderId="19"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false" applyAlignment="true" applyProtection="true">
      <alignment horizontal="center" vertical="bottom" textRotation="0" wrapText="false" indent="0" shrinkToFit="false"/>
      <protection locked="true" hidden="true"/>
    </xf>
    <xf numFmtId="164" fontId="11" fillId="3" borderId="0" xfId="0" applyFont="true" applyBorder="false" applyAlignment="true" applyProtection="true">
      <alignment horizontal="center" vertical="center" textRotation="0" wrapText="false" indent="0" shrinkToFit="false"/>
      <protection locked="true" hidden="true"/>
    </xf>
    <xf numFmtId="172" fontId="13" fillId="0" borderId="26"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true" applyAlignment="false" applyProtection="true">
      <alignment horizontal="general" vertical="bottom" textRotation="0" wrapText="false" indent="0" shrinkToFit="false"/>
      <protection locked="true" hidden="true"/>
    </xf>
    <xf numFmtId="179" fontId="10" fillId="0" borderId="19" xfId="0" applyFont="true" applyBorder="true" applyAlignment="true" applyProtection="true">
      <alignment horizontal="center" vertical="bottom" textRotation="0" wrapText="false" indent="0" shrinkToFit="false"/>
      <protection locked="true" hidden="true"/>
    </xf>
    <xf numFmtId="171" fontId="10" fillId="0" borderId="19" xfId="0" applyFont="true" applyBorder="true" applyAlignment="true" applyProtection="true">
      <alignment horizontal="center" vertical="bottom" textRotation="0" wrapText="false" indent="0" shrinkToFit="false"/>
      <protection locked="true" hidden="true"/>
    </xf>
    <xf numFmtId="164" fontId="10" fillId="0" borderId="19"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false" applyAlignment="true" applyProtection="true">
      <alignment horizontal="center" vertical="center" textRotation="0" wrapText="true" indent="0" shrinkToFit="false"/>
      <protection locked="true" hidden="true"/>
    </xf>
    <xf numFmtId="164" fontId="10" fillId="3" borderId="0" xfId="0" applyFont="true" applyBorder="false" applyAlignment="true" applyProtection="true">
      <alignment horizontal="center" vertical="bottom" textRotation="0" wrapText="true" indent="0" shrinkToFit="false"/>
      <protection locked="true" hidden="true"/>
    </xf>
    <xf numFmtId="179" fontId="10" fillId="3" borderId="0" xfId="0" applyFont="true" applyBorder="false" applyAlignment="true" applyProtection="true">
      <alignment horizontal="center" vertical="bottom" textRotation="0" wrapText="false" indent="0" shrinkToFit="false"/>
      <protection locked="true" hidden="true"/>
    </xf>
    <xf numFmtId="176" fontId="10" fillId="0" borderId="19"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true" applyAlignment="true" applyProtection="true">
      <alignment horizontal="general" vertical="bottom" textRotation="0" wrapText="true" indent="0" shrinkToFit="false"/>
      <protection locked="true" hidden="true"/>
    </xf>
    <xf numFmtId="164" fontId="10" fillId="3" borderId="0" xfId="0" applyFont="true" applyBorder="true" applyAlignment="true" applyProtection="true">
      <alignment horizontal="left" vertical="center" textRotation="0" wrapText="true" indent="1" shrinkToFit="false"/>
      <protection locked="true" hidden="true"/>
    </xf>
    <xf numFmtId="180" fontId="10" fillId="0" borderId="19"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false" applyAlignment="true" applyProtection="true">
      <alignment horizontal="general" vertical="bottom" textRotation="0" wrapText="true" indent="0" shrinkToFit="false"/>
      <protection locked="true" hidden="true"/>
    </xf>
    <xf numFmtId="176" fontId="10" fillId="3" borderId="0" xfId="0" applyFont="true" applyBorder="false" applyAlignment="true" applyProtection="true">
      <alignment horizontal="center" vertical="bottom" textRotation="0" wrapText="false" indent="0" shrinkToFit="false"/>
      <protection locked="true" hidden="true"/>
    </xf>
    <xf numFmtId="172" fontId="13" fillId="3" borderId="0" xfId="0" applyFont="true" applyBorder="false" applyAlignment="true" applyProtection="true">
      <alignment horizontal="center" vertical="bottom" textRotation="0" wrapText="false" indent="0" shrinkToFit="false"/>
      <protection locked="true" hidden="tru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xfId="21"/>
    <cellStyle name="*unknown*" xfId="20" builtinId="8"/>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82421875" defaultRowHeight="12.75" zeroHeight="false" outlineLevelRow="0" outlineLevelCol="0"/>
  <cols>
    <col collapsed="false" customWidth="true" hidden="false" outlineLevel="0" max="1" min="1" style="0" width="3.49"/>
    <col collapsed="false" customWidth="true" hidden="false" outlineLevel="0" max="2" min="2" style="0" width="16.99"/>
    <col collapsed="false" customWidth="true" hidden="false" outlineLevel="0" max="5" min="3" style="0" width="23.15"/>
    <col collapsed="false" customWidth="true" hidden="false" outlineLevel="0" max="8" min="8" style="0" width="10.15"/>
  </cols>
  <sheetData>
    <row r="2" customFormat="false" ht="12.75" hidden="false" customHeight="false" outlineLevel="0" collapsed="false">
      <c r="B2" s="1" t="s">
        <v>0</v>
      </c>
      <c r="C2" s="1"/>
      <c r="D2" s="1"/>
      <c r="E2" s="1"/>
      <c r="H2" s="2"/>
    </row>
    <row r="3" customFormat="false" ht="15" hidden="false" customHeight="true" outlineLevel="0" collapsed="false">
      <c r="B3" s="3"/>
      <c r="C3" s="4"/>
      <c r="D3" s="4"/>
      <c r="E3" s="4"/>
    </row>
    <row r="4" s="5" customFormat="true" ht="54.75" hidden="false" customHeight="true" outlineLevel="0" collapsed="false">
      <c r="B4" s="6" t="s">
        <v>1</v>
      </c>
      <c r="C4" s="6"/>
      <c r="D4" s="6"/>
      <c r="E4" s="6"/>
    </row>
    <row r="5" customFormat="false" ht="15" hidden="false" customHeight="true" outlineLevel="0" collapsed="false">
      <c r="B5" s="4"/>
      <c r="C5" s="4"/>
      <c r="D5" s="4"/>
      <c r="E5" s="4"/>
    </row>
    <row r="6" customFormat="false" ht="12.75" hidden="false" customHeight="false" outlineLevel="0" collapsed="false">
      <c r="B6" s="7" t="s">
        <v>2</v>
      </c>
      <c r="C6" s="7" t="s">
        <v>3</v>
      </c>
      <c r="D6" s="7" t="s">
        <v>4</v>
      </c>
      <c r="E6" s="7" t="s">
        <v>5</v>
      </c>
    </row>
    <row r="7" customFormat="false" ht="12.75" hidden="false" customHeight="false" outlineLevel="0" collapsed="false">
      <c r="B7" s="4"/>
      <c r="C7" s="4"/>
      <c r="D7" s="4"/>
      <c r="E7" s="4"/>
    </row>
    <row r="8" customFormat="false" ht="12.75" hidden="false" customHeight="false" outlineLevel="0" collapsed="false">
      <c r="B8" s="8" t="str">
        <f aca="false">HYPERLINK("#'Business Details'!C5","Business Details")</f>
        <v>Business Details</v>
      </c>
      <c r="C8" s="9" t="str">
        <f aca="false">HYPERLINK("#'SalesApr'!A4","SalesApr")</f>
        <v>SalesApr</v>
      </c>
      <c r="D8" s="9" t="str">
        <f aca="false">HYPERLINK("#'PurchasesApr'!A5","PurchasesApr")</f>
        <v>PurchasesApr</v>
      </c>
      <c r="E8" s="8" t="str">
        <f aca="false">HYPERLINK("#'SE Short'!C8","SE Short")</f>
        <v>SE Short</v>
      </c>
    </row>
    <row r="9" customFormat="false" ht="12.75" hidden="false" customHeight="false" outlineLevel="0" collapsed="false">
      <c r="B9" s="8" t="str">
        <f aca="false">HYPERLINK("#'Fixed Assets'!B8","Fixed Assets")</f>
        <v>Fixed Assets</v>
      </c>
      <c r="C9" s="9" t="str">
        <f aca="false">HYPERLINK("#'SalesMay'!A4","SalesMay")</f>
        <v>SalesMay</v>
      </c>
      <c r="D9" s="9" t="str">
        <f aca="false">HYPERLINK("#'PurchasesMay'!A5","PurchasesMay")</f>
        <v>PurchasesMay</v>
      </c>
      <c r="E9" s="8" t="str">
        <f aca="false">HYPERLINK("#'Profit &amp; Loss Acc'!A1","Profit &amp; Loss Acc")</f>
        <v>Profit &amp; Loss Acc</v>
      </c>
    </row>
    <row r="10" customFormat="false" ht="12.75" hidden="false" customHeight="false" outlineLevel="0" collapsed="false">
      <c r="B10" s="8" t="str">
        <f aca="false">HYPERLINK("#'Debtors &amp; Creditors'!C3","Debtors &amp; Creditors")</f>
        <v>Debtors &amp; Creditors</v>
      </c>
      <c r="C10" s="9" t="str">
        <f aca="false">HYPERLINK("#'SalesJun'!A4","SalesJun")</f>
        <v>SalesJun</v>
      </c>
      <c r="D10" s="9" t="str">
        <f aca="false">HYPERLINK("#'PurchasesJun'!A5","PurchasesJun")</f>
        <v>PurchasesJun</v>
      </c>
      <c r="E10" s="8" t="str">
        <f aca="false">HYPERLINK("#'Income Tax'!D2","Income Tax")</f>
        <v>Income Tax</v>
      </c>
    </row>
    <row r="11" customFormat="false" ht="12.75" hidden="false" customHeight="false" outlineLevel="0" collapsed="false">
      <c r="B11" s="9"/>
      <c r="C11" s="9" t="str">
        <f aca="false">HYPERLINK("#'SalesJul'!A4","SalesJul")</f>
        <v>SalesJul</v>
      </c>
      <c r="D11" s="9" t="str">
        <f aca="false">HYPERLINK("#'PurchasesJul'!A5","PurchasesJul")</f>
        <v>PurchasesJul</v>
      </c>
      <c r="E11" s="8"/>
    </row>
    <row r="12" customFormat="false" ht="12.75" hidden="false" customHeight="false" outlineLevel="0" collapsed="false">
      <c r="B12" s="9"/>
      <c r="C12" s="9" t="str">
        <f aca="false">HYPERLINK("#'SalesAug'!A4","SalesAug")</f>
        <v>SalesAug</v>
      </c>
      <c r="D12" s="9" t="str">
        <f aca="false">HYPERLINK("#'PurchasesAug'!A5","PurchasesAug")</f>
        <v>PurchasesAug</v>
      </c>
      <c r="E12" s="8"/>
    </row>
    <row r="13" customFormat="false" ht="12.75" hidden="false" customHeight="false" outlineLevel="0" collapsed="false">
      <c r="B13" s="9"/>
      <c r="C13" s="9" t="str">
        <f aca="false">HYPERLINK("#'SalesSep'!A4","SalesSep")</f>
        <v>SalesSep</v>
      </c>
      <c r="D13" s="9" t="str">
        <f aca="false">HYPERLINK("#'PurchasesSep'!A5","PurchasesSep")</f>
        <v>PurchasesSep</v>
      </c>
      <c r="E13" s="8"/>
    </row>
    <row r="14" customFormat="false" ht="12.75" hidden="false" customHeight="false" outlineLevel="0" collapsed="false">
      <c r="B14" s="9"/>
      <c r="C14" s="9" t="str">
        <f aca="false">HYPERLINK("#'SalesOct'!A4","SalesOct")</f>
        <v>SalesOct</v>
      </c>
      <c r="D14" s="9" t="str">
        <f aca="false">HYPERLINK("#'PurchasesOct'!A5","PurchasesOct")</f>
        <v>PurchasesOct</v>
      </c>
      <c r="E14" s="8"/>
    </row>
    <row r="15" customFormat="false" ht="12.75" hidden="false" customHeight="false" outlineLevel="0" collapsed="false">
      <c r="B15" s="9"/>
      <c r="C15" s="9" t="str">
        <f aca="false">HYPERLINK("#'SalesNov'!A4","SalesNov")</f>
        <v>SalesNov</v>
      </c>
      <c r="D15" s="9" t="str">
        <f aca="false">HYPERLINK("#'PurchasesNov'!A5","PurchasesNov")</f>
        <v>PurchasesNov</v>
      </c>
      <c r="E15" s="8"/>
    </row>
    <row r="16" customFormat="false" ht="12.75" hidden="false" customHeight="false" outlineLevel="0" collapsed="false">
      <c r="B16" s="9"/>
      <c r="C16" s="9" t="str">
        <f aca="false">HYPERLINK("#'SalesDec'!A4","SalesDec")</f>
        <v>SalesDec</v>
      </c>
      <c r="D16" s="9" t="str">
        <f aca="false">HYPERLINK("#'PurchasesDec'!A5","PurchasesDec")</f>
        <v>PurchasesDec</v>
      </c>
      <c r="E16" s="8"/>
    </row>
    <row r="17" customFormat="false" ht="12.75" hidden="false" customHeight="false" outlineLevel="0" collapsed="false">
      <c r="B17" s="9"/>
      <c r="C17" s="9" t="str">
        <f aca="false">HYPERLINK("#'SalesJan'!A4","SalesJan")</f>
        <v>SalesJan</v>
      </c>
      <c r="D17" s="9" t="str">
        <f aca="false">HYPERLINK("#'PurchasesJan'!A5","PurchasesJan")</f>
        <v>PurchasesJan</v>
      </c>
      <c r="E17" s="4"/>
    </row>
    <row r="18" customFormat="false" ht="12.75" hidden="false" customHeight="false" outlineLevel="0" collapsed="false">
      <c r="B18" s="9"/>
      <c r="C18" s="9" t="str">
        <f aca="false">HYPERLINK("#'SalesFeb'!A4","SalesFeb")</f>
        <v>SalesFeb</v>
      </c>
      <c r="D18" s="9" t="str">
        <f aca="false">HYPERLINK("#'PurchasesFeb'!A5","PurchasesFeb")</f>
        <v>PurchasesFeb</v>
      </c>
      <c r="E18" s="4"/>
    </row>
    <row r="19" customFormat="false" ht="12.75" hidden="false" customHeight="false" outlineLevel="0" collapsed="false">
      <c r="B19" s="9"/>
      <c r="C19" s="9" t="str">
        <f aca="false">HYPERLINK("#'SalesMar'!A4","SalesMar")</f>
        <v>SalesMar</v>
      </c>
      <c r="D19" s="9" t="str">
        <f aca="false">HYPERLINK("#'PurchasesMar'!A5","PurchasesMar")</f>
        <v>PurchasesMar</v>
      </c>
      <c r="E19" s="4"/>
    </row>
    <row r="20" customFormat="false" ht="12.75" hidden="false" customHeight="false" outlineLevel="0" collapsed="false">
      <c r="B20" s="4"/>
      <c r="C20" s="4"/>
      <c r="D20" s="4"/>
      <c r="E20" s="4"/>
    </row>
  </sheetData>
  <mergeCells count="2">
    <mergeCell ref="B2:E2"/>
    <mergeCell ref="B4:E4"/>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10" width="3.66"/>
    <col collapsed="false" customWidth="true" hidden="false" outlineLevel="0" max="2" min="2" style="10" width="0.82"/>
    <col collapsed="false" customWidth="true" hidden="false" outlineLevel="0" max="3" min="3" style="10" width="3.66"/>
    <col collapsed="false" customWidth="true" hidden="false" outlineLevel="0" max="4" min="4" style="10" width="4.66"/>
    <col collapsed="false" customWidth="true" hidden="false" outlineLevel="0" max="5" min="5" style="10" width="1.66"/>
    <col collapsed="false" customWidth="true" hidden="false" outlineLevel="0" max="6" min="6" style="10" width="10.66"/>
    <col collapsed="false" customWidth="true" hidden="false" outlineLevel="0" max="7" min="7" style="10" width="1.66"/>
    <col collapsed="false" customWidth="true" hidden="false" outlineLevel="0" max="9" min="8" style="10" width="2.5"/>
    <col collapsed="false" customWidth="true" hidden="false" outlineLevel="0" max="11" min="10" style="10" width="6.66"/>
    <col collapsed="false" customWidth="true" hidden="false" outlineLevel="0" max="12" min="12" style="10" width="3.66"/>
    <col collapsed="false" customWidth="true" hidden="false" outlineLevel="0" max="13" min="13" style="10" width="0.82"/>
    <col collapsed="false" customWidth="true" hidden="false" outlineLevel="0" max="15" min="14" style="10" width="3.66"/>
    <col collapsed="false" customWidth="true" hidden="false" outlineLevel="0" max="17" min="16" style="10" width="6.66"/>
    <col collapsed="false" customWidth="true" hidden="false" outlineLevel="0" max="18" min="18" style="10" width="1.66"/>
    <col collapsed="false" customWidth="true" hidden="false" outlineLevel="0" max="20" min="19" style="10" width="2.5"/>
    <col collapsed="false" customWidth="true" hidden="false" outlineLevel="0" max="21" min="21" style="10" width="2.66"/>
    <col collapsed="false" customWidth="true" hidden="false" outlineLevel="0" max="22" min="22" style="10" width="7.66"/>
    <col collapsed="false" customWidth="true" hidden="false" outlineLevel="0" max="23" min="23" style="10" width="4.66"/>
    <col collapsed="false" customWidth="false" hidden="false" outlineLevel="0" max="257" min="24" style="10" width="9.15"/>
  </cols>
  <sheetData>
    <row r="1" customFormat="false" ht="15.75" hidden="false" customHeight="true" outlineLevel="0" collapsed="false">
      <c r="A1" s="11" t="s">
        <v>6</v>
      </c>
      <c r="B1" s="11"/>
      <c r="C1" s="11"/>
      <c r="D1" s="11"/>
      <c r="E1" s="11"/>
      <c r="F1" s="11"/>
      <c r="G1" s="11"/>
      <c r="H1" s="11"/>
      <c r="I1" s="11"/>
      <c r="J1" s="11"/>
      <c r="K1" s="11"/>
      <c r="L1" s="11"/>
      <c r="M1" s="11"/>
      <c r="N1" s="11"/>
      <c r="O1" s="11"/>
      <c r="P1" s="11"/>
      <c r="Q1" s="11"/>
      <c r="R1" s="11"/>
      <c r="S1" s="11"/>
      <c r="T1" s="11"/>
      <c r="U1" s="11"/>
      <c r="V1" s="11"/>
      <c r="W1" s="11"/>
    </row>
    <row r="2" customFormat="false" ht="3.75" hidden="false" customHeight="true" outlineLevel="0" collapsed="false">
      <c r="A2" s="12"/>
      <c r="B2" s="13"/>
      <c r="C2" s="13"/>
      <c r="D2" s="13"/>
      <c r="E2" s="13"/>
      <c r="F2" s="13"/>
      <c r="G2" s="13"/>
      <c r="H2" s="13"/>
      <c r="I2" s="13"/>
      <c r="J2" s="13"/>
      <c r="K2" s="13"/>
      <c r="L2" s="13"/>
      <c r="M2" s="13"/>
      <c r="N2" s="13"/>
      <c r="O2" s="13"/>
      <c r="P2" s="13"/>
      <c r="Q2" s="13"/>
      <c r="R2" s="13"/>
      <c r="S2" s="13"/>
      <c r="T2" s="13"/>
      <c r="U2" s="13"/>
      <c r="V2" s="13"/>
      <c r="W2" s="14"/>
    </row>
    <row r="3" customFormat="false" ht="12" hidden="false" customHeight="false" outlineLevel="0" collapsed="false">
      <c r="A3" s="15"/>
      <c r="B3" s="16"/>
      <c r="C3" s="17" t="s">
        <v>7</v>
      </c>
      <c r="D3" s="17"/>
      <c r="E3" s="17"/>
      <c r="F3" s="16"/>
      <c r="G3" s="16"/>
      <c r="H3" s="16"/>
      <c r="I3" s="16"/>
      <c r="J3" s="16"/>
      <c r="K3" s="16"/>
      <c r="L3" s="16"/>
      <c r="M3" s="16"/>
      <c r="N3" s="17" t="s">
        <v>8</v>
      </c>
      <c r="O3" s="17"/>
      <c r="P3" s="17"/>
      <c r="Q3" s="17"/>
      <c r="R3" s="17"/>
      <c r="S3" s="17"/>
      <c r="T3" s="17"/>
      <c r="U3" s="17"/>
      <c r="V3" s="17"/>
      <c r="W3" s="18"/>
    </row>
    <row r="4" customFormat="false" ht="7.5" hidden="false" customHeight="true" outlineLevel="0" collapsed="false">
      <c r="A4" s="15"/>
      <c r="B4" s="16"/>
      <c r="C4" s="17"/>
      <c r="D4" s="17"/>
      <c r="E4" s="17"/>
      <c r="F4" s="16"/>
      <c r="G4" s="16"/>
      <c r="H4" s="16"/>
      <c r="I4" s="16"/>
      <c r="J4" s="16"/>
      <c r="K4" s="16"/>
      <c r="L4" s="16"/>
      <c r="M4" s="16"/>
      <c r="N4" s="17"/>
      <c r="O4" s="17"/>
      <c r="P4" s="17"/>
      <c r="Q4" s="17"/>
      <c r="R4" s="17"/>
      <c r="S4" s="17"/>
      <c r="T4" s="17"/>
      <c r="U4" s="17"/>
      <c r="V4" s="17"/>
      <c r="W4" s="18"/>
    </row>
    <row r="5" customFormat="false" ht="15" hidden="false" customHeight="true" outlineLevel="0" collapsed="false">
      <c r="A5" s="15"/>
      <c r="B5" s="16"/>
      <c r="C5" s="19"/>
      <c r="D5" s="19"/>
      <c r="E5" s="19"/>
      <c r="F5" s="19"/>
      <c r="G5" s="19"/>
      <c r="H5" s="19"/>
      <c r="I5" s="19"/>
      <c r="J5" s="19"/>
      <c r="K5" s="16"/>
      <c r="L5" s="16"/>
      <c r="M5" s="16"/>
      <c r="N5" s="16"/>
      <c r="O5" s="20"/>
      <c r="P5" s="20"/>
      <c r="Q5" s="16"/>
      <c r="R5" s="20"/>
      <c r="S5" s="20"/>
      <c r="T5" s="20"/>
      <c r="U5" s="20"/>
      <c r="V5" s="16"/>
      <c r="W5" s="21"/>
    </row>
    <row r="6" customFormat="false" ht="6" hidden="false" customHeight="true" outlineLevel="0" collapsed="false">
      <c r="A6" s="15"/>
      <c r="B6" s="16"/>
      <c r="C6" s="16"/>
      <c r="D6" s="16"/>
      <c r="E6" s="16"/>
      <c r="F6" s="16"/>
      <c r="G6" s="16"/>
      <c r="H6" s="16"/>
      <c r="I6" s="16"/>
      <c r="J6" s="16"/>
      <c r="K6" s="16"/>
      <c r="L6" s="16"/>
      <c r="M6" s="16"/>
      <c r="N6" s="16"/>
      <c r="O6" s="16"/>
      <c r="P6" s="16"/>
      <c r="Q6" s="16"/>
      <c r="R6" s="16"/>
      <c r="S6" s="16"/>
      <c r="T6" s="16"/>
      <c r="U6" s="16"/>
      <c r="V6" s="16"/>
      <c r="W6" s="21"/>
    </row>
    <row r="7" customFormat="false" ht="12.65" hidden="false" customHeight="false" outlineLevel="0" collapsed="false">
      <c r="A7" s="22" t="n">
        <v>1</v>
      </c>
      <c r="B7" s="16"/>
      <c r="C7" s="17" t="s">
        <v>9</v>
      </c>
      <c r="D7" s="17"/>
      <c r="E7" s="17"/>
      <c r="F7" s="16"/>
      <c r="G7" s="16"/>
      <c r="H7" s="16"/>
      <c r="I7" s="16"/>
      <c r="J7" s="16"/>
      <c r="K7" s="16"/>
      <c r="L7" s="22" t="n">
        <v>4</v>
      </c>
      <c r="M7" s="16"/>
      <c r="N7" s="17" t="s">
        <v>10</v>
      </c>
      <c r="O7" s="17"/>
      <c r="P7" s="17"/>
      <c r="Q7" s="17"/>
      <c r="R7" s="23"/>
      <c r="S7" s="24"/>
      <c r="T7" s="24"/>
      <c r="U7" s="24"/>
      <c r="V7" s="17"/>
      <c r="W7" s="25"/>
    </row>
    <row r="8" customFormat="false" ht="15" hidden="false" customHeight="true" outlineLevel="0" collapsed="false">
      <c r="A8" s="26"/>
      <c r="B8" s="16"/>
      <c r="C8" s="19"/>
      <c r="D8" s="19"/>
      <c r="E8" s="19"/>
      <c r="F8" s="19"/>
      <c r="G8" s="19"/>
      <c r="H8" s="19"/>
      <c r="I8" s="19"/>
      <c r="J8" s="19"/>
      <c r="K8" s="16"/>
      <c r="L8" s="16"/>
      <c r="M8" s="16"/>
      <c r="N8" s="27" t="s">
        <v>11</v>
      </c>
      <c r="O8" s="17"/>
      <c r="P8" s="17"/>
      <c r="Q8" s="17"/>
      <c r="R8" s="17"/>
      <c r="S8" s="17"/>
      <c r="T8" s="17"/>
      <c r="U8" s="17"/>
      <c r="V8" s="17"/>
      <c r="W8" s="25"/>
    </row>
    <row r="9" customFormat="false" ht="7.5" hidden="false" customHeight="true" outlineLevel="0" collapsed="false">
      <c r="A9" s="26"/>
      <c r="B9" s="16"/>
      <c r="C9" s="16"/>
      <c r="D9" s="16"/>
      <c r="E9" s="16"/>
      <c r="F9" s="16"/>
      <c r="G9" s="16"/>
      <c r="H9" s="16"/>
      <c r="I9" s="16"/>
      <c r="J9" s="16"/>
      <c r="K9" s="16"/>
      <c r="L9" s="16"/>
      <c r="M9" s="16"/>
      <c r="N9" s="28"/>
      <c r="O9" s="28"/>
      <c r="P9" s="28"/>
      <c r="Q9" s="28"/>
      <c r="R9" s="16"/>
      <c r="S9" s="16"/>
      <c r="T9" s="16"/>
      <c r="U9" s="16"/>
      <c r="V9" s="16"/>
      <c r="W9" s="29"/>
    </row>
    <row r="10" customFormat="false" ht="15" hidden="false" customHeight="true" outlineLevel="0" collapsed="false">
      <c r="A10" s="26"/>
      <c r="B10" s="16"/>
      <c r="C10" s="19"/>
      <c r="D10" s="19"/>
      <c r="E10" s="19"/>
      <c r="F10" s="19"/>
      <c r="G10" s="19"/>
      <c r="H10" s="19"/>
      <c r="I10" s="19"/>
      <c r="J10" s="19"/>
      <c r="K10" s="16"/>
      <c r="L10" s="16"/>
      <c r="M10" s="16"/>
      <c r="N10" s="30"/>
      <c r="O10" s="28"/>
      <c r="P10" s="28"/>
      <c r="Q10" s="28"/>
      <c r="R10" s="16"/>
      <c r="S10" s="16"/>
      <c r="T10" s="16"/>
      <c r="U10" s="16"/>
      <c r="V10" s="16"/>
      <c r="W10" s="29"/>
    </row>
    <row r="11" customFormat="false" ht="7.5" hidden="false" customHeight="true" outlineLevel="0" collapsed="false">
      <c r="A11" s="26"/>
      <c r="B11" s="16"/>
      <c r="C11" s="16"/>
      <c r="D11" s="16"/>
      <c r="E11" s="16"/>
      <c r="F11" s="16"/>
      <c r="G11" s="16"/>
      <c r="H11" s="16"/>
      <c r="I11" s="16"/>
      <c r="J11" s="16"/>
      <c r="K11" s="16"/>
      <c r="L11" s="16"/>
      <c r="M11" s="16"/>
      <c r="N11" s="16"/>
      <c r="O11" s="16"/>
      <c r="P11" s="16"/>
      <c r="Q11" s="16"/>
      <c r="R11" s="16"/>
      <c r="S11" s="16"/>
      <c r="T11" s="16"/>
      <c r="U11" s="16"/>
      <c r="V11" s="16"/>
      <c r="W11" s="29"/>
    </row>
    <row r="12" customFormat="false" ht="15" hidden="false" customHeight="true" outlineLevel="0" collapsed="false">
      <c r="A12" s="26"/>
      <c r="B12" s="16"/>
      <c r="C12" s="19"/>
      <c r="D12" s="19"/>
      <c r="E12" s="19"/>
      <c r="F12" s="19"/>
      <c r="G12" s="19"/>
      <c r="H12" s="19"/>
      <c r="I12" s="19"/>
      <c r="J12" s="19"/>
      <c r="K12" s="16"/>
      <c r="L12" s="22" t="n">
        <v>5</v>
      </c>
      <c r="M12" s="16"/>
      <c r="N12" s="17" t="s">
        <v>12</v>
      </c>
      <c r="O12" s="17"/>
      <c r="P12" s="17"/>
      <c r="Q12" s="17"/>
      <c r="R12" s="23"/>
      <c r="S12" s="31" t="n">
        <f aca="false">Admin!B4</f>
        <v>44657</v>
      </c>
      <c r="T12" s="31"/>
      <c r="U12" s="31"/>
      <c r="V12" s="31"/>
      <c r="W12" s="25"/>
    </row>
    <row r="13" customFormat="false" ht="11.25" hidden="false" customHeight="true" outlineLevel="0" collapsed="false">
      <c r="A13" s="26"/>
      <c r="B13" s="16"/>
      <c r="C13" s="16"/>
      <c r="D13" s="16"/>
      <c r="E13" s="16"/>
      <c r="F13" s="16"/>
      <c r="G13" s="16"/>
      <c r="H13" s="16"/>
      <c r="I13" s="16"/>
      <c r="J13" s="16"/>
      <c r="K13" s="16"/>
      <c r="L13" s="16"/>
      <c r="M13" s="16"/>
      <c r="N13" s="32" t="s">
        <v>13</v>
      </c>
      <c r="O13" s="32"/>
      <c r="P13" s="32"/>
      <c r="Q13" s="32"/>
      <c r="R13" s="32"/>
      <c r="S13" s="32"/>
      <c r="T13" s="32"/>
      <c r="U13" s="32"/>
      <c r="V13" s="32"/>
      <c r="W13" s="33"/>
    </row>
    <row r="14" customFormat="false" ht="7.5" hidden="false" customHeight="true" outlineLevel="0" collapsed="false">
      <c r="A14" s="26"/>
      <c r="B14" s="16"/>
      <c r="C14" s="16"/>
      <c r="D14" s="16"/>
      <c r="E14" s="16"/>
      <c r="F14" s="16"/>
      <c r="G14" s="16"/>
      <c r="H14" s="16"/>
      <c r="I14" s="16"/>
      <c r="J14" s="16"/>
      <c r="K14" s="16"/>
      <c r="L14" s="16"/>
      <c r="M14" s="16"/>
      <c r="N14" s="16"/>
      <c r="O14" s="16"/>
      <c r="P14" s="16"/>
      <c r="Q14" s="16"/>
      <c r="R14" s="16"/>
      <c r="S14" s="16"/>
      <c r="T14" s="16"/>
      <c r="U14" s="16"/>
      <c r="V14" s="16"/>
      <c r="W14" s="29"/>
    </row>
    <row r="15" customFormat="false" ht="13.5" hidden="false" customHeight="false" outlineLevel="0" collapsed="false">
      <c r="A15" s="22" t="n">
        <v>2</v>
      </c>
      <c r="B15" s="16"/>
      <c r="C15" s="17" t="s">
        <v>14</v>
      </c>
      <c r="D15" s="17"/>
      <c r="E15" s="17"/>
      <c r="F15" s="16"/>
      <c r="G15" s="16"/>
      <c r="H15" s="16"/>
      <c r="I15" s="16"/>
      <c r="J15" s="16"/>
      <c r="K15" s="16"/>
      <c r="L15" s="16"/>
      <c r="M15" s="16"/>
      <c r="N15" s="34"/>
      <c r="O15" s="34"/>
      <c r="P15" s="34"/>
      <c r="Q15" s="34"/>
      <c r="R15" s="17"/>
      <c r="S15" s="17"/>
      <c r="T15" s="17"/>
      <c r="U15" s="17"/>
      <c r="V15" s="17"/>
      <c r="W15" s="25"/>
    </row>
    <row r="16" customFormat="false" ht="6" hidden="false" customHeight="true" outlineLevel="0" collapsed="false">
      <c r="A16" s="26"/>
      <c r="B16" s="16"/>
      <c r="C16" s="16"/>
      <c r="D16" s="16"/>
      <c r="E16" s="16"/>
      <c r="F16" s="16"/>
      <c r="G16" s="16"/>
      <c r="H16" s="16"/>
      <c r="I16" s="16"/>
      <c r="J16" s="16"/>
      <c r="K16" s="16"/>
      <c r="L16" s="16"/>
      <c r="M16" s="16"/>
      <c r="N16" s="16"/>
      <c r="O16" s="16"/>
      <c r="P16" s="16"/>
      <c r="Q16" s="16"/>
      <c r="R16" s="16"/>
      <c r="S16" s="16"/>
      <c r="T16" s="16"/>
      <c r="U16" s="16"/>
      <c r="V16" s="16"/>
      <c r="W16" s="29"/>
    </row>
    <row r="17" customFormat="false" ht="15" hidden="false" customHeight="true" outlineLevel="0" collapsed="false">
      <c r="A17" s="26"/>
      <c r="B17" s="16"/>
      <c r="C17" s="35"/>
      <c r="D17" s="35"/>
      <c r="E17" s="16"/>
      <c r="F17" s="36"/>
      <c r="G17" s="16"/>
      <c r="H17" s="16"/>
      <c r="I17" s="16"/>
      <c r="J17" s="16"/>
      <c r="K17" s="16"/>
      <c r="L17" s="16"/>
      <c r="M17" s="16"/>
      <c r="N17" s="17"/>
      <c r="O17" s="17"/>
      <c r="P17" s="17"/>
      <c r="Q17" s="17"/>
      <c r="R17" s="17"/>
      <c r="S17" s="17"/>
      <c r="T17" s="17"/>
      <c r="U17" s="17"/>
      <c r="V17" s="17"/>
      <c r="W17" s="25"/>
    </row>
    <row r="18" customFormat="false" ht="12" hidden="false" customHeight="false" outlineLevel="0" collapsed="false">
      <c r="A18" s="26"/>
      <c r="B18" s="16"/>
      <c r="C18" s="16"/>
      <c r="D18" s="16"/>
      <c r="E18" s="16"/>
      <c r="F18" s="16"/>
      <c r="G18" s="16"/>
      <c r="H18" s="16"/>
      <c r="I18" s="16"/>
      <c r="J18" s="16"/>
      <c r="K18" s="16"/>
      <c r="L18" s="22" t="n">
        <v>6</v>
      </c>
      <c r="M18" s="17"/>
      <c r="N18" s="17" t="s">
        <v>15</v>
      </c>
      <c r="O18" s="37"/>
      <c r="P18" s="17"/>
      <c r="Q18" s="17"/>
      <c r="R18" s="17"/>
      <c r="S18" s="31" t="n">
        <f aca="false">Admin!B17</f>
        <v>45021</v>
      </c>
      <c r="T18" s="31"/>
      <c r="U18" s="31"/>
      <c r="V18" s="31"/>
      <c r="W18" s="25"/>
    </row>
    <row r="19" customFormat="false" ht="12" hidden="false" customHeight="false" outlineLevel="0" collapsed="false">
      <c r="A19" s="22" t="n">
        <v>3</v>
      </c>
      <c r="B19" s="16"/>
      <c r="C19" s="17" t="s">
        <v>16</v>
      </c>
      <c r="D19" s="16"/>
      <c r="E19" s="16"/>
      <c r="F19" s="16"/>
      <c r="G19" s="16"/>
      <c r="H19" s="16"/>
      <c r="I19" s="16"/>
      <c r="J19" s="16"/>
      <c r="K19" s="16"/>
      <c r="L19" s="16"/>
      <c r="M19" s="17"/>
      <c r="N19" s="27" t="s">
        <v>17</v>
      </c>
      <c r="O19" s="28"/>
      <c r="P19" s="28"/>
      <c r="Q19" s="28"/>
      <c r="R19" s="16"/>
      <c r="S19" s="16"/>
      <c r="T19" s="16"/>
      <c r="U19" s="16"/>
      <c r="V19" s="16"/>
      <c r="W19" s="29"/>
    </row>
    <row r="20" customFormat="false" ht="12" hidden="false" customHeight="false" outlineLevel="0" collapsed="false">
      <c r="A20" s="26"/>
      <c r="B20" s="16"/>
      <c r="C20" s="17" t="s">
        <v>18</v>
      </c>
      <c r="D20" s="16"/>
      <c r="E20" s="16"/>
      <c r="F20" s="16"/>
      <c r="G20" s="16"/>
      <c r="H20" s="16"/>
      <c r="I20" s="16"/>
      <c r="J20" s="16"/>
      <c r="K20" s="16"/>
      <c r="L20" s="16"/>
      <c r="M20" s="16"/>
      <c r="N20" s="28"/>
      <c r="O20" s="28"/>
      <c r="P20" s="28"/>
      <c r="Q20" s="28"/>
      <c r="R20" s="16"/>
      <c r="S20" s="16"/>
      <c r="T20" s="16"/>
      <c r="U20" s="16"/>
      <c r="V20" s="16"/>
      <c r="W20" s="29"/>
    </row>
    <row r="21" customFormat="false" ht="13.5" hidden="false" customHeight="false" outlineLevel="0" collapsed="false">
      <c r="A21" s="26"/>
      <c r="B21" s="16"/>
      <c r="C21" s="27" t="s">
        <v>19</v>
      </c>
      <c r="D21" s="28"/>
      <c r="E21" s="28"/>
      <c r="F21" s="28"/>
      <c r="G21" s="28"/>
      <c r="H21" s="28"/>
      <c r="I21" s="28"/>
      <c r="J21" s="28"/>
      <c r="K21" s="28"/>
      <c r="L21" s="16"/>
      <c r="M21" s="16"/>
      <c r="N21" s="34"/>
      <c r="O21" s="34"/>
      <c r="P21" s="34"/>
      <c r="Q21" s="34"/>
      <c r="R21" s="16"/>
      <c r="S21" s="16"/>
      <c r="T21" s="16"/>
      <c r="U21" s="16"/>
      <c r="V21" s="16"/>
      <c r="W21" s="29"/>
    </row>
    <row r="22" customFormat="false" ht="9.75" hidden="false" customHeight="true" outlineLevel="0" collapsed="false">
      <c r="A22" s="26"/>
      <c r="B22" s="16"/>
      <c r="C22" s="27" t="s">
        <v>20</v>
      </c>
      <c r="D22" s="16"/>
      <c r="E22" s="16"/>
      <c r="F22" s="16"/>
      <c r="G22" s="16"/>
      <c r="H22" s="16"/>
      <c r="I22" s="16"/>
      <c r="J22" s="16"/>
      <c r="K22" s="16"/>
      <c r="L22" s="16"/>
      <c r="M22" s="16"/>
      <c r="N22" s="28"/>
      <c r="O22" s="28"/>
      <c r="P22" s="28"/>
      <c r="Q22" s="28"/>
      <c r="R22" s="16"/>
      <c r="S22" s="16"/>
      <c r="T22" s="16"/>
      <c r="U22" s="16"/>
      <c r="V22" s="16"/>
      <c r="W22" s="29"/>
    </row>
    <row r="23" customFormat="false" ht="12" hidden="false" customHeight="false" outlineLevel="0" collapsed="false">
      <c r="A23" s="26"/>
      <c r="B23" s="16"/>
      <c r="C23" s="28"/>
      <c r="D23" s="16"/>
      <c r="E23" s="16"/>
      <c r="F23" s="16"/>
      <c r="G23" s="16"/>
      <c r="H23" s="16"/>
      <c r="I23" s="16"/>
      <c r="J23" s="16"/>
      <c r="K23" s="16"/>
      <c r="L23" s="22" t="n">
        <v>7</v>
      </c>
      <c r="M23" s="16"/>
      <c r="N23" s="27" t="s">
        <v>21</v>
      </c>
      <c r="O23" s="28"/>
      <c r="P23" s="28"/>
      <c r="Q23" s="28"/>
      <c r="R23" s="16"/>
      <c r="S23" s="16"/>
      <c r="T23" s="16"/>
      <c r="U23" s="16"/>
      <c r="V23" s="16"/>
      <c r="W23" s="29"/>
    </row>
    <row r="24" customFormat="false" ht="15" hidden="false" customHeight="true" outlineLevel="0" collapsed="false">
      <c r="A24" s="26"/>
      <c r="B24" s="16"/>
      <c r="C24" s="38"/>
      <c r="D24" s="16"/>
      <c r="E24" s="16"/>
      <c r="F24" s="16"/>
      <c r="G24" s="16"/>
      <c r="H24" s="16"/>
      <c r="I24" s="16"/>
      <c r="J24" s="16"/>
      <c r="K24" s="16"/>
      <c r="L24" s="16"/>
      <c r="M24" s="16"/>
      <c r="N24" s="39" t="s">
        <v>22</v>
      </c>
      <c r="O24" s="28"/>
      <c r="P24" s="28"/>
      <c r="Q24" s="28"/>
      <c r="R24" s="16"/>
      <c r="S24" s="16"/>
      <c r="T24" s="16"/>
      <c r="U24" s="16"/>
      <c r="V24" s="16"/>
      <c r="W24" s="29"/>
    </row>
    <row r="25" customFormat="false" ht="15" hidden="false" customHeight="true" outlineLevel="0" collapsed="false">
      <c r="A25" s="26"/>
      <c r="B25" s="16"/>
      <c r="C25" s="16"/>
      <c r="D25" s="16"/>
      <c r="E25" s="16"/>
      <c r="F25" s="16"/>
      <c r="G25" s="16"/>
      <c r="H25" s="16"/>
      <c r="I25" s="16"/>
      <c r="J25" s="16"/>
      <c r="K25" s="16"/>
      <c r="L25" s="16"/>
      <c r="M25" s="16"/>
      <c r="N25" s="34" t="n">
        <f aca="false">Admin!B17</f>
        <v>45021</v>
      </c>
      <c r="O25" s="34"/>
      <c r="P25" s="34"/>
      <c r="Q25" s="34"/>
      <c r="R25" s="16"/>
      <c r="S25" s="16"/>
      <c r="T25" s="16"/>
      <c r="U25" s="16"/>
      <c r="V25" s="16"/>
      <c r="W25" s="29"/>
    </row>
    <row r="26" customFormat="false" ht="12" hidden="false" customHeight="true" outlineLevel="0" collapsed="false">
      <c r="A26" s="26"/>
      <c r="B26" s="16"/>
      <c r="C26" s="16"/>
      <c r="D26" s="16"/>
      <c r="E26" s="16"/>
      <c r="F26" s="16"/>
      <c r="G26" s="16"/>
      <c r="H26" s="16"/>
      <c r="I26" s="16"/>
      <c r="J26" s="16"/>
      <c r="K26" s="16"/>
      <c r="L26" s="16"/>
      <c r="M26" s="16"/>
      <c r="N26" s="39"/>
      <c r="O26" s="28"/>
      <c r="P26" s="28"/>
      <c r="Q26" s="28"/>
      <c r="R26" s="16"/>
      <c r="S26" s="16"/>
      <c r="T26" s="16"/>
      <c r="U26" s="16"/>
      <c r="V26" s="16"/>
      <c r="W26" s="29"/>
    </row>
    <row r="27" customFormat="false" ht="12" hidden="false" customHeight="false" outlineLevel="0" collapsed="false">
      <c r="A27" s="22" t="n">
        <v>26</v>
      </c>
      <c r="B27" s="16"/>
      <c r="C27" s="40" t="s">
        <v>23</v>
      </c>
      <c r="D27" s="16"/>
      <c r="E27" s="16"/>
      <c r="F27" s="16"/>
      <c r="G27" s="16"/>
      <c r="H27" s="16"/>
      <c r="I27" s="16"/>
      <c r="J27" s="16"/>
      <c r="K27" s="16"/>
      <c r="L27" s="22" t="n">
        <v>24</v>
      </c>
      <c r="M27" s="16"/>
      <c r="N27" s="40" t="s">
        <v>24</v>
      </c>
      <c r="O27" s="17"/>
      <c r="P27" s="17"/>
      <c r="Q27" s="17"/>
      <c r="R27" s="17"/>
      <c r="S27" s="17"/>
      <c r="T27" s="17"/>
      <c r="U27" s="17"/>
      <c r="V27" s="17"/>
      <c r="W27" s="29"/>
    </row>
    <row r="28" customFormat="false" ht="12" hidden="false" customHeight="true" outlineLevel="0" collapsed="false">
      <c r="A28" s="17"/>
      <c r="B28" s="16"/>
      <c r="C28" s="16"/>
      <c r="D28" s="16"/>
      <c r="E28" s="16"/>
      <c r="F28" s="16"/>
      <c r="G28" s="16"/>
      <c r="H28" s="16"/>
      <c r="I28" s="16"/>
      <c r="J28" s="16"/>
      <c r="K28" s="16"/>
      <c r="L28" s="17"/>
      <c r="M28" s="16"/>
      <c r="N28" s="37" t="s">
        <v>25</v>
      </c>
      <c r="O28" s="17"/>
      <c r="P28" s="17"/>
      <c r="Q28" s="17"/>
      <c r="R28" s="17"/>
      <c r="S28" s="17"/>
      <c r="T28" s="17"/>
      <c r="U28" s="17"/>
      <c r="V28" s="17"/>
      <c r="W28" s="29"/>
    </row>
    <row r="29" customFormat="false" ht="15" hidden="false" customHeight="true" outlineLevel="0" collapsed="false">
      <c r="A29" s="16"/>
      <c r="B29" s="16"/>
      <c r="C29" s="41" t="s">
        <v>26</v>
      </c>
      <c r="D29" s="42" t="n">
        <v>0</v>
      </c>
      <c r="E29" s="42"/>
      <c r="F29" s="42"/>
      <c r="G29" s="43" t="s">
        <v>27</v>
      </c>
      <c r="H29" s="44" t="n">
        <v>0</v>
      </c>
      <c r="I29" s="44" t="n">
        <v>0</v>
      </c>
      <c r="J29" s="16"/>
      <c r="K29" s="16"/>
      <c r="L29" s="17"/>
      <c r="M29" s="16"/>
      <c r="N29" s="41" t="s">
        <v>26</v>
      </c>
      <c r="O29" s="42" t="n">
        <v>0</v>
      </c>
      <c r="P29" s="42"/>
      <c r="Q29" s="42"/>
      <c r="R29" s="43" t="s">
        <v>27</v>
      </c>
      <c r="S29" s="44" t="n">
        <v>0</v>
      </c>
      <c r="T29" s="44" t="n">
        <v>0</v>
      </c>
      <c r="U29" s="17"/>
      <c r="V29" s="17"/>
      <c r="W29" s="29"/>
    </row>
    <row r="30" customFormat="false" ht="7.5" hidden="false" customHeight="true" outlineLevel="0" collapsed="false">
      <c r="A30" s="16"/>
      <c r="B30" s="16"/>
      <c r="C30" s="45"/>
      <c r="D30" s="46"/>
      <c r="E30" s="46"/>
      <c r="F30" s="46"/>
      <c r="G30" s="43"/>
      <c r="H30" s="47"/>
      <c r="I30" s="47"/>
      <c r="J30" s="16"/>
      <c r="K30" s="16"/>
      <c r="L30" s="16"/>
      <c r="M30" s="16"/>
      <c r="N30" s="16"/>
      <c r="O30" s="16"/>
      <c r="P30" s="16"/>
      <c r="Q30" s="16"/>
      <c r="R30" s="16"/>
      <c r="S30" s="16"/>
      <c r="T30" s="16"/>
      <c r="U30" s="16"/>
      <c r="V30" s="16"/>
      <c r="W30" s="29"/>
    </row>
    <row r="31" s="49" customFormat="true" ht="12" hidden="false" customHeight="true" outlineLevel="0" collapsed="false">
      <c r="A31" s="28"/>
      <c r="B31" s="28"/>
      <c r="C31" s="27" t="s">
        <v>28</v>
      </c>
      <c r="D31" s="46"/>
      <c r="E31" s="46"/>
      <c r="F31" s="46"/>
      <c r="G31" s="43"/>
      <c r="H31" s="47"/>
      <c r="I31" s="47"/>
      <c r="J31" s="28"/>
      <c r="K31" s="28"/>
      <c r="L31" s="28"/>
      <c r="M31" s="28"/>
      <c r="N31" s="27" t="s">
        <v>29</v>
      </c>
      <c r="O31" s="28"/>
      <c r="P31" s="28"/>
      <c r="Q31" s="28"/>
      <c r="R31" s="28"/>
      <c r="S31" s="28"/>
      <c r="T31" s="28"/>
      <c r="U31" s="28"/>
      <c r="V31" s="28"/>
      <c r="W31" s="48"/>
    </row>
    <row r="32" s="49" customFormat="true" ht="12" hidden="false" customHeight="true" outlineLevel="0" collapsed="false">
      <c r="A32" s="28"/>
      <c r="B32" s="28"/>
      <c r="C32" s="50" t="s">
        <v>30</v>
      </c>
      <c r="D32" s="46"/>
      <c r="E32" s="46"/>
      <c r="F32" s="46"/>
      <c r="G32" s="43"/>
      <c r="H32" s="47"/>
      <c r="I32" s="47"/>
      <c r="J32" s="28"/>
      <c r="K32" s="28"/>
      <c r="L32" s="28"/>
      <c r="M32" s="28"/>
      <c r="N32" s="50" t="s">
        <v>30</v>
      </c>
      <c r="O32" s="46"/>
      <c r="P32" s="46"/>
      <c r="Q32" s="46"/>
      <c r="R32" s="43"/>
      <c r="S32" s="47"/>
      <c r="T32" s="47"/>
      <c r="U32" s="28"/>
      <c r="V32" s="28"/>
      <c r="W32" s="48"/>
    </row>
    <row r="33" customFormat="false" ht="3.75" hidden="false" customHeight="true" outlineLevel="0" collapsed="false">
      <c r="A33" s="26"/>
      <c r="B33" s="16"/>
      <c r="C33" s="16"/>
      <c r="D33" s="16"/>
      <c r="E33" s="16"/>
      <c r="F33" s="16"/>
      <c r="G33" s="16"/>
      <c r="H33" s="16"/>
      <c r="I33" s="16"/>
      <c r="J33" s="16"/>
      <c r="K33" s="16"/>
      <c r="L33" s="16"/>
      <c r="M33" s="16"/>
      <c r="N33" s="28"/>
      <c r="O33" s="28"/>
      <c r="P33" s="28"/>
      <c r="Q33" s="28"/>
      <c r="R33" s="16"/>
      <c r="S33" s="16"/>
      <c r="T33" s="16"/>
      <c r="U33" s="16"/>
      <c r="V33" s="16"/>
      <c r="W33" s="29"/>
    </row>
    <row r="34" customFormat="false" ht="15" hidden="false" customHeight="true" outlineLevel="0" collapsed="false">
      <c r="A34" s="16"/>
      <c r="B34" s="16"/>
      <c r="C34" s="41" t="s">
        <v>26</v>
      </c>
      <c r="D34" s="51" t="n">
        <f aca="false">'SE Short'!O94</f>
        <v>0</v>
      </c>
      <c r="E34" s="51"/>
      <c r="F34" s="51"/>
      <c r="G34" s="43" t="s">
        <v>27</v>
      </c>
      <c r="H34" s="44" t="n">
        <v>0</v>
      </c>
      <c r="I34" s="44" t="n">
        <v>0</v>
      </c>
      <c r="J34" s="16"/>
      <c r="K34" s="16"/>
      <c r="L34" s="16"/>
      <c r="M34" s="16"/>
      <c r="N34" s="41" t="s">
        <v>26</v>
      </c>
      <c r="O34" s="51" t="n">
        <f aca="false">D29-D34+'SE Short'!O106</f>
        <v>0</v>
      </c>
      <c r="P34" s="51"/>
      <c r="Q34" s="51"/>
      <c r="R34" s="43" t="s">
        <v>27</v>
      </c>
      <c r="S34" s="44" t="n">
        <v>0</v>
      </c>
      <c r="T34" s="44" t="n">
        <v>0</v>
      </c>
      <c r="U34" s="16"/>
      <c r="V34" s="16"/>
      <c r="W34" s="29"/>
    </row>
    <row r="35" customFormat="false" ht="7.5" hidden="false" customHeight="true" outlineLevel="0" collapsed="false">
      <c r="A35" s="52"/>
      <c r="B35" s="53"/>
      <c r="C35" s="53"/>
      <c r="D35" s="53"/>
      <c r="E35" s="53"/>
      <c r="F35" s="53"/>
      <c r="G35" s="53"/>
      <c r="H35" s="53"/>
      <c r="I35" s="53"/>
      <c r="J35" s="53"/>
      <c r="K35" s="53"/>
      <c r="L35" s="53"/>
      <c r="M35" s="53"/>
      <c r="N35" s="53"/>
      <c r="O35" s="53"/>
      <c r="P35" s="53"/>
      <c r="Q35" s="53"/>
      <c r="R35" s="53"/>
      <c r="S35" s="53"/>
      <c r="T35" s="53"/>
      <c r="U35" s="53"/>
      <c r="V35" s="53"/>
      <c r="W35" s="54"/>
    </row>
  </sheetData>
  <mergeCells count="18">
    <mergeCell ref="A1:W1"/>
    <mergeCell ref="C5:J5"/>
    <mergeCell ref="O5:P5"/>
    <mergeCell ref="R5:U5"/>
    <mergeCell ref="C8:J8"/>
    <mergeCell ref="C10:J10"/>
    <mergeCell ref="C12:J12"/>
    <mergeCell ref="S12:V12"/>
    <mergeCell ref="N13:V13"/>
    <mergeCell ref="N15:Q15"/>
    <mergeCell ref="C17:D17"/>
    <mergeCell ref="S18:V18"/>
    <mergeCell ref="N21:Q21"/>
    <mergeCell ref="N25:Q25"/>
    <mergeCell ref="D29:F29"/>
    <mergeCell ref="O29:Q29"/>
    <mergeCell ref="D34:F34"/>
    <mergeCell ref="O34:Q34"/>
  </mergeCells>
  <printOptions headings="false" gridLines="false" gridLinesSet="true" horizontalCentered="true" verticalCentered="false"/>
  <pageMargins left="0.39375" right="0.39375"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55" width="3.66"/>
    <col collapsed="false" customWidth="true" hidden="false" outlineLevel="0" max="2" min="2" style="55" width="0.82"/>
    <col collapsed="false" customWidth="true" hidden="false" outlineLevel="0" max="3" min="3" style="55" width="3.66"/>
    <col collapsed="false" customWidth="true" hidden="false" outlineLevel="0" max="4" min="4" style="55" width="4.66"/>
    <col collapsed="false" customWidth="true" hidden="false" outlineLevel="0" max="5" min="5" style="55" width="1.66"/>
    <col collapsed="false" customWidth="true" hidden="false" outlineLevel="0" max="6" min="6" style="55" width="10.66"/>
    <col collapsed="false" customWidth="true" hidden="false" outlineLevel="0" max="7" min="7" style="55" width="1.66"/>
    <col collapsed="false" customWidth="true" hidden="false" outlineLevel="0" max="9" min="8" style="55" width="2.5"/>
    <col collapsed="false" customWidth="true" hidden="false" outlineLevel="0" max="11" min="10" style="55" width="6.66"/>
    <col collapsed="false" customWidth="true" hidden="false" outlineLevel="0" max="12" min="12" style="55" width="3.66"/>
    <col collapsed="false" customWidth="true" hidden="false" outlineLevel="0" max="13" min="13" style="55" width="0.82"/>
    <col collapsed="false" customWidth="true" hidden="false" outlineLevel="0" max="15" min="14" style="55" width="3.66"/>
    <col collapsed="false" customWidth="true" hidden="false" outlineLevel="0" max="17" min="16" style="55" width="6.66"/>
    <col collapsed="false" customWidth="true" hidden="false" outlineLevel="0" max="18" min="18" style="55" width="1.66"/>
    <col collapsed="false" customWidth="true" hidden="false" outlineLevel="0" max="19" min="19" style="55" width="2.5"/>
    <col collapsed="false" customWidth="true" hidden="false" outlineLevel="0" max="20" min="20" style="55" width="12.15"/>
    <col collapsed="false" customWidth="true" hidden="false" outlineLevel="0" max="21" min="21" style="55" width="2.66"/>
    <col collapsed="false" customWidth="true" hidden="false" outlineLevel="0" max="22" min="22" style="55" width="7.66"/>
    <col collapsed="false" customWidth="true" hidden="false" outlineLevel="0" max="23" min="23" style="55" width="10.66"/>
    <col collapsed="false" customWidth="false" hidden="false" outlineLevel="0" max="257" min="24" style="55" width="9.15"/>
  </cols>
  <sheetData>
    <row r="1" customFormat="false" ht="30" hidden="false" customHeight="true" outlineLevel="0" collapsed="false">
      <c r="A1" s="56" t="s">
        <v>31</v>
      </c>
      <c r="B1" s="56"/>
      <c r="C1" s="56"/>
      <c r="D1" s="56"/>
      <c r="E1" s="56"/>
      <c r="F1" s="56"/>
      <c r="G1" s="57" t="str">
        <f aca="false">"SUBMIT ONLINE RETURN TO HMRC BY 31ST JANUARY "&amp;TEXT(YEAR(Admin!B17)+1,"0000")</f>
        <v>SUBMIT ONLINE RETURN TO HMRC BY 31ST JANUARY 2024</v>
      </c>
      <c r="H1" s="57"/>
      <c r="I1" s="57"/>
      <c r="J1" s="57"/>
      <c r="K1" s="57"/>
      <c r="L1" s="57"/>
      <c r="M1" s="57"/>
      <c r="N1" s="57"/>
      <c r="O1" s="58" t="s">
        <v>32</v>
      </c>
      <c r="P1" s="58"/>
      <c r="Q1" s="58"/>
      <c r="R1" s="58"/>
      <c r="S1" s="58"/>
      <c r="T1" s="58"/>
      <c r="U1" s="58"/>
      <c r="V1" s="58"/>
      <c r="W1" s="58"/>
    </row>
    <row r="2" customFormat="false" ht="30" hidden="false" customHeight="true" outlineLevel="0" collapsed="false">
      <c r="A2" s="56"/>
      <c r="B2" s="56"/>
      <c r="C2" s="56"/>
      <c r="D2" s="56"/>
      <c r="E2" s="56"/>
      <c r="F2" s="56"/>
      <c r="G2" s="57"/>
      <c r="H2" s="57"/>
      <c r="I2" s="57"/>
      <c r="J2" s="57"/>
      <c r="K2" s="57"/>
      <c r="L2" s="57"/>
      <c r="M2" s="57"/>
      <c r="N2" s="57"/>
      <c r="O2" s="59" t="s">
        <v>33</v>
      </c>
      <c r="P2" s="59"/>
      <c r="Q2" s="60" t="n">
        <f aca="false">Admin!B4</f>
        <v>44657</v>
      </c>
      <c r="R2" s="60"/>
      <c r="S2" s="60"/>
      <c r="T2" s="60"/>
      <c r="U2" s="61" t="s">
        <v>34</v>
      </c>
      <c r="V2" s="60" t="n">
        <f aca="false">Admin!B17</f>
        <v>45021</v>
      </c>
      <c r="W2" s="60"/>
    </row>
    <row r="3" customFormat="false" ht="8.25" hidden="false" customHeight="true" outlineLevel="0" collapsed="false">
      <c r="A3" s="62"/>
      <c r="B3" s="62"/>
      <c r="C3" s="62"/>
      <c r="D3" s="62"/>
      <c r="E3" s="62"/>
      <c r="F3" s="62"/>
      <c r="G3" s="62"/>
      <c r="H3" s="62"/>
      <c r="I3" s="62"/>
      <c r="J3" s="62"/>
      <c r="K3" s="62"/>
      <c r="L3" s="62"/>
      <c r="M3" s="62"/>
      <c r="N3" s="62"/>
      <c r="O3" s="62"/>
      <c r="P3" s="62"/>
      <c r="Q3" s="62"/>
      <c r="R3" s="62"/>
      <c r="S3" s="62"/>
      <c r="T3" s="62"/>
      <c r="U3" s="62"/>
      <c r="V3" s="62"/>
      <c r="W3" s="62"/>
    </row>
    <row r="4" customFormat="false" ht="9.75" hidden="false" customHeight="true" outlineLevel="0" collapsed="false">
      <c r="A4" s="63"/>
      <c r="B4" s="63"/>
      <c r="C4" s="63"/>
      <c r="D4" s="63"/>
      <c r="E4" s="63"/>
      <c r="F4" s="63"/>
      <c r="G4" s="63"/>
      <c r="H4" s="63"/>
      <c r="I4" s="63"/>
      <c r="J4" s="63"/>
      <c r="K4" s="63"/>
      <c r="L4" s="63"/>
      <c r="M4" s="63"/>
      <c r="N4" s="63"/>
      <c r="O4" s="63"/>
      <c r="P4" s="63"/>
      <c r="Q4" s="63"/>
      <c r="R4" s="63"/>
      <c r="S4" s="63"/>
      <c r="T4" s="63"/>
      <c r="U4" s="63"/>
      <c r="V4" s="63"/>
      <c r="W4" s="63"/>
    </row>
    <row r="5" customFormat="false" ht="6" hidden="false" customHeight="true" outlineLevel="0" collapsed="false">
      <c r="A5" s="64"/>
      <c r="B5" s="65"/>
      <c r="C5" s="65"/>
      <c r="D5" s="65"/>
      <c r="E5" s="65"/>
      <c r="F5" s="65"/>
      <c r="G5" s="65"/>
      <c r="H5" s="65"/>
      <c r="I5" s="65"/>
      <c r="J5" s="65"/>
      <c r="K5" s="65"/>
      <c r="L5" s="65"/>
      <c r="M5" s="65"/>
      <c r="N5" s="65"/>
      <c r="O5" s="65"/>
      <c r="P5" s="65"/>
      <c r="Q5" s="65"/>
      <c r="R5" s="65"/>
      <c r="S5" s="65"/>
      <c r="T5" s="65"/>
      <c r="U5" s="65"/>
      <c r="V5" s="65"/>
      <c r="W5" s="66"/>
    </row>
    <row r="6" customFormat="false" ht="12" hidden="false" customHeight="false" outlineLevel="0" collapsed="false">
      <c r="A6" s="67"/>
      <c r="B6" s="68"/>
      <c r="C6" s="69" t="s">
        <v>7</v>
      </c>
      <c r="D6" s="69"/>
      <c r="E6" s="69"/>
      <c r="F6" s="68"/>
      <c r="G6" s="68"/>
      <c r="H6" s="68"/>
      <c r="I6" s="68"/>
      <c r="J6" s="68"/>
      <c r="K6" s="68"/>
      <c r="L6" s="68"/>
      <c r="M6" s="68"/>
      <c r="N6" s="69" t="s">
        <v>8</v>
      </c>
      <c r="O6" s="69"/>
      <c r="P6" s="69"/>
      <c r="Q6" s="69"/>
      <c r="R6" s="69"/>
      <c r="S6" s="69"/>
      <c r="T6" s="69"/>
      <c r="U6" s="69"/>
      <c r="V6" s="69"/>
      <c r="W6" s="70"/>
    </row>
    <row r="7" customFormat="false" ht="7.5" hidden="false" customHeight="true" outlineLevel="0" collapsed="false">
      <c r="A7" s="67"/>
      <c r="B7" s="68"/>
      <c r="C7" s="69"/>
      <c r="D7" s="69"/>
      <c r="E7" s="69"/>
      <c r="F7" s="68"/>
      <c r="G7" s="68"/>
      <c r="H7" s="68"/>
      <c r="I7" s="68"/>
      <c r="J7" s="68"/>
      <c r="K7" s="68"/>
      <c r="L7" s="68"/>
      <c r="M7" s="68"/>
      <c r="N7" s="69"/>
      <c r="O7" s="69"/>
      <c r="P7" s="69"/>
      <c r="Q7" s="69"/>
      <c r="R7" s="69"/>
      <c r="S7" s="69"/>
      <c r="T7" s="69"/>
      <c r="U7" s="69"/>
      <c r="V7" s="69"/>
      <c r="W7" s="70"/>
    </row>
    <row r="8" customFormat="false" ht="15" hidden="false" customHeight="true" outlineLevel="0" collapsed="false">
      <c r="A8" s="67"/>
      <c r="B8" s="68"/>
      <c r="C8" s="71" t="str">
        <f aca="false">IF('Business Details'!C5&gt;0,'Business Details'!C5," ")</f>
        <v> </v>
      </c>
      <c r="D8" s="71"/>
      <c r="E8" s="71"/>
      <c r="F8" s="71"/>
      <c r="G8" s="71"/>
      <c r="H8" s="71"/>
      <c r="I8" s="71"/>
      <c r="J8" s="71"/>
      <c r="K8" s="68"/>
      <c r="L8" s="68"/>
      <c r="M8" s="68"/>
      <c r="N8" s="68"/>
      <c r="O8" s="72" t="str">
        <f aca="false">IF('Business Details'!O5&gt;0,'Business Details'!O5," ")</f>
        <v> </v>
      </c>
      <c r="P8" s="72"/>
      <c r="Q8" s="68"/>
      <c r="R8" s="72" t="str">
        <f aca="false">IF('Business Details'!R5&gt;0,'Business Details'!R5," ")</f>
        <v> </v>
      </c>
      <c r="S8" s="72"/>
      <c r="T8" s="72"/>
      <c r="U8" s="72"/>
      <c r="V8" s="68"/>
      <c r="W8" s="73"/>
    </row>
    <row r="9" customFormat="false" ht="6" hidden="false" customHeight="true" outlineLevel="0" collapsed="false">
      <c r="A9" s="74"/>
      <c r="B9" s="75"/>
      <c r="C9" s="75"/>
      <c r="D9" s="75"/>
      <c r="E9" s="75"/>
      <c r="F9" s="75"/>
      <c r="G9" s="75"/>
      <c r="H9" s="75"/>
      <c r="I9" s="75"/>
      <c r="J9" s="75"/>
      <c r="K9" s="75"/>
      <c r="L9" s="75"/>
      <c r="M9" s="75"/>
      <c r="N9" s="75"/>
      <c r="O9" s="75"/>
      <c r="P9" s="75"/>
      <c r="Q9" s="75"/>
      <c r="R9" s="75"/>
      <c r="S9" s="75"/>
      <c r="T9" s="75"/>
      <c r="U9" s="75"/>
      <c r="V9" s="75"/>
      <c r="W9" s="76"/>
    </row>
    <row r="10" customFormat="false" ht="24.75" hidden="false" customHeight="true" outlineLevel="0" collapsed="false">
      <c r="A10" s="77" t="s">
        <v>35</v>
      </c>
      <c r="B10" s="77"/>
      <c r="C10" s="77"/>
      <c r="D10" s="77"/>
      <c r="E10" s="77"/>
      <c r="F10" s="77"/>
      <c r="G10" s="77"/>
      <c r="H10" s="77"/>
      <c r="I10" s="77"/>
      <c r="J10" s="77"/>
      <c r="K10" s="77"/>
      <c r="L10" s="77"/>
      <c r="M10" s="77"/>
      <c r="N10" s="77"/>
      <c r="O10" s="77"/>
      <c r="P10" s="77"/>
      <c r="Q10" s="77"/>
      <c r="R10" s="77"/>
      <c r="S10" s="77"/>
      <c r="T10" s="77"/>
      <c r="U10" s="77"/>
      <c r="V10" s="77"/>
      <c r="W10" s="77"/>
    </row>
    <row r="11" customFormat="false" ht="7.5" hidden="false" customHeight="true" outlineLevel="0" collapsed="false">
      <c r="A11" s="78"/>
      <c r="B11" s="79"/>
      <c r="C11" s="79"/>
      <c r="D11" s="79"/>
      <c r="E11" s="79"/>
      <c r="F11" s="79"/>
      <c r="G11" s="79"/>
      <c r="H11" s="79"/>
      <c r="I11" s="79"/>
      <c r="J11" s="79"/>
      <c r="K11" s="79"/>
      <c r="L11" s="79"/>
      <c r="M11" s="79"/>
      <c r="N11" s="79"/>
      <c r="O11" s="79"/>
      <c r="P11" s="79"/>
      <c r="Q11" s="79"/>
      <c r="R11" s="79"/>
      <c r="S11" s="79"/>
      <c r="T11" s="79"/>
      <c r="U11" s="79"/>
      <c r="V11" s="79"/>
      <c r="W11" s="80"/>
    </row>
    <row r="12" customFormat="false" ht="12.65" hidden="false" customHeight="false" outlineLevel="0" collapsed="false">
      <c r="A12" s="81" t="n">
        <v>1</v>
      </c>
      <c r="B12" s="68"/>
      <c r="C12" s="69" t="s">
        <v>9</v>
      </c>
      <c r="D12" s="69"/>
      <c r="E12" s="69"/>
      <c r="F12" s="68"/>
      <c r="G12" s="68"/>
      <c r="H12" s="68"/>
      <c r="I12" s="68"/>
      <c r="J12" s="68"/>
      <c r="K12" s="68"/>
      <c r="L12" s="81" t="n">
        <v>4</v>
      </c>
      <c r="M12" s="68"/>
      <c r="N12" s="69" t="s">
        <v>10</v>
      </c>
      <c r="O12" s="69"/>
      <c r="P12" s="69"/>
      <c r="Q12" s="69"/>
      <c r="R12" s="82"/>
      <c r="S12" s="83"/>
      <c r="T12" s="83"/>
      <c r="U12" s="83"/>
      <c r="V12" s="69"/>
      <c r="W12" s="84"/>
    </row>
    <row r="13" customFormat="false" ht="15" hidden="false" customHeight="true" outlineLevel="0" collapsed="false">
      <c r="A13" s="85"/>
      <c r="B13" s="68"/>
      <c r="C13" s="71" t="str">
        <f aca="false">IF('Business Details'!C8&gt;0,'Business Details'!C8," ")</f>
        <v> </v>
      </c>
      <c r="D13" s="71"/>
      <c r="E13" s="71"/>
      <c r="F13" s="71"/>
      <c r="G13" s="71"/>
      <c r="H13" s="71"/>
      <c r="I13" s="71"/>
      <c r="J13" s="71"/>
      <c r="K13" s="68"/>
      <c r="L13" s="68"/>
      <c r="M13" s="68"/>
      <c r="N13" s="86" t="s">
        <v>11</v>
      </c>
      <c r="O13" s="69"/>
      <c r="P13" s="69"/>
      <c r="Q13" s="69"/>
      <c r="R13" s="69"/>
      <c r="S13" s="69"/>
      <c r="T13" s="69"/>
      <c r="U13" s="69"/>
      <c r="V13" s="69"/>
      <c r="W13" s="84"/>
    </row>
    <row r="14" customFormat="false" ht="7.5" hidden="false" customHeight="true" outlineLevel="0" collapsed="false">
      <c r="A14" s="85"/>
      <c r="B14" s="68"/>
      <c r="C14" s="68"/>
      <c r="D14" s="68"/>
      <c r="E14" s="68"/>
      <c r="F14" s="68"/>
      <c r="G14" s="68"/>
      <c r="H14" s="68"/>
      <c r="I14" s="68"/>
      <c r="J14" s="68"/>
      <c r="K14" s="68"/>
      <c r="L14" s="68"/>
      <c r="M14" s="68"/>
      <c r="N14" s="87"/>
      <c r="O14" s="87"/>
      <c r="P14" s="87"/>
      <c r="Q14" s="87"/>
      <c r="R14" s="68"/>
      <c r="S14" s="68"/>
      <c r="T14" s="68"/>
      <c r="U14" s="68"/>
      <c r="V14" s="68"/>
      <c r="W14" s="88"/>
    </row>
    <row r="15" customFormat="false" ht="15" hidden="false" customHeight="true" outlineLevel="0" collapsed="false">
      <c r="A15" s="85"/>
      <c r="B15" s="68"/>
      <c r="C15" s="71" t="str">
        <f aca="false">IF('Business Details'!C10&gt;0,'Business Details'!C10," ")</f>
        <v> </v>
      </c>
      <c r="D15" s="71"/>
      <c r="E15" s="71"/>
      <c r="F15" s="71"/>
      <c r="G15" s="71"/>
      <c r="H15" s="71"/>
      <c r="I15" s="71"/>
      <c r="J15" s="71"/>
      <c r="K15" s="68"/>
      <c r="L15" s="68"/>
      <c r="M15" s="68"/>
      <c r="N15" s="89" t="str">
        <f aca="false">IF('Business Details'!N10&gt;0,'Business Details'!N10," ")</f>
        <v> </v>
      </c>
      <c r="O15" s="87"/>
      <c r="P15" s="87"/>
      <c r="Q15" s="87"/>
      <c r="R15" s="68"/>
      <c r="S15" s="68"/>
      <c r="T15" s="68"/>
      <c r="U15" s="68"/>
      <c r="V15" s="68"/>
      <c r="W15" s="88"/>
    </row>
    <row r="16" customFormat="false" ht="7.5" hidden="false" customHeight="true" outlineLevel="0" collapsed="false">
      <c r="A16" s="85"/>
      <c r="B16" s="68"/>
      <c r="C16" s="68"/>
      <c r="D16" s="68"/>
      <c r="E16" s="68"/>
      <c r="F16" s="68"/>
      <c r="G16" s="68"/>
      <c r="H16" s="68"/>
      <c r="I16" s="68"/>
      <c r="J16" s="68"/>
      <c r="K16" s="68"/>
      <c r="L16" s="68"/>
      <c r="M16" s="68"/>
      <c r="N16" s="68"/>
      <c r="O16" s="68"/>
      <c r="P16" s="68"/>
      <c r="Q16" s="68"/>
      <c r="R16" s="68"/>
      <c r="S16" s="68"/>
      <c r="T16" s="68"/>
      <c r="U16" s="68"/>
      <c r="V16" s="68"/>
      <c r="W16" s="88"/>
    </row>
    <row r="17" customFormat="false" ht="15" hidden="false" customHeight="true" outlineLevel="0" collapsed="false">
      <c r="A17" s="85"/>
      <c r="B17" s="68"/>
      <c r="C17" s="71" t="str">
        <f aca="false">IF('Business Details'!C12&gt;0,'Business Details'!C12," ")</f>
        <v> </v>
      </c>
      <c r="D17" s="71"/>
      <c r="E17" s="71"/>
      <c r="F17" s="71"/>
      <c r="G17" s="71"/>
      <c r="H17" s="71"/>
      <c r="I17" s="71"/>
      <c r="J17" s="71"/>
      <c r="K17" s="68"/>
      <c r="L17" s="81" t="n">
        <v>5</v>
      </c>
      <c r="M17" s="68"/>
      <c r="N17" s="69" t="s">
        <v>36</v>
      </c>
      <c r="O17" s="69"/>
      <c r="P17" s="69"/>
      <c r="Q17" s="69"/>
      <c r="R17" s="82"/>
      <c r="S17" s="90" t="n">
        <f aca="false">Admin!B4</f>
        <v>44657</v>
      </c>
      <c r="T17" s="90"/>
      <c r="U17" s="90"/>
      <c r="V17" s="90"/>
      <c r="W17" s="84"/>
    </row>
    <row r="18" customFormat="false" ht="12" hidden="false" customHeight="true" outlineLevel="0" collapsed="false">
      <c r="A18" s="85"/>
      <c r="B18" s="68"/>
      <c r="C18" s="68"/>
      <c r="D18" s="68"/>
      <c r="E18" s="68"/>
      <c r="F18" s="68"/>
      <c r="G18" s="68"/>
      <c r="H18" s="68"/>
      <c r="I18" s="68"/>
      <c r="J18" s="68"/>
      <c r="K18" s="68"/>
      <c r="L18" s="68"/>
      <c r="M18" s="68"/>
      <c r="N18" s="91" t="s">
        <v>13</v>
      </c>
      <c r="O18" s="91"/>
      <c r="P18" s="91"/>
      <c r="Q18" s="91"/>
      <c r="R18" s="91"/>
      <c r="S18" s="91"/>
      <c r="T18" s="91"/>
      <c r="U18" s="91"/>
      <c r="V18" s="91"/>
      <c r="W18" s="92"/>
    </row>
    <row r="19" customFormat="false" ht="7.5" hidden="false" customHeight="true" outlineLevel="0" collapsed="false">
      <c r="A19" s="85"/>
      <c r="B19" s="68"/>
      <c r="C19" s="68"/>
      <c r="D19" s="68"/>
      <c r="E19" s="68"/>
      <c r="F19" s="68"/>
      <c r="G19" s="68"/>
      <c r="H19" s="68"/>
      <c r="I19" s="68"/>
      <c r="J19" s="68"/>
      <c r="K19" s="68"/>
      <c r="L19" s="68"/>
      <c r="M19" s="68"/>
      <c r="N19" s="68"/>
      <c r="O19" s="68"/>
      <c r="P19" s="68"/>
      <c r="Q19" s="68"/>
      <c r="R19" s="68"/>
      <c r="S19" s="68"/>
      <c r="T19" s="68"/>
      <c r="U19" s="68"/>
      <c r="V19" s="68"/>
      <c r="W19" s="88"/>
    </row>
    <row r="20" customFormat="false" ht="13.5" hidden="false" customHeight="false" outlineLevel="0" collapsed="false">
      <c r="A20" s="81" t="n">
        <v>2</v>
      </c>
      <c r="B20" s="68"/>
      <c r="C20" s="69" t="s">
        <v>14</v>
      </c>
      <c r="D20" s="69"/>
      <c r="E20" s="69"/>
      <c r="F20" s="68"/>
      <c r="G20" s="68"/>
      <c r="H20" s="68"/>
      <c r="I20" s="68"/>
      <c r="J20" s="68"/>
      <c r="K20" s="68"/>
      <c r="L20" s="68"/>
      <c r="M20" s="68"/>
      <c r="N20" s="93" t="str">
        <f aca="false">IF('Business Details'!N15&gt;0,'Business Details'!N15," ")</f>
        <v> </v>
      </c>
      <c r="O20" s="93"/>
      <c r="P20" s="93"/>
      <c r="Q20" s="93"/>
      <c r="R20" s="69"/>
      <c r="S20" s="69"/>
      <c r="T20" s="69"/>
      <c r="U20" s="69"/>
      <c r="V20" s="69"/>
      <c r="W20" s="84"/>
    </row>
    <row r="21" customFormat="false" ht="7.5" hidden="false" customHeight="true" outlineLevel="0" collapsed="false">
      <c r="A21" s="85"/>
      <c r="B21" s="68"/>
      <c r="C21" s="68"/>
      <c r="D21" s="68"/>
      <c r="E21" s="68"/>
      <c r="F21" s="68"/>
      <c r="G21" s="68"/>
      <c r="H21" s="68"/>
      <c r="I21" s="68"/>
      <c r="J21" s="68"/>
      <c r="K21" s="68"/>
      <c r="L21" s="68"/>
      <c r="M21" s="68"/>
      <c r="N21" s="68"/>
      <c r="O21" s="68"/>
      <c r="P21" s="68"/>
      <c r="Q21" s="68"/>
      <c r="R21" s="68"/>
      <c r="S21" s="68"/>
      <c r="T21" s="68"/>
      <c r="U21" s="68"/>
      <c r="V21" s="68"/>
      <c r="W21" s="88"/>
    </row>
    <row r="22" customFormat="false" ht="15" hidden="false" customHeight="true" outlineLevel="0" collapsed="false">
      <c r="A22" s="85"/>
      <c r="B22" s="68"/>
      <c r="C22" s="94" t="str">
        <f aca="false">IF('Business Details'!C17&gt;0,'Business Details'!C17," ")</f>
        <v> </v>
      </c>
      <c r="D22" s="94"/>
      <c r="E22" s="68"/>
      <c r="F22" s="89" t="str">
        <f aca="false">IF('Business Details'!F17&gt;0,'Business Details'!F17," ")</f>
        <v> </v>
      </c>
      <c r="G22" s="68"/>
      <c r="H22" s="68"/>
      <c r="I22" s="68"/>
      <c r="J22" s="68"/>
      <c r="K22" s="68"/>
      <c r="L22" s="68"/>
      <c r="M22" s="68"/>
      <c r="N22" s="69"/>
      <c r="O22" s="69"/>
      <c r="P22" s="69"/>
      <c r="Q22" s="69"/>
      <c r="R22" s="69"/>
      <c r="S22" s="69"/>
      <c r="T22" s="69"/>
      <c r="U22" s="69"/>
      <c r="V22" s="69"/>
      <c r="W22" s="84"/>
    </row>
    <row r="23" customFormat="false" ht="12" hidden="false" customHeight="false" outlineLevel="0" collapsed="false">
      <c r="A23" s="85"/>
      <c r="B23" s="68"/>
      <c r="C23" s="68"/>
      <c r="D23" s="68"/>
      <c r="E23" s="68"/>
      <c r="F23" s="68"/>
      <c r="G23" s="68"/>
      <c r="H23" s="68"/>
      <c r="I23" s="68"/>
      <c r="J23" s="68"/>
      <c r="K23" s="68"/>
      <c r="L23" s="81" t="n">
        <v>6</v>
      </c>
      <c r="M23" s="69"/>
      <c r="N23" s="69" t="s">
        <v>15</v>
      </c>
      <c r="O23" s="95"/>
      <c r="P23" s="69"/>
      <c r="Q23" s="69"/>
      <c r="R23" s="69"/>
      <c r="S23" s="90" t="n">
        <f aca="false">Admin!B4</f>
        <v>44657</v>
      </c>
      <c r="T23" s="90"/>
      <c r="U23" s="90"/>
      <c r="V23" s="90"/>
      <c r="W23" s="84"/>
    </row>
    <row r="24" customFormat="false" ht="12" hidden="false" customHeight="false" outlineLevel="0" collapsed="false">
      <c r="A24" s="81" t="n">
        <v>3</v>
      </c>
      <c r="B24" s="68"/>
      <c r="C24" s="69" t="s">
        <v>16</v>
      </c>
      <c r="D24" s="68"/>
      <c r="E24" s="68"/>
      <c r="F24" s="68"/>
      <c r="G24" s="68"/>
      <c r="H24" s="68"/>
      <c r="I24" s="68"/>
      <c r="J24" s="68"/>
      <c r="K24" s="68"/>
      <c r="L24" s="68"/>
      <c r="M24" s="69"/>
      <c r="N24" s="86" t="s">
        <v>17</v>
      </c>
      <c r="O24" s="87"/>
      <c r="P24" s="87"/>
      <c r="Q24" s="87"/>
      <c r="R24" s="68"/>
      <c r="S24" s="68"/>
      <c r="T24" s="68"/>
      <c r="U24" s="68"/>
      <c r="V24" s="68"/>
      <c r="W24" s="88"/>
    </row>
    <row r="25" customFormat="false" ht="12" hidden="false" customHeight="false" outlineLevel="0" collapsed="false">
      <c r="A25" s="85"/>
      <c r="B25" s="68"/>
      <c r="C25" s="69" t="s">
        <v>18</v>
      </c>
      <c r="D25" s="68"/>
      <c r="E25" s="68"/>
      <c r="F25" s="68"/>
      <c r="G25" s="68"/>
      <c r="H25" s="68"/>
      <c r="I25" s="68"/>
      <c r="J25" s="68"/>
      <c r="K25" s="68"/>
      <c r="L25" s="68"/>
      <c r="M25" s="68"/>
      <c r="N25" s="87"/>
      <c r="O25" s="87"/>
      <c r="P25" s="87"/>
      <c r="Q25" s="87"/>
      <c r="R25" s="68"/>
      <c r="S25" s="68"/>
      <c r="T25" s="68"/>
      <c r="U25" s="68"/>
      <c r="V25" s="68"/>
      <c r="W25" s="88"/>
    </row>
    <row r="26" customFormat="false" ht="13.5" hidden="false" customHeight="false" outlineLevel="0" collapsed="false">
      <c r="A26" s="85"/>
      <c r="B26" s="68"/>
      <c r="C26" s="86" t="s">
        <v>19</v>
      </c>
      <c r="D26" s="87"/>
      <c r="E26" s="87"/>
      <c r="F26" s="87"/>
      <c r="G26" s="87"/>
      <c r="H26" s="87"/>
      <c r="I26" s="87"/>
      <c r="J26" s="87"/>
      <c r="K26" s="87"/>
      <c r="L26" s="68"/>
      <c r="M26" s="68"/>
      <c r="N26" s="93" t="str">
        <f aca="false">IF('Business Details'!N21&gt;0,'Business Details'!N21," ")</f>
        <v> </v>
      </c>
      <c r="O26" s="93"/>
      <c r="P26" s="93"/>
      <c r="Q26" s="93"/>
      <c r="R26" s="68"/>
      <c r="S26" s="68"/>
      <c r="T26" s="68"/>
      <c r="U26" s="68"/>
      <c r="V26" s="68"/>
      <c r="W26" s="88"/>
    </row>
    <row r="27" customFormat="false" ht="12" hidden="false" customHeight="false" outlineLevel="0" collapsed="false">
      <c r="A27" s="85"/>
      <c r="B27" s="68"/>
      <c r="C27" s="86" t="s">
        <v>20</v>
      </c>
      <c r="D27" s="68"/>
      <c r="E27" s="68"/>
      <c r="F27" s="68"/>
      <c r="G27" s="68"/>
      <c r="H27" s="68"/>
      <c r="I27" s="68"/>
      <c r="J27" s="68"/>
      <c r="K27" s="68"/>
      <c r="L27" s="68"/>
      <c r="M27" s="68"/>
      <c r="N27" s="87"/>
      <c r="O27" s="87"/>
      <c r="P27" s="87"/>
      <c r="Q27" s="87"/>
      <c r="R27" s="68"/>
      <c r="S27" s="68"/>
      <c r="T27" s="68"/>
      <c r="U27" s="68"/>
      <c r="V27" s="68"/>
      <c r="W27" s="88"/>
    </row>
    <row r="28" customFormat="false" ht="12" hidden="false" customHeight="false" outlineLevel="0" collapsed="false">
      <c r="A28" s="85"/>
      <c r="B28" s="68"/>
      <c r="C28" s="87"/>
      <c r="D28" s="68"/>
      <c r="E28" s="68"/>
      <c r="F28" s="68"/>
      <c r="G28" s="68"/>
      <c r="H28" s="68"/>
      <c r="I28" s="68"/>
      <c r="J28" s="68"/>
      <c r="K28" s="68"/>
      <c r="L28" s="81" t="n">
        <v>7</v>
      </c>
      <c r="M28" s="68"/>
      <c r="N28" s="86" t="s">
        <v>21</v>
      </c>
      <c r="O28" s="87"/>
      <c r="P28" s="87"/>
      <c r="Q28" s="87"/>
      <c r="R28" s="68"/>
      <c r="S28" s="68"/>
      <c r="T28" s="68"/>
      <c r="U28" s="68"/>
      <c r="V28" s="68"/>
      <c r="W28" s="88"/>
    </row>
    <row r="29" customFormat="false" ht="15" hidden="false" customHeight="true" outlineLevel="0" collapsed="false">
      <c r="A29" s="85"/>
      <c r="B29" s="68"/>
      <c r="C29" s="89" t="str">
        <f aca="false">IF('Business Details'!C24&gt;0,'Business Details'!C24," ")</f>
        <v> </v>
      </c>
      <c r="D29" s="68"/>
      <c r="E29" s="68"/>
      <c r="F29" s="68"/>
      <c r="G29" s="68"/>
      <c r="H29" s="68"/>
      <c r="I29" s="68"/>
      <c r="J29" s="68"/>
      <c r="K29" s="68"/>
      <c r="L29" s="68"/>
      <c r="M29" s="68"/>
      <c r="N29" s="96" t="s">
        <v>22</v>
      </c>
      <c r="O29" s="87"/>
      <c r="P29" s="87"/>
      <c r="Q29" s="87"/>
      <c r="R29" s="68"/>
      <c r="S29" s="68"/>
      <c r="T29" s="68"/>
      <c r="U29" s="68"/>
      <c r="V29" s="68"/>
      <c r="W29" s="88"/>
    </row>
    <row r="30" customFormat="false" ht="7.5" hidden="false" customHeight="true" outlineLevel="0" collapsed="false">
      <c r="A30" s="85"/>
      <c r="B30" s="68"/>
      <c r="C30" s="68"/>
      <c r="D30" s="68"/>
      <c r="E30" s="68"/>
      <c r="F30" s="68"/>
      <c r="G30" s="68"/>
      <c r="H30" s="68"/>
      <c r="I30" s="68"/>
      <c r="J30" s="68"/>
      <c r="K30" s="68"/>
      <c r="L30" s="68"/>
      <c r="M30" s="68"/>
      <c r="N30" s="96"/>
      <c r="O30" s="87"/>
      <c r="P30" s="87"/>
      <c r="Q30" s="87"/>
      <c r="R30" s="68"/>
      <c r="S30" s="68"/>
      <c r="T30" s="68"/>
      <c r="U30" s="68"/>
      <c r="V30" s="68"/>
      <c r="W30" s="88"/>
    </row>
    <row r="31" customFormat="false" ht="13.5" hidden="false" customHeight="false" outlineLevel="0" collapsed="false">
      <c r="A31" s="85"/>
      <c r="B31" s="68"/>
      <c r="C31" s="68"/>
      <c r="D31" s="68"/>
      <c r="E31" s="68"/>
      <c r="F31" s="68"/>
      <c r="G31" s="68"/>
      <c r="H31" s="68"/>
      <c r="I31" s="68"/>
      <c r="J31" s="68"/>
      <c r="K31" s="68"/>
      <c r="L31" s="68"/>
      <c r="M31" s="68"/>
      <c r="N31" s="93" t="n">
        <f aca="false">Admin!B17</f>
        <v>45021</v>
      </c>
      <c r="O31" s="93"/>
      <c r="P31" s="93"/>
      <c r="Q31" s="93"/>
      <c r="R31" s="68"/>
      <c r="S31" s="68"/>
      <c r="T31" s="68"/>
      <c r="U31" s="68"/>
      <c r="V31" s="68"/>
      <c r="W31" s="88"/>
    </row>
    <row r="32" customFormat="false" ht="7.5" hidden="false" customHeight="true" outlineLevel="0" collapsed="false">
      <c r="A32" s="97"/>
      <c r="B32" s="98"/>
      <c r="C32" s="98"/>
      <c r="D32" s="98"/>
      <c r="E32" s="98"/>
      <c r="F32" s="98"/>
      <c r="G32" s="98"/>
      <c r="H32" s="98"/>
      <c r="I32" s="98"/>
      <c r="J32" s="98"/>
      <c r="K32" s="98"/>
      <c r="L32" s="98"/>
      <c r="M32" s="98"/>
      <c r="N32" s="98"/>
      <c r="O32" s="98"/>
      <c r="P32" s="98"/>
      <c r="Q32" s="98"/>
      <c r="R32" s="98"/>
      <c r="S32" s="98"/>
      <c r="T32" s="98"/>
      <c r="U32" s="98"/>
      <c r="V32" s="98"/>
      <c r="W32" s="99"/>
    </row>
    <row r="33" customFormat="false" ht="24.75" hidden="false" customHeight="true" outlineLevel="0" collapsed="false">
      <c r="A33" s="100" t="str">
        <f aca="false">"Business income - if your annual turnover was below £"&amp;Admin!F26&amp;" vat threshold"</f>
        <v>Business income - if your annual turnover was below £85000 vat threshold</v>
      </c>
      <c r="B33" s="100"/>
      <c r="C33" s="100"/>
      <c r="D33" s="100"/>
      <c r="E33" s="100"/>
      <c r="F33" s="100"/>
      <c r="G33" s="100"/>
      <c r="H33" s="100"/>
      <c r="I33" s="100"/>
      <c r="J33" s="100"/>
      <c r="K33" s="100"/>
      <c r="L33" s="100"/>
      <c r="M33" s="100"/>
      <c r="N33" s="100"/>
      <c r="O33" s="100"/>
      <c r="P33" s="100"/>
      <c r="Q33" s="100"/>
      <c r="R33" s="100"/>
      <c r="S33" s="100"/>
      <c r="T33" s="100"/>
      <c r="U33" s="100"/>
      <c r="V33" s="100"/>
      <c r="W33" s="100"/>
    </row>
    <row r="34" customFormat="false" ht="7.5" hidden="false" customHeight="true" outlineLevel="0" collapsed="false">
      <c r="A34" s="78"/>
      <c r="B34" s="79"/>
      <c r="C34" s="79"/>
      <c r="D34" s="79"/>
      <c r="E34" s="79"/>
      <c r="F34" s="79"/>
      <c r="G34" s="79"/>
      <c r="H34" s="79"/>
      <c r="I34" s="79"/>
      <c r="J34" s="79"/>
      <c r="K34" s="79"/>
      <c r="L34" s="79"/>
      <c r="M34" s="79"/>
      <c r="N34" s="79"/>
      <c r="O34" s="79"/>
      <c r="P34" s="79"/>
      <c r="Q34" s="79"/>
      <c r="R34" s="79"/>
      <c r="S34" s="79"/>
      <c r="T34" s="79"/>
      <c r="U34" s="79"/>
      <c r="V34" s="79"/>
      <c r="W34" s="80"/>
    </row>
    <row r="35" customFormat="false" ht="12" hidden="false" customHeight="false" outlineLevel="0" collapsed="false">
      <c r="A35" s="81" t="n">
        <v>8</v>
      </c>
      <c r="B35" s="68"/>
      <c r="C35" s="69" t="s">
        <v>37</v>
      </c>
      <c r="D35" s="69"/>
      <c r="E35" s="69"/>
      <c r="F35" s="69"/>
      <c r="G35" s="69"/>
      <c r="H35" s="69"/>
      <c r="I35" s="69"/>
      <c r="J35" s="69"/>
      <c r="K35" s="69"/>
      <c r="L35" s="81" t="n">
        <v>9</v>
      </c>
      <c r="M35" s="68"/>
      <c r="N35" s="69" t="s">
        <v>38</v>
      </c>
      <c r="O35" s="69"/>
      <c r="P35" s="69"/>
      <c r="Q35" s="69"/>
      <c r="R35" s="69"/>
      <c r="S35" s="69"/>
      <c r="T35" s="69"/>
      <c r="U35" s="69"/>
      <c r="V35" s="69"/>
      <c r="W35" s="84"/>
    </row>
    <row r="36" customFormat="false" ht="12" hidden="false" customHeight="false" outlineLevel="0" collapsed="false">
      <c r="A36" s="85"/>
      <c r="B36" s="68"/>
      <c r="C36" s="95" t="s">
        <v>39</v>
      </c>
      <c r="D36" s="68"/>
      <c r="E36" s="68"/>
      <c r="F36" s="68"/>
      <c r="G36" s="68"/>
      <c r="H36" s="68"/>
      <c r="I36" s="68"/>
      <c r="J36" s="68"/>
      <c r="K36" s="68"/>
      <c r="L36" s="68"/>
      <c r="M36" s="68"/>
      <c r="N36" s="95" t="s">
        <v>40</v>
      </c>
      <c r="O36" s="68"/>
      <c r="P36" s="68"/>
      <c r="Q36" s="68"/>
      <c r="R36" s="68"/>
      <c r="S36" s="68"/>
      <c r="T36" s="68"/>
      <c r="U36" s="68"/>
      <c r="V36" s="68"/>
      <c r="W36" s="88"/>
    </row>
    <row r="37" customFormat="false" ht="6" hidden="false" customHeight="true" outlineLevel="0" collapsed="false">
      <c r="A37" s="85"/>
      <c r="B37" s="68"/>
      <c r="C37" s="68"/>
      <c r="D37" s="68"/>
      <c r="E37" s="68"/>
      <c r="F37" s="68"/>
      <c r="G37" s="68"/>
      <c r="H37" s="68"/>
      <c r="I37" s="68"/>
      <c r="J37" s="68"/>
      <c r="K37" s="68"/>
      <c r="L37" s="68"/>
      <c r="M37" s="68"/>
      <c r="N37" s="68"/>
      <c r="O37" s="68"/>
      <c r="P37" s="68"/>
      <c r="Q37" s="68"/>
      <c r="R37" s="68"/>
      <c r="S37" s="68"/>
      <c r="T37" s="68"/>
      <c r="U37" s="68"/>
      <c r="V37" s="68"/>
      <c r="W37" s="88"/>
    </row>
    <row r="38" customFormat="false" ht="15" hidden="false" customHeight="false" outlineLevel="0" collapsed="false">
      <c r="A38" s="85"/>
      <c r="B38" s="68"/>
      <c r="C38" s="101" t="s">
        <v>26</v>
      </c>
      <c r="D38" s="102" t="n">
        <f aca="false">'Profit &amp; Loss Acc'!C4</f>
        <v>36000</v>
      </c>
      <c r="E38" s="102"/>
      <c r="F38" s="102"/>
      <c r="G38" s="103" t="s">
        <v>27</v>
      </c>
      <c r="H38" s="104" t="n">
        <v>0</v>
      </c>
      <c r="I38" s="104" t="n">
        <v>0</v>
      </c>
      <c r="J38" s="68"/>
      <c r="K38" s="68"/>
      <c r="L38" s="68"/>
      <c r="M38" s="68"/>
      <c r="N38" s="101" t="s">
        <v>26</v>
      </c>
      <c r="O38" s="102"/>
      <c r="P38" s="102"/>
      <c r="Q38" s="102"/>
      <c r="R38" s="103" t="s">
        <v>27</v>
      </c>
      <c r="S38" s="104" t="n">
        <v>0</v>
      </c>
      <c r="T38" s="104" t="n">
        <v>0</v>
      </c>
      <c r="U38" s="105"/>
      <c r="V38" s="106"/>
      <c r="W38" s="88"/>
    </row>
    <row r="39" customFormat="false" ht="7.5" hidden="false" customHeight="true" outlineLevel="0" collapsed="false">
      <c r="A39" s="97"/>
      <c r="B39" s="98"/>
      <c r="C39" s="98"/>
      <c r="D39" s="98"/>
      <c r="E39" s="98"/>
      <c r="F39" s="98"/>
      <c r="G39" s="98"/>
      <c r="H39" s="98"/>
      <c r="I39" s="98"/>
      <c r="J39" s="98"/>
      <c r="K39" s="98"/>
      <c r="L39" s="98"/>
      <c r="M39" s="98"/>
      <c r="N39" s="98"/>
      <c r="O39" s="98"/>
      <c r="P39" s="98"/>
      <c r="Q39" s="98"/>
      <c r="R39" s="98"/>
      <c r="S39" s="98"/>
      <c r="T39" s="98"/>
      <c r="U39" s="98"/>
      <c r="V39" s="98"/>
      <c r="W39" s="99"/>
    </row>
    <row r="40" customFormat="false" ht="24.75" hidden="false" customHeight="true" outlineLevel="0" collapsed="false">
      <c r="A40" s="100" t="s">
        <v>41</v>
      </c>
      <c r="B40" s="100"/>
      <c r="C40" s="100"/>
      <c r="D40" s="100"/>
      <c r="E40" s="100"/>
      <c r="F40" s="100"/>
      <c r="G40" s="100"/>
      <c r="H40" s="100"/>
      <c r="I40" s="100"/>
      <c r="J40" s="100"/>
      <c r="K40" s="100"/>
      <c r="L40" s="100"/>
      <c r="M40" s="100"/>
      <c r="N40" s="100"/>
      <c r="O40" s="100"/>
      <c r="P40" s="100"/>
      <c r="Q40" s="100"/>
      <c r="R40" s="100"/>
      <c r="S40" s="100"/>
      <c r="T40" s="100"/>
      <c r="U40" s="100"/>
      <c r="V40" s="100"/>
      <c r="W40" s="100"/>
    </row>
    <row r="41" s="108" customFormat="true" ht="13.5" hidden="false" customHeight="true" outlineLevel="0" collapsed="false">
      <c r="A41" s="107" t="s">
        <v>42</v>
      </c>
      <c r="B41" s="107"/>
      <c r="C41" s="107"/>
      <c r="D41" s="107"/>
      <c r="E41" s="107"/>
      <c r="F41" s="107"/>
      <c r="G41" s="107"/>
      <c r="H41" s="107"/>
      <c r="I41" s="107"/>
      <c r="J41" s="107"/>
      <c r="K41" s="107"/>
      <c r="L41" s="107"/>
      <c r="M41" s="107"/>
      <c r="N41" s="107"/>
      <c r="O41" s="107"/>
      <c r="P41" s="107"/>
      <c r="Q41" s="107"/>
      <c r="R41" s="107"/>
      <c r="S41" s="107"/>
      <c r="T41" s="107"/>
      <c r="U41" s="107"/>
      <c r="V41" s="107"/>
      <c r="W41" s="107"/>
    </row>
    <row r="42" s="108" customFormat="true" ht="13.5" hidden="false" customHeight="true" outlineLevel="0" collapsed="false">
      <c r="A42" s="107" t="s">
        <v>43</v>
      </c>
      <c r="B42" s="107"/>
      <c r="C42" s="107"/>
      <c r="D42" s="107"/>
      <c r="E42" s="107"/>
      <c r="F42" s="107"/>
      <c r="G42" s="107"/>
      <c r="H42" s="107"/>
      <c r="I42" s="107"/>
      <c r="J42" s="107"/>
      <c r="K42" s="107"/>
      <c r="L42" s="107"/>
      <c r="M42" s="107"/>
      <c r="N42" s="107"/>
      <c r="O42" s="107"/>
      <c r="P42" s="107"/>
      <c r="Q42" s="107"/>
      <c r="R42" s="107"/>
      <c r="S42" s="107"/>
      <c r="T42" s="107"/>
      <c r="U42" s="107"/>
      <c r="V42" s="107"/>
      <c r="W42" s="107"/>
    </row>
    <row r="43" customFormat="false" ht="7.5" hidden="false" customHeight="true" outlineLevel="0" collapsed="false">
      <c r="A43" s="78"/>
      <c r="B43" s="79"/>
      <c r="C43" s="79"/>
      <c r="D43" s="79"/>
      <c r="E43" s="79"/>
      <c r="F43" s="79"/>
      <c r="G43" s="79"/>
      <c r="H43" s="79"/>
      <c r="I43" s="79"/>
      <c r="J43" s="79"/>
      <c r="K43" s="79"/>
      <c r="L43" s="79"/>
      <c r="M43" s="79"/>
      <c r="N43" s="79"/>
      <c r="O43" s="79"/>
      <c r="P43" s="79"/>
      <c r="Q43" s="79"/>
      <c r="R43" s="79"/>
      <c r="S43" s="79"/>
      <c r="T43" s="79"/>
      <c r="U43" s="79"/>
      <c r="V43" s="79"/>
      <c r="W43" s="80"/>
    </row>
    <row r="44" customFormat="false" ht="12" hidden="false" customHeight="false" outlineLevel="0" collapsed="false">
      <c r="A44" s="81" t="n">
        <v>10</v>
      </c>
      <c r="B44" s="68"/>
      <c r="C44" s="69" t="s">
        <v>44</v>
      </c>
      <c r="D44" s="69"/>
      <c r="E44" s="69"/>
      <c r="F44" s="69"/>
      <c r="G44" s="69"/>
      <c r="H44" s="69"/>
      <c r="I44" s="69"/>
      <c r="J44" s="69"/>
      <c r="K44" s="69"/>
      <c r="L44" s="81" t="n">
        <v>15</v>
      </c>
      <c r="M44" s="68"/>
      <c r="N44" s="69" t="s">
        <v>45</v>
      </c>
      <c r="O44" s="68"/>
      <c r="P44" s="68"/>
      <c r="Q44" s="68"/>
      <c r="R44" s="68"/>
      <c r="S44" s="68"/>
      <c r="T44" s="68"/>
      <c r="U44" s="68"/>
      <c r="V44" s="68"/>
      <c r="W44" s="88"/>
    </row>
    <row r="45" customFormat="false" ht="6" hidden="false" customHeight="true" outlineLevel="0" collapsed="false">
      <c r="A45" s="109"/>
      <c r="B45" s="68"/>
      <c r="C45" s="69"/>
      <c r="D45" s="69"/>
      <c r="E45" s="69"/>
      <c r="F45" s="69"/>
      <c r="G45" s="69"/>
      <c r="H45" s="69"/>
      <c r="I45" s="69"/>
      <c r="J45" s="69"/>
      <c r="K45" s="69"/>
      <c r="L45" s="69"/>
      <c r="M45" s="68"/>
      <c r="N45" s="68"/>
      <c r="O45" s="68"/>
      <c r="P45" s="68"/>
      <c r="Q45" s="68"/>
      <c r="R45" s="68"/>
      <c r="S45" s="68"/>
      <c r="T45" s="68"/>
      <c r="U45" s="68"/>
      <c r="V45" s="68"/>
      <c r="W45" s="88"/>
    </row>
    <row r="46" customFormat="false" ht="15" hidden="false" customHeight="false" outlineLevel="0" collapsed="false">
      <c r="A46" s="85"/>
      <c r="B46" s="68"/>
      <c r="C46" s="101" t="s">
        <v>26</v>
      </c>
      <c r="D46" s="102" t="n">
        <f aca="false">IF(('Profit &amp; Loss Acc'!C4&lt;30000)," ",'Profit &amp; Loss Acc'!C6+'Profit &amp; Loss Acc'!C7)</f>
        <v>0</v>
      </c>
      <c r="E46" s="102"/>
      <c r="F46" s="102"/>
      <c r="G46" s="103" t="s">
        <v>27</v>
      </c>
      <c r="H46" s="104" t="n">
        <v>0</v>
      </c>
      <c r="I46" s="104" t="n">
        <v>0</v>
      </c>
      <c r="J46" s="68"/>
      <c r="K46" s="68"/>
      <c r="L46" s="68"/>
      <c r="M46" s="68"/>
      <c r="N46" s="101" t="s">
        <v>26</v>
      </c>
      <c r="O46" s="102" t="n">
        <f aca="false">IF(('Profit &amp; Loss Acc'!C4&lt;30000)," ",'Profit &amp; Loss Acc'!C18)</f>
        <v>850</v>
      </c>
      <c r="P46" s="102"/>
      <c r="Q46" s="102"/>
      <c r="R46" s="103" t="s">
        <v>27</v>
      </c>
      <c r="S46" s="104" t="n">
        <v>0</v>
      </c>
      <c r="T46" s="104" t="n">
        <v>0</v>
      </c>
      <c r="U46" s="68"/>
      <c r="V46" s="68"/>
      <c r="W46" s="88"/>
    </row>
    <row r="47" customFormat="false" ht="12" hidden="false" customHeight="false" outlineLevel="0" collapsed="false">
      <c r="A47" s="85"/>
      <c r="B47" s="68"/>
      <c r="C47" s="68"/>
      <c r="D47" s="68"/>
      <c r="E47" s="68"/>
      <c r="F47" s="68"/>
      <c r="G47" s="68"/>
      <c r="H47" s="68"/>
      <c r="I47" s="68"/>
      <c r="J47" s="68"/>
      <c r="K47" s="68"/>
      <c r="L47" s="68"/>
      <c r="M47" s="68"/>
      <c r="N47" s="68"/>
      <c r="O47" s="68"/>
      <c r="P47" s="68"/>
      <c r="Q47" s="68"/>
      <c r="R47" s="68"/>
      <c r="S47" s="68"/>
      <c r="T47" s="68"/>
      <c r="U47" s="68"/>
      <c r="V47" s="68"/>
      <c r="W47" s="88"/>
    </row>
    <row r="48" customFormat="false" ht="12" hidden="false" customHeight="false" outlineLevel="0" collapsed="false">
      <c r="A48" s="81" t="n">
        <v>11</v>
      </c>
      <c r="B48" s="68"/>
      <c r="C48" s="69" t="s">
        <v>46</v>
      </c>
      <c r="D48" s="69"/>
      <c r="E48" s="69"/>
      <c r="F48" s="69"/>
      <c r="G48" s="69"/>
      <c r="H48" s="69"/>
      <c r="I48" s="69"/>
      <c r="J48" s="69"/>
      <c r="K48" s="69"/>
      <c r="L48" s="81" t="n">
        <v>16</v>
      </c>
      <c r="M48" s="68"/>
      <c r="N48" s="69" t="s">
        <v>47</v>
      </c>
      <c r="O48" s="68"/>
      <c r="P48" s="68"/>
      <c r="Q48" s="68"/>
      <c r="R48" s="68"/>
      <c r="S48" s="68"/>
      <c r="T48" s="68"/>
      <c r="U48" s="68"/>
      <c r="V48" s="68"/>
      <c r="W48" s="88"/>
    </row>
    <row r="49" customFormat="false" ht="12.75" hidden="false" customHeight="true" outlineLevel="0" collapsed="false">
      <c r="A49" s="85"/>
      <c r="B49" s="68"/>
      <c r="C49" s="95" t="s">
        <v>48</v>
      </c>
      <c r="D49" s="68"/>
      <c r="E49" s="68"/>
      <c r="F49" s="68"/>
      <c r="G49" s="68"/>
      <c r="H49" s="68"/>
      <c r="I49" s="68"/>
      <c r="J49" s="68"/>
      <c r="K49" s="68"/>
      <c r="L49" s="68"/>
      <c r="M49" s="68"/>
      <c r="N49" s="68"/>
      <c r="O49" s="68"/>
      <c r="P49" s="68"/>
      <c r="Q49" s="68"/>
      <c r="R49" s="68"/>
      <c r="S49" s="68"/>
      <c r="T49" s="68"/>
      <c r="U49" s="68"/>
      <c r="V49" s="68"/>
      <c r="W49" s="88"/>
    </row>
    <row r="50" customFormat="false" ht="6" hidden="false" customHeight="true" outlineLevel="0" collapsed="false">
      <c r="A50" s="109"/>
      <c r="B50" s="68"/>
      <c r="C50" s="69"/>
      <c r="D50" s="69"/>
      <c r="E50" s="69"/>
      <c r="F50" s="69"/>
      <c r="G50" s="69"/>
      <c r="H50" s="69"/>
      <c r="I50" s="69"/>
      <c r="J50" s="69"/>
      <c r="K50" s="69"/>
      <c r="L50" s="69"/>
      <c r="M50" s="68"/>
      <c r="N50" s="68"/>
      <c r="O50" s="68"/>
      <c r="P50" s="68"/>
      <c r="Q50" s="68"/>
      <c r="R50" s="68"/>
      <c r="S50" s="68"/>
      <c r="T50" s="68"/>
      <c r="U50" s="68"/>
      <c r="V50" s="68"/>
      <c r="W50" s="88"/>
    </row>
    <row r="51" customFormat="false" ht="15" hidden="false" customHeight="false" outlineLevel="0" collapsed="false">
      <c r="A51" s="85"/>
      <c r="B51" s="68"/>
      <c r="C51" s="101" t="s">
        <v>26</v>
      </c>
      <c r="D51" s="102" t="n">
        <f aca="false">IF(('Profit &amp; Loss Acc'!C4&lt;30000)," ",'Profit &amp; Loss Acc'!C15+'Profit &amp; Loss Acc'!C16)</f>
        <v>0</v>
      </c>
      <c r="E51" s="102"/>
      <c r="F51" s="102"/>
      <c r="G51" s="103" t="s">
        <v>27</v>
      </c>
      <c r="H51" s="104" t="n">
        <v>0</v>
      </c>
      <c r="I51" s="104" t="n">
        <v>0</v>
      </c>
      <c r="J51" s="68"/>
      <c r="K51" s="68"/>
      <c r="L51" s="68"/>
      <c r="M51" s="68"/>
      <c r="N51" s="101" t="s">
        <v>26</v>
      </c>
      <c r="O51" s="102" t="n">
        <f aca="false">IF(('Profit &amp; Loss Acc'!C4&lt;30000)," ",'Profit &amp; Loss Acc'!C20)</f>
        <v>0</v>
      </c>
      <c r="P51" s="102"/>
      <c r="Q51" s="102"/>
      <c r="R51" s="103" t="s">
        <v>27</v>
      </c>
      <c r="S51" s="104" t="n">
        <v>0</v>
      </c>
      <c r="T51" s="104" t="n">
        <v>0</v>
      </c>
      <c r="U51" s="68"/>
      <c r="V51" s="68"/>
      <c r="W51" s="88"/>
    </row>
    <row r="52" customFormat="false" ht="12.75" hidden="false" customHeight="true" outlineLevel="0" collapsed="false">
      <c r="A52" s="85"/>
      <c r="B52" s="68"/>
      <c r="C52" s="68"/>
      <c r="D52" s="68"/>
      <c r="E52" s="68"/>
      <c r="F52" s="68"/>
      <c r="G52" s="68"/>
      <c r="H52" s="68"/>
      <c r="I52" s="68"/>
      <c r="J52" s="68"/>
      <c r="K52" s="68"/>
      <c r="L52" s="68"/>
      <c r="M52" s="68"/>
      <c r="N52" s="68"/>
      <c r="O52" s="68"/>
      <c r="P52" s="68"/>
      <c r="Q52" s="68"/>
      <c r="R52" s="68"/>
      <c r="S52" s="68"/>
      <c r="T52" s="68"/>
      <c r="U52" s="68"/>
      <c r="V52" s="68"/>
      <c r="W52" s="88"/>
    </row>
    <row r="53" customFormat="false" ht="12" hidden="false" customHeight="false" outlineLevel="0" collapsed="false">
      <c r="A53" s="81" t="n">
        <v>12</v>
      </c>
      <c r="B53" s="68"/>
      <c r="C53" s="69" t="s">
        <v>49</v>
      </c>
      <c r="D53" s="69"/>
      <c r="E53" s="69"/>
      <c r="F53" s="69"/>
      <c r="G53" s="69"/>
      <c r="H53" s="69"/>
      <c r="I53" s="69"/>
      <c r="J53" s="69"/>
      <c r="K53" s="69"/>
      <c r="L53" s="81" t="n">
        <v>17</v>
      </c>
      <c r="M53" s="68"/>
      <c r="N53" s="69" t="s">
        <v>50</v>
      </c>
      <c r="O53" s="68"/>
      <c r="P53" s="68"/>
      <c r="Q53" s="68"/>
      <c r="R53" s="68"/>
      <c r="S53" s="68"/>
      <c r="T53" s="68"/>
      <c r="U53" s="68"/>
      <c r="V53" s="68"/>
      <c r="W53" s="88"/>
    </row>
    <row r="54" customFormat="false" ht="6" hidden="false" customHeight="true" outlineLevel="0" collapsed="false">
      <c r="A54" s="109"/>
      <c r="B54" s="68"/>
      <c r="C54" s="69"/>
      <c r="D54" s="69"/>
      <c r="E54" s="69"/>
      <c r="F54" s="69"/>
      <c r="G54" s="69"/>
      <c r="H54" s="69"/>
      <c r="I54" s="69"/>
      <c r="J54" s="69"/>
      <c r="K54" s="69"/>
      <c r="L54" s="69"/>
      <c r="M54" s="68"/>
      <c r="N54" s="68"/>
      <c r="O54" s="68"/>
      <c r="P54" s="68"/>
      <c r="Q54" s="68"/>
      <c r="R54" s="68"/>
      <c r="S54" s="68"/>
      <c r="T54" s="68"/>
      <c r="U54" s="68"/>
      <c r="V54" s="68"/>
      <c r="W54" s="88"/>
    </row>
    <row r="55" customFormat="false" ht="15" hidden="false" customHeight="false" outlineLevel="0" collapsed="false">
      <c r="A55" s="85"/>
      <c r="B55" s="68"/>
      <c r="C55" s="101" t="s">
        <v>26</v>
      </c>
      <c r="D55" s="102" t="n">
        <f aca="false">IF(('Profit &amp; Loss Acc'!C4&lt;30000)," ",'Profit &amp; Loss Acc'!C11)</f>
        <v>0</v>
      </c>
      <c r="E55" s="102"/>
      <c r="F55" s="102"/>
      <c r="G55" s="103" t="s">
        <v>27</v>
      </c>
      <c r="H55" s="104" t="n">
        <v>0</v>
      </c>
      <c r="I55" s="104" t="n">
        <v>0</v>
      </c>
      <c r="J55" s="68"/>
      <c r="K55" s="68"/>
      <c r="L55" s="68"/>
      <c r="M55" s="68"/>
      <c r="N55" s="101" t="s">
        <v>26</v>
      </c>
      <c r="O55" s="102" t="n">
        <f aca="false">IF(('Profit &amp; Loss Acc'!C4&lt;30000)," ",'Profit &amp; Loss Acc'!C14)</f>
        <v>480</v>
      </c>
      <c r="P55" s="102"/>
      <c r="Q55" s="102"/>
      <c r="R55" s="103" t="s">
        <v>27</v>
      </c>
      <c r="S55" s="104" t="n">
        <v>0</v>
      </c>
      <c r="T55" s="104" t="n">
        <v>0</v>
      </c>
      <c r="U55" s="68"/>
      <c r="V55" s="68"/>
      <c r="W55" s="88"/>
    </row>
    <row r="56" customFormat="false" ht="12" hidden="false" customHeight="false" outlineLevel="0" collapsed="false">
      <c r="A56" s="85"/>
      <c r="B56" s="68"/>
      <c r="C56" s="68"/>
      <c r="D56" s="68"/>
      <c r="E56" s="68"/>
      <c r="F56" s="68"/>
      <c r="G56" s="68"/>
      <c r="H56" s="68"/>
      <c r="I56" s="68"/>
      <c r="J56" s="68"/>
      <c r="K56" s="68"/>
      <c r="L56" s="68"/>
      <c r="M56" s="68"/>
      <c r="N56" s="68"/>
      <c r="O56" s="68"/>
      <c r="P56" s="68"/>
      <c r="Q56" s="68"/>
      <c r="R56" s="68"/>
      <c r="S56" s="68"/>
      <c r="T56" s="68"/>
      <c r="U56" s="68"/>
      <c r="V56" s="68"/>
      <c r="W56" s="88"/>
    </row>
    <row r="57" customFormat="false" ht="12" hidden="false" customHeight="false" outlineLevel="0" collapsed="false">
      <c r="A57" s="81" t="n">
        <v>13</v>
      </c>
      <c r="B57" s="68"/>
      <c r="C57" s="69" t="s">
        <v>51</v>
      </c>
      <c r="D57" s="69"/>
      <c r="E57" s="69"/>
      <c r="F57" s="69"/>
      <c r="G57" s="69"/>
      <c r="H57" s="69"/>
      <c r="I57" s="69"/>
      <c r="J57" s="69"/>
      <c r="K57" s="69"/>
      <c r="L57" s="81" t="n">
        <v>18</v>
      </c>
      <c r="M57" s="68"/>
      <c r="N57" s="69" t="s">
        <v>52</v>
      </c>
      <c r="O57" s="68"/>
      <c r="P57" s="68"/>
      <c r="Q57" s="68"/>
      <c r="R57" s="68"/>
      <c r="S57" s="68"/>
      <c r="T57" s="68"/>
      <c r="U57" s="68"/>
      <c r="V57" s="68"/>
      <c r="W57" s="88"/>
    </row>
    <row r="58" customFormat="false" ht="12" hidden="false" customHeight="false" outlineLevel="0" collapsed="false">
      <c r="A58" s="85"/>
      <c r="B58" s="68"/>
      <c r="C58" s="68"/>
      <c r="D58" s="68"/>
      <c r="E58" s="68"/>
      <c r="F58" s="68"/>
      <c r="G58" s="68"/>
      <c r="H58" s="68"/>
      <c r="I58" s="68"/>
      <c r="J58" s="68"/>
      <c r="K58" s="68"/>
      <c r="L58" s="68"/>
      <c r="M58" s="68"/>
      <c r="N58" s="95" t="s">
        <v>53</v>
      </c>
      <c r="O58" s="68"/>
      <c r="P58" s="68"/>
      <c r="Q58" s="68"/>
      <c r="R58" s="68"/>
      <c r="S58" s="68"/>
      <c r="T58" s="68"/>
      <c r="U58" s="68"/>
      <c r="V58" s="68"/>
      <c r="W58" s="88"/>
    </row>
    <row r="59" customFormat="false" ht="6" hidden="false" customHeight="true" outlineLevel="0" collapsed="false">
      <c r="A59" s="109"/>
      <c r="B59" s="68"/>
      <c r="C59" s="69"/>
      <c r="D59" s="69"/>
      <c r="E59" s="69"/>
      <c r="F59" s="69"/>
      <c r="G59" s="69"/>
      <c r="H59" s="69"/>
      <c r="I59" s="69"/>
      <c r="J59" s="69"/>
      <c r="K59" s="69"/>
      <c r="L59" s="69"/>
      <c r="M59" s="68"/>
      <c r="N59" s="68"/>
      <c r="O59" s="68"/>
      <c r="P59" s="68"/>
      <c r="Q59" s="68"/>
      <c r="R59" s="68"/>
      <c r="S59" s="68"/>
      <c r="T59" s="68"/>
      <c r="U59" s="68"/>
      <c r="V59" s="68"/>
      <c r="W59" s="88"/>
    </row>
    <row r="60" customFormat="false" ht="15" hidden="false" customHeight="false" outlineLevel="0" collapsed="false">
      <c r="A60" s="85"/>
      <c r="B60" s="68"/>
      <c r="C60" s="101" t="s">
        <v>26</v>
      </c>
      <c r="D60" s="102" t="n">
        <f aca="false">IF(('Profit &amp; Loss Acc'!C4&lt;30000)," ",'Profit &amp; Loss Acc'!C12)</f>
        <v>4800</v>
      </c>
      <c r="E60" s="102"/>
      <c r="F60" s="102"/>
      <c r="G60" s="103" t="s">
        <v>27</v>
      </c>
      <c r="H60" s="104" t="n">
        <v>0</v>
      </c>
      <c r="I60" s="104" t="n">
        <v>0</v>
      </c>
      <c r="J60" s="68"/>
      <c r="K60" s="68"/>
      <c r="L60" s="68"/>
      <c r="M60" s="68"/>
      <c r="N60" s="101" t="s">
        <v>26</v>
      </c>
      <c r="O60" s="102" t="n">
        <f aca="false">IF(('Profit &amp; Loss Acc'!C4&lt;30000)," ",'Profit &amp; Loss Acc'!C17+'Profit &amp; Loss Acc'!C19+'Profit &amp; Loss Acc'!C21)</f>
        <v>0</v>
      </c>
      <c r="P60" s="102"/>
      <c r="Q60" s="102"/>
      <c r="R60" s="103" t="s">
        <v>27</v>
      </c>
      <c r="S60" s="104" t="n">
        <v>0</v>
      </c>
      <c r="T60" s="104" t="n">
        <v>0</v>
      </c>
      <c r="U60" s="68"/>
      <c r="V60" s="68"/>
      <c r="W60" s="88"/>
    </row>
    <row r="61" customFormat="false" ht="12" hidden="false" customHeight="false" outlineLevel="0" collapsed="false">
      <c r="A61" s="85"/>
      <c r="B61" s="68"/>
      <c r="C61" s="68"/>
      <c r="D61" s="68"/>
      <c r="E61" s="68"/>
      <c r="F61" s="68"/>
      <c r="G61" s="68"/>
      <c r="H61" s="68"/>
      <c r="I61" s="68"/>
      <c r="J61" s="68"/>
      <c r="K61" s="68"/>
      <c r="L61" s="68"/>
      <c r="M61" s="68"/>
      <c r="N61" s="68"/>
      <c r="O61" s="68"/>
      <c r="P61" s="68"/>
      <c r="Q61" s="68"/>
      <c r="R61" s="68"/>
      <c r="S61" s="68"/>
      <c r="T61" s="68"/>
      <c r="U61" s="68"/>
      <c r="V61" s="68"/>
      <c r="W61" s="88"/>
    </row>
    <row r="62" customFormat="false" ht="12" hidden="false" customHeight="false" outlineLevel="0" collapsed="false">
      <c r="A62" s="81" t="n">
        <v>14</v>
      </c>
      <c r="B62" s="68"/>
      <c r="C62" s="69" t="s">
        <v>54</v>
      </c>
      <c r="D62" s="69"/>
      <c r="E62" s="69"/>
      <c r="F62" s="69"/>
      <c r="G62" s="69"/>
      <c r="H62" s="69"/>
      <c r="I62" s="69"/>
      <c r="J62" s="69"/>
      <c r="K62" s="69"/>
      <c r="L62" s="81" t="n">
        <v>19</v>
      </c>
      <c r="M62" s="68"/>
      <c r="N62" s="69" t="s">
        <v>55</v>
      </c>
      <c r="O62" s="68"/>
      <c r="P62" s="68"/>
      <c r="Q62" s="68"/>
      <c r="R62" s="68"/>
      <c r="S62" s="68"/>
      <c r="T62" s="68"/>
      <c r="U62" s="68"/>
      <c r="V62" s="68"/>
      <c r="W62" s="88"/>
    </row>
    <row r="63" customFormat="false" ht="6" hidden="false" customHeight="true" outlineLevel="0" collapsed="false">
      <c r="A63" s="109"/>
      <c r="B63" s="68"/>
      <c r="C63" s="69"/>
      <c r="D63" s="69"/>
      <c r="E63" s="69"/>
      <c r="F63" s="69"/>
      <c r="G63" s="69"/>
      <c r="H63" s="69"/>
      <c r="I63" s="69"/>
      <c r="J63" s="69"/>
      <c r="K63" s="69"/>
      <c r="L63" s="69"/>
      <c r="M63" s="68"/>
      <c r="N63" s="68"/>
      <c r="O63" s="68"/>
      <c r="P63" s="68"/>
      <c r="Q63" s="68"/>
      <c r="R63" s="68"/>
      <c r="S63" s="68"/>
      <c r="T63" s="68"/>
      <c r="U63" s="68"/>
      <c r="V63" s="68"/>
      <c r="W63" s="88"/>
    </row>
    <row r="64" customFormat="false" ht="15" hidden="false" customHeight="false" outlineLevel="0" collapsed="false">
      <c r="A64" s="85"/>
      <c r="B64" s="68"/>
      <c r="C64" s="101" t="s">
        <v>26</v>
      </c>
      <c r="D64" s="102" t="n">
        <f aca="false">IF(('Profit &amp; Loss Acc'!C4&lt;30000)," ",'Profit &amp; Loss Acc'!C13)</f>
        <v>0</v>
      </c>
      <c r="E64" s="102"/>
      <c r="F64" s="102"/>
      <c r="G64" s="103" t="s">
        <v>27</v>
      </c>
      <c r="H64" s="104" t="n">
        <v>0</v>
      </c>
      <c r="I64" s="104" t="n">
        <v>0</v>
      </c>
      <c r="J64" s="68"/>
      <c r="K64" s="68"/>
      <c r="L64" s="68"/>
      <c r="M64" s="68"/>
      <c r="N64" s="101" t="s">
        <v>26</v>
      </c>
      <c r="O64" s="102" t="n">
        <f aca="false">'Profit &amp; Loss Acc'!C6+'Profit &amp; Loss Acc'!C7+'Profit &amp; Loss Acc'!C22</f>
        <v>6130</v>
      </c>
      <c r="P64" s="102"/>
      <c r="Q64" s="102"/>
      <c r="R64" s="103" t="s">
        <v>27</v>
      </c>
      <c r="S64" s="104" t="n">
        <v>0</v>
      </c>
      <c r="T64" s="104" t="n">
        <v>0</v>
      </c>
      <c r="U64" s="68"/>
      <c r="V64" s="68"/>
      <c r="W64" s="88"/>
    </row>
    <row r="65" customFormat="false" ht="7.5" hidden="false" customHeight="true" outlineLevel="0" collapsed="false">
      <c r="A65" s="97"/>
      <c r="B65" s="98"/>
      <c r="C65" s="98"/>
      <c r="D65" s="98"/>
      <c r="E65" s="98"/>
      <c r="F65" s="98"/>
      <c r="G65" s="98"/>
      <c r="H65" s="98"/>
      <c r="I65" s="98"/>
      <c r="J65" s="98"/>
      <c r="K65" s="98"/>
      <c r="L65" s="98"/>
      <c r="M65" s="98"/>
      <c r="N65" s="98"/>
      <c r="O65" s="98"/>
      <c r="P65" s="98"/>
      <c r="Q65" s="98"/>
      <c r="R65" s="98"/>
      <c r="S65" s="98"/>
      <c r="T65" s="98"/>
      <c r="U65" s="98"/>
      <c r="V65" s="98"/>
      <c r="W65" s="99"/>
    </row>
    <row r="66" customFormat="false" ht="24.75" hidden="false" customHeight="true" outlineLevel="0" collapsed="false">
      <c r="A66" s="110" t="s">
        <v>56</v>
      </c>
      <c r="B66" s="110"/>
      <c r="C66" s="110"/>
      <c r="D66" s="110"/>
      <c r="E66" s="110"/>
      <c r="F66" s="110"/>
      <c r="G66" s="110"/>
      <c r="H66" s="110"/>
      <c r="I66" s="110"/>
      <c r="J66" s="110"/>
      <c r="K66" s="110"/>
      <c r="L66" s="110"/>
      <c r="M66" s="110"/>
      <c r="N66" s="110"/>
      <c r="O66" s="110"/>
      <c r="P66" s="110"/>
      <c r="Q66" s="110"/>
      <c r="R66" s="110"/>
      <c r="S66" s="110"/>
      <c r="T66" s="110"/>
      <c r="U66" s="110"/>
      <c r="V66" s="110"/>
      <c r="W66" s="110"/>
    </row>
    <row r="67" customFormat="false" ht="7.5" hidden="false" customHeight="true" outlineLevel="0" collapsed="false">
      <c r="A67" s="78"/>
      <c r="B67" s="79"/>
      <c r="C67" s="79"/>
      <c r="D67" s="79"/>
      <c r="E67" s="79"/>
      <c r="F67" s="79"/>
      <c r="G67" s="79"/>
      <c r="H67" s="79"/>
      <c r="I67" s="79"/>
      <c r="J67" s="79"/>
      <c r="K67" s="79"/>
      <c r="L67" s="79"/>
      <c r="M67" s="79"/>
      <c r="N67" s="79"/>
      <c r="O67" s="79"/>
      <c r="P67" s="79"/>
      <c r="Q67" s="79"/>
      <c r="R67" s="79"/>
      <c r="S67" s="79"/>
      <c r="T67" s="79"/>
      <c r="U67" s="79"/>
      <c r="V67" s="79"/>
      <c r="W67" s="80"/>
    </row>
    <row r="68" customFormat="false" ht="12" hidden="false" customHeight="false" outlineLevel="0" collapsed="false">
      <c r="A68" s="81" t="n">
        <v>20</v>
      </c>
      <c r="B68" s="68"/>
      <c r="C68" s="69" t="s">
        <v>57</v>
      </c>
      <c r="D68" s="69"/>
      <c r="E68" s="69"/>
      <c r="F68" s="69"/>
      <c r="G68" s="69"/>
      <c r="H68" s="69"/>
      <c r="I68" s="69"/>
      <c r="J68" s="69"/>
      <c r="K68" s="69"/>
      <c r="L68" s="81" t="n">
        <v>21</v>
      </c>
      <c r="M68" s="68"/>
      <c r="N68" s="69" t="s">
        <v>58</v>
      </c>
      <c r="O68" s="68"/>
      <c r="P68" s="68"/>
      <c r="Q68" s="68"/>
      <c r="R68" s="68"/>
      <c r="S68" s="68"/>
      <c r="T68" s="68"/>
      <c r="U68" s="68"/>
      <c r="V68" s="68"/>
      <c r="W68" s="88"/>
    </row>
    <row r="69" customFormat="false" ht="12" hidden="false" customHeight="false" outlineLevel="0" collapsed="false">
      <c r="A69" s="85"/>
      <c r="B69" s="68"/>
      <c r="C69" s="95" t="s">
        <v>59</v>
      </c>
      <c r="D69" s="69"/>
      <c r="E69" s="69"/>
      <c r="F69" s="69"/>
      <c r="G69" s="69"/>
      <c r="H69" s="69"/>
      <c r="I69" s="69"/>
      <c r="J69" s="69"/>
      <c r="K69" s="69"/>
      <c r="L69" s="68"/>
      <c r="M69" s="68"/>
      <c r="N69" s="95" t="s">
        <v>60</v>
      </c>
      <c r="O69" s="68"/>
      <c r="P69" s="68"/>
      <c r="Q69" s="68"/>
      <c r="R69" s="68"/>
      <c r="S69" s="68"/>
      <c r="T69" s="68"/>
      <c r="U69" s="68"/>
      <c r="V69" s="68"/>
      <c r="W69" s="88"/>
    </row>
    <row r="70" customFormat="false" ht="6" hidden="false" customHeight="true" outlineLevel="0" collapsed="false">
      <c r="A70" s="109"/>
      <c r="B70" s="68"/>
      <c r="C70" s="69"/>
      <c r="D70" s="69"/>
      <c r="E70" s="69"/>
      <c r="F70" s="69"/>
      <c r="G70" s="69"/>
      <c r="H70" s="69"/>
      <c r="I70" s="69"/>
      <c r="J70" s="69"/>
      <c r="K70" s="69"/>
      <c r="L70" s="69"/>
      <c r="M70" s="68"/>
      <c r="N70" s="68"/>
      <c r="O70" s="68"/>
      <c r="P70" s="68"/>
      <c r="Q70" s="68"/>
      <c r="R70" s="68"/>
      <c r="S70" s="68"/>
      <c r="T70" s="68"/>
      <c r="U70" s="68"/>
      <c r="V70" s="68"/>
      <c r="W70" s="88"/>
    </row>
    <row r="71" customFormat="false" ht="15" hidden="false" customHeight="false" outlineLevel="0" collapsed="false">
      <c r="A71" s="85"/>
      <c r="B71" s="68"/>
      <c r="C71" s="101" t="s">
        <v>26</v>
      </c>
      <c r="D71" s="102" t="n">
        <f aca="false">IF((D38+O38-O64)&gt;=0,D38+O38-O64,0)</f>
        <v>29870</v>
      </c>
      <c r="E71" s="102"/>
      <c r="F71" s="102"/>
      <c r="G71" s="103" t="s">
        <v>27</v>
      </c>
      <c r="H71" s="104" t="n">
        <v>0</v>
      </c>
      <c r="I71" s="104" t="n">
        <v>0</v>
      </c>
      <c r="J71" s="68"/>
      <c r="K71" s="68"/>
      <c r="L71" s="68"/>
      <c r="M71" s="68"/>
      <c r="N71" s="101" t="s">
        <v>26</v>
      </c>
      <c r="O71" s="102" t="n">
        <f aca="false">IF((D38+O38-O64)&lt;0,-D38-O38+O64,0)</f>
        <v>0</v>
      </c>
      <c r="P71" s="102"/>
      <c r="Q71" s="102"/>
      <c r="R71" s="103" t="s">
        <v>27</v>
      </c>
      <c r="S71" s="104" t="n">
        <v>0</v>
      </c>
      <c r="T71" s="104" t="n">
        <v>0</v>
      </c>
      <c r="U71" s="68"/>
      <c r="V71" s="68"/>
      <c r="W71" s="111"/>
      <c r="Y71" s="112"/>
      <c r="Z71" s="112"/>
    </row>
    <row r="72" customFormat="false" ht="7.5" hidden="false" customHeight="true" outlineLevel="0" collapsed="false">
      <c r="A72" s="97"/>
      <c r="B72" s="98"/>
      <c r="C72" s="98"/>
      <c r="D72" s="98"/>
      <c r="E72" s="98"/>
      <c r="F72" s="98"/>
      <c r="G72" s="98"/>
      <c r="H72" s="98"/>
      <c r="I72" s="98"/>
      <c r="J72" s="98"/>
      <c r="K72" s="98"/>
      <c r="L72" s="98"/>
      <c r="M72" s="98"/>
      <c r="N72" s="98"/>
      <c r="O72" s="98"/>
      <c r="P72" s="98"/>
      <c r="Q72" s="98"/>
      <c r="R72" s="98"/>
      <c r="S72" s="98"/>
      <c r="T72" s="98"/>
      <c r="U72" s="98"/>
      <c r="V72" s="98"/>
      <c r="W72" s="99"/>
    </row>
    <row r="73" customFormat="false" ht="24.75" hidden="false" customHeight="true" outlineLevel="0" collapsed="false">
      <c r="A73" s="100" t="s">
        <v>61</v>
      </c>
      <c r="B73" s="100"/>
      <c r="C73" s="100"/>
      <c r="D73" s="100"/>
      <c r="E73" s="100"/>
      <c r="F73" s="100"/>
      <c r="G73" s="100"/>
      <c r="H73" s="100"/>
      <c r="I73" s="100"/>
      <c r="J73" s="100"/>
      <c r="K73" s="100"/>
      <c r="L73" s="100"/>
      <c r="M73" s="100"/>
      <c r="N73" s="100"/>
      <c r="O73" s="100"/>
      <c r="P73" s="100"/>
      <c r="Q73" s="100"/>
      <c r="R73" s="100"/>
      <c r="S73" s="100"/>
      <c r="T73" s="100"/>
      <c r="U73" s="100"/>
      <c r="V73" s="100"/>
      <c r="W73" s="100"/>
      <c r="Y73" s="112"/>
      <c r="Z73" s="112"/>
    </row>
    <row r="74" customFormat="false" ht="13.5" hidden="false" customHeight="true" outlineLevel="0" collapsed="false">
      <c r="A74" s="107" t="s">
        <v>62</v>
      </c>
      <c r="B74" s="107"/>
      <c r="C74" s="107"/>
      <c r="D74" s="107"/>
      <c r="E74" s="107"/>
      <c r="F74" s="107"/>
      <c r="G74" s="107"/>
      <c r="H74" s="107"/>
      <c r="I74" s="107"/>
      <c r="J74" s="107"/>
      <c r="K74" s="107"/>
      <c r="L74" s="107"/>
      <c r="M74" s="107"/>
      <c r="N74" s="107"/>
      <c r="O74" s="107"/>
      <c r="P74" s="107"/>
      <c r="Q74" s="107"/>
      <c r="R74" s="107"/>
      <c r="S74" s="107"/>
      <c r="T74" s="107"/>
      <c r="U74" s="107"/>
      <c r="V74" s="107"/>
      <c r="W74" s="107"/>
    </row>
    <row r="75" customFormat="false" ht="13.5" hidden="false" customHeight="true" outlineLevel="0" collapsed="false">
      <c r="A75" s="107" t="s">
        <v>63</v>
      </c>
      <c r="B75" s="107"/>
      <c r="C75" s="107"/>
      <c r="D75" s="107"/>
      <c r="E75" s="107"/>
      <c r="F75" s="107"/>
      <c r="G75" s="107"/>
      <c r="H75" s="107"/>
      <c r="I75" s="107"/>
      <c r="J75" s="107"/>
      <c r="K75" s="107"/>
      <c r="L75" s="107"/>
      <c r="M75" s="107"/>
      <c r="N75" s="107"/>
      <c r="O75" s="107"/>
      <c r="P75" s="107"/>
      <c r="Q75" s="107"/>
      <c r="R75" s="107"/>
      <c r="S75" s="107"/>
      <c r="T75" s="107"/>
      <c r="U75" s="107"/>
      <c r="V75" s="107"/>
      <c r="W75" s="107"/>
      <c r="Y75" s="112"/>
      <c r="Z75" s="112"/>
    </row>
    <row r="76" customFormat="false" ht="13.5" hidden="false" customHeight="true" outlineLevel="0" collapsed="false">
      <c r="A76" s="107" t="s">
        <v>64</v>
      </c>
      <c r="B76" s="107"/>
      <c r="C76" s="107"/>
      <c r="D76" s="107"/>
      <c r="E76" s="107"/>
      <c r="F76" s="107"/>
      <c r="G76" s="107"/>
      <c r="H76" s="107"/>
      <c r="I76" s="107"/>
      <c r="J76" s="107"/>
      <c r="K76" s="107"/>
      <c r="L76" s="107"/>
      <c r="M76" s="107"/>
      <c r="N76" s="107"/>
      <c r="O76" s="107"/>
      <c r="P76" s="107"/>
      <c r="Q76" s="107"/>
      <c r="R76" s="107"/>
      <c r="S76" s="107"/>
      <c r="T76" s="107"/>
      <c r="U76" s="107"/>
      <c r="V76" s="107"/>
      <c r="W76" s="107"/>
    </row>
    <row r="77" customFormat="false" ht="7.5" hidden="false" customHeight="true" outlineLevel="0" collapsed="false">
      <c r="A77" s="78"/>
      <c r="B77" s="79"/>
      <c r="C77" s="79"/>
      <c r="D77" s="79"/>
      <c r="E77" s="79"/>
      <c r="F77" s="79"/>
      <c r="G77" s="79"/>
      <c r="H77" s="79"/>
      <c r="I77" s="79"/>
      <c r="J77" s="79"/>
      <c r="K77" s="79"/>
      <c r="L77" s="79"/>
      <c r="M77" s="79"/>
      <c r="N77" s="79"/>
      <c r="O77" s="79"/>
      <c r="P77" s="79"/>
      <c r="Q77" s="79"/>
      <c r="R77" s="79"/>
      <c r="S77" s="79"/>
      <c r="T77" s="79"/>
      <c r="U77" s="79"/>
      <c r="V77" s="79"/>
      <c r="W77" s="80"/>
    </row>
    <row r="78" customFormat="false" ht="12" hidden="false" customHeight="false" outlineLevel="0" collapsed="false">
      <c r="A78" s="81" t="n">
        <v>22</v>
      </c>
      <c r="B78" s="68"/>
      <c r="C78" s="69" t="s">
        <v>65</v>
      </c>
      <c r="D78" s="69"/>
      <c r="E78" s="69"/>
      <c r="F78" s="69"/>
      <c r="G78" s="69"/>
      <c r="H78" s="69"/>
      <c r="I78" s="69"/>
      <c r="J78" s="69"/>
      <c r="K78" s="69"/>
      <c r="L78" s="81" t="n">
        <v>24</v>
      </c>
      <c r="M78" s="68"/>
      <c r="N78" s="69" t="s">
        <v>66</v>
      </c>
      <c r="O78" s="68"/>
      <c r="P78" s="68"/>
      <c r="Q78" s="68"/>
      <c r="R78" s="68"/>
      <c r="S78" s="68"/>
      <c r="T78" s="68"/>
      <c r="U78" s="68"/>
      <c r="V78" s="68"/>
      <c r="W78" s="88"/>
    </row>
    <row r="79" customFormat="false" ht="12" hidden="false" customHeight="false" outlineLevel="0" collapsed="false">
      <c r="A79" s="109"/>
      <c r="B79" s="68"/>
      <c r="C79" s="69"/>
      <c r="D79" s="69"/>
      <c r="E79" s="69"/>
      <c r="F79" s="69"/>
      <c r="G79" s="69"/>
      <c r="H79" s="69"/>
      <c r="I79" s="69"/>
      <c r="J79" s="69"/>
      <c r="K79" s="69"/>
      <c r="L79" s="68"/>
      <c r="M79" s="68"/>
      <c r="N79" s="68"/>
      <c r="O79" s="68"/>
      <c r="P79" s="68"/>
      <c r="Q79" s="68"/>
      <c r="R79" s="68"/>
      <c r="S79" s="113"/>
      <c r="T79" s="113"/>
      <c r="U79" s="113"/>
      <c r="V79" s="113"/>
      <c r="W79" s="88"/>
    </row>
    <row r="80" customFormat="false" ht="15" hidden="false" customHeight="true" outlineLevel="0" collapsed="false">
      <c r="A80" s="109"/>
      <c r="B80" s="68"/>
      <c r="C80" s="101" t="s">
        <v>26</v>
      </c>
      <c r="D80" s="102" t="n">
        <f aca="false">IF(('Fixed Assets'!K1)&gt;0,'Fixed Assets'!K1,0)</f>
        <v>0</v>
      </c>
      <c r="E80" s="102"/>
      <c r="F80" s="102"/>
      <c r="G80" s="103" t="s">
        <v>27</v>
      </c>
      <c r="H80" s="104" t="n">
        <v>0</v>
      </c>
      <c r="I80" s="104" t="n">
        <v>0</v>
      </c>
      <c r="J80" s="69"/>
      <c r="K80" s="69"/>
      <c r="L80" s="69"/>
      <c r="M80" s="68"/>
      <c r="N80" s="101" t="s">
        <v>26</v>
      </c>
      <c r="O80" s="102" t="n">
        <f aca="false">IF(('Fixed Assets'!L1+'Fixed Assets'!Q1)&gt;0,'Fixed Assets'!L1+'Fixed Assets'!Q1,0)</f>
        <v>0</v>
      </c>
      <c r="P80" s="102"/>
      <c r="Q80" s="102"/>
      <c r="R80" s="103" t="s">
        <v>27</v>
      </c>
      <c r="S80" s="104" t="n">
        <v>0</v>
      </c>
      <c r="T80" s="104" t="n">
        <v>0</v>
      </c>
      <c r="U80" s="68"/>
      <c r="V80" s="68"/>
      <c r="W80" s="88"/>
    </row>
    <row r="81" customFormat="false" ht="6" hidden="false" customHeight="true" outlineLevel="0" collapsed="false">
      <c r="A81" s="109"/>
      <c r="B81" s="68"/>
      <c r="C81" s="69"/>
      <c r="D81" s="69"/>
      <c r="E81" s="69"/>
      <c r="F81" s="69"/>
      <c r="G81" s="69"/>
      <c r="H81" s="69"/>
      <c r="I81" s="69"/>
      <c r="J81" s="69"/>
      <c r="K81" s="69"/>
      <c r="L81" s="69"/>
      <c r="M81" s="68"/>
      <c r="N81" s="68"/>
      <c r="O81" s="68"/>
      <c r="P81" s="68"/>
      <c r="Q81" s="68"/>
      <c r="R81" s="68"/>
      <c r="S81" s="68"/>
      <c r="T81" s="68"/>
      <c r="U81" s="68"/>
      <c r="V81" s="68"/>
      <c r="W81" s="88"/>
    </row>
    <row r="82" customFormat="false" ht="12" hidden="false" customHeight="false" outlineLevel="0" collapsed="false">
      <c r="A82" s="81" t="n">
        <v>23</v>
      </c>
      <c r="B82" s="68"/>
      <c r="C82" s="69" t="s">
        <v>67</v>
      </c>
      <c r="D82" s="68"/>
      <c r="E82" s="68"/>
      <c r="F82" s="68"/>
      <c r="G82" s="68"/>
      <c r="H82" s="68"/>
      <c r="I82" s="68"/>
      <c r="J82" s="68"/>
      <c r="K82" s="68"/>
      <c r="L82" s="81" t="n">
        <v>25</v>
      </c>
      <c r="M82" s="68"/>
      <c r="N82" s="69" t="s">
        <v>68</v>
      </c>
      <c r="O82" s="68"/>
      <c r="P82" s="68"/>
      <c r="Q82" s="68"/>
      <c r="R82" s="68"/>
      <c r="S82" s="68"/>
      <c r="T82" s="68"/>
      <c r="U82" s="68"/>
      <c r="V82" s="68"/>
      <c r="W82" s="88"/>
    </row>
    <row r="83" customFormat="false" ht="11.25" hidden="false" customHeight="true" outlineLevel="0" collapsed="false">
      <c r="A83" s="85"/>
      <c r="B83" s="68"/>
      <c r="C83" s="69" t="s">
        <v>69</v>
      </c>
      <c r="D83" s="68"/>
      <c r="E83" s="68"/>
      <c r="F83" s="68"/>
      <c r="G83" s="68"/>
      <c r="H83" s="68"/>
      <c r="I83" s="68"/>
      <c r="J83" s="68"/>
      <c r="K83" s="68"/>
      <c r="L83" s="69"/>
      <c r="M83" s="68"/>
      <c r="N83" s="69" t="s">
        <v>70</v>
      </c>
      <c r="O83" s="113"/>
      <c r="P83" s="113"/>
      <c r="Q83" s="113"/>
      <c r="R83" s="113"/>
      <c r="S83" s="98"/>
      <c r="T83" s="98"/>
      <c r="U83" s="98"/>
      <c r="V83" s="98"/>
      <c r="W83" s="99"/>
    </row>
    <row r="84" customFormat="false" ht="6" hidden="false" customHeight="true" outlineLevel="0" collapsed="false">
      <c r="A84" s="109"/>
      <c r="B84" s="68"/>
      <c r="C84" s="69"/>
      <c r="D84" s="69"/>
      <c r="E84" s="69"/>
      <c r="F84" s="69"/>
      <c r="G84" s="69"/>
      <c r="H84" s="69"/>
      <c r="I84" s="69"/>
      <c r="J84" s="69"/>
      <c r="K84" s="69"/>
      <c r="L84" s="69"/>
      <c r="M84" s="68"/>
      <c r="N84" s="68"/>
      <c r="O84" s="68"/>
      <c r="P84" s="68"/>
      <c r="Q84" s="68"/>
      <c r="R84" s="68"/>
      <c r="S84" s="68"/>
      <c r="T84" s="68"/>
      <c r="U84" s="68"/>
      <c r="V84" s="68"/>
      <c r="W84" s="88"/>
    </row>
    <row r="85" customFormat="false" ht="15" hidden="false" customHeight="false" outlineLevel="0" collapsed="false">
      <c r="A85" s="109"/>
      <c r="B85" s="68"/>
      <c r="C85" s="101" t="s">
        <v>26</v>
      </c>
      <c r="D85" s="102" t="n">
        <f aca="false">IF(('Fixed Assets'!M1+'Fixed Assets'!L1)&lt;1000,'Fixed Assets'!M1,0)</f>
        <v>0</v>
      </c>
      <c r="E85" s="102"/>
      <c r="F85" s="102"/>
      <c r="G85" s="103" t="s">
        <v>27</v>
      </c>
      <c r="H85" s="104" t="n">
        <v>0</v>
      </c>
      <c r="I85" s="104" t="n">
        <v>0</v>
      </c>
      <c r="J85" s="69"/>
      <c r="K85" s="69"/>
      <c r="L85" s="68"/>
      <c r="M85" s="68"/>
      <c r="N85" s="101" t="s">
        <v>26</v>
      </c>
      <c r="O85" s="102" t="n">
        <f aca="false">IF('Fixed Assets'!R1&gt;0,'Fixed Assets'!R1,0)</f>
        <v>0</v>
      </c>
      <c r="P85" s="102"/>
      <c r="Q85" s="102"/>
      <c r="R85" s="103" t="s">
        <v>27</v>
      </c>
      <c r="S85" s="104" t="n">
        <v>0</v>
      </c>
      <c r="T85" s="104" t="n">
        <v>0</v>
      </c>
      <c r="U85" s="68"/>
      <c r="V85" s="68"/>
      <c r="W85" s="88"/>
    </row>
    <row r="86" customFormat="false" ht="7.5" hidden="false" customHeight="true" outlineLevel="0" collapsed="false">
      <c r="A86" s="97"/>
      <c r="B86" s="98"/>
      <c r="C86" s="98"/>
      <c r="D86" s="98"/>
      <c r="E86" s="98"/>
      <c r="F86" s="98"/>
      <c r="G86" s="98"/>
      <c r="H86" s="98"/>
      <c r="I86" s="98"/>
      <c r="J86" s="98"/>
      <c r="K86" s="98"/>
      <c r="L86" s="98"/>
      <c r="M86" s="98"/>
      <c r="N86" s="98"/>
      <c r="O86" s="98"/>
      <c r="P86" s="98"/>
      <c r="Q86" s="98"/>
      <c r="R86" s="98"/>
      <c r="S86" s="98"/>
      <c r="T86" s="98"/>
      <c r="U86" s="98"/>
      <c r="V86" s="98"/>
      <c r="W86" s="99"/>
    </row>
    <row r="87" customFormat="false" ht="24.75" hidden="false" customHeight="true" outlineLevel="0" collapsed="false">
      <c r="A87" s="114" t="s">
        <v>71</v>
      </c>
      <c r="B87" s="114"/>
      <c r="C87" s="114"/>
      <c r="D87" s="114"/>
      <c r="E87" s="114"/>
      <c r="F87" s="114"/>
      <c r="G87" s="114"/>
      <c r="H87" s="114"/>
      <c r="I87" s="114"/>
      <c r="J87" s="114"/>
      <c r="K87" s="114"/>
      <c r="L87" s="114"/>
      <c r="M87" s="114"/>
      <c r="N87" s="114"/>
      <c r="O87" s="114"/>
      <c r="P87" s="114"/>
      <c r="Q87" s="114"/>
      <c r="R87" s="114"/>
      <c r="S87" s="114"/>
      <c r="T87" s="114"/>
      <c r="U87" s="114"/>
      <c r="V87" s="114"/>
      <c r="W87" s="114"/>
    </row>
    <row r="88" customFormat="false" ht="15.75" hidden="false" customHeight="true" outlineLevel="0" collapsed="false">
      <c r="A88" s="107" t="s">
        <v>72</v>
      </c>
      <c r="B88" s="107"/>
      <c r="C88" s="107"/>
      <c r="D88" s="107"/>
      <c r="E88" s="107"/>
      <c r="F88" s="107"/>
      <c r="G88" s="107"/>
      <c r="H88" s="107"/>
      <c r="I88" s="107"/>
      <c r="J88" s="107"/>
      <c r="K88" s="107"/>
      <c r="L88" s="107"/>
      <c r="M88" s="107"/>
      <c r="N88" s="107"/>
      <c r="O88" s="107"/>
      <c r="P88" s="107"/>
      <c r="Q88" s="107"/>
      <c r="R88" s="107"/>
      <c r="S88" s="107"/>
      <c r="T88" s="107"/>
      <c r="U88" s="107"/>
      <c r="V88" s="107"/>
      <c r="W88" s="107"/>
    </row>
    <row r="89" customFormat="false" ht="15.75" hidden="false" customHeight="true" outlineLevel="0" collapsed="false">
      <c r="A89" s="107" t="s">
        <v>73</v>
      </c>
      <c r="B89" s="107"/>
      <c r="C89" s="107"/>
      <c r="D89" s="107"/>
      <c r="E89" s="107"/>
      <c r="F89" s="107"/>
      <c r="G89" s="107"/>
      <c r="H89" s="107"/>
      <c r="I89" s="107"/>
      <c r="J89" s="107"/>
      <c r="K89" s="107"/>
      <c r="L89" s="107"/>
      <c r="M89" s="107"/>
      <c r="N89" s="107"/>
      <c r="O89" s="107"/>
      <c r="P89" s="107"/>
      <c r="Q89" s="107"/>
      <c r="R89" s="107"/>
      <c r="S89" s="107"/>
      <c r="T89" s="107"/>
      <c r="U89" s="107"/>
      <c r="V89" s="107"/>
      <c r="W89" s="107"/>
    </row>
    <row r="90" customFormat="false" ht="7.5" hidden="false" customHeight="true" outlineLevel="0" collapsed="false">
      <c r="A90" s="78"/>
      <c r="B90" s="79"/>
      <c r="C90" s="79"/>
      <c r="D90" s="79"/>
      <c r="E90" s="79"/>
      <c r="F90" s="79"/>
      <c r="G90" s="79"/>
      <c r="H90" s="79"/>
      <c r="I90" s="79"/>
      <c r="J90" s="79"/>
      <c r="K90" s="79"/>
      <c r="L90" s="79"/>
      <c r="M90" s="79"/>
      <c r="N90" s="79"/>
      <c r="O90" s="79"/>
      <c r="P90" s="79"/>
      <c r="Q90" s="79"/>
      <c r="R90" s="79"/>
      <c r="S90" s="79"/>
      <c r="T90" s="79"/>
      <c r="U90" s="79"/>
      <c r="V90" s="79"/>
      <c r="W90" s="80"/>
    </row>
    <row r="91" customFormat="false" ht="12" hidden="false" customHeight="false" outlineLevel="0" collapsed="false">
      <c r="A91" s="81" t="n">
        <v>26</v>
      </c>
      <c r="B91" s="68"/>
      <c r="C91" s="69" t="s">
        <v>74</v>
      </c>
      <c r="D91" s="69"/>
      <c r="E91" s="69"/>
      <c r="F91" s="69"/>
      <c r="G91" s="69"/>
      <c r="H91" s="69"/>
      <c r="I91" s="69"/>
      <c r="J91" s="69"/>
      <c r="K91" s="69"/>
      <c r="L91" s="81" t="n">
        <v>28</v>
      </c>
      <c r="M91" s="68"/>
      <c r="N91" s="69" t="s">
        <v>75</v>
      </c>
      <c r="O91" s="68"/>
      <c r="P91" s="68"/>
      <c r="Q91" s="68"/>
      <c r="R91" s="68"/>
      <c r="S91" s="68"/>
      <c r="T91" s="68"/>
      <c r="U91" s="68"/>
      <c r="V91" s="68"/>
      <c r="W91" s="88"/>
    </row>
    <row r="92" customFormat="false" ht="12" hidden="false" customHeight="false" outlineLevel="0" collapsed="false">
      <c r="A92" s="69"/>
      <c r="B92" s="68"/>
      <c r="C92" s="95" t="s">
        <v>76</v>
      </c>
      <c r="D92" s="69"/>
      <c r="E92" s="69"/>
      <c r="F92" s="69"/>
      <c r="G92" s="69"/>
      <c r="H92" s="69"/>
      <c r="I92" s="69"/>
      <c r="J92" s="69"/>
      <c r="K92" s="69"/>
      <c r="L92" s="69"/>
      <c r="M92" s="68"/>
      <c r="N92" s="69" t="s">
        <v>77</v>
      </c>
      <c r="O92" s="113"/>
      <c r="P92" s="113"/>
      <c r="Q92" s="113"/>
      <c r="R92" s="113"/>
      <c r="S92" s="113"/>
      <c r="T92" s="113"/>
      <c r="U92" s="113"/>
      <c r="V92" s="113"/>
      <c r="W92" s="88"/>
    </row>
    <row r="93" customFormat="false" ht="6" hidden="false" customHeight="true" outlineLevel="0" collapsed="false">
      <c r="A93" s="69"/>
      <c r="B93" s="68"/>
      <c r="C93" s="69"/>
      <c r="D93" s="69"/>
      <c r="E93" s="69"/>
      <c r="F93" s="69"/>
      <c r="G93" s="69"/>
      <c r="H93" s="69"/>
      <c r="I93" s="69"/>
      <c r="J93" s="69"/>
      <c r="K93" s="69"/>
      <c r="L93" s="69"/>
      <c r="M93" s="68"/>
      <c r="N93" s="68"/>
      <c r="O93" s="68"/>
      <c r="P93" s="68"/>
      <c r="Q93" s="68"/>
      <c r="R93" s="68"/>
      <c r="S93" s="68"/>
      <c r="T93" s="68"/>
      <c r="U93" s="68"/>
      <c r="V93" s="68"/>
      <c r="W93" s="88"/>
    </row>
    <row r="94" customFormat="false" ht="15" hidden="false" customHeight="false" outlineLevel="0" collapsed="false">
      <c r="A94" s="68"/>
      <c r="B94" s="68"/>
      <c r="C94" s="101" t="s">
        <v>26</v>
      </c>
      <c r="D94" s="102" t="n">
        <f aca="false">'Business Details'!O29</f>
        <v>0</v>
      </c>
      <c r="E94" s="102"/>
      <c r="F94" s="102"/>
      <c r="G94" s="103" t="s">
        <v>27</v>
      </c>
      <c r="H94" s="104" t="n">
        <v>0</v>
      </c>
      <c r="I94" s="104" t="n">
        <v>0</v>
      </c>
      <c r="J94" s="68"/>
      <c r="K94" s="68"/>
      <c r="L94" s="68"/>
      <c r="M94" s="68"/>
      <c r="N94" s="101" t="s">
        <v>26</v>
      </c>
      <c r="O94" s="102" t="n">
        <f aca="false">IF(O106&gt;0,0,IF('Business Details'!D29=0,0,IF(D99&gt;'Business Details'!D29,'Business Details'!D29,D99)))</f>
        <v>0</v>
      </c>
      <c r="P94" s="102"/>
      <c r="Q94" s="102"/>
      <c r="R94" s="103" t="s">
        <v>27</v>
      </c>
      <c r="S94" s="104" t="n">
        <v>0</v>
      </c>
      <c r="T94" s="104" t="n">
        <v>0</v>
      </c>
      <c r="U94" s="68"/>
      <c r="V94" s="68"/>
      <c r="W94" s="88"/>
    </row>
    <row r="95" customFormat="false" ht="12" hidden="false" customHeight="false" outlineLevel="0" collapsed="false">
      <c r="A95" s="68"/>
      <c r="B95" s="68"/>
      <c r="C95" s="68"/>
      <c r="D95" s="68"/>
      <c r="E95" s="68"/>
      <c r="F95" s="68"/>
      <c r="G95" s="68"/>
      <c r="H95" s="68"/>
      <c r="I95" s="68"/>
      <c r="J95" s="68"/>
      <c r="K95" s="68"/>
      <c r="L95" s="68"/>
      <c r="M95" s="68"/>
      <c r="N95" s="68"/>
      <c r="O95" s="68"/>
      <c r="P95" s="68"/>
      <c r="Q95" s="68"/>
      <c r="R95" s="68"/>
      <c r="S95" s="68"/>
      <c r="T95" s="68"/>
      <c r="U95" s="68"/>
      <c r="V95" s="68"/>
      <c r="W95" s="88"/>
    </row>
    <row r="96" customFormat="false" ht="12" hidden="false" customHeight="false" outlineLevel="0" collapsed="false">
      <c r="A96" s="81" t="n">
        <v>27</v>
      </c>
      <c r="B96" s="68"/>
      <c r="C96" s="69" t="s">
        <v>78</v>
      </c>
      <c r="D96" s="69"/>
      <c r="E96" s="69"/>
      <c r="F96" s="69"/>
      <c r="G96" s="69"/>
      <c r="H96" s="69"/>
      <c r="I96" s="69"/>
      <c r="J96" s="69"/>
      <c r="K96" s="69"/>
      <c r="L96" s="81" t="n">
        <v>29</v>
      </c>
      <c r="M96" s="68"/>
      <c r="N96" s="69" t="s">
        <v>79</v>
      </c>
      <c r="O96" s="68"/>
      <c r="P96" s="68"/>
      <c r="Q96" s="68"/>
      <c r="R96" s="68"/>
      <c r="S96" s="68"/>
      <c r="T96" s="68"/>
      <c r="U96" s="68"/>
      <c r="V96" s="68"/>
      <c r="W96" s="88"/>
    </row>
    <row r="97" customFormat="false" ht="12" hidden="false" customHeight="true" outlineLevel="0" collapsed="false">
      <c r="A97" s="109"/>
      <c r="B97" s="68"/>
      <c r="C97" s="69" t="s">
        <v>80</v>
      </c>
      <c r="D97" s="69"/>
      <c r="E97" s="69"/>
      <c r="F97" s="69"/>
      <c r="G97" s="69"/>
      <c r="H97" s="69"/>
      <c r="I97" s="69"/>
      <c r="J97" s="69"/>
      <c r="K97" s="69"/>
      <c r="L97" s="69"/>
      <c r="M97" s="68"/>
      <c r="N97" s="95" t="s">
        <v>81</v>
      </c>
      <c r="O97" s="68"/>
      <c r="P97" s="68"/>
      <c r="Q97" s="68"/>
      <c r="R97" s="68"/>
      <c r="S97" s="68"/>
      <c r="T97" s="68"/>
      <c r="U97" s="68"/>
      <c r="V97" s="68"/>
      <c r="W97" s="88"/>
    </row>
    <row r="98" customFormat="false" ht="6" hidden="false" customHeight="true" outlineLevel="0" collapsed="false">
      <c r="A98" s="109"/>
      <c r="B98" s="68"/>
      <c r="C98" s="69"/>
      <c r="D98" s="69"/>
      <c r="E98" s="69"/>
      <c r="F98" s="69"/>
      <c r="G98" s="69"/>
      <c r="H98" s="69"/>
      <c r="I98" s="69"/>
      <c r="J98" s="69"/>
      <c r="K98" s="69"/>
      <c r="L98" s="69"/>
      <c r="M98" s="68"/>
      <c r="N98" s="68"/>
      <c r="O98" s="68"/>
      <c r="P98" s="68"/>
      <c r="Q98" s="68"/>
      <c r="R98" s="68"/>
      <c r="S98" s="68"/>
      <c r="T98" s="68"/>
      <c r="U98" s="68"/>
      <c r="V98" s="68"/>
      <c r="W98" s="88"/>
    </row>
    <row r="99" customFormat="false" ht="15" hidden="false" customHeight="false" outlineLevel="0" collapsed="false">
      <c r="A99" s="85"/>
      <c r="B99" s="68"/>
      <c r="C99" s="101" t="s">
        <v>26</v>
      </c>
      <c r="D99" s="102" t="n">
        <f aca="false">IF((D71+O85+D94-O71-D80-D85-O80)&gt;0,D71+O85+D94-O71-D80-D85-O80,0)</f>
        <v>29870</v>
      </c>
      <c r="E99" s="102"/>
      <c r="F99" s="102"/>
      <c r="G99" s="103" t="s">
        <v>27</v>
      </c>
      <c r="H99" s="104" t="n">
        <v>0</v>
      </c>
      <c r="I99" s="104" t="n">
        <v>0</v>
      </c>
      <c r="J99" s="68"/>
      <c r="K99" s="68"/>
      <c r="L99" s="69"/>
      <c r="M99" s="68"/>
      <c r="N99" s="101" t="s">
        <v>26</v>
      </c>
      <c r="O99" s="102" t="n">
        <f aca="false">'Profit &amp; Loss Acc'!C30</f>
        <v>0</v>
      </c>
      <c r="P99" s="102"/>
      <c r="Q99" s="102"/>
      <c r="R99" s="103" t="s">
        <v>27</v>
      </c>
      <c r="S99" s="104" t="n">
        <v>0</v>
      </c>
      <c r="T99" s="104" t="n">
        <v>0</v>
      </c>
      <c r="U99" s="68"/>
      <c r="V99" s="68"/>
      <c r="W99" s="88"/>
      <c r="Y99" s="112"/>
      <c r="Z99" s="112"/>
    </row>
    <row r="100" customFormat="false" ht="12" hidden="false" customHeight="true" outlineLevel="0" collapsed="false">
      <c r="A100" s="97"/>
      <c r="B100" s="98"/>
      <c r="C100" s="98"/>
      <c r="D100" s="98"/>
      <c r="E100" s="98"/>
      <c r="F100" s="98"/>
      <c r="G100" s="98"/>
      <c r="H100" s="98"/>
      <c r="I100" s="98"/>
      <c r="J100" s="98"/>
      <c r="K100" s="98"/>
      <c r="L100" s="98"/>
      <c r="M100" s="98"/>
      <c r="N100" s="98"/>
      <c r="O100" s="98"/>
      <c r="P100" s="98"/>
      <c r="Q100" s="98"/>
      <c r="R100" s="98"/>
      <c r="S100" s="98"/>
      <c r="T100" s="98"/>
      <c r="U100" s="98"/>
      <c r="V100" s="98"/>
      <c r="W100" s="99"/>
    </row>
    <row r="101" customFormat="false" ht="24.75" hidden="false" customHeight="true" outlineLevel="0" collapsed="false">
      <c r="A101" s="100" t="s">
        <v>82</v>
      </c>
      <c r="B101" s="100"/>
      <c r="C101" s="100"/>
      <c r="D101" s="100"/>
      <c r="E101" s="100"/>
      <c r="F101" s="100"/>
      <c r="G101" s="100"/>
      <c r="H101" s="100"/>
      <c r="I101" s="100"/>
      <c r="J101" s="100"/>
      <c r="K101" s="100"/>
      <c r="L101" s="100"/>
      <c r="M101" s="100"/>
      <c r="N101" s="100"/>
      <c r="O101" s="100"/>
      <c r="P101" s="100"/>
      <c r="Q101" s="100"/>
      <c r="R101" s="100"/>
      <c r="S101" s="100"/>
      <c r="T101" s="100"/>
      <c r="U101" s="100"/>
      <c r="V101" s="100"/>
      <c r="W101" s="100"/>
    </row>
    <row r="102" customFormat="false" ht="7.5" hidden="false" customHeight="true" outlineLevel="0" collapsed="false">
      <c r="A102" s="78"/>
      <c r="B102" s="79"/>
      <c r="C102" s="79"/>
      <c r="D102" s="79"/>
      <c r="E102" s="79"/>
      <c r="F102" s="79"/>
      <c r="G102" s="79"/>
      <c r="H102" s="79"/>
      <c r="I102" s="79"/>
      <c r="J102" s="79"/>
      <c r="K102" s="79"/>
      <c r="L102" s="79"/>
      <c r="M102" s="79"/>
      <c r="N102" s="79"/>
      <c r="O102" s="79"/>
      <c r="P102" s="79"/>
      <c r="Q102" s="79"/>
      <c r="R102" s="79"/>
      <c r="S102" s="79"/>
      <c r="T102" s="79"/>
      <c r="U102" s="79"/>
      <c r="V102" s="79"/>
      <c r="W102" s="80"/>
    </row>
    <row r="103" customFormat="false" ht="12" hidden="false" customHeight="false" outlineLevel="0" collapsed="false">
      <c r="A103" s="81" t="n">
        <v>30</v>
      </c>
      <c r="B103" s="68"/>
      <c r="C103" s="69" t="s">
        <v>83</v>
      </c>
      <c r="D103" s="69"/>
      <c r="E103" s="69"/>
      <c r="F103" s="69"/>
      <c r="G103" s="69"/>
      <c r="H103" s="69"/>
      <c r="I103" s="69"/>
      <c r="J103" s="69"/>
      <c r="K103" s="69"/>
      <c r="L103" s="81" t="n">
        <v>31</v>
      </c>
      <c r="M103" s="68"/>
      <c r="N103" s="69" t="s">
        <v>84</v>
      </c>
      <c r="O103" s="68"/>
      <c r="P103" s="68"/>
      <c r="Q103" s="68"/>
      <c r="R103" s="68"/>
      <c r="S103" s="68"/>
      <c r="T103" s="68"/>
      <c r="U103" s="68"/>
      <c r="V103" s="68"/>
      <c r="W103" s="88"/>
    </row>
    <row r="104" customFormat="false" ht="12" hidden="false" customHeight="true" outlineLevel="0" collapsed="false">
      <c r="A104" s="85"/>
      <c r="B104" s="68"/>
      <c r="C104" s="86" t="s">
        <v>85</v>
      </c>
      <c r="D104" s="115"/>
      <c r="E104" s="115"/>
      <c r="F104" s="115"/>
      <c r="G104" s="103"/>
      <c r="H104" s="106"/>
      <c r="I104" s="106"/>
      <c r="J104" s="68"/>
      <c r="K104" s="68"/>
      <c r="L104" s="69"/>
      <c r="M104" s="68"/>
      <c r="N104" s="69" t="s">
        <v>86</v>
      </c>
      <c r="O104" s="68"/>
      <c r="P104" s="68"/>
      <c r="Q104" s="68"/>
      <c r="R104" s="68"/>
      <c r="S104" s="68"/>
      <c r="T104" s="68"/>
      <c r="U104" s="68"/>
      <c r="V104" s="68"/>
      <c r="W104" s="88"/>
    </row>
    <row r="105" customFormat="false" ht="6" hidden="false" customHeight="true" outlineLevel="0" collapsed="false">
      <c r="A105" s="109"/>
      <c r="B105" s="68"/>
      <c r="C105" s="69"/>
      <c r="D105" s="69"/>
      <c r="E105" s="69"/>
      <c r="F105" s="69"/>
      <c r="G105" s="69"/>
      <c r="H105" s="69"/>
      <c r="I105" s="69"/>
      <c r="J105" s="69"/>
      <c r="K105" s="69"/>
      <c r="L105" s="69"/>
      <c r="M105" s="68"/>
      <c r="N105" s="68"/>
      <c r="O105" s="68"/>
      <c r="P105" s="68"/>
      <c r="Q105" s="68"/>
      <c r="R105" s="68"/>
      <c r="S105" s="68"/>
      <c r="T105" s="68"/>
      <c r="U105" s="68"/>
      <c r="V105" s="68"/>
      <c r="W105" s="88"/>
    </row>
    <row r="106" customFormat="false" ht="15" hidden="false" customHeight="false" outlineLevel="0" collapsed="false">
      <c r="A106" s="109"/>
      <c r="B106" s="68"/>
      <c r="C106" s="101" t="s">
        <v>26</v>
      </c>
      <c r="D106" s="102" t="n">
        <f aca="false">IF((D99+O99-O94)&gt;0,D99+O99-O94,0)</f>
        <v>29870</v>
      </c>
      <c r="E106" s="102"/>
      <c r="F106" s="102"/>
      <c r="G106" s="103" t="s">
        <v>27</v>
      </c>
      <c r="H106" s="104" t="n">
        <v>0</v>
      </c>
      <c r="I106" s="104" t="n">
        <v>0</v>
      </c>
      <c r="J106" s="69"/>
      <c r="K106" s="69"/>
      <c r="L106" s="69"/>
      <c r="M106" s="68"/>
      <c r="N106" s="101" t="s">
        <v>26</v>
      </c>
      <c r="O106" s="102" t="n">
        <f aca="false">IF((O71+D80+D85+O80-D71-O85-D94)&gt;=0,O71+D80+D85+O80-D71-O85-D94,0)</f>
        <v>0</v>
      </c>
      <c r="P106" s="102"/>
      <c r="Q106" s="102"/>
      <c r="R106" s="103" t="s">
        <v>27</v>
      </c>
      <c r="S106" s="104" t="n">
        <v>0</v>
      </c>
      <c r="T106" s="104" t="n">
        <v>0</v>
      </c>
      <c r="U106" s="68"/>
      <c r="V106" s="68"/>
      <c r="W106" s="88"/>
    </row>
    <row r="107" customFormat="false" ht="6" hidden="false" customHeight="true" outlineLevel="0" collapsed="false">
      <c r="A107" s="97"/>
      <c r="B107" s="98"/>
      <c r="C107" s="98"/>
      <c r="D107" s="98"/>
      <c r="E107" s="98"/>
      <c r="F107" s="98"/>
      <c r="G107" s="98"/>
      <c r="H107" s="98"/>
      <c r="I107" s="98"/>
      <c r="J107" s="98"/>
      <c r="K107" s="98"/>
      <c r="L107" s="98"/>
      <c r="M107" s="98"/>
      <c r="N107" s="116"/>
      <c r="O107" s="98"/>
      <c r="P107" s="98"/>
      <c r="Q107" s="98"/>
      <c r="R107" s="98"/>
      <c r="S107" s="98"/>
      <c r="T107" s="98"/>
      <c r="U107" s="98"/>
      <c r="V107" s="98"/>
      <c r="W107" s="99"/>
    </row>
    <row r="108" customFormat="false" ht="24.75" hidden="false" customHeight="true" outlineLevel="0" collapsed="false">
      <c r="A108" s="114" t="s">
        <v>87</v>
      </c>
      <c r="B108" s="114"/>
      <c r="C108" s="114"/>
      <c r="D108" s="114"/>
      <c r="E108" s="114"/>
      <c r="F108" s="114"/>
      <c r="G108" s="114"/>
      <c r="H108" s="114"/>
      <c r="I108" s="114"/>
      <c r="J108" s="114"/>
      <c r="K108" s="114"/>
      <c r="L108" s="114"/>
      <c r="M108" s="114"/>
      <c r="N108" s="114"/>
      <c r="O108" s="114"/>
      <c r="P108" s="114"/>
      <c r="Q108" s="114"/>
      <c r="R108" s="114"/>
      <c r="S108" s="114"/>
      <c r="T108" s="114"/>
      <c r="U108" s="114"/>
      <c r="V108" s="114"/>
      <c r="W108" s="114"/>
    </row>
    <row r="109" customFormat="false" ht="15.75" hidden="false" customHeight="true" outlineLevel="0" collapsed="false">
      <c r="A109" s="107" t="s">
        <v>88</v>
      </c>
      <c r="B109" s="107"/>
      <c r="C109" s="107"/>
      <c r="D109" s="107"/>
      <c r="E109" s="107"/>
      <c r="F109" s="107"/>
      <c r="G109" s="107"/>
      <c r="H109" s="107"/>
      <c r="I109" s="107"/>
      <c r="J109" s="107"/>
      <c r="K109" s="107"/>
      <c r="L109" s="107"/>
      <c r="M109" s="107"/>
      <c r="N109" s="107"/>
      <c r="O109" s="107"/>
      <c r="P109" s="107"/>
      <c r="Q109" s="107"/>
      <c r="R109" s="107"/>
      <c r="S109" s="107"/>
      <c r="T109" s="107"/>
      <c r="U109" s="107"/>
      <c r="V109" s="107"/>
      <c r="W109" s="107"/>
    </row>
    <row r="110" customFormat="false" ht="7.5" hidden="false" customHeight="true" outlineLevel="0" collapsed="false">
      <c r="A110" s="78"/>
      <c r="B110" s="79"/>
      <c r="C110" s="79"/>
      <c r="D110" s="79"/>
      <c r="E110" s="79"/>
      <c r="F110" s="79"/>
      <c r="G110" s="79"/>
      <c r="H110" s="79"/>
      <c r="I110" s="79"/>
      <c r="J110" s="79"/>
      <c r="K110" s="79"/>
      <c r="L110" s="79"/>
      <c r="M110" s="79"/>
      <c r="N110" s="79"/>
      <c r="O110" s="79"/>
      <c r="P110" s="79"/>
      <c r="Q110" s="79"/>
      <c r="R110" s="79"/>
      <c r="S110" s="79"/>
      <c r="T110" s="79"/>
      <c r="U110" s="79"/>
      <c r="V110" s="79"/>
      <c r="W110" s="80"/>
    </row>
    <row r="111" customFormat="false" ht="12" hidden="false" customHeight="false" outlineLevel="0" collapsed="false">
      <c r="A111" s="81" t="n">
        <v>32</v>
      </c>
      <c r="B111" s="68"/>
      <c r="C111" s="69" t="s">
        <v>89</v>
      </c>
      <c r="D111" s="69"/>
      <c r="E111" s="69"/>
      <c r="F111" s="69"/>
      <c r="G111" s="69"/>
      <c r="H111" s="69"/>
      <c r="I111" s="69"/>
      <c r="J111" s="69"/>
      <c r="K111" s="69"/>
      <c r="L111" s="81" t="n">
        <v>35</v>
      </c>
      <c r="M111" s="68"/>
      <c r="N111" s="69" t="s">
        <v>90</v>
      </c>
      <c r="O111" s="68"/>
      <c r="P111" s="68"/>
      <c r="Q111" s="68"/>
      <c r="R111" s="68"/>
      <c r="S111" s="68"/>
      <c r="T111" s="68"/>
      <c r="U111" s="68"/>
      <c r="V111" s="68"/>
      <c r="W111" s="88"/>
    </row>
    <row r="112" customFormat="false" ht="12" hidden="false" customHeight="false" outlineLevel="0" collapsed="false">
      <c r="A112" s="109"/>
      <c r="B112" s="68"/>
      <c r="C112" s="69" t="s">
        <v>91</v>
      </c>
      <c r="D112" s="117" t="str">
        <f aca="false">Admin!G$2</f>
        <v>2022-23</v>
      </c>
      <c r="E112" s="117"/>
      <c r="F112" s="117"/>
      <c r="G112" s="69"/>
      <c r="H112" s="69"/>
      <c r="I112" s="69"/>
      <c r="J112" s="69"/>
      <c r="K112" s="69"/>
      <c r="L112" s="69"/>
      <c r="M112" s="68"/>
      <c r="N112" s="69" t="s">
        <v>92</v>
      </c>
      <c r="O112" s="113"/>
      <c r="P112" s="113"/>
      <c r="Q112" s="113"/>
      <c r="R112" s="113"/>
      <c r="S112" s="113"/>
      <c r="T112" s="113"/>
      <c r="U112" s="113"/>
      <c r="V112" s="113"/>
      <c r="W112" s="88"/>
    </row>
    <row r="113" customFormat="false" ht="6" hidden="false" customHeight="true" outlineLevel="0" collapsed="false">
      <c r="A113" s="109"/>
      <c r="B113" s="68"/>
      <c r="C113" s="69"/>
      <c r="D113" s="69"/>
      <c r="E113" s="69"/>
      <c r="F113" s="69"/>
      <c r="G113" s="69"/>
      <c r="H113" s="69"/>
      <c r="I113" s="69"/>
      <c r="J113" s="69"/>
      <c r="K113" s="69"/>
      <c r="L113" s="69"/>
      <c r="M113" s="68"/>
      <c r="N113" s="68"/>
      <c r="O113" s="68"/>
      <c r="P113" s="68"/>
      <c r="Q113" s="68"/>
      <c r="R113" s="68"/>
      <c r="S113" s="68"/>
      <c r="T113" s="68"/>
      <c r="U113" s="68"/>
      <c r="V113" s="68"/>
      <c r="W113" s="88"/>
    </row>
    <row r="114" customFormat="false" ht="15" hidden="false" customHeight="false" outlineLevel="0" collapsed="false">
      <c r="A114" s="85"/>
      <c r="B114" s="68"/>
      <c r="C114" s="101" t="s">
        <v>26</v>
      </c>
      <c r="D114" s="102"/>
      <c r="E114" s="102"/>
      <c r="F114" s="102"/>
      <c r="G114" s="103" t="s">
        <v>27</v>
      </c>
      <c r="H114" s="104" t="n">
        <v>0</v>
      </c>
      <c r="I114" s="104" t="n">
        <v>0</v>
      </c>
      <c r="J114" s="68"/>
      <c r="K114" s="68"/>
      <c r="L114" s="68"/>
      <c r="M114" s="68"/>
      <c r="N114" s="81"/>
      <c r="O114" s="115"/>
      <c r="P114" s="115"/>
      <c r="Q114" s="115"/>
      <c r="R114" s="103"/>
      <c r="S114" s="106"/>
      <c r="T114" s="106"/>
      <c r="U114" s="68"/>
      <c r="V114" s="68"/>
      <c r="W114" s="88"/>
    </row>
    <row r="115" customFormat="false" ht="12" hidden="false" customHeight="false" outlineLevel="0" collapsed="false">
      <c r="A115" s="85"/>
      <c r="B115" s="68"/>
      <c r="C115" s="68"/>
      <c r="D115" s="68"/>
      <c r="E115" s="68"/>
      <c r="F115" s="68"/>
      <c r="G115" s="68"/>
      <c r="H115" s="68"/>
      <c r="I115" s="68"/>
      <c r="J115" s="68"/>
      <c r="K115" s="68"/>
      <c r="L115" s="68"/>
      <c r="M115" s="68"/>
      <c r="N115" s="68"/>
      <c r="O115" s="68"/>
      <c r="P115" s="68"/>
      <c r="Q115" s="68"/>
      <c r="R115" s="68"/>
      <c r="S115" s="68"/>
      <c r="T115" s="68"/>
      <c r="U115" s="68"/>
      <c r="V115" s="68"/>
      <c r="W115" s="88"/>
    </row>
    <row r="116" customFormat="false" ht="12" hidden="false" customHeight="false" outlineLevel="0" collapsed="false">
      <c r="A116" s="81" t="n">
        <v>33</v>
      </c>
      <c r="B116" s="68"/>
      <c r="C116" s="69" t="s">
        <v>93</v>
      </c>
      <c r="D116" s="69"/>
      <c r="E116" s="69"/>
      <c r="F116" s="69"/>
      <c r="G116" s="69"/>
      <c r="H116" s="69"/>
      <c r="I116" s="69"/>
      <c r="J116" s="69"/>
      <c r="K116" s="69"/>
      <c r="L116" s="81" t="n">
        <v>36</v>
      </c>
      <c r="M116" s="68"/>
      <c r="N116" s="69" t="s">
        <v>94</v>
      </c>
      <c r="O116" s="68"/>
      <c r="P116" s="68"/>
      <c r="Q116" s="68"/>
      <c r="R116" s="118"/>
      <c r="S116" s="118"/>
      <c r="T116" s="118"/>
      <c r="U116" s="69"/>
      <c r="V116" s="68"/>
      <c r="W116" s="88"/>
    </row>
    <row r="117" customFormat="false" ht="12" hidden="false" customHeight="true" outlineLevel="0" collapsed="false">
      <c r="A117" s="109"/>
      <c r="B117" s="68"/>
      <c r="C117" s="69" t="s">
        <v>95</v>
      </c>
      <c r="D117" s="69"/>
      <c r="E117" s="69"/>
      <c r="F117" s="69"/>
      <c r="G117" s="69"/>
      <c r="H117" s="69"/>
      <c r="I117" s="69"/>
      <c r="J117" s="69"/>
      <c r="K117" s="69"/>
      <c r="L117" s="69"/>
      <c r="M117" s="68"/>
      <c r="N117" s="69" t="s">
        <v>96</v>
      </c>
      <c r="O117" s="68"/>
      <c r="P117" s="68"/>
      <c r="Q117" s="68"/>
      <c r="R117" s="68"/>
      <c r="S117" s="68"/>
      <c r="T117" s="68"/>
      <c r="U117" s="68"/>
      <c r="V117" s="68"/>
      <c r="W117" s="88"/>
    </row>
    <row r="118" customFormat="false" ht="12" hidden="false" customHeight="true" outlineLevel="0" collapsed="false">
      <c r="A118" s="109"/>
      <c r="B118" s="68"/>
      <c r="C118" s="69"/>
      <c r="D118" s="69"/>
      <c r="E118" s="69"/>
      <c r="F118" s="69"/>
      <c r="G118" s="69"/>
      <c r="H118" s="69"/>
      <c r="I118" s="69"/>
      <c r="J118" s="69"/>
      <c r="K118" s="69"/>
      <c r="L118" s="69"/>
      <c r="M118" s="68"/>
      <c r="N118" s="96" t="s">
        <v>97</v>
      </c>
      <c r="O118" s="68"/>
      <c r="P118" s="68"/>
      <c r="Q118" s="68"/>
      <c r="R118" s="68"/>
      <c r="S118" s="68"/>
      <c r="T118" s="68"/>
      <c r="U118" s="68"/>
      <c r="V118" s="68"/>
      <c r="W118" s="88"/>
    </row>
    <row r="119" customFormat="false" ht="15" hidden="false" customHeight="false" outlineLevel="0" collapsed="false">
      <c r="A119" s="85"/>
      <c r="B119" s="68"/>
      <c r="C119" s="101" t="s">
        <v>26</v>
      </c>
      <c r="D119" s="102"/>
      <c r="E119" s="102"/>
      <c r="F119" s="102"/>
      <c r="G119" s="103" t="s">
        <v>27</v>
      </c>
      <c r="H119" s="104" t="n">
        <v>0</v>
      </c>
      <c r="I119" s="104" t="n">
        <v>0</v>
      </c>
      <c r="J119" s="68"/>
      <c r="K119" s="68"/>
      <c r="L119" s="69"/>
      <c r="M119" s="68"/>
      <c r="N119" s="81"/>
      <c r="O119" s="68"/>
      <c r="P119" s="68"/>
      <c r="Q119" s="68"/>
      <c r="R119" s="68"/>
      <c r="S119" s="68"/>
      <c r="T119" s="68"/>
      <c r="U119" s="68"/>
      <c r="V119" s="68"/>
      <c r="W119" s="88"/>
    </row>
    <row r="120" customFormat="false" ht="12" hidden="false" customHeight="false" outlineLevel="0" collapsed="false">
      <c r="A120" s="81" t="n">
        <v>34</v>
      </c>
      <c r="B120" s="68"/>
      <c r="C120" s="69" t="s">
        <v>98</v>
      </c>
      <c r="D120" s="69"/>
      <c r="E120" s="69"/>
      <c r="F120" s="69"/>
      <c r="G120" s="69"/>
      <c r="H120" s="69"/>
      <c r="I120" s="69"/>
      <c r="J120" s="69"/>
      <c r="K120" s="69"/>
      <c r="L120" s="81" t="n">
        <v>37</v>
      </c>
      <c r="M120" s="68"/>
      <c r="N120" s="69" t="s">
        <v>99</v>
      </c>
      <c r="O120" s="68"/>
      <c r="P120" s="68"/>
      <c r="Q120" s="68"/>
      <c r="R120" s="68"/>
      <c r="S120" s="68"/>
      <c r="T120" s="68"/>
      <c r="U120" s="68"/>
      <c r="V120" s="68"/>
      <c r="W120" s="88"/>
    </row>
    <row r="121" customFormat="false" ht="12" hidden="false" customHeight="true" outlineLevel="0" collapsed="false">
      <c r="A121" s="109"/>
      <c r="B121" s="68"/>
      <c r="C121" s="95" t="s">
        <v>100</v>
      </c>
      <c r="D121" s="69"/>
      <c r="E121" s="69"/>
      <c r="F121" s="69"/>
      <c r="G121" s="69"/>
      <c r="H121" s="69"/>
      <c r="I121" s="69"/>
      <c r="J121" s="69"/>
      <c r="K121" s="69"/>
      <c r="L121" s="69"/>
      <c r="M121" s="68"/>
      <c r="N121" s="69" t="s">
        <v>101</v>
      </c>
      <c r="O121" s="68"/>
      <c r="P121" s="68"/>
      <c r="Q121" s="68"/>
      <c r="R121" s="68"/>
      <c r="S121" s="68"/>
      <c r="T121" s="68"/>
      <c r="U121" s="68"/>
      <c r="V121" s="68"/>
      <c r="W121" s="88"/>
    </row>
    <row r="122" customFormat="false" ht="6" hidden="false" customHeight="true" outlineLevel="0" collapsed="false">
      <c r="A122" s="109"/>
      <c r="B122" s="68"/>
      <c r="C122" s="69"/>
      <c r="D122" s="69"/>
      <c r="E122" s="69"/>
      <c r="F122" s="69"/>
      <c r="G122" s="69"/>
      <c r="H122" s="69"/>
      <c r="I122" s="69"/>
      <c r="J122" s="69"/>
      <c r="K122" s="69"/>
      <c r="L122" s="69"/>
      <c r="M122" s="68"/>
      <c r="N122" s="68"/>
      <c r="O122" s="68"/>
      <c r="P122" s="68"/>
      <c r="Q122" s="68"/>
      <c r="R122" s="68"/>
      <c r="S122" s="68"/>
      <c r="T122" s="68"/>
      <c r="U122" s="68"/>
      <c r="V122" s="68"/>
      <c r="W122" s="88"/>
    </row>
    <row r="123" customFormat="false" ht="15" hidden="false" customHeight="false" outlineLevel="0" collapsed="false">
      <c r="A123" s="85"/>
      <c r="B123" s="68"/>
      <c r="C123" s="101" t="s">
        <v>26</v>
      </c>
      <c r="D123" s="102" t="n">
        <f aca="false">'Business Details'!O34</f>
        <v>0</v>
      </c>
      <c r="E123" s="102"/>
      <c r="F123" s="102"/>
      <c r="G123" s="103" t="s">
        <v>27</v>
      </c>
      <c r="H123" s="104" t="n">
        <v>0</v>
      </c>
      <c r="I123" s="104" t="n">
        <v>0</v>
      </c>
      <c r="J123" s="68"/>
      <c r="K123" s="68"/>
      <c r="L123" s="69"/>
      <c r="M123" s="68"/>
      <c r="N123" s="101" t="s">
        <v>26</v>
      </c>
      <c r="O123" s="102" t="n">
        <f aca="false">SalesMar!$K$1</f>
        <v>0</v>
      </c>
      <c r="P123" s="102"/>
      <c r="Q123" s="102"/>
      <c r="R123" s="103" t="s">
        <v>27</v>
      </c>
      <c r="S123" s="104" t="n">
        <v>0</v>
      </c>
      <c r="T123" s="104" t="n">
        <v>0</v>
      </c>
      <c r="U123" s="68"/>
      <c r="V123" s="68"/>
      <c r="W123" s="88"/>
    </row>
    <row r="124" customFormat="false" ht="12" hidden="false" customHeight="true" outlineLevel="0" collapsed="false">
      <c r="A124" s="97"/>
      <c r="B124" s="98"/>
      <c r="C124" s="98"/>
      <c r="D124" s="98"/>
      <c r="E124" s="98"/>
      <c r="F124" s="98"/>
      <c r="G124" s="98"/>
      <c r="H124" s="98"/>
      <c r="I124" s="98"/>
      <c r="J124" s="98"/>
      <c r="K124" s="98"/>
      <c r="L124" s="116"/>
      <c r="M124" s="98"/>
      <c r="N124" s="119"/>
      <c r="O124" s="120"/>
      <c r="P124" s="120"/>
      <c r="Q124" s="120"/>
      <c r="R124" s="121"/>
      <c r="S124" s="122"/>
      <c r="T124" s="122"/>
      <c r="U124" s="98"/>
      <c r="V124" s="98"/>
      <c r="W124" s="99"/>
    </row>
  </sheetData>
  <mergeCells count="67">
    <mergeCell ref="A1:F2"/>
    <mergeCell ref="G1:N2"/>
    <mergeCell ref="O1:W1"/>
    <mergeCell ref="O2:P2"/>
    <mergeCell ref="Q2:T2"/>
    <mergeCell ref="V2:W2"/>
    <mergeCell ref="A3:W3"/>
    <mergeCell ref="A4:W4"/>
    <mergeCell ref="C8:J8"/>
    <mergeCell ref="O8:P8"/>
    <mergeCell ref="R8:U8"/>
    <mergeCell ref="A10:W10"/>
    <mergeCell ref="C13:J13"/>
    <mergeCell ref="C15:J15"/>
    <mergeCell ref="C17:J17"/>
    <mergeCell ref="S17:V17"/>
    <mergeCell ref="N18:V18"/>
    <mergeCell ref="N20:Q20"/>
    <mergeCell ref="C22:D22"/>
    <mergeCell ref="S23:V23"/>
    <mergeCell ref="N26:Q26"/>
    <mergeCell ref="N31:Q31"/>
    <mergeCell ref="A33:W33"/>
    <mergeCell ref="D38:F38"/>
    <mergeCell ref="O38:Q38"/>
    <mergeCell ref="A40:W40"/>
    <mergeCell ref="A41:W41"/>
    <mergeCell ref="A42:W42"/>
    <mergeCell ref="D46:F46"/>
    <mergeCell ref="O46:Q46"/>
    <mergeCell ref="D51:F51"/>
    <mergeCell ref="O51:Q51"/>
    <mergeCell ref="D55:F55"/>
    <mergeCell ref="O55:Q55"/>
    <mergeCell ref="D60:F60"/>
    <mergeCell ref="O60:Q60"/>
    <mergeCell ref="D64:F64"/>
    <mergeCell ref="O64:Q64"/>
    <mergeCell ref="A66:W66"/>
    <mergeCell ref="D71:F71"/>
    <mergeCell ref="O71:Q71"/>
    <mergeCell ref="A73:W73"/>
    <mergeCell ref="A74:W74"/>
    <mergeCell ref="A75:W75"/>
    <mergeCell ref="A76:W76"/>
    <mergeCell ref="D80:F80"/>
    <mergeCell ref="O80:Q80"/>
    <mergeCell ref="D85:F85"/>
    <mergeCell ref="O85:Q85"/>
    <mergeCell ref="A87:W87"/>
    <mergeCell ref="A88:W88"/>
    <mergeCell ref="A89:W89"/>
    <mergeCell ref="D94:F94"/>
    <mergeCell ref="O94:Q94"/>
    <mergeCell ref="D99:F99"/>
    <mergeCell ref="O99:Q99"/>
    <mergeCell ref="A101:W101"/>
    <mergeCell ref="D106:F106"/>
    <mergeCell ref="O106:Q106"/>
    <mergeCell ref="A108:W108"/>
    <mergeCell ref="A109:W109"/>
    <mergeCell ref="D112:F112"/>
    <mergeCell ref="D114:F114"/>
    <mergeCell ref="R116:T116"/>
    <mergeCell ref="D119:F119"/>
    <mergeCell ref="D123:F123"/>
    <mergeCell ref="O123:Q123"/>
  </mergeCells>
  <printOptions headings="false" gridLines="false" gridLinesSet="true" horizontalCentered="true" verticalCentered="true"/>
  <pageMargins left="0.196527777777778" right="0.196527777777778" top="0.315277777777778" bottom="0.31527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123" width="20.82"/>
    <col collapsed="false" customWidth="true" hidden="true" outlineLevel="0" max="2" min="2" style="124" width="5.99"/>
    <col collapsed="false" customWidth="true" hidden="false" outlineLevel="0" max="3" min="3" style="125" width="11.66"/>
    <col collapsed="false" customWidth="true" hidden="false" outlineLevel="0" max="15" min="4" style="125" width="8.66"/>
    <col collapsed="false" customWidth="true" hidden="false" outlineLevel="0" max="16" min="16" style="123" width="1.66"/>
    <col collapsed="false" customWidth="false" hidden="false" outlineLevel="0" max="17" min="17" style="123" width="9.15"/>
    <col collapsed="false" customWidth="true" hidden="false" outlineLevel="0" max="18" min="18" style="123" width="1.66"/>
    <col collapsed="false" customWidth="true" hidden="false" outlineLevel="0" max="19" min="19" style="123" width="22.32"/>
    <col collapsed="false" customWidth="false" hidden="false" outlineLevel="0" max="20" min="20" style="123" width="9.15"/>
    <col collapsed="false" customWidth="true" hidden="false" outlineLevel="0" max="21" min="21" style="123" width="10.15"/>
    <col collapsed="false" customWidth="false" hidden="false" outlineLevel="0" max="24" min="22" style="123" width="9.15"/>
    <col collapsed="false" customWidth="true" hidden="false" outlineLevel="0" max="25" min="25" style="123" width="23.66"/>
    <col collapsed="false" customWidth="true" hidden="false" outlineLevel="0" max="26" min="26" style="123" width="1.66"/>
    <col collapsed="false" customWidth="false" hidden="false" outlineLevel="0" max="257" min="27" style="123" width="9.15"/>
  </cols>
  <sheetData>
    <row r="1" s="131" customFormat="true" ht="12" hidden="false" customHeight="true" outlineLevel="0" collapsed="false">
      <c r="A1" s="126" t="s">
        <v>102</v>
      </c>
      <c r="B1" s="127" t="s">
        <v>103</v>
      </c>
      <c r="C1" s="128" t="s">
        <v>104</v>
      </c>
      <c r="D1" s="129" t="n">
        <f aca="false">Admin!B5</f>
        <v>44681</v>
      </c>
      <c r="E1" s="129" t="n">
        <f aca="false">Admin!B6</f>
        <v>44712</v>
      </c>
      <c r="F1" s="129" t="n">
        <f aca="false">Admin!B7</f>
        <v>44742</v>
      </c>
      <c r="G1" s="129" t="n">
        <f aca="false">Admin!B8</f>
        <v>44773</v>
      </c>
      <c r="H1" s="129" t="n">
        <f aca="false">Admin!B9</f>
        <v>44804</v>
      </c>
      <c r="I1" s="129" t="n">
        <f aca="false">Admin!B10</f>
        <v>44834</v>
      </c>
      <c r="J1" s="129" t="n">
        <f aca="false">Admin!B11</f>
        <v>44865</v>
      </c>
      <c r="K1" s="129" t="n">
        <f aca="false">Admin!B12</f>
        <v>44895</v>
      </c>
      <c r="L1" s="129" t="n">
        <f aca="false">Admin!B13</f>
        <v>44926</v>
      </c>
      <c r="M1" s="129" t="n">
        <f aca="false">Admin!B14</f>
        <v>44957</v>
      </c>
      <c r="N1" s="129" t="n">
        <f aca="false">Admin!B15</f>
        <v>44985</v>
      </c>
      <c r="O1" s="129" t="n">
        <f aca="false">Admin!B16</f>
        <v>45016</v>
      </c>
      <c r="P1" s="130"/>
      <c r="R1" s="132"/>
      <c r="S1" s="133" t="s">
        <v>105</v>
      </c>
      <c r="T1" s="133" t="s">
        <v>106</v>
      </c>
      <c r="U1" s="133" t="s">
        <v>107</v>
      </c>
      <c r="V1" s="133" t="s">
        <v>108</v>
      </c>
      <c r="W1" s="133" t="s">
        <v>109</v>
      </c>
      <c r="X1" s="133" t="s">
        <v>110</v>
      </c>
      <c r="Y1" s="133" t="s">
        <v>111</v>
      </c>
      <c r="Z1" s="132"/>
    </row>
    <row r="2" customFormat="false" ht="12" hidden="false" customHeight="true" outlineLevel="0" collapsed="false">
      <c r="A2" s="126"/>
      <c r="B2" s="134"/>
      <c r="C2" s="135" t="str">
        <f aca="false">Admin!G2</f>
        <v>2022-23</v>
      </c>
      <c r="D2" s="129"/>
      <c r="E2" s="129"/>
      <c r="F2" s="129"/>
      <c r="G2" s="129"/>
      <c r="H2" s="129"/>
      <c r="I2" s="129"/>
      <c r="J2" s="129"/>
      <c r="K2" s="129"/>
      <c r="L2" s="129"/>
      <c r="M2" s="129"/>
      <c r="N2" s="129"/>
      <c r="O2" s="129"/>
      <c r="P2" s="132"/>
      <c r="R2" s="132"/>
      <c r="S2" s="133"/>
      <c r="T2" s="133"/>
      <c r="U2" s="133"/>
      <c r="V2" s="133"/>
      <c r="W2" s="133"/>
      <c r="X2" s="133"/>
      <c r="Y2" s="133"/>
      <c r="Z2" s="132"/>
    </row>
    <row r="3" s="139" customFormat="true" ht="6" hidden="false" customHeight="true" outlineLevel="0" collapsed="false">
      <c r="A3" s="132" t="str">
        <f aca="false">IF(C3=" "," ","Purchase analysis errors")</f>
        <v> </v>
      </c>
      <c r="B3" s="136"/>
      <c r="C3" s="137" t="str">
        <f aca="false">IF((SUM(D3:O3)&gt;1),ROUND(SUM(D3:O3),0)," ")</f>
        <v> </v>
      </c>
      <c r="D3" s="137" t="str">
        <f aca="false">IF((PurchasesApr!$E$1&gt;1),PurchasesApr!$E$1," ")</f>
        <v> </v>
      </c>
      <c r="E3" s="137" t="str">
        <f aca="false">IF((PurchasesMay!$E$1&gt;1),PurchasesMay!$E$1," ")</f>
        <v> </v>
      </c>
      <c r="F3" s="137" t="str">
        <f aca="false">IF((PurchasesJun!$E$1&gt;1),PurchasesJun!$E$1," ")</f>
        <v> </v>
      </c>
      <c r="G3" s="137" t="str">
        <f aca="false">IF((PurchasesJul!$E$1&gt;1),PurchasesJul!$E$1," ")</f>
        <v> </v>
      </c>
      <c r="H3" s="137" t="str">
        <f aca="false">IF((PurchasesAug!$E$1&gt;1),PurchasesAug!$E$1," ")</f>
        <v> </v>
      </c>
      <c r="I3" s="137" t="str">
        <f aca="false">IF((PurchasesSep!$E$1&gt;1),PurchasesSep!$E$1," ")</f>
        <v> </v>
      </c>
      <c r="J3" s="137" t="str">
        <f aca="false">IF((PurchasesOct!$E$1&gt;1),PurchasesOct!$E$1," ")</f>
        <v> </v>
      </c>
      <c r="K3" s="137" t="str">
        <f aca="false">IF((PurchasesNov!$E$1&gt;1),PurchasesNov!$E$1," ")</f>
        <v> </v>
      </c>
      <c r="L3" s="137" t="str">
        <f aca="false">IF((PurchasesDec!$E$1&gt;1),PurchasesDec!$E$1," ")</f>
        <v> </v>
      </c>
      <c r="M3" s="137" t="str">
        <f aca="false">IF((PurchasesJan!$E$1&gt;1),PurchasesJan!$E$1," ")</f>
        <v> </v>
      </c>
      <c r="N3" s="137" t="str">
        <f aca="false">IF((PurchasesFeb!$E$1&gt;1),PurchasesFeb!$E$1," ")</f>
        <v> </v>
      </c>
      <c r="O3" s="137" t="str">
        <f aca="false">IF((PurchasesMar!$E$1&gt;1),PurchasesMar!$E$1," ")</f>
        <v> </v>
      </c>
      <c r="P3" s="138"/>
      <c r="R3" s="132"/>
      <c r="S3" s="132"/>
      <c r="T3" s="132"/>
      <c r="U3" s="132"/>
      <c r="V3" s="132"/>
      <c r="W3" s="132"/>
      <c r="X3" s="132"/>
      <c r="Y3" s="132"/>
      <c r="Z3" s="132"/>
    </row>
    <row r="4" customFormat="false" ht="12.75" hidden="false" customHeight="false" outlineLevel="0" collapsed="false">
      <c r="A4" s="140" t="s">
        <v>112</v>
      </c>
      <c r="B4" s="141" t="n">
        <v>3.29</v>
      </c>
      <c r="C4" s="142" t="n">
        <f aca="false">ROUND(SUM(D4:O4),0)</f>
        <v>36000</v>
      </c>
      <c r="D4" s="125" t="n">
        <f aca="false">SalesApr!$F$1</f>
        <v>3000</v>
      </c>
      <c r="E4" s="125" t="n">
        <f aca="false">SalesMay!$F$1</f>
        <v>3000</v>
      </c>
      <c r="F4" s="125" t="n">
        <f aca="false">SalesJun!$F$1</f>
        <v>3000</v>
      </c>
      <c r="G4" s="125" t="n">
        <f aca="false">SalesJul!$F$1</f>
        <v>3000</v>
      </c>
      <c r="H4" s="125" t="n">
        <f aca="false">SalesAug!$F$1</f>
        <v>3000</v>
      </c>
      <c r="I4" s="125" t="n">
        <f aca="false">SalesSep!$F$1</f>
        <v>3000</v>
      </c>
      <c r="J4" s="125" t="n">
        <f aca="false">SalesOct!$F$1</f>
        <v>3000</v>
      </c>
      <c r="K4" s="125" t="n">
        <f aca="false">SalesNov!$F$1</f>
        <v>3000</v>
      </c>
      <c r="L4" s="125" t="n">
        <f aca="false">SalesDec!$F$1</f>
        <v>3000</v>
      </c>
      <c r="M4" s="125" t="n">
        <f aca="false">SalesJan!$F$1</f>
        <v>3000</v>
      </c>
      <c r="N4" s="125" t="n">
        <f aca="false">SalesFeb!$F$1</f>
        <v>3000</v>
      </c>
      <c r="O4" s="125" t="n">
        <f aca="false">SalesMar!$F$1</f>
        <v>3000</v>
      </c>
      <c r="P4" s="132"/>
      <c r="R4" s="132"/>
      <c r="S4" s="132" t="s">
        <v>113</v>
      </c>
      <c r="T4" s="143" t="n">
        <f aca="false">SUM(D4:F4)</f>
        <v>9000</v>
      </c>
      <c r="U4" s="143" t="n">
        <f aca="false">SUM(G4:I4)</f>
        <v>9000</v>
      </c>
      <c r="V4" s="143" t="n">
        <f aca="false">SUM(J4:L4)</f>
        <v>9000</v>
      </c>
      <c r="W4" s="143" t="n">
        <f aca="false">SUM(M4:O4)</f>
        <v>9000</v>
      </c>
      <c r="X4" s="144" t="n">
        <f aca="false">SUM(T4:W4)</f>
        <v>36000</v>
      </c>
      <c r="Y4" s="132"/>
      <c r="Z4" s="132"/>
    </row>
    <row r="5" customFormat="false" ht="13.5" hidden="false" customHeight="true" outlineLevel="0" collapsed="false">
      <c r="A5" s="145"/>
      <c r="B5" s="146"/>
      <c r="C5" s="147"/>
      <c r="D5" s="148"/>
      <c r="E5" s="148"/>
      <c r="F5" s="148"/>
      <c r="G5" s="148"/>
      <c r="H5" s="148"/>
      <c r="I5" s="148"/>
      <c r="J5" s="148"/>
      <c r="K5" s="148"/>
      <c r="L5" s="148"/>
      <c r="M5" s="148"/>
      <c r="N5" s="148"/>
      <c r="O5" s="148"/>
      <c r="P5" s="132"/>
      <c r="R5" s="132"/>
      <c r="S5" s="132" t="s">
        <v>114</v>
      </c>
      <c r="T5" s="143" t="n">
        <f aca="false">SUM(D30:F30)</f>
        <v>0</v>
      </c>
      <c r="U5" s="143" t="n">
        <f aca="false">SUM(G30:I30)</f>
        <v>0</v>
      </c>
      <c r="V5" s="143" t="n">
        <f aca="false">SUM(J30:L30)</f>
        <v>0</v>
      </c>
      <c r="W5" s="143" t="n">
        <f aca="false">SUM(M30:O30)</f>
        <v>0</v>
      </c>
      <c r="X5" s="144" t="n">
        <f aca="false">SUM(T5:W5)</f>
        <v>0</v>
      </c>
      <c r="Y5" s="132"/>
      <c r="Z5" s="132"/>
    </row>
    <row r="6" customFormat="false" ht="12.75" hidden="false" customHeight="false" outlineLevel="0" collapsed="false">
      <c r="A6" s="132" t="s">
        <v>115</v>
      </c>
      <c r="B6" s="124" t="n">
        <v>3.46</v>
      </c>
      <c r="C6" s="149" t="n">
        <f aca="false">ROUND(SUM(D6:O6),0)</f>
        <v>0</v>
      </c>
      <c r="D6" s="125" t="n">
        <f aca="false">PurchasesApr!$J$1+PurchasesStock!$D$5-PurchasesStock!$D$7</f>
        <v>0</v>
      </c>
      <c r="E6" s="125" t="n">
        <f aca="false">PurchasesMay!$J$1+PurchasesStock!$D$7-PurchasesStock!$D$9</f>
        <v>0</v>
      </c>
      <c r="F6" s="125" t="n">
        <f aca="false">PurchasesJun!$J$1+PurchasesStock!$D$9-PurchasesStock!$D$11</f>
        <v>0</v>
      </c>
      <c r="G6" s="125" t="n">
        <f aca="false">PurchasesJul!$J$1+PurchasesStock!$D$11-PurchasesStock!$D$13</f>
        <v>0</v>
      </c>
      <c r="H6" s="125" t="n">
        <f aca="false">PurchasesAug!$J$1+PurchasesStock!$D$13-PurchasesStock!$D$15</f>
        <v>0</v>
      </c>
      <c r="I6" s="125" t="n">
        <f aca="false">PurchasesSep!$J$1+PurchasesStock!$D$15-PurchasesStock!$D$17</f>
        <v>0</v>
      </c>
      <c r="J6" s="125" t="n">
        <f aca="false">PurchasesOct!$J$1+PurchasesStock!$D$17-PurchasesStock!$D$19</f>
        <v>0</v>
      </c>
      <c r="K6" s="125" t="n">
        <f aca="false">PurchasesNov!$J$1+PurchasesStock!$D$19-PurchasesStock!$D$21</f>
        <v>0</v>
      </c>
      <c r="L6" s="125" t="n">
        <f aca="false">PurchasesDec!$J$1+PurchasesStock!$D$21-PurchasesStock!$D$23</f>
        <v>0</v>
      </c>
      <c r="M6" s="125" t="n">
        <f aca="false">PurchasesJan!$J$1+PurchasesStock!$D$23-PurchasesStock!$D$25</f>
        <v>0</v>
      </c>
      <c r="N6" s="125" t="n">
        <f aca="false">PurchasesFeb!$J$1+PurchasesStock!$D$25-PurchasesStock!$D$27</f>
        <v>0</v>
      </c>
      <c r="O6" s="125" t="n">
        <f aca="false">PurchasesMar!$J$1+PurchasesStock!$D$27-PurchasesStock!$D$30</f>
        <v>0</v>
      </c>
      <c r="P6" s="132"/>
      <c r="R6" s="132"/>
      <c r="S6" s="132" t="s">
        <v>116</v>
      </c>
      <c r="T6" s="143" t="n">
        <f aca="false">SUM(D6:F7)</f>
        <v>0</v>
      </c>
      <c r="U6" s="143" t="n">
        <f aca="false">SUM(G6:I7)</f>
        <v>0</v>
      </c>
      <c r="V6" s="143" t="n">
        <f aca="false">SUM(J6:L7)</f>
        <v>0</v>
      </c>
      <c r="W6" s="143" t="n">
        <f aca="false">SUM(M6:O7)</f>
        <v>0</v>
      </c>
      <c r="X6" s="144" t="n">
        <f aca="false">SUM(T6:W6)</f>
        <v>0</v>
      </c>
      <c r="Y6" s="132"/>
      <c r="Z6" s="132"/>
    </row>
    <row r="7" s="151" customFormat="true" ht="12.75" hidden="false" customHeight="false" outlineLevel="0" collapsed="false">
      <c r="A7" s="150" t="s">
        <v>117</v>
      </c>
      <c r="B7" s="124" t="n">
        <v>3.48</v>
      </c>
      <c r="C7" s="149" t="n">
        <f aca="false">ROUND(SUM(D7:O7),0)</f>
        <v>0</v>
      </c>
      <c r="D7" s="125" t="n">
        <f aca="false">PurchasesApr!$K$1</f>
        <v>0</v>
      </c>
      <c r="E7" s="125" t="n">
        <f aca="false">PurchasesMay!$K$1</f>
        <v>0</v>
      </c>
      <c r="F7" s="125" t="n">
        <f aca="false">PurchasesJun!$K$1</f>
        <v>0</v>
      </c>
      <c r="G7" s="125" t="n">
        <f aca="false">PurchasesJul!$K$1</f>
        <v>0</v>
      </c>
      <c r="H7" s="125" t="n">
        <f aca="false">PurchasesAug!$K$1</f>
        <v>0</v>
      </c>
      <c r="I7" s="125" t="n">
        <f aca="false">PurchasesSep!$K$1</f>
        <v>0</v>
      </c>
      <c r="J7" s="125" t="n">
        <f aca="false">PurchasesOct!$K$1</f>
        <v>0</v>
      </c>
      <c r="K7" s="125" t="n">
        <f aca="false">PurchasesNov!$K$1</f>
        <v>0</v>
      </c>
      <c r="L7" s="125" t="n">
        <f aca="false">PurchasesDec!$K$1</f>
        <v>0</v>
      </c>
      <c r="M7" s="125" t="n">
        <f aca="false">PurchasesJan!$K$1</f>
        <v>0</v>
      </c>
      <c r="N7" s="125" t="n">
        <f aca="false">PurchasesFeb!$K$1</f>
        <v>0</v>
      </c>
      <c r="O7" s="125" t="n">
        <f aca="false">PurchasesMar!$K$1</f>
        <v>0</v>
      </c>
      <c r="P7" s="150"/>
      <c r="R7" s="132"/>
      <c r="S7" s="132"/>
      <c r="T7" s="132"/>
      <c r="U7" s="132"/>
      <c r="V7" s="132"/>
      <c r="W7" s="132"/>
      <c r="X7" s="132"/>
      <c r="Y7" s="132"/>
      <c r="Z7" s="132"/>
    </row>
    <row r="8" customFormat="false" ht="6" hidden="false" customHeight="true" outlineLevel="0" collapsed="false">
      <c r="A8" s="132"/>
      <c r="C8" s="148"/>
      <c r="D8" s="148"/>
      <c r="E8" s="148"/>
      <c r="F8" s="148"/>
      <c r="G8" s="148"/>
      <c r="H8" s="148"/>
      <c r="I8" s="148"/>
      <c r="J8" s="148"/>
      <c r="K8" s="148"/>
      <c r="L8" s="148"/>
      <c r="M8" s="148"/>
      <c r="N8" s="148"/>
      <c r="O8" s="148"/>
      <c r="P8" s="132"/>
      <c r="R8" s="132"/>
      <c r="S8" s="132"/>
      <c r="T8" s="132"/>
      <c r="U8" s="132"/>
      <c r="V8" s="132"/>
      <c r="W8" s="132"/>
      <c r="X8" s="132"/>
      <c r="Y8" s="132"/>
      <c r="Z8" s="132"/>
    </row>
    <row r="9" customFormat="false" ht="12.75" hidden="false" customHeight="false" outlineLevel="0" collapsed="false">
      <c r="A9" s="152" t="s">
        <v>118</v>
      </c>
      <c r="B9" s="153" t="n">
        <v>3.49</v>
      </c>
      <c r="C9" s="142" t="n">
        <f aca="false">ROUND((C4-C6-C7),0)</f>
        <v>36000</v>
      </c>
      <c r="D9" s="154" t="n">
        <f aca="false">D4-D6-D7</f>
        <v>3000</v>
      </c>
      <c r="E9" s="154" t="n">
        <f aca="false">E4-E6-E7</f>
        <v>3000</v>
      </c>
      <c r="F9" s="154" t="n">
        <f aca="false">F4-F6-F7</f>
        <v>3000</v>
      </c>
      <c r="G9" s="154" t="n">
        <f aca="false">G4-G6-G7</f>
        <v>3000</v>
      </c>
      <c r="H9" s="154" t="n">
        <f aca="false">H4-H6-H7</f>
        <v>3000</v>
      </c>
      <c r="I9" s="154" t="n">
        <f aca="false">I4-I6-I7</f>
        <v>3000</v>
      </c>
      <c r="J9" s="154" t="n">
        <f aca="false">J4-J6-J7</f>
        <v>3000</v>
      </c>
      <c r="K9" s="154" t="n">
        <f aca="false">K4-K6-K7</f>
        <v>3000</v>
      </c>
      <c r="L9" s="154" t="n">
        <f aca="false">L4-L6-L7</f>
        <v>3000</v>
      </c>
      <c r="M9" s="154" t="n">
        <f aca="false">M4-M6-M7</f>
        <v>3000</v>
      </c>
      <c r="N9" s="154" t="n">
        <f aca="false">N4-N6-N7</f>
        <v>3000</v>
      </c>
      <c r="O9" s="154" t="n">
        <f aca="false">O4-O6-O7</f>
        <v>3000</v>
      </c>
      <c r="P9" s="132"/>
      <c r="R9" s="132"/>
      <c r="S9" s="155" t="s">
        <v>119</v>
      </c>
      <c r="T9" s="132"/>
      <c r="U9" s="132"/>
      <c r="V9" s="132"/>
      <c r="W9" s="132"/>
      <c r="X9" s="132"/>
      <c r="Y9" s="132"/>
      <c r="Z9" s="132"/>
    </row>
    <row r="10" customFormat="false" ht="6" hidden="false" customHeight="true" outlineLevel="0" collapsed="false">
      <c r="A10" s="156"/>
      <c r="C10" s="147"/>
      <c r="D10" s="147"/>
      <c r="E10" s="147"/>
      <c r="F10" s="147"/>
      <c r="G10" s="147"/>
      <c r="H10" s="147"/>
      <c r="I10" s="147"/>
      <c r="J10" s="147"/>
      <c r="K10" s="147"/>
      <c r="L10" s="147"/>
      <c r="M10" s="147"/>
      <c r="N10" s="147"/>
      <c r="O10" s="147"/>
      <c r="P10" s="132"/>
      <c r="R10" s="132"/>
      <c r="S10" s="132"/>
      <c r="T10" s="132"/>
      <c r="U10" s="132"/>
      <c r="V10" s="132"/>
      <c r="W10" s="132"/>
      <c r="X10" s="132"/>
      <c r="Y10" s="132"/>
      <c r="Z10" s="132"/>
    </row>
    <row r="11" customFormat="false" ht="12.75" hidden="false" customHeight="false" outlineLevel="0" collapsed="false">
      <c r="A11" s="132" t="s">
        <v>120</v>
      </c>
      <c r="B11" s="124" t="n">
        <v>3.51</v>
      </c>
      <c r="C11" s="149" t="n">
        <f aca="false">ROUND(SUM(D11:O11),0)</f>
        <v>0</v>
      </c>
      <c r="D11" s="154" t="n">
        <f aca="false">PurchasesApr!$L$1</f>
        <v>0</v>
      </c>
      <c r="E11" s="154" t="n">
        <f aca="false">PurchasesMay!$L$1</f>
        <v>0</v>
      </c>
      <c r="F11" s="154" t="n">
        <f aca="false">PurchasesJun!$L$1</f>
        <v>0</v>
      </c>
      <c r="G11" s="154" t="n">
        <f aca="false">PurchasesJul!$L$1</f>
        <v>0</v>
      </c>
      <c r="H11" s="154" t="n">
        <f aca="false">PurchasesAug!$L$1</f>
        <v>0</v>
      </c>
      <c r="I11" s="154" t="n">
        <f aca="false">PurchasesSep!$L$1</f>
        <v>0</v>
      </c>
      <c r="J11" s="154" t="n">
        <f aca="false">PurchasesOct!$L$1</f>
        <v>0</v>
      </c>
      <c r="K11" s="154" t="n">
        <f aca="false">PurchasesNov!$L$1</f>
        <v>0</v>
      </c>
      <c r="L11" s="154" t="n">
        <f aca="false">PurchasesDec!$L$1</f>
        <v>0</v>
      </c>
      <c r="M11" s="154" t="n">
        <f aca="false">PurchasesJan!$L$1</f>
        <v>0</v>
      </c>
      <c r="N11" s="154" t="n">
        <f aca="false">PurchasesFeb!$L$1</f>
        <v>0</v>
      </c>
      <c r="O11" s="154" t="n">
        <f aca="false">PurchasesMar!$L$1</f>
        <v>0</v>
      </c>
      <c r="P11" s="132"/>
      <c r="R11" s="132"/>
      <c r="S11" s="132" t="s">
        <v>121</v>
      </c>
      <c r="T11" s="144" t="n">
        <f aca="false">SUM(D11:F11)</f>
        <v>0</v>
      </c>
      <c r="U11" s="144" t="n">
        <f aca="false">SUM(G11:I11)</f>
        <v>0</v>
      </c>
      <c r="V11" s="144" t="n">
        <f aca="false">SUM(J11:L11)</f>
        <v>0</v>
      </c>
      <c r="W11" s="144" t="n">
        <f aca="false">SUM(M11:O11)</f>
        <v>0</v>
      </c>
      <c r="X11" s="144" t="n">
        <f aca="false">SUM(T11:W11)</f>
        <v>0</v>
      </c>
      <c r="Y11" s="132"/>
      <c r="Z11" s="132"/>
    </row>
    <row r="12" customFormat="false" ht="12.75" hidden="false" customHeight="false" outlineLevel="0" collapsed="false">
      <c r="A12" s="132" t="s">
        <v>122</v>
      </c>
      <c r="B12" s="124" t="n">
        <v>3.52</v>
      </c>
      <c r="C12" s="149" t="n">
        <f aca="false">ROUND(SUM(D12:O12),0)</f>
        <v>4800</v>
      </c>
      <c r="D12" s="154" t="n">
        <f aca="false">PurchasesApr!$M$1</f>
        <v>400</v>
      </c>
      <c r="E12" s="154" t="n">
        <f aca="false">PurchasesMay!$M$1</f>
        <v>400</v>
      </c>
      <c r="F12" s="154" t="n">
        <f aca="false">PurchasesJun!$M$1</f>
        <v>400</v>
      </c>
      <c r="G12" s="154" t="n">
        <f aca="false">PurchasesJul!$M$1</f>
        <v>400</v>
      </c>
      <c r="H12" s="154" t="n">
        <f aca="false">PurchasesAug!$M$1</f>
        <v>400</v>
      </c>
      <c r="I12" s="154" t="n">
        <f aca="false">PurchasesSep!$M$1</f>
        <v>400</v>
      </c>
      <c r="J12" s="154" t="n">
        <f aca="false">PurchasesOct!$M$1</f>
        <v>400</v>
      </c>
      <c r="K12" s="154" t="n">
        <f aca="false">PurchasesNov!$M$1</f>
        <v>400</v>
      </c>
      <c r="L12" s="154" t="n">
        <f aca="false">PurchasesDec!$M$1</f>
        <v>400</v>
      </c>
      <c r="M12" s="154" t="n">
        <f aca="false">PurchasesJan!$M$1</f>
        <v>400</v>
      </c>
      <c r="N12" s="154" t="n">
        <f aca="false">PurchasesFeb!$M$1</f>
        <v>400</v>
      </c>
      <c r="O12" s="154" t="n">
        <f aca="false">PurchasesMar!$M$1</f>
        <v>400</v>
      </c>
      <c r="P12" s="132"/>
      <c r="R12" s="132"/>
      <c r="S12" s="132" t="s">
        <v>123</v>
      </c>
      <c r="T12" s="144" t="n">
        <f aca="false">SUM(D12:F12)</f>
        <v>1200</v>
      </c>
      <c r="U12" s="144" t="n">
        <f aca="false">SUM(G12:I12)</f>
        <v>1200</v>
      </c>
      <c r="V12" s="144" t="n">
        <f aca="false">SUM(J12:L12)</f>
        <v>1200</v>
      </c>
      <c r="W12" s="144" t="n">
        <f aca="false">SUM(M12:O12)</f>
        <v>1200</v>
      </c>
      <c r="X12" s="144" t="n">
        <f aca="false">SUM(T12:W12)</f>
        <v>4800</v>
      </c>
      <c r="Y12" s="132"/>
      <c r="Z12" s="132"/>
    </row>
    <row r="13" customFormat="false" ht="12.75" hidden="false" customHeight="false" outlineLevel="0" collapsed="false">
      <c r="A13" s="132" t="s">
        <v>124</v>
      </c>
      <c r="B13" s="124" t="n">
        <v>3.53</v>
      </c>
      <c r="C13" s="149" t="n">
        <f aca="false">ROUND(SUM(D13:O13),0)</f>
        <v>0</v>
      </c>
      <c r="D13" s="154" t="n">
        <f aca="false">PurchasesApr!$N$1</f>
        <v>0</v>
      </c>
      <c r="E13" s="154" t="n">
        <f aca="false">PurchasesMay!$N$1</f>
        <v>0</v>
      </c>
      <c r="F13" s="154" t="n">
        <f aca="false">PurchasesJun!$N$1</f>
        <v>0</v>
      </c>
      <c r="G13" s="154" t="n">
        <f aca="false">PurchasesJul!$N$1</f>
        <v>0</v>
      </c>
      <c r="H13" s="154" t="n">
        <f aca="false">PurchasesAug!$N$1</f>
        <v>0</v>
      </c>
      <c r="I13" s="154" t="n">
        <f aca="false">PurchasesSep!$N$1</f>
        <v>0</v>
      </c>
      <c r="J13" s="154" t="n">
        <f aca="false">PurchasesOct!$N$1</f>
        <v>0</v>
      </c>
      <c r="K13" s="154" t="n">
        <f aca="false">PurchasesNov!$N$1</f>
        <v>0</v>
      </c>
      <c r="L13" s="154" t="n">
        <f aca="false">PurchasesDec!$N$1</f>
        <v>0</v>
      </c>
      <c r="M13" s="154" t="n">
        <f aca="false">PurchasesJan!$N$1</f>
        <v>0</v>
      </c>
      <c r="N13" s="154" t="n">
        <f aca="false">PurchasesFeb!$N$1</f>
        <v>0</v>
      </c>
      <c r="O13" s="154" t="n">
        <f aca="false">PurchasesMar!$N$1</f>
        <v>0</v>
      </c>
      <c r="P13" s="132"/>
      <c r="R13" s="132"/>
      <c r="S13" s="132" t="s">
        <v>125</v>
      </c>
      <c r="T13" s="144" t="n">
        <f aca="false">SUM(D13:F13)</f>
        <v>0</v>
      </c>
      <c r="U13" s="144" t="n">
        <f aca="false">SUM(G13:I13)</f>
        <v>0</v>
      </c>
      <c r="V13" s="144" t="n">
        <f aca="false">SUM(J13:L13)</f>
        <v>0</v>
      </c>
      <c r="W13" s="144" t="n">
        <f aca="false">SUM(M13:O13)</f>
        <v>0</v>
      </c>
      <c r="X13" s="144" t="n">
        <f aca="false">SUM(T13:W13)</f>
        <v>0</v>
      </c>
      <c r="Y13" s="132"/>
      <c r="Z13" s="132"/>
    </row>
    <row r="14" customFormat="false" ht="12.75" hidden="false" customHeight="false" outlineLevel="0" collapsed="false">
      <c r="A14" s="132" t="s">
        <v>126</v>
      </c>
      <c r="B14" s="124" t="n">
        <v>3.54</v>
      </c>
      <c r="C14" s="149" t="n">
        <f aca="false">ROUND(SUM(D14:O14),0)</f>
        <v>480</v>
      </c>
      <c r="D14" s="154" t="n">
        <f aca="false">PurchasesApr!$O$1</f>
        <v>120</v>
      </c>
      <c r="E14" s="154" t="n">
        <f aca="false">PurchasesMay!$O$1</f>
        <v>0</v>
      </c>
      <c r="F14" s="154" t="n">
        <f aca="false">PurchasesJun!$O$1</f>
        <v>0</v>
      </c>
      <c r="G14" s="154" t="n">
        <f aca="false">PurchasesJul!$O$1</f>
        <v>120</v>
      </c>
      <c r="H14" s="154" t="n">
        <f aca="false">PurchasesAug!$O$1</f>
        <v>0</v>
      </c>
      <c r="I14" s="154" t="n">
        <f aca="false">PurchasesSep!$O$1</f>
        <v>0</v>
      </c>
      <c r="J14" s="154" t="n">
        <f aca="false">PurchasesOct!$O$1</f>
        <v>120</v>
      </c>
      <c r="K14" s="154" t="n">
        <f aca="false">PurchasesNov!$O$1</f>
        <v>0</v>
      </c>
      <c r="L14" s="154" t="n">
        <f aca="false">PurchasesDec!$O$1</f>
        <v>0</v>
      </c>
      <c r="M14" s="154" t="n">
        <f aca="false">PurchasesJan!$O$1</f>
        <v>120</v>
      </c>
      <c r="N14" s="154" t="n">
        <f aca="false">PurchasesFeb!$O$1</f>
        <v>0</v>
      </c>
      <c r="O14" s="154" t="n">
        <f aca="false">PurchasesMar!$O$1</f>
        <v>0</v>
      </c>
      <c r="P14" s="132"/>
      <c r="R14" s="132"/>
      <c r="S14" s="132" t="s">
        <v>127</v>
      </c>
      <c r="T14" s="144" t="n">
        <f aca="false">SUM(D14:F14)</f>
        <v>120</v>
      </c>
      <c r="U14" s="144" t="n">
        <f aca="false">SUM(G14:I14)</f>
        <v>120</v>
      </c>
      <c r="V14" s="144" t="n">
        <f aca="false">SUM(J14:L14)</f>
        <v>120</v>
      </c>
      <c r="W14" s="144" t="n">
        <f aca="false">SUM(M14:O14)</f>
        <v>120</v>
      </c>
      <c r="X14" s="144" t="n">
        <f aca="false">SUM(T14:W14)</f>
        <v>480</v>
      </c>
      <c r="Y14" s="132"/>
      <c r="Z14" s="132"/>
    </row>
    <row r="15" customFormat="false" ht="12.75" hidden="false" customHeight="false" outlineLevel="0" collapsed="false">
      <c r="A15" s="132" t="s">
        <v>128</v>
      </c>
      <c r="B15" s="124" t="n">
        <v>3.55</v>
      </c>
      <c r="C15" s="149" t="n">
        <f aca="false">ROUND(SUM(D15:O15),0)</f>
        <v>0</v>
      </c>
      <c r="D15" s="154" t="n">
        <f aca="false">PurchasesApr!$P$1</f>
        <v>0</v>
      </c>
      <c r="E15" s="154" t="n">
        <f aca="false">PurchasesMay!$P$1</f>
        <v>0</v>
      </c>
      <c r="F15" s="154" t="n">
        <f aca="false">PurchasesJun!$P$1</f>
        <v>0</v>
      </c>
      <c r="G15" s="154" t="n">
        <f aca="false">PurchasesJul!$P$1</f>
        <v>0</v>
      </c>
      <c r="H15" s="154" t="n">
        <f aca="false">PurchasesAug!$P$1</f>
        <v>0</v>
      </c>
      <c r="I15" s="154" t="n">
        <f aca="false">PurchasesSep!$P$1</f>
        <v>0</v>
      </c>
      <c r="J15" s="154" t="n">
        <f aca="false">PurchasesOct!$P$1</f>
        <v>0</v>
      </c>
      <c r="K15" s="154" t="n">
        <f aca="false">PurchasesNov!$P$1</f>
        <v>0</v>
      </c>
      <c r="L15" s="154" t="n">
        <f aca="false">PurchasesDec!$P$1</f>
        <v>0</v>
      </c>
      <c r="M15" s="154" t="n">
        <f aca="false">PurchasesJan!$P$1</f>
        <v>0</v>
      </c>
      <c r="N15" s="154" t="n">
        <f aca="false">PurchasesFeb!$P$1</f>
        <v>0</v>
      </c>
      <c r="O15" s="154" t="n">
        <f aca="false">PurchasesMar!$P$1</f>
        <v>0</v>
      </c>
      <c r="P15" s="132"/>
      <c r="R15" s="132"/>
      <c r="S15" s="132" t="s">
        <v>129</v>
      </c>
      <c r="T15" s="144" t="n">
        <f aca="false">SUM(D15:F15)</f>
        <v>0</v>
      </c>
      <c r="U15" s="144" t="n">
        <f aca="false">SUM(G15:I15)</f>
        <v>0</v>
      </c>
      <c r="V15" s="144" t="n">
        <f aca="false">SUM(J15:L15)</f>
        <v>0</v>
      </c>
      <c r="W15" s="144" t="n">
        <f aca="false">SUM(M15:O15)</f>
        <v>0</v>
      </c>
      <c r="X15" s="144" t="n">
        <f aca="false">SUM(T15:W15)</f>
        <v>0</v>
      </c>
      <c r="Y15" s="132"/>
      <c r="Z15" s="132"/>
    </row>
    <row r="16" customFormat="false" ht="12.75" hidden="false" customHeight="false" outlineLevel="0" collapsed="false">
      <c r="A16" s="132" t="s">
        <v>130</v>
      </c>
      <c r="B16" s="124" t="n">
        <v>3.56</v>
      </c>
      <c r="C16" s="149" t="n">
        <f aca="false">ROUND(SUM(D16:O16),0)</f>
        <v>0</v>
      </c>
      <c r="D16" s="154" t="n">
        <f aca="false">PurchasesApr!$Q$1</f>
        <v>0</v>
      </c>
      <c r="E16" s="154" t="n">
        <f aca="false">PurchasesMay!$Q$1</f>
        <v>0</v>
      </c>
      <c r="F16" s="154" t="n">
        <f aca="false">PurchasesJun!$Q$1</f>
        <v>0</v>
      </c>
      <c r="G16" s="154" t="n">
        <f aca="false">PurchasesJul!$Q$1</f>
        <v>0</v>
      </c>
      <c r="H16" s="154" t="n">
        <f aca="false">PurchasesAug!$Q$1</f>
        <v>0</v>
      </c>
      <c r="I16" s="154" t="n">
        <f aca="false">PurchasesSep!$Q$1</f>
        <v>0</v>
      </c>
      <c r="J16" s="154" t="n">
        <f aca="false">PurchasesOct!$Q$1</f>
        <v>0</v>
      </c>
      <c r="K16" s="154" t="n">
        <f aca="false">PurchasesNov!$Q$1</f>
        <v>0</v>
      </c>
      <c r="L16" s="154" t="n">
        <f aca="false">PurchasesDec!$Q$1</f>
        <v>0</v>
      </c>
      <c r="M16" s="154" t="n">
        <f aca="false">PurchasesJan!$Q$1</f>
        <v>0</v>
      </c>
      <c r="N16" s="154" t="n">
        <f aca="false">PurchasesFeb!$Q$1</f>
        <v>0</v>
      </c>
      <c r="O16" s="154" t="n">
        <f aca="false">PurchasesMar!$Q$1</f>
        <v>0</v>
      </c>
      <c r="P16" s="132"/>
      <c r="R16" s="132"/>
      <c r="S16" s="132" t="s">
        <v>131</v>
      </c>
      <c r="T16" s="144" t="n">
        <f aca="false">SUM(D16:F16)</f>
        <v>0</v>
      </c>
      <c r="U16" s="144" t="n">
        <f aca="false">SUM(G16:I16)</f>
        <v>0</v>
      </c>
      <c r="V16" s="144" t="n">
        <f aca="false">SUM(J16:L16)</f>
        <v>0</v>
      </c>
      <c r="W16" s="144" t="n">
        <f aca="false">SUM(M16:O16)</f>
        <v>0</v>
      </c>
      <c r="X16" s="144" t="n">
        <f aca="false">SUM(T16:W16)</f>
        <v>0</v>
      </c>
      <c r="Y16" s="132"/>
      <c r="Z16" s="132"/>
    </row>
    <row r="17" customFormat="false" ht="12.75" hidden="false" customHeight="false" outlineLevel="0" collapsed="false">
      <c r="A17" s="132" t="s">
        <v>132</v>
      </c>
      <c r="B17" s="124" t="n">
        <v>3.57</v>
      </c>
      <c r="C17" s="149" t="n">
        <f aca="false">ROUND(SUM(D17:O17),0)</f>
        <v>0</v>
      </c>
      <c r="D17" s="154" t="n">
        <f aca="false">PurchasesApr!$R$1</f>
        <v>0</v>
      </c>
      <c r="E17" s="154" t="n">
        <f aca="false">PurchasesMay!$R$1</f>
        <v>0</v>
      </c>
      <c r="F17" s="154" t="n">
        <f aca="false">PurchasesJun!$R$1</f>
        <v>0</v>
      </c>
      <c r="G17" s="154" t="n">
        <f aca="false">PurchasesJul!$R$1</f>
        <v>0</v>
      </c>
      <c r="H17" s="154" t="n">
        <f aca="false">PurchasesAug!$R$1</f>
        <v>0</v>
      </c>
      <c r="I17" s="154" t="n">
        <f aca="false">PurchasesSep!$R$1</f>
        <v>0</v>
      </c>
      <c r="J17" s="154" t="n">
        <f aca="false">PurchasesOct!$R$1</f>
        <v>0</v>
      </c>
      <c r="K17" s="154" t="n">
        <f aca="false">PurchasesNov!$R$1</f>
        <v>0</v>
      </c>
      <c r="L17" s="154" t="n">
        <f aca="false">PurchasesDec!$R$1</f>
        <v>0</v>
      </c>
      <c r="M17" s="154" t="n">
        <f aca="false">PurchasesJan!$R$1</f>
        <v>0</v>
      </c>
      <c r="N17" s="154" t="n">
        <f aca="false">PurchasesFeb!$R$1</f>
        <v>0</v>
      </c>
      <c r="O17" s="154" t="n">
        <f aca="false">PurchasesMar!$R$1</f>
        <v>0</v>
      </c>
      <c r="P17" s="132"/>
      <c r="R17" s="132"/>
      <c r="S17" s="132" t="s">
        <v>133</v>
      </c>
      <c r="T17" s="144" t="n">
        <f aca="false">SUM(D17:F17)</f>
        <v>0</v>
      </c>
      <c r="U17" s="144" t="n">
        <f aca="false">SUM(G17:I17)</f>
        <v>0</v>
      </c>
      <c r="V17" s="144" t="n">
        <f aca="false">SUM(J17:L17)</f>
        <v>0</v>
      </c>
      <c r="W17" s="144" t="n">
        <f aca="false">SUM(M17:O17)</f>
        <v>0</v>
      </c>
      <c r="X17" s="144" t="n">
        <f aca="false">SUM(T17:W17)</f>
        <v>0</v>
      </c>
      <c r="Y17" s="132"/>
      <c r="Z17" s="132"/>
    </row>
    <row r="18" customFormat="false" ht="12.75" hidden="false" customHeight="false" outlineLevel="0" collapsed="false">
      <c r="A18" s="132" t="s">
        <v>134</v>
      </c>
      <c r="B18" s="124" t="n">
        <v>3.58</v>
      </c>
      <c r="C18" s="149" t="n">
        <f aca="false">ROUND(SUM(D18:O18),0)</f>
        <v>850</v>
      </c>
      <c r="D18" s="154" t="n">
        <f aca="false">PurchasesApr!$S$1</f>
        <v>350</v>
      </c>
      <c r="E18" s="154" t="n">
        <f aca="false">PurchasesMay!$S$1</f>
        <v>0</v>
      </c>
      <c r="F18" s="154" t="n">
        <f aca="false">PurchasesJun!$S$1</f>
        <v>0</v>
      </c>
      <c r="G18" s="154" t="n">
        <f aca="false">PurchasesJul!$S$1</f>
        <v>0</v>
      </c>
      <c r="H18" s="154" t="n">
        <f aca="false">PurchasesAug!$S$1</f>
        <v>0</v>
      </c>
      <c r="I18" s="154" t="n">
        <f aca="false">PurchasesSep!$S$1</f>
        <v>0</v>
      </c>
      <c r="J18" s="154" t="n">
        <f aca="false">PurchasesOct!$S$1</f>
        <v>0</v>
      </c>
      <c r="K18" s="154" t="n">
        <f aca="false">PurchasesNov!$S$1</f>
        <v>0</v>
      </c>
      <c r="L18" s="154" t="n">
        <f aca="false">PurchasesDec!$S$1</f>
        <v>0</v>
      </c>
      <c r="M18" s="154" t="n">
        <f aca="false">PurchasesJan!$S$1</f>
        <v>500</v>
      </c>
      <c r="N18" s="154" t="n">
        <f aca="false">PurchasesFeb!$S$1</f>
        <v>0</v>
      </c>
      <c r="O18" s="154" t="n">
        <f aca="false">PurchasesMar!$S$1</f>
        <v>0</v>
      </c>
      <c r="P18" s="132"/>
      <c r="R18" s="132"/>
      <c r="S18" s="132" t="s">
        <v>135</v>
      </c>
      <c r="T18" s="144" t="n">
        <f aca="false">SUM(D18:F18)</f>
        <v>350</v>
      </c>
      <c r="U18" s="144" t="n">
        <f aca="false">SUM(G18:I18)</f>
        <v>0</v>
      </c>
      <c r="V18" s="144" t="n">
        <f aca="false">SUM(J18:L18)</f>
        <v>0</v>
      </c>
      <c r="W18" s="144" t="n">
        <f aca="false">SUM(M18:O18)</f>
        <v>500</v>
      </c>
      <c r="X18" s="144" t="n">
        <f aca="false">SUM(T18:W18)</f>
        <v>850</v>
      </c>
      <c r="Y18" s="132"/>
      <c r="Z18" s="132"/>
    </row>
    <row r="19" customFormat="false" ht="12.75" hidden="false" customHeight="false" outlineLevel="0" collapsed="false">
      <c r="A19" s="132" t="s">
        <v>136</v>
      </c>
      <c r="B19" s="124" t="n">
        <v>3.59</v>
      </c>
      <c r="C19" s="149" t="n">
        <f aca="false">ROUND(SUM(D19:O19),0)</f>
        <v>0</v>
      </c>
      <c r="D19" s="154" t="n">
        <f aca="false">PurchasesApr!$T$1</f>
        <v>0</v>
      </c>
      <c r="E19" s="154" t="n">
        <f aca="false">PurchasesMay!$T$1</f>
        <v>0</v>
      </c>
      <c r="F19" s="154" t="n">
        <f aca="false">PurchasesJun!$T$1</f>
        <v>0</v>
      </c>
      <c r="G19" s="154" t="n">
        <f aca="false">PurchasesJul!$T$1</f>
        <v>0</v>
      </c>
      <c r="H19" s="154" t="n">
        <f aca="false">PurchasesAug!$T$1</f>
        <v>0</v>
      </c>
      <c r="I19" s="154" t="n">
        <f aca="false">PurchasesSep!$T$1</f>
        <v>0</v>
      </c>
      <c r="J19" s="154" t="n">
        <f aca="false">PurchasesOct!$T$1</f>
        <v>0</v>
      </c>
      <c r="K19" s="154" t="n">
        <f aca="false">PurchasesNov!$T$1</f>
        <v>0</v>
      </c>
      <c r="L19" s="154" t="n">
        <f aca="false">PurchasesDec!$T$1</f>
        <v>0</v>
      </c>
      <c r="M19" s="154" t="n">
        <f aca="false">PurchasesJan!$T$1</f>
        <v>0</v>
      </c>
      <c r="N19" s="154" t="n">
        <f aca="false">PurchasesFeb!$T$1</f>
        <v>0</v>
      </c>
      <c r="O19" s="154" t="n">
        <f aca="false">PurchasesMar!$T$1</f>
        <v>0</v>
      </c>
      <c r="P19" s="132"/>
      <c r="R19" s="132"/>
      <c r="S19" s="132" t="s">
        <v>137</v>
      </c>
      <c r="T19" s="144" t="n">
        <f aca="false">SUM(D19:F19)</f>
        <v>0</v>
      </c>
      <c r="U19" s="144" t="n">
        <f aca="false">SUM(G19:I19)</f>
        <v>0</v>
      </c>
      <c r="V19" s="144" t="n">
        <f aca="false">SUM(J19:L19)</f>
        <v>0</v>
      </c>
      <c r="W19" s="144" t="n">
        <f aca="false">SUM(M19:O19)</f>
        <v>0</v>
      </c>
      <c r="X19" s="144" t="n">
        <f aca="false">SUM(T19:W19)</f>
        <v>0</v>
      </c>
      <c r="Y19" s="132"/>
      <c r="Z19" s="132"/>
    </row>
    <row r="20" customFormat="false" ht="12.75" hidden="false" customHeight="false" outlineLevel="0" collapsed="false">
      <c r="A20" s="132" t="s">
        <v>138</v>
      </c>
      <c r="B20" s="124" t="n">
        <v>3.6</v>
      </c>
      <c r="C20" s="149" t="n">
        <f aca="false">ROUND(SUM(D20:O20),0)</f>
        <v>0</v>
      </c>
      <c r="D20" s="154" t="n">
        <f aca="false">PurchasesApr!$U$1</f>
        <v>0</v>
      </c>
      <c r="E20" s="154" t="n">
        <f aca="false">PurchasesMay!$U$1</f>
        <v>0</v>
      </c>
      <c r="F20" s="154" t="n">
        <f aca="false">PurchasesJun!$U$1</f>
        <v>0</v>
      </c>
      <c r="G20" s="154" t="n">
        <f aca="false">PurchasesJul!$U$1</f>
        <v>0</v>
      </c>
      <c r="H20" s="154" t="n">
        <f aca="false">PurchasesAug!$U$1</f>
        <v>0</v>
      </c>
      <c r="I20" s="154" t="n">
        <f aca="false">PurchasesSep!$U$1</f>
        <v>0</v>
      </c>
      <c r="J20" s="154" t="n">
        <f aca="false">PurchasesOct!$U$1</f>
        <v>0</v>
      </c>
      <c r="K20" s="154" t="n">
        <f aca="false">PurchasesNov!$U$1</f>
        <v>0</v>
      </c>
      <c r="L20" s="154" t="n">
        <f aca="false">PurchasesDec!$U$1</f>
        <v>0</v>
      </c>
      <c r="M20" s="154" t="n">
        <f aca="false">PurchasesJan!$U$1</f>
        <v>0</v>
      </c>
      <c r="N20" s="154" t="n">
        <f aca="false">PurchasesFeb!$U$1</f>
        <v>0</v>
      </c>
      <c r="O20" s="154" t="n">
        <f aca="false">PurchasesMar!$U$1</f>
        <v>0</v>
      </c>
      <c r="P20" s="132"/>
      <c r="R20" s="132"/>
      <c r="S20" s="132" t="s">
        <v>139</v>
      </c>
      <c r="T20" s="144" t="n">
        <f aca="false">SUM(D20:F20)</f>
        <v>0</v>
      </c>
      <c r="U20" s="144" t="n">
        <f aca="false">SUM(G20:I20)</f>
        <v>0</v>
      </c>
      <c r="V20" s="144" t="n">
        <f aca="false">SUM(J20:L20)</f>
        <v>0</v>
      </c>
      <c r="W20" s="144" t="n">
        <f aca="false">SUM(M20:O20)</f>
        <v>0</v>
      </c>
      <c r="X20" s="144" t="n">
        <f aca="false">SUM(T20:W20)</f>
        <v>0</v>
      </c>
      <c r="Y20" s="132"/>
      <c r="Z20" s="132"/>
    </row>
    <row r="21" customFormat="false" ht="12.75" hidden="false" customHeight="false" outlineLevel="0" collapsed="false">
      <c r="A21" s="132" t="s">
        <v>140</v>
      </c>
      <c r="B21" s="124" t="n">
        <v>3.63</v>
      </c>
      <c r="C21" s="149" t="n">
        <f aca="false">ROUND(SUM(D21:O21),0)</f>
        <v>0</v>
      </c>
      <c r="D21" s="154" t="n">
        <f aca="false">PurchasesApr!$V$1</f>
        <v>0</v>
      </c>
      <c r="E21" s="154" t="n">
        <f aca="false">PurchasesMay!$V$1</f>
        <v>0</v>
      </c>
      <c r="F21" s="154" t="n">
        <f aca="false">PurchasesJun!$V$1</f>
        <v>0</v>
      </c>
      <c r="G21" s="154" t="n">
        <f aca="false">PurchasesJul!$V$1</f>
        <v>0</v>
      </c>
      <c r="H21" s="154" t="n">
        <f aca="false">PurchasesAug!$V$1</f>
        <v>0</v>
      </c>
      <c r="I21" s="154" t="n">
        <f aca="false">PurchasesSep!$V$1</f>
        <v>0</v>
      </c>
      <c r="J21" s="154" t="n">
        <f aca="false">PurchasesOct!$V$1</f>
        <v>0</v>
      </c>
      <c r="K21" s="154" t="n">
        <f aca="false">PurchasesNov!$V$1</f>
        <v>0</v>
      </c>
      <c r="L21" s="154" t="n">
        <f aca="false">PurchasesDec!$V$1</f>
        <v>0</v>
      </c>
      <c r="M21" s="154" t="n">
        <f aca="false">PurchasesJan!$V$1</f>
        <v>0</v>
      </c>
      <c r="N21" s="154" t="n">
        <f aca="false">PurchasesFeb!$V$1</f>
        <v>0</v>
      </c>
      <c r="O21" s="154" t="n">
        <f aca="false">PurchasesMar!$V$1</f>
        <v>0</v>
      </c>
      <c r="P21" s="132"/>
      <c r="R21" s="132"/>
      <c r="S21" s="132" t="s">
        <v>141</v>
      </c>
      <c r="T21" s="144" t="n">
        <f aca="false">SUM(D21:F21)</f>
        <v>0</v>
      </c>
      <c r="U21" s="144" t="n">
        <f aca="false">SUM(G21:I21)</f>
        <v>0</v>
      </c>
      <c r="V21" s="144" t="n">
        <f aca="false">SUM(J21:L21)</f>
        <v>0</v>
      </c>
      <c r="W21" s="144" t="n">
        <f aca="false">SUM(M21:O21)</f>
        <v>0</v>
      </c>
      <c r="X21" s="144" t="n">
        <f aca="false">SUM(T21:W21)</f>
        <v>0</v>
      </c>
      <c r="Y21" s="132"/>
      <c r="Z21" s="132"/>
    </row>
    <row r="22" customFormat="false" ht="12.75" hidden="false" customHeight="false" outlineLevel="0" collapsed="false">
      <c r="A22" s="152" t="s">
        <v>142</v>
      </c>
      <c r="B22" s="153" t="n">
        <v>3.64</v>
      </c>
      <c r="C22" s="157" t="n">
        <f aca="false">SUM(C11:C21)</f>
        <v>6130</v>
      </c>
      <c r="D22" s="158" t="n">
        <f aca="false">SUM(D11:D21)</f>
        <v>870</v>
      </c>
      <c r="E22" s="158" t="n">
        <f aca="false">SUM(E11:E21)</f>
        <v>400</v>
      </c>
      <c r="F22" s="158" t="n">
        <f aca="false">SUM(F11:F21)</f>
        <v>400</v>
      </c>
      <c r="G22" s="158" t="n">
        <f aca="false">SUM(G11:G21)</f>
        <v>520</v>
      </c>
      <c r="H22" s="158" t="n">
        <f aca="false">SUM(H11:H21)</f>
        <v>400</v>
      </c>
      <c r="I22" s="158" t="n">
        <f aca="false">SUM(I11:I21)</f>
        <v>400</v>
      </c>
      <c r="J22" s="158" t="n">
        <f aca="false">SUM(J11:J21)</f>
        <v>520</v>
      </c>
      <c r="K22" s="158" t="n">
        <f aca="false">SUM(K11:K21)</f>
        <v>400</v>
      </c>
      <c r="L22" s="158" t="n">
        <f aca="false">SUM(L11:L21)</f>
        <v>400</v>
      </c>
      <c r="M22" s="158" t="n">
        <f aca="false">SUM(M11:M21)</f>
        <v>1020</v>
      </c>
      <c r="N22" s="158" t="n">
        <f aca="false">SUM(N11:N21)</f>
        <v>400</v>
      </c>
      <c r="O22" s="158" t="n">
        <f aca="false">SUM(O11:O21)</f>
        <v>400</v>
      </c>
      <c r="P22" s="132"/>
      <c r="R22" s="132"/>
      <c r="S22" s="132"/>
      <c r="T22" s="132"/>
      <c r="U22" s="132"/>
      <c r="V22" s="132"/>
      <c r="W22" s="132"/>
      <c r="X22" s="132"/>
      <c r="Y22" s="132"/>
      <c r="Z22" s="132"/>
    </row>
    <row r="23" customFormat="false" ht="13.5" hidden="false" customHeight="true" outlineLevel="0" collapsed="false">
      <c r="A23" s="156"/>
      <c r="C23" s="159"/>
      <c r="D23" s="159"/>
      <c r="E23" s="159"/>
      <c r="F23" s="159"/>
      <c r="G23" s="159"/>
      <c r="H23" s="159"/>
      <c r="I23" s="159"/>
      <c r="J23" s="159"/>
      <c r="K23" s="159"/>
      <c r="L23" s="159"/>
      <c r="M23" s="159"/>
      <c r="N23" s="159"/>
      <c r="O23" s="159"/>
      <c r="P23" s="132"/>
      <c r="R23" s="132"/>
      <c r="S23" s="132" t="s">
        <v>143</v>
      </c>
      <c r="T23" s="144" t="n">
        <v>0</v>
      </c>
      <c r="U23" s="144" t="n">
        <v>0</v>
      </c>
      <c r="V23" s="144" t="n">
        <v>0</v>
      </c>
      <c r="W23" s="144" t="n">
        <v>0</v>
      </c>
      <c r="X23" s="144" t="n">
        <f aca="false">SUM(T23:W23)</f>
        <v>0</v>
      </c>
      <c r="Y23" s="132" t="s">
        <v>144</v>
      </c>
      <c r="Z23" s="132"/>
    </row>
    <row r="24" customFormat="false" ht="12.75" hidden="false" customHeight="false" outlineLevel="0" collapsed="false">
      <c r="A24" s="152" t="s">
        <v>145</v>
      </c>
      <c r="B24" s="124" t="n">
        <v>3.65</v>
      </c>
      <c r="C24" s="142" t="n">
        <f aca="false">ROUND((C9-C22),0)</f>
        <v>29870</v>
      </c>
      <c r="D24" s="160" t="n">
        <f aca="false">D9-D22</f>
        <v>2130</v>
      </c>
      <c r="E24" s="160" t="n">
        <f aca="false">E9-E22</f>
        <v>2600</v>
      </c>
      <c r="F24" s="160" t="n">
        <f aca="false">F9-F22</f>
        <v>2600</v>
      </c>
      <c r="G24" s="160" t="n">
        <f aca="false">G9-G22</f>
        <v>2480</v>
      </c>
      <c r="H24" s="160" t="n">
        <f aca="false">H9-H22</f>
        <v>2600</v>
      </c>
      <c r="I24" s="160" t="n">
        <f aca="false">I9-I22</f>
        <v>2600</v>
      </c>
      <c r="J24" s="160" t="n">
        <f aca="false">J9-J22</f>
        <v>2480</v>
      </c>
      <c r="K24" s="160" t="n">
        <f aca="false">K9-K22</f>
        <v>2600</v>
      </c>
      <c r="L24" s="160" t="n">
        <f aca="false">L9-L22</f>
        <v>2600</v>
      </c>
      <c r="M24" s="160" t="n">
        <f aca="false">M9-M22</f>
        <v>1980</v>
      </c>
      <c r="N24" s="160" t="n">
        <f aca="false">N9-N22</f>
        <v>2600</v>
      </c>
      <c r="O24" s="160" t="n">
        <f aca="false">O9-O22</f>
        <v>2600</v>
      </c>
      <c r="P24" s="132"/>
      <c r="R24" s="132"/>
      <c r="S24" s="132" t="s">
        <v>146</v>
      </c>
      <c r="T24" s="144" t="n">
        <v>0</v>
      </c>
      <c r="U24" s="144" t="n">
        <v>0</v>
      </c>
      <c r="V24" s="144" t="n">
        <v>0</v>
      </c>
      <c r="W24" s="144" t="n">
        <v>0</v>
      </c>
      <c r="X24" s="144" t="n">
        <f aca="false">SUM(T24:W24)</f>
        <v>0</v>
      </c>
      <c r="Y24" s="132" t="s">
        <v>144</v>
      </c>
      <c r="Z24" s="132"/>
    </row>
    <row r="25" customFormat="false" ht="13.5" hidden="false" customHeight="true" outlineLevel="0" collapsed="false">
      <c r="A25" s="156"/>
      <c r="B25" s="161"/>
      <c r="C25" s="147"/>
      <c r="D25" s="147"/>
      <c r="E25" s="147"/>
      <c r="F25" s="147"/>
      <c r="G25" s="147"/>
      <c r="H25" s="147"/>
      <c r="I25" s="147"/>
      <c r="J25" s="147"/>
      <c r="K25" s="147"/>
      <c r="L25" s="147"/>
      <c r="M25" s="147"/>
      <c r="N25" s="147"/>
      <c r="O25" s="147"/>
      <c r="P25" s="132"/>
      <c r="R25" s="132"/>
      <c r="S25" s="132" t="s">
        <v>147</v>
      </c>
      <c r="T25" s="144" t="n">
        <v>0</v>
      </c>
      <c r="U25" s="144" t="n">
        <v>0</v>
      </c>
      <c r="V25" s="144" t="n">
        <v>0</v>
      </c>
      <c r="W25" s="144" t="n">
        <v>0</v>
      </c>
      <c r="X25" s="144" t="n">
        <f aca="false">SUM(T25:W25)</f>
        <v>0</v>
      </c>
      <c r="Y25" s="132" t="s">
        <v>144</v>
      </c>
      <c r="Z25" s="132"/>
    </row>
    <row r="26" customFormat="false" ht="12.75" hidden="false" customHeight="false" outlineLevel="0" collapsed="false">
      <c r="A26" s="156" t="s">
        <v>148</v>
      </c>
      <c r="B26" s="161"/>
      <c r="C26" s="149" t="n">
        <f aca="false">-'SE Short'!O85+'SE Short'!D80+'SE Short'!D85+'SE Short'!O80</f>
        <v>0</v>
      </c>
      <c r="D26" s="147"/>
      <c r="E26" s="147"/>
      <c r="F26" s="147"/>
      <c r="G26" s="147"/>
      <c r="H26" s="147"/>
      <c r="I26" s="147"/>
      <c r="J26" s="147"/>
      <c r="K26" s="147"/>
      <c r="L26" s="147"/>
      <c r="M26" s="147"/>
      <c r="N26" s="147"/>
      <c r="O26" s="147"/>
      <c r="P26" s="132"/>
      <c r="R26" s="132"/>
      <c r="S26" s="132"/>
      <c r="T26" s="132"/>
      <c r="U26" s="132"/>
      <c r="V26" s="132"/>
      <c r="W26" s="132"/>
      <c r="X26" s="132"/>
      <c r="Y26" s="132"/>
      <c r="Z26" s="132"/>
    </row>
    <row r="27" customFormat="false" ht="6" hidden="false" customHeight="true" outlineLevel="0" collapsed="false">
      <c r="A27" s="156"/>
      <c r="B27" s="161"/>
      <c r="C27" s="147"/>
      <c r="D27" s="147"/>
      <c r="E27" s="147"/>
      <c r="F27" s="147"/>
      <c r="G27" s="147"/>
      <c r="H27" s="147"/>
      <c r="I27" s="147"/>
      <c r="J27" s="147"/>
      <c r="K27" s="147"/>
      <c r="L27" s="147"/>
      <c r="M27" s="147"/>
      <c r="N27" s="147"/>
      <c r="O27" s="147"/>
      <c r="P27" s="132"/>
      <c r="R27" s="132"/>
      <c r="S27" s="132"/>
      <c r="T27" s="132"/>
      <c r="U27" s="132"/>
      <c r="V27" s="132"/>
      <c r="W27" s="132"/>
      <c r="X27" s="132"/>
      <c r="Y27" s="132"/>
      <c r="Z27" s="132"/>
    </row>
    <row r="28" customFormat="false" ht="12.75" hidden="false" customHeight="false" outlineLevel="0" collapsed="false">
      <c r="A28" s="162" t="s">
        <v>149</v>
      </c>
      <c r="B28" s="161"/>
      <c r="C28" s="163" t="n">
        <f aca="false">C24-C26</f>
        <v>29870</v>
      </c>
      <c r="D28" s="147"/>
      <c r="E28" s="147"/>
      <c r="F28" s="147"/>
      <c r="G28" s="147"/>
      <c r="H28" s="147"/>
      <c r="I28" s="147"/>
      <c r="J28" s="147"/>
      <c r="K28" s="147"/>
      <c r="L28" s="147"/>
      <c r="M28" s="147"/>
      <c r="N28" s="147"/>
      <c r="O28" s="147"/>
      <c r="P28" s="132"/>
      <c r="R28" s="132"/>
      <c r="S28" s="155" t="s">
        <v>150</v>
      </c>
      <c r="T28" s="164" t="n">
        <f aca="false">SUM(T6,T11,T12,T13,T14,T15,T16,T17,T18,T19,T20,T21,T23,T24,T25)</f>
        <v>1670</v>
      </c>
      <c r="U28" s="164" t="n">
        <f aca="false">SUM(U6,U11,U12,U13,U14,U15,U16,U17,U18,U19,U20,U21,U23,U24,U25)</f>
        <v>1320</v>
      </c>
      <c r="V28" s="164" t="n">
        <f aca="false">SUM(V6,V11,V12,V13,V14,V15,V16,V17,V18,V19,V20,V21,V23,V24,V25)</f>
        <v>1320</v>
      </c>
      <c r="W28" s="164" t="n">
        <f aca="false">SUM(W6,W11,W12,W13,W14,W15,W16,W17,W18,W19,W20,W21,W23,W24,W25)</f>
        <v>1820</v>
      </c>
      <c r="X28" s="164" t="n">
        <f aca="false">SUM(X6,X11,X12,X13,X14,X15,X16,X17,X18,X19,X20,X21,X23,X24,X25)</f>
        <v>6130</v>
      </c>
      <c r="Y28" s="165"/>
      <c r="Z28" s="132"/>
    </row>
    <row r="29" customFormat="false" ht="6" hidden="false" customHeight="true" outlineLevel="0" collapsed="false">
      <c r="A29" s="156"/>
      <c r="B29" s="161"/>
      <c r="C29" s="147"/>
      <c r="D29" s="147"/>
      <c r="E29" s="147"/>
      <c r="F29" s="147"/>
      <c r="G29" s="147"/>
      <c r="H29" s="147"/>
      <c r="I29" s="147"/>
      <c r="J29" s="147"/>
      <c r="K29" s="147"/>
      <c r="L29" s="147"/>
      <c r="M29" s="147"/>
      <c r="N29" s="147"/>
      <c r="O29" s="147"/>
      <c r="P29" s="132"/>
      <c r="R29" s="132"/>
      <c r="S29" s="132"/>
      <c r="T29" s="132"/>
      <c r="U29" s="132"/>
      <c r="V29" s="132"/>
      <c r="W29" s="132"/>
      <c r="X29" s="132"/>
      <c r="Y29" s="132"/>
      <c r="Z29" s="132"/>
    </row>
    <row r="30" customFormat="false" ht="12.75" hidden="false" customHeight="false" outlineLevel="0" collapsed="false">
      <c r="A30" s="166" t="s">
        <v>151</v>
      </c>
      <c r="C30" s="149" t="n">
        <f aca="false">ROUND(SUM(D30:O30),0)</f>
        <v>0</v>
      </c>
      <c r="D30" s="149" t="n">
        <f aca="false">SalesApr!$G$1</f>
        <v>0</v>
      </c>
      <c r="E30" s="149" t="n">
        <f aca="false">SalesMay!$G$1</f>
        <v>0</v>
      </c>
      <c r="F30" s="149" t="n">
        <f aca="false">SalesJun!$G$1</f>
        <v>0</v>
      </c>
      <c r="G30" s="149" t="n">
        <f aca="false">SalesJul!$G$1</f>
        <v>0</v>
      </c>
      <c r="H30" s="149" t="n">
        <f aca="false">SalesAug!$G$1</f>
        <v>0</v>
      </c>
      <c r="I30" s="149" t="n">
        <f aca="false">SalesSep!$G$1</f>
        <v>0</v>
      </c>
      <c r="J30" s="149" t="n">
        <f aca="false">SalesOct!$G$1</f>
        <v>0</v>
      </c>
      <c r="K30" s="149" t="n">
        <f aca="false">SalesNov!$G$1</f>
        <v>0</v>
      </c>
      <c r="L30" s="149" t="n">
        <f aca="false">SalesDec!$G$1</f>
        <v>0</v>
      </c>
      <c r="M30" s="149" t="n">
        <f aca="false">SalesJan!$G$1</f>
        <v>0</v>
      </c>
      <c r="N30" s="149" t="n">
        <f aca="false">SalesFeb!$G$1</f>
        <v>0</v>
      </c>
      <c r="O30" s="149" t="n">
        <f aca="false">SalesMar!$G$1</f>
        <v>0</v>
      </c>
      <c r="P30" s="132"/>
      <c r="R30" s="132"/>
      <c r="S30" s="132"/>
      <c r="T30" s="132"/>
      <c r="U30" s="132"/>
      <c r="V30" s="132"/>
      <c r="W30" s="132"/>
      <c r="X30" s="132"/>
      <c r="Y30" s="132"/>
      <c r="Z30" s="132"/>
    </row>
    <row r="31" customFormat="false" ht="6" hidden="false" customHeight="true" outlineLevel="0" collapsed="false">
      <c r="A31" s="166"/>
      <c r="B31" s="161"/>
      <c r="C31" s="147"/>
      <c r="D31" s="147"/>
      <c r="E31" s="147"/>
      <c r="F31" s="147"/>
      <c r="G31" s="147"/>
      <c r="H31" s="147"/>
      <c r="I31" s="147"/>
      <c r="J31" s="147"/>
      <c r="K31" s="147"/>
      <c r="L31" s="147"/>
      <c r="M31" s="147"/>
      <c r="N31" s="147"/>
      <c r="O31" s="147"/>
      <c r="P31" s="132"/>
      <c r="R31" s="132"/>
      <c r="S31" s="132"/>
      <c r="T31" s="132"/>
      <c r="U31" s="132"/>
      <c r="V31" s="132"/>
      <c r="W31" s="132"/>
      <c r="X31" s="132"/>
      <c r="Y31" s="132"/>
      <c r="Z31" s="132"/>
    </row>
    <row r="32" customFormat="false" ht="12.75" hidden="false" customHeight="false" outlineLevel="0" collapsed="false">
      <c r="A32" s="132" t="s">
        <v>152</v>
      </c>
      <c r="C32" s="149" t="n">
        <f aca="false">'Income Tax'!E10-'Income Tax'!E11</f>
        <v>3460</v>
      </c>
      <c r="D32" s="147"/>
      <c r="E32" s="147"/>
      <c r="F32" s="147"/>
      <c r="G32" s="147"/>
      <c r="H32" s="147"/>
      <c r="I32" s="147"/>
      <c r="J32" s="147"/>
      <c r="K32" s="147"/>
      <c r="L32" s="147"/>
      <c r="M32" s="147"/>
      <c r="N32" s="147"/>
      <c r="O32" s="147"/>
      <c r="P32" s="132"/>
      <c r="R32" s="132"/>
      <c r="S32" s="132"/>
      <c r="T32" s="132"/>
      <c r="U32" s="132"/>
      <c r="V32" s="132"/>
      <c r="W32" s="132"/>
      <c r="X32" s="132"/>
      <c r="Y32" s="132"/>
      <c r="Z32" s="132"/>
    </row>
    <row r="33" customFormat="false" ht="12.75" hidden="false" customHeight="false" outlineLevel="0" collapsed="false">
      <c r="A33" s="132" t="s">
        <v>153</v>
      </c>
      <c r="C33" s="149" t="n">
        <f aca="false">'Income Tax'!E15+'Income Tax'!E16</f>
        <v>1747.7026</v>
      </c>
      <c r="D33" s="147"/>
      <c r="E33" s="147"/>
      <c r="F33" s="147"/>
      <c r="G33" s="147"/>
      <c r="H33" s="147"/>
      <c r="I33" s="147"/>
      <c r="J33" s="147"/>
      <c r="K33" s="147"/>
      <c r="L33" s="147"/>
      <c r="M33" s="147"/>
      <c r="N33" s="147"/>
      <c r="O33" s="147"/>
      <c r="P33" s="132"/>
      <c r="R33" s="132"/>
      <c r="S33" s="155" t="s">
        <v>154</v>
      </c>
      <c r="T33" s="132"/>
      <c r="U33" s="132"/>
      <c r="V33" s="132"/>
      <c r="W33" s="132"/>
      <c r="X33" s="132"/>
      <c r="Y33" s="132"/>
      <c r="Z33" s="132"/>
    </row>
    <row r="34" customFormat="false" ht="6" hidden="false" customHeight="true" outlineLevel="0" collapsed="false">
      <c r="A34" s="132"/>
      <c r="C34" s="147"/>
      <c r="D34" s="147"/>
      <c r="E34" s="147"/>
      <c r="F34" s="147"/>
      <c r="G34" s="147"/>
      <c r="H34" s="147"/>
      <c r="I34" s="147"/>
      <c r="J34" s="147"/>
      <c r="K34" s="147"/>
      <c r="L34" s="147"/>
      <c r="M34" s="147"/>
      <c r="N34" s="147"/>
      <c r="O34" s="147"/>
      <c r="P34" s="132"/>
      <c r="R34" s="132"/>
      <c r="S34" s="132"/>
      <c r="T34" s="132"/>
      <c r="U34" s="132"/>
      <c r="V34" s="132"/>
      <c r="W34" s="132"/>
      <c r="X34" s="132"/>
      <c r="Y34" s="132"/>
      <c r="Z34" s="132"/>
    </row>
    <row r="35" customFormat="false" ht="12.75" hidden="false" customHeight="false" outlineLevel="0" collapsed="false">
      <c r="A35" s="167" t="s">
        <v>155</v>
      </c>
      <c r="C35" s="163" t="n">
        <f aca="false">C28+C30-C32-C33</f>
        <v>24662.2974</v>
      </c>
      <c r="D35" s="147"/>
      <c r="E35" s="147"/>
      <c r="F35" s="147"/>
      <c r="G35" s="147"/>
      <c r="H35" s="147"/>
      <c r="I35" s="147"/>
      <c r="J35" s="147"/>
      <c r="K35" s="147"/>
      <c r="L35" s="147"/>
      <c r="M35" s="147"/>
      <c r="N35" s="147"/>
      <c r="O35" s="147"/>
      <c r="P35" s="132"/>
      <c r="R35" s="132"/>
      <c r="S35" s="132" t="s">
        <v>116</v>
      </c>
      <c r="T35" s="144" t="n">
        <v>0</v>
      </c>
      <c r="U35" s="144" t="n">
        <v>0</v>
      </c>
      <c r="V35" s="144" t="n">
        <v>0</v>
      </c>
      <c r="W35" s="144" t="n">
        <v>0</v>
      </c>
      <c r="X35" s="144" t="n">
        <f aca="false">SUM(T35:W35)</f>
        <v>0</v>
      </c>
      <c r="Y35" s="132" t="s">
        <v>144</v>
      </c>
      <c r="Z35" s="132"/>
    </row>
    <row r="36" customFormat="false" ht="13.5" hidden="false" customHeight="true" outlineLevel="0" collapsed="false">
      <c r="A36" s="132"/>
      <c r="C36" s="147"/>
      <c r="D36" s="147"/>
      <c r="E36" s="147"/>
      <c r="F36" s="147"/>
      <c r="G36" s="147"/>
      <c r="H36" s="147"/>
      <c r="I36" s="147"/>
      <c r="J36" s="147"/>
      <c r="K36" s="147"/>
      <c r="L36" s="147"/>
      <c r="M36" s="147"/>
      <c r="N36" s="147"/>
      <c r="O36" s="147"/>
      <c r="P36" s="132"/>
      <c r="R36" s="132"/>
      <c r="S36" s="132" t="s">
        <v>143</v>
      </c>
      <c r="T36" s="144" t="n">
        <v>0</v>
      </c>
      <c r="U36" s="144" t="n">
        <v>0</v>
      </c>
      <c r="V36" s="144" t="n">
        <v>0</v>
      </c>
      <c r="W36" s="144" t="n">
        <v>0</v>
      </c>
      <c r="X36" s="144" t="n">
        <f aca="false">SUM(T36:W36)</f>
        <v>0</v>
      </c>
      <c r="Y36" s="132" t="s">
        <v>144</v>
      </c>
      <c r="Z36" s="132"/>
    </row>
    <row r="37" customFormat="false" ht="12.75" hidden="false" customHeight="false" outlineLevel="0" collapsed="false">
      <c r="A37" s="132" t="s">
        <v>156</v>
      </c>
      <c r="C37" s="149" t="n">
        <f aca="false">ROUND(SUM(D37:O37),0)</f>
        <v>0</v>
      </c>
      <c r="D37" s="154"/>
      <c r="E37" s="154"/>
      <c r="F37" s="154"/>
      <c r="G37" s="154"/>
      <c r="H37" s="154"/>
      <c r="I37" s="154"/>
      <c r="J37" s="154"/>
      <c r="K37" s="154"/>
      <c r="L37" s="154"/>
      <c r="M37" s="154"/>
      <c r="N37" s="154"/>
      <c r="O37" s="154"/>
      <c r="P37" s="132"/>
      <c r="R37" s="132"/>
      <c r="S37" s="132" t="s">
        <v>121</v>
      </c>
      <c r="T37" s="144" t="n">
        <v>0</v>
      </c>
      <c r="U37" s="144" t="n">
        <v>0</v>
      </c>
      <c r="V37" s="144" t="n">
        <v>0</v>
      </c>
      <c r="W37" s="144" t="n">
        <v>0</v>
      </c>
      <c r="X37" s="144" t="n">
        <f aca="false">SUM(T37:W37)</f>
        <v>0</v>
      </c>
      <c r="Y37" s="132" t="s">
        <v>144</v>
      </c>
      <c r="Z37" s="132"/>
    </row>
    <row r="38" customFormat="false" ht="13.5" hidden="false" customHeight="true" outlineLevel="0" collapsed="false">
      <c r="A38" s="132"/>
      <c r="C38" s="148"/>
      <c r="D38" s="148"/>
      <c r="E38" s="148"/>
      <c r="F38" s="148"/>
      <c r="G38" s="148"/>
      <c r="H38" s="148"/>
      <c r="I38" s="148"/>
      <c r="J38" s="148"/>
      <c r="K38" s="148"/>
      <c r="L38" s="148"/>
      <c r="M38" s="148"/>
      <c r="N38" s="148"/>
      <c r="O38" s="148"/>
      <c r="P38" s="132"/>
      <c r="R38" s="132"/>
      <c r="S38" s="132" t="s">
        <v>157</v>
      </c>
      <c r="T38" s="144" t="n">
        <v>0</v>
      </c>
      <c r="U38" s="144" t="n">
        <v>0</v>
      </c>
      <c r="V38" s="144" t="n">
        <v>0</v>
      </c>
      <c r="W38" s="144" t="n">
        <v>0</v>
      </c>
      <c r="X38" s="144" t="n">
        <f aca="false">SUM(T38:W38)</f>
        <v>0</v>
      </c>
      <c r="Y38" s="132" t="s">
        <v>144</v>
      </c>
      <c r="Z38" s="132"/>
    </row>
    <row r="39" customFormat="false" ht="12.75" hidden="false" customHeight="false" outlineLevel="0" collapsed="false">
      <c r="R39" s="132"/>
      <c r="S39" s="132" t="s">
        <v>123</v>
      </c>
      <c r="T39" s="144" t="n">
        <v>0</v>
      </c>
      <c r="U39" s="144" t="n">
        <v>0</v>
      </c>
      <c r="V39" s="144" t="n">
        <v>0</v>
      </c>
      <c r="W39" s="144" t="n">
        <v>0</v>
      </c>
      <c r="X39" s="144" t="n">
        <f aca="false">SUM(T39:W39)</f>
        <v>0</v>
      </c>
      <c r="Y39" s="132" t="s">
        <v>144</v>
      </c>
      <c r="Z39" s="132"/>
    </row>
    <row r="40" customFormat="false" ht="12.75" hidden="false" customHeight="false" outlineLevel="0" collapsed="false">
      <c r="R40" s="132"/>
      <c r="S40" s="132" t="s">
        <v>125</v>
      </c>
      <c r="T40" s="144" t="n">
        <v>0</v>
      </c>
      <c r="U40" s="144" t="n">
        <v>0</v>
      </c>
      <c r="V40" s="144" t="n">
        <v>0</v>
      </c>
      <c r="W40" s="144" t="n">
        <v>0</v>
      </c>
      <c r="X40" s="144" t="n">
        <f aca="false">SUM(T40:W40)</f>
        <v>0</v>
      </c>
      <c r="Y40" s="132" t="s">
        <v>144</v>
      </c>
      <c r="Z40" s="132"/>
    </row>
    <row r="41" customFormat="false" ht="12.75" hidden="false" customHeight="false" outlineLevel="0" collapsed="false">
      <c r="R41" s="132"/>
      <c r="S41" s="132" t="s">
        <v>127</v>
      </c>
      <c r="T41" s="144" t="n">
        <v>0</v>
      </c>
      <c r="U41" s="144" t="n">
        <v>0</v>
      </c>
      <c r="V41" s="144" t="n">
        <v>0</v>
      </c>
      <c r="W41" s="144" t="n">
        <v>0</v>
      </c>
      <c r="X41" s="144" t="n">
        <f aca="false">SUM(T41:W41)</f>
        <v>0</v>
      </c>
      <c r="Y41" s="132" t="s">
        <v>144</v>
      </c>
      <c r="Z41" s="132"/>
    </row>
    <row r="42" customFormat="false" ht="12.75" hidden="false" customHeight="false" outlineLevel="0" collapsed="false">
      <c r="R42" s="132"/>
      <c r="S42" s="132" t="s">
        <v>133</v>
      </c>
      <c r="T42" s="144" t="n">
        <v>0</v>
      </c>
      <c r="U42" s="144" t="n">
        <v>0</v>
      </c>
      <c r="V42" s="144" t="n">
        <v>0</v>
      </c>
      <c r="W42" s="144" t="n">
        <v>0</v>
      </c>
      <c r="X42" s="144" t="n">
        <f aca="false">SUM(T42:W42)</f>
        <v>0</v>
      </c>
      <c r="Y42" s="132" t="s">
        <v>144</v>
      </c>
      <c r="Z42" s="132"/>
    </row>
    <row r="43" customFormat="false" ht="12.75" hidden="false" customHeight="false" outlineLevel="0" collapsed="false">
      <c r="R43" s="132"/>
      <c r="S43" s="132" t="s">
        <v>146</v>
      </c>
      <c r="T43" s="144" t="n">
        <v>0</v>
      </c>
      <c r="U43" s="144" t="n">
        <v>0</v>
      </c>
      <c r="V43" s="144" t="n">
        <v>0</v>
      </c>
      <c r="W43" s="144" t="n">
        <v>0</v>
      </c>
      <c r="X43" s="144" t="n">
        <f aca="false">SUM(T43:W43)</f>
        <v>0</v>
      </c>
      <c r="Y43" s="132" t="s">
        <v>144</v>
      </c>
      <c r="Z43" s="132"/>
    </row>
    <row r="44" customFormat="false" ht="12.75" hidden="false" customHeight="false" outlineLevel="0" collapsed="false">
      <c r="R44" s="132"/>
      <c r="S44" s="132" t="s">
        <v>139</v>
      </c>
      <c r="T44" s="144" t="n">
        <v>0</v>
      </c>
      <c r="U44" s="144" t="n">
        <v>0</v>
      </c>
      <c r="V44" s="144" t="n">
        <v>0</v>
      </c>
      <c r="W44" s="144" t="n">
        <v>0</v>
      </c>
      <c r="X44" s="144" t="n">
        <f aca="false">SUM(T44:W44)</f>
        <v>0</v>
      </c>
      <c r="Y44" s="132" t="s">
        <v>144</v>
      </c>
      <c r="Z44" s="132"/>
    </row>
    <row r="45" customFormat="false" ht="12.75" hidden="false" customHeight="false" outlineLevel="0" collapsed="false">
      <c r="R45" s="132"/>
      <c r="S45" s="132" t="s">
        <v>158</v>
      </c>
      <c r="T45" s="144" t="n">
        <v>0</v>
      </c>
      <c r="U45" s="144" t="n">
        <v>0</v>
      </c>
      <c r="V45" s="144" t="n">
        <v>0</v>
      </c>
      <c r="W45" s="144" t="n">
        <v>0</v>
      </c>
      <c r="X45" s="144" t="n">
        <f aca="false">SUM(T45:W45)</f>
        <v>0</v>
      </c>
      <c r="Y45" s="132" t="s">
        <v>144</v>
      </c>
      <c r="Z45" s="132"/>
    </row>
    <row r="46" customFormat="false" ht="12.75" hidden="false" customHeight="false" outlineLevel="0" collapsed="false">
      <c r="R46" s="132"/>
      <c r="S46" s="132" t="s">
        <v>159</v>
      </c>
      <c r="T46" s="144" t="n">
        <v>0</v>
      </c>
      <c r="U46" s="144" t="n">
        <v>0</v>
      </c>
      <c r="V46" s="144" t="n">
        <v>0</v>
      </c>
      <c r="W46" s="144" t="n">
        <v>0</v>
      </c>
      <c r="X46" s="144" t="n">
        <f aca="false">SUM(T46:W46)</f>
        <v>0</v>
      </c>
      <c r="Y46" s="132" t="s">
        <v>144</v>
      </c>
      <c r="Z46" s="132"/>
    </row>
    <row r="47" customFormat="false" ht="12.75" hidden="false" customHeight="false" outlineLevel="0" collapsed="false">
      <c r="R47" s="132"/>
      <c r="S47" s="132" t="s">
        <v>135</v>
      </c>
      <c r="T47" s="144" t="n">
        <v>0</v>
      </c>
      <c r="U47" s="144" t="n">
        <v>0</v>
      </c>
      <c r="V47" s="144" t="n">
        <v>0</v>
      </c>
      <c r="W47" s="144" t="n">
        <v>0</v>
      </c>
      <c r="X47" s="144" t="n">
        <f aca="false">SUM(T47:W47)</f>
        <v>0</v>
      </c>
      <c r="Y47" s="132" t="s">
        <v>144</v>
      </c>
      <c r="Z47" s="132"/>
    </row>
    <row r="48" customFormat="false" ht="12.75" hidden="false" customHeight="false" outlineLevel="0" collapsed="false">
      <c r="R48" s="132"/>
      <c r="S48" s="132" t="s">
        <v>147</v>
      </c>
      <c r="T48" s="144" t="n">
        <v>0</v>
      </c>
      <c r="U48" s="144" t="n">
        <v>0</v>
      </c>
      <c r="V48" s="144" t="n">
        <v>0</v>
      </c>
      <c r="W48" s="144" t="n">
        <v>0</v>
      </c>
      <c r="X48" s="144" t="n">
        <f aca="false">SUM(T48:W48)</f>
        <v>0</v>
      </c>
      <c r="Y48" s="132" t="s">
        <v>144</v>
      </c>
      <c r="Z48" s="132"/>
    </row>
    <row r="49" customFormat="false" ht="12.75" hidden="false" customHeight="false" outlineLevel="0" collapsed="false">
      <c r="R49" s="132"/>
      <c r="S49" s="132" t="s">
        <v>141</v>
      </c>
      <c r="T49" s="144" t="n">
        <v>0</v>
      </c>
      <c r="U49" s="144" t="n">
        <v>0</v>
      </c>
      <c r="V49" s="144" t="n">
        <v>0</v>
      </c>
      <c r="W49" s="144" t="n">
        <v>0</v>
      </c>
      <c r="X49" s="144" t="n">
        <f aca="false">SUM(T49:W49)</f>
        <v>0</v>
      </c>
      <c r="Y49" s="132" t="s">
        <v>144</v>
      </c>
      <c r="Z49" s="132"/>
    </row>
    <row r="50" customFormat="false" ht="12.75" hidden="false" customHeight="false" outlineLevel="0" collapsed="false">
      <c r="R50" s="132"/>
      <c r="S50" s="132"/>
      <c r="T50" s="132"/>
      <c r="U50" s="132"/>
      <c r="V50" s="132"/>
      <c r="W50" s="132"/>
      <c r="X50" s="132"/>
      <c r="Y50" s="132"/>
      <c r="Z50" s="132"/>
    </row>
    <row r="51" customFormat="false" ht="12.75" hidden="false" customHeight="false" outlineLevel="0" collapsed="false">
      <c r="R51" s="125"/>
    </row>
  </sheetData>
  <mergeCells count="20">
    <mergeCell ref="A1:A2"/>
    <mergeCell ref="D1:D2"/>
    <mergeCell ref="E1:E2"/>
    <mergeCell ref="F1:F2"/>
    <mergeCell ref="G1:G2"/>
    <mergeCell ref="H1:H2"/>
    <mergeCell ref="I1:I2"/>
    <mergeCell ref="J1:J2"/>
    <mergeCell ref="K1:K2"/>
    <mergeCell ref="L1:L2"/>
    <mergeCell ref="M1:M2"/>
    <mergeCell ref="N1:N2"/>
    <mergeCell ref="O1:O2"/>
    <mergeCell ref="S1:S2"/>
    <mergeCell ref="T1:T2"/>
    <mergeCell ref="U1:U2"/>
    <mergeCell ref="V1:V2"/>
    <mergeCell ref="W1:W2"/>
    <mergeCell ref="X1:X2"/>
    <mergeCell ref="Y1:Y2"/>
  </mergeCells>
  <printOptions headings="false" gridLines="true" gridLinesSet="true" horizontalCentered="false" verticalCentered="false"/>
  <pageMargins left="0.275694444444444" right="0.472222222222222" top="0.747916666666667" bottom="0.786805555555556" header="0.511811023622047" footer="0.354166666666667"/>
  <pageSetup paperSize="9" scale="100" fitToWidth="1" fitToHeight="1" pageOrder="downThenOver" orientation="landscape" blackAndWhite="false" draft="false" cellComments="none" horizontalDpi="300" verticalDpi="300" copies="1"/>
  <headerFooter differentFirst="false" differentOddEven="false">
    <oddHeader/>
    <oddFooter>&amp;L&amp;D  &amp;T&amp;C&amp;P  of  &amp;N&amp;R&amp;F  &amp;A</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123" width="2.66"/>
    <col collapsed="false" customWidth="true" hidden="false" outlineLevel="0" max="2" min="2" style="123" width="25.99"/>
    <col collapsed="false" customWidth="true" hidden="false" outlineLevel="0" max="3" min="3" style="123" width="11.32"/>
    <col collapsed="false" customWidth="true" hidden="false" outlineLevel="0" max="4" min="4" style="168" width="13.49"/>
    <col collapsed="false" customWidth="true" hidden="false" outlineLevel="0" max="5" min="5" style="169" width="12.66"/>
    <col collapsed="false" customWidth="true" hidden="false" outlineLevel="0" max="6" min="6" style="170" width="4.15"/>
    <col collapsed="false" customWidth="true" hidden="false" outlineLevel="0" max="7" min="7" style="125" width="2.66"/>
    <col collapsed="false" customWidth="false" hidden="false" outlineLevel="0" max="10" min="8" style="123" width="9.15"/>
    <col collapsed="false" customWidth="true" hidden="false" outlineLevel="0" max="11" min="11" style="123" width="10.32"/>
    <col collapsed="false" customWidth="false" hidden="false" outlineLevel="0" max="257" min="12" style="123" width="9.15"/>
  </cols>
  <sheetData>
    <row r="1" customFormat="false" ht="12.75" hidden="false" customHeight="false" outlineLevel="0" collapsed="false">
      <c r="A1" s="132"/>
      <c r="B1" s="132"/>
      <c r="C1" s="132"/>
      <c r="D1" s="171"/>
      <c r="E1" s="172"/>
      <c r="F1" s="173"/>
      <c r="G1" s="132"/>
    </row>
    <row r="2" customFormat="false" ht="18" hidden="false" customHeight="true" outlineLevel="0" collapsed="false">
      <c r="A2" s="132"/>
      <c r="B2" s="174" t="s">
        <v>160</v>
      </c>
      <c r="C2" s="175" t="str">
        <f aca="false">Admin!L2</f>
        <v>2022-23</v>
      </c>
      <c r="D2" s="176" t="s">
        <v>161</v>
      </c>
      <c r="E2" s="176"/>
      <c r="F2" s="176"/>
      <c r="G2" s="148"/>
    </row>
    <row r="3" customFormat="false" ht="18.75" hidden="false" customHeight="true" outlineLevel="0" collapsed="false">
      <c r="A3" s="132"/>
      <c r="B3" s="177"/>
      <c r="C3" s="177"/>
      <c r="D3" s="176"/>
      <c r="E3" s="176"/>
      <c r="F3" s="176"/>
      <c r="G3" s="148"/>
    </row>
    <row r="4" customFormat="false" ht="12.75" hidden="false" customHeight="false" outlineLevel="0" collapsed="false">
      <c r="A4" s="132"/>
      <c r="B4" s="178"/>
      <c r="C4" s="178"/>
      <c r="D4" s="161"/>
      <c r="E4" s="172"/>
      <c r="F4" s="173"/>
      <c r="G4" s="148"/>
    </row>
    <row r="5" customFormat="false" ht="12.75" hidden="false" customHeight="false" outlineLevel="0" collapsed="false">
      <c r="A5" s="132"/>
      <c r="B5" s="179" t="s">
        <v>162</v>
      </c>
      <c r="C5" s="179"/>
      <c r="D5" s="179"/>
      <c r="E5" s="180" t="n">
        <f aca="false">'SE Short'!D106</f>
        <v>29870</v>
      </c>
      <c r="F5" s="173"/>
      <c r="G5" s="148"/>
    </row>
    <row r="6" customFormat="false" ht="12.75" hidden="false" customHeight="false" outlineLevel="0" collapsed="false">
      <c r="A6" s="132"/>
      <c r="B6" s="178" t="s">
        <v>163</v>
      </c>
      <c r="C6" s="178" t="str">
        <f aca="false">C2</f>
        <v>2022-23</v>
      </c>
      <c r="D6" s="181"/>
      <c r="E6" s="148" t="n">
        <f aca="false">IF((E5&gt;0),Admin!N$4,0)</f>
        <v>12570</v>
      </c>
      <c r="F6" s="173"/>
      <c r="G6" s="148"/>
    </row>
    <row r="7" customFormat="false" ht="12.75" hidden="false" customHeight="false" outlineLevel="0" collapsed="false">
      <c r="A7" s="132"/>
      <c r="B7" s="179" t="s">
        <v>164</v>
      </c>
      <c r="C7" s="179"/>
      <c r="D7" s="179"/>
      <c r="E7" s="180" t="n">
        <f aca="false">IF((E5&gt;Admin!N4),(E5-E6),0)</f>
        <v>17300</v>
      </c>
      <c r="F7" s="173"/>
      <c r="G7" s="148"/>
    </row>
    <row r="8" customFormat="false" ht="12.75" hidden="false" customHeight="false" outlineLevel="0" collapsed="false">
      <c r="A8" s="132"/>
      <c r="B8" s="178" t="s">
        <v>165</v>
      </c>
      <c r="C8" s="182" t="n">
        <f aca="false">Admin!N12</f>
        <v>0</v>
      </c>
      <c r="D8" s="183" t="n">
        <f aca="false">Admin!N7</f>
        <v>0.2</v>
      </c>
      <c r="E8" s="172" t="n">
        <f aca="false">IF((E7&gt;0),(IF((E7&lt;C9),E7*D8,C9*D8)),0)</f>
        <v>3460</v>
      </c>
      <c r="F8" s="173"/>
      <c r="G8" s="148"/>
      <c r="H8" s="184"/>
    </row>
    <row r="9" customFormat="false" ht="12.75" hidden="false" customHeight="false" outlineLevel="0" collapsed="false">
      <c r="A9" s="132"/>
      <c r="B9" s="178" t="s">
        <v>166</v>
      </c>
      <c r="C9" s="182" t="n">
        <f aca="false">Admin!N13</f>
        <v>37701</v>
      </c>
      <c r="D9" s="183" t="n">
        <f aca="false">Admin!N8</f>
        <v>0.4</v>
      </c>
      <c r="E9" s="172" t="n">
        <f aca="false">IF((E7&gt;C9),((E7-C9)*D9),0)</f>
        <v>0</v>
      </c>
      <c r="F9" s="173"/>
      <c r="G9" s="148"/>
    </row>
    <row r="10" customFormat="false" ht="12.75" hidden="false" customHeight="false" outlineLevel="0" collapsed="false">
      <c r="A10" s="132"/>
      <c r="B10" s="185" t="s">
        <v>167</v>
      </c>
      <c r="C10" s="186"/>
      <c r="D10" s="187"/>
      <c r="E10" s="188" t="n">
        <f aca="false">SUM(E8:E9)</f>
        <v>3460</v>
      </c>
      <c r="F10" s="173"/>
      <c r="G10" s="148"/>
    </row>
    <row r="11" customFormat="false" ht="12.75" hidden="false" customHeight="false" outlineLevel="0" collapsed="false">
      <c r="A11" s="132"/>
      <c r="B11" s="178" t="s">
        <v>168</v>
      </c>
      <c r="C11" s="178"/>
      <c r="D11" s="189"/>
      <c r="E11" s="172" t="n">
        <f aca="false">-SalesMar!$K$1</f>
        <v>-0</v>
      </c>
      <c r="F11" s="190"/>
      <c r="G11" s="191"/>
    </row>
    <row r="12" customFormat="false" ht="12.75" hidden="false" customHeight="false" outlineLevel="0" collapsed="false">
      <c r="A12" s="132"/>
      <c r="B12" s="178"/>
      <c r="C12" s="178"/>
      <c r="D12" s="189"/>
      <c r="E12" s="172"/>
      <c r="F12" s="190"/>
      <c r="G12" s="191"/>
    </row>
    <row r="13" customFormat="false" ht="12.75" hidden="false" customHeight="false" outlineLevel="0" collapsed="false">
      <c r="A13" s="132"/>
      <c r="B13" s="192" t="s">
        <v>169</v>
      </c>
      <c r="C13" s="193" t="n">
        <f aca="false">Admin!B21</f>
        <v>45322</v>
      </c>
      <c r="D13" s="193"/>
      <c r="E13" s="172"/>
      <c r="F13" s="190"/>
      <c r="G13" s="191"/>
    </row>
    <row r="14" customFormat="false" ht="12.75" hidden="false" customHeight="false" outlineLevel="0" collapsed="false">
      <c r="A14" s="132"/>
      <c r="B14" s="178"/>
      <c r="C14" s="178"/>
      <c r="D14" s="194"/>
      <c r="E14" s="195"/>
      <c r="F14" s="173"/>
      <c r="G14" s="191"/>
    </row>
    <row r="15" customFormat="false" ht="12.75" hidden="false" customHeight="false" outlineLevel="0" collapsed="false">
      <c r="A15" s="132"/>
      <c r="B15" s="196" t="s">
        <v>170</v>
      </c>
      <c r="C15" s="196"/>
      <c r="D15" s="183" t="n">
        <f aca="false">Admin!L$20</f>
        <v>0.0973</v>
      </c>
      <c r="E15" s="197" t="n">
        <f aca="false">IF(E5&gt;Admin!N20,IF(E5&lt;Admin!N$23,(E5-Admin!N20)*D15,(Admin!N$23-Admin!N20)*D15),0)</f>
        <v>1747.7026</v>
      </c>
      <c r="F15" s="173"/>
      <c r="G15" s="191"/>
      <c r="J15" s="198"/>
    </row>
    <row r="16" customFormat="false" ht="12.75" hidden="false" customHeight="false" outlineLevel="0" collapsed="false">
      <c r="A16" s="132"/>
      <c r="B16" s="196" t="s">
        <v>171</v>
      </c>
      <c r="C16" s="196"/>
      <c r="D16" s="183" t="n">
        <f aca="false">Admin!L$23</f>
        <v>0.0273</v>
      </c>
      <c r="E16" s="197" t="n">
        <f aca="false">IF((E5&gt;Admin!N$23),((E5-Admin!N$23)*D16),0)</f>
        <v>0</v>
      </c>
      <c r="F16" s="173"/>
      <c r="G16" s="191"/>
      <c r="J16" s="198"/>
    </row>
    <row r="17" customFormat="false" ht="12.75" hidden="false" customHeight="false" outlineLevel="0" collapsed="false">
      <c r="A17" s="132"/>
      <c r="B17" s="178"/>
      <c r="C17" s="178"/>
      <c r="D17" s="194"/>
      <c r="E17" s="195"/>
      <c r="F17" s="173"/>
      <c r="G17" s="191"/>
      <c r="J17" s="198"/>
    </row>
    <row r="18" customFormat="false" ht="12.75" hidden="false" customHeight="false" outlineLevel="0" collapsed="false">
      <c r="A18" s="132"/>
      <c r="B18" s="199" t="s">
        <v>172</v>
      </c>
      <c r="C18" s="199"/>
      <c r="D18" s="194"/>
      <c r="E18" s="188" t="n">
        <f aca="false">SUM(E10:E17)</f>
        <v>5207.7026</v>
      </c>
      <c r="F18" s="173"/>
      <c r="G18" s="148"/>
      <c r="J18" s="198"/>
    </row>
    <row r="19" customFormat="false" ht="12.75" hidden="false" customHeight="false" outlineLevel="0" collapsed="false">
      <c r="A19" s="132"/>
      <c r="B19" s="152"/>
      <c r="C19" s="152"/>
      <c r="D19" s="194"/>
      <c r="E19" s="195"/>
      <c r="F19" s="173"/>
      <c r="G19" s="148"/>
    </row>
    <row r="20" customFormat="false" ht="12.75" hidden="false" customHeight="false" outlineLevel="0" collapsed="false">
      <c r="A20" s="132"/>
      <c r="B20" s="152"/>
      <c r="C20" s="152"/>
      <c r="D20" s="194"/>
      <c r="E20" s="195"/>
      <c r="F20" s="173"/>
      <c r="G20" s="148"/>
    </row>
    <row r="21" customFormat="false" ht="18" hidden="false" customHeight="true" outlineLevel="0" collapsed="false">
      <c r="A21" s="132"/>
      <c r="B21" s="185" t="s">
        <v>173</v>
      </c>
      <c r="C21" s="200"/>
      <c r="D21" s="201" t="s">
        <v>174</v>
      </c>
      <c r="E21" s="201"/>
      <c r="F21" s="201"/>
      <c r="G21" s="132"/>
    </row>
    <row r="22" customFormat="false" ht="12.75" hidden="false" customHeight="true" outlineLevel="0" collapsed="false">
      <c r="A22" s="132"/>
      <c r="B22" s="178"/>
      <c r="C22" s="178"/>
      <c r="D22" s="194"/>
      <c r="E22" s="195"/>
      <c r="F22" s="173"/>
      <c r="G22" s="191"/>
    </row>
    <row r="23" s="204" customFormat="true" ht="12.75" hidden="false" customHeight="true" outlineLevel="0" collapsed="false">
      <c r="A23" s="156"/>
      <c r="B23" s="178"/>
      <c r="C23" s="178"/>
      <c r="D23" s="202" t="s">
        <v>175</v>
      </c>
      <c r="E23" s="203" t="s">
        <v>176</v>
      </c>
      <c r="F23" s="182"/>
      <c r="G23" s="148"/>
    </row>
    <row r="24" s="204" customFormat="true" ht="12.75" hidden="false" customHeight="false" outlineLevel="0" collapsed="false">
      <c r="A24" s="156"/>
      <c r="B24" s="178"/>
      <c r="C24" s="178"/>
      <c r="D24" s="202"/>
      <c r="E24" s="202"/>
      <c r="F24" s="182"/>
      <c r="G24" s="148"/>
    </row>
    <row r="25" customFormat="false" ht="12.75" hidden="false" customHeight="false" outlineLevel="0" collapsed="false">
      <c r="A25" s="132"/>
      <c r="B25" s="178" t="s">
        <v>177</v>
      </c>
      <c r="C25" s="205" t="str">
        <f aca="false">Admin!B24</f>
        <v>2023-24</v>
      </c>
      <c r="D25" s="206" t="s">
        <v>178</v>
      </c>
      <c r="E25" s="197" t="n">
        <f aca="false">E18</f>
        <v>5207.7026</v>
      </c>
      <c r="F25" s="173"/>
      <c r="G25" s="148"/>
    </row>
    <row r="26" customFormat="false" ht="12.75" hidden="false" customHeight="false" outlineLevel="0" collapsed="false">
      <c r="A26" s="132"/>
      <c r="B26" s="178" t="s">
        <v>179</v>
      </c>
      <c r="C26" s="178"/>
      <c r="D26" s="207" t="n">
        <f aca="false">Admin!B21</f>
        <v>45322</v>
      </c>
      <c r="E26" s="180" t="n">
        <f aca="false">E25/2</f>
        <v>2603.8513</v>
      </c>
      <c r="F26" s="173"/>
      <c r="G26" s="148"/>
    </row>
    <row r="27" customFormat="false" ht="12.75" hidden="false" customHeight="false" outlineLevel="0" collapsed="false">
      <c r="A27" s="132"/>
      <c r="B27" s="178" t="s">
        <v>179</v>
      </c>
      <c r="C27" s="178"/>
      <c r="D27" s="207" t="n">
        <f aca="false">Admin!B22</f>
        <v>45504</v>
      </c>
      <c r="E27" s="180" t="n">
        <f aca="false">E25/2</f>
        <v>2603.8513</v>
      </c>
      <c r="F27" s="173"/>
      <c r="G27" s="148"/>
    </row>
    <row r="28" customFormat="false" ht="12.75" hidden="false" customHeight="false" outlineLevel="0" collapsed="false">
      <c r="A28" s="132"/>
      <c r="B28" s="132"/>
      <c r="C28" s="132"/>
      <c r="D28" s="194"/>
      <c r="E28" s="172"/>
      <c r="F28" s="173"/>
      <c r="G28" s="148"/>
    </row>
    <row r="29" customFormat="false" ht="12.75" hidden="false" customHeight="false" outlineLevel="0" collapsed="false">
      <c r="A29" s="132"/>
      <c r="B29" s="208" t="s">
        <v>180</v>
      </c>
      <c r="C29" s="209"/>
      <c r="D29" s="194"/>
      <c r="E29" s="172"/>
      <c r="F29" s="173"/>
      <c r="G29" s="148"/>
    </row>
    <row r="30" customFormat="false" ht="12.75" hidden="false" customHeight="false" outlineLevel="0" collapsed="false">
      <c r="A30" s="132"/>
      <c r="B30" s="210" t="s">
        <v>181</v>
      </c>
      <c r="C30" s="210"/>
      <c r="D30" s="132"/>
      <c r="E30" s="211"/>
      <c r="F30" s="173"/>
      <c r="G30" s="212"/>
    </row>
    <row r="31" customFormat="false" ht="12.75" hidden="false" customHeight="false" outlineLevel="0" collapsed="false">
      <c r="A31" s="132"/>
      <c r="B31" s="213" t="s">
        <v>182</v>
      </c>
      <c r="C31" s="213"/>
      <c r="D31" s="214"/>
      <c r="E31" s="211"/>
      <c r="F31" s="173"/>
      <c r="G31" s="212"/>
    </row>
    <row r="32" customFormat="false" ht="12.75" hidden="false" customHeight="false" outlineLevel="0" collapsed="false">
      <c r="A32" s="132"/>
      <c r="B32" s="215" t="s">
        <v>183</v>
      </c>
      <c r="C32" s="213"/>
      <c r="D32" s="214"/>
      <c r="E32" s="211"/>
      <c r="F32" s="173"/>
      <c r="G32" s="212"/>
    </row>
    <row r="33" customFormat="false" ht="12.75" hidden="false" customHeight="false" outlineLevel="0" collapsed="false">
      <c r="A33" s="132"/>
      <c r="B33" s="209" t="s">
        <v>184</v>
      </c>
      <c r="C33" s="209"/>
      <c r="D33" s="214"/>
      <c r="E33" s="216"/>
      <c r="F33" s="173"/>
      <c r="G33" s="212"/>
    </row>
    <row r="34" customFormat="false" ht="12.75" hidden="false" customHeight="false" outlineLevel="0" collapsed="false">
      <c r="A34" s="132"/>
      <c r="B34" s="209" t="s">
        <v>185</v>
      </c>
      <c r="C34" s="209"/>
      <c r="D34" s="214"/>
      <c r="E34" s="216"/>
      <c r="F34" s="173"/>
      <c r="G34" s="212"/>
    </row>
    <row r="35" customFormat="false" ht="12.75" hidden="false" customHeight="false" outlineLevel="0" collapsed="false">
      <c r="A35" s="132"/>
      <c r="B35" s="209" t="s">
        <v>186</v>
      </c>
      <c r="C35" s="209"/>
      <c r="D35" s="214"/>
      <c r="E35" s="216"/>
      <c r="F35" s="173"/>
      <c r="G35" s="212"/>
    </row>
    <row r="36" customFormat="false" ht="12.75" hidden="false" customHeight="false" outlineLevel="0" collapsed="false">
      <c r="A36" s="132"/>
      <c r="B36" s="132"/>
      <c r="C36" s="132"/>
      <c r="D36" s="214"/>
      <c r="E36" s="216"/>
      <c r="F36" s="173"/>
      <c r="G36" s="212"/>
    </row>
  </sheetData>
  <mergeCells count="10">
    <mergeCell ref="D2:F3"/>
    <mergeCell ref="B5:D5"/>
    <mergeCell ref="B7:D7"/>
    <mergeCell ref="C13:D13"/>
    <mergeCell ref="B15:C15"/>
    <mergeCell ref="B16:C16"/>
    <mergeCell ref="B18:C18"/>
    <mergeCell ref="D21:F21"/>
    <mergeCell ref="D23:D24"/>
    <mergeCell ref="E23:E24"/>
  </mergeCells>
  <printOptions headings="false" gridLines="false" gridLinesSet="true" horizontalCentered="false" verticalCentered="false"/>
  <pageMargins left="0.747916666666667" right="0.747916666666667" top="0.984027777777778" bottom="0.984027777777778" header="0.511805555555556" footer="0.511805555555556"/>
  <pageSetup paperSize="9" scale="100" fitToWidth="1" fitToHeight="1" pageOrder="downThenOver" orientation="portrait" blackAndWhite="false" draft="false" cellComments="none" horizontalDpi="300" verticalDpi="300" copies="1"/>
  <headerFooter differentFirst="false" differentOddEven="false">
    <oddHeader>&amp;C&amp;"Arial,Bold"&amp;11Provisional tax calculation
&amp;"Arial,Regular"&amp;10precise figures will depend upon personal circumstances</oddHeader>
    <oddFooter>&amp;L&amp;D  &amp;T&amp;C&amp;P  of  &amp;N&amp;R&amp;F  &amp;A</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217" width="0.66"/>
    <col collapsed="false" customWidth="true" hidden="false" outlineLevel="0" max="2" min="2" style="218" width="8.33"/>
    <col collapsed="false" customWidth="true" hidden="false" outlineLevel="0" max="3" min="3" style="219" width="22.66"/>
    <col collapsed="false" customWidth="true" hidden="false" outlineLevel="0" max="4" min="4" style="220" width="16.32"/>
    <col collapsed="false" customWidth="true" hidden="false" outlineLevel="0" max="5" min="5" style="221" width="8.66"/>
    <col collapsed="false" customWidth="true" hidden="false" outlineLevel="0" max="6" min="6" style="221" width="0.66"/>
    <col collapsed="false" customWidth="true" hidden="false" outlineLevel="0" max="7" min="7" style="222" width="6.66"/>
    <col collapsed="false" customWidth="true" hidden="false" outlineLevel="0" max="8" min="8" style="221" width="0.66"/>
    <col collapsed="false" customWidth="true" hidden="false" outlineLevel="0" max="9" min="9" style="223" width="10.99"/>
    <col collapsed="false" customWidth="true" hidden="false" outlineLevel="0" max="10" min="10" style="224" width="5.99"/>
    <col collapsed="false" customWidth="true" hidden="false" outlineLevel="0" max="12" min="11" style="223" width="8.66"/>
    <col collapsed="false" customWidth="true" hidden="false" outlineLevel="0" max="13" min="13" style="223" width="10.66"/>
    <col collapsed="false" customWidth="true" hidden="false" outlineLevel="0" max="14" min="14" style="223" width="0.66"/>
    <col collapsed="false" customWidth="true" hidden="false" outlineLevel="0" max="15" min="15" style="218" width="8.33"/>
    <col collapsed="false" customWidth="true" hidden="false" outlineLevel="0" max="16" min="16" style="221" width="9.66"/>
    <col collapsed="false" customWidth="true" hidden="false" outlineLevel="0" max="17" min="17" style="223" width="8.33"/>
    <col collapsed="false" customWidth="true" hidden="false" outlineLevel="0" max="18" min="18" style="223" width="7.66"/>
    <col collapsed="false" customWidth="true" hidden="false" outlineLevel="0" max="19" min="19" style="217" width="0.66"/>
    <col collapsed="false" customWidth="false" hidden="false" outlineLevel="0" max="257" min="20" style="217" width="9.15"/>
  </cols>
  <sheetData>
    <row r="1" s="235" customFormat="true" ht="13.5" hidden="false" customHeight="true" outlineLevel="0" collapsed="false">
      <c r="A1" s="225"/>
      <c r="B1" s="226" t="s">
        <v>187</v>
      </c>
      <c r="C1" s="227" t="s">
        <v>188</v>
      </c>
      <c r="D1" s="227"/>
      <c r="E1" s="228" t="n">
        <f aca="false">E57+E110</f>
        <v>0</v>
      </c>
      <c r="F1" s="229"/>
      <c r="G1" s="230" t="s">
        <v>189</v>
      </c>
      <c r="H1" s="229"/>
      <c r="I1" s="229" t="n">
        <f aca="false">I57+I110</f>
        <v>0</v>
      </c>
      <c r="J1" s="231" t="s">
        <v>190</v>
      </c>
      <c r="K1" s="229" t="n">
        <f aca="false">K57+K110</f>
        <v>0</v>
      </c>
      <c r="L1" s="229" t="n">
        <f aca="false">L57+L110</f>
        <v>0</v>
      </c>
      <c r="M1" s="229" t="n">
        <f aca="false">M57+M110</f>
        <v>0</v>
      </c>
      <c r="N1" s="232"/>
      <c r="O1" s="233" t="s">
        <v>191</v>
      </c>
      <c r="P1" s="229" t="n">
        <f aca="false">P57+P110</f>
        <v>0</v>
      </c>
      <c r="Q1" s="229" t="n">
        <f aca="false">Q57+Q110</f>
        <v>0</v>
      </c>
      <c r="R1" s="229" t="n">
        <f aca="false">R57+R110</f>
        <v>0</v>
      </c>
      <c r="S1" s="234"/>
    </row>
    <row r="2" customFormat="false" ht="12" hidden="false" customHeight="true" outlineLevel="0" collapsed="false">
      <c r="A2" s="225"/>
      <c r="B2" s="226"/>
      <c r="C2" s="236" t="s">
        <v>192</v>
      </c>
      <c r="D2" s="237" t="s">
        <v>193</v>
      </c>
      <c r="E2" s="238" t="s">
        <v>194</v>
      </c>
      <c r="F2" s="229"/>
      <c r="G2" s="230"/>
      <c r="H2" s="229"/>
      <c r="I2" s="238" t="s">
        <v>195</v>
      </c>
      <c r="J2" s="231"/>
      <c r="K2" s="238" t="s">
        <v>196</v>
      </c>
      <c r="L2" s="238" t="s">
        <v>197</v>
      </c>
      <c r="M2" s="238" t="s">
        <v>198</v>
      </c>
      <c r="N2" s="232"/>
      <c r="O2" s="233"/>
      <c r="P2" s="239" t="s">
        <v>199</v>
      </c>
      <c r="Q2" s="238" t="s">
        <v>200</v>
      </c>
      <c r="R2" s="238" t="s">
        <v>201</v>
      </c>
      <c r="S2" s="240"/>
    </row>
    <row r="3" customFormat="false" ht="12" hidden="false" customHeight="true" outlineLevel="0" collapsed="false">
      <c r="A3" s="225"/>
      <c r="B3" s="226"/>
      <c r="C3" s="236"/>
      <c r="D3" s="237"/>
      <c r="E3" s="238"/>
      <c r="F3" s="229"/>
      <c r="G3" s="230"/>
      <c r="H3" s="229"/>
      <c r="I3" s="238"/>
      <c r="J3" s="231"/>
      <c r="K3" s="238"/>
      <c r="L3" s="238"/>
      <c r="M3" s="238"/>
      <c r="N3" s="232"/>
      <c r="O3" s="233"/>
      <c r="P3" s="239"/>
      <c r="Q3" s="239"/>
      <c r="R3" s="239"/>
      <c r="S3" s="240"/>
    </row>
    <row r="4" s="245" customFormat="true" ht="12.75" hidden="false" customHeight="true" outlineLevel="0" collapsed="false">
      <c r="A4" s="225"/>
      <c r="B4" s="226"/>
      <c r="C4" s="236"/>
      <c r="D4" s="237"/>
      <c r="E4" s="238"/>
      <c r="F4" s="229"/>
      <c r="G4" s="230"/>
      <c r="H4" s="229"/>
      <c r="I4" s="241" t="n">
        <f aca="false">Admin!B4</f>
        <v>44657</v>
      </c>
      <c r="J4" s="242" t="n">
        <f aca="false">Admin!G4</f>
        <v>1</v>
      </c>
      <c r="K4" s="238"/>
      <c r="L4" s="243" t="n">
        <f aca="false">Admin!G5</f>
        <v>0.18</v>
      </c>
      <c r="M4" s="241" t="n">
        <f aca="false">Admin!B17</f>
        <v>45021</v>
      </c>
      <c r="N4" s="232"/>
      <c r="O4" s="233"/>
      <c r="P4" s="239"/>
      <c r="Q4" s="239"/>
      <c r="R4" s="239"/>
      <c r="S4" s="244"/>
    </row>
    <row r="5" s="245" customFormat="true" ht="6" hidden="false" customHeight="true" outlineLevel="0" collapsed="false">
      <c r="A5" s="246"/>
      <c r="B5" s="247"/>
      <c r="C5" s="248"/>
      <c r="D5" s="249"/>
      <c r="E5" s="250"/>
      <c r="F5" s="251"/>
      <c r="G5" s="252"/>
      <c r="H5" s="251"/>
      <c r="I5" s="250"/>
      <c r="J5" s="249"/>
      <c r="K5" s="253"/>
      <c r="L5" s="254"/>
      <c r="M5" s="250"/>
      <c r="N5" s="251"/>
      <c r="O5" s="247"/>
      <c r="P5" s="250"/>
      <c r="Q5" s="250"/>
      <c r="R5" s="250"/>
      <c r="S5" s="244"/>
    </row>
    <row r="6" customFormat="false" ht="13.5" hidden="false" customHeight="true" outlineLevel="0" collapsed="false">
      <c r="A6" s="255"/>
      <c r="B6" s="256" t="s">
        <v>202</v>
      </c>
      <c r="C6" s="256"/>
      <c r="D6" s="257" t="n">
        <f aca="false">Admin!B$4</f>
        <v>44657</v>
      </c>
      <c r="E6" s="258"/>
      <c r="F6" s="258"/>
      <c r="G6" s="259"/>
      <c r="H6" s="258"/>
      <c r="I6" s="260"/>
      <c r="J6" s="261"/>
      <c r="K6" s="260"/>
      <c r="L6" s="260"/>
      <c r="M6" s="260"/>
      <c r="N6" s="260"/>
      <c r="O6" s="262"/>
      <c r="P6" s="263"/>
      <c r="Q6" s="260"/>
      <c r="R6" s="260"/>
      <c r="S6" s="240"/>
    </row>
    <row r="7" customFormat="false" ht="13.5" hidden="false" customHeight="true" outlineLevel="0" collapsed="false">
      <c r="A7" s="255"/>
      <c r="B7" s="264" t="s">
        <v>203</v>
      </c>
      <c r="C7" s="264"/>
      <c r="D7" s="265"/>
      <c r="E7" s="258"/>
      <c r="F7" s="258"/>
      <c r="G7" s="259"/>
      <c r="H7" s="258"/>
      <c r="I7" s="260"/>
      <c r="J7" s="261"/>
      <c r="K7" s="260"/>
      <c r="L7" s="260"/>
      <c r="M7" s="260"/>
      <c r="N7" s="260"/>
      <c r="O7" s="262"/>
      <c r="P7" s="263"/>
      <c r="Q7" s="260"/>
      <c r="R7" s="260"/>
      <c r="S7" s="240"/>
    </row>
    <row r="8" customFormat="false" ht="12" hidden="false" customHeight="false" outlineLevel="0" collapsed="false">
      <c r="A8" s="255"/>
      <c r="B8" s="266"/>
      <c r="C8" s="267"/>
      <c r="D8" s="268"/>
      <c r="E8" s="269"/>
      <c r="F8" s="263"/>
      <c r="G8" s="270"/>
      <c r="H8" s="263"/>
      <c r="I8" s="260"/>
      <c r="J8" s="261"/>
      <c r="K8" s="260"/>
      <c r="L8" s="260"/>
      <c r="M8" s="260"/>
      <c r="N8" s="260"/>
      <c r="O8" s="266"/>
      <c r="P8" s="269"/>
      <c r="Q8" s="260"/>
      <c r="R8" s="260"/>
      <c r="S8" s="240"/>
    </row>
    <row r="9" customFormat="false" ht="12" hidden="false" customHeight="false" outlineLevel="0" collapsed="false">
      <c r="A9" s="255"/>
      <c r="B9" s="266"/>
      <c r="C9" s="267"/>
      <c r="D9" s="268"/>
      <c r="E9" s="269"/>
      <c r="F9" s="263"/>
      <c r="G9" s="270"/>
      <c r="H9" s="263"/>
      <c r="I9" s="260"/>
      <c r="J9" s="261"/>
      <c r="K9" s="260"/>
      <c r="L9" s="260"/>
      <c r="M9" s="260"/>
      <c r="N9" s="260"/>
      <c r="O9" s="266"/>
      <c r="P9" s="269"/>
      <c r="Q9" s="260"/>
      <c r="R9" s="260"/>
      <c r="S9" s="240"/>
    </row>
    <row r="10" customFormat="false" ht="12" hidden="false" customHeight="false" outlineLevel="0" collapsed="false">
      <c r="A10" s="255"/>
      <c r="B10" s="266"/>
      <c r="C10" s="267"/>
      <c r="D10" s="268"/>
      <c r="E10" s="269"/>
      <c r="F10" s="263"/>
      <c r="G10" s="270"/>
      <c r="H10" s="263"/>
      <c r="I10" s="260"/>
      <c r="J10" s="261"/>
      <c r="K10" s="260"/>
      <c r="L10" s="260"/>
      <c r="M10" s="260"/>
      <c r="N10" s="260"/>
      <c r="O10" s="266"/>
      <c r="P10" s="269"/>
      <c r="Q10" s="260"/>
      <c r="R10" s="260"/>
      <c r="S10" s="240"/>
    </row>
    <row r="11" customFormat="false" ht="12" hidden="false" customHeight="true" outlineLevel="0" collapsed="false">
      <c r="A11" s="255"/>
      <c r="B11" s="271" t="s">
        <v>204</v>
      </c>
      <c r="C11" s="271"/>
      <c r="D11" s="271"/>
      <c r="E11" s="272" t="n">
        <f aca="false">SUM(E8:E10)</f>
        <v>0</v>
      </c>
      <c r="F11" s="263"/>
      <c r="G11" s="270"/>
      <c r="H11" s="263"/>
      <c r="I11" s="273" t="n">
        <f aca="false">SUM(I8:I10)</f>
        <v>0</v>
      </c>
      <c r="J11" s="274"/>
      <c r="K11" s="273" t="n">
        <f aca="false">SUM(K8:K10)</f>
        <v>0</v>
      </c>
      <c r="L11" s="273" t="n">
        <f aca="false">SUM(L8:L10)</f>
        <v>0</v>
      </c>
      <c r="M11" s="273" t="n">
        <f aca="false">SUM(M8:M10)</f>
        <v>0</v>
      </c>
      <c r="N11" s="260"/>
      <c r="O11" s="262"/>
      <c r="P11" s="272" t="n">
        <f aca="false">SUM(P8:P10)</f>
        <v>0</v>
      </c>
      <c r="Q11" s="273" t="n">
        <f aca="false">SUM(Q8:Q10)</f>
        <v>0</v>
      </c>
      <c r="R11" s="273" t="n">
        <f aca="false">SUM(R8:R10)</f>
        <v>0</v>
      </c>
      <c r="S11" s="240"/>
    </row>
    <row r="12" customFormat="false" ht="6" hidden="false" customHeight="true" outlineLevel="0" collapsed="false">
      <c r="A12" s="255"/>
      <c r="B12" s="275"/>
      <c r="C12" s="276"/>
      <c r="D12" s="277"/>
      <c r="E12" s="263"/>
      <c r="F12" s="263"/>
      <c r="G12" s="270"/>
      <c r="H12" s="263"/>
      <c r="I12" s="263"/>
      <c r="J12" s="274"/>
      <c r="K12" s="263"/>
      <c r="L12" s="263"/>
      <c r="M12" s="263"/>
      <c r="N12" s="260"/>
      <c r="O12" s="262"/>
      <c r="P12" s="263"/>
      <c r="Q12" s="263"/>
      <c r="R12" s="263"/>
      <c r="S12" s="240"/>
    </row>
    <row r="13" customFormat="false" ht="12" hidden="false" customHeight="true" outlineLevel="0" collapsed="false">
      <c r="A13" s="255"/>
      <c r="B13" s="264" t="s">
        <v>205</v>
      </c>
      <c r="C13" s="264"/>
      <c r="D13" s="274"/>
      <c r="E13" s="263"/>
      <c r="F13" s="263"/>
      <c r="G13" s="270"/>
      <c r="H13" s="263"/>
      <c r="I13" s="260"/>
      <c r="J13" s="261"/>
      <c r="K13" s="260"/>
      <c r="L13" s="260"/>
      <c r="M13" s="260"/>
      <c r="N13" s="260"/>
      <c r="O13" s="262"/>
      <c r="P13" s="263"/>
      <c r="Q13" s="260"/>
      <c r="R13" s="260"/>
      <c r="S13" s="240"/>
    </row>
    <row r="14" customFormat="false" ht="12" hidden="false" customHeight="false" outlineLevel="0" collapsed="false">
      <c r="A14" s="255"/>
      <c r="B14" s="266"/>
      <c r="C14" s="267"/>
      <c r="D14" s="268"/>
      <c r="E14" s="269"/>
      <c r="F14" s="263"/>
      <c r="G14" s="270"/>
      <c r="H14" s="263"/>
      <c r="I14" s="278"/>
      <c r="J14" s="261"/>
      <c r="K14" s="260"/>
      <c r="L14" s="260" t="str">
        <f aca="false">IF(I14&gt;0,I14*L$4," ")</f>
        <v> </v>
      </c>
      <c r="M14" s="260" t="str">
        <f aca="false">IF(I14&gt;0,I14-L14," ")</f>
        <v> </v>
      </c>
      <c r="N14" s="260"/>
      <c r="O14" s="266"/>
      <c r="P14" s="269"/>
      <c r="Q14" s="260" t="str">
        <f aca="false">IF((O14+P14)&gt;0,IF(P14&lt;M14,M14-P14," ")," ")</f>
        <v> </v>
      </c>
      <c r="R14" s="260" t="str">
        <f aca="false">IF((O14+P14)&gt;0,IF(P14&gt;M14,P14-M14," ")," ")</f>
        <v> </v>
      </c>
      <c r="S14" s="240"/>
    </row>
    <row r="15" customFormat="false" ht="12" hidden="false" customHeight="false" outlineLevel="0" collapsed="false">
      <c r="A15" s="255"/>
      <c r="B15" s="266"/>
      <c r="C15" s="267"/>
      <c r="D15" s="268"/>
      <c r="E15" s="269"/>
      <c r="F15" s="263"/>
      <c r="G15" s="270"/>
      <c r="H15" s="263"/>
      <c r="I15" s="278"/>
      <c r="J15" s="261"/>
      <c r="K15" s="260"/>
      <c r="L15" s="260" t="str">
        <f aca="false">IF(I15&gt;0,I15*L$4," ")</f>
        <v> </v>
      </c>
      <c r="M15" s="260" t="str">
        <f aca="false">IF(I15&gt;0,I15-L15," ")</f>
        <v> </v>
      </c>
      <c r="N15" s="260"/>
      <c r="O15" s="266"/>
      <c r="P15" s="269"/>
      <c r="Q15" s="260" t="str">
        <f aca="false">IF((O15+P15)&gt;0,IF(P15&lt;M15,M15-P15," ")," ")</f>
        <v> </v>
      </c>
      <c r="R15" s="260" t="str">
        <f aca="false">IF((O15+P15)&gt;0,IF(P15&gt;M15,P15-M15," ")," ")</f>
        <v> </v>
      </c>
      <c r="S15" s="240"/>
    </row>
    <row r="16" customFormat="false" ht="12" hidden="false" customHeight="false" outlineLevel="0" collapsed="false">
      <c r="A16" s="255"/>
      <c r="B16" s="266"/>
      <c r="C16" s="267"/>
      <c r="D16" s="268"/>
      <c r="E16" s="269"/>
      <c r="F16" s="263"/>
      <c r="G16" s="270"/>
      <c r="H16" s="263"/>
      <c r="I16" s="278"/>
      <c r="J16" s="261"/>
      <c r="K16" s="260"/>
      <c r="L16" s="260" t="str">
        <f aca="false">IF(I16&gt;0,I16*L$4," ")</f>
        <v> </v>
      </c>
      <c r="M16" s="260" t="str">
        <f aca="false">IF(I16&gt;0,I16-L16," ")</f>
        <v> </v>
      </c>
      <c r="N16" s="260"/>
      <c r="O16" s="266"/>
      <c r="P16" s="269"/>
      <c r="Q16" s="260" t="str">
        <f aca="false">IF((O16+P16)&gt;0,IF(P16&lt;M16,M16-P16," ")," ")</f>
        <v> </v>
      </c>
      <c r="R16" s="260" t="str">
        <f aca="false">IF((O16+P16)&gt;0,IF(P16&gt;M16,P16-M16," ")," ")</f>
        <v> </v>
      </c>
      <c r="S16" s="240"/>
    </row>
    <row r="17" customFormat="false" ht="12" hidden="false" customHeight="false" outlineLevel="0" collapsed="false">
      <c r="A17" s="255"/>
      <c r="B17" s="266"/>
      <c r="C17" s="267"/>
      <c r="D17" s="268"/>
      <c r="E17" s="269"/>
      <c r="F17" s="263"/>
      <c r="G17" s="270"/>
      <c r="H17" s="263"/>
      <c r="I17" s="278"/>
      <c r="J17" s="261"/>
      <c r="K17" s="260"/>
      <c r="L17" s="260" t="str">
        <f aca="false">IF(I17&gt;0,I17*L$4," ")</f>
        <v> </v>
      </c>
      <c r="M17" s="260" t="str">
        <f aca="false">IF(I17&gt;0,I17-L17," ")</f>
        <v> </v>
      </c>
      <c r="N17" s="260"/>
      <c r="O17" s="266"/>
      <c r="P17" s="269"/>
      <c r="Q17" s="260" t="str">
        <f aca="false">IF((O17+P17)&gt;0,IF(P17&lt;M17,M17-P17," ")," ")</f>
        <v> </v>
      </c>
      <c r="R17" s="260" t="str">
        <f aca="false">IF((O17+P17)&gt;0,IF(P17&gt;M17,P17-M17," ")," ")</f>
        <v> </v>
      </c>
      <c r="S17" s="240"/>
    </row>
    <row r="18" customFormat="false" ht="12" hidden="false" customHeight="false" outlineLevel="0" collapsed="false">
      <c r="A18" s="255"/>
      <c r="B18" s="266"/>
      <c r="C18" s="267"/>
      <c r="D18" s="268"/>
      <c r="E18" s="269"/>
      <c r="F18" s="263"/>
      <c r="G18" s="270"/>
      <c r="H18" s="263"/>
      <c r="I18" s="278"/>
      <c r="J18" s="261"/>
      <c r="K18" s="260"/>
      <c r="L18" s="260" t="str">
        <f aca="false">IF(I18&gt;0,I18*L$4," ")</f>
        <v> </v>
      </c>
      <c r="M18" s="260" t="str">
        <f aca="false">IF(I18&gt;0,I18-L18," ")</f>
        <v> </v>
      </c>
      <c r="N18" s="260"/>
      <c r="O18" s="266"/>
      <c r="P18" s="269"/>
      <c r="Q18" s="260" t="str">
        <f aca="false">IF((O18+P18)&gt;0,IF(P18&lt;M18,M18-P18," ")," ")</f>
        <v> </v>
      </c>
      <c r="R18" s="260" t="str">
        <f aca="false">IF((O18+P18)&gt;0,IF(P18&gt;M18,P18-M18," ")," ")</f>
        <v> </v>
      </c>
      <c r="S18" s="240"/>
    </row>
    <row r="19" customFormat="false" ht="12" hidden="false" customHeight="true" outlineLevel="0" collapsed="false">
      <c r="A19" s="255"/>
      <c r="B19" s="271" t="s">
        <v>206</v>
      </c>
      <c r="C19" s="271"/>
      <c r="D19" s="271"/>
      <c r="E19" s="272" t="n">
        <f aca="false">SUM(E14:E18)</f>
        <v>0</v>
      </c>
      <c r="F19" s="263"/>
      <c r="G19" s="270"/>
      <c r="H19" s="263"/>
      <c r="I19" s="273" t="n">
        <f aca="false">SUM(I14:I18)</f>
        <v>0</v>
      </c>
      <c r="J19" s="274"/>
      <c r="K19" s="273" t="n">
        <f aca="false">SUM(K14:K18)</f>
        <v>0</v>
      </c>
      <c r="L19" s="273" t="n">
        <f aca="false">SUM(L14:L18)</f>
        <v>0</v>
      </c>
      <c r="M19" s="273" t="n">
        <f aca="false">SUM(M14:M18)</f>
        <v>0</v>
      </c>
      <c r="N19" s="260"/>
      <c r="O19" s="262"/>
      <c r="P19" s="272" t="n">
        <f aca="false">SUM(P14:P18)</f>
        <v>0</v>
      </c>
      <c r="Q19" s="273" t="n">
        <f aca="false">SUM(Q14:Q18)</f>
        <v>0</v>
      </c>
      <c r="R19" s="273" t="n">
        <f aca="false">SUM(R14:R18)</f>
        <v>0</v>
      </c>
      <c r="S19" s="240"/>
    </row>
    <row r="20" customFormat="false" ht="6" hidden="false" customHeight="true" outlineLevel="0" collapsed="false">
      <c r="A20" s="255"/>
      <c r="B20" s="275"/>
      <c r="C20" s="276"/>
      <c r="D20" s="277"/>
      <c r="E20" s="263"/>
      <c r="F20" s="263"/>
      <c r="G20" s="270"/>
      <c r="H20" s="263"/>
      <c r="I20" s="263"/>
      <c r="J20" s="274"/>
      <c r="K20" s="263"/>
      <c r="L20" s="263"/>
      <c r="M20" s="263"/>
      <c r="N20" s="260"/>
      <c r="O20" s="262"/>
      <c r="P20" s="263"/>
      <c r="Q20" s="263"/>
      <c r="R20" s="263"/>
      <c r="S20" s="240"/>
    </row>
    <row r="21" customFormat="false" ht="12" hidden="false" customHeight="true" outlineLevel="0" collapsed="false">
      <c r="A21" s="255"/>
      <c r="B21" s="264" t="s">
        <v>207</v>
      </c>
      <c r="C21" s="264"/>
      <c r="D21" s="274"/>
      <c r="E21" s="263"/>
      <c r="F21" s="263"/>
      <c r="G21" s="270"/>
      <c r="H21" s="263"/>
      <c r="I21" s="260"/>
      <c r="J21" s="261"/>
      <c r="K21" s="260"/>
      <c r="L21" s="260"/>
      <c r="M21" s="260"/>
      <c r="N21" s="260"/>
      <c r="O21" s="262"/>
      <c r="P21" s="263"/>
      <c r="Q21" s="260"/>
      <c r="R21" s="260"/>
      <c r="S21" s="240"/>
    </row>
    <row r="22" customFormat="false" ht="12" hidden="false" customHeight="false" outlineLevel="0" collapsed="false">
      <c r="A22" s="255"/>
      <c r="B22" s="266"/>
      <c r="C22" s="267"/>
      <c r="D22" s="268"/>
      <c r="E22" s="269"/>
      <c r="F22" s="263"/>
      <c r="G22" s="270"/>
      <c r="H22" s="263"/>
      <c r="I22" s="278"/>
      <c r="J22" s="261"/>
      <c r="K22" s="260"/>
      <c r="L22" s="260" t="str">
        <f aca="false">IF(I22&gt;0,I22*L$4," ")</f>
        <v> </v>
      </c>
      <c r="M22" s="260" t="str">
        <f aca="false">IF(I22&gt;0,I22-L22," ")</f>
        <v> </v>
      </c>
      <c r="N22" s="260"/>
      <c r="O22" s="266"/>
      <c r="P22" s="269"/>
      <c r="Q22" s="260" t="str">
        <f aca="false">IF((O22+P22)&gt;0,IF(P22&lt;M22,M22-P22," ")," ")</f>
        <v> </v>
      </c>
      <c r="R22" s="260" t="str">
        <f aca="false">IF((O22+P22)&gt;0,IF(P22&gt;M22,P22-M22," ")," ")</f>
        <v> </v>
      </c>
      <c r="S22" s="240"/>
    </row>
    <row r="23" customFormat="false" ht="12" hidden="false" customHeight="false" outlineLevel="0" collapsed="false">
      <c r="A23" s="255"/>
      <c r="B23" s="266"/>
      <c r="C23" s="267"/>
      <c r="D23" s="268"/>
      <c r="E23" s="269"/>
      <c r="F23" s="263"/>
      <c r="G23" s="270"/>
      <c r="H23" s="263"/>
      <c r="I23" s="278"/>
      <c r="J23" s="261"/>
      <c r="K23" s="260"/>
      <c r="L23" s="260" t="str">
        <f aca="false">IF(I23&gt;0,I23*L$4," ")</f>
        <v> </v>
      </c>
      <c r="M23" s="260" t="str">
        <f aca="false">IF(I23&gt;0,I23-L23," ")</f>
        <v> </v>
      </c>
      <c r="N23" s="260"/>
      <c r="O23" s="266"/>
      <c r="P23" s="269"/>
      <c r="Q23" s="260" t="str">
        <f aca="false">IF((O23+P23)&gt;0,IF(P23&lt;M23,M23-P23," ")," ")</f>
        <v> </v>
      </c>
      <c r="R23" s="260" t="str">
        <f aca="false">IF((O23+P23)&gt;0,IF(P23&gt;M23,P23-M23," ")," ")</f>
        <v> </v>
      </c>
      <c r="S23" s="240"/>
    </row>
    <row r="24" customFormat="false" ht="12" hidden="false" customHeight="false" outlineLevel="0" collapsed="false">
      <c r="A24" s="255"/>
      <c r="B24" s="266"/>
      <c r="C24" s="267"/>
      <c r="D24" s="268"/>
      <c r="E24" s="269"/>
      <c r="F24" s="263"/>
      <c r="G24" s="270"/>
      <c r="H24" s="263"/>
      <c r="I24" s="278"/>
      <c r="J24" s="261"/>
      <c r="K24" s="260"/>
      <c r="L24" s="260" t="str">
        <f aca="false">IF(I24&gt;0,I24*L$4," ")</f>
        <v> </v>
      </c>
      <c r="M24" s="260" t="str">
        <f aca="false">IF(I24&gt;0,I24-L24," ")</f>
        <v> </v>
      </c>
      <c r="N24" s="260"/>
      <c r="O24" s="266"/>
      <c r="P24" s="269"/>
      <c r="Q24" s="260" t="str">
        <f aca="false">IF((O24+P24)&gt;0,IF(P24&lt;M24,M24-P24," ")," ")</f>
        <v> </v>
      </c>
      <c r="R24" s="260" t="str">
        <f aca="false">IF((O24+P24)&gt;0,IF(P24&gt;M24,P24-M24," ")," ")</f>
        <v> </v>
      </c>
      <c r="S24" s="240"/>
    </row>
    <row r="25" customFormat="false" ht="12" hidden="false" customHeight="false" outlineLevel="0" collapsed="false">
      <c r="A25" s="255"/>
      <c r="B25" s="266"/>
      <c r="C25" s="267"/>
      <c r="D25" s="268"/>
      <c r="E25" s="269"/>
      <c r="F25" s="263"/>
      <c r="G25" s="270"/>
      <c r="H25" s="263"/>
      <c r="I25" s="278"/>
      <c r="J25" s="261"/>
      <c r="K25" s="260"/>
      <c r="L25" s="260" t="str">
        <f aca="false">IF(I25&gt;0,I25*L$4," ")</f>
        <v> </v>
      </c>
      <c r="M25" s="260" t="str">
        <f aca="false">IF(I25&gt;0,I25-L25," ")</f>
        <v> </v>
      </c>
      <c r="N25" s="260"/>
      <c r="O25" s="266"/>
      <c r="P25" s="269"/>
      <c r="Q25" s="260" t="str">
        <f aca="false">IF((O25+P25)&gt;0,IF(P25&lt;M25,M25-P25," ")," ")</f>
        <v> </v>
      </c>
      <c r="R25" s="260" t="str">
        <f aca="false">IF((O25+P25)&gt;0,IF(P25&gt;M25,P25-M25," ")," ")</f>
        <v> </v>
      </c>
      <c r="S25" s="240"/>
    </row>
    <row r="26" customFormat="false" ht="12" hidden="false" customHeight="false" outlineLevel="0" collapsed="false">
      <c r="A26" s="255"/>
      <c r="B26" s="266"/>
      <c r="C26" s="267"/>
      <c r="D26" s="268"/>
      <c r="E26" s="269"/>
      <c r="F26" s="263"/>
      <c r="G26" s="270"/>
      <c r="H26" s="263"/>
      <c r="I26" s="278"/>
      <c r="J26" s="261"/>
      <c r="K26" s="260"/>
      <c r="L26" s="260" t="str">
        <f aca="false">IF(I26&gt;0,I26*L$4," ")</f>
        <v> </v>
      </c>
      <c r="M26" s="260" t="str">
        <f aca="false">IF(I26&gt;0,I26-L26," ")</f>
        <v> </v>
      </c>
      <c r="N26" s="260"/>
      <c r="O26" s="266"/>
      <c r="P26" s="269"/>
      <c r="Q26" s="260" t="str">
        <f aca="false">IF((O26+P26)&gt;0,IF(P26&lt;M26,M26-P26," ")," ")</f>
        <v> </v>
      </c>
      <c r="R26" s="260" t="str">
        <f aca="false">IF((O26+P26)&gt;0,IF(P26&gt;M26,P26-M26," ")," ")</f>
        <v> </v>
      </c>
      <c r="S26" s="240"/>
    </row>
    <row r="27" customFormat="false" ht="12" hidden="false" customHeight="true" outlineLevel="0" collapsed="false">
      <c r="A27" s="255"/>
      <c r="B27" s="271" t="s">
        <v>208</v>
      </c>
      <c r="C27" s="271"/>
      <c r="D27" s="271"/>
      <c r="E27" s="272" t="n">
        <f aca="false">SUM(E22:E26)</f>
        <v>0</v>
      </c>
      <c r="F27" s="263"/>
      <c r="G27" s="270"/>
      <c r="H27" s="263"/>
      <c r="I27" s="273" t="n">
        <f aca="false">SUM(I22:I26)</f>
        <v>0</v>
      </c>
      <c r="J27" s="274"/>
      <c r="K27" s="273" t="n">
        <f aca="false">SUM(K22:K26)</f>
        <v>0</v>
      </c>
      <c r="L27" s="273" t="n">
        <f aca="false">SUM(L22:L26)</f>
        <v>0</v>
      </c>
      <c r="M27" s="273" t="n">
        <f aca="false">SUM(M22:M26)</f>
        <v>0</v>
      </c>
      <c r="N27" s="260"/>
      <c r="O27" s="262"/>
      <c r="P27" s="272" t="n">
        <f aca="false">SUM(P22:P26)</f>
        <v>0</v>
      </c>
      <c r="Q27" s="273" t="n">
        <f aca="false">SUM(Q22:Q26)</f>
        <v>0</v>
      </c>
      <c r="R27" s="273" t="n">
        <f aca="false">SUM(R22:R26)</f>
        <v>0</v>
      </c>
      <c r="S27" s="240"/>
    </row>
    <row r="28" customFormat="false" ht="6" hidden="false" customHeight="true" outlineLevel="0" collapsed="false">
      <c r="A28" s="255"/>
      <c r="B28" s="275"/>
      <c r="C28" s="276"/>
      <c r="D28" s="277"/>
      <c r="E28" s="263"/>
      <c r="F28" s="263"/>
      <c r="G28" s="270"/>
      <c r="H28" s="263"/>
      <c r="I28" s="263"/>
      <c r="J28" s="274"/>
      <c r="K28" s="263"/>
      <c r="L28" s="263"/>
      <c r="M28" s="263"/>
      <c r="N28" s="260"/>
      <c r="O28" s="262"/>
      <c r="P28" s="263"/>
      <c r="Q28" s="263"/>
      <c r="R28" s="263"/>
      <c r="S28" s="240"/>
    </row>
    <row r="29" customFormat="false" ht="12" hidden="false" customHeight="true" outlineLevel="0" collapsed="false">
      <c r="A29" s="255"/>
      <c r="B29" s="264" t="s">
        <v>209</v>
      </c>
      <c r="C29" s="264"/>
      <c r="D29" s="279"/>
      <c r="E29" s="263"/>
      <c r="F29" s="263"/>
      <c r="G29" s="270"/>
      <c r="H29" s="263"/>
      <c r="I29" s="260"/>
      <c r="J29" s="261"/>
      <c r="K29" s="260"/>
      <c r="L29" s="260"/>
      <c r="M29" s="260"/>
      <c r="N29" s="260"/>
      <c r="O29" s="262"/>
      <c r="P29" s="263"/>
      <c r="Q29" s="260"/>
      <c r="R29" s="260"/>
      <c r="S29" s="240"/>
    </row>
    <row r="30" customFormat="false" ht="12" hidden="false" customHeight="false" outlineLevel="0" collapsed="false">
      <c r="A30" s="255"/>
      <c r="B30" s="266"/>
      <c r="C30" s="267"/>
      <c r="D30" s="268"/>
      <c r="E30" s="269"/>
      <c r="F30" s="263"/>
      <c r="G30" s="270"/>
      <c r="H30" s="263"/>
      <c r="I30" s="278"/>
      <c r="J30" s="261"/>
      <c r="K30" s="260"/>
      <c r="L30" s="260" t="str">
        <f aca="false">IF(I30&gt;0,I30*L$4," ")</f>
        <v> </v>
      </c>
      <c r="M30" s="260" t="str">
        <f aca="false">IF(I30&gt;0,I30-L30," ")</f>
        <v> </v>
      </c>
      <c r="N30" s="260"/>
      <c r="O30" s="266"/>
      <c r="P30" s="269"/>
      <c r="Q30" s="260" t="str">
        <f aca="false">IF((O30+P30)&gt;0,IF(P30&lt;M30,M30-P30," ")," ")</f>
        <v> </v>
      </c>
      <c r="R30" s="260" t="str">
        <f aca="false">IF((O30+P30)&gt;0,IF(P30&gt;M30,P30-M30," ")," ")</f>
        <v> </v>
      </c>
      <c r="S30" s="240"/>
    </row>
    <row r="31" customFormat="false" ht="12" hidden="false" customHeight="false" outlineLevel="0" collapsed="false">
      <c r="A31" s="255"/>
      <c r="B31" s="266"/>
      <c r="C31" s="267"/>
      <c r="D31" s="268"/>
      <c r="E31" s="269"/>
      <c r="F31" s="263"/>
      <c r="G31" s="270"/>
      <c r="H31" s="263"/>
      <c r="I31" s="278"/>
      <c r="J31" s="261"/>
      <c r="K31" s="260"/>
      <c r="L31" s="260" t="str">
        <f aca="false">IF(I31&gt;0,I31*L$4," ")</f>
        <v> </v>
      </c>
      <c r="M31" s="260" t="str">
        <f aca="false">IF(I31&gt;0,I31-L31," ")</f>
        <v> </v>
      </c>
      <c r="N31" s="260"/>
      <c r="O31" s="266"/>
      <c r="P31" s="269"/>
      <c r="Q31" s="260" t="str">
        <f aca="false">IF((O31+P31)&gt;0,IF(P31&lt;M31,M31-P31," ")," ")</f>
        <v> </v>
      </c>
      <c r="R31" s="260" t="str">
        <f aca="false">IF((O31+P31)&gt;0,IF(P31&gt;M31,P31-M31," ")," ")</f>
        <v> </v>
      </c>
      <c r="S31" s="240"/>
    </row>
    <row r="32" customFormat="false" ht="12" hidden="false" customHeight="false" outlineLevel="0" collapsed="false">
      <c r="A32" s="255"/>
      <c r="B32" s="266"/>
      <c r="C32" s="267"/>
      <c r="D32" s="268"/>
      <c r="E32" s="269"/>
      <c r="F32" s="263"/>
      <c r="G32" s="270"/>
      <c r="H32" s="263"/>
      <c r="I32" s="278"/>
      <c r="J32" s="261"/>
      <c r="K32" s="260"/>
      <c r="L32" s="260" t="str">
        <f aca="false">IF(I32&gt;0,I32*L$4," ")</f>
        <v> </v>
      </c>
      <c r="M32" s="260" t="str">
        <f aca="false">IF(I32&gt;0,I32-L32," ")</f>
        <v> </v>
      </c>
      <c r="N32" s="260"/>
      <c r="O32" s="266"/>
      <c r="P32" s="269"/>
      <c r="Q32" s="260" t="str">
        <f aca="false">IF((O32+P32)&gt;0,IF(P32&lt;M32,M32-P32," ")," ")</f>
        <v> </v>
      </c>
      <c r="R32" s="260" t="str">
        <f aca="false">IF((O32+P32)&gt;0,IF(P32&gt;M32,P32-M32," ")," ")</f>
        <v> </v>
      </c>
      <c r="S32" s="240"/>
    </row>
    <row r="33" customFormat="false" ht="12" hidden="false" customHeight="false" outlineLevel="0" collapsed="false">
      <c r="A33" s="255"/>
      <c r="B33" s="266"/>
      <c r="C33" s="267"/>
      <c r="D33" s="268"/>
      <c r="E33" s="269"/>
      <c r="F33" s="263"/>
      <c r="G33" s="270"/>
      <c r="H33" s="263"/>
      <c r="I33" s="278"/>
      <c r="J33" s="261"/>
      <c r="K33" s="260"/>
      <c r="L33" s="260" t="str">
        <f aca="false">IF(I33&gt;0,I33*L$4," ")</f>
        <v> </v>
      </c>
      <c r="M33" s="260" t="str">
        <f aca="false">IF(I33&gt;0,I33-L33," ")</f>
        <v> </v>
      </c>
      <c r="N33" s="260"/>
      <c r="O33" s="266"/>
      <c r="P33" s="269"/>
      <c r="Q33" s="260" t="str">
        <f aca="false">IF((O33+P33)&gt;0,IF(P33&lt;M33,M33-P33," ")," ")</f>
        <v> </v>
      </c>
      <c r="R33" s="260" t="str">
        <f aca="false">IF((O33+P33)&gt;0,IF(P33&gt;M33,P33-M33," ")," ")</f>
        <v> </v>
      </c>
      <c r="S33" s="240"/>
    </row>
    <row r="34" customFormat="false" ht="12" hidden="false" customHeight="false" outlineLevel="0" collapsed="false">
      <c r="A34" s="255"/>
      <c r="B34" s="266"/>
      <c r="C34" s="267"/>
      <c r="D34" s="268"/>
      <c r="E34" s="269"/>
      <c r="F34" s="263"/>
      <c r="G34" s="270"/>
      <c r="H34" s="263"/>
      <c r="I34" s="278"/>
      <c r="J34" s="261"/>
      <c r="K34" s="260"/>
      <c r="L34" s="260" t="str">
        <f aca="false">IF(I34&gt;0,I34*L$4," ")</f>
        <v> </v>
      </c>
      <c r="M34" s="260" t="str">
        <f aca="false">IF(I34&gt;0,I34-L34," ")</f>
        <v> </v>
      </c>
      <c r="N34" s="260"/>
      <c r="O34" s="266"/>
      <c r="P34" s="269"/>
      <c r="Q34" s="260" t="str">
        <f aca="false">IF((O34+P34)&gt;0,IF(P34&lt;M34,M34-P34," ")," ")</f>
        <v> </v>
      </c>
      <c r="R34" s="260" t="str">
        <f aca="false">IF((O34+P34)&gt;0,IF(P34&gt;M34,P34-M34," ")," ")</f>
        <v> </v>
      </c>
      <c r="S34" s="240"/>
    </row>
    <row r="35" customFormat="false" ht="12" hidden="false" customHeight="true" outlineLevel="0" collapsed="false">
      <c r="A35" s="255"/>
      <c r="B35" s="271" t="s">
        <v>210</v>
      </c>
      <c r="C35" s="271"/>
      <c r="D35" s="271"/>
      <c r="E35" s="272" t="n">
        <f aca="false">SUM(E30:E34)</f>
        <v>0</v>
      </c>
      <c r="F35" s="263"/>
      <c r="G35" s="270"/>
      <c r="H35" s="263"/>
      <c r="I35" s="273" t="n">
        <f aca="false">SUM(I30:I34)</f>
        <v>0</v>
      </c>
      <c r="J35" s="274"/>
      <c r="K35" s="273" t="n">
        <f aca="false">SUM(K30:K34)</f>
        <v>0</v>
      </c>
      <c r="L35" s="273" t="n">
        <f aca="false">SUM(L30:L34)</f>
        <v>0</v>
      </c>
      <c r="M35" s="273" t="n">
        <f aca="false">SUM(M30:M34)</f>
        <v>0</v>
      </c>
      <c r="N35" s="260"/>
      <c r="O35" s="262"/>
      <c r="P35" s="272" t="n">
        <f aca="false">SUM(P30:P34)</f>
        <v>0</v>
      </c>
      <c r="Q35" s="273" t="n">
        <f aca="false">SUM(Q30:Q34)</f>
        <v>0</v>
      </c>
      <c r="R35" s="273" t="n">
        <f aca="false">SUM(R30:R34)</f>
        <v>0</v>
      </c>
      <c r="S35" s="240"/>
    </row>
    <row r="36" customFormat="false" ht="6" hidden="false" customHeight="true" outlineLevel="0" collapsed="false">
      <c r="A36" s="255"/>
      <c r="B36" s="275"/>
      <c r="C36" s="276"/>
      <c r="D36" s="277"/>
      <c r="E36" s="263"/>
      <c r="F36" s="263"/>
      <c r="G36" s="270"/>
      <c r="H36" s="263"/>
      <c r="I36" s="263"/>
      <c r="J36" s="274"/>
      <c r="K36" s="263"/>
      <c r="L36" s="263"/>
      <c r="M36" s="263"/>
      <c r="N36" s="260"/>
      <c r="O36" s="262"/>
      <c r="P36" s="263"/>
      <c r="Q36" s="263"/>
      <c r="R36" s="263"/>
      <c r="S36" s="240"/>
    </row>
    <row r="37" customFormat="false" ht="12" hidden="false" customHeight="true" outlineLevel="0" collapsed="false">
      <c r="A37" s="255"/>
      <c r="B37" s="280" t="s">
        <v>211</v>
      </c>
      <c r="C37" s="280"/>
      <c r="D37" s="281" t="n">
        <f aca="false">Admin!E8</f>
        <v>12000</v>
      </c>
      <c r="E37" s="263"/>
      <c r="F37" s="263"/>
      <c r="G37" s="282"/>
      <c r="H37" s="263"/>
      <c r="I37" s="263"/>
      <c r="J37" s="274"/>
      <c r="K37" s="263"/>
      <c r="L37" s="263"/>
      <c r="M37" s="263"/>
      <c r="N37" s="283"/>
      <c r="O37" s="262"/>
      <c r="P37" s="263"/>
      <c r="Q37" s="263"/>
      <c r="R37" s="263"/>
      <c r="S37" s="240"/>
    </row>
    <row r="38" customFormat="false" ht="12" hidden="false" customHeight="false" outlineLevel="0" collapsed="false">
      <c r="A38" s="255"/>
      <c r="B38" s="266"/>
      <c r="C38" s="267"/>
      <c r="D38" s="268"/>
      <c r="E38" s="269"/>
      <c r="F38" s="263"/>
      <c r="G38" s="284" t="n">
        <v>0</v>
      </c>
      <c r="H38" s="263"/>
      <c r="I38" s="278"/>
      <c r="J38" s="261"/>
      <c r="K38" s="260"/>
      <c r="L38" s="260" t="str">
        <f aca="false">IF(I38&gt;0,MIN(I38*L$4*(1-G38),Admin!G$8*(1-G38))," ")</f>
        <v> </v>
      </c>
      <c r="M38" s="260" t="str">
        <f aca="false">IF(I38&gt;0,I38-L38," ")</f>
        <v> </v>
      </c>
      <c r="N38" s="260"/>
      <c r="O38" s="266"/>
      <c r="P38" s="269"/>
      <c r="Q38" s="260" t="str">
        <f aca="false">IF((O38+P38)&gt;0,IF(P38&lt;M38,(M38-P38)*(1-G38)," ")," ")</f>
        <v> </v>
      </c>
      <c r="R38" s="260" t="str">
        <f aca="false">IF((O38+P38)&gt;0,IF(P38&gt;M38,(P38-M38)*(1-G38)," ")," ")</f>
        <v> </v>
      </c>
      <c r="S38" s="240"/>
    </row>
    <row r="39" customFormat="false" ht="12" hidden="false" customHeight="false" outlineLevel="0" collapsed="false">
      <c r="A39" s="255"/>
      <c r="B39" s="266"/>
      <c r="C39" s="267"/>
      <c r="D39" s="268"/>
      <c r="E39" s="269"/>
      <c r="F39" s="263"/>
      <c r="G39" s="284" t="n">
        <v>0</v>
      </c>
      <c r="H39" s="263"/>
      <c r="I39" s="278"/>
      <c r="J39" s="261"/>
      <c r="K39" s="260"/>
      <c r="L39" s="260" t="str">
        <f aca="false">IF(I39&gt;0,MIN(I39*L$4*(1-G39),Admin!G$8*(1-G39))," ")</f>
        <v> </v>
      </c>
      <c r="M39" s="260" t="str">
        <f aca="false">IF(I39&gt;0,I39-L39," ")</f>
        <v> </v>
      </c>
      <c r="N39" s="260"/>
      <c r="O39" s="266"/>
      <c r="P39" s="269"/>
      <c r="Q39" s="260" t="str">
        <f aca="false">IF((O39+P39)&gt;0,IF(P39&lt;M39,(M39-P39)*(1-G39)," ")," ")</f>
        <v> </v>
      </c>
      <c r="R39" s="260" t="str">
        <f aca="false">IF((O39+P39)&gt;0,IF(P39&gt;M39,(P39-M39)*(1-G39)," ")," ")</f>
        <v> </v>
      </c>
      <c r="S39" s="240"/>
    </row>
    <row r="40" customFormat="false" ht="12" hidden="false" customHeight="false" outlineLevel="0" collapsed="false">
      <c r="A40" s="255"/>
      <c r="B40" s="266"/>
      <c r="C40" s="267"/>
      <c r="D40" s="268"/>
      <c r="E40" s="269"/>
      <c r="F40" s="263"/>
      <c r="G40" s="284" t="n">
        <v>0</v>
      </c>
      <c r="H40" s="263"/>
      <c r="I40" s="278"/>
      <c r="J40" s="261"/>
      <c r="K40" s="260"/>
      <c r="L40" s="260" t="str">
        <f aca="false">IF(I40&gt;0,MIN(I40*L$4*(1-G40),Admin!G$8*(1-G40))," ")</f>
        <v> </v>
      </c>
      <c r="M40" s="260" t="str">
        <f aca="false">IF(I40&gt;0,I40-L40," ")</f>
        <v> </v>
      </c>
      <c r="N40" s="260"/>
      <c r="O40" s="266"/>
      <c r="P40" s="269"/>
      <c r="Q40" s="260" t="str">
        <f aca="false">IF((O40+P40)&gt;0,IF(P40&lt;M40,(M40-P40)*(1-G40)," ")," ")</f>
        <v> </v>
      </c>
      <c r="R40" s="260" t="str">
        <f aca="false">IF((O40+P40)&gt;0,IF(P40&gt;M40,(P40-M40)*(1-G40)," ")," ")</f>
        <v> </v>
      </c>
      <c r="S40" s="240"/>
    </row>
    <row r="41" customFormat="false" ht="12" hidden="false" customHeight="false" outlineLevel="0" collapsed="false">
      <c r="A41" s="255"/>
      <c r="B41" s="266"/>
      <c r="C41" s="267"/>
      <c r="D41" s="268"/>
      <c r="E41" s="269"/>
      <c r="F41" s="263"/>
      <c r="G41" s="284" t="n">
        <v>0</v>
      </c>
      <c r="H41" s="263"/>
      <c r="I41" s="278"/>
      <c r="J41" s="261"/>
      <c r="K41" s="260"/>
      <c r="L41" s="260" t="str">
        <f aca="false">IF(I41&gt;0,MIN(I41*L$4*(1-G41),Admin!G$8*(1-G41))," ")</f>
        <v> </v>
      </c>
      <c r="M41" s="260" t="str">
        <f aca="false">IF(I41&gt;0,I41-L41," ")</f>
        <v> </v>
      </c>
      <c r="N41" s="260"/>
      <c r="O41" s="266"/>
      <c r="P41" s="269"/>
      <c r="Q41" s="260" t="str">
        <f aca="false">IF((O41+P41)&gt;0,IF(P41&lt;M41,(M41-P41)*(1-G41)," ")," ")</f>
        <v> </v>
      </c>
      <c r="R41" s="260" t="str">
        <f aca="false">IF((O41+P41)&gt;0,IF(P41&gt;M41,(P41-M41)*(1-G41)," ")," ")</f>
        <v> </v>
      </c>
      <c r="S41" s="240"/>
    </row>
    <row r="42" customFormat="false" ht="12" hidden="false" customHeight="false" outlineLevel="0" collapsed="false">
      <c r="A42" s="255"/>
      <c r="B42" s="266"/>
      <c r="C42" s="267"/>
      <c r="D42" s="268"/>
      <c r="E42" s="269"/>
      <c r="F42" s="263"/>
      <c r="G42" s="284" t="n">
        <v>0</v>
      </c>
      <c r="H42" s="263"/>
      <c r="I42" s="278"/>
      <c r="J42" s="261"/>
      <c r="K42" s="260"/>
      <c r="L42" s="260" t="str">
        <f aca="false">IF(I42&gt;0,MIN(I42*L$4*(1-G42),Admin!G$8*(1-G42))," ")</f>
        <v> </v>
      </c>
      <c r="M42" s="260" t="str">
        <f aca="false">IF(I42&gt;0,I42-L42," ")</f>
        <v> </v>
      </c>
      <c r="N42" s="260"/>
      <c r="O42" s="266"/>
      <c r="P42" s="269"/>
      <c r="Q42" s="260" t="str">
        <f aca="false">IF((O42+P42)&gt;0,IF(P42&lt;M42,(M42-P42)*(1-G42)," ")," ")</f>
        <v> </v>
      </c>
      <c r="R42" s="260" t="str">
        <f aca="false">IF((O42+P42)&gt;0,IF(P42&gt;M42,(P42-M42)*(1-G42)," ")," ")</f>
        <v> </v>
      </c>
      <c r="S42" s="240"/>
    </row>
    <row r="43" customFormat="false" ht="12" hidden="false" customHeight="true" outlineLevel="0" collapsed="false">
      <c r="A43" s="255"/>
      <c r="B43" s="280" t="s">
        <v>212</v>
      </c>
      <c r="C43" s="280"/>
      <c r="D43" s="281" t="n">
        <f aca="false">Admin!E8</f>
        <v>12000</v>
      </c>
      <c r="E43" s="263"/>
      <c r="F43" s="263"/>
      <c r="G43" s="270"/>
      <c r="H43" s="263"/>
      <c r="I43" s="260"/>
      <c r="J43" s="261"/>
      <c r="K43" s="260"/>
      <c r="L43" s="260"/>
      <c r="M43" s="260"/>
      <c r="N43" s="260"/>
      <c r="O43" s="262"/>
      <c r="P43" s="263"/>
      <c r="Q43" s="260"/>
      <c r="R43" s="260"/>
      <c r="S43" s="240"/>
    </row>
    <row r="44" customFormat="false" ht="12" hidden="false" customHeight="false" outlineLevel="0" collapsed="false">
      <c r="A44" s="255"/>
      <c r="B44" s="266"/>
      <c r="C44" s="267"/>
      <c r="D44" s="268"/>
      <c r="E44" s="269"/>
      <c r="F44" s="263"/>
      <c r="G44" s="284" t="n">
        <v>0</v>
      </c>
      <c r="H44" s="263"/>
      <c r="I44" s="278"/>
      <c r="J44" s="261"/>
      <c r="K44" s="260"/>
      <c r="L44" s="260" t="str">
        <f aca="false">IF(I44&gt;0,MIN(I44*L$4*(1-G44),Admin!G$8*(1-G44))," ")</f>
        <v> </v>
      </c>
      <c r="M44" s="260" t="str">
        <f aca="false">IF(I44&gt;0,I44-L44," ")</f>
        <v> </v>
      </c>
      <c r="N44" s="260"/>
      <c r="O44" s="266"/>
      <c r="P44" s="269"/>
      <c r="Q44" s="260" t="str">
        <f aca="false">IF((O44+P44)&gt;0,IF(P44&lt;M44,(M44-P44)*(1-G44)," ")," ")</f>
        <v> </v>
      </c>
      <c r="R44" s="260" t="str">
        <f aca="false">IF((O44+P44)&gt;0,IF(P44&gt;M44,(P44-M44)*(1-G44)," ")," ")</f>
        <v> </v>
      </c>
      <c r="S44" s="240"/>
    </row>
    <row r="45" customFormat="false" ht="12" hidden="false" customHeight="false" outlineLevel="0" collapsed="false">
      <c r="A45" s="255"/>
      <c r="B45" s="266"/>
      <c r="C45" s="267"/>
      <c r="D45" s="268"/>
      <c r="E45" s="269"/>
      <c r="F45" s="263"/>
      <c r="G45" s="284" t="n">
        <v>0</v>
      </c>
      <c r="H45" s="263"/>
      <c r="I45" s="278"/>
      <c r="J45" s="261"/>
      <c r="K45" s="260"/>
      <c r="L45" s="260" t="str">
        <f aca="false">IF(I45&gt;0,MIN(I45*L$4*(1-G45),Admin!G$8*(1-G45))," ")</f>
        <v> </v>
      </c>
      <c r="M45" s="260" t="str">
        <f aca="false">IF(I45&gt;0,I45-L45," ")</f>
        <v> </v>
      </c>
      <c r="N45" s="260"/>
      <c r="O45" s="266"/>
      <c r="P45" s="269"/>
      <c r="Q45" s="260" t="str">
        <f aca="false">IF((O45+P45)&gt;0,IF(P45&lt;M45,(M45-P45)*(1-G45)," ")," ")</f>
        <v> </v>
      </c>
      <c r="R45" s="260" t="str">
        <f aca="false">IF((O45+P45)&gt;0,IF(P45&gt;M45,(P45-M45)*(1-G45)," ")," ")</f>
        <v> </v>
      </c>
      <c r="S45" s="240"/>
    </row>
    <row r="46" customFormat="false" ht="12" hidden="false" customHeight="false" outlineLevel="0" collapsed="false">
      <c r="A46" s="255"/>
      <c r="B46" s="266"/>
      <c r="C46" s="267"/>
      <c r="D46" s="268"/>
      <c r="E46" s="269"/>
      <c r="F46" s="263"/>
      <c r="G46" s="284" t="n">
        <v>0</v>
      </c>
      <c r="H46" s="263"/>
      <c r="I46" s="278"/>
      <c r="J46" s="261"/>
      <c r="K46" s="260"/>
      <c r="L46" s="260" t="str">
        <f aca="false">IF(I46&gt;0,MIN(I46*L$4*(1-G46),Admin!G$8*(1-G46))," ")</f>
        <v> </v>
      </c>
      <c r="M46" s="260" t="str">
        <f aca="false">IF(I46&gt;0,I46-L46," ")</f>
        <v> </v>
      </c>
      <c r="N46" s="260"/>
      <c r="O46" s="266"/>
      <c r="P46" s="269"/>
      <c r="Q46" s="260" t="str">
        <f aca="false">IF((O46+P46)&gt;0,IF(P46&lt;M46,(M46-P46)*(1-G46)," ")," ")</f>
        <v> </v>
      </c>
      <c r="R46" s="260" t="str">
        <f aca="false">IF((O46+P46)&gt;0,IF(P46&gt;M46,(P46-M46)*(1-G46)," ")," ")</f>
        <v> </v>
      </c>
      <c r="S46" s="240"/>
    </row>
    <row r="47" customFormat="false" ht="12" hidden="false" customHeight="false" outlineLevel="0" collapsed="false">
      <c r="A47" s="255"/>
      <c r="B47" s="266"/>
      <c r="C47" s="267"/>
      <c r="D47" s="268"/>
      <c r="E47" s="269"/>
      <c r="F47" s="263"/>
      <c r="G47" s="284" t="n">
        <v>0</v>
      </c>
      <c r="H47" s="263"/>
      <c r="I47" s="278"/>
      <c r="J47" s="261"/>
      <c r="K47" s="260"/>
      <c r="L47" s="260" t="str">
        <f aca="false">IF(I47&gt;0,MIN(I47*L$4*(1-G47),Admin!G$8*(1-G47))," ")</f>
        <v> </v>
      </c>
      <c r="M47" s="260" t="str">
        <f aca="false">IF(I47&gt;0,I47-L47," ")</f>
        <v> </v>
      </c>
      <c r="N47" s="260"/>
      <c r="O47" s="266"/>
      <c r="P47" s="269"/>
      <c r="Q47" s="260" t="str">
        <f aca="false">IF((O47+P47)&gt;0,IF(P47&lt;M47,(M47-P47)*(1-G47)," ")," ")</f>
        <v> </v>
      </c>
      <c r="R47" s="260" t="str">
        <f aca="false">IF((O47+P47)&gt;0,IF(P47&gt;M47,(P47-M47)*(1-G47)," ")," ")</f>
        <v> </v>
      </c>
      <c r="S47" s="240"/>
    </row>
    <row r="48" customFormat="false" ht="12" hidden="false" customHeight="false" outlineLevel="0" collapsed="false">
      <c r="A48" s="255"/>
      <c r="B48" s="266"/>
      <c r="C48" s="267"/>
      <c r="D48" s="268"/>
      <c r="E48" s="269"/>
      <c r="F48" s="263"/>
      <c r="G48" s="284" t="n">
        <v>0</v>
      </c>
      <c r="H48" s="263"/>
      <c r="I48" s="278"/>
      <c r="J48" s="261"/>
      <c r="K48" s="260"/>
      <c r="L48" s="260" t="str">
        <f aca="false">IF(I48&gt;0,MIN(I48*L$4*(1-G48),Admin!G$8*(1-G48))," ")</f>
        <v> </v>
      </c>
      <c r="M48" s="260" t="str">
        <f aca="false">IF(I48&gt;0,I48-L48," ")</f>
        <v> </v>
      </c>
      <c r="N48" s="260"/>
      <c r="O48" s="266"/>
      <c r="P48" s="269"/>
      <c r="Q48" s="260" t="str">
        <f aca="false">IF((O48+P48)&gt;0,IF(P48&lt;M48,(M48-P48)*(1-G48)," ")," ")</f>
        <v> </v>
      </c>
      <c r="R48" s="260" t="str">
        <f aca="false">IF((O48+P48)&gt;0,IF(P48&gt;M48,(P48-M48)*(1-G48)," ")," ")</f>
        <v> </v>
      </c>
      <c r="S48" s="240"/>
    </row>
    <row r="49" customFormat="false" ht="12" hidden="false" customHeight="true" outlineLevel="0" collapsed="false">
      <c r="A49" s="255"/>
      <c r="B49" s="264" t="s">
        <v>213</v>
      </c>
      <c r="C49" s="264"/>
      <c r="D49" s="274"/>
      <c r="E49" s="263"/>
      <c r="F49" s="263"/>
      <c r="G49" s="270"/>
      <c r="H49" s="263"/>
      <c r="I49" s="260"/>
      <c r="J49" s="261"/>
      <c r="K49" s="260"/>
      <c r="L49" s="260"/>
      <c r="M49" s="260"/>
      <c r="N49" s="260"/>
      <c r="O49" s="262"/>
      <c r="P49" s="263"/>
      <c r="Q49" s="260"/>
      <c r="R49" s="260"/>
      <c r="S49" s="240"/>
    </row>
    <row r="50" customFormat="false" ht="12" hidden="false" customHeight="false" outlineLevel="0" collapsed="false">
      <c r="A50" s="255"/>
      <c r="B50" s="266"/>
      <c r="C50" s="267"/>
      <c r="D50" s="268"/>
      <c r="E50" s="269"/>
      <c r="F50" s="263"/>
      <c r="G50" s="284" t="n">
        <v>0</v>
      </c>
      <c r="H50" s="263"/>
      <c r="I50" s="278"/>
      <c r="J50" s="261"/>
      <c r="K50" s="260"/>
      <c r="L50" s="260" t="str">
        <f aca="false">IF(I50&gt;0,I50*L$4," ")</f>
        <v> </v>
      </c>
      <c r="M50" s="260" t="str">
        <f aca="false">IF(I50&gt;0,I50-L50," ")</f>
        <v> </v>
      </c>
      <c r="N50" s="260"/>
      <c r="O50" s="266"/>
      <c r="P50" s="269"/>
      <c r="Q50" s="260" t="str">
        <f aca="false">IF((O50+P50)&gt;0,IF(P50&lt;M50,(M50-P50)*(1-G50)," ")," ")</f>
        <v> </v>
      </c>
      <c r="R50" s="260" t="str">
        <f aca="false">IF((O50+P50)&gt;0,IF(P50&gt;M50,(P50-M50)*(1-G50)," ")," ")</f>
        <v> </v>
      </c>
      <c r="S50" s="240"/>
    </row>
    <row r="51" customFormat="false" ht="12" hidden="false" customHeight="false" outlineLevel="0" collapsed="false">
      <c r="A51" s="255"/>
      <c r="B51" s="266"/>
      <c r="C51" s="267"/>
      <c r="D51" s="268"/>
      <c r="E51" s="269"/>
      <c r="F51" s="263"/>
      <c r="G51" s="284" t="n">
        <v>0</v>
      </c>
      <c r="H51" s="263"/>
      <c r="I51" s="278"/>
      <c r="J51" s="261"/>
      <c r="K51" s="260"/>
      <c r="L51" s="260" t="str">
        <f aca="false">IF(I51&gt;0,I51*L$4," ")</f>
        <v> </v>
      </c>
      <c r="M51" s="260" t="str">
        <f aca="false">IF(I51&gt;0,I51-L51," ")</f>
        <v> </v>
      </c>
      <c r="N51" s="260"/>
      <c r="O51" s="266"/>
      <c r="P51" s="269"/>
      <c r="Q51" s="260" t="str">
        <f aca="false">IF((O51+P51)&gt;0,IF(P51&lt;M51,(M51-P51)*(1-G51)," ")," ")</f>
        <v> </v>
      </c>
      <c r="R51" s="260" t="str">
        <f aca="false">IF((O51+P51)&gt;0,IF(P51&gt;M51,(P51-M51)*(1-G51)," ")," ")</f>
        <v> </v>
      </c>
      <c r="S51" s="240"/>
    </row>
    <row r="52" customFormat="false" ht="12" hidden="false" customHeight="false" outlineLevel="0" collapsed="false">
      <c r="A52" s="255"/>
      <c r="B52" s="266"/>
      <c r="C52" s="267"/>
      <c r="D52" s="268"/>
      <c r="E52" s="269"/>
      <c r="F52" s="263"/>
      <c r="G52" s="284" t="n">
        <v>0</v>
      </c>
      <c r="H52" s="263"/>
      <c r="I52" s="278"/>
      <c r="J52" s="261"/>
      <c r="K52" s="260"/>
      <c r="L52" s="260" t="str">
        <f aca="false">IF(I52&gt;0,I52*L$4," ")</f>
        <v> </v>
      </c>
      <c r="M52" s="260" t="str">
        <f aca="false">IF(I52&gt;0,I52-L52," ")</f>
        <v> </v>
      </c>
      <c r="N52" s="260"/>
      <c r="O52" s="266"/>
      <c r="P52" s="269"/>
      <c r="Q52" s="260" t="str">
        <f aca="false">IF((O52+P52)&gt;0,IF(P52&lt;M52,(M52-P52)*(1-G52)," ")," ")</f>
        <v> </v>
      </c>
      <c r="R52" s="260" t="str">
        <f aca="false">IF((O52+P52)&gt;0,IF(P52&gt;M52,(P52-M52)*(1-G52)," ")," ")</f>
        <v> </v>
      </c>
      <c r="S52" s="240"/>
    </row>
    <row r="53" customFormat="false" ht="12" hidden="false" customHeight="false" outlineLevel="0" collapsed="false">
      <c r="A53" s="255"/>
      <c r="B53" s="266"/>
      <c r="C53" s="267"/>
      <c r="D53" s="268"/>
      <c r="E53" s="269"/>
      <c r="F53" s="263"/>
      <c r="G53" s="284" t="n">
        <v>0</v>
      </c>
      <c r="H53" s="263"/>
      <c r="I53" s="278"/>
      <c r="J53" s="261"/>
      <c r="K53" s="260"/>
      <c r="L53" s="260" t="str">
        <f aca="false">IF(I53&gt;0,I53*L$4," ")</f>
        <v> </v>
      </c>
      <c r="M53" s="260" t="str">
        <f aca="false">IF(I53&gt;0,I53-L53," ")</f>
        <v> </v>
      </c>
      <c r="N53" s="260"/>
      <c r="O53" s="266"/>
      <c r="P53" s="269"/>
      <c r="Q53" s="260" t="str">
        <f aca="false">IF((O53+P53)&gt;0,IF(P53&lt;M53,(M53-P53)*(1-G53)," ")," ")</f>
        <v> </v>
      </c>
      <c r="R53" s="260" t="str">
        <f aca="false">IF((O53+P53)&gt;0,IF(P53&gt;M53,(P53-M53)*(1-G53)," ")," ")</f>
        <v> </v>
      </c>
      <c r="S53" s="240"/>
    </row>
    <row r="54" customFormat="false" ht="12" hidden="false" customHeight="false" outlineLevel="0" collapsed="false">
      <c r="A54" s="255"/>
      <c r="B54" s="266"/>
      <c r="C54" s="267"/>
      <c r="D54" s="268"/>
      <c r="E54" s="269"/>
      <c r="F54" s="263"/>
      <c r="G54" s="284" t="n">
        <v>0</v>
      </c>
      <c r="H54" s="263"/>
      <c r="I54" s="278"/>
      <c r="J54" s="261"/>
      <c r="K54" s="260"/>
      <c r="L54" s="260" t="str">
        <f aca="false">IF(I54&gt;0,I54*L$4," ")</f>
        <v> </v>
      </c>
      <c r="M54" s="260" t="str">
        <f aca="false">IF(I54&gt;0,I54-L54," ")</f>
        <v> </v>
      </c>
      <c r="N54" s="260"/>
      <c r="O54" s="266"/>
      <c r="P54" s="269"/>
      <c r="Q54" s="260" t="str">
        <f aca="false">IF((O54+P54)&gt;0,IF(P54&lt;M54,(M54-P54)*(1-G54)," ")," ")</f>
        <v> </v>
      </c>
      <c r="R54" s="260" t="str">
        <f aca="false">IF((O54+P54)&gt;0,IF(P54&gt;M54,(P54-M54)*(1-G54)," ")," ")</f>
        <v> </v>
      </c>
      <c r="S54" s="240"/>
    </row>
    <row r="55" customFormat="false" ht="12" hidden="false" customHeight="true" outlineLevel="0" collapsed="false">
      <c r="A55" s="255"/>
      <c r="B55" s="271" t="s">
        <v>214</v>
      </c>
      <c r="C55" s="271"/>
      <c r="D55" s="271"/>
      <c r="E55" s="273" t="n">
        <f aca="false">SUM(E38:E54)</f>
        <v>0</v>
      </c>
      <c r="F55" s="263"/>
      <c r="G55" s="282"/>
      <c r="H55" s="263"/>
      <c r="I55" s="273" t="n">
        <f aca="false">SUM(I38:I54)</f>
        <v>0</v>
      </c>
      <c r="J55" s="274"/>
      <c r="K55" s="273" t="n">
        <f aca="false">SUM(K38:K54)</f>
        <v>0</v>
      </c>
      <c r="L55" s="273" t="n">
        <f aca="false">SUM(L38:L54)</f>
        <v>0</v>
      </c>
      <c r="M55" s="273" t="n">
        <f aca="false">SUM(M38:M54)</f>
        <v>0</v>
      </c>
      <c r="N55" s="263"/>
      <c r="O55" s="262"/>
      <c r="P55" s="273" t="n">
        <f aca="false">SUM(P38:P54)</f>
        <v>0</v>
      </c>
      <c r="Q55" s="273" t="n">
        <f aca="false">SUM(Q38:Q54)</f>
        <v>0</v>
      </c>
      <c r="R55" s="273" t="n">
        <f aca="false">SUM(R38:R54)</f>
        <v>0</v>
      </c>
      <c r="S55" s="240"/>
    </row>
    <row r="56" customFormat="false" ht="6" hidden="false" customHeight="true" outlineLevel="0" collapsed="false">
      <c r="A56" s="255"/>
      <c r="B56" s="262"/>
      <c r="C56" s="285"/>
      <c r="D56" s="274"/>
      <c r="E56" s="263"/>
      <c r="F56" s="263"/>
      <c r="G56" s="270"/>
      <c r="H56" s="263"/>
      <c r="I56" s="260"/>
      <c r="J56" s="261"/>
      <c r="K56" s="260"/>
      <c r="L56" s="260"/>
      <c r="M56" s="260"/>
      <c r="N56" s="260"/>
      <c r="O56" s="262"/>
      <c r="P56" s="263"/>
      <c r="Q56" s="260"/>
      <c r="R56" s="260"/>
      <c r="S56" s="240"/>
    </row>
    <row r="57" customFormat="false" ht="13.5" hidden="false" customHeight="true" outlineLevel="0" collapsed="false">
      <c r="A57" s="255"/>
      <c r="B57" s="256" t="str">
        <f aca="false">B6</f>
        <v>EXISTING FIXED ASSETS at </v>
      </c>
      <c r="C57" s="256"/>
      <c r="D57" s="257" t="n">
        <f aca="false">D6</f>
        <v>44657</v>
      </c>
      <c r="E57" s="286" t="n">
        <f aca="false">E11+E19+E27+E35+E55</f>
        <v>0</v>
      </c>
      <c r="F57" s="263"/>
      <c r="G57" s="270"/>
      <c r="H57" s="263"/>
      <c r="I57" s="286" t="n">
        <f aca="false">I11+I19+I27+I35+I55</f>
        <v>0</v>
      </c>
      <c r="J57" s="274"/>
      <c r="K57" s="286" t="n">
        <f aca="false">K11+K19+K27+K35+K55</f>
        <v>0</v>
      </c>
      <c r="L57" s="286" t="n">
        <f aca="false">L11+L19+L27+L35+L55</f>
        <v>0</v>
      </c>
      <c r="M57" s="286" t="n">
        <f aca="false">M11+M19+M27+M35+M55</f>
        <v>0</v>
      </c>
      <c r="N57" s="260"/>
      <c r="O57" s="262"/>
      <c r="P57" s="286" t="n">
        <f aca="false">P11+P19+P27+P35+P55</f>
        <v>0</v>
      </c>
      <c r="Q57" s="286" t="n">
        <f aca="false">Q11+Q19+Q27+Q35+Q55</f>
        <v>0</v>
      </c>
      <c r="R57" s="286" t="n">
        <f aca="false">R11+R19+R27+R35+R55</f>
        <v>0</v>
      </c>
      <c r="S57" s="240"/>
    </row>
    <row r="58" customFormat="false" ht="9" hidden="false" customHeight="true" outlineLevel="0" collapsed="false">
      <c r="A58" s="255"/>
      <c r="B58" s="287"/>
      <c r="C58" s="288"/>
      <c r="D58" s="289"/>
      <c r="E58" s="263"/>
      <c r="F58" s="263"/>
      <c r="G58" s="270"/>
      <c r="H58" s="263"/>
      <c r="I58" s="260"/>
      <c r="J58" s="261"/>
      <c r="K58" s="260"/>
      <c r="L58" s="260"/>
      <c r="M58" s="260"/>
      <c r="N58" s="260"/>
      <c r="O58" s="262"/>
      <c r="P58" s="263"/>
      <c r="Q58" s="260"/>
      <c r="R58" s="260"/>
      <c r="S58" s="240"/>
    </row>
    <row r="59" customFormat="false" ht="13.5" hidden="false" customHeight="true" outlineLevel="0" collapsed="false">
      <c r="A59" s="255"/>
      <c r="B59" s="256" t="s">
        <v>215</v>
      </c>
      <c r="C59" s="256"/>
      <c r="D59" s="257" t="n">
        <f aca="false">Admin!B4</f>
        <v>44657</v>
      </c>
      <c r="E59" s="260"/>
      <c r="F59" s="260"/>
      <c r="G59" s="270"/>
      <c r="H59" s="260"/>
      <c r="I59" s="260"/>
      <c r="J59" s="261"/>
      <c r="K59" s="260"/>
      <c r="L59" s="260"/>
      <c r="M59" s="260"/>
      <c r="N59" s="260"/>
      <c r="O59" s="262"/>
      <c r="P59" s="263"/>
      <c r="Q59" s="260"/>
      <c r="R59" s="260"/>
      <c r="S59" s="240"/>
    </row>
    <row r="60" customFormat="false" ht="12.75" hidden="false" customHeight="true" outlineLevel="0" collapsed="false">
      <c r="A60" s="255"/>
      <c r="B60" s="264" t="s">
        <v>203</v>
      </c>
      <c r="C60" s="264"/>
      <c r="D60" s="265"/>
      <c r="E60" s="258"/>
      <c r="F60" s="258"/>
      <c r="G60" s="270"/>
      <c r="H60" s="258"/>
      <c r="I60" s="260"/>
      <c r="J60" s="261"/>
      <c r="K60" s="260"/>
      <c r="L60" s="260"/>
      <c r="M60" s="260"/>
      <c r="N60" s="260"/>
      <c r="O60" s="262"/>
      <c r="P60" s="263"/>
      <c r="Q60" s="260"/>
      <c r="R60" s="260"/>
      <c r="S60" s="240"/>
    </row>
    <row r="61" customFormat="false" ht="12" hidden="false" customHeight="false" outlineLevel="0" collapsed="false">
      <c r="A61" s="255"/>
      <c r="B61" s="266"/>
      <c r="C61" s="267"/>
      <c r="D61" s="290"/>
      <c r="E61" s="269"/>
      <c r="F61" s="263"/>
      <c r="G61" s="270"/>
      <c r="H61" s="263"/>
      <c r="I61" s="260"/>
      <c r="J61" s="261"/>
      <c r="K61" s="260"/>
      <c r="L61" s="260"/>
      <c r="M61" s="260"/>
      <c r="N61" s="260"/>
      <c r="O61" s="266"/>
      <c r="P61" s="269"/>
      <c r="Q61" s="260"/>
      <c r="R61" s="260"/>
      <c r="S61" s="240"/>
    </row>
    <row r="62" customFormat="false" ht="12" hidden="false" customHeight="false" outlineLevel="0" collapsed="false">
      <c r="A62" s="255"/>
      <c r="B62" s="266"/>
      <c r="C62" s="267"/>
      <c r="D62" s="290"/>
      <c r="E62" s="269"/>
      <c r="F62" s="263"/>
      <c r="G62" s="270"/>
      <c r="H62" s="263"/>
      <c r="I62" s="260"/>
      <c r="J62" s="261"/>
      <c r="K62" s="260"/>
      <c r="L62" s="260"/>
      <c r="M62" s="260"/>
      <c r="N62" s="260"/>
      <c r="O62" s="266"/>
      <c r="P62" s="269"/>
      <c r="Q62" s="260"/>
      <c r="R62" s="260"/>
      <c r="S62" s="240"/>
    </row>
    <row r="63" customFormat="false" ht="12" hidden="false" customHeight="false" outlineLevel="0" collapsed="false">
      <c r="A63" s="255"/>
      <c r="B63" s="266"/>
      <c r="C63" s="267"/>
      <c r="D63" s="290"/>
      <c r="E63" s="269"/>
      <c r="F63" s="263"/>
      <c r="G63" s="270"/>
      <c r="H63" s="263"/>
      <c r="I63" s="260"/>
      <c r="J63" s="261"/>
      <c r="K63" s="260"/>
      <c r="L63" s="260"/>
      <c r="M63" s="260"/>
      <c r="N63" s="260"/>
      <c r="O63" s="266"/>
      <c r="P63" s="269"/>
      <c r="Q63" s="260"/>
      <c r="R63" s="260"/>
      <c r="S63" s="240"/>
    </row>
    <row r="64" customFormat="false" ht="12" hidden="false" customHeight="true" outlineLevel="0" collapsed="false">
      <c r="A64" s="255"/>
      <c r="B64" s="271" t="s">
        <v>216</v>
      </c>
      <c r="C64" s="271"/>
      <c r="D64" s="271"/>
      <c r="E64" s="272" t="n">
        <f aca="false">SUM(E61:E63)</f>
        <v>0</v>
      </c>
      <c r="F64" s="263"/>
      <c r="G64" s="270"/>
      <c r="H64" s="263"/>
      <c r="I64" s="273" t="n">
        <f aca="false">SUM(I61:I63)</f>
        <v>0</v>
      </c>
      <c r="J64" s="291"/>
      <c r="K64" s="273" t="n">
        <f aca="false">SUM(K61:K63)</f>
        <v>0</v>
      </c>
      <c r="L64" s="273" t="n">
        <f aca="false">SUM(L61:L63)</f>
        <v>0</v>
      </c>
      <c r="M64" s="273" t="n">
        <f aca="false">SUM(M61:M63)</f>
        <v>0</v>
      </c>
      <c r="N64" s="260"/>
      <c r="O64" s="262"/>
      <c r="P64" s="272" t="n">
        <f aca="false">SUM(P61:P63)</f>
        <v>0</v>
      </c>
      <c r="Q64" s="273" t="n">
        <f aca="false">SUM(Q61:Q63)</f>
        <v>0</v>
      </c>
      <c r="R64" s="273" t="n">
        <f aca="false">SUM(R61:R63)</f>
        <v>0</v>
      </c>
      <c r="S64" s="240"/>
    </row>
    <row r="65" customFormat="false" ht="6" hidden="false" customHeight="true" outlineLevel="0" collapsed="false">
      <c r="A65" s="255"/>
      <c r="B65" s="275"/>
      <c r="C65" s="276"/>
      <c r="D65" s="277"/>
      <c r="E65" s="263"/>
      <c r="F65" s="263"/>
      <c r="G65" s="270"/>
      <c r="H65" s="263"/>
      <c r="I65" s="263"/>
      <c r="J65" s="274"/>
      <c r="K65" s="263"/>
      <c r="L65" s="263"/>
      <c r="M65" s="263"/>
      <c r="N65" s="260"/>
      <c r="O65" s="262"/>
      <c r="P65" s="263"/>
      <c r="Q65" s="263"/>
      <c r="R65" s="263"/>
      <c r="S65" s="240"/>
    </row>
    <row r="66" customFormat="false" ht="12" hidden="false" customHeight="true" outlineLevel="0" collapsed="false">
      <c r="A66" s="255"/>
      <c r="B66" s="264" t="s">
        <v>205</v>
      </c>
      <c r="C66" s="264"/>
      <c r="D66" s="274"/>
      <c r="E66" s="263"/>
      <c r="F66" s="263"/>
      <c r="G66" s="270"/>
      <c r="H66" s="263"/>
      <c r="I66" s="260"/>
      <c r="J66" s="261"/>
      <c r="K66" s="260"/>
      <c r="L66" s="260"/>
      <c r="M66" s="260"/>
      <c r="N66" s="260"/>
      <c r="O66" s="262"/>
      <c r="P66" s="263"/>
      <c r="Q66" s="260"/>
      <c r="R66" s="260"/>
      <c r="S66" s="240"/>
    </row>
    <row r="67" customFormat="false" ht="12" hidden="false" customHeight="false" outlineLevel="0" collapsed="false">
      <c r="A67" s="255"/>
      <c r="B67" s="266"/>
      <c r="C67" s="267"/>
      <c r="D67" s="268"/>
      <c r="E67" s="269"/>
      <c r="F67" s="263"/>
      <c r="G67" s="270"/>
      <c r="H67" s="263"/>
      <c r="I67" s="260"/>
      <c r="J67" s="270" t="n">
        <f aca="false">J$4</f>
        <v>1</v>
      </c>
      <c r="K67" s="260" t="str">
        <f aca="false">IF(E67&gt;0,E67*J67," ")</f>
        <v> </v>
      </c>
      <c r="L67" s="260"/>
      <c r="M67" s="260" t="str">
        <f aca="false">IF(E67&gt;0,E67-K67," ")</f>
        <v> </v>
      </c>
      <c r="N67" s="260"/>
      <c r="O67" s="266"/>
      <c r="P67" s="269"/>
      <c r="Q67" s="260" t="str">
        <f aca="false">IF((O67+P67)&gt;0,IF(P67&lt;M67,M67-P67," ")," ")</f>
        <v> </v>
      </c>
      <c r="R67" s="260" t="str">
        <f aca="false">IF((O67+P67)&gt;0,IF(P67&gt;M67,P67-M67," ")," ")</f>
        <v> </v>
      </c>
      <c r="S67" s="240"/>
    </row>
    <row r="68" customFormat="false" ht="12" hidden="false" customHeight="false" outlineLevel="0" collapsed="false">
      <c r="A68" s="255"/>
      <c r="B68" s="266"/>
      <c r="C68" s="267"/>
      <c r="D68" s="268"/>
      <c r="E68" s="269"/>
      <c r="F68" s="263"/>
      <c r="G68" s="270"/>
      <c r="H68" s="263"/>
      <c r="I68" s="260"/>
      <c r="J68" s="270" t="n">
        <f aca="false">J$4</f>
        <v>1</v>
      </c>
      <c r="K68" s="260" t="str">
        <f aca="false">IF(E68&gt;0,E68*J68," ")</f>
        <v> </v>
      </c>
      <c r="L68" s="260"/>
      <c r="M68" s="260" t="str">
        <f aca="false">IF(E68&gt;0,E68-K68," ")</f>
        <v> </v>
      </c>
      <c r="N68" s="260"/>
      <c r="O68" s="266"/>
      <c r="P68" s="269"/>
      <c r="Q68" s="260" t="str">
        <f aca="false">IF((O68+P68)&gt;0,IF(P68&lt;M68,M68-P68," ")," ")</f>
        <v> </v>
      </c>
      <c r="R68" s="260" t="str">
        <f aca="false">IF((O68+P68)&gt;0,IF(P68&gt;M68,P68-M68," ")," ")</f>
        <v> </v>
      </c>
      <c r="S68" s="240"/>
    </row>
    <row r="69" customFormat="false" ht="12" hidden="false" customHeight="false" outlineLevel="0" collapsed="false">
      <c r="A69" s="255"/>
      <c r="B69" s="266"/>
      <c r="C69" s="267"/>
      <c r="D69" s="268"/>
      <c r="E69" s="269"/>
      <c r="F69" s="263"/>
      <c r="G69" s="270"/>
      <c r="H69" s="263"/>
      <c r="I69" s="260"/>
      <c r="J69" s="270" t="n">
        <f aca="false">J$4</f>
        <v>1</v>
      </c>
      <c r="K69" s="260" t="str">
        <f aca="false">IF(E69&gt;0,E69*J69," ")</f>
        <v> </v>
      </c>
      <c r="L69" s="260"/>
      <c r="M69" s="260" t="str">
        <f aca="false">IF(E69&gt;0,E69-K69," ")</f>
        <v> </v>
      </c>
      <c r="N69" s="260"/>
      <c r="O69" s="266"/>
      <c r="P69" s="269"/>
      <c r="Q69" s="260" t="str">
        <f aca="false">IF((O69+P69)&gt;0,IF(P69&lt;M69,M69-P69," ")," ")</f>
        <v> </v>
      </c>
      <c r="R69" s="260" t="str">
        <f aca="false">IF((O69+P69)&gt;0,IF(P69&gt;M69,P69-M69," ")," ")</f>
        <v> </v>
      </c>
      <c r="S69" s="240"/>
    </row>
    <row r="70" customFormat="false" ht="12" hidden="false" customHeight="false" outlineLevel="0" collapsed="false">
      <c r="A70" s="255"/>
      <c r="B70" s="266"/>
      <c r="C70" s="267"/>
      <c r="D70" s="268"/>
      <c r="E70" s="269"/>
      <c r="F70" s="263"/>
      <c r="G70" s="270"/>
      <c r="H70" s="263"/>
      <c r="I70" s="260"/>
      <c r="J70" s="270" t="n">
        <f aca="false">J$4</f>
        <v>1</v>
      </c>
      <c r="K70" s="260" t="str">
        <f aca="false">IF(E70&gt;0,E70*J70," ")</f>
        <v> </v>
      </c>
      <c r="L70" s="260"/>
      <c r="M70" s="260" t="str">
        <f aca="false">IF(E70&gt;0,E70-K70," ")</f>
        <v> </v>
      </c>
      <c r="N70" s="260"/>
      <c r="O70" s="266"/>
      <c r="P70" s="269"/>
      <c r="Q70" s="260" t="str">
        <f aca="false">IF((O70+P70)&gt;0,IF(P70&lt;M70,M70-P70," ")," ")</f>
        <v> </v>
      </c>
      <c r="R70" s="260" t="str">
        <f aca="false">IF((O70+P70)&gt;0,IF(P70&gt;M70,P70-M70," ")," ")</f>
        <v> </v>
      </c>
      <c r="S70" s="240"/>
    </row>
    <row r="71" customFormat="false" ht="12" hidden="false" customHeight="false" outlineLevel="0" collapsed="false">
      <c r="A71" s="255"/>
      <c r="B71" s="266"/>
      <c r="C71" s="267"/>
      <c r="D71" s="268"/>
      <c r="E71" s="269"/>
      <c r="F71" s="263"/>
      <c r="G71" s="270"/>
      <c r="H71" s="263"/>
      <c r="I71" s="260"/>
      <c r="J71" s="270" t="n">
        <f aca="false">J$4</f>
        <v>1</v>
      </c>
      <c r="K71" s="260" t="str">
        <f aca="false">IF(E71&gt;0,E71*J71," ")</f>
        <v> </v>
      </c>
      <c r="L71" s="260"/>
      <c r="M71" s="260" t="str">
        <f aca="false">IF(E71&gt;0,E71-K71," ")</f>
        <v> </v>
      </c>
      <c r="N71" s="260"/>
      <c r="O71" s="266"/>
      <c r="P71" s="269"/>
      <c r="Q71" s="260" t="str">
        <f aca="false">IF((O71+P71)&gt;0,IF(P71&lt;M71,M71-P71," ")," ")</f>
        <v> </v>
      </c>
      <c r="R71" s="260" t="str">
        <f aca="false">IF((O71+P71)&gt;0,IF(P71&gt;M71,P71-M71," ")," ")</f>
        <v> </v>
      </c>
      <c r="S71" s="240"/>
    </row>
    <row r="72" customFormat="false" ht="12" hidden="false" customHeight="true" outlineLevel="0" collapsed="false">
      <c r="A72" s="255"/>
      <c r="B72" s="271" t="s">
        <v>217</v>
      </c>
      <c r="C72" s="271"/>
      <c r="D72" s="271"/>
      <c r="E72" s="272" t="n">
        <f aca="false">SUM(E67:E71)</f>
        <v>0</v>
      </c>
      <c r="F72" s="263"/>
      <c r="G72" s="270"/>
      <c r="H72" s="263"/>
      <c r="I72" s="273" t="n">
        <f aca="false">SUM(I67:I71)</f>
        <v>0</v>
      </c>
      <c r="J72" s="274"/>
      <c r="K72" s="273" t="n">
        <f aca="false">SUM(K67:K71)</f>
        <v>0</v>
      </c>
      <c r="L72" s="273" t="n">
        <f aca="false">SUM(L67:L71)</f>
        <v>0</v>
      </c>
      <c r="M72" s="273" t="n">
        <f aca="false">SUM(M67:M71)</f>
        <v>0</v>
      </c>
      <c r="N72" s="260"/>
      <c r="O72" s="262"/>
      <c r="P72" s="272" t="n">
        <f aca="false">SUM(P67:P71)</f>
        <v>0</v>
      </c>
      <c r="Q72" s="273" t="n">
        <f aca="false">SUM(Q67:Q71)</f>
        <v>0</v>
      </c>
      <c r="R72" s="273" t="n">
        <f aca="false">SUM(R67:R71)</f>
        <v>0</v>
      </c>
      <c r="S72" s="240"/>
    </row>
    <row r="73" customFormat="false" ht="6" hidden="false" customHeight="true" outlineLevel="0" collapsed="false">
      <c r="A73" s="255"/>
      <c r="B73" s="275"/>
      <c r="C73" s="276"/>
      <c r="D73" s="277"/>
      <c r="E73" s="263"/>
      <c r="F73" s="263"/>
      <c r="G73" s="270"/>
      <c r="H73" s="263"/>
      <c r="I73" s="263"/>
      <c r="J73" s="274"/>
      <c r="K73" s="263"/>
      <c r="L73" s="263"/>
      <c r="M73" s="263"/>
      <c r="N73" s="260"/>
      <c r="O73" s="262"/>
      <c r="P73" s="263"/>
      <c r="Q73" s="263"/>
      <c r="R73" s="263"/>
      <c r="S73" s="240"/>
    </row>
    <row r="74" customFormat="false" ht="12" hidden="false" customHeight="true" outlineLevel="0" collapsed="false">
      <c r="A74" s="255"/>
      <c r="B74" s="264" t="s">
        <v>207</v>
      </c>
      <c r="C74" s="264"/>
      <c r="D74" s="274"/>
      <c r="E74" s="263"/>
      <c r="F74" s="263"/>
      <c r="G74" s="270"/>
      <c r="H74" s="263"/>
      <c r="I74" s="260"/>
      <c r="J74" s="261"/>
      <c r="K74" s="260"/>
      <c r="L74" s="260"/>
      <c r="M74" s="260"/>
      <c r="N74" s="260"/>
      <c r="O74" s="262"/>
      <c r="P74" s="263"/>
      <c r="Q74" s="260"/>
      <c r="R74" s="260"/>
      <c r="S74" s="240"/>
    </row>
    <row r="75" customFormat="false" ht="12" hidden="false" customHeight="true" outlineLevel="0" collapsed="false">
      <c r="A75" s="255"/>
      <c r="B75" s="266"/>
      <c r="C75" s="267"/>
      <c r="D75" s="290"/>
      <c r="E75" s="269"/>
      <c r="F75" s="263"/>
      <c r="G75" s="270"/>
      <c r="H75" s="263"/>
      <c r="I75" s="260"/>
      <c r="J75" s="270" t="n">
        <f aca="false">J$4</f>
        <v>1</v>
      </c>
      <c r="K75" s="260" t="str">
        <f aca="false">IF(E75&gt;0,E75*J75," ")</f>
        <v> </v>
      </c>
      <c r="L75" s="260"/>
      <c r="M75" s="260" t="str">
        <f aca="false">IF(E75&gt;0,E75-K75," ")</f>
        <v> </v>
      </c>
      <c r="N75" s="260"/>
      <c r="O75" s="266"/>
      <c r="P75" s="269"/>
      <c r="Q75" s="260" t="str">
        <f aca="false">IF((O75+P75)&gt;0,IF(P75&lt;M75,M75-P75," ")," ")</f>
        <v> </v>
      </c>
      <c r="R75" s="260" t="str">
        <f aca="false">IF((O75+P75)&gt;0,IF(P75&gt;M75,P75-M75," ")," ")</f>
        <v> </v>
      </c>
      <c r="S75" s="240"/>
    </row>
    <row r="76" customFormat="false" ht="12" hidden="false" customHeight="false" outlineLevel="0" collapsed="false">
      <c r="A76" s="255"/>
      <c r="B76" s="266"/>
      <c r="C76" s="267"/>
      <c r="D76" s="290"/>
      <c r="E76" s="269"/>
      <c r="F76" s="263"/>
      <c r="G76" s="270"/>
      <c r="H76" s="263"/>
      <c r="I76" s="260"/>
      <c r="J76" s="270" t="n">
        <f aca="false">J$4</f>
        <v>1</v>
      </c>
      <c r="K76" s="260" t="str">
        <f aca="false">IF(E76&gt;0,E76*J76," ")</f>
        <v> </v>
      </c>
      <c r="L76" s="260"/>
      <c r="M76" s="260" t="str">
        <f aca="false">IF(E76&gt;0,E76-K76," ")</f>
        <v> </v>
      </c>
      <c r="N76" s="260"/>
      <c r="O76" s="266"/>
      <c r="P76" s="269"/>
      <c r="Q76" s="260" t="str">
        <f aca="false">IF((O76+P76)&gt;0,IF(P76&lt;M76,M76-P76," ")," ")</f>
        <v> </v>
      </c>
      <c r="R76" s="260" t="str">
        <f aca="false">IF((O76+P76)&gt;0,IF(P76&gt;M76,P76-M76," ")," ")</f>
        <v> </v>
      </c>
      <c r="S76" s="240"/>
    </row>
    <row r="77" customFormat="false" ht="12" hidden="false" customHeight="false" outlineLevel="0" collapsed="false">
      <c r="A77" s="255"/>
      <c r="B77" s="266"/>
      <c r="C77" s="267"/>
      <c r="D77" s="290"/>
      <c r="E77" s="269"/>
      <c r="F77" s="263"/>
      <c r="G77" s="270"/>
      <c r="H77" s="263"/>
      <c r="I77" s="260"/>
      <c r="J77" s="270" t="n">
        <f aca="false">J$4</f>
        <v>1</v>
      </c>
      <c r="K77" s="260" t="str">
        <f aca="false">IF(E77&gt;0,E77*J77," ")</f>
        <v> </v>
      </c>
      <c r="L77" s="260"/>
      <c r="M77" s="260" t="str">
        <f aca="false">IF(E77&gt;0,E77-K77," ")</f>
        <v> </v>
      </c>
      <c r="N77" s="260"/>
      <c r="O77" s="266"/>
      <c r="P77" s="269"/>
      <c r="Q77" s="260" t="str">
        <f aca="false">IF((O77+P77)&gt;0,IF(P77&lt;M77,M77-P77," ")," ")</f>
        <v> </v>
      </c>
      <c r="R77" s="260" t="str">
        <f aca="false">IF((O77+P77)&gt;0,IF(P77&gt;M77,P77-M77," ")," ")</f>
        <v> </v>
      </c>
      <c r="S77" s="240"/>
    </row>
    <row r="78" customFormat="false" ht="12" hidden="false" customHeight="false" outlineLevel="0" collapsed="false">
      <c r="A78" s="255"/>
      <c r="B78" s="266"/>
      <c r="C78" s="267"/>
      <c r="D78" s="290"/>
      <c r="E78" s="269"/>
      <c r="F78" s="263"/>
      <c r="G78" s="270"/>
      <c r="H78" s="263"/>
      <c r="I78" s="260"/>
      <c r="J78" s="270" t="n">
        <f aca="false">J$4</f>
        <v>1</v>
      </c>
      <c r="K78" s="260" t="str">
        <f aca="false">IF(E78&gt;0,E78*J78," ")</f>
        <v> </v>
      </c>
      <c r="L78" s="260"/>
      <c r="M78" s="260" t="str">
        <f aca="false">IF(E78&gt;0,E78-K78," ")</f>
        <v> </v>
      </c>
      <c r="N78" s="260"/>
      <c r="O78" s="266"/>
      <c r="P78" s="269"/>
      <c r="Q78" s="260" t="str">
        <f aca="false">IF((O78+P78)&gt;0,IF(P78&lt;M78,M78-P78," ")," ")</f>
        <v> </v>
      </c>
      <c r="R78" s="260" t="str">
        <f aca="false">IF((O78+P78)&gt;0,IF(P78&gt;M78,P78-M78," ")," ")</f>
        <v> </v>
      </c>
      <c r="S78" s="240"/>
    </row>
    <row r="79" customFormat="false" ht="12" hidden="false" customHeight="false" outlineLevel="0" collapsed="false">
      <c r="A79" s="255"/>
      <c r="B79" s="266"/>
      <c r="C79" s="267"/>
      <c r="D79" s="290"/>
      <c r="E79" s="269"/>
      <c r="F79" s="263"/>
      <c r="G79" s="270"/>
      <c r="H79" s="263"/>
      <c r="I79" s="260"/>
      <c r="J79" s="270" t="n">
        <f aca="false">J$4</f>
        <v>1</v>
      </c>
      <c r="K79" s="260" t="str">
        <f aca="false">IF(E79&gt;0,E79*J79," ")</f>
        <v> </v>
      </c>
      <c r="L79" s="260"/>
      <c r="M79" s="260" t="str">
        <f aca="false">IF(E79&gt;0,E79-K79," ")</f>
        <v> </v>
      </c>
      <c r="N79" s="260"/>
      <c r="O79" s="266"/>
      <c r="P79" s="269"/>
      <c r="Q79" s="260" t="str">
        <f aca="false">IF((O79+P79)&gt;0,IF(P79&lt;M79,M79-P79," ")," ")</f>
        <v> </v>
      </c>
      <c r="R79" s="260" t="str">
        <f aca="false">IF((O79+P79)&gt;0,IF(P79&gt;M79,P79-M79," ")," ")</f>
        <v> </v>
      </c>
      <c r="S79" s="240"/>
    </row>
    <row r="80" customFormat="false" ht="12" hidden="false" customHeight="true" outlineLevel="0" collapsed="false">
      <c r="A80" s="255"/>
      <c r="B80" s="271" t="s">
        <v>218</v>
      </c>
      <c r="C80" s="271"/>
      <c r="D80" s="271"/>
      <c r="E80" s="272" t="n">
        <f aca="false">SUM(E75:E79)</f>
        <v>0</v>
      </c>
      <c r="F80" s="263"/>
      <c r="G80" s="270"/>
      <c r="H80" s="263"/>
      <c r="I80" s="273" t="n">
        <f aca="false">SUM(I75:I79)</f>
        <v>0</v>
      </c>
      <c r="J80" s="274"/>
      <c r="K80" s="273" t="n">
        <f aca="false">SUM(K75:K79)</f>
        <v>0</v>
      </c>
      <c r="L80" s="273" t="n">
        <f aca="false">SUM(L75:L79)</f>
        <v>0</v>
      </c>
      <c r="M80" s="273" t="n">
        <f aca="false">SUM(M75:M79)</f>
        <v>0</v>
      </c>
      <c r="N80" s="260"/>
      <c r="O80" s="262"/>
      <c r="P80" s="272" t="n">
        <f aca="false">SUM(P75:P79)</f>
        <v>0</v>
      </c>
      <c r="Q80" s="273" t="n">
        <f aca="false">SUM(Q75:Q79)</f>
        <v>0</v>
      </c>
      <c r="R80" s="273" t="n">
        <f aca="false">SUM(R75:R79)</f>
        <v>0</v>
      </c>
      <c r="S80" s="240"/>
    </row>
    <row r="81" customFormat="false" ht="6" hidden="false" customHeight="true" outlineLevel="0" collapsed="false">
      <c r="A81" s="255"/>
      <c r="B81" s="275"/>
      <c r="C81" s="276"/>
      <c r="D81" s="277"/>
      <c r="E81" s="263"/>
      <c r="F81" s="263"/>
      <c r="G81" s="270"/>
      <c r="H81" s="263"/>
      <c r="I81" s="263"/>
      <c r="J81" s="274"/>
      <c r="K81" s="263"/>
      <c r="L81" s="263"/>
      <c r="M81" s="263"/>
      <c r="N81" s="260"/>
      <c r="O81" s="262"/>
      <c r="P81" s="263"/>
      <c r="Q81" s="263"/>
      <c r="R81" s="263"/>
      <c r="S81" s="240"/>
    </row>
    <row r="82" customFormat="false" ht="12" hidden="false" customHeight="true" outlineLevel="0" collapsed="false">
      <c r="A82" s="255"/>
      <c r="B82" s="264" t="s">
        <v>209</v>
      </c>
      <c r="C82" s="264"/>
      <c r="D82" s="279"/>
      <c r="E82" s="263"/>
      <c r="F82" s="263"/>
      <c r="G82" s="270"/>
      <c r="H82" s="263"/>
      <c r="I82" s="260"/>
      <c r="J82" s="261"/>
      <c r="K82" s="260"/>
      <c r="L82" s="260"/>
      <c r="M82" s="260"/>
      <c r="N82" s="260"/>
      <c r="O82" s="262"/>
      <c r="P82" s="263"/>
      <c r="Q82" s="260"/>
      <c r="R82" s="260"/>
      <c r="S82" s="240"/>
    </row>
    <row r="83" customFormat="false" ht="12" hidden="false" customHeight="false" outlineLevel="0" collapsed="false">
      <c r="A83" s="255"/>
      <c r="B83" s="266"/>
      <c r="C83" s="267"/>
      <c r="D83" s="290"/>
      <c r="E83" s="269"/>
      <c r="F83" s="263"/>
      <c r="G83" s="270"/>
      <c r="H83" s="263"/>
      <c r="I83" s="260"/>
      <c r="J83" s="270" t="n">
        <f aca="false">J$4</f>
        <v>1</v>
      </c>
      <c r="K83" s="260" t="str">
        <f aca="false">IF(E83&gt;0,E83*J83," ")</f>
        <v> </v>
      </c>
      <c r="L83" s="260"/>
      <c r="M83" s="260" t="str">
        <f aca="false">IF(E83&gt;0,E83-K83," ")</f>
        <v> </v>
      </c>
      <c r="N83" s="260"/>
      <c r="O83" s="266"/>
      <c r="P83" s="269"/>
      <c r="Q83" s="260" t="str">
        <f aca="false">IF((O83+P83)&gt;0,IF(P83&lt;M83,M83-P83," ")," ")</f>
        <v> </v>
      </c>
      <c r="R83" s="260" t="str">
        <f aca="false">IF((O83+P83)&gt;0,IF(P83&gt;M83,P83-M83," ")," ")</f>
        <v> </v>
      </c>
      <c r="S83" s="240"/>
    </row>
    <row r="84" customFormat="false" ht="12" hidden="false" customHeight="false" outlineLevel="0" collapsed="false">
      <c r="A84" s="255"/>
      <c r="B84" s="266"/>
      <c r="C84" s="267"/>
      <c r="D84" s="290"/>
      <c r="E84" s="269"/>
      <c r="F84" s="263"/>
      <c r="G84" s="270"/>
      <c r="H84" s="263"/>
      <c r="I84" s="260"/>
      <c r="J84" s="270" t="n">
        <f aca="false">J$4</f>
        <v>1</v>
      </c>
      <c r="K84" s="260" t="str">
        <f aca="false">IF(E84&gt;0,E84*J84," ")</f>
        <v> </v>
      </c>
      <c r="L84" s="260"/>
      <c r="M84" s="260" t="str">
        <f aca="false">IF(E84&gt;0,E84-K84," ")</f>
        <v> </v>
      </c>
      <c r="N84" s="260"/>
      <c r="O84" s="266"/>
      <c r="P84" s="269"/>
      <c r="Q84" s="260" t="str">
        <f aca="false">IF((O84+P84)&gt;0,IF(P84&lt;M84,M84-P84," ")," ")</f>
        <v> </v>
      </c>
      <c r="R84" s="260" t="str">
        <f aca="false">IF((O84+P84)&gt;0,IF(P84&gt;M84,P84-M84," ")," ")</f>
        <v> </v>
      </c>
      <c r="S84" s="240"/>
    </row>
    <row r="85" customFormat="false" ht="12" hidden="false" customHeight="false" outlineLevel="0" collapsed="false">
      <c r="A85" s="255"/>
      <c r="B85" s="266"/>
      <c r="C85" s="267"/>
      <c r="D85" s="290"/>
      <c r="E85" s="269"/>
      <c r="F85" s="263"/>
      <c r="G85" s="270"/>
      <c r="H85" s="263"/>
      <c r="I85" s="260"/>
      <c r="J85" s="270" t="n">
        <f aca="false">J$4</f>
        <v>1</v>
      </c>
      <c r="K85" s="260" t="str">
        <f aca="false">IF(E85&gt;0,E85*J85," ")</f>
        <v> </v>
      </c>
      <c r="L85" s="260"/>
      <c r="M85" s="260" t="str">
        <f aca="false">IF(E85&gt;0,E85-K85," ")</f>
        <v> </v>
      </c>
      <c r="N85" s="260"/>
      <c r="O85" s="266"/>
      <c r="P85" s="269"/>
      <c r="Q85" s="260" t="str">
        <f aca="false">IF((O85+P85)&gt;0,IF(P85&lt;M85,M85-P85," ")," ")</f>
        <v> </v>
      </c>
      <c r="R85" s="260" t="str">
        <f aca="false">IF((O85+P85)&gt;0,IF(P85&gt;M85,P85-M85," ")," ")</f>
        <v> </v>
      </c>
      <c r="S85" s="240"/>
    </row>
    <row r="86" customFormat="false" ht="12" hidden="false" customHeight="false" outlineLevel="0" collapsed="false">
      <c r="A86" s="255"/>
      <c r="B86" s="266"/>
      <c r="C86" s="267"/>
      <c r="D86" s="290"/>
      <c r="E86" s="269"/>
      <c r="F86" s="263"/>
      <c r="G86" s="270"/>
      <c r="H86" s="263"/>
      <c r="I86" s="260"/>
      <c r="J86" s="270" t="n">
        <f aca="false">J$4</f>
        <v>1</v>
      </c>
      <c r="K86" s="260" t="str">
        <f aca="false">IF(E86&gt;0,E86*J86," ")</f>
        <v> </v>
      </c>
      <c r="L86" s="260"/>
      <c r="M86" s="260" t="str">
        <f aca="false">IF(E86&gt;0,E86-K86," ")</f>
        <v> </v>
      </c>
      <c r="N86" s="260"/>
      <c r="O86" s="266"/>
      <c r="P86" s="269"/>
      <c r="Q86" s="260" t="str">
        <f aca="false">IF((O86+P86)&gt;0,IF(P86&lt;M86,M86-P86," ")," ")</f>
        <v> </v>
      </c>
      <c r="R86" s="260" t="str">
        <f aca="false">IF((O86+P86)&gt;0,IF(P86&gt;M86,P86-M86," ")," ")</f>
        <v> </v>
      </c>
      <c r="S86" s="240"/>
    </row>
    <row r="87" customFormat="false" ht="12" hidden="false" customHeight="false" outlineLevel="0" collapsed="false">
      <c r="A87" s="255"/>
      <c r="B87" s="266"/>
      <c r="C87" s="267"/>
      <c r="D87" s="290"/>
      <c r="E87" s="269"/>
      <c r="F87" s="263"/>
      <c r="G87" s="270"/>
      <c r="H87" s="263"/>
      <c r="I87" s="260"/>
      <c r="J87" s="270" t="n">
        <f aca="false">J$4</f>
        <v>1</v>
      </c>
      <c r="K87" s="260" t="str">
        <f aca="false">IF(E87&gt;0,E87*J87," ")</f>
        <v> </v>
      </c>
      <c r="L87" s="260"/>
      <c r="M87" s="260" t="str">
        <f aca="false">IF(E87&gt;0,E87-K87," ")</f>
        <v> </v>
      </c>
      <c r="N87" s="260"/>
      <c r="O87" s="266"/>
      <c r="P87" s="269"/>
      <c r="Q87" s="260" t="str">
        <f aca="false">IF((O87+P87)&gt;0,IF(P87&lt;M87,M87-P87," ")," ")</f>
        <v> </v>
      </c>
      <c r="R87" s="260" t="str">
        <f aca="false">IF((O87+P87)&gt;0,IF(P87&gt;M87,P87-M87," ")," ")</f>
        <v> </v>
      </c>
      <c r="S87" s="240"/>
    </row>
    <row r="88" customFormat="false" ht="12" hidden="false" customHeight="true" outlineLevel="0" collapsed="false">
      <c r="A88" s="255"/>
      <c r="B88" s="271" t="s">
        <v>219</v>
      </c>
      <c r="C88" s="271"/>
      <c r="D88" s="271"/>
      <c r="E88" s="272" t="n">
        <f aca="false">SUM(E83:E87)</f>
        <v>0</v>
      </c>
      <c r="F88" s="263"/>
      <c r="G88" s="270"/>
      <c r="H88" s="263"/>
      <c r="I88" s="273" t="n">
        <f aca="false">SUM(I83:I87)</f>
        <v>0</v>
      </c>
      <c r="J88" s="274"/>
      <c r="K88" s="273" t="n">
        <f aca="false">SUM(K83:K87)</f>
        <v>0</v>
      </c>
      <c r="L88" s="273" t="n">
        <f aca="false">SUM(L83:L87)</f>
        <v>0</v>
      </c>
      <c r="M88" s="273" t="n">
        <f aca="false">SUM(M83:M87)</f>
        <v>0</v>
      </c>
      <c r="N88" s="260"/>
      <c r="O88" s="262"/>
      <c r="P88" s="272" t="n">
        <f aca="false">SUM(P83:P87)</f>
        <v>0</v>
      </c>
      <c r="Q88" s="273" t="n">
        <f aca="false">SUM(Q83:Q87)</f>
        <v>0</v>
      </c>
      <c r="R88" s="273" t="n">
        <f aca="false">SUM(R83:R87)</f>
        <v>0</v>
      </c>
      <c r="S88" s="240"/>
    </row>
    <row r="89" customFormat="false" ht="6" hidden="false" customHeight="true" outlineLevel="0" collapsed="false">
      <c r="A89" s="255"/>
      <c r="B89" s="275"/>
      <c r="C89" s="276"/>
      <c r="D89" s="277"/>
      <c r="E89" s="263"/>
      <c r="F89" s="263"/>
      <c r="G89" s="270"/>
      <c r="H89" s="263"/>
      <c r="I89" s="263"/>
      <c r="J89" s="274"/>
      <c r="K89" s="263"/>
      <c r="L89" s="263"/>
      <c r="M89" s="263"/>
      <c r="N89" s="260"/>
      <c r="O89" s="262"/>
      <c r="P89" s="263"/>
      <c r="Q89" s="263"/>
      <c r="R89" s="263"/>
      <c r="S89" s="240"/>
    </row>
    <row r="90" customFormat="false" ht="12" hidden="false" customHeight="true" outlineLevel="0" collapsed="false">
      <c r="A90" s="255"/>
      <c r="B90" s="280" t="str">
        <f aca="false">B37</f>
        <v>Motor Vehicles - costing over £</v>
      </c>
      <c r="C90" s="280"/>
      <c r="D90" s="281" t="n">
        <f aca="false">D37</f>
        <v>12000</v>
      </c>
      <c r="E90" s="263"/>
      <c r="F90" s="263"/>
      <c r="G90" s="270"/>
      <c r="H90" s="263"/>
      <c r="I90" s="260"/>
      <c r="J90" s="274"/>
      <c r="K90" s="260"/>
      <c r="L90" s="260"/>
      <c r="M90" s="260"/>
      <c r="N90" s="260"/>
      <c r="O90" s="262"/>
      <c r="P90" s="263"/>
      <c r="Q90" s="260"/>
      <c r="R90" s="260"/>
      <c r="S90" s="240"/>
    </row>
    <row r="91" customFormat="false" ht="12" hidden="false" customHeight="false" outlineLevel="0" collapsed="false">
      <c r="A91" s="255"/>
      <c r="B91" s="266"/>
      <c r="C91" s="267"/>
      <c r="D91" s="290"/>
      <c r="E91" s="269"/>
      <c r="F91" s="263"/>
      <c r="G91" s="284" t="n">
        <v>0</v>
      </c>
      <c r="H91" s="263"/>
      <c r="I91" s="260"/>
      <c r="J91" s="261"/>
      <c r="K91" s="260"/>
      <c r="L91" s="260" t="str">
        <f aca="false">IF(E91&gt;0,MIN(E91*L$4*(1-G91),Admin!G$8*(1-G91))," ")</f>
        <v> </v>
      </c>
      <c r="M91" s="260" t="str">
        <f aca="false">IF(E91&gt;0,E91-L91," ")</f>
        <v> </v>
      </c>
      <c r="N91" s="260"/>
      <c r="O91" s="266"/>
      <c r="P91" s="269"/>
      <c r="Q91" s="260" t="str">
        <f aca="false">IF((O91+P91)&gt;0,IF(P91&lt;M91,(M91-P91)*(1-G91)," ")," ")</f>
        <v> </v>
      </c>
      <c r="R91" s="260" t="str">
        <f aca="false">IF((O91+P91)&gt;0,IF(P91&gt;M91,(P91-M91)*(1-G91)," ")," ")</f>
        <v> </v>
      </c>
      <c r="S91" s="240"/>
    </row>
    <row r="92" customFormat="false" ht="12" hidden="false" customHeight="false" outlineLevel="0" collapsed="false">
      <c r="A92" s="255"/>
      <c r="B92" s="266"/>
      <c r="C92" s="267"/>
      <c r="D92" s="290"/>
      <c r="E92" s="269"/>
      <c r="F92" s="263"/>
      <c r="G92" s="284" t="n">
        <v>0</v>
      </c>
      <c r="H92" s="263"/>
      <c r="I92" s="260"/>
      <c r="J92" s="261"/>
      <c r="K92" s="260"/>
      <c r="L92" s="260" t="str">
        <f aca="false">IF(E92&gt;0,MIN(E92*L$4*(1-G92),Admin!G$8*(1-G92))," ")</f>
        <v> </v>
      </c>
      <c r="M92" s="260" t="str">
        <f aca="false">IF(E92&gt;0,E92-L92," ")</f>
        <v> </v>
      </c>
      <c r="N92" s="260"/>
      <c r="O92" s="266"/>
      <c r="P92" s="269"/>
      <c r="Q92" s="260" t="str">
        <f aca="false">IF((O92+P92)&gt;0,IF(P92&lt;M92,(M92-P92)*(1-G92)," ")," ")</f>
        <v> </v>
      </c>
      <c r="R92" s="260" t="str">
        <f aca="false">IF((O92+P92)&gt;0,IF(P92&gt;M92,(P92-M92)*(1-G92)," ")," ")</f>
        <v> </v>
      </c>
      <c r="S92" s="240"/>
    </row>
    <row r="93" customFormat="false" ht="12" hidden="false" customHeight="false" outlineLevel="0" collapsed="false">
      <c r="A93" s="255"/>
      <c r="B93" s="266"/>
      <c r="C93" s="267"/>
      <c r="D93" s="290"/>
      <c r="E93" s="269"/>
      <c r="F93" s="263"/>
      <c r="G93" s="284" t="n">
        <v>0</v>
      </c>
      <c r="H93" s="263"/>
      <c r="I93" s="260"/>
      <c r="J93" s="261"/>
      <c r="K93" s="260"/>
      <c r="L93" s="260" t="str">
        <f aca="false">IF(E93&gt;0,MIN(E93*L$4*(1-G93),Admin!G$8*(1-G93))," ")</f>
        <v> </v>
      </c>
      <c r="M93" s="260" t="str">
        <f aca="false">IF(E93&gt;0,E93-L93," ")</f>
        <v> </v>
      </c>
      <c r="N93" s="260"/>
      <c r="O93" s="266"/>
      <c r="P93" s="269"/>
      <c r="Q93" s="260" t="str">
        <f aca="false">IF((O93+P93)&gt;0,IF(P93&lt;M93,(M93-P93)*(1-G93)," ")," ")</f>
        <v> </v>
      </c>
      <c r="R93" s="260" t="str">
        <f aca="false">IF((O93+P93)&gt;0,IF(P93&gt;M93,(P93-M93)*(1-G93)," ")," ")</f>
        <v> </v>
      </c>
      <c r="S93" s="240"/>
    </row>
    <row r="94" customFormat="false" ht="12" hidden="false" customHeight="false" outlineLevel="0" collapsed="false">
      <c r="A94" s="255"/>
      <c r="B94" s="266"/>
      <c r="C94" s="267"/>
      <c r="D94" s="290"/>
      <c r="E94" s="269"/>
      <c r="F94" s="263"/>
      <c r="G94" s="284" t="n">
        <v>0</v>
      </c>
      <c r="H94" s="263"/>
      <c r="I94" s="260"/>
      <c r="J94" s="261"/>
      <c r="K94" s="260"/>
      <c r="L94" s="260" t="str">
        <f aca="false">IF(E94&gt;0,MIN(E94*L$4*(1-G94),Admin!G$8*(1-G94))," ")</f>
        <v> </v>
      </c>
      <c r="M94" s="260" t="str">
        <f aca="false">IF(E94&gt;0,E94-L94," ")</f>
        <v> </v>
      </c>
      <c r="N94" s="260"/>
      <c r="O94" s="266"/>
      <c r="P94" s="269"/>
      <c r="Q94" s="260" t="str">
        <f aca="false">IF((O94+P94)&gt;0,IF(P94&lt;M94,(M94-P94)*(1-G94)," ")," ")</f>
        <v> </v>
      </c>
      <c r="R94" s="260" t="str">
        <f aca="false">IF((O94+P94)&gt;0,IF(P94&gt;M94,(P94-M94)*(1-G94)," ")," ")</f>
        <v> </v>
      </c>
      <c r="S94" s="240"/>
    </row>
    <row r="95" customFormat="false" ht="12" hidden="false" customHeight="false" outlineLevel="0" collapsed="false">
      <c r="A95" s="255"/>
      <c r="B95" s="266"/>
      <c r="C95" s="267"/>
      <c r="D95" s="290"/>
      <c r="E95" s="269"/>
      <c r="F95" s="263"/>
      <c r="G95" s="284" t="n">
        <v>0</v>
      </c>
      <c r="H95" s="263"/>
      <c r="I95" s="260"/>
      <c r="J95" s="261"/>
      <c r="K95" s="260"/>
      <c r="L95" s="260" t="str">
        <f aca="false">IF(E95&gt;0,MIN(E95*L$4*(1-G95),Admin!G$8*(1-G95))," ")</f>
        <v> </v>
      </c>
      <c r="M95" s="260" t="str">
        <f aca="false">IF(E95&gt;0,E95-L95," ")</f>
        <v> </v>
      </c>
      <c r="N95" s="260"/>
      <c r="O95" s="266"/>
      <c r="P95" s="269"/>
      <c r="Q95" s="260" t="str">
        <f aca="false">IF((O95+P95)&gt;0,IF(P95&lt;M95,(M95-P95)*(1-G95)," ")," ")</f>
        <v> </v>
      </c>
      <c r="R95" s="260" t="str">
        <f aca="false">IF((O95+P95)&gt;0,IF(P95&gt;M95,(P95-M95)*(1-G95)," ")," ")</f>
        <v> </v>
      </c>
      <c r="S95" s="240"/>
    </row>
    <row r="96" customFormat="false" ht="12" hidden="false" customHeight="true" outlineLevel="0" collapsed="false">
      <c r="A96" s="255"/>
      <c r="B96" s="292" t="str">
        <f aca="false">B43</f>
        <v>Motor Vehicles - costing under £</v>
      </c>
      <c r="C96" s="292"/>
      <c r="D96" s="281" t="n">
        <f aca="false">D43</f>
        <v>12000</v>
      </c>
      <c r="E96" s="263"/>
      <c r="F96" s="263"/>
      <c r="G96" s="270"/>
      <c r="H96" s="263"/>
      <c r="I96" s="260"/>
      <c r="J96" s="261"/>
      <c r="K96" s="260"/>
      <c r="L96" s="260"/>
      <c r="M96" s="260"/>
      <c r="N96" s="260"/>
      <c r="O96" s="262"/>
      <c r="P96" s="263"/>
      <c r="Q96" s="260"/>
      <c r="R96" s="260"/>
      <c r="S96" s="240"/>
    </row>
    <row r="97" customFormat="false" ht="12" hidden="false" customHeight="false" outlineLevel="0" collapsed="false">
      <c r="A97" s="255"/>
      <c r="B97" s="266"/>
      <c r="C97" s="267"/>
      <c r="D97" s="290"/>
      <c r="E97" s="269"/>
      <c r="F97" s="263"/>
      <c r="G97" s="284" t="n">
        <v>0</v>
      </c>
      <c r="H97" s="263"/>
      <c r="I97" s="260"/>
      <c r="J97" s="261"/>
      <c r="K97" s="260"/>
      <c r="L97" s="260" t="str">
        <f aca="false">IF(E97&gt;0,MIN(E97*L$4*(1-G97),Admin!G$8*(1-G97))," ")</f>
        <v> </v>
      </c>
      <c r="M97" s="260" t="str">
        <f aca="false">IF(E97&gt;0,E97-L97," ")</f>
        <v> </v>
      </c>
      <c r="N97" s="260"/>
      <c r="O97" s="266"/>
      <c r="P97" s="269"/>
      <c r="Q97" s="260" t="str">
        <f aca="false">IF((O97+P97)&gt;0,IF(P97&lt;M97,(M97-P97)*(1-G97)," ")," ")</f>
        <v> </v>
      </c>
      <c r="R97" s="260" t="str">
        <f aca="false">IF((O97+P97)&gt;0,IF(P97&gt;M97,(P97-M97)*(1-G97)," ")," ")</f>
        <v> </v>
      </c>
      <c r="S97" s="240"/>
    </row>
    <row r="98" customFormat="false" ht="12" hidden="false" customHeight="false" outlineLevel="0" collapsed="false">
      <c r="A98" s="255"/>
      <c r="B98" s="266"/>
      <c r="C98" s="267"/>
      <c r="D98" s="290"/>
      <c r="E98" s="269"/>
      <c r="F98" s="263"/>
      <c r="G98" s="284" t="n">
        <v>0</v>
      </c>
      <c r="H98" s="263"/>
      <c r="I98" s="260"/>
      <c r="J98" s="261"/>
      <c r="K98" s="260"/>
      <c r="L98" s="260" t="str">
        <f aca="false">IF(E98&gt;0,MIN(E98*L$4*(1-G98),Admin!G$8*(1-G98))," ")</f>
        <v> </v>
      </c>
      <c r="M98" s="260" t="str">
        <f aca="false">IF(E98&gt;0,E98-L98," ")</f>
        <v> </v>
      </c>
      <c r="N98" s="260"/>
      <c r="O98" s="266"/>
      <c r="P98" s="269"/>
      <c r="Q98" s="260" t="str">
        <f aca="false">IF((O98+P98)&gt;0,IF(P98&lt;M98,(M98-P98)*(1-G98)," ")," ")</f>
        <v> </v>
      </c>
      <c r="R98" s="260" t="str">
        <f aca="false">IF((O98+P98)&gt;0,IF(P98&gt;M98,(P98-M98)*(1-G98)," ")," ")</f>
        <v> </v>
      </c>
      <c r="S98" s="240"/>
    </row>
    <row r="99" customFormat="false" ht="12" hidden="false" customHeight="false" outlineLevel="0" collapsed="false">
      <c r="A99" s="255"/>
      <c r="B99" s="266"/>
      <c r="C99" s="267"/>
      <c r="D99" s="290"/>
      <c r="E99" s="269"/>
      <c r="F99" s="263"/>
      <c r="G99" s="284" t="n">
        <v>0</v>
      </c>
      <c r="H99" s="263"/>
      <c r="I99" s="260"/>
      <c r="J99" s="261"/>
      <c r="K99" s="260"/>
      <c r="L99" s="260" t="str">
        <f aca="false">IF(E99&gt;0,MIN(E99*L$4*(1-G99),Admin!G$8*(1-G99))," ")</f>
        <v> </v>
      </c>
      <c r="M99" s="260" t="str">
        <f aca="false">IF(E99&gt;0,E99-L99," ")</f>
        <v> </v>
      </c>
      <c r="N99" s="260"/>
      <c r="O99" s="266"/>
      <c r="P99" s="269"/>
      <c r="Q99" s="260" t="str">
        <f aca="false">IF((O99+P99)&gt;0,IF(P99&lt;M99,(M99-P99)*(1-G99)," ")," ")</f>
        <v> </v>
      </c>
      <c r="R99" s="260" t="str">
        <f aca="false">IF((O99+P99)&gt;0,IF(P99&gt;M99,(P99-M99)*(1-G99)," ")," ")</f>
        <v> </v>
      </c>
      <c r="S99" s="240"/>
    </row>
    <row r="100" customFormat="false" ht="12" hidden="false" customHeight="false" outlineLevel="0" collapsed="false">
      <c r="A100" s="255"/>
      <c r="B100" s="266"/>
      <c r="C100" s="267"/>
      <c r="D100" s="290"/>
      <c r="E100" s="269"/>
      <c r="F100" s="263"/>
      <c r="G100" s="284" t="n">
        <v>0</v>
      </c>
      <c r="H100" s="263"/>
      <c r="I100" s="260"/>
      <c r="J100" s="261"/>
      <c r="K100" s="260"/>
      <c r="L100" s="260" t="str">
        <f aca="false">IF(E100&gt;0,MIN(E100*L$4*(1-G100),Admin!G$8*(1-G100))," ")</f>
        <v> </v>
      </c>
      <c r="M100" s="260" t="str">
        <f aca="false">IF(E100&gt;0,E100-L100," ")</f>
        <v> </v>
      </c>
      <c r="N100" s="260"/>
      <c r="O100" s="266"/>
      <c r="P100" s="269"/>
      <c r="Q100" s="260" t="str">
        <f aca="false">IF((O100+P100)&gt;0,IF(P100&lt;M100,(M100-P100)*(1-G100)," ")," ")</f>
        <v> </v>
      </c>
      <c r="R100" s="260" t="str">
        <f aca="false">IF((O100+P100)&gt;0,IF(P100&gt;M100,(P100-M100)*(1-G100)," ")," ")</f>
        <v> </v>
      </c>
      <c r="S100" s="240"/>
    </row>
    <row r="101" customFormat="false" ht="12" hidden="false" customHeight="false" outlineLevel="0" collapsed="false">
      <c r="A101" s="255"/>
      <c r="B101" s="266"/>
      <c r="C101" s="267"/>
      <c r="D101" s="290"/>
      <c r="E101" s="269"/>
      <c r="F101" s="263"/>
      <c r="G101" s="284" t="n">
        <v>0</v>
      </c>
      <c r="H101" s="263"/>
      <c r="I101" s="260"/>
      <c r="J101" s="261"/>
      <c r="K101" s="260"/>
      <c r="L101" s="260" t="str">
        <f aca="false">IF(E101&gt;0,MIN(E101*L$4*(1-G101),Admin!G$8*(1-G101))," ")</f>
        <v> </v>
      </c>
      <c r="M101" s="260" t="str">
        <f aca="false">IF(E101&gt;0,E101-L101," ")</f>
        <v> </v>
      </c>
      <c r="N101" s="260"/>
      <c r="O101" s="266"/>
      <c r="P101" s="269"/>
      <c r="Q101" s="260" t="str">
        <f aca="false">IF((O101+P101)&gt;0,IF(P101&lt;M101,(M101-P101)*(1-G101)," ")," ")</f>
        <v> </v>
      </c>
      <c r="R101" s="260" t="str">
        <f aca="false">IF((O101+P101)&gt;0,IF(P101&gt;M101,(P101-M101)*(1-G101)," ")," ")</f>
        <v> </v>
      </c>
      <c r="S101" s="240"/>
    </row>
    <row r="102" customFormat="false" ht="12" hidden="false" customHeight="true" outlineLevel="0" collapsed="false">
      <c r="A102" s="255"/>
      <c r="B102" s="264" t="s">
        <v>213</v>
      </c>
      <c r="C102" s="264"/>
      <c r="D102" s="279"/>
      <c r="E102" s="263"/>
      <c r="F102" s="263"/>
      <c r="G102" s="270"/>
      <c r="H102" s="263"/>
      <c r="I102" s="260"/>
      <c r="J102" s="261"/>
      <c r="K102" s="260"/>
      <c r="L102" s="260"/>
      <c r="M102" s="260"/>
      <c r="N102" s="260"/>
      <c r="O102" s="262"/>
      <c r="P102" s="263"/>
      <c r="Q102" s="260"/>
      <c r="R102" s="260"/>
      <c r="S102" s="240"/>
    </row>
    <row r="103" customFormat="false" ht="12" hidden="false" customHeight="false" outlineLevel="0" collapsed="false">
      <c r="A103" s="255"/>
      <c r="B103" s="266"/>
      <c r="C103" s="267"/>
      <c r="D103" s="290"/>
      <c r="E103" s="269"/>
      <c r="F103" s="263"/>
      <c r="G103" s="284" t="n">
        <v>0</v>
      </c>
      <c r="H103" s="263"/>
      <c r="I103" s="260"/>
      <c r="J103" s="270" t="n">
        <f aca="false">J$4</f>
        <v>1</v>
      </c>
      <c r="K103" s="260" t="str">
        <f aca="false">IF(E103&gt;0,E103*J103," ")</f>
        <v> </v>
      </c>
      <c r="L103" s="260"/>
      <c r="M103" s="260" t="str">
        <f aca="false">IF(E103&gt;0,E103-K103," ")</f>
        <v> </v>
      </c>
      <c r="N103" s="260"/>
      <c r="O103" s="266"/>
      <c r="P103" s="269"/>
      <c r="Q103" s="260" t="str">
        <f aca="false">IF((O103+P103)&gt;0,IF(P103&lt;M103,(M103-P103)*(1-G103)," ")," ")</f>
        <v> </v>
      </c>
      <c r="R103" s="260" t="str">
        <f aca="false">IF((O103+P103)&gt;0,IF(P103&gt;M103,(P103-M103)*(1-G103)," ")," ")</f>
        <v> </v>
      </c>
      <c r="S103" s="240"/>
    </row>
    <row r="104" customFormat="false" ht="12" hidden="false" customHeight="false" outlineLevel="0" collapsed="false">
      <c r="A104" s="255"/>
      <c r="B104" s="266"/>
      <c r="C104" s="267"/>
      <c r="D104" s="290"/>
      <c r="E104" s="269"/>
      <c r="F104" s="263"/>
      <c r="G104" s="284" t="n">
        <v>0</v>
      </c>
      <c r="H104" s="263"/>
      <c r="I104" s="260"/>
      <c r="J104" s="270" t="n">
        <f aca="false">J$4</f>
        <v>1</v>
      </c>
      <c r="K104" s="260" t="str">
        <f aca="false">IF(E104&gt;0,E104*J104," ")</f>
        <v> </v>
      </c>
      <c r="L104" s="260"/>
      <c r="M104" s="260" t="str">
        <f aca="false">IF(E104&gt;0,E104-K104," ")</f>
        <v> </v>
      </c>
      <c r="N104" s="260"/>
      <c r="O104" s="266"/>
      <c r="P104" s="269"/>
      <c r="Q104" s="260" t="str">
        <f aca="false">IF((O104+P104)&gt;0,IF(P104&lt;M104,(M104-P104)*(1-G104)," ")," ")</f>
        <v> </v>
      </c>
      <c r="R104" s="260" t="str">
        <f aca="false">IF((O104+P104)&gt;0,IF(P104&gt;M104,(P104-M104)*(1-G104)," ")," ")</f>
        <v> </v>
      </c>
      <c r="S104" s="240"/>
    </row>
    <row r="105" customFormat="false" ht="12" hidden="false" customHeight="false" outlineLevel="0" collapsed="false">
      <c r="A105" s="255"/>
      <c r="B105" s="266"/>
      <c r="C105" s="267"/>
      <c r="D105" s="290"/>
      <c r="E105" s="269"/>
      <c r="F105" s="263"/>
      <c r="G105" s="284" t="n">
        <v>0</v>
      </c>
      <c r="H105" s="263"/>
      <c r="I105" s="260"/>
      <c r="J105" s="270" t="n">
        <f aca="false">J$4</f>
        <v>1</v>
      </c>
      <c r="K105" s="260" t="str">
        <f aca="false">IF(E105&gt;0,E105*J105," ")</f>
        <v> </v>
      </c>
      <c r="L105" s="260"/>
      <c r="M105" s="260" t="str">
        <f aca="false">IF(E105&gt;0,E105-K105," ")</f>
        <v> </v>
      </c>
      <c r="N105" s="260"/>
      <c r="O105" s="266"/>
      <c r="P105" s="269"/>
      <c r="Q105" s="260" t="str">
        <f aca="false">IF((O105+P105)&gt;0,IF(P105&lt;M105,(M105-P105)*(1-G105)," ")," ")</f>
        <v> </v>
      </c>
      <c r="R105" s="260" t="str">
        <f aca="false">IF((O105+P105)&gt;0,IF(P105&gt;M105,(P105-M105)*(1-G105)," ")," ")</f>
        <v> </v>
      </c>
      <c r="S105" s="240"/>
    </row>
    <row r="106" customFormat="false" ht="12" hidden="false" customHeight="false" outlineLevel="0" collapsed="false">
      <c r="A106" s="255"/>
      <c r="B106" s="266"/>
      <c r="C106" s="267"/>
      <c r="D106" s="290"/>
      <c r="E106" s="269"/>
      <c r="F106" s="263"/>
      <c r="G106" s="284" t="n">
        <v>0</v>
      </c>
      <c r="H106" s="263"/>
      <c r="I106" s="260"/>
      <c r="J106" s="270" t="n">
        <f aca="false">J$4</f>
        <v>1</v>
      </c>
      <c r="K106" s="260" t="str">
        <f aca="false">IF(E106&gt;0,E106*J106," ")</f>
        <v> </v>
      </c>
      <c r="L106" s="260"/>
      <c r="M106" s="260" t="str">
        <f aca="false">IF(E106&gt;0,E106-K106," ")</f>
        <v> </v>
      </c>
      <c r="N106" s="260"/>
      <c r="O106" s="266"/>
      <c r="P106" s="269"/>
      <c r="Q106" s="260" t="str">
        <f aca="false">IF((O106+P106)&gt;0,IF(P106&lt;M106,(M106-P106)*(1-G106)," ")," ")</f>
        <v> </v>
      </c>
      <c r="R106" s="260" t="str">
        <f aca="false">IF((O106+P106)&gt;0,IF(P106&gt;M106,(P106-M106)*(1-G106)," ")," ")</f>
        <v> </v>
      </c>
      <c r="S106" s="240"/>
    </row>
    <row r="107" customFormat="false" ht="12" hidden="false" customHeight="false" outlineLevel="0" collapsed="false">
      <c r="A107" s="255"/>
      <c r="B107" s="266"/>
      <c r="C107" s="267"/>
      <c r="D107" s="290"/>
      <c r="E107" s="293"/>
      <c r="F107" s="263"/>
      <c r="G107" s="284" t="n">
        <v>0</v>
      </c>
      <c r="H107" s="263"/>
      <c r="I107" s="260"/>
      <c r="J107" s="270" t="n">
        <f aca="false">J$4</f>
        <v>1</v>
      </c>
      <c r="K107" s="260" t="str">
        <f aca="false">IF(E107&gt;0,E107*J107," ")</f>
        <v> </v>
      </c>
      <c r="L107" s="260"/>
      <c r="M107" s="260" t="str">
        <f aca="false">IF(E107&gt;0,E107-K107," ")</f>
        <v> </v>
      </c>
      <c r="N107" s="260"/>
      <c r="O107" s="266"/>
      <c r="P107" s="293"/>
      <c r="Q107" s="260" t="str">
        <f aca="false">IF((O107+P107)&gt;0,IF(P107&lt;M107,(M107-P107)*(1-G107)," ")," ")</f>
        <v> </v>
      </c>
      <c r="R107" s="260" t="str">
        <f aca="false">IF((O107+P107)&gt;0,IF(P107&gt;M107,(P107-M107)*(1-G107)," ")," ")</f>
        <v> </v>
      </c>
      <c r="S107" s="240"/>
    </row>
    <row r="108" customFormat="false" ht="12" hidden="false" customHeight="true" outlineLevel="0" collapsed="false">
      <c r="A108" s="255"/>
      <c r="B108" s="271" t="s">
        <v>220</v>
      </c>
      <c r="C108" s="271"/>
      <c r="D108" s="271"/>
      <c r="E108" s="273" t="n">
        <f aca="false">SUM(E91:E107)</f>
        <v>0</v>
      </c>
      <c r="F108" s="263"/>
      <c r="G108" s="270"/>
      <c r="H108" s="263"/>
      <c r="I108" s="273" t="n">
        <f aca="false">SUM(I91:I107)</f>
        <v>0</v>
      </c>
      <c r="J108" s="274"/>
      <c r="K108" s="273" t="n">
        <f aca="false">SUM(K91:K107)</f>
        <v>0</v>
      </c>
      <c r="L108" s="273" t="n">
        <f aca="false">SUM(L91:L107)</f>
        <v>0</v>
      </c>
      <c r="M108" s="273" t="n">
        <f aca="false">SUM(M91:M107)</f>
        <v>0</v>
      </c>
      <c r="N108" s="260"/>
      <c r="O108" s="262"/>
      <c r="P108" s="273" t="n">
        <f aca="false">SUM(P91:P107)</f>
        <v>0</v>
      </c>
      <c r="Q108" s="273" t="n">
        <f aca="false">SUM(Q91:Q107)</f>
        <v>0</v>
      </c>
      <c r="R108" s="273" t="n">
        <f aca="false">SUM(R91:R107)</f>
        <v>0</v>
      </c>
      <c r="S108" s="240"/>
    </row>
    <row r="109" customFormat="false" ht="9" hidden="false" customHeight="true" outlineLevel="0" collapsed="false">
      <c r="A109" s="255"/>
      <c r="B109" s="262"/>
      <c r="C109" s="285"/>
      <c r="D109" s="279"/>
      <c r="E109" s="263"/>
      <c r="F109" s="263"/>
      <c r="G109" s="270"/>
      <c r="H109" s="263"/>
      <c r="I109" s="260"/>
      <c r="J109" s="261"/>
      <c r="K109" s="260"/>
      <c r="L109" s="260"/>
      <c r="M109" s="260"/>
      <c r="N109" s="260"/>
      <c r="O109" s="262"/>
      <c r="P109" s="263"/>
      <c r="Q109" s="260"/>
      <c r="R109" s="260"/>
      <c r="S109" s="240"/>
    </row>
    <row r="110" customFormat="false" ht="13.5" hidden="false" customHeight="true" outlineLevel="0" collapsed="false">
      <c r="A110" s="255"/>
      <c r="B110" s="256" t="str">
        <f aca="false">B59</f>
        <v>NEW FIXED ASSETS Bought AFTER </v>
      </c>
      <c r="C110" s="256"/>
      <c r="D110" s="257" t="n">
        <f aca="false">D59</f>
        <v>44657</v>
      </c>
      <c r="E110" s="286" t="n">
        <f aca="false">E64+E72+E80+E88+E108</f>
        <v>0</v>
      </c>
      <c r="F110" s="263"/>
      <c r="G110" s="270"/>
      <c r="H110" s="263"/>
      <c r="I110" s="286" t="n">
        <f aca="false">I64+I72+I80+I88+I108</f>
        <v>0</v>
      </c>
      <c r="J110" s="274"/>
      <c r="K110" s="286" t="n">
        <f aca="false">K64+K72+K80+K88+K108</f>
        <v>0</v>
      </c>
      <c r="L110" s="286" t="n">
        <f aca="false">L64+L72+L80+L88+L108</f>
        <v>0</v>
      </c>
      <c r="M110" s="286" t="n">
        <f aca="false">M64+M72+M80+M88+M108</f>
        <v>0</v>
      </c>
      <c r="N110" s="260"/>
      <c r="O110" s="262"/>
      <c r="P110" s="286" t="n">
        <f aca="false">P64+P72+P80+P88+P108</f>
        <v>0</v>
      </c>
      <c r="Q110" s="286" t="n">
        <f aca="false">Q64+Q72+Q80+Q88+Q108</f>
        <v>0</v>
      </c>
      <c r="R110" s="286" t="n">
        <f aca="false">R64+R72+R80+R88+R108</f>
        <v>0</v>
      </c>
      <c r="S110" s="240"/>
    </row>
    <row r="111" customFormat="false" ht="7.5" hidden="false" customHeight="true" outlineLevel="0" collapsed="false">
      <c r="A111" s="294"/>
      <c r="B111" s="295"/>
      <c r="C111" s="296"/>
      <c r="D111" s="297"/>
      <c r="E111" s="298"/>
      <c r="F111" s="298"/>
      <c r="G111" s="299"/>
      <c r="H111" s="298"/>
      <c r="I111" s="300"/>
      <c r="J111" s="301"/>
      <c r="K111" s="300"/>
      <c r="L111" s="300"/>
      <c r="M111" s="300"/>
      <c r="N111" s="300"/>
      <c r="O111" s="295"/>
      <c r="P111" s="298"/>
      <c r="Q111" s="300"/>
      <c r="R111" s="300"/>
      <c r="S111" s="302"/>
    </row>
  </sheetData>
  <mergeCells count="47">
    <mergeCell ref="A1:A4"/>
    <mergeCell ref="B1:B4"/>
    <mergeCell ref="C1:D1"/>
    <mergeCell ref="F1:F4"/>
    <mergeCell ref="G1:G4"/>
    <mergeCell ref="H1:H4"/>
    <mergeCell ref="J1:J3"/>
    <mergeCell ref="N1:N4"/>
    <mergeCell ref="O1:O4"/>
    <mergeCell ref="C2:C4"/>
    <mergeCell ref="D2:D4"/>
    <mergeCell ref="E2:E4"/>
    <mergeCell ref="I2:I3"/>
    <mergeCell ref="K2:K4"/>
    <mergeCell ref="L2:L3"/>
    <mergeCell ref="M2:M3"/>
    <mergeCell ref="P2:P4"/>
    <mergeCell ref="Q2:Q4"/>
    <mergeCell ref="R2:R4"/>
    <mergeCell ref="B6:C6"/>
    <mergeCell ref="B7:C7"/>
    <mergeCell ref="B11:D11"/>
    <mergeCell ref="B13:C13"/>
    <mergeCell ref="B19:D19"/>
    <mergeCell ref="B21:C21"/>
    <mergeCell ref="B27:D27"/>
    <mergeCell ref="B29:C29"/>
    <mergeCell ref="B35:D35"/>
    <mergeCell ref="B37:C37"/>
    <mergeCell ref="B43:C43"/>
    <mergeCell ref="B49:C49"/>
    <mergeCell ref="B55:D55"/>
    <mergeCell ref="B57:C57"/>
    <mergeCell ref="B59:C59"/>
    <mergeCell ref="B60:C60"/>
    <mergeCell ref="B64:D64"/>
    <mergeCell ref="B66:C66"/>
    <mergeCell ref="B72:D72"/>
    <mergeCell ref="B74:C74"/>
    <mergeCell ref="B80:D80"/>
    <mergeCell ref="B82:C82"/>
    <mergeCell ref="B88:D88"/>
    <mergeCell ref="B90:C90"/>
    <mergeCell ref="B96:C96"/>
    <mergeCell ref="B102:C102"/>
    <mergeCell ref="B108:D108"/>
    <mergeCell ref="B110:C110"/>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303" width="5.66"/>
    <col collapsed="false" customWidth="true" hidden="false" outlineLevel="0" max="2" min="2" style="304" width="13.33"/>
    <col collapsed="false" customWidth="true" hidden="false" outlineLevel="0" max="3" min="3" style="304" width="1.66"/>
    <col collapsed="false" customWidth="true" hidden="false" outlineLevel="0" max="4" min="4" style="305" width="12.66"/>
    <col collapsed="false" customWidth="true" hidden="false" outlineLevel="0" max="5" min="5" style="303" width="5.66"/>
    <col collapsed="false" customWidth="false" hidden="false" outlineLevel="0" max="257" min="6" style="303" width="9.15"/>
  </cols>
  <sheetData>
    <row r="1" customFormat="false" ht="12" hidden="false" customHeight="false" outlineLevel="0" collapsed="false">
      <c r="A1" s="306"/>
      <c r="B1" s="307"/>
      <c r="C1" s="307"/>
      <c r="D1" s="308"/>
      <c r="E1" s="306"/>
    </row>
    <row r="2" customFormat="false" ht="22.35" hidden="false" customHeight="false" outlineLevel="0" collapsed="false">
      <c r="A2" s="306"/>
      <c r="B2" s="309" t="s">
        <v>221</v>
      </c>
      <c r="C2" s="310"/>
      <c r="D2" s="311" t="s">
        <v>222</v>
      </c>
      <c r="E2" s="306"/>
    </row>
    <row r="3" customFormat="false" ht="12" hidden="false" customHeight="false" outlineLevel="0" collapsed="false">
      <c r="A3" s="306"/>
      <c r="B3" s="310"/>
      <c r="C3" s="310"/>
      <c r="D3" s="312"/>
      <c r="E3" s="306"/>
    </row>
    <row r="4" customFormat="false" ht="12" hidden="false" customHeight="false" outlineLevel="0" collapsed="false">
      <c r="A4" s="306"/>
      <c r="B4" s="313" t="s">
        <v>223</v>
      </c>
      <c r="C4" s="307"/>
      <c r="D4" s="308"/>
      <c r="E4" s="306"/>
    </row>
    <row r="5" customFormat="false" ht="12" hidden="false" customHeight="false" outlineLevel="0" collapsed="false">
      <c r="A5" s="306"/>
      <c r="B5" s="314" t="n">
        <f aca="false">Admin!$B$4</f>
        <v>44657</v>
      </c>
      <c r="C5" s="315"/>
      <c r="D5" s="316" t="n">
        <v>0</v>
      </c>
      <c r="E5" s="306"/>
    </row>
    <row r="6" customFormat="false" ht="12" hidden="false" customHeight="false" outlineLevel="0" collapsed="false">
      <c r="A6" s="306"/>
      <c r="B6" s="315"/>
      <c r="C6" s="315"/>
      <c r="D6" s="308"/>
      <c r="E6" s="306"/>
    </row>
    <row r="7" customFormat="false" ht="12" hidden="false" customHeight="false" outlineLevel="0" collapsed="false">
      <c r="A7" s="306"/>
      <c r="B7" s="317" t="n">
        <f aca="false">Admin!$B$5</f>
        <v>44681</v>
      </c>
      <c r="C7" s="315"/>
      <c r="D7" s="316" t="n">
        <f aca="false">D5</f>
        <v>0</v>
      </c>
      <c r="E7" s="306"/>
    </row>
    <row r="8" customFormat="false" ht="12" hidden="false" customHeight="false" outlineLevel="0" collapsed="false">
      <c r="A8" s="306"/>
      <c r="B8" s="315"/>
      <c r="C8" s="315"/>
      <c r="D8" s="308"/>
      <c r="E8" s="306"/>
    </row>
    <row r="9" customFormat="false" ht="12" hidden="false" customHeight="false" outlineLevel="0" collapsed="false">
      <c r="A9" s="306"/>
      <c r="B9" s="317" t="n">
        <f aca="false">Admin!$B$6</f>
        <v>44712</v>
      </c>
      <c r="C9" s="315"/>
      <c r="D9" s="316" t="n">
        <f aca="false">D7</f>
        <v>0</v>
      </c>
      <c r="E9" s="306"/>
    </row>
    <row r="10" customFormat="false" ht="12" hidden="false" customHeight="false" outlineLevel="0" collapsed="false">
      <c r="A10" s="306"/>
      <c r="B10" s="315"/>
      <c r="C10" s="315"/>
      <c r="D10" s="308"/>
      <c r="E10" s="306"/>
    </row>
    <row r="11" customFormat="false" ht="12" hidden="false" customHeight="false" outlineLevel="0" collapsed="false">
      <c r="A11" s="306"/>
      <c r="B11" s="317" t="n">
        <f aca="false">Admin!$B$7</f>
        <v>44742</v>
      </c>
      <c r="C11" s="315"/>
      <c r="D11" s="316" t="n">
        <f aca="false">D9</f>
        <v>0</v>
      </c>
      <c r="E11" s="306"/>
    </row>
    <row r="12" customFormat="false" ht="12" hidden="false" customHeight="false" outlineLevel="0" collapsed="false">
      <c r="A12" s="306"/>
      <c r="B12" s="315"/>
      <c r="C12" s="315"/>
      <c r="D12" s="308"/>
      <c r="E12" s="306"/>
    </row>
    <row r="13" customFormat="false" ht="12" hidden="false" customHeight="false" outlineLevel="0" collapsed="false">
      <c r="A13" s="306"/>
      <c r="B13" s="317" t="n">
        <f aca="false">Admin!$B$8</f>
        <v>44773</v>
      </c>
      <c r="C13" s="315"/>
      <c r="D13" s="316" t="n">
        <f aca="false">D11</f>
        <v>0</v>
      </c>
      <c r="E13" s="306"/>
    </row>
    <row r="14" customFormat="false" ht="12" hidden="false" customHeight="false" outlineLevel="0" collapsed="false">
      <c r="A14" s="306"/>
      <c r="B14" s="315"/>
      <c r="C14" s="315"/>
      <c r="D14" s="308"/>
      <c r="E14" s="306"/>
    </row>
    <row r="15" customFormat="false" ht="12" hidden="false" customHeight="false" outlineLevel="0" collapsed="false">
      <c r="A15" s="306"/>
      <c r="B15" s="317" t="n">
        <f aca="false">Admin!$B$9</f>
        <v>44804</v>
      </c>
      <c r="C15" s="315"/>
      <c r="D15" s="316" t="n">
        <f aca="false">D13</f>
        <v>0</v>
      </c>
      <c r="E15" s="306"/>
    </row>
    <row r="16" customFormat="false" ht="12" hidden="false" customHeight="false" outlineLevel="0" collapsed="false">
      <c r="A16" s="306"/>
      <c r="B16" s="315"/>
      <c r="C16" s="315"/>
      <c r="D16" s="308"/>
      <c r="E16" s="306"/>
    </row>
    <row r="17" customFormat="false" ht="12" hidden="false" customHeight="false" outlineLevel="0" collapsed="false">
      <c r="A17" s="306"/>
      <c r="B17" s="317" t="n">
        <f aca="false">Admin!$B$10</f>
        <v>44834</v>
      </c>
      <c r="C17" s="315"/>
      <c r="D17" s="316" t="n">
        <f aca="false">D15</f>
        <v>0</v>
      </c>
      <c r="E17" s="306"/>
    </row>
    <row r="18" customFormat="false" ht="12" hidden="false" customHeight="false" outlineLevel="0" collapsed="false">
      <c r="A18" s="306"/>
      <c r="B18" s="315"/>
      <c r="C18" s="315"/>
      <c r="D18" s="308"/>
      <c r="E18" s="306"/>
    </row>
    <row r="19" customFormat="false" ht="12" hidden="false" customHeight="false" outlineLevel="0" collapsed="false">
      <c r="A19" s="306"/>
      <c r="B19" s="317" t="n">
        <f aca="false">Admin!$B$11</f>
        <v>44865</v>
      </c>
      <c r="C19" s="315"/>
      <c r="D19" s="316" t="n">
        <f aca="false">D17</f>
        <v>0</v>
      </c>
      <c r="E19" s="306"/>
    </row>
    <row r="20" customFormat="false" ht="12" hidden="false" customHeight="false" outlineLevel="0" collapsed="false">
      <c r="A20" s="306"/>
      <c r="B20" s="315"/>
      <c r="C20" s="315"/>
      <c r="D20" s="308"/>
      <c r="E20" s="306"/>
    </row>
    <row r="21" customFormat="false" ht="12" hidden="false" customHeight="false" outlineLevel="0" collapsed="false">
      <c r="A21" s="306"/>
      <c r="B21" s="317" t="n">
        <f aca="false">Admin!$B$12</f>
        <v>44895</v>
      </c>
      <c r="C21" s="315"/>
      <c r="D21" s="316" t="n">
        <f aca="false">D19</f>
        <v>0</v>
      </c>
      <c r="E21" s="306"/>
    </row>
    <row r="22" customFormat="false" ht="12" hidden="false" customHeight="false" outlineLevel="0" collapsed="false">
      <c r="A22" s="306"/>
      <c r="B22" s="315"/>
      <c r="C22" s="315"/>
      <c r="D22" s="308"/>
      <c r="E22" s="306"/>
    </row>
    <row r="23" customFormat="false" ht="12" hidden="false" customHeight="false" outlineLevel="0" collapsed="false">
      <c r="A23" s="306"/>
      <c r="B23" s="317" t="n">
        <f aca="false">Admin!$B$13</f>
        <v>44926</v>
      </c>
      <c r="C23" s="315"/>
      <c r="D23" s="316" t="n">
        <f aca="false">D21</f>
        <v>0</v>
      </c>
      <c r="E23" s="306"/>
    </row>
    <row r="24" customFormat="false" ht="12" hidden="false" customHeight="false" outlineLevel="0" collapsed="false">
      <c r="A24" s="306"/>
      <c r="B24" s="315"/>
      <c r="C24" s="315"/>
      <c r="D24" s="308"/>
      <c r="E24" s="306"/>
    </row>
    <row r="25" customFormat="false" ht="12" hidden="false" customHeight="false" outlineLevel="0" collapsed="false">
      <c r="A25" s="306"/>
      <c r="B25" s="317" t="n">
        <f aca="false">Admin!$B$14</f>
        <v>44957</v>
      </c>
      <c r="C25" s="315"/>
      <c r="D25" s="316" t="n">
        <f aca="false">D23</f>
        <v>0</v>
      </c>
      <c r="E25" s="306"/>
    </row>
    <row r="26" customFormat="false" ht="12" hidden="false" customHeight="false" outlineLevel="0" collapsed="false">
      <c r="A26" s="306"/>
      <c r="B26" s="315"/>
      <c r="C26" s="315"/>
      <c r="D26" s="308"/>
      <c r="E26" s="306"/>
    </row>
    <row r="27" customFormat="false" ht="12" hidden="false" customHeight="false" outlineLevel="0" collapsed="false">
      <c r="A27" s="306"/>
      <c r="B27" s="317" t="n">
        <f aca="false">Admin!$B$15</f>
        <v>44985</v>
      </c>
      <c r="C27" s="315"/>
      <c r="D27" s="316" t="n">
        <f aca="false">D25</f>
        <v>0</v>
      </c>
      <c r="E27" s="306"/>
    </row>
    <row r="28" customFormat="false" ht="12" hidden="false" customHeight="false" outlineLevel="0" collapsed="false">
      <c r="A28" s="306"/>
      <c r="B28" s="315"/>
      <c r="C28" s="315"/>
      <c r="D28" s="308"/>
      <c r="E28" s="306"/>
    </row>
    <row r="29" customFormat="false" ht="12" hidden="false" customHeight="false" outlineLevel="0" collapsed="false">
      <c r="A29" s="306"/>
      <c r="B29" s="313" t="s">
        <v>224</v>
      </c>
      <c r="C29" s="315"/>
      <c r="D29" s="308"/>
      <c r="E29" s="306"/>
    </row>
    <row r="30" customFormat="false" ht="12" hidden="false" customHeight="false" outlineLevel="0" collapsed="false">
      <c r="A30" s="306"/>
      <c r="B30" s="314" t="n">
        <f aca="false">Admin!$B$17</f>
        <v>45021</v>
      </c>
      <c r="C30" s="315"/>
      <c r="D30" s="316" t="n">
        <f aca="false">D27</f>
        <v>0</v>
      </c>
      <c r="E30" s="306"/>
    </row>
    <row r="31" customFormat="false" ht="12" hidden="false" customHeight="false" outlineLevel="0" collapsed="false">
      <c r="A31" s="306"/>
      <c r="B31" s="315"/>
      <c r="C31" s="315"/>
      <c r="D31" s="308"/>
      <c r="E31" s="306"/>
    </row>
  </sheetData>
  <printOptions headings="false" gridLines="false" gridLinesSet="true" horizontalCentered="false" verticalCentered="false"/>
  <pageMargins left="0.75" right="0.75" top="1" bottom="1" header="0.5" footer="0.5"/>
  <pageSetup paperSize="9" scale="100" fitToWidth="1" fitToHeight="1" pageOrder="downThenOver" orientation="portrait" blackAndWhite="false" draft="false" cellComments="none" horizontalDpi="300" verticalDpi="300" copies="1"/>
  <headerFooter differentFirst="false" differentOddEven="false">
    <oddHeader>&amp;C&amp;"Arial,Bold"&amp;11Stock Value</oddHeader>
    <oddFooter>&amp;L&amp;D  &amp;T&amp;C&amp;P  of  &amp;N&amp;R&amp;F  &amp;A</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18" width="5.66"/>
    <col collapsed="false" customWidth="true" hidden="false" outlineLevel="0" max="2" min="2" style="319" width="12.66"/>
    <col collapsed="false" customWidth="true" hidden="false" outlineLevel="0" max="3" min="3" style="320" width="12.66"/>
    <col collapsed="false" customWidth="true" hidden="false" outlineLevel="0" max="4" min="4" style="318" width="5.66"/>
    <col collapsed="false" customWidth="true" hidden="false" outlineLevel="0" max="5" min="5" style="319" width="12.66"/>
    <col collapsed="false" customWidth="true" hidden="false" outlineLevel="0" max="6" min="6" style="320" width="12.66"/>
    <col collapsed="false" customWidth="true" hidden="false" outlineLevel="0" max="7" min="7" style="318" width="5.66"/>
    <col collapsed="false" customWidth="false" hidden="false" outlineLevel="0" max="257" min="8" style="318" width="9.15"/>
  </cols>
  <sheetData>
    <row r="1" s="325" customFormat="true" ht="24.75" hidden="false" customHeight="true" outlineLevel="0" collapsed="false">
      <c r="A1" s="321"/>
      <c r="B1" s="322" t="s">
        <v>225</v>
      </c>
      <c r="C1" s="323" t="s">
        <v>226</v>
      </c>
      <c r="D1" s="324"/>
      <c r="E1" s="322" t="s">
        <v>227</v>
      </c>
      <c r="F1" s="323" t="s">
        <v>228</v>
      </c>
      <c r="G1" s="321"/>
    </row>
    <row r="2" customFormat="false" ht="12.75" hidden="false" customHeight="false" outlineLevel="0" collapsed="false">
      <c r="A2" s="326"/>
      <c r="B2" s="327"/>
      <c r="C2" s="328"/>
      <c r="D2" s="326"/>
      <c r="E2" s="327"/>
      <c r="F2" s="328"/>
      <c r="G2" s="326"/>
    </row>
    <row r="3" customFormat="false" ht="12.75" hidden="false" customHeight="false" outlineLevel="0" collapsed="false">
      <c r="A3" s="326"/>
      <c r="B3" s="329" t="s">
        <v>229</v>
      </c>
      <c r="C3" s="330"/>
      <c r="D3" s="326"/>
      <c r="E3" s="329" t="s">
        <v>229</v>
      </c>
      <c r="F3" s="330"/>
      <c r="G3" s="326"/>
    </row>
    <row r="4" customFormat="false" ht="12.75" hidden="false" customHeight="false" outlineLevel="0" collapsed="false">
      <c r="A4" s="326"/>
      <c r="B4" s="327"/>
      <c r="C4" s="328"/>
      <c r="D4" s="326"/>
      <c r="E4" s="327"/>
      <c r="F4" s="328"/>
      <c r="G4" s="326"/>
    </row>
    <row r="5" customFormat="false" ht="12.75" hidden="false" customHeight="false" outlineLevel="0" collapsed="false">
      <c r="A5" s="326"/>
      <c r="B5" s="331" t="n">
        <f aca="false">Admin!B$5</f>
        <v>44681</v>
      </c>
      <c r="C5" s="332" t="str">
        <f aca="false">IF((SalesApr!$H$1&gt;0),SalesApr!$H$1," ")</f>
        <v> </v>
      </c>
      <c r="D5" s="326"/>
      <c r="E5" s="331" t="n">
        <f aca="false">B5</f>
        <v>44681</v>
      </c>
      <c r="F5" s="330" t="str">
        <f aca="false">IF((PurchasesApr!$H$1&gt;0),PurchasesApr!$H$1," ")</f>
        <v> </v>
      </c>
      <c r="G5" s="326"/>
    </row>
    <row r="6" customFormat="false" ht="12.75" hidden="false" customHeight="false" outlineLevel="0" collapsed="false">
      <c r="A6" s="326"/>
      <c r="B6" s="327"/>
      <c r="C6" s="328"/>
      <c r="D6" s="326"/>
      <c r="E6" s="327"/>
      <c r="F6" s="328"/>
      <c r="G6" s="326"/>
    </row>
    <row r="7" customFormat="false" ht="12.75" hidden="false" customHeight="false" outlineLevel="0" collapsed="false">
      <c r="A7" s="326"/>
      <c r="B7" s="331" t="n">
        <f aca="false">Admin!B$6</f>
        <v>44712</v>
      </c>
      <c r="C7" s="330" t="str">
        <f aca="false">IF((SalesMay!$H$1&gt;0),SalesMay!$H$1," ")</f>
        <v> </v>
      </c>
      <c r="D7" s="326"/>
      <c r="E7" s="331" t="n">
        <f aca="false">B7</f>
        <v>44712</v>
      </c>
      <c r="F7" s="330" t="str">
        <f aca="false">IF((PurchasesMay!$H$1&gt;0),PurchasesMay!$H$1," ")</f>
        <v> </v>
      </c>
      <c r="G7" s="326"/>
    </row>
    <row r="8" customFormat="false" ht="12.75" hidden="false" customHeight="false" outlineLevel="0" collapsed="false">
      <c r="A8" s="326"/>
      <c r="B8" s="327"/>
      <c r="C8" s="328"/>
      <c r="D8" s="326"/>
      <c r="E8" s="327"/>
      <c r="F8" s="328"/>
      <c r="G8" s="326"/>
    </row>
    <row r="9" customFormat="false" ht="12.75" hidden="false" customHeight="false" outlineLevel="0" collapsed="false">
      <c r="A9" s="326"/>
      <c r="B9" s="331" t="n">
        <f aca="false">Admin!B$7</f>
        <v>44742</v>
      </c>
      <c r="C9" s="330" t="str">
        <f aca="false">IF((SalesJun!$H$1&gt;0),SalesJun!$H$1," ")</f>
        <v> </v>
      </c>
      <c r="D9" s="326"/>
      <c r="E9" s="331" t="n">
        <f aca="false">B9</f>
        <v>44742</v>
      </c>
      <c r="F9" s="330" t="str">
        <f aca="false">IF((PurchasesJun!$H$1&gt;0),PurchasesJun!$H$1," ")</f>
        <v> </v>
      </c>
      <c r="G9" s="326"/>
    </row>
    <row r="10" customFormat="false" ht="12.75" hidden="false" customHeight="false" outlineLevel="0" collapsed="false">
      <c r="A10" s="326"/>
      <c r="B10" s="327"/>
      <c r="C10" s="328"/>
      <c r="D10" s="326"/>
      <c r="E10" s="327"/>
      <c r="F10" s="328"/>
      <c r="G10" s="326"/>
    </row>
    <row r="11" customFormat="false" ht="12.75" hidden="false" customHeight="false" outlineLevel="0" collapsed="false">
      <c r="A11" s="326"/>
      <c r="B11" s="331" t="n">
        <f aca="false">Admin!B$8</f>
        <v>44773</v>
      </c>
      <c r="C11" s="330" t="str">
        <f aca="false">IF((SalesJul!$H$1&gt;0),SalesJul!$H$1," ")</f>
        <v> </v>
      </c>
      <c r="D11" s="326"/>
      <c r="E11" s="331" t="n">
        <f aca="false">B11</f>
        <v>44773</v>
      </c>
      <c r="F11" s="330" t="str">
        <f aca="false">IF((PurchasesJul!$H$1&gt;0),PurchasesJul!$H$1," ")</f>
        <v> </v>
      </c>
      <c r="G11" s="326"/>
    </row>
    <row r="12" customFormat="false" ht="12.75" hidden="false" customHeight="false" outlineLevel="0" collapsed="false">
      <c r="A12" s="326"/>
      <c r="B12" s="327"/>
      <c r="C12" s="328"/>
      <c r="D12" s="326"/>
      <c r="E12" s="327"/>
      <c r="F12" s="328"/>
      <c r="G12" s="326"/>
    </row>
    <row r="13" customFormat="false" ht="12.75" hidden="false" customHeight="false" outlineLevel="0" collapsed="false">
      <c r="A13" s="326"/>
      <c r="B13" s="331" t="n">
        <f aca="false">Admin!B$9</f>
        <v>44804</v>
      </c>
      <c r="C13" s="330" t="str">
        <f aca="false">IF((SalesAug!$H$1&gt;0),SalesAug!$H$1," ")</f>
        <v> </v>
      </c>
      <c r="D13" s="326"/>
      <c r="E13" s="331" t="n">
        <f aca="false">B13</f>
        <v>44804</v>
      </c>
      <c r="F13" s="330" t="str">
        <f aca="false">IF((PurchasesAug!$H$1&gt;0),PurchasesAug!$H$1," ")</f>
        <v> </v>
      </c>
      <c r="G13" s="326"/>
    </row>
    <row r="14" customFormat="false" ht="12.75" hidden="false" customHeight="false" outlineLevel="0" collapsed="false">
      <c r="A14" s="326"/>
      <c r="B14" s="327"/>
      <c r="C14" s="328"/>
      <c r="D14" s="326"/>
      <c r="E14" s="327"/>
      <c r="F14" s="328"/>
      <c r="G14" s="326"/>
    </row>
    <row r="15" customFormat="false" ht="12.75" hidden="false" customHeight="false" outlineLevel="0" collapsed="false">
      <c r="A15" s="326"/>
      <c r="B15" s="331" t="n">
        <f aca="false">Admin!B$10</f>
        <v>44834</v>
      </c>
      <c r="C15" s="330" t="str">
        <f aca="false">IF((SalesSep!$H$1&gt;0),SalesSep!$H$1," ")</f>
        <v> </v>
      </c>
      <c r="D15" s="326"/>
      <c r="E15" s="331" t="n">
        <f aca="false">B15</f>
        <v>44834</v>
      </c>
      <c r="F15" s="330" t="str">
        <f aca="false">IF((PurchasesSep!$H$1&gt;0),PurchasesSep!$H$1," ")</f>
        <v> </v>
      </c>
      <c r="G15" s="326"/>
    </row>
    <row r="16" customFormat="false" ht="12.75" hidden="false" customHeight="false" outlineLevel="0" collapsed="false">
      <c r="A16" s="326"/>
      <c r="B16" s="327"/>
      <c r="C16" s="328"/>
      <c r="D16" s="326"/>
      <c r="E16" s="327"/>
      <c r="F16" s="328"/>
      <c r="G16" s="326"/>
    </row>
    <row r="17" customFormat="false" ht="12.75" hidden="false" customHeight="false" outlineLevel="0" collapsed="false">
      <c r="A17" s="326"/>
      <c r="B17" s="331" t="n">
        <f aca="false">Admin!B$11</f>
        <v>44865</v>
      </c>
      <c r="C17" s="330" t="str">
        <f aca="false">IF((SalesOct!$H$1&gt;0),SalesOct!$H$1," ")</f>
        <v> </v>
      </c>
      <c r="D17" s="326"/>
      <c r="E17" s="331" t="n">
        <f aca="false">B17</f>
        <v>44865</v>
      </c>
      <c r="F17" s="330" t="str">
        <f aca="false">IF((PurchasesOct!$H$1&gt;0),PurchasesOct!$H$1," ")</f>
        <v> </v>
      </c>
      <c r="G17" s="326"/>
    </row>
    <row r="18" customFormat="false" ht="12.75" hidden="false" customHeight="false" outlineLevel="0" collapsed="false">
      <c r="A18" s="326"/>
      <c r="B18" s="327"/>
      <c r="C18" s="328"/>
      <c r="D18" s="326"/>
      <c r="E18" s="327"/>
      <c r="F18" s="328"/>
      <c r="G18" s="326"/>
    </row>
    <row r="19" customFormat="false" ht="12.75" hidden="false" customHeight="false" outlineLevel="0" collapsed="false">
      <c r="A19" s="326"/>
      <c r="B19" s="331" t="n">
        <f aca="false">Admin!B$12</f>
        <v>44895</v>
      </c>
      <c r="C19" s="330" t="str">
        <f aca="false">IF((SalesNov!$H$1&gt;0),SalesNov!$H$1," ")</f>
        <v> </v>
      </c>
      <c r="D19" s="326"/>
      <c r="E19" s="331" t="n">
        <f aca="false">B19</f>
        <v>44895</v>
      </c>
      <c r="F19" s="330" t="str">
        <f aca="false">IF((PurchasesNov!$H$1&gt;0),PurchasesNov!$H$1," ")</f>
        <v> </v>
      </c>
      <c r="G19" s="326"/>
    </row>
    <row r="20" customFormat="false" ht="12.75" hidden="false" customHeight="false" outlineLevel="0" collapsed="false">
      <c r="A20" s="326"/>
      <c r="B20" s="327"/>
      <c r="C20" s="328"/>
      <c r="D20" s="326"/>
      <c r="E20" s="327"/>
      <c r="F20" s="328"/>
      <c r="G20" s="326"/>
    </row>
    <row r="21" customFormat="false" ht="12.75" hidden="false" customHeight="false" outlineLevel="0" collapsed="false">
      <c r="A21" s="326"/>
      <c r="B21" s="331" t="n">
        <f aca="false">Admin!B$13</f>
        <v>44926</v>
      </c>
      <c r="C21" s="330" t="str">
        <f aca="false">IF((SalesDec!$H$1&gt;0),SalesDec!$H$1," ")</f>
        <v> </v>
      </c>
      <c r="D21" s="326"/>
      <c r="E21" s="331" t="n">
        <f aca="false">B21</f>
        <v>44926</v>
      </c>
      <c r="F21" s="330" t="str">
        <f aca="false">IF((PurchasesDec!$H$1&gt;0),PurchasesDec!$H$1," ")</f>
        <v> </v>
      </c>
      <c r="G21" s="326"/>
    </row>
    <row r="22" customFormat="false" ht="12.75" hidden="false" customHeight="false" outlineLevel="0" collapsed="false">
      <c r="A22" s="326"/>
      <c r="B22" s="327"/>
      <c r="C22" s="328"/>
      <c r="D22" s="326"/>
      <c r="E22" s="327"/>
      <c r="F22" s="328"/>
      <c r="G22" s="326"/>
    </row>
    <row r="23" customFormat="false" ht="12.75" hidden="false" customHeight="false" outlineLevel="0" collapsed="false">
      <c r="A23" s="326"/>
      <c r="B23" s="331" t="n">
        <f aca="false">Admin!B$14</f>
        <v>44957</v>
      </c>
      <c r="C23" s="330" t="str">
        <f aca="false">IF((SalesJan!$H$1&gt;0),SalesJan!$H$1," ")</f>
        <v> </v>
      </c>
      <c r="D23" s="326"/>
      <c r="E23" s="331" t="n">
        <f aca="false">B23</f>
        <v>44957</v>
      </c>
      <c r="F23" s="330" t="str">
        <f aca="false">IF((PurchasesJan!$H$1&gt;0),PurchasesJan!$H$1," ")</f>
        <v> </v>
      </c>
      <c r="G23" s="326"/>
    </row>
    <row r="24" customFormat="false" ht="12.75" hidden="false" customHeight="false" outlineLevel="0" collapsed="false">
      <c r="A24" s="326"/>
      <c r="B24" s="327"/>
      <c r="C24" s="328"/>
      <c r="D24" s="326"/>
      <c r="E24" s="327"/>
      <c r="F24" s="328"/>
      <c r="G24" s="326"/>
    </row>
    <row r="25" customFormat="false" ht="12.75" hidden="false" customHeight="false" outlineLevel="0" collapsed="false">
      <c r="A25" s="326"/>
      <c r="B25" s="331" t="n">
        <f aca="false">Admin!B$15</f>
        <v>44985</v>
      </c>
      <c r="C25" s="330" t="str">
        <f aca="false">IF((SalesFeb!$H$1&gt;0),SalesFeb!$H$1," ")</f>
        <v> </v>
      </c>
      <c r="D25" s="326"/>
      <c r="E25" s="331" t="n">
        <f aca="false">B25</f>
        <v>44985</v>
      </c>
      <c r="F25" s="330" t="str">
        <f aca="false">IF((PurchasesFeb!$H$1&gt;0),PurchasesFeb!$H$1," ")</f>
        <v> </v>
      </c>
      <c r="G25" s="326"/>
    </row>
    <row r="26" customFormat="false" ht="12.75" hidden="false" customHeight="false" outlineLevel="0" collapsed="false">
      <c r="A26" s="326"/>
      <c r="B26" s="327"/>
      <c r="C26" s="328"/>
      <c r="D26" s="326"/>
      <c r="E26" s="327"/>
      <c r="F26" s="328"/>
      <c r="G26" s="326"/>
    </row>
    <row r="27" customFormat="false" ht="12.75" hidden="false" customHeight="false" outlineLevel="0" collapsed="false">
      <c r="A27" s="326"/>
      <c r="B27" s="331" t="n">
        <f aca="false">Admin!B$16</f>
        <v>45016</v>
      </c>
      <c r="C27" s="330" t="str">
        <f aca="false">IF((SalesMar!$H$1&gt;0),SalesMar!$H$1," ")</f>
        <v> </v>
      </c>
      <c r="D27" s="326"/>
      <c r="E27" s="331" t="n">
        <f aca="false">B27</f>
        <v>45016</v>
      </c>
      <c r="F27" s="330" t="str">
        <f aca="false">IF((PurchasesMar!$H$1&gt;0),PurchasesMar!$H$1," ")</f>
        <v> </v>
      </c>
      <c r="G27" s="326"/>
    </row>
    <row r="28" customFormat="false" ht="12.75" hidden="false" customHeight="false" outlineLevel="0" collapsed="false">
      <c r="A28" s="326"/>
      <c r="B28" s="327"/>
      <c r="C28" s="328"/>
      <c r="D28" s="326"/>
      <c r="E28" s="327"/>
      <c r="F28" s="328"/>
      <c r="G28" s="326"/>
    </row>
    <row r="29" s="325" customFormat="true" ht="23.85" hidden="false" customHeight="false" outlineLevel="0" collapsed="false">
      <c r="A29" s="321"/>
      <c r="B29" s="333" t="s">
        <v>230</v>
      </c>
      <c r="C29" s="334" t="n">
        <f aca="false">SUM(C3:C28)</f>
        <v>0</v>
      </c>
      <c r="D29" s="321"/>
      <c r="E29" s="333" t="s">
        <v>231</v>
      </c>
      <c r="F29" s="334" t="n">
        <f aca="false">SUM(F3:F28)</f>
        <v>0</v>
      </c>
      <c r="G29" s="321"/>
    </row>
    <row r="30" customFormat="false" ht="12.75" hidden="false" customHeight="false" outlineLevel="0" collapsed="false">
      <c r="A30" s="326"/>
      <c r="B30" s="327"/>
      <c r="C30" s="328"/>
      <c r="D30" s="326"/>
      <c r="E30" s="327"/>
      <c r="F30" s="328"/>
      <c r="G30" s="326"/>
    </row>
  </sheetData>
  <printOptions headings="false" gridLines="false" gridLinesSet="true" horizontalCentered="false" verticalCentered="false"/>
  <pageMargins left="0.75" right="0.75" top="1" bottom="1" header="0.5" footer="0.5"/>
  <pageSetup paperSize="9" scale="100" fitToWidth="1" fitToHeight="1" pageOrder="downThenOver" orientation="portrait" blackAndWhite="false" draft="false" cellComments="none" horizontalDpi="300" verticalDpi="300" copies="1"/>
  <headerFooter differentFirst="false" differentOddEven="false">
    <oddHeader>&amp;L&amp;"Arial,Bold"&amp;11Debtors&amp;R&amp;"Arial,Bold"&amp;11Creditors</oddHeader>
    <oddFooter>&amp;L&amp;D  &amp;T&amp;C&amp;P  of  &amp;N&amp;R&amp;F  &amp;A</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46111</v>
      </c>
      <c r="J1" s="345" t="n">
        <f aca="false">SUM(J4:J300)</f>
        <v>0</v>
      </c>
      <c r="K1" s="349" t="n">
        <f aca="false">J1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45762</v>
      </c>
      <c r="B4" s="336" t="s">
        <v>245</v>
      </c>
      <c r="D4" s="338" t="s">
        <v>246</v>
      </c>
      <c r="F4" s="336" t="n">
        <v>1500</v>
      </c>
      <c r="I4" s="341" t="str">
        <f aca="false">IF((F4&lt;&gt;0),IF((D4&gt;0)," ",(I$1-A4))," ")</f>
        <v> </v>
      </c>
    </row>
    <row r="5" customFormat="false" ht="12.75" hidden="false" customHeight="false" outlineLevel="0" collapsed="false">
      <c r="A5" s="357" t="n">
        <v>45775</v>
      </c>
      <c r="B5" s="336" t="s">
        <v>247</v>
      </c>
      <c r="D5" s="338" t="s">
        <v>246</v>
      </c>
      <c r="F5" s="336" t="n">
        <v>1500</v>
      </c>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c r="K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f>
        <v>0</v>
      </c>
      <c r="B1" s="372" t="s">
        <v>249</v>
      </c>
      <c r="C1" s="346" t="n">
        <f aca="false">F1+SalesApr!$E$1</f>
        <v>0</v>
      </c>
      <c r="D1" s="371" t="s">
        <v>234</v>
      </c>
      <c r="E1" s="373" t="str">
        <f aca="false">IF((G1-SUM(J1:W1)&lt;&gt;0),(G1-SUM(J1:W1))," ")</f>
        <v> </v>
      </c>
      <c r="F1" s="346" t="n">
        <f aca="false">SUM(F5:F300)</f>
        <v>0</v>
      </c>
      <c r="G1" s="345" t="n">
        <f aca="false">SUM(G4:G300)</f>
        <v>870</v>
      </c>
      <c r="H1" s="374" t="n">
        <f aca="false">SUM(H5:H300)</f>
        <v>0</v>
      </c>
      <c r="I1" s="375" t="n">
        <f aca="true">TODAY()</f>
        <v>46111</v>
      </c>
      <c r="J1" s="345" t="n">
        <f aca="false">SUM(J5:J300)</f>
        <v>0</v>
      </c>
      <c r="K1" s="345" t="n">
        <f aca="false">SUM(K5:K300)</f>
        <v>0</v>
      </c>
      <c r="L1" s="345" t="n">
        <f aca="false">SUM(L5:L300)</f>
        <v>0</v>
      </c>
      <c r="M1" s="345" t="n">
        <f aca="false">SUM(M5:M300)</f>
        <v>400</v>
      </c>
      <c r="N1" s="345" t="n">
        <f aca="false">SUM(N5:N300)</f>
        <v>0</v>
      </c>
      <c r="O1" s="345" t="n">
        <f aca="false">SUM(O5:O300)</f>
        <v>120</v>
      </c>
      <c r="P1" s="345" t="n">
        <f aca="false">SUM(P3:P300)</f>
        <v>0</v>
      </c>
      <c r="Q1" s="345" t="n">
        <f aca="false">SUM(Q5:Q300)</f>
        <v>0</v>
      </c>
      <c r="R1" s="345" t="n">
        <f aca="false">SUM(R5:R300)</f>
        <v>0</v>
      </c>
      <c r="S1" s="345" t="n">
        <f aca="false">SUM(S5:S300)</f>
        <v>350</v>
      </c>
      <c r="T1" s="345" t="n">
        <f aca="false">SUM(T5:T300)</f>
        <v>0</v>
      </c>
      <c r="U1" s="345" t="n">
        <f aca="false">SUM(U5:U300)</f>
        <v>0</v>
      </c>
      <c r="V1" s="345" t="n">
        <f aca="false">SUM(V5:V300)</f>
        <v>0</v>
      </c>
      <c r="W1" s="347" t="n">
        <f aca="false">SUM(W5:W300)</f>
        <v>0</v>
      </c>
      <c r="X1" s="376" t="n">
        <f aca="false">W1</f>
        <v>0</v>
      </c>
      <c r="Y1" s="377" t="n">
        <f aca="false">SUM(Y5:Y300)</f>
        <v>0</v>
      </c>
      <c r="Z1" s="378" t="n">
        <f aca="false">Y1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254</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Description  (Vehicles: make, model, date reg. and reg. mark)</v>
      </c>
      <c r="Y2" s="382" t="s">
        <v>272</v>
      </c>
      <c r="Z2" s="382"/>
    </row>
    <row r="3" s="388" customFormat="true" ht="12.75"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390" t="n">
        <f aca="false">IF((C1&lt;Admin!$F$22),(C1*Admin!$G$21),(C1*Admin!$G$21-(C1-Admin!$F$21)*(Admin!$G$21-Admin!$G$22)))</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45748</v>
      </c>
      <c r="B5" s="365" t="s">
        <v>291</v>
      </c>
      <c r="D5" s="366" t="s">
        <v>292</v>
      </c>
      <c r="E5" s="367" t="s">
        <v>293</v>
      </c>
      <c r="G5" s="368" t="n">
        <v>400</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t="n">
        <v>45762</v>
      </c>
      <c r="B6" s="365" t="s">
        <v>294</v>
      </c>
      <c r="D6" s="366" t="s">
        <v>292</v>
      </c>
      <c r="E6" s="367" t="s">
        <v>295</v>
      </c>
      <c r="G6" s="368" t="n">
        <v>120</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n">
        <f aca="false">IF((E6="g"),G6," ")</f>
        <v>120</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t="n">
        <v>45753</v>
      </c>
      <c r="B7" s="365" t="s">
        <v>296</v>
      </c>
      <c r="D7" s="366" t="s">
        <v>246</v>
      </c>
      <c r="E7" s="367" t="s">
        <v>297</v>
      </c>
      <c r="G7" s="368" t="n">
        <v>350</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n">
        <f aca="false">IF((E7="l"),G7," ")</f>
        <v>350</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c r="X300" s="396"/>
      <c r="Y300" s="402"/>
      <c r="Z300" s="402"/>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46111</v>
      </c>
      <c r="J1" s="345" t="n">
        <f aca="false">SUM(J4:J300)</f>
        <v>0</v>
      </c>
      <c r="K1" s="349" t="n">
        <f aca="false">J1+SalesApr!K1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45792</v>
      </c>
      <c r="B4" s="336" t="s">
        <v>245</v>
      </c>
      <c r="D4" s="338" t="s">
        <v>246</v>
      </c>
      <c r="F4" s="336" t="n">
        <v>1500</v>
      </c>
      <c r="I4" s="341" t="str">
        <f aca="false">IF((F4&lt;&gt;0),IF((D4&gt;0)," ",(I$1-A4))," ")</f>
        <v> </v>
      </c>
    </row>
    <row r="5" customFormat="false" ht="12.75" hidden="false" customHeight="false" outlineLevel="0" collapsed="false">
      <c r="A5" s="357" t="n">
        <v>45805</v>
      </c>
      <c r="B5" s="336" t="s">
        <v>298</v>
      </c>
      <c r="D5" s="338" t="s">
        <v>246</v>
      </c>
      <c r="F5" s="336" t="n">
        <v>1500</v>
      </c>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G4+PurchasesApr!A1</f>
        <v>0</v>
      </c>
      <c r="B1" s="372" t="s">
        <v>249</v>
      </c>
      <c r="C1" s="346" t="n">
        <f aca="false">PurchasesApr!C1+PurchasesMay!F1+SalesMay!$E$1</f>
        <v>0</v>
      </c>
      <c r="D1" s="371" t="s">
        <v>234</v>
      </c>
      <c r="E1" s="373" t="str">
        <f aca="false">IF((G1-SUM(J1:W1)&lt;&gt;0),(G1-SUM(J1:W1))," ")</f>
        <v> </v>
      </c>
      <c r="F1" s="346" t="n">
        <f aca="false">SUM(F5:F300)</f>
        <v>0</v>
      </c>
      <c r="G1" s="345" t="n">
        <f aca="false">SUM(G4:G300)</f>
        <v>400</v>
      </c>
      <c r="H1" s="374" t="n">
        <f aca="false">SUM(H5:H300)</f>
        <v>0</v>
      </c>
      <c r="I1" s="375" t="n">
        <f aca="true">TODAY()</f>
        <v>46111</v>
      </c>
      <c r="J1" s="345" t="n">
        <f aca="false">SUM(J5:J300)</f>
        <v>0</v>
      </c>
      <c r="K1" s="345" t="n">
        <f aca="false">SUM(K5:K300)</f>
        <v>0</v>
      </c>
      <c r="L1" s="345" t="n">
        <f aca="false">SUM(L5:L300)</f>
        <v>0</v>
      </c>
      <c r="M1" s="345" t="n">
        <f aca="false">SUM(M5:M300)</f>
        <v>400</v>
      </c>
      <c r="N1" s="345" t="n">
        <f aca="false">SUM(N5:N300)</f>
        <v>0</v>
      </c>
      <c r="O1" s="345" t="n">
        <f aca="false">SUM(O5:O300)</f>
        <v>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W1+PurchasesApr!X1</f>
        <v>0</v>
      </c>
      <c r="Y1" s="377" t="n">
        <f aca="false">SUM(Y5:Y200)</f>
        <v>0</v>
      </c>
      <c r="Z1" s="378" t="n">
        <f aca="false">Y1+PurchasesApr!Z1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Description  (Vehicles: make, model, date reg. and reg. mark)</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IF((C1&lt;Admin!$F$22),((C1-PurchasesApr!C1)*Admin!$G$21),(C1*Admin!$G$21-(C1-Admin!$F$21)*(Admin!$G$21-Admin!$G$22)-PurchasesApr!A1))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45778</v>
      </c>
      <c r="B5" s="365" t="s">
        <v>291</v>
      </c>
      <c r="D5" s="366" t="s">
        <v>292</v>
      </c>
      <c r="E5" s="367" t="s">
        <v>293</v>
      </c>
      <c r="G5" s="368" t="n">
        <v>400</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c r="E6" s="367" t="str">
        <f aca="false">IF((G6&lt;&gt;0),"Enter Letter","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c r="E7" s="367" t="str">
        <f aca="false">IF((G7&lt;&gt;0),"Enter Letter","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E8" s="367" t="str">
        <f aca="false">IF((G8&lt;&gt;0),"Enter Letter","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E9" s="367" t="str">
        <f aca="false">IF((G9&lt;&gt;0),"Enter Letter","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E10" s="367" t="str">
        <f aca="false">IF((G10&lt;&gt;0),"Enter Letter","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E11" s="367" t="str">
        <f aca="false">IF((G11&lt;&gt;0),"Enter Letter","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E12" s="367" t="str">
        <f aca="false">IF((G12&lt;&gt;0),"Enter Letter","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E13" s="367" t="str">
        <f aca="false">IF((G13&lt;&gt;0),"Enter Letter","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E14" s="367" t="str">
        <f aca="false">IF((G14&lt;&gt;0),"Enter Letter","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E15" s="367" t="str">
        <f aca="false">IF((G15&lt;&gt;0),"Enter Letter","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E16" s="367" t="str">
        <f aca="false">IF((G16&lt;&gt;0),"Enter Letter","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E17" s="367" t="str">
        <f aca="false">IF((G17&lt;&gt;0),"Enter Letter","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E18" s="367" t="str">
        <f aca="false">IF((G18&lt;&gt;0),"Enter Letter","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E19" s="367" t="str">
        <f aca="false">IF((G19&lt;&gt;0),"Enter Letter","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E20" s="367" t="str">
        <f aca="false">IF((G20&lt;&gt;0),"Enter Letter","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E21" s="367" t="str">
        <f aca="false">IF((G21&lt;&gt;0),"Enter Letter","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E22" s="367" t="str">
        <f aca="false">IF((G22&lt;&gt;0),"Enter Letter","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E23" s="367" t="str">
        <f aca="false">IF((G23&lt;&gt;0),"Enter Letter","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E24" s="367" t="str">
        <f aca="false">IF((G24&lt;&gt;0),"Enter Letter","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E25" s="367" t="str">
        <f aca="false">IF((G25&lt;&gt;0),"Enter Letter","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E26" s="367" t="str">
        <f aca="false">IF((G26&lt;&gt;0),"Enter Letter","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E27" s="367" t="str">
        <f aca="false">IF((G27&lt;&gt;0),"Enter Letter","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E28" s="367" t="str">
        <f aca="false">IF((G28&lt;&gt;0),"Enter Letter","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E29" s="367" t="str">
        <f aca="false">IF((G29&lt;&gt;0),"Enter Letter","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E30" s="367" t="str">
        <f aca="false">IF((G30&lt;&gt;0),"Enter Letter","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E31" s="367" t="str">
        <f aca="false">IF((G31&lt;&gt;0),"Enter Letter","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E32" s="367" t="str">
        <f aca="false">IF((G32&lt;&gt;0),"Enter Letter","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E33" s="367" t="str">
        <f aca="false">IF((G33&lt;&gt;0),"Enter Letter","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E34" s="367" t="str">
        <f aca="false">IF((G34&lt;&gt;0),"Enter Letter","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E35" s="367" t="str">
        <f aca="false">IF((G35&lt;&gt;0),"Enter Letter","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E36" s="367" t="str">
        <f aca="false">IF((G36&lt;&gt;0),"Enter Letter","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E37" s="367" t="str">
        <f aca="false">IF((G37&lt;&gt;0),"Enter Letter"," ")</f>
        <v> </v>
      </c>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E38" s="367" t="str">
        <f aca="false">IF((G38&lt;&gt;0),"Enter Letter"," ")</f>
        <v> </v>
      </c>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E39" s="367" t="str">
        <f aca="false">IF((G39&lt;&gt;0),"Enter Letter"," ")</f>
        <v> </v>
      </c>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E40" s="367" t="str">
        <f aca="false">IF((G40&lt;&gt;0),"Enter Letter"," ")</f>
        <v> </v>
      </c>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E41" s="367" t="str">
        <f aca="false">IF((G41&lt;&gt;0),"Enter Letter"," ")</f>
        <v> </v>
      </c>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E42" s="367" t="str">
        <f aca="false">IF((G42&lt;&gt;0),"Enter Letter"," ")</f>
        <v> </v>
      </c>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E43" s="367" t="str">
        <f aca="false">IF((G43&lt;&gt;0),"Enter Letter"," ")</f>
        <v> </v>
      </c>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E44" s="367" t="str">
        <f aca="false">IF((G44&lt;&gt;0),"Enter Letter"," ")</f>
        <v> </v>
      </c>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E45" s="367" t="str">
        <f aca="false">IF((G45&lt;&gt;0),"Enter Letter"," ")</f>
        <v> </v>
      </c>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E46" s="367" t="str">
        <f aca="false">IF((G46&lt;&gt;0),"Enter Letter"," ")</f>
        <v> </v>
      </c>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E47" s="367" t="str">
        <f aca="false">IF((G47&lt;&gt;0),"Enter Letter"," ")</f>
        <v> </v>
      </c>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E48" s="367" t="str">
        <f aca="false">IF((G48&lt;&gt;0),"Enter Letter"," ")</f>
        <v> </v>
      </c>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E49" s="367" t="str">
        <f aca="false">IF((G49&lt;&gt;0),"Enter Letter"," ")</f>
        <v> </v>
      </c>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E50" s="367" t="str">
        <f aca="false">IF((G50&lt;&gt;0),"Enter Letter"," ")</f>
        <v> </v>
      </c>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E51" s="367" t="str">
        <f aca="false">IF((G51&lt;&gt;0),"Enter Letter"," ")</f>
        <v> </v>
      </c>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E52" s="367" t="str">
        <f aca="false">IF((G52&lt;&gt;0),"Enter Letter"," ")</f>
        <v> </v>
      </c>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E53" s="367" t="str">
        <f aca="false">IF((G53&lt;&gt;0),"Enter Letter"," ")</f>
        <v> </v>
      </c>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E54" s="367" t="str">
        <f aca="false">IF((G54&lt;&gt;0),"Enter Letter"," ")</f>
        <v> </v>
      </c>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E55" s="367" t="str">
        <f aca="false">IF((G55&lt;&gt;0),"Enter Letter"," ")</f>
        <v> </v>
      </c>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E56" s="367" t="str">
        <f aca="false">IF((G56&lt;&gt;0),"Enter Letter"," ")</f>
        <v> </v>
      </c>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E57" s="367" t="str">
        <f aca="false">IF((G57&lt;&gt;0),"Enter Letter"," ")</f>
        <v> </v>
      </c>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E58" s="367" t="str">
        <f aca="false">IF((G58&lt;&gt;0),"Enter Letter"," ")</f>
        <v> </v>
      </c>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E59" s="367" t="str">
        <f aca="false">IF((G59&lt;&gt;0),"Enter Letter"," ")</f>
        <v> </v>
      </c>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E60" s="367" t="str">
        <f aca="false">IF((G60&lt;&gt;0),"Enter Letter"," ")</f>
        <v> </v>
      </c>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E61" s="367" t="str">
        <f aca="false">IF((G61&lt;&gt;0),"Enter Letter"," ")</f>
        <v> </v>
      </c>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E62" s="367" t="str">
        <f aca="false">IF((G62&lt;&gt;0),"Enter Letter"," ")</f>
        <v> </v>
      </c>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E63" s="367" t="str">
        <f aca="false">IF((G63&lt;&gt;0),"Enter Letter"," ")</f>
        <v> </v>
      </c>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E64" s="367" t="str">
        <f aca="false">IF((G64&lt;&gt;0),"Enter Letter"," ")</f>
        <v> </v>
      </c>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E65" s="367" t="str">
        <f aca="false">IF((G65&lt;&gt;0),"Enter Letter"," ")</f>
        <v> </v>
      </c>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E66" s="367" t="str">
        <f aca="false">IF((G66&lt;&gt;0),"Enter Letter"," ")</f>
        <v> </v>
      </c>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E67" s="367" t="str">
        <f aca="false">IF((G67&lt;&gt;0),"Enter Letter"," ")</f>
        <v> </v>
      </c>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E68" s="367" t="str">
        <f aca="false">IF((G68&lt;&gt;0),"Enter Letter"," ")</f>
        <v> </v>
      </c>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&amp;C&amp;"Arial,Bold"&amp;12Costs and Expenses</oddHeader>
    <oddFooter>&amp;L&amp;D  &amp;T&amp;C&amp;P  of  &amp;N&amp;R&amp;F  &amp;A</oddFooter>
  </headerFooter>
  <colBreaks count="2" manualBreakCount="2">
    <brk id="9" man="true" max="65535" min="0"/>
    <brk id="22" man="true" max="65535" min="0"/>
  </colBreak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46111</v>
      </c>
      <c r="J1" s="345" t="n">
        <f aca="false">SUM(J4:J300)</f>
        <v>0</v>
      </c>
      <c r="K1" s="349" t="n">
        <f aca="false">J1+SalesMay!K1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45823</v>
      </c>
      <c r="B4" s="336" t="s">
        <v>245</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404" t="n">
        <f aca="false">G4+PurchasesMay!A1</f>
        <v>0</v>
      </c>
      <c r="B1" s="372" t="s">
        <v>249</v>
      </c>
      <c r="C1" s="346" t="n">
        <f aca="false">PurchasesMay!C1+PurchasesJun!F1+SalesJun!$E$1</f>
        <v>0</v>
      </c>
      <c r="D1" s="371" t="s">
        <v>234</v>
      </c>
      <c r="E1" s="373" t="str">
        <f aca="false">IF((G1-SUM(J1:W1)&lt;&gt;0),(G1-SUM(J1:W1))," ")</f>
        <v> </v>
      </c>
      <c r="F1" s="346" t="n">
        <f aca="false">SUM(F5:F300)</f>
        <v>0</v>
      </c>
      <c r="G1" s="345" t="n">
        <f aca="false">SUM(G4:G300)</f>
        <v>1600</v>
      </c>
      <c r="H1" s="374" t="n">
        <f aca="false">SUM(H5:H300)</f>
        <v>0</v>
      </c>
      <c r="I1" s="375" t="n">
        <f aca="true">TODAY()</f>
        <v>46111</v>
      </c>
      <c r="J1" s="345" t="n">
        <f aca="false">SUM(J5:J300)</f>
        <v>0</v>
      </c>
      <c r="K1" s="345" t="n">
        <f aca="false">SUM(K5:K300)</f>
        <v>0</v>
      </c>
      <c r="L1" s="345" t="n">
        <f aca="false">SUM(L5:L300)</f>
        <v>0</v>
      </c>
      <c r="M1" s="345" t="n">
        <f aca="false">SUM(M5:M300)</f>
        <v>400</v>
      </c>
      <c r="N1" s="345" t="n">
        <f aca="false">SUM(N5:N300)</f>
        <v>0</v>
      </c>
      <c r="O1" s="345" t="n">
        <f aca="false">SUM(O5:O300)</f>
        <v>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1200</v>
      </c>
      <c r="X1" s="376" t="n">
        <f aca="false">W1+PurchasesMay!X1</f>
        <v>1200</v>
      </c>
      <c r="Y1" s="377" t="n">
        <f aca="false">SUM(Y5:Y200)</f>
        <v>0</v>
      </c>
      <c r="Z1" s="378" t="n">
        <f aca="false">Y1+PurchasesMay!Z1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IF((C1&lt;Admin!$F$22),((C1-PurchasesMay!C1)*Admin!$G$21),(C1*Admin!$G$21-(C1-Admin!$F$21)*(Admin!$G$21-Admin!$G$22)-PurchasesMay!A1))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45809</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t="n">
        <v>45818</v>
      </c>
      <c r="B6" s="365" t="s">
        <v>300</v>
      </c>
      <c r="D6" s="366" t="s">
        <v>246</v>
      </c>
      <c r="E6" s="367" t="s">
        <v>301</v>
      </c>
      <c r="G6" s="368" t="n">
        <v>1200</v>
      </c>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n">
        <f aca="false">IF((E6="f"),G6," ")</f>
        <v>1200</v>
      </c>
    </row>
    <row r="7" customFormat="false" ht="12.75" hidden="false" customHeight="false" outlineLevel="0" collapsed="false">
      <c r="A7" s="357"/>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46111</v>
      </c>
      <c r="J1" s="345" t="n">
        <f aca="false">SUM(J4:J300)</f>
        <v>0</v>
      </c>
      <c r="K1" s="349" t="n">
        <f aca="false">J1+SalesJun!K1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45853</v>
      </c>
      <c r="B4" s="336" t="s">
        <v>247</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G4+PurchasesJun!A1</f>
        <v>0</v>
      </c>
      <c r="B1" s="372" t="s">
        <v>249</v>
      </c>
      <c r="C1" s="346" t="n">
        <f aca="false">PurchasesJun!C1+PurchasesJul!F1+SalesJul!$E$1</f>
        <v>0</v>
      </c>
      <c r="D1" s="371" t="s">
        <v>234</v>
      </c>
      <c r="E1" s="373" t="str">
        <f aca="false">IF((G1-SUM(J1:W1)&lt;&gt;0),(G1-SUM(J1:W1))," ")</f>
        <v> </v>
      </c>
      <c r="F1" s="346" t="n">
        <f aca="false">SUM(F5:F300)</f>
        <v>0</v>
      </c>
      <c r="G1" s="345" t="n">
        <f aca="false">SUM(G4:G300)</f>
        <v>520</v>
      </c>
      <c r="H1" s="374" t="n">
        <f aca="false">SUM(H5:H300)</f>
        <v>0</v>
      </c>
      <c r="I1" s="375" t="n">
        <f aca="true">TODAY()</f>
        <v>46111</v>
      </c>
      <c r="J1" s="345" t="n">
        <f aca="false">SUM(J5:J300)</f>
        <v>0</v>
      </c>
      <c r="K1" s="345" t="n">
        <f aca="false">SUM(K5:K300)</f>
        <v>0</v>
      </c>
      <c r="L1" s="345" t="n">
        <f aca="false">SUM(L5:L300)</f>
        <v>0</v>
      </c>
      <c r="M1" s="345" t="n">
        <f aca="false">SUM(M5:M300)</f>
        <v>400</v>
      </c>
      <c r="N1" s="345" t="n">
        <f aca="false">SUM(N5:N300)</f>
        <v>0</v>
      </c>
      <c r="O1" s="345" t="n">
        <f aca="false">SUM(O5:O300)</f>
        <v>120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W1+PurchasesJun!X1</f>
        <v>1200</v>
      </c>
      <c r="Y1" s="377" t="n">
        <f aca="false">SUM(Y5:Y200)</f>
        <v>0</v>
      </c>
      <c r="Z1" s="378" t="n">
        <f aca="false">Y1+PurchasesJun!Z1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IF((C1&lt;Admin!$F$22),((C1-PurchasesJun!C1)*Admin!$G$21),(C1*Admin!$G$21-(C1-Admin!$F$21)*(Admin!$G$21-Admin!$G$22)-PurchasesJun!A1))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true" outlineLevel="0" collapsed="false">
      <c r="A5" s="357" t="n">
        <v>45839</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t="n">
        <v>45853</v>
      </c>
      <c r="B6" s="365" t="s">
        <v>294</v>
      </c>
      <c r="D6" s="366" t="s">
        <v>292</v>
      </c>
      <c r="E6" s="367" t="s">
        <v>295</v>
      </c>
      <c r="G6" s="368" t="n">
        <v>120</v>
      </c>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n">
        <f aca="false">IF((E6="g"),G6," ")</f>
        <v>120</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46111</v>
      </c>
      <c r="J1" s="345" t="n">
        <f aca="false">SUM(J4:J300)</f>
        <v>0</v>
      </c>
      <c r="K1" s="349" t="n">
        <f aca="false">J1+SalesJul!K1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45884</v>
      </c>
      <c r="B4" s="336" t="s">
        <v>245</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G4+PurchasesJul!A1</f>
        <v>0</v>
      </c>
      <c r="B1" s="372" t="s">
        <v>249</v>
      </c>
      <c r="C1" s="346" t="n">
        <f aca="false">PurchasesJul!C1+PurchasesAug!F1+SalesAug!$E$1</f>
        <v>0</v>
      </c>
      <c r="D1" s="371" t="s">
        <v>234</v>
      </c>
      <c r="E1" s="373" t="str">
        <f aca="false">IF((G1-SUM(J1:W1)&lt;&gt;0),(G1-SUM(J1:W1))," ")</f>
        <v> </v>
      </c>
      <c r="F1" s="346" t="n">
        <f aca="false">SUM(F5:F300)</f>
        <v>0</v>
      </c>
      <c r="G1" s="345" t="n">
        <f aca="false">SUM(G4:G300)</f>
        <v>400</v>
      </c>
      <c r="H1" s="374" t="n">
        <f aca="false">SUM(H5:H300)</f>
        <v>0</v>
      </c>
      <c r="I1" s="375" t="n">
        <f aca="true">TODAY()</f>
        <v>46111</v>
      </c>
      <c r="J1" s="345" t="n">
        <f aca="false">SUM(J5:J300)</f>
        <v>0</v>
      </c>
      <c r="K1" s="345" t="n">
        <f aca="false">SUM(K5:K300)</f>
        <v>0</v>
      </c>
      <c r="L1" s="345" t="n">
        <f aca="false">SUM(L5:L300)</f>
        <v>0</v>
      </c>
      <c r="M1" s="345" t="n">
        <f aca="false">SUM(M5:M300)</f>
        <v>400</v>
      </c>
      <c r="N1" s="345" t="n">
        <f aca="false">SUM(N5:N300)</f>
        <v>0</v>
      </c>
      <c r="O1" s="345" t="n">
        <f aca="false">SUM(O5:O300)</f>
        <v>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W1+PurchasesJul!X1</f>
        <v>1200</v>
      </c>
      <c r="Y1" s="377" t="n">
        <f aca="false">SUM(Y5:Y200)</f>
        <v>0</v>
      </c>
      <c r="Z1" s="378" t="n">
        <f aca="false">Y1+PurchasesJul!Z1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IF((C1&lt;Admin!$F$22),((C1-PurchasesJul!C1)*Admin!$G$21),(C1*Admin!$G$21-(C1-Admin!$F$21)*(Admin!$G$21-Admin!$G$22)-PurchasesJul!A1))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45870</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46111</v>
      </c>
      <c r="J1" s="345" t="n">
        <f aca="false">SUM(J4:J300)</f>
        <v>0</v>
      </c>
      <c r="K1" s="349" t="n">
        <f aca="false">J1+SalesAug!K1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45915</v>
      </c>
      <c r="B4" s="336" t="s">
        <v>298</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G4+PurchasesAug!A1</f>
        <v>0</v>
      </c>
      <c r="B1" s="372" t="s">
        <v>249</v>
      </c>
      <c r="C1" s="346" t="n">
        <f aca="false">PurchasesAug!C1+PurchasesSep!F1+SalesSep!$E$1</f>
        <v>0</v>
      </c>
      <c r="D1" s="371" t="s">
        <v>234</v>
      </c>
      <c r="E1" s="373" t="str">
        <f aca="false">IF((G1-SUM(J1:W1)&lt;&gt;0),(G1-SUM(J1:W1))," ")</f>
        <v> </v>
      </c>
      <c r="F1" s="346" t="n">
        <f aca="false">SUM(F5:F300)</f>
        <v>0</v>
      </c>
      <c r="G1" s="345" t="n">
        <f aca="false">SUM(G4:G300)</f>
        <v>400</v>
      </c>
      <c r="H1" s="374" t="n">
        <f aca="false">SUM(H5:H300)</f>
        <v>0</v>
      </c>
      <c r="I1" s="375" t="n">
        <f aca="true">TODAY()</f>
        <v>46111</v>
      </c>
      <c r="J1" s="345" t="n">
        <f aca="false">SUM(J5:J300)</f>
        <v>0</v>
      </c>
      <c r="K1" s="345" t="n">
        <f aca="false">SUM(K5:K300)</f>
        <v>0</v>
      </c>
      <c r="L1" s="345" t="n">
        <f aca="false">SUM(L5:L300)</f>
        <v>0</v>
      </c>
      <c r="M1" s="345" t="n">
        <f aca="false">SUM(M5:M300)</f>
        <v>400</v>
      </c>
      <c r="N1" s="345" t="n">
        <f aca="false">SUM(N5:N300)</f>
        <v>0</v>
      </c>
      <c r="O1" s="345" t="n">
        <f aca="false">SUM(O5:O300)</f>
        <v>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W1+PurchasesAug!X1</f>
        <v>1200</v>
      </c>
      <c r="Y1" s="377" t="n">
        <f aca="false">SUM(Y5:Y200)</f>
        <v>0</v>
      </c>
      <c r="Z1" s="378" t="n">
        <f aca="false">Y1+PurchasesAug!Z1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IF((C1&lt;Admin!$F$22),((C1-PurchasesAug!C1)*Admin!$G$21),(C1*Admin!$G$21-(C1-Admin!$F$21)*(Admin!$G$21-Admin!$G$22)-PurchasesAug!A1))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45901</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46111</v>
      </c>
      <c r="J1" s="345" t="n">
        <f aca="false">SUM(J4:J300)</f>
        <v>0</v>
      </c>
      <c r="K1" s="349" t="n">
        <f aca="false">J1+SalesSep!K1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45945</v>
      </c>
      <c r="B4" s="336" t="s">
        <v>245</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G4+PurchasesSep!A1</f>
        <v>0</v>
      </c>
      <c r="B1" s="372" t="s">
        <v>249</v>
      </c>
      <c r="C1" s="346" t="n">
        <f aca="false">PurchasesSep!C1+PurchasesOct!F1+SalesOct!$E$1</f>
        <v>0</v>
      </c>
      <c r="D1" s="371" t="s">
        <v>234</v>
      </c>
      <c r="E1" s="373" t="str">
        <f aca="false">IF((G1-SUM(J1:W1)&lt;&gt;0),(G1-SUM(J1:W1))," ")</f>
        <v> </v>
      </c>
      <c r="F1" s="346" t="n">
        <f aca="false">SUM(F5:F300)</f>
        <v>0</v>
      </c>
      <c r="G1" s="345" t="n">
        <f aca="false">SUM(G4:G300)</f>
        <v>520</v>
      </c>
      <c r="H1" s="374" t="n">
        <f aca="false">SUM(H5:H300)</f>
        <v>0</v>
      </c>
      <c r="I1" s="375" t="n">
        <f aca="true">TODAY()</f>
        <v>46111</v>
      </c>
      <c r="J1" s="345" t="n">
        <f aca="false">SUM(J5:J300)</f>
        <v>0</v>
      </c>
      <c r="K1" s="345" t="n">
        <f aca="false">SUM(K5:K300)</f>
        <v>0</v>
      </c>
      <c r="L1" s="345" t="n">
        <f aca="false">SUM(L5:L300)</f>
        <v>0</v>
      </c>
      <c r="M1" s="345" t="n">
        <f aca="false">SUM(M5:M300)</f>
        <v>400</v>
      </c>
      <c r="N1" s="345" t="n">
        <f aca="false">SUM(N5:N300)</f>
        <v>0</v>
      </c>
      <c r="O1" s="345" t="n">
        <f aca="false">SUM(O5:O300)</f>
        <v>120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W1+PurchasesSep!X1</f>
        <v>1200</v>
      </c>
      <c r="Y1" s="377" t="n">
        <f aca="false">SUM(Y5:Y200)</f>
        <v>0</v>
      </c>
      <c r="Z1" s="378" t="n">
        <f aca="false">Y1+PurchasesSep!Z1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IF((C1&lt;Admin!$F$22),((C1-PurchasesSep!C1)*Admin!$G$21),(C1*Admin!$G$21-(C1-Admin!$F$21)*(Admin!$G$21-Admin!$G$22)-PurchasesSep!A1))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45931</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t="n">
        <v>45945</v>
      </c>
      <c r="B6" s="365" t="s">
        <v>294</v>
      </c>
      <c r="D6" s="366" t="s">
        <v>292</v>
      </c>
      <c r="E6" s="367" t="s">
        <v>295</v>
      </c>
      <c r="G6" s="368" t="n">
        <v>120</v>
      </c>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n">
        <f aca="false">IF((E6="g"),G6," ")</f>
        <v>120</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46111</v>
      </c>
      <c r="J1" s="345" t="n">
        <f aca="false">SUM(J4:J300)</f>
        <v>0</v>
      </c>
      <c r="K1" s="349" t="n">
        <f aca="false">J1+SalesOct!K1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45976</v>
      </c>
      <c r="B4" s="336" t="s">
        <v>247</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G4+PurchasesOct!A1</f>
        <v>0</v>
      </c>
      <c r="B1" s="372" t="s">
        <v>249</v>
      </c>
      <c r="C1" s="346" t="n">
        <f aca="false">PurchasesOct!C1+PurchasesNov!F1+SalesNov!$E$1</f>
        <v>0</v>
      </c>
      <c r="D1" s="371" t="s">
        <v>234</v>
      </c>
      <c r="E1" s="373" t="str">
        <f aca="false">IF((G1-SUM(J1:W1)&lt;&gt;0),(G1-SUM(J1:W1))," ")</f>
        <v> </v>
      </c>
      <c r="F1" s="346" t="n">
        <f aca="false">SUM(F5:F300)</f>
        <v>0</v>
      </c>
      <c r="G1" s="345" t="n">
        <f aca="false">SUM(G4:G300)</f>
        <v>400</v>
      </c>
      <c r="H1" s="374" t="n">
        <f aca="false">SUM(H5:H300)</f>
        <v>0</v>
      </c>
      <c r="I1" s="375" t="n">
        <f aca="true">TODAY()</f>
        <v>46111</v>
      </c>
      <c r="J1" s="345" t="n">
        <f aca="false">SUM(J5:J300)</f>
        <v>0</v>
      </c>
      <c r="K1" s="345" t="n">
        <f aca="false">SUM(K5:K300)</f>
        <v>0</v>
      </c>
      <c r="L1" s="345" t="n">
        <f aca="false">SUM(L5:L300)</f>
        <v>0</v>
      </c>
      <c r="M1" s="345" t="n">
        <f aca="false">SUM(M5:M300)</f>
        <v>400</v>
      </c>
      <c r="N1" s="345" t="n">
        <f aca="false">SUM(N5:N300)</f>
        <v>0</v>
      </c>
      <c r="O1" s="345" t="n">
        <f aca="false">SUM(O5:O300)</f>
        <v>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W1+PurchasesOct!X1</f>
        <v>1200</v>
      </c>
      <c r="Y1" s="377" t="n">
        <f aca="false">SUM(Y5:Y200)</f>
        <v>0</v>
      </c>
      <c r="Z1" s="378" t="n">
        <f aca="false">Y1+PurchasesOct!Z1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IF((C1&lt;Admin!$F$22),((C1-PurchasesOct!C1)*Admin!$G$21),(C1*Admin!$G$21-(C1-Admin!$F$21)*(Admin!$G$21-Admin!$G$22)-PurchasesOct!A1))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45962</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46111</v>
      </c>
      <c r="J1" s="345" t="n">
        <f aca="false">SUM(J4:J300)</f>
        <v>0</v>
      </c>
      <c r="K1" s="349" t="n">
        <f aca="false">J1+SalesNov!K1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46006</v>
      </c>
      <c r="B4" s="336" t="s">
        <v>245</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G4+PurchasesNov!A1</f>
        <v>0</v>
      </c>
      <c r="B1" s="372" t="s">
        <v>249</v>
      </c>
      <c r="C1" s="346" t="n">
        <f aca="false">PurchasesNov!C1+PurchasesDec!F1+SalesDec!$E$1</f>
        <v>0</v>
      </c>
      <c r="D1" s="371" t="s">
        <v>234</v>
      </c>
      <c r="E1" s="373" t="str">
        <f aca="false">IF((G1-SUM(J1:W1)&lt;&gt;0),(G1-SUM(J1:W1))," ")</f>
        <v> </v>
      </c>
      <c r="F1" s="346" t="n">
        <f aca="false">SUM(F5:F300)</f>
        <v>0</v>
      </c>
      <c r="G1" s="345" t="n">
        <f aca="false">SUM(G4:G300)</f>
        <v>400</v>
      </c>
      <c r="H1" s="374" t="n">
        <f aca="false">SUM(H5:H300)</f>
        <v>0</v>
      </c>
      <c r="I1" s="375" t="n">
        <f aca="true">TODAY()</f>
        <v>46111</v>
      </c>
      <c r="J1" s="345" t="n">
        <f aca="false">SUM(J5:J300)</f>
        <v>0</v>
      </c>
      <c r="K1" s="345" t="n">
        <f aca="false">SUM(K5:K300)</f>
        <v>0</v>
      </c>
      <c r="L1" s="345" t="n">
        <f aca="false">SUM(L5:L300)</f>
        <v>0</v>
      </c>
      <c r="M1" s="345" t="n">
        <f aca="false">SUM(M5:M300)</f>
        <v>400</v>
      </c>
      <c r="N1" s="345" t="n">
        <f aca="false">SUM(N5:N300)</f>
        <v>0</v>
      </c>
      <c r="O1" s="345" t="n">
        <f aca="false">SUM(O5:O300)</f>
        <v>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W1+PurchasesNov!X1</f>
        <v>1200</v>
      </c>
      <c r="Y1" s="377" t="n">
        <f aca="false">SUM(Y5:Y200)</f>
        <v>0</v>
      </c>
      <c r="Z1" s="378" t="n">
        <f aca="false">PurchasesDec!Y1+PurchasesNov!Z1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IF((C1&lt;Admin!$F$22),((C1-PurchasesNov!C1)*Admin!$G$21),(C1*Admin!$G$21-(C1-Admin!$F$21)*(Admin!$G$21-Admin!$G$22)-PurchasesNov!A1))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45992</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46111</v>
      </c>
      <c r="J1" s="345" t="n">
        <f aca="false">SUM(J4:J300)</f>
        <v>0</v>
      </c>
      <c r="K1" s="349" t="n">
        <f aca="false">J1+SalesDec!K1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46037</v>
      </c>
      <c r="B4" s="336" t="s">
        <v>298</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G4+PurchasesDec!A1</f>
        <v>0</v>
      </c>
      <c r="B1" s="372" t="s">
        <v>249</v>
      </c>
      <c r="C1" s="346" t="n">
        <f aca="false">PurchasesDec!C1+PurchasesJan!F1+SalesJan!$E$1</f>
        <v>0</v>
      </c>
      <c r="D1" s="371" t="s">
        <v>234</v>
      </c>
      <c r="E1" s="373" t="str">
        <f aca="false">IF((G1-SUM(J1:W1)&lt;&gt;0),(G1-SUM(J1:W1))," ")</f>
        <v> </v>
      </c>
      <c r="F1" s="346" t="n">
        <f aca="false">SUM(F5:F300)</f>
        <v>0</v>
      </c>
      <c r="G1" s="345" t="n">
        <f aca="false">SUM(G4:G300)</f>
        <v>1020</v>
      </c>
      <c r="H1" s="374" t="n">
        <f aca="false">SUM(H5:H300)</f>
        <v>0</v>
      </c>
      <c r="I1" s="375" t="n">
        <f aca="true">TODAY()</f>
        <v>46111</v>
      </c>
      <c r="J1" s="345" t="n">
        <f aca="false">SUM(J5:J300)</f>
        <v>0</v>
      </c>
      <c r="K1" s="345" t="n">
        <f aca="false">SUM(K5:K300)</f>
        <v>0</v>
      </c>
      <c r="L1" s="345" t="n">
        <f aca="false">SUM(L5:L300)</f>
        <v>0</v>
      </c>
      <c r="M1" s="345" t="n">
        <f aca="false">SUM(M5:M300)</f>
        <v>400</v>
      </c>
      <c r="N1" s="345" t="n">
        <f aca="false">SUM(N5:N300)</f>
        <v>0</v>
      </c>
      <c r="O1" s="345" t="n">
        <f aca="false">SUM(O5:O300)</f>
        <v>120</v>
      </c>
      <c r="P1" s="345" t="n">
        <f aca="false">SUM(P3:P300)</f>
        <v>0</v>
      </c>
      <c r="Q1" s="345" t="n">
        <f aca="false">SUM(Q5:Q300)</f>
        <v>0</v>
      </c>
      <c r="R1" s="345" t="n">
        <f aca="false">SUM(R5:R300)</f>
        <v>0</v>
      </c>
      <c r="S1" s="345" t="n">
        <f aca="false">SUM(S5:S300)</f>
        <v>500</v>
      </c>
      <c r="T1" s="345" t="n">
        <f aca="false">SUM(T5:T300)</f>
        <v>0</v>
      </c>
      <c r="U1" s="345" t="n">
        <f aca="false">SUM(U5:U300)</f>
        <v>0</v>
      </c>
      <c r="V1" s="345" t="n">
        <f aca="false">SUM(V5:V300)</f>
        <v>0</v>
      </c>
      <c r="W1" s="347" t="n">
        <f aca="false">SUM(W5:W300)</f>
        <v>0</v>
      </c>
      <c r="X1" s="376" t="n">
        <f aca="false">W1+PurchasesDec!X1</f>
        <v>1200</v>
      </c>
      <c r="Y1" s="377" t="n">
        <f aca="false">SUM(Y5:Y200)</f>
        <v>0</v>
      </c>
      <c r="Z1" s="378" t="n">
        <f aca="false">Y1+PurchasesDec!Z1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IF((C1&lt;Admin!$F$22),((C1-PurchasesDec!C1)*Admin!$G$21),(C1*Admin!$G$21-(C1-Admin!$F$21)*(Admin!$G$21-Admin!$G$22)-PurchasesDec!A1))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46023</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t="n">
        <v>46037</v>
      </c>
      <c r="B6" s="365" t="s">
        <v>294</v>
      </c>
      <c r="D6" s="366" t="s">
        <v>292</v>
      </c>
      <c r="E6" s="367" t="s">
        <v>295</v>
      </c>
      <c r="G6" s="368" t="n">
        <v>120</v>
      </c>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n">
        <f aca="false">IF((E6="g"),G6," ")</f>
        <v>120</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t="n">
        <v>46042</v>
      </c>
      <c r="B7" s="365" t="s">
        <v>302</v>
      </c>
      <c r="D7" s="366" t="s">
        <v>246</v>
      </c>
      <c r="E7" s="367" t="s">
        <v>297</v>
      </c>
      <c r="G7" s="368" t="n">
        <v>500</v>
      </c>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n">
        <f aca="false">IF((E7="l"),G7," ")</f>
        <v>500</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10" min="10" style="336" width="9.15"/>
    <col collapsed="false" customWidth="true" hidden="false" outlineLevel="0" max="11" min="11" style="336" width="9.49"/>
    <col collapsed="false" customWidth="false" hidden="false" outlineLevel="0" max="257" min="12"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46111</v>
      </c>
      <c r="J1" s="345" t="n">
        <f aca="false">SUM(J4:J300)</f>
        <v>0</v>
      </c>
      <c r="K1" s="349" t="n">
        <f aca="false">J1+SalesJan!K1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46068</v>
      </c>
      <c r="B4" s="336" t="s">
        <v>245</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G4+PurchasesJan!A1</f>
        <v>0</v>
      </c>
      <c r="B1" s="372" t="s">
        <v>249</v>
      </c>
      <c r="C1" s="346" t="n">
        <f aca="false">PurchasesJan!C1+PurchasesFeb!F1+SalesFeb!$E$1</f>
        <v>0</v>
      </c>
      <c r="D1" s="371" t="s">
        <v>234</v>
      </c>
      <c r="E1" s="373" t="str">
        <f aca="false">IF((G1-SUM(J1:W1)&lt;&gt;0),(G1-SUM(J1:W1))," ")</f>
        <v> </v>
      </c>
      <c r="F1" s="346" t="n">
        <f aca="false">SUM(F5:F300)</f>
        <v>0</v>
      </c>
      <c r="G1" s="345" t="n">
        <f aca="false">SUM(G4:G300)</f>
        <v>400</v>
      </c>
      <c r="H1" s="374" t="n">
        <f aca="false">SUM(H5:H300)</f>
        <v>0</v>
      </c>
      <c r="I1" s="375" t="n">
        <f aca="true">TODAY()</f>
        <v>46111</v>
      </c>
      <c r="J1" s="345" t="n">
        <f aca="false">SUM(J5:J300)</f>
        <v>0</v>
      </c>
      <c r="K1" s="345" t="n">
        <f aca="false">SUM(K5:K300)</f>
        <v>0</v>
      </c>
      <c r="L1" s="345" t="n">
        <f aca="false">SUM(L5:L300)</f>
        <v>0</v>
      </c>
      <c r="M1" s="345" t="n">
        <f aca="false">SUM(M5:M300)</f>
        <v>400</v>
      </c>
      <c r="N1" s="345" t="n">
        <f aca="false">SUM(N5:N300)</f>
        <v>0</v>
      </c>
      <c r="O1" s="345" t="n">
        <f aca="false">SUM(O5:O300)</f>
        <v>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W1+PurchasesJan!X1</f>
        <v>1200</v>
      </c>
      <c r="Y1" s="377" t="n">
        <f aca="false">SUM(Y5:Y200)</f>
        <v>0</v>
      </c>
      <c r="Z1" s="378" t="n">
        <f aca="false">Y1+PurchasesJan!Z1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IF((C1&lt;Admin!$F$22),((C1-PurchasesJan!C1)*Admin!$G$21),(C1*Admin!$G$21-(C1-Admin!$F$21)*(Admin!$G$21-Admin!$G$22)-PurchasesJan!A1))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46054</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405"/>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46111</v>
      </c>
      <c r="J1" s="345" t="n">
        <f aca="false">SUM(J4:J300)</f>
        <v>0</v>
      </c>
      <c r="K1" s="349" t="n">
        <f aca="false">J1+SalesFeb!K1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46096</v>
      </c>
      <c r="B4" s="336" t="s">
        <v>247</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405"/>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G4+PurchasesFeb!A1</f>
        <v>0</v>
      </c>
      <c r="B1" s="372" t="s">
        <v>249</v>
      </c>
      <c r="C1" s="346" t="n">
        <f aca="false">PurchasesFeb!C1+PurchasesMar!F1+SalesMar!$E$1</f>
        <v>0</v>
      </c>
      <c r="D1" s="371" t="s">
        <v>234</v>
      </c>
      <c r="E1" s="373" t="str">
        <f aca="false">IF((G1-SUM(J1:W1)&lt;&gt;0),(G1-SUM(J1:W1))," ")</f>
        <v> </v>
      </c>
      <c r="F1" s="346" t="n">
        <f aca="false">SUM(F5:F300)</f>
        <v>0</v>
      </c>
      <c r="G1" s="345" t="n">
        <f aca="false">SUM(G4:G300)</f>
        <v>400</v>
      </c>
      <c r="H1" s="374" t="n">
        <f aca="false">SUM(H5:H300)</f>
        <v>0</v>
      </c>
      <c r="I1" s="375" t="n">
        <f aca="true">TODAY()</f>
        <v>46111</v>
      </c>
      <c r="J1" s="345" t="n">
        <f aca="false">SUM(J5:J300)</f>
        <v>0</v>
      </c>
      <c r="K1" s="345" t="n">
        <f aca="false">SUM(K5:K300)</f>
        <v>0</v>
      </c>
      <c r="L1" s="345" t="n">
        <f aca="false">SUM(L5:L300)</f>
        <v>0</v>
      </c>
      <c r="M1" s="345" t="n">
        <f aca="false">SUM(M5:M300)</f>
        <v>400</v>
      </c>
      <c r="N1" s="345" t="n">
        <f aca="false">SUM(N5:N300)</f>
        <v>0</v>
      </c>
      <c r="O1" s="345" t="n">
        <f aca="false">SUM(O5:O300)</f>
        <v>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W1+PurchasesFeb!X1</f>
        <v>1200</v>
      </c>
      <c r="Y1" s="377" t="n">
        <f aca="false">SUM(Y5:Y200)</f>
        <v>0</v>
      </c>
      <c r="Z1" s="378" t="n">
        <f aca="false">Y1+PurchasesFeb!Z1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IF((C1&lt;Admin!$F$22),((C1-PurchasesFeb!C1)*Admin!$G$21),(C1*Admin!$G$21-(C1-Admin!$F$21)*(Admin!$G$21-Admin!$G$22)-PurchasesFeb!A1))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46082</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405"/>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275694444444444" right="0.551388888888889"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55" width="1.5"/>
    <col collapsed="false" customWidth="true" hidden="false" outlineLevel="0" max="2" min="2" style="406" width="10.15"/>
    <col collapsed="false" customWidth="true" hidden="false" outlineLevel="0" max="3" min="3" style="55" width="2.66"/>
    <col collapsed="false" customWidth="true" hidden="false" outlineLevel="0" max="5" min="4" style="55" width="11.15"/>
    <col collapsed="false" customWidth="true" hidden="false" outlineLevel="0" max="6" min="6" style="55" width="10.99"/>
    <col collapsed="false" customWidth="false" hidden="false" outlineLevel="0" max="7" min="7" style="407" width="9.15"/>
    <col collapsed="false" customWidth="true" hidden="false" outlineLevel="0" max="8" min="8" style="55" width="4.66"/>
    <col collapsed="false" customWidth="false" hidden="false" outlineLevel="0" max="12" min="9" style="55" width="9.15"/>
    <col collapsed="false" customWidth="true" hidden="false" outlineLevel="0" max="13" min="13" style="55" width="11.66"/>
    <col collapsed="false" customWidth="false" hidden="false" outlineLevel="0" max="14" min="14" style="55" width="9.15"/>
    <col collapsed="false" customWidth="true" hidden="false" outlineLevel="0" max="15" min="15" style="55" width="3.99"/>
    <col collapsed="false" customWidth="false" hidden="false" outlineLevel="0" max="257" min="16" style="55" width="9.15"/>
  </cols>
  <sheetData>
    <row r="1" customFormat="false" ht="12" hidden="false" customHeight="true" outlineLevel="0" collapsed="false">
      <c r="A1" s="68"/>
      <c r="B1" s="408" t="s">
        <v>303</v>
      </c>
      <c r="C1" s="68"/>
      <c r="D1" s="409"/>
      <c r="E1" s="409"/>
      <c r="F1" s="409"/>
      <c r="G1" s="162"/>
      <c r="H1" s="68"/>
      <c r="I1" s="68"/>
      <c r="J1" s="68"/>
      <c r="K1" s="68"/>
      <c r="L1" s="68"/>
      <c r="M1" s="68"/>
      <c r="N1" s="68"/>
      <c r="O1" s="68"/>
    </row>
    <row r="2" customFormat="false" ht="12" hidden="false" customHeight="true" outlineLevel="0" collapsed="false">
      <c r="A2" s="68"/>
      <c r="B2" s="410" t="n">
        <v>44620</v>
      </c>
      <c r="C2" s="68"/>
      <c r="D2" s="411" t="s">
        <v>304</v>
      </c>
      <c r="E2" s="411"/>
      <c r="F2" s="411"/>
      <c r="G2" s="412" t="str">
        <f aca="false">B23</f>
        <v>2022-23</v>
      </c>
      <c r="H2" s="68"/>
      <c r="I2" s="68"/>
      <c r="J2" s="413" t="s">
        <v>305</v>
      </c>
      <c r="K2" s="413"/>
      <c r="L2" s="414" t="str">
        <f aca="false">G2</f>
        <v>2022-23</v>
      </c>
      <c r="M2" s="68"/>
      <c r="N2" s="68"/>
      <c r="O2" s="68"/>
    </row>
    <row r="3" customFormat="false" ht="12" hidden="false" customHeight="true" outlineLevel="0" collapsed="false">
      <c r="A3" s="68"/>
      <c r="B3" s="410" t="n">
        <v>44651</v>
      </c>
      <c r="C3" s="68"/>
      <c r="D3" s="68"/>
      <c r="E3" s="68"/>
      <c r="F3" s="68"/>
      <c r="G3" s="415"/>
      <c r="H3" s="68"/>
      <c r="I3" s="68"/>
      <c r="J3" s="416"/>
      <c r="K3" s="416"/>
      <c r="L3" s="162"/>
      <c r="M3" s="68"/>
      <c r="N3" s="68"/>
      <c r="O3" s="68"/>
    </row>
    <row r="4" customFormat="false" ht="12" hidden="false" customHeight="true" outlineLevel="0" collapsed="false">
      <c r="A4" s="68"/>
      <c r="B4" s="417" t="n">
        <v>44657</v>
      </c>
      <c r="C4" s="68"/>
      <c r="D4" s="418" t="s">
        <v>65</v>
      </c>
      <c r="E4" s="418"/>
      <c r="F4" s="418"/>
      <c r="G4" s="419" t="n">
        <v>1</v>
      </c>
      <c r="H4" s="68"/>
      <c r="I4" s="418" t="s">
        <v>306</v>
      </c>
      <c r="J4" s="418"/>
      <c r="K4" s="418"/>
      <c r="L4" s="418"/>
      <c r="M4" s="418"/>
      <c r="N4" s="420" t="n">
        <v>12570</v>
      </c>
      <c r="O4" s="415" t="s">
        <v>26</v>
      </c>
    </row>
    <row r="5" customFormat="false" ht="12" hidden="false" customHeight="true" outlineLevel="0" collapsed="false">
      <c r="A5" s="68"/>
      <c r="B5" s="410" t="n">
        <v>44681</v>
      </c>
      <c r="C5" s="68"/>
      <c r="D5" s="418" t="s">
        <v>307</v>
      </c>
      <c r="E5" s="418"/>
      <c r="F5" s="418"/>
      <c r="G5" s="419" t="n">
        <v>0.18</v>
      </c>
      <c r="H5" s="68"/>
      <c r="I5" s="68"/>
      <c r="J5" s="68"/>
      <c r="K5" s="68"/>
      <c r="L5" s="68"/>
      <c r="M5" s="68"/>
      <c r="N5" s="415"/>
      <c r="O5" s="415"/>
    </row>
    <row r="6" customFormat="false" ht="12" hidden="false" customHeight="true" outlineLevel="0" collapsed="false">
      <c r="A6" s="68"/>
      <c r="B6" s="410" t="n">
        <v>44712</v>
      </c>
      <c r="C6" s="68"/>
      <c r="D6" s="68"/>
      <c r="E6" s="68"/>
      <c r="F6" s="68"/>
      <c r="G6" s="415"/>
      <c r="H6" s="68"/>
      <c r="I6" s="68" t="s">
        <v>308</v>
      </c>
      <c r="J6" s="68"/>
      <c r="K6" s="68"/>
      <c r="L6" s="68"/>
      <c r="M6" s="68"/>
      <c r="N6" s="419" t="n">
        <v>0</v>
      </c>
      <c r="O6" s="415" t="s">
        <v>309</v>
      </c>
    </row>
    <row r="7" customFormat="false" ht="12" hidden="false" customHeight="true" outlineLevel="0" collapsed="false">
      <c r="A7" s="68"/>
      <c r="B7" s="410" t="n">
        <v>44742</v>
      </c>
      <c r="C7" s="68"/>
      <c r="D7" s="418" t="s">
        <v>310</v>
      </c>
      <c r="E7" s="418"/>
      <c r="F7" s="418"/>
      <c r="G7" s="415"/>
      <c r="H7" s="68"/>
      <c r="I7" s="418" t="s">
        <v>311</v>
      </c>
      <c r="J7" s="418"/>
      <c r="K7" s="418"/>
      <c r="L7" s="418"/>
      <c r="M7" s="418"/>
      <c r="N7" s="419" t="n">
        <v>0.2</v>
      </c>
      <c r="O7" s="415" t="s">
        <v>309</v>
      </c>
    </row>
    <row r="8" customFormat="false" ht="12" hidden="false" customHeight="true" outlineLevel="0" collapsed="false">
      <c r="A8" s="68"/>
      <c r="B8" s="410" t="n">
        <v>44773</v>
      </c>
      <c r="C8" s="68"/>
      <c r="D8" s="68" t="s">
        <v>312</v>
      </c>
      <c r="E8" s="421" t="n">
        <v>12000</v>
      </c>
      <c r="F8" s="68" t="s">
        <v>313</v>
      </c>
      <c r="G8" s="421" t="n">
        <v>3000</v>
      </c>
      <c r="H8" s="68"/>
      <c r="I8" s="418" t="s">
        <v>314</v>
      </c>
      <c r="J8" s="418"/>
      <c r="K8" s="418"/>
      <c r="L8" s="418"/>
      <c r="M8" s="418"/>
      <c r="N8" s="419" t="n">
        <v>0.4</v>
      </c>
      <c r="O8" s="415" t="s">
        <v>309</v>
      </c>
    </row>
    <row r="9" customFormat="false" ht="12" hidden="false" customHeight="true" outlineLevel="0" collapsed="false">
      <c r="A9" s="68"/>
      <c r="B9" s="410" t="n">
        <v>44804</v>
      </c>
      <c r="C9" s="68"/>
      <c r="D9" s="68"/>
      <c r="E9" s="415"/>
      <c r="F9" s="68"/>
      <c r="G9" s="415"/>
      <c r="H9" s="68"/>
      <c r="I9" s="68"/>
      <c r="J9" s="68"/>
      <c r="K9" s="68"/>
      <c r="L9" s="68"/>
      <c r="M9" s="68"/>
      <c r="N9" s="415"/>
      <c r="O9" s="415"/>
    </row>
    <row r="10" customFormat="false" ht="12" hidden="false" customHeight="true" outlineLevel="0" collapsed="false">
      <c r="A10" s="68"/>
      <c r="B10" s="410" t="n">
        <v>44834</v>
      </c>
      <c r="C10" s="68"/>
      <c r="D10" s="68"/>
      <c r="E10" s="415"/>
      <c r="F10" s="68"/>
      <c r="G10" s="415"/>
      <c r="H10" s="68"/>
      <c r="I10" s="418" t="s">
        <v>315</v>
      </c>
      <c r="J10" s="418"/>
      <c r="K10" s="418"/>
      <c r="L10" s="422" t="s">
        <v>316</v>
      </c>
      <c r="M10" s="422" t="s">
        <v>317</v>
      </c>
      <c r="N10" s="423" t="s">
        <v>318</v>
      </c>
      <c r="O10" s="415"/>
    </row>
    <row r="11" customFormat="false" ht="12" hidden="false" customHeight="true" outlineLevel="0" collapsed="false">
      <c r="A11" s="68"/>
      <c r="B11" s="410" t="n">
        <v>44865</v>
      </c>
      <c r="C11" s="68"/>
      <c r="D11" s="411" t="s">
        <v>319</v>
      </c>
      <c r="E11" s="411"/>
      <c r="F11" s="411"/>
      <c r="G11" s="415" t="s">
        <v>309</v>
      </c>
      <c r="H11" s="68"/>
      <c r="I11" s="68" t="s">
        <v>320</v>
      </c>
      <c r="J11" s="68"/>
      <c r="K11" s="424" t="n">
        <f aca="false">N6</f>
        <v>0</v>
      </c>
      <c r="L11" s="415" t="n">
        <f aca="false">N11</f>
        <v>0</v>
      </c>
      <c r="M11" s="415" t="n">
        <v>0</v>
      </c>
      <c r="N11" s="421" t="n">
        <v>0</v>
      </c>
      <c r="O11" s="415"/>
    </row>
    <row r="12" customFormat="false" ht="12" hidden="false" customHeight="true" outlineLevel="0" collapsed="false">
      <c r="A12" s="68"/>
      <c r="B12" s="410" t="n">
        <v>44895</v>
      </c>
      <c r="C12" s="68"/>
      <c r="D12" s="68"/>
      <c r="E12" s="68"/>
      <c r="F12" s="68"/>
      <c r="G12" s="415"/>
      <c r="H12" s="68"/>
      <c r="I12" s="68" t="s">
        <v>321</v>
      </c>
      <c r="J12" s="68"/>
      <c r="K12" s="424" t="n">
        <f aca="false">N7</f>
        <v>0.2</v>
      </c>
      <c r="L12" s="415" t="n">
        <v>0</v>
      </c>
      <c r="M12" s="415" t="n">
        <v>37700</v>
      </c>
      <c r="N12" s="421" t="n">
        <v>0</v>
      </c>
      <c r="O12" s="415"/>
    </row>
    <row r="13" customFormat="false" ht="12" hidden="false" customHeight="true" outlineLevel="0" collapsed="false">
      <c r="A13" s="68"/>
      <c r="B13" s="410" t="n">
        <v>44926</v>
      </c>
      <c r="C13" s="68"/>
      <c r="D13" s="418" t="s">
        <v>203</v>
      </c>
      <c r="E13" s="418"/>
      <c r="F13" s="418"/>
      <c r="G13" s="419" t="n">
        <v>0</v>
      </c>
      <c r="H13" s="68"/>
      <c r="I13" s="68" t="s">
        <v>322</v>
      </c>
      <c r="J13" s="68"/>
      <c r="K13" s="424" t="n">
        <f aca="false">N8</f>
        <v>0.4</v>
      </c>
      <c r="L13" s="415" t="n">
        <v>37701</v>
      </c>
      <c r="M13" s="68"/>
      <c r="N13" s="421" t="n">
        <v>37701</v>
      </c>
      <c r="O13" s="415"/>
    </row>
    <row r="14" customFormat="false" ht="12" hidden="false" customHeight="true" outlineLevel="0" collapsed="false">
      <c r="A14" s="68"/>
      <c r="B14" s="410" t="n">
        <v>44957</v>
      </c>
      <c r="C14" s="68"/>
      <c r="D14" s="418" t="s">
        <v>205</v>
      </c>
      <c r="E14" s="418"/>
      <c r="F14" s="418"/>
      <c r="G14" s="419" t="n">
        <v>0.1</v>
      </c>
      <c r="H14" s="68"/>
      <c r="I14" s="68"/>
      <c r="J14" s="68"/>
      <c r="K14" s="68"/>
      <c r="L14" s="68"/>
      <c r="M14" s="68"/>
      <c r="N14" s="68"/>
      <c r="O14" s="68"/>
    </row>
    <row r="15" customFormat="false" ht="12" hidden="false" customHeight="true" outlineLevel="0" collapsed="false">
      <c r="A15" s="68"/>
      <c r="B15" s="410" t="n">
        <v>44985</v>
      </c>
      <c r="C15" s="68"/>
      <c r="D15" s="418" t="s">
        <v>207</v>
      </c>
      <c r="E15" s="418"/>
      <c r="F15" s="418"/>
      <c r="G15" s="419" t="n">
        <v>0.2</v>
      </c>
      <c r="H15" s="68"/>
      <c r="I15" s="411" t="s">
        <v>323</v>
      </c>
      <c r="J15" s="411"/>
      <c r="K15" s="411"/>
      <c r="L15" s="414" t="str">
        <f aca="false">G2</f>
        <v>2022-23</v>
      </c>
      <c r="M15" s="68"/>
      <c r="N15" s="68"/>
      <c r="O15" s="68"/>
    </row>
    <row r="16" customFormat="false" ht="12" hidden="false" customHeight="true" outlineLevel="0" collapsed="false">
      <c r="A16" s="68"/>
      <c r="B16" s="410" t="n">
        <v>45016</v>
      </c>
      <c r="C16" s="68"/>
      <c r="D16" s="418" t="s">
        <v>324</v>
      </c>
      <c r="E16" s="418"/>
      <c r="F16" s="418"/>
      <c r="G16" s="419" t="n">
        <v>0.33</v>
      </c>
      <c r="H16" s="68"/>
      <c r="I16" s="68"/>
      <c r="J16" s="68"/>
      <c r="K16" s="68"/>
      <c r="L16" s="68"/>
      <c r="M16" s="68"/>
      <c r="N16" s="68"/>
      <c r="O16" s="68"/>
    </row>
    <row r="17" customFormat="false" ht="12" hidden="false" customHeight="true" outlineLevel="0" collapsed="false">
      <c r="A17" s="68"/>
      <c r="B17" s="417" t="n">
        <v>45021</v>
      </c>
      <c r="C17" s="68"/>
      <c r="D17" s="418" t="s">
        <v>325</v>
      </c>
      <c r="E17" s="418"/>
      <c r="F17" s="418"/>
      <c r="G17" s="419" t="n">
        <v>0.25</v>
      </c>
      <c r="H17" s="68"/>
      <c r="I17" s="418" t="s">
        <v>326</v>
      </c>
      <c r="J17" s="418"/>
      <c r="K17" s="418"/>
      <c r="L17" s="425" t="n">
        <v>3.15</v>
      </c>
      <c r="M17" s="68" t="s">
        <v>327</v>
      </c>
      <c r="N17" s="68"/>
      <c r="O17" s="68"/>
    </row>
    <row r="18" customFormat="false" ht="12" hidden="false" customHeight="true" outlineLevel="0" collapsed="false">
      <c r="A18" s="68"/>
      <c r="B18" s="410" t="n">
        <v>45046</v>
      </c>
      <c r="C18" s="68"/>
      <c r="D18" s="68"/>
      <c r="E18" s="68"/>
      <c r="F18" s="68"/>
      <c r="G18" s="415"/>
      <c r="H18" s="68"/>
      <c r="I18" s="68"/>
      <c r="J18" s="68"/>
      <c r="K18" s="68"/>
      <c r="L18" s="68"/>
      <c r="M18" s="68"/>
      <c r="N18" s="68"/>
      <c r="O18" s="68"/>
    </row>
    <row r="19" customFormat="false" ht="12" hidden="false" customHeight="true" outlineLevel="0" collapsed="false">
      <c r="A19" s="68"/>
      <c r="B19" s="410" t="n">
        <v>45077</v>
      </c>
      <c r="C19" s="68"/>
      <c r="D19" s="411" t="s">
        <v>328</v>
      </c>
      <c r="E19" s="411"/>
      <c r="F19" s="415" t="s">
        <v>329</v>
      </c>
      <c r="G19" s="415" t="s">
        <v>330</v>
      </c>
      <c r="H19" s="68"/>
      <c r="I19" s="426" t="s">
        <v>331</v>
      </c>
      <c r="J19" s="426"/>
      <c r="K19" s="426"/>
      <c r="L19" s="68"/>
      <c r="M19" s="427" t="s">
        <v>332</v>
      </c>
      <c r="N19" s="68"/>
      <c r="O19" s="68"/>
    </row>
    <row r="20" customFormat="false" ht="12" hidden="false" customHeight="true" outlineLevel="0" collapsed="false">
      <c r="A20" s="68"/>
      <c r="B20" s="410" t="n">
        <v>45107</v>
      </c>
      <c r="C20" s="68"/>
      <c r="D20" s="162"/>
      <c r="E20" s="162"/>
      <c r="F20" s="415"/>
      <c r="G20" s="415"/>
      <c r="H20" s="68"/>
      <c r="I20" s="426"/>
      <c r="J20" s="426"/>
      <c r="K20" s="426"/>
      <c r="L20" s="428" t="n">
        <v>0.0973</v>
      </c>
      <c r="M20" s="427"/>
      <c r="N20" s="421" t="n">
        <v>11908</v>
      </c>
      <c r="O20" s="415" t="s">
        <v>26</v>
      </c>
    </row>
    <row r="21" customFormat="false" ht="12" hidden="false" customHeight="true" outlineLevel="0" collapsed="false">
      <c r="A21" s="68"/>
      <c r="B21" s="410" t="n">
        <v>45322</v>
      </c>
      <c r="C21" s="68"/>
      <c r="D21" s="418" t="s">
        <v>333</v>
      </c>
      <c r="E21" s="418"/>
      <c r="F21" s="421" t="n">
        <v>10000</v>
      </c>
      <c r="G21" s="425" t="n">
        <v>0.45</v>
      </c>
      <c r="H21" s="68"/>
      <c r="I21" s="429"/>
      <c r="J21" s="429"/>
      <c r="K21" s="429"/>
      <c r="L21" s="424"/>
      <c r="M21" s="68"/>
      <c r="N21" s="68"/>
      <c r="O21" s="68"/>
    </row>
    <row r="22" customFormat="false" ht="12" hidden="false" customHeight="true" outlineLevel="0" collapsed="false">
      <c r="A22" s="68"/>
      <c r="B22" s="410" t="n">
        <v>45504</v>
      </c>
      <c r="C22" s="68"/>
      <c r="D22" s="68" t="s">
        <v>334</v>
      </c>
      <c r="E22" s="68"/>
      <c r="F22" s="421" t="n">
        <v>10001</v>
      </c>
      <c r="G22" s="425" t="n">
        <v>0.25</v>
      </c>
      <c r="H22" s="68"/>
      <c r="I22" s="426" t="s">
        <v>335</v>
      </c>
      <c r="J22" s="426"/>
      <c r="K22" s="426"/>
      <c r="L22" s="68"/>
      <c r="M22" s="427" t="s">
        <v>336</v>
      </c>
      <c r="N22" s="68"/>
      <c r="O22" s="68"/>
    </row>
    <row r="23" customFormat="false" ht="12" hidden="false" customHeight="true" outlineLevel="0" collapsed="false">
      <c r="A23" s="68"/>
      <c r="B23" s="417" t="s">
        <v>337</v>
      </c>
      <c r="C23" s="68"/>
      <c r="D23" s="68"/>
      <c r="E23" s="68"/>
      <c r="F23" s="415"/>
      <c r="G23" s="430"/>
      <c r="H23" s="68"/>
      <c r="I23" s="426"/>
      <c r="J23" s="426"/>
      <c r="K23" s="426"/>
      <c r="L23" s="428" t="n">
        <v>0.0273</v>
      </c>
      <c r="M23" s="427"/>
      <c r="N23" s="421" t="n">
        <v>50270</v>
      </c>
      <c r="O23" s="415" t="s">
        <v>26</v>
      </c>
    </row>
    <row r="24" customFormat="false" ht="12" hidden="false" customHeight="true" outlineLevel="0" collapsed="false">
      <c r="A24" s="68"/>
      <c r="B24" s="417" t="s">
        <v>338</v>
      </c>
      <c r="C24" s="68"/>
      <c r="D24" s="411" t="s">
        <v>339</v>
      </c>
      <c r="E24" s="411"/>
      <c r="F24" s="68"/>
      <c r="G24" s="68"/>
      <c r="H24" s="68"/>
      <c r="I24" s="68"/>
      <c r="J24" s="68"/>
      <c r="K24" s="68"/>
      <c r="L24" s="68"/>
      <c r="M24" s="68"/>
      <c r="N24" s="68"/>
      <c r="O24" s="68"/>
    </row>
    <row r="25" customFormat="false" ht="12" hidden="false" customHeight="true" outlineLevel="0" collapsed="false">
      <c r="A25" s="68"/>
      <c r="B25" s="431"/>
      <c r="C25" s="68"/>
      <c r="D25" s="68"/>
      <c r="E25" s="68"/>
      <c r="F25" s="68"/>
      <c r="G25" s="68"/>
      <c r="H25" s="68"/>
      <c r="I25" s="68"/>
      <c r="J25" s="68"/>
      <c r="K25" s="68"/>
      <c r="L25" s="68"/>
      <c r="M25" s="68"/>
      <c r="N25" s="68"/>
      <c r="O25" s="68"/>
    </row>
    <row r="26" customFormat="false" ht="12" hidden="false" customHeight="true" outlineLevel="0" collapsed="false">
      <c r="A26" s="68"/>
      <c r="B26" s="431"/>
      <c r="C26" s="68"/>
      <c r="D26" s="68" t="s">
        <v>340</v>
      </c>
      <c r="E26" s="68"/>
      <c r="F26" s="421" t="n">
        <v>85000</v>
      </c>
      <c r="G26" s="68"/>
      <c r="H26" s="68"/>
      <c r="I26" s="68"/>
      <c r="J26" s="68"/>
      <c r="K26" s="68"/>
      <c r="L26" s="68"/>
      <c r="M26" s="68"/>
      <c r="N26" s="68"/>
      <c r="O26" s="68"/>
    </row>
    <row r="27" customFormat="false" ht="12" hidden="false" customHeight="false" outlineLevel="0" collapsed="false">
      <c r="A27" s="68"/>
      <c r="B27" s="431"/>
      <c r="C27" s="68"/>
      <c r="D27" s="68"/>
      <c r="E27" s="68"/>
      <c r="F27" s="68"/>
      <c r="G27" s="68"/>
      <c r="H27" s="68"/>
      <c r="I27" s="68"/>
      <c r="J27" s="68"/>
      <c r="K27" s="68"/>
      <c r="L27" s="68"/>
      <c r="M27" s="68"/>
      <c r="N27" s="68"/>
      <c r="O27" s="68"/>
    </row>
  </sheetData>
  <mergeCells count="25">
    <mergeCell ref="D1:F1"/>
    <mergeCell ref="D2:F2"/>
    <mergeCell ref="J2:K2"/>
    <mergeCell ref="D4:F4"/>
    <mergeCell ref="I4:M4"/>
    <mergeCell ref="D5:F5"/>
    <mergeCell ref="D7:F7"/>
    <mergeCell ref="I7:M7"/>
    <mergeCell ref="I8:M8"/>
    <mergeCell ref="I10:K10"/>
    <mergeCell ref="D11:F11"/>
    <mergeCell ref="D13:F13"/>
    <mergeCell ref="D14:F14"/>
    <mergeCell ref="D15:F15"/>
    <mergeCell ref="I15:K15"/>
    <mergeCell ref="D16:F16"/>
    <mergeCell ref="D17:F17"/>
    <mergeCell ref="I17:K17"/>
    <mergeCell ref="D19:E19"/>
    <mergeCell ref="I19:K20"/>
    <mergeCell ref="M19:M20"/>
    <mergeCell ref="D21:E21"/>
    <mergeCell ref="I22:K23"/>
    <mergeCell ref="M22:M23"/>
    <mergeCell ref="D24:E24"/>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Company>y</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2002-12-30T15:31:19Z</dcterms:created>
  <dc:creator>Terry Cartwright</dc:creator>
  <dc:description/>
  <dc:language>en-US</dc:language>
  <cp:lastModifiedBy>Cartwright, Antony</cp:lastModifiedBy>
  <cp:lastPrinted>2011-03-20T17:47:30Z</cp:lastPrinted>
  <dcterms:modified xsi:type="dcterms:W3CDTF">2025-04-03T22:36:27Z</dcterms:modified>
  <cp:revision>0</cp:revision>
  <dc:subject/>
  <dc:title>0607 Financial Accounts</dc:title>
</cp:coreProperties>
</file>

<file path=docProps/custom.xml><?xml version="1.0" encoding="utf-8"?>
<Properties xmlns="http://schemas.openxmlformats.org/officeDocument/2006/custom-properties" xmlns:vt="http://schemas.openxmlformats.org/officeDocument/2006/docPropsVTypes"/>
</file>