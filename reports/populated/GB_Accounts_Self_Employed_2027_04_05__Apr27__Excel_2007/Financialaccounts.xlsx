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<sst xmlns="http://schemas.openxmlformats.org/spreadsheetml/2006/main" count="819" uniqueCount="439">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</sst>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0.14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2026-27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2026-27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3439.8</v>
      </c>
      <c r="C44" s="177" t="n">
        <f aca="false">IF(C9&gt;0,'Profit Forecast'!C$46/12,0)</f>
        <v>286.65</v>
      </c>
      <c r="D44" s="177" t="n">
        <f aca="false">IF(D9&gt;0,'Profit Forecast'!C$46/12,0)</f>
        <v>286.65</v>
      </c>
      <c r="E44" s="177" t="n">
        <f aca="false">IF(E9&gt;0,'Profit Forecast'!C$46/12,0)</f>
        <v>286.65</v>
      </c>
      <c r="F44" s="177" t="n">
        <f aca="false">IF(F9&gt;0,'Profit Forecast'!C$46/12,0)</f>
        <v>286.65</v>
      </c>
      <c r="G44" s="177" t="n">
        <f aca="false">IF(G9&gt;0,'Profit Forecast'!C$46/12,0)</f>
        <v>286.65</v>
      </c>
      <c r="H44" s="177" t="n">
        <f aca="false">IF(H9&gt;0,'Profit Forecast'!C$46/12,0)</f>
        <v>286.65</v>
      </c>
      <c r="I44" s="177" t="n">
        <f aca="false">IF(I9&gt;0,'Profit Forecast'!C$46/12,0)</f>
        <v>286.65</v>
      </c>
      <c r="J44" s="177" t="n">
        <f aca="false">IF(J9&gt;0,'Profit Forecast'!C$46/12,0)</f>
        <v>286.65</v>
      </c>
      <c r="K44" s="177" t="n">
        <f aca="false">IF(K9&gt;0,'Profit Forecast'!C$46/12,0)</f>
        <v>286.65</v>
      </c>
      <c r="L44" s="177" t="n">
        <f aca="false">IF(L9&gt;0,'Profit Forecast'!C$46/12,0)</f>
        <v>286.65</v>
      </c>
      <c r="M44" s="177" t="n">
        <f aca="false">IF(M9&gt;0,'Profit Forecast'!C$46/12,0)</f>
        <v>286.65</v>
      </c>
      <c r="N44" s="177" t="n">
        <f aca="false">IF(N9&gt;0,'Profit Forecast'!C$46/12,0)</f>
        <v>286.65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22360.2</v>
      </c>
      <c r="C45" s="190" t="n">
        <f aca="false">C39-C42-C44</f>
        <v>2093.35</v>
      </c>
      <c r="D45" s="191" t="n">
        <f aca="false">D39-D42-D44</f>
        <v>1613.35</v>
      </c>
      <c r="E45" s="191" t="n">
        <f aca="false">E39-E42-E44</f>
        <v>2213.35</v>
      </c>
      <c r="F45" s="191" t="n">
        <f aca="false">F39-F42-F44</f>
        <v>1733.35</v>
      </c>
      <c r="G45" s="191" t="n">
        <f aca="false">G39-G42-G44</f>
        <v>1913.35</v>
      </c>
      <c r="H45" s="191" t="n">
        <f aca="false">H39-H42-H44</f>
        <v>2213.35</v>
      </c>
      <c r="I45" s="191" t="n">
        <f aca="false">I39-I42-I44</f>
        <v>1613.35</v>
      </c>
      <c r="J45" s="191" t="n">
        <f aca="false">J39-J42-J44</f>
        <v>2093.35</v>
      </c>
      <c r="K45" s="191" t="n">
        <f aca="false">K39-K42-K44</f>
        <v>2213.35</v>
      </c>
      <c r="L45" s="191" t="n">
        <f aca="false">L39-L42-L44</f>
        <v>1733.35</v>
      </c>
      <c r="M45" s="191" t="n">
        <f aca="false">M39-M42-M44</f>
        <v>1613.35</v>
      </c>
      <c r="N45" s="191" t="n">
        <f aca="false">N39-N42-N44</f>
        <v>1313.35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2026-27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793.8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3439.8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2027-28</v>
      </c>
      <c r="D25" s="251" t="s">
        <v>344</v>
      </c>
      <c r="E25" s="240" t="n">
        <f aca="false">E18</f>
        <v>3439.8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46783</v>
      </c>
      <c r="E26" s="223" t="n">
        <f aca="false">E25/2</f>
        <v>1719.9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46965</v>
      </c>
      <c r="E27" s="223" t="n">
        <f aca="false">E25/2</f>
        <v>1719.9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793.8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3439.8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404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