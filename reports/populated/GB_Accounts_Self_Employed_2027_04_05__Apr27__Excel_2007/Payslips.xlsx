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<sst xmlns="http://schemas.openxmlformats.org/spreadsheetml/2006/main" count="1383" uniqueCount="138">
  <si>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</si>
  <si>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</si>
  <si>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</si>
  <si>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</si>
  <si>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</si>
  <si>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</si>
  <si>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</si>
  <si>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F</t>
  </si>
  <si>
    <t xml:space="preserve">City</t>
  </si>
  <si>
    <t xml:space="preserve">W</t>
  </si>
  <si>
    <t xml:space="preserve">Post code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</si>
  <si>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</si>
  <si>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</si>
  <si>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</si>
  <si>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</si>
  <si>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</si>
  <si>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</si>
  <si>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</si>
  <si>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</si>
  <si>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*Account name</t>
  </si>
  <si>
    <t xml:space="preserve">National Insurance number</t>
  </si>
  <si>
    <t xml:space="preserve">Employee forename(s)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</si>
  <si>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</si>
  <si>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</si>
  <si>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</si>
  <si>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</si>
  <si>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</si>
  <si>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</si>
  <si>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</si>
  <si>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</si>
  <si>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</si>
  <si>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Enter D  for Director</t>
  </si>
  <si>
    <t xml:space="preserve">EMPLOYEE DETAILS   02</t>
  </si>
  <si>
    <t xml:space="preserve">Employee surname</t>
  </si>
  <si>
    <t xml:space="preserve">EMPLOYEE DETAILS   03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</si>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</sst>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46118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46119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46120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/>
      <c r="E5" s="21"/>
      <c r="F5" s="21"/>
      <c r="G5" s="13"/>
      <c r="H5" s="22" t="s">
        <v>4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5</v>
      </c>
      <c r="W5" s="10" t="n">
        <f aca="false">Admin!B5</f>
        <v>46121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/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7</v>
      </c>
      <c r="W6" s="10" t="n">
        <f aca="false">Admin!B6</f>
        <v>46122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/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9</v>
      </c>
      <c r="W7" s="10" t="n">
        <f aca="false">Admin!B7</f>
        <v>46123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46124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1"/>
      <c r="E9" s="13"/>
      <c r="F9" s="13"/>
      <c r="G9" s="13"/>
      <c r="H9" s="23"/>
      <c r="I9" s="13"/>
      <c r="J9" s="13"/>
      <c r="K9" s="24" t="s">
        <v>11</v>
      </c>
      <c r="L9" s="24"/>
      <c r="M9" s="25" t="n">
        <f aca="false">Admin!B2</f>
        <v>46118</v>
      </c>
      <c r="N9" s="13"/>
      <c r="O9" s="25" t="n">
        <f aca="false">Admin!I1</f>
        <v>46482</v>
      </c>
      <c r="P9" s="26"/>
      <c r="Q9" s="27"/>
      <c r="R9" s="28"/>
      <c r="S9" s="28"/>
      <c r="T9" s="18"/>
      <c r="U9" s="4"/>
      <c r="W9" s="10" t="n">
        <f aca="false">Admin!B9</f>
        <v>46125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46126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46127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46128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46129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46130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/>
      <c r="E15" s="53"/>
      <c r="F15" s="53"/>
      <c r="G15" s="42"/>
      <c r="H15" s="54" t="s">
        <v>19</v>
      </c>
      <c r="I15" s="42"/>
      <c r="J15" s="55"/>
      <c r="K15" s="42" t="s">
        <v>20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46131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/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46132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22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46133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46134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23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46135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46136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24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46137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46138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25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46139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06/04/26)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46140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46141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26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46142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46143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27</v>
      </c>
      <c r="C28" s="42"/>
      <c r="D28" s="77"/>
      <c r="E28" s="54" t="s">
        <v>28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46144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46145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30</v>
      </c>
      <c r="C30" s="42"/>
      <c r="D30" s="82"/>
      <c r="E30" s="42"/>
      <c r="F30" s="83" t="s">
        <v>31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46146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46147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46148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46149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46150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46151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46152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46153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46154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32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46155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46156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33</v>
      </c>
      <c r="C41" s="42"/>
      <c r="D41" s="53"/>
      <c r="E41" s="53"/>
      <c r="F41" s="53"/>
      <c r="G41" s="42"/>
      <c r="H41" s="54" t="s">
        <v>19</v>
      </c>
      <c r="I41" s="42"/>
      <c r="J41" s="55"/>
      <c r="K41" s="42" t="s">
        <v>20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46157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/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46158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22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46159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46160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23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46161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46162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24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46163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46164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25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46165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06/04/26)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46166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46167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26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46168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46169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27</v>
      </c>
      <c r="C54" s="42"/>
      <c r="D54" s="77"/>
      <c r="E54" s="54" t="s">
        <v>28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46170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46171</v>
      </c>
    </row>
    <row r="56" customFormat="false" ht="12" hidden="false" customHeight="false" outlineLevel="0" collapsed="false">
      <c r="A56" s="40"/>
      <c r="B56" s="42" t="s">
        <v>30</v>
      </c>
      <c r="C56" s="42"/>
      <c r="D56" s="82"/>
      <c r="E56" s="42"/>
      <c r="F56" s="83" t="s">
        <v>31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46172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46173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46174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46175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46176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46177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46178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46179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46180</v>
      </c>
    </row>
    <row r="65" customFormat="false" ht="15" hidden="false" customHeight="true" outlineLevel="0" collapsed="false">
      <c r="A65" s="40"/>
      <c r="B65" s="12" t="s">
        <v>34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46181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46182</v>
      </c>
    </row>
    <row r="67" customFormat="false" ht="12.65" hidden="false" customHeight="false" outlineLevel="0" collapsed="false">
      <c r="A67" s="40"/>
      <c r="B67" s="42" t="s">
        <v>33</v>
      </c>
      <c r="C67" s="42"/>
      <c r="D67" s="53"/>
      <c r="E67" s="53"/>
      <c r="F67" s="53"/>
      <c r="G67" s="42"/>
      <c r="H67" s="54" t="s">
        <v>19</v>
      </c>
      <c r="I67" s="42"/>
      <c r="J67" s="55"/>
      <c r="K67" s="42" t="s">
        <v>20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46183</v>
      </c>
    </row>
    <row r="68" customFormat="false" ht="12" hidden="false" customHeight="false" outlineLevel="0" collapsed="false">
      <c r="A68" s="40"/>
      <c r="B68" s="42" t="s">
        <v>21</v>
      </c>
      <c r="C68" s="42"/>
      <c r="D68" s="53"/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46184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22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46185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46186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23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46187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46188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24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46189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46190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25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46191</v>
      </c>
    </row>
    <row r="76" customFormat="false" ht="12" hidden="false" customHeight="false" outlineLevel="0" collapsed="false">
      <c r="A76" s="40"/>
      <c r="B76" s="42" t="str">
        <f aca="false">B24</f>
        <v>Starting date (existing = 06/04/26)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46192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46193</v>
      </c>
    </row>
    <row r="78" customFormat="false" ht="13.5" hidden="false" customHeight="true" outlineLevel="0" collapsed="false">
      <c r="A78" s="40"/>
      <c r="B78" s="42" t="s">
        <v>35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46194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46195</v>
      </c>
    </row>
    <row r="80" customFormat="false" ht="12" hidden="false" customHeight="false" outlineLevel="0" collapsed="false">
      <c r="A80" s="40"/>
      <c r="B80" s="42" t="s">
        <v>27</v>
      </c>
      <c r="C80" s="42"/>
      <c r="D80" s="77"/>
      <c r="E80" s="54" t="s">
        <v>28</v>
      </c>
      <c r="F80" s="78" t="str">
        <f aca="false">IF(D82="D","Enter M for Director","Enter M or W for Employee")</f>
        <v>Enter M or W for Employee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46196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46197</v>
      </c>
    </row>
    <row r="82" customFormat="false" ht="12" hidden="false" customHeight="false" outlineLevel="0" collapsed="false">
      <c r="A82" s="40"/>
      <c r="B82" s="42" t="s">
        <v>30</v>
      </c>
      <c r="C82" s="42"/>
      <c r="D82" s="82"/>
      <c r="E82" s="42"/>
      <c r="F82" s="83" t="s">
        <v>31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46198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46199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46200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46201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46202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46203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46204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46205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46206</v>
      </c>
    </row>
    <row r="91" customFormat="false" ht="15" hidden="false" customHeight="true" outlineLevel="0" collapsed="false">
      <c r="A91" s="40"/>
      <c r="B91" s="12" t="s">
        <v>36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46207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46208</v>
      </c>
    </row>
    <row r="93" customFormat="false" ht="12.65" hidden="false" customHeight="false" outlineLevel="0" collapsed="false">
      <c r="A93" s="40"/>
      <c r="B93" s="42" t="s">
        <v>33</v>
      </c>
      <c r="C93" s="42"/>
      <c r="D93" s="53"/>
      <c r="E93" s="53"/>
      <c r="F93" s="53"/>
      <c r="G93" s="42"/>
      <c r="H93" s="54" t="s">
        <v>19</v>
      </c>
      <c r="I93" s="42"/>
      <c r="J93" s="55"/>
      <c r="K93" s="42" t="s">
        <v>20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46209</v>
      </c>
    </row>
    <row r="94" customFormat="false" ht="12" hidden="false" customHeight="false" outlineLevel="0" collapsed="false">
      <c r="A94" s="40"/>
      <c r="B94" s="42" t="s">
        <v>21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46210</v>
      </c>
    </row>
    <row r="95" customFormat="false" ht="12" hidden="false" customHeight="false" outlineLevel="0" collapsed="false">
      <c r="A95" s="40"/>
      <c r="B95" s="42" t="s">
        <v>6</v>
      </c>
      <c r="C95" s="42"/>
      <c r="D95" s="53"/>
      <c r="E95" s="53"/>
      <c r="F95" s="53"/>
      <c r="G95" s="42"/>
      <c r="H95" s="54" t="s">
        <v>22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46211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46212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23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46213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46214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24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46215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46216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25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46217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06/04/26)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46218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46219</v>
      </c>
    </row>
    <row r="104" customFormat="false" ht="13.5" hidden="false" customHeight="true" outlineLevel="0" collapsed="false">
      <c r="A104" s="40"/>
      <c r="B104" s="42" t="s">
        <v>35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46220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46221</v>
      </c>
    </row>
    <row r="106" customFormat="false" ht="12" hidden="false" customHeight="false" outlineLevel="0" collapsed="false">
      <c r="A106" s="40"/>
      <c r="B106" s="42" t="s">
        <v>27</v>
      </c>
      <c r="C106" s="42"/>
      <c r="D106" s="77"/>
      <c r="E106" s="54" t="s">
        <v>28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46222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46223</v>
      </c>
    </row>
    <row r="108" customFormat="false" ht="12" hidden="false" customHeight="false" outlineLevel="0" collapsed="false">
      <c r="A108" s="40"/>
      <c r="B108" s="42" t="s">
        <v>30</v>
      </c>
      <c r="C108" s="42"/>
      <c r="D108" s="82"/>
      <c r="E108" s="42"/>
      <c r="F108" s="83" t="s">
        <v>31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46224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46225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46226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46227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46228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46229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46230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46231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46232</v>
      </c>
    </row>
    <row r="117" customFormat="false" ht="15" hidden="false" customHeight="true" outlineLevel="0" collapsed="false">
      <c r="A117" s="40"/>
      <c r="B117" s="12" t="s">
        <v>37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46233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46234</v>
      </c>
    </row>
    <row r="119" customFormat="false" ht="12.65" hidden="false" customHeight="false" outlineLevel="0" collapsed="false">
      <c r="A119" s="40"/>
      <c r="B119" s="42" t="s">
        <v>33</v>
      </c>
      <c r="C119" s="42"/>
      <c r="D119" s="53"/>
      <c r="E119" s="53"/>
      <c r="F119" s="53"/>
      <c r="G119" s="42"/>
      <c r="H119" s="54" t="s">
        <v>19</v>
      </c>
      <c r="I119" s="42"/>
      <c r="J119" s="55"/>
      <c r="K119" s="42" t="s">
        <v>20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46235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46236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22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46237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46238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23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46239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46240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24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46241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46242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25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46243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06/04/26)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46244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46245</v>
      </c>
    </row>
    <row r="130" customFormat="false" ht="13.5" hidden="false" customHeight="true" outlineLevel="0" collapsed="false">
      <c r="A130" s="40"/>
      <c r="B130" s="42" t="s">
        <v>35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46246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46247</v>
      </c>
    </row>
    <row r="132" customFormat="false" ht="12" hidden="false" customHeight="false" outlineLevel="0" collapsed="false">
      <c r="A132" s="40"/>
      <c r="B132" s="42" t="s">
        <v>27</v>
      </c>
      <c r="C132" s="42"/>
      <c r="D132" s="77"/>
      <c r="E132" s="54" t="s">
        <v>28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46248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46249</v>
      </c>
    </row>
    <row r="134" customFormat="false" ht="12" hidden="false" customHeight="false" outlineLevel="0" collapsed="false">
      <c r="A134" s="40"/>
      <c r="B134" s="42" t="s">
        <v>30</v>
      </c>
      <c r="C134" s="42"/>
      <c r="D134" s="82"/>
      <c r="E134" s="42"/>
      <c r="F134" s="83" t="s">
        <v>31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46250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46251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46252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46253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46254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46255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46256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46257</v>
      </c>
    </row>
    <row r="142" customFormat="false" ht="12" hidden="false" customHeight="false" outlineLevel="0" collapsed="false">
      <c r="W142" s="10" t="n">
        <f aca="false">Admin!B142</f>
        <v>46258</v>
      </c>
    </row>
    <row r="143" customFormat="false" ht="12" hidden="false" customHeight="false" outlineLevel="0" collapsed="false">
      <c r="W143" s="10" t="n">
        <f aca="false">Admin!B143</f>
        <v>46259</v>
      </c>
    </row>
    <row r="144" customFormat="false" ht="12" hidden="false" customHeight="false" outlineLevel="0" collapsed="false">
      <c r="W144" s="10" t="n">
        <f aca="false">Admin!B144</f>
        <v>46260</v>
      </c>
    </row>
    <row r="145" customFormat="false" ht="12" hidden="false" customHeight="false" outlineLevel="0" collapsed="false">
      <c r="W145" s="10" t="n">
        <f aca="false">Admin!B145</f>
        <v>46261</v>
      </c>
    </row>
    <row r="146" customFormat="false" ht="12" hidden="false" customHeight="false" outlineLevel="0" collapsed="false">
      <c r="W146" s="10" t="n">
        <f aca="false">Admin!B146</f>
        <v>46262</v>
      </c>
    </row>
    <row r="147" customFormat="false" ht="12" hidden="false" customHeight="false" outlineLevel="0" collapsed="false">
      <c r="W147" s="10" t="n">
        <f aca="false">Admin!B147</f>
        <v>46263</v>
      </c>
    </row>
    <row r="148" customFormat="false" ht="12" hidden="false" customHeight="false" outlineLevel="0" collapsed="false">
      <c r="W148" s="10" t="n">
        <f aca="false">Admin!B148</f>
        <v>46264</v>
      </c>
    </row>
    <row r="149" customFormat="false" ht="12" hidden="false" customHeight="false" outlineLevel="0" collapsed="false">
      <c r="W149" s="10" t="n">
        <f aca="false">Admin!B149</f>
        <v>46265</v>
      </c>
    </row>
    <row r="150" customFormat="false" ht="12" hidden="false" customHeight="false" outlineLevel="0" collapsed="false">
      <c r="W150" s="10" t="n">
        <f aca="false">Admin!B150</f>
        <v>46266</v>
      </c>
    </row>
    <row r="151" customFormat="false" ht="12" hidden="false" customHeight="false" outlineLevel="0" collapsed="false">
      <c r="W151" s="10" t="n">
        <f aca="false">Admin!B151</f>
        <v>46267</v>
      </c>
    </row>
    <row r="152" customFormat="false" ht="12" hidden="false" customHeight="false" outlineLevel="0" collapsed="false">
      <c r="W152" s="10" t="n">
        <f aca="false">Admin!B152</f>
        <v>46268</v>
      </c>
    </row>
    <row r="153" customFormat="false" ht="12" hidden="false" customHeight="false" outlineLevel="0" collapsed="false">
      <c r="W153" s="10" t="n">
        <f aca="false">Admin!B153</f>
        <v>46269</v>
      </c>
    </row>
    <row r="154" customFormat="false" ht="12" hidden="false" customHeight="false" outlineLevel="0" collapsed="false">
      <c r="W154" s="10" t="n">
        <f aca="false">Admin!B154</f>
        <v>46270</v>
      </c>
    </row>
    <row r="155" customFormat="false" ht="12" hidden="false" customHeight="false" outlineLevel="0" collapsed="false">
      <c r="W155" s="10" t="n">
        <f aca="false">Admin!B155</f>
        <v>46271</v>
      </c>
    </row>
    <row r="156" customFormat="false" ht="12" hidden="false" customHeight="false" outlineLevel="0" collapsed="false">
      <c r="W156" s="10" t="n">
        <f aca="false">Admin!B156</f>
        <v>46272</v>
      </c>
    </row>
    <row r="157" customFormat="false" ht="12" hidden="false" customHeight="false" outlineLevel="0" collapsed="false">
      <c r="W157" s="10" t="n">
        <f aca="false">Admin!B157</f>
        <v>46273</v>
      </c>
    </row>
    <row r="158" customFormat="false" ht="12" hidden="false" customHeight="false" outlineLevel="0" collapsed="false">
      <c r="W158" s="10" t="n">
        <f aca="false">Admin!B158</f>
        <v>46274</v>
      </c>
    </row>
    <row r="159" customFormat="false" ht="12" hidden="false" customHeight="false" outlineLevel="0" collapsed="false">
      <c r="W159" s="10" t="n">
        <f aca="false">Admin!B159</f>
        <v>46275</v>
      </c>
    </row>
    <row r="160" customFormat="false" ht="12" hidden="false" customHeight="false" outlineLevel="0" collapsed="false">
      <c r="W160" s="10" t="n">
        <f aca="false">Admin!B160</f>
        <v>46276</v>
      </c>
    </row>
    <row r="161" customFormat="false" ht="12" hidden="false" customHeight="false" outlineLevel="0" collapsed="false">
      <c r="W161" s="10" t="n">
        <f aca="false">Admin!B161</f>
        <v>46277</v>
      </c>
    </row>
    <row r="162" customFormat="false" ht="12" hidden="false" customHeight="false" outlineLevel="0" collapsed="false">
      <c r="W162" s="10" t="n">
        <f aca="false">Admin!B162</f>
        <v>46278</v>
      </c>
    </row>
    <row r="163" customFormat="false" ht="12" hidden="false" customHeight="false" outlineLevel="0" collapsed="false">
      <c r="W163" s="10" t="n">
        <f aca="false">Admin!B163</f>
        <v>46279</v>
      </c>
    </row>
    <row r="164" customFormat="false" ht="12" hidden="false" customHeight="false" outlineLevel="0" collapsed="false">
      <c r="W164" s="10" t="n">
        <f aca="false">Admin!B164</f>
        <v>46280</v>
      </c>
    </row>
    <row r="165" customFormat="false" ht="12" hidden="false" customHeight="false" outlineLevel="0" collapsed="false">
      <c r="W165" s="10" t="n">
        <f aca="false">Admin!B165</f>
        <v>46281</v>
      </c>
    </row>
    <row r="166" customFormat="false" ht="12" hidden="false" customHeight="false" outlineLevel="0" collapsed="false">
      <c r="W166" s="10" t="n">
        <f aca="false">Admin!B166</f>
        <v>46282</v>
      </c>
    </row>
    <row r="167" customFormat="false" ht="12" hidden="false" customHeight="false" outlineLevel="0" collapsed="false">
      <c r="W167" s="10" t="n">
        <f aca="false">Admin!B167</f>
        <v>46283</v>
      </c>
    </row>
    <row r="168" customFormat="false" ht="12" hidden="false" customHeight="false" outlineLevel="0" collapsed="false">
      <c r="W168" s="10" t="n">
        <f aca="false">Admin!B168</f>
        <v>46284</v>
      </c>
    </row>
    <row r="169" customFormat="false" ht="12" hidden="false" customHeight="false" outlineLevel="0" collapsed="false">
      <c r="W169" s="10" t="n">
        <f aca="false">Admin!B169</f>
        <v>46285</v>
      </c>
    </row>
    <row r="170" customFormat="false" ht="12" hidden="false" customHeight="false" outlineLevel="0" collapsed="false">
      <c r="W170" s="10" t="n">
        <f aca="false">Admin!B170</f>
        <v>46286</v>
      </c>
    </row>
    <row r="171" customFormat="false" ht="12" hidden="false" customHeight="false" outlineLevel="0" collapsed="false">
      <c r="W171" s="10" t="n">
        <f aca="false">Admin!B171</f>
        <v>46287</v>
      </c>
    </row>
    <row r="172" customFormat="false" ht="12" hidden="false" customHeight="false" outlineLevel="0" collapsed="false">
      <c r="W172" s="10" t="n">
        <f aca="false">Admin!B172</f>
        <v>46288</v>
      </c>
    </row>
    <row r="173" customFormat="false" ht="12" hidden="false" customHeight="false" outlineLevel="0" collapsed="false">
      <c r="W173" s="10" t="n">
        <f aca="false">Admin!B173</f>
        <v>46289</v>
      </c>
    </row>
    <row r="174" customFormat="false" ht="12" hidden="false" customHeight="false" outlineLevel="0" collapsed="false">
      <c r="W174" s="10" t="n">
        <f aca="false">Admin!B174</f>
        <v>46290</v>
      </c>
    </row>
    <row r="175" customFormat="false" ht="12" hidden="false" customHeight="false" outlineLevel="0" collapsed="false">
      <c r="W175" s="10" t="n">
        <f aca="false">Admin!B175</f>
        <v>46291</v>
      </c>
    </row>
    <row r="176" customFormat="false" ht="12" hidden="false" customHeight="false" outlineLevel="0" collapsed="false">
      <c r="W176" s="10" t="n">
        <f aca="false">Admin!B176</f>
        <v>46292</v>
      </c>
    </row>
    <row r="177" customFormat="false" ht="12" hidden="false" customHeight="false" outlineLevel="0" collapsed="false">
      <c r="W177" s="10" t="n">
        <f aca="false">Admin!B177</f>
        <v>46293</v>
      </c>
    </row>
    <row r="178" customFormat="false" ht="12" hidden="false" customHeight="false" outlineLevel="0" collapsed="false">
      <c r="W178" s="10" t="n">
        <f aca="false">Admin!B178</f>
        <v>46294</v>
      </c>
    </row>
    <row r="179" customFormat="false" ht="12" hidden="false" customHeight="false" outlineLevel="0" collapsed="false">
      <c r="W179" s="10" t="n">
        <f aca="false">Admin!B179</f>
        <v>46295</v>
      </c>
    </row>
    <row r="180" customFormat="false" ht="12" hidden="false" customHeight="false" outlineLevel="0" collapsed="false">
      <c r="W180" s="10" t="n">
        <f aca="false">Admin!B180</f>
        <v>46296</v>
      </c>
    </row>
    <row r="181" customFormat="false" ht="12" hidden="false" customHeight="false" outlineLevel="0" collapsed="false">
      <c r="W181" s="10" t="n">
        <f aca="false">Admin!B181</f>
        <v>46297</v>
      </c>
    </row>
    <row r="182" customFormat="false" ht="12" hidden="false" customHeight="false" outlineLevel="0" collapsed="false">
      <c r="W182" s="10" t="n">
        <f aca="false">Admin!B182</f>
        <v>46298</v>
      </c>
    </row>
    <row r="183" customFormat="false" ht="12" hidden="false" customHeight="false" outlineLevel="0" collapsed="false">
      <c r="W183" s="10" t="n">
        <f aca="false">Admin!B183</f>
        <v>46299</v>
      </c>
    </row>
    <row r="184" customFormat="false" ht="12" hidden="false" customHeight="false" outlineLevel="0" collapsed="false">
      <c r="W184" s="10" t="n">
        <f aca="false">Admin!B184</f>
        <v>46300</v>
      </c>
    </row>
    <row r="185" customFormat="false" ht="12" hidden="false" customHeight="false" outlineLevel="0" collapsed="false">
      <c r="W185" s="10" t="n">
        <f aca="false">Admin!B185</f>
        <v>46301</v>
      </c>
    </row>
    <row r="186" customFormat="false" ht="12" hidden="false" customHeight="false" outlineLevel="0" collapsed="false">
      <c r="W186" s="10" t="n">
        <f aca="false">Admin!B186</f>
        <v>46302</v>
      </c>
    </row>
    <row r="187" customFormat="false" ht="12" hidden="false" customHeight="false" outlineLevel="0" collapsed="false">
      <c r="W187" s="10" t="n">
        <f aca="false">Admin!B187</f>
        <v>46303</v>
      </c>
    </row>
    <row r="188" customFormat="false" ht="12" hidden="false" customHeight="false" outlineLevel="0" collapsed="false">
      <c r="W188" s="10" t="n">
        <f aca="false">Admin!B188</f>
        <v>46304</v>
      </c>
    </row>
    <row r="189" customFormat="false" ht="12" hidden="false" customHeight="false" outlineLevel="0" collapsed="false">
      <c r="W189" s="10" t="n">
        <f aca="false">Admin!B189</f>
        <v>46305</v>
      </c>
    </row>
    <row r="190" customFormat="false" ht="12" hidden="false" customHeight="false" outlineLevel="0" collapsed="false">
      <c r="W190" s="10" t="n">
        <f aca="false">Admin!B190</f>
        <v>46306</v>
      </c>
    </row>
    <row r="191" customFormat="false" ht="12" hidden="false" customHeight="false" outlineLevel="0" collapsed="false">
      <c r="W191" s="10" t="n">
        <f aca="false">Admin!B191</f>
        <v>46307</v>
      </c>
    </row>
    <row r="192" customFormat="false" ht="12" hidden="false" customHeight="false" outlineLevel="0" collapsed="false">
      <c r="W192" s="10" t="n">
        <f aca="false">Admin!B192</f>
        <v>46308</v>
      </c>
    </row>
    <row r="193" customFormat="false" ht="12" hidden="false" customHeight="false" outlineLevel="0" collapsed="false">
      <c r="W193" s="10" t="n">
        <f aca="false">Admin!B193</f>
        <v>46309</v>
      </c>
    </row>
    <row r="194" customFormat="false" ht="12" hidden="false" customHeight="false" outlineLevel="0" collapsed="false">
      <c r="W194" s="10" t="n">
        <f aca="false">Admin!B194</f>
        <v>46310</v>
      </c>
    </row>
    <row r="195" customFormat="false" ht="12" hidden="false" customHeight="false" outlineLevel="0" collapsed="false">
      <c r="W195" s="10" t="n">
        <f aca="false">Admin!B195</f>
        <v>46311</v>
      </c>
    </row>
    <row r="196" customFormat="false" ht="12" hidden="false" customHeight="false" outlineLevel="0" collapsed="false">
      <c r="W196" s="10" t="n">
        <f aca="false">Admin!B196</f>
        <v>46312</v>
      </c>
    </row>
    <row r="197" customFormat="false" ht="12" hidden="false" customHeight="false" outlineLevel="0" collapsed="false">
      <c r="W197" s="10" t="n">
        <f aca="false">Admin!B197</f>
        <v>46313</v>
      </c>
    </row>
    <row r="198" customFormat="false" ht="12" hidden="false" customHeight="false" outlineLevel="0" collapsed="false">
      <c r="W198" s="10" t="n">
        <f aca="false">Admin!B198</f>
        <v>46314</v>
      </c>
    </row>
    <row r="199" customFormat="false" ht="12" hidden="false" customHeight="false" outlineLevel="0" collapsed="false">
      <c r="W199" s="10" t="n">
        <f aca="false">Admin!B199</f>
        <v>46315</v>
      </c>
    </row>
    <row r="200" customFormat="false" ht="12" hidden="false" customHeight="false" outlineLevel="0" collapsed="false">
      <c r="W200" s="10" t="n">
        <f aca="false">Admin!B200</f>
        <v>46316</v>
      </c>
    </row>
    <row r="201" customFormat="false" ht="12" hidden="false" customHeight="false" outlineLevel="0" collapsed="false">
      <c r="W201" s="10" t="n">
        <f aca="false">Admin!B201</f>
        <v>46317</v>
      </c>
    </row>
    <row r="202" customFormat="false" ht="12" hidden="false" customHeight="false" outlineLevel="0" collapsed="false">
      <c r="W202" s="10" t="n">
        <f aca="false">Admin!B202</f>
        <v>46318</v>
      </c>
    </row>
    <row r="203" customFormat="false" ht="12" hidden="false" customHeight="false" outlineLevel="0" collapsed="false">
      <c r="W203" s="10" t="n">
        <f aca="false">Admin!B203</f>
        <v>46319</v>
      </c>
    </row>
    <row r="204" customFormat="false" ht="12" hidden="false" customHeight="false" outlineLevel="0" collapsed="false">
      <c r="W204" s="10" t="n">
        <f aca="false">Admin!B204</f>
        <v>46320</v>
      </c>
    </row>
    <row r="205" customFormat="false" ht="12" hidden="false" customHeight="false" outlineLevel="0" collapsed="false">
      <c r="W205" s="10" t="n">
        <f aca="false">Admin!B205</f>
        <v>46321</v>
      </c>
    </row>
    <row r="206" customFormat="false" ht="12" hidden="false" customHeight="false" outlineLevel="0" collapsed="false">
      <c r="W206" s="10" t="n">
        <f aca="false">Admin!B206</f>
        <v>46322</v>
      </c>
    </row>
    <row r="207" customFormat="false" ht="12" hidden="false" customHeight="false" outlineLevel="0" collapsed="false">
      <c r="W207" s="10" t="n">
        <f aca="false">Admin!B207</f>
        <v>46323</v>
      </c>
    </row>
    <row r="208" customFormat="false" ht="12" hidden="false" customHeight="false" outlineLevel="0" collapsed="false">
      <c r="W208" s="10" t="n">
        <f aca="false">Admin!B208</f>
        <v>46324</v>
      </c>
    </row>
    <row r="209" customFormat="false" ht="12" hidden="false" customHeight="false" outlineLevel="0" collapsed="false">
      <c r="W209" s="10" t="n">
        <f aca="false">Admin!B209</f>
        <v>46325</v>
      </c>
    </row>
    <row r="210" customFormat="false" ht="12" hidden="false" customHeight="false" outlineLevel="0" collapsed="false">
      <c r="W210" s="10" t="n">
        <f aca="false">Admin!B210</f>
        <v>46326</v>
      </c>
    </row>
    <row r="211" customFormat="false" ht="12" hidden="false" customHeight="false" outlineLevel="0" collapsed="false">
      <c r="W211" s="10" t="n">
        <f aca="false">Admin!B211</f>
        <v>46327</v>
      </c>
    </row>
    <row r="212" customFormat="false" ht="12" hidden="false" customHeight="false" outlineLevel="0" collapsed="false">
      <c r="W212" s="10" t="n">
        <f aca="false">Admin!B212</f>
        <v>46328</v>
      </c>
    </row>
    <row r="213" customFormat="false" ht="12" hidden="false" customHeight="false" outlineLevel="0" collapsed="false">
      <c r="W213" s="10" t="n">
        <f aca="false">Admin!B213</f>
        <v>46329</v>
      </c>
    </row>
    <row r="214" customFormat="false" ht="12" hidden="false" customHeight="false" outlineLevel="0" collapsed="false">
      <c r="W214" s="10" t="n">
        <f aca="false">Admin!B214</f>
        <v>46330</v>
      </c>
    </row>
    <row r="215" customFormat="false" ht="12" hidden="false" customHeight="false" outlineLevel="0" collapsed="false">
      <c r="W215" s="10" t="n">
        <f aca="false">Admin!B215</f>
        <v>46331</v>
      </c>
    </row>
    <row r="216" customFormat="false" ht="12" hidden="false" customHeight="false" outlineLevel="0" collapsed="false">
      <c r="W216" s="10" t="n">
        <f aca="false">Admin!B216</f>
        <v>46332</v>
      </c>
    </row>
    <row r="217" customFormat="false" ht="12" hidden="false" customHeight="false" outlineLevel="0" collapsed="false">
      <c r="W217" s="10" t="n">
        <f aca="false">Admin!B217</f>
        <v>46333</v>
      </c>
    </row>
    <row r="218" customFormat="false" ht="12" hidden="false" customHeight="false" outlineLevel="0" collapsed="false">
      <c r="W218" s="10" t="n">
        <f aca="false">Admin!B218</f>
        <v>46334</v>
      </c>
    </row>
    <row r="219" customFormat="false" ht="12" hidden="false" customHeight="false" outlineLevel="0" collapsed="false">
      <c r="W219" s="10" t="n">
        <f aca="false">Admin!B219</f>
        <v>46335</v>
      </c>
    </row>
    <row r="220" customFormat="false" ht="12" hidden="false" customHeight="false" outlineLevel="0" collapsed="false">
      <c r="W220" s="10" t="n">
        <f aca="false">Admin!B220</f>
        <v>46336</v>
      </c>
    </row>
    <row r="221" customFormat="false" ht="12" hidden="false" customHeight="false" outlineLevel="0" collapsed="false">
      <c r="W221" s="10" t="n">
        <f aca="false">Admin!B221</f>
        <v>46337</v>
      </c>
    </row>
    <row r="222" customFormat="false" ht="12" hidden="false" customHeight="false" outlineLevel="0" collapsed="false">
      <c r="W222" s="10" t="n">
        <f aca="false">Admin!B222</f>
        <v>46338</v>
      </c>
    </row>
    <row r="223" customFormat="false" ht="12" hidden="false" customHeight="false" outlineLevel="0" collapsed="false">
      <c r="W223" s="10" t="n">
        <f aca="false">Admin!B223</f>
        <v>46339</v>
      </c>
    </row>
    <row r="224" customFormat="false" ht="12" hidden="false" customHeight="false" outlineLevel="0" collapsed="false">
      <c r="W224" s="10" t="n">
        <f aca="false">Admin!B224</f>
        <v>46340</v>
      </c>
    </row>
    <row r="225" customFormat="false" ht="12" hidden="false" customHeight="false" outlineLevel="0" collapsed="false">
      <c r="W225" s="10" t="n">
        <f aca="false">Admin!B225</f>
        <v>46341</v>
      </c>
    </row>
    <row r="226" customFormat="false" ht="12" hidden="false" customHeight="false" outlineLevel="0" collapsed="false">
      <c r="W226" s="10" t="n">
        <f aca="false">Admin!B226</f>
        <v>46342</v>
      </c>
    </row>
    <row r="227" customFormat="false" ht="12" hidden="false" customHeight="false" outlineLevel="0" collapsed="false">
      <c r="W227" s="10" t="n">
        <f aca="false">Admin!B227</f>
        <v>46343</v>
      </c>
    </row>
    <row r="228" customFormat="false" ht="12" hidden="false" customHeight="false" outlineLevel="0" collapsed="false">
      <c r="W228" s="10" t="n">
        <f aca="false">Admin!B228</f>
        <v>46344</v>
      </c>
    </row>
    <row r="229" customFormat="false" ht="12" hidden="false" customHeight="false" outlineLevel="0" collapsed="false">
      <c r="W229" s="10" t="n">
        <f aca="false">Admin!B229</f>
        <v>46345</v>
      </c>
    </row>
    <row r="230" customFormat="false" ht="12" hidden="false" customHeight="false" outlineLevel="0" collapsed="false">
      <c r="W230" s="10" t="n">
        <f aca="false">Admin!B230</f>
        <v>46346</v>
      </c>
    </row>
    <row r="231" customFormat="false" ht="12" hidden="false" customHeight="false" outlineLevel="0" collapsed="false">
      <c r="W231" s="10" t="n">
        <f aca="false">Admin!B231</f>
        <v>46347</v>
      </c>
    </row>
    <row r="232" customFormat="false" ht="12" hidden="false" customHeight="false" outlineLevel="0" collapsed="false">
      <c r="W232" s="10" t="n">
        <f aca="false">Admin!B232</f>
        <v>46348</v>
      </c>
    </row>
    <row r="233" customFormat="false" ht="12" hidden="false" customHeight="false" outlineLevel="0" collapsed="false">
      <c r="W233" s="10" t="n">
        <f aca="false">Admin!B233</f>
        <v>46349</v>
      </c>
    </row>
    <row r="234" customFormat="false" ht="12" hidden="false" customHeight="false" outlineLevel="0" collapsed="false">
      <c r="W234" s="10" t="n">
        <f aca="false">Admin!B234</f>
        <v>46350</v>
      </c>
    </row>
    <row r="235" customFormat="false" ht="12" hidden="false" customHeight="false" outlineLevel="0" collapsed="false">
      <c r="W235" s="10" t="n">
        <f aca="false">Admin!B235</f>
        <v>46351</v>
      </c>
    </row>
    <row r="236" customFormat="false" ht="12" hidden="false" customHeight="false" outlineLevel="0" collapsed="false">
      <c r="W236" s="10" t="n">
        <f aca="false">Admin!B236</f>
        <v>46352</v>
      </c>
    </row>
    <row r="237" customFormat="false" ht="12" hidden="false" customHeight="false" outlineLevel="0" collapsed="false">
      <c r="W237" s="10" t="n">
        <f aca="false">Admin!B237</f>
        <v>46353</v>
      </c>
    </row>
    <row r="238" customFormat="false" ht="12" hidden="false" customHeight="false" outlineLevel="0" collapsed="false">
      <c r="W238" s="10" t="n">
        <f aca="false">Admin!B238</f>
        <v>46354</v>
      </c>
    </row>
    <row r="239" customFormat="false" ht="12" hidden="false" customHeight="false" outlineLevel="0" collapsed="false">
      <c r="W239" s="10" t="n">
        <f aca="false">Admin!B239</f>
        <v>46355</v>
      </c>
    </row>
    <row r="240" customFormat="false" ht="12" hidden="false" customHeight="false" outlineLevel="0" collapsed="false">
      <c r="W240" s="10" t="n">
        <f aca="false">Admin!B240</f>
        <v>46356</v>
      </c>
    </row>
    <row r="241" customFormat="false" ht="12" hidden="false" customHeight="false" outlineLevel="0" collapsed="false">
      <c r="W241" s="10" t="n">
        <f aca="false">Admin!B241</f>
        <v>46357</v>
      </c>
    </row>
    <row r="242" customFormat="false" ht="12" hidden="false" customHeight="false" outlineLevel="0" collapsed="false">
      <c r="W242" s="10" t="n">
        <f aca="false">Admin!B242</f>
        <v>46358</v>
      </c>
    </row>
    <row r="243" customFormat="false" ht="12" hidden="false" customHeight="false" outlineLevel="0" collapsed="false">
      <c r="W243" s="10" t="n">
        <f aca="false">Admin!B243</f>
        <v>46359</v>
      </c>
    </row>
    <row r="244" customFormat="false" ht="12" hidden="false" customHeight="false" outlineLevel="0" collapsed="false">
      <c r="W244" s="10" t="n">
        <f aca="false">Admin!B244</f>
        <v>46360</v>
      </c>
    </row>
    <row r="245" customFormat="false" ht="12" hidden="false" customHeight="false" outlineLevel="0" collapsed="false">
      <c r="W245" s="10" t="n">
        <f aca="false">Admin!B245</f>
        <v>46361</v>
      </c>
    </row>
    <row r="246" customFormat="false" ht="12" hidden="false" customHeight="false" outlineLevel="0" collapsed="false">
      <c r="W246" s="10" t="n">
        <f aca="false">Admin!B246</f>
        <v>46362</v>
      </c>
    </row>
    <row r="247" customFormat="false" ht="12" hidden="false" customHeight="false" outlineLevel="0" collapsed="false">
      <c r="W247" s="10" t="n">
        <f aca="false">Admin!B247</f>
        <v>46363</v>
      </c>
    </row>
    <row r="248" customFormat="false" ht="12" hidden="false" customHeight="false" outlineLevel="0" collapsed="false">
      <c r="W248" s="10" t="n">
        <f aca="false">Admin!B248</f>
        <v>46364</v>
      </c>
    </row>
    <row r="249" customFormat="false" ht="12" hidden="false" customHeight="false" outlineLevel="0" collapsed="false">
      <c r="W249" s="10" t="n">
        <f aca="false">Admin!B249</f>
        <v>46365</v>
      </c>
    </row>
    <row r="250" customFormat="false" ht="12" hidden="false" customHeight="false" outlineLevel="0" collapsed="false">
      <c r="W250" s="10" t="n">
        <f aca="false">Admin!B250</f>
        <v>46366</v>
      </c>
    </row>
    <row r="251" customFormat="false" ht="12" hidden="false" customHeight="false" outlineLevel="0" collapsed="false">
      <c r="W251" s="10" t="n">
        <f aca="false">Admin!B251</f>
        <v>46367</v>
      </c>
    </row>
    <row r="252" customFormat="false" ht="12" hidden="false" customHeight="false" outlineLevel="0" collapsed="false">
      <c r="W252" s="10" t="n">
        <f aca="false">Admin!B252</f>
        <v>46368</v>
      </c>
    </row>
    <row r="253" customFormat="false" ht="12" hidden="false" customHeight="false" outlineLevel="0" collapsed="false">
      <c r="W253" s="10" t="n">
        <f aca="false">Admin!B253</f>
        <v>46369</v>
      </c>
    </row>
    <row r="254" customFormat="false" ht="12" hidden="false" customHeight="false" outlineLevel="0" collapsed="false">
      <c r="W254" s="10" t="n">
        <f aca="false">Admin!B254</f>
        <v>46370</v>
      </c>
    </row>
    <row r="255" customFormat="false" ht="12" hidden="false" customHeight="false" outlineLevel="0" collapsed="false">
      <c r="W255" s="10" t="n">
        <f aca="false">Admin!B255</f>
        <v>46371</v>
      </c>
    </row>
    <row r="256" customFormat="false" ht="12" hidden="false" customHeight="false" outlineLevel="0" collapsed="false">
      <c r="W256" s="10" t="n">
        <f aca="false">Admin!B256</f>
        <v>46372</v>
      </c>
    </row>
    <row r="257" customFormat="false" ht="12" hidden="false" customHeight="false" outlineLevel="0" collapsed="false">
      <c r="W257" s="10" t="n">
        <f aca="false">Admin!B257</f>
        <v>46373</v>
      </c>
    </row>
    <row r="258" customFormat="false" ht="12" hidden="false" customHeight="false" outlineLevel="0" collapsed="false">
      <c r="W258" s="10" t="n">
        <f aca="false">Admin!B258</f>
        <v>46374</v>
      </c>
    </row>
    <row r="259" customFormat="false" ht="12" hidden="false" customHeight="false" outlineLevel="0" collapsed="false">
      <c r="W259" s="10" t="n">
        <f aca="false">Admin!B259</f>
        <v>46375</v>
      </c>
    </row>
    <row r="260" customFormat="false" ht="12" hidden="false" customHeight="false" outlineLevel="0" collapsed="false">
      <c r="W260" s="10" t="n">
        <f aca="false">Admin!B260</f>
        <v>46376</v>
      </c>
    </row>
    <row r="261" customFormat="false" ht="12" hidden="false" customHeight="false" outlineLevel="0" collapsed="false">
      <c r="W261" s="10" t="n">
        <f aca="false">Admin!B261</f>
        <v>46377</v>
      </c>
    </row>
    <row r="262" customFormat="false" ht="12" hidden="false" customHeight="false" outlineLevel="0" collapsed="false">
      <c r="W262" s="10" t="n">
        <f aca="false">Admin!B262</f>
        <v>46378</v>
      </c>
    </row>
    <row r="263" customFormat="false" ht="12" hidden="false" customHeight="false" outlineLevel="0" collapsed="false">
      <c r="W263" s="10" t="n">
        <f aca="false">Admin!B263</f>
        <v>46379</v>
      </c>
    </row>
    <row r="264" customFormat="false" ht="12" hidden="false" customHeight="false" outlineLevel="0" collapsed="false">
      <c r="W264" s="10" t="n">
        <f aca="false">Admin!B264</f>
        <v>46380</v>
      </c>
    </row>
    <row r="265" customFormat="false" ht="12" hidden="false" customHeight="false" outlineLevel="0" collapsed="false">
      <c r="W265" s="10" t="n">
        <f aca="false">Admin!B265</f>
        <v>46381</v>
      </c>
    </row>
    <row r="266" customFormat="false" ht="12" hidden="false" customHeight="false" outlineLevel="0" collapsed="false">
      <c r="W266" s="10" t="n">
        <f aca="false">Admin!B266</f>
        <v>46382</v>
      </c>
    </row>
    <row r="267" customFormat="false" ht="12" hidden="false" customHeight="false" outlineLevel="0" collapsed="false">
      <c r="W267" s="10" t="n">
        <f aca="false">Admin!B267</f>
        <v>46383</v>
      </c>
    </row>
    <row r="268" customFormat="false" ht="12" hidden="false" customHeight="false" outlineLevel="0" collapsed="false">
      <c r="W268" s="10" t="n">
        <f aca="false">Admin!B268</f>
        <v>46384</v>
      </c>
    </row>
    <row r="269" customFormat="false" ht="12" hidden="false" customHeight="false" outlineLevel="0" collapsed="false">
      <c r="W269" s="10" t="n">
        <f aca="false">Admin!B269</f>
        <v>46385</v>
      </c>
    </row>
    <row r="270" customFormat="false" ht="12" hidden="false" customHeight="false" outlineLevel="0" collapsed="false">
      <c r="W270" s="10" t="n">
        <f aca="false">Admin!B270</f>
        <v>46386</v>
      </c>
    </row>
    <row r="271" customFormat="false" ht="12" hidden="false" customHeight="false" outlineLevel="0" collapsed="false">
      <c r="W271" s="10" t="n">
        <f aca="false">Admin!B271</f>
        <v>46387</v>
      </c>
    </row>
    <row r="272" customFormat="false" ht="12" hidden="false" customHeight="false" outlineLevel="0" collapsed="false">
      <c r="W272" s="10" t="n">
        <f aca="false">Admin!B272</f>
        <v>46388</v>
      </c>
    </row>
    <row r="273" customFormat="false" ht="12" hidden="false" customHeight="false" outlineLevel="0" collapsed="false">
      <c r="W273" s="10" t="n">
        <f aca="false">Admin!B273</f>
        <v>46389</v>
      </c>
    </row>
    <row r="274" customFormat="false" ht="12" hidden="false" customHeight="false" outlineLevel="0" collapsed="false">
      <c r="W274" s="10" t="n">
        <f aca="false">Admin!B274</f>
        <v>46390</v>
      </c>
    </row>
    <row r="275" customFormat="false" ht="12" hidden="false" customHeight="false" outlineLevel="0" collapsed="false">
      <c r="W275" s="10" t="n">
        <f aca="false">Admin!B275</f>
        <v>46391</v>
      </c>
    </row>
    <row r="276" customFormat="false" ht="12" hidden="false" customHeight="false" outlineLevel="0" collapsed="false">
      <c r="W276" s="10" t="n">
        <f aca="false">Admin!B276</f>
        <v>46392</v>
      </c>
    </row>
    <row r="277" customFormat="false" ht="12" hidden="false" customHeight="false" outlineLevel="0" collapsed="false">
      <c r="W277" s="10" t="n">
        <f aca="false">Admin!B277</f>
        <v>46393</v>
      </c>
    </row>
    <row r="278" customFormat="false" ht="12" hidden="false" customHeight="false" outlineLevel="0" collapsed="false">
      <c r="W278" s="10" t="n">
        <f aca="false">Admin!B278</f>
        <v>46394</v>
      </c>
    </row>
    <row r="279" customFormat="false" ht="12" hidden="false" customHeight="false" outlineLevel="0" collapsed="false">
      <c r="W279" s="10" t="n">
        <f aca="false">Admin!B279</f>
        <v>46395</v>
      </c>
    </row>
    <row r="280" customFormat="false" ht="12" hidden="false" customHeight="false" outlineLevel="0" collapsed="false">
      <c r="W280" s="10" t="n">
        <f aca="false">Admin!B280</f>
        <v>46396</v>
      </c>
    </row>
    <row r="281" customFormat="false" ht="12" hidden="false" customHeight="false" outlineLevel="0" collapsed="false">
      <c r="W281" s="10" t="n">
        <f aca="false">Admin!B281</f>
        <v>46397</v>
      </c>
    </row>
    <row r="282" customFormat="false" ht="12" hidden="false" customHeight="false" outlineLevel="0" collapsed="false">
      <c r="W282" s="10" t="n">
        <f aca="false">Admin!B282</f>
        <v>46398</v>
      </c>
    </row>
    <row r="283" customFormat="false" ht="12" hidden="false" customHeight="false" outlineLevel="0" collapsed="false">
      <c r="W283" s="10" t="n">
        <f aca="false">Admin!B283</f>
        <v>46399</v>
      </c>
    </row>
    <row r="284" customFormat="false" ht="12" hidden="false" customHeight="false" outlineLevel="0" collapsed="false">
      <c r="W284" s="10" t="n">
        <f aca="false">Admin!B284</f>
        <v>46400</v>
      </c>
    </row>
    <row r="285" customFormat="false" ht="12" hidden="false" customHeight="false" outlineLevel="0" collapsed="false">
      <c r="W285" s="10" t="n">
        <f aca="false">Admin!B285</f>
        <v>46401</v>
      </c>
    </row>
    <row r="286" customFormat="false" ht="12" hidden="false" customHeight="false" outlineLevel="0" collapsed="false">
      <c r="W286" s="10" t="n">
        <f aca="false">Admin!B286</f>
        <v>46402</v>
      </c>
    </row>
    <row r="287" customFormat="false" ht="12" hidden="false" customHeight="false" outlineLevel="0" collapsed="false">
      <c r="W287" s="10" t="n">
        <f aca="false">Admin!B287</f>
        <v>46403</v>
      </c>
    </row>
    <row r="288" customFormat="false" ht="12" hidden="false" customHeight="false" outlineLevel="0" collapsed="false">
      <c r="W288" s="10" t="n">
        <f aca="false">Admin!B288</f>
        <v>46404</v>
      </c>
    </row>
    <row r="289" customFormat="false" ht="12" hidden="false" customHeight="false" outlineLevel="0" collapsed="false">
      <c r="W289" s="10" t="n">
        <f aca="false">Admin!B289</f>
        <v>46405</v>
      </c>
    </row>
    <row r="290" customFormat="false" ht="12" hidden="false" customHeight="false" outlineLevel="0" collapsed="false">
      <c r="W290" s="10" t="n">
        <f aca="false">Admin!B290</f>
        <v>46406</v>
      </c>
    </row>
    <row r="291" customFormat="false" ht="12" hidden="false" customHeight="false" outlineLevel="0" collapsed="false">
      <c r="W291" s="10" t="n">
        <f aca="false">Admin!B291</f>
        <v>46407</v>
      </c>
    </row>
    <row r="292" customFormat="false" ht="12" hidden="false" customHeight="false" outlineLevel="0" collapsed="false">
      <c r="W292" s="10" t="n">
        <f aca="false">Admin!B292</f>
        <v>46408</v>
      </c>
    </row>
    <row r="293" customFormat="false" ht="12" hidden="false" customHeight="false" outlineLevel="0" collapsed="false">
      <c r="W293" s="10" t="n">
        <f aca="false">Admin!B293</f>
        <v>46409</v>
      </c>
    </row>
    <row r="294" customFormat="false" ht="12" hidden="false" customHeight="false" outlineLevel="0" collapsed="false">
      <c r="W294" s="10" t="n">
        <f aca="false">Admin!B294</f>
        <v>46410</v>
      </c>
    </row>
    <row r="295" customFormat="false" ht="12" hidden="false" customHeight="false" outlineLevel="0" collapsed="false">
      <c r="W295" s="10" t="n">
        <f aca="false">Admin!B295</f>
        <v>46411</v>
      </c>
    </row>
    <row r="296" customFormat="false" ht="12" hidden="false" customHeight="false" outlineLevel="0" collapsed="false">
      <c r="W296" s="10" t="n">
        <f aca="false">Admin!B296</f>
        <v>46412</v>
      </c>
    </row>
    <row r="297" customFormat="false" ht="12" hidden="false" customHeight="false" outlineLevel="0" collapsed="false">
      <c r="W297" s="10" t="n">
        <f aca="false">Admin!B297</f>
        <v>46413</v>
      </c>
    </row>
    <row r="298" customFormat="false" ht="12" hidden="false" customHeight="false" outlineLevel="0" collapsed="false">
      <c r="W298" s="10" t="n">
        <f aca="false">Admin!B298</f>
        <v>46414</v>
      </c>
    </row>
    <row r="299" customFormat="false" ht="12" hidden="false" customHeight="false" outlineLevel="0" collapsed="false">
      <c r="W299" s="10" t="n">
        <f aca="false">Admin!B299</f>
        <v>46415</v>
      </c>
    </row>
    <row r="300" customFormat="false" ht="12" hidden="false" customHeight="false" outlineLevel="0" collapsed="false">
      <c r="W300" s="10" t="n">
        <f aca="false">Admin!B300</f>
        <v>46416</v>
      </c>
    </row>
    <row r="301" customFormat="false" ht="12" hidden="false" customHeight="false" outlineLevel="0" collapsed="false">
      <c r="W301" s="10" t="n">
        <f aca="false">Admin!B301</f>
        <v>46417</v>
      </c>
    </row>
    <row r="302" customFormat="false" ht="12" hidden="false" customHeight="false" outlineLevel="0" collapsed="false">
      <c r="W302" s="10" t="n">
        <f aca="false">Admin!B302</f>
        <v>46418</v>
      </c>
    </row>
    <row r="303" customFormat="false" ht="12" hidden="false" customHeight="false" outlineLevel="0" collapsed="false">
      <c r="W303" s="10" t="n">
        <f aca="false">Admin!B303</f>
        <v>46419</v>
      </c>
    </row>
    <row r="304" customFormat="false" ht="12" hidden="false" customHeight="false" outlineLevel="0" collapsed="false">
      <c r="W304" s="10" t="n">
        <f aca="false">Admin!B304</f>
        <v>46420</v>
      </c>
    </row>
    <row r="305" customFormat="false" ht="12" hidden="false" customHeight="false" outlineLevel="0" collapsed="false">
      <c r="W305" s="10" t="n">
        <f aca="false">Admin!B305</f>
        <v>46421</v>
      </c>
    </row>
    <row r="306" customFormat="false" ht="12" hidden="false" customHeight="false" outlineLevel="0" collapsed="false">
      <c r="W306" s="10" t="n">
        <f aca="false">Admin!B306</f>
        <v>46422</v>
      </c>
    </row>
    <row r="307" customFormat="false" ht="12" hidden="false" customHeight="false" outlineLevel="0" collapsed="false">
      <c r="W307" s="10" t="n">
        <f aca="false">Admin!B307</f>
        <v>46423</v>
      </c>
    </row>
    <row r="308" customFormat="false" ht="12" hidden="false" customHeight="false" outlineLevel="0" collapsed="false">
      <c r="W308" s="10" t="n">
        <f aca="false">Admin!B308</f>
        <v>46424</v>
      </c>
    </row>
    <row r="309" customFormat="false" ht="12" hidden="false" customHeight="false" outlineLevel="0" collapsed="false">
      <c r="W309" s="10" t="n">
        <f aca="false">Admin!B309</f>
        <v>46425</v>
      </c>
    </row>
    <row r="310" customFormat="false" ht="12" hidden="false" customHeight="false" outlineLevel="0" collapsed="false">
      <c r="W310" s="10" t="n">
        <f aca="false">Admin!B310</f>
        <v>46426</v>
      </c>
    </row>
    <row r="311" customFormat="false" ht="12" hidden="false" customHeight="false" outlineLevel="0" collapsed="false">
      <c r="W311" s="10" t="n">
        <f aca="false">Admin!B311</f>
        <v>46427</v>
      </c>
    </row>
    <row r="312" customFormat="false" ht="12" hidden="false" customHeight="false" outlineLevel="0" collapsed="false">
      <c r="W312" s="10" t="n">
        <f aca="false">Admin!B312</f>
        <v>46428</v>
      </c>
    </row>
    <row r="313" customFormat="false" ht="12" hidden="false" customHeight="false" outlineLevel="0" collapsed="false">
      <c r="W313" s="10" t="n">
        <f aca="false">Admin!B313</f>
        <v>46429</v>
      </c>
    </row>
    <row r="314" customFormat="false" ht="12" hidden="false" customHeight="false" outlineLevel="0" collapsed="false">
      <c r="W314" s="10" t="n">
        <f aca="false">Admin!B314</f>
        <v>46430</v>
      </c>
    </row>
    <row r="315" customFormat="false" ht="12" hidden="false" customHeight="false" outlineLevel="0" collapsed="false">
      <c r="W315" s="10" t="n">
        <f aca="false">Admin!B315</f>
        <v>46431</v>
      </c>
    </row>
    <row r="316" customFormat="false" ht="12" hidden="false" customHeight="false" outlineLevel="0" collapsed="false">
      <c r="W316" s="10" t="n">
        <f aca="false">Admin!B316</f>
        <v>46432</v>
      </c>
    </row>
    <row r="317" customFormat="false" ht="12" hidden="false" customHeight="false" outlineLevel="0" collapsed="false">
      <c r="W317" s="10" t="n">
        <f aca="false">Admin!B317</f>
        <v>46433</v>
      </c>
    </row>
    <row r="318" customFormat="false" ht="12" hidden="false" customHeight="false" outlineLevel="0" collapsed="false">
      <c r="W318" s="10" t="n">
        <f aca="false">Admin!B318</f>
        <v>46434</v>
      </c>
    </row>
    <row r="319" customFormat="false" ht="12" hidden="false" customHeight="false" outlineLevel="0" collapsed="false">
      <c r="W319" s="10" t="n">
        <f aca="false">Admin!B319</f>
        <v>46435</v>
      </c>
    </row>
    <row r="320" customFormat="false" ht="12" hidden="false" customHeight="false" outlineLevel="0" collapsed="false">
      <c r="W320" s="10" t="n">
        <f aca="false">Admin!B320</f>
        <v>46436</v>
      </c>
    </row>
    <row r="321" customFormat="false" ht="12" hidden="false" customHeight="false" outlineLevel="0" collapsed="false">
      <c r="W321" s="10" t="n">
        <f aca="false">Admin!B321</f>
        <v>46437</v>
      </c>
    </row>
    <row r="322" customFormat="false" ht="12" hidden="false" customHeight="false" outlineLevel="0" collapsed="false">
      <c r="W322" s="10" t="n">
        <f aca="false">Admin!B322</f>
        <v>46438</v>
      </c>
    </row>
    <row r="323" customFormat="false" ht="12" hidden="false" customHeight="false" outlineLevel="0" collapsed="false">
      <c r="W323" s="10" t="n">
        <f aca="false">Admin!B323</f>
        <v>46439</v>
      </c>
    </row>
    <row r="324" customFormat="false" ht="12" hidden="false" customHeight="false" outlineLevel="0" collapsed="false">
      <c r="W324" s="10" t="n">
        <f aca="false">Admin!B324</f>
        <v>46440</v>
      </c>
    </row>
    <row r="325" customFormat="false" ht="12" hidden="false" customHeight="false" outlineLevel="0" collapsed="false">
      <c r="W325" s="10" t="n">
        <f aca="false">Admin!B325</f>
        <v>46441</v>
      </c>
    </row>
    <row r="326" customFormat="false" ht="12" hidden="false" customHeight="false" outlineLevel="0" collapsed="false">
      <c r="W326" s="10" t="n">
        <f aca="false">Admin!B326</f>
        <v>46442</v>
      </c>
    </row>
    <row r="327" customFormat="false" ht="12" hidden="false" customHeight="false" outlineLevel="0" collapsed="false">
      <c r="W327" s="10" t="n">
        <f aca="false">Admin!B327</f>
        <v>46443</v>
      </c>
    </row>
    <row r="328" customFormat="false" ht="12" hidden="false" customHeight="false" outlineLevel="0" collapsed="false">
      <c r="W328" s="10" t="n">
        <f aca="false">Admin!B328</f>
        <v>46444</v>
      </c>
    </row>
    <row r="329" customFormat="false" ht="12" hidden="false" customHeight="false" outlineLevel="0" collapsed="false">
      <c r="W329" s="10" t="n">
        <f aca="false">Admin!B329</f>
        <v>46445</v>
      </c>
    </row>
    <row r="330" customFormat="false" ht="12" hidden="false" customHeight="false" outlineLevel="0" collapsed="false">
      <c r="W330" s="10" t="n">
        <f aca="false">Admin!B330</f>
        <v>46446</v>
      </c>
    </row>
    <row r="331" customFormat="false" ht="12" hidden="false" customHeight="false" outlineLevel="0" collapsed="false">
      <c r="W331" s="10" t="n">
        <f aca="false">Admin!B331</f>
        <v>46447</v>
      </c>
    </row>
    <row r="332" customFormat="false" ht="12" hidden="false" customHeight="false" outlineLevel="0" collapsed="false">
      <c r="W332" s="10" t="n">
        <f aca="false">Admin!B332</f>
        <v>46448</v>
      </c>
    </row>
    <row r="333" customFormat="false" ht="12" hidden="false" customHeight="false" outlineLevel="0" collapsed="false">
      <c r="W333" s="10" t="n">
        <f aca="false">Admin!B333</f>
        <v>46449</v>
      </c>
    </row>
    <row r="334" customFormat="false" ht="12" hidden="false" customHeight="false" outlineLevel="0" collapsed="false">
      <c r="W334" s="10" t="n">
        <f aca="false">Admin!B334</f>
        <v>46450</v>
      </c>
    </row>
    <row r="335" customFormat="false" ht="12" hidden="false" customHeight="false" outlineLevel="0" collapsed="false">
      <c r="W335" s="10" t="n">
        <f aca="false">Admin!B335</f>
        <v>46451</v>
      </c>
    </row>
    <row r="336" customFormat="false" ht="12" hidden="false" customHeight="false" outlineLevel="0" collapsed="false">
      <c r="W336" s="10" t="n">
        <f aca="false">Admin!B336</f>
        <v>46452</v>
      </c>
    </row>
    <row r="337" customFormat="false" ht="12" hidden="false" customHeight="false" outlineLevel="0" collapsed="false">
      <c r="W337" s="10" t="n">
        <f aca="false">Admin!B337</f>
        <v>46453</v>
      </c>
    </row>
    <row r="338" customFormat="false" ht="12" hidden="false" customHeight="false" outlineLevel="0" collapsed="false">
      <c r="W338" s="10" t="n">
        <f aca="false">Admin!B338</f>
        <v>46454</v>
      </c>
    </row>
    <row r="339" customFormat="false" ht="12" hidden="false" customHeight="false" outlineLevel="0" collapsed="false">
      <c r="W339" s="10" t="n">
        <f aca="false">Admin!B339</f>
        <v>46455</v>
      </c>
    </row>
    <row r="340" customFormat="false" ht="12" hidden="false" customHeight="false" outlineLevel="0" collapsed="false">
      <c r="W340" s="10" t="n">
        <f aca="false">Admin!B340</f>
        <v>46456</v>
      </c>
    </row>
    <row r="341" customFormat="false" ht="12" hidden="false" customHeight="false" outlineLevel="0" collapsed="false">
      <c r="W341" s="10" t="n">
        <f aca="false">Admin!B341</f>
        <v>46457</v>
      </c>
    </row>
    <row r="342" customFormat="false" ht="12" hidden="false" customHeight="false" outlineLevel="0" collapsed="false">
      <c r="W342" s="10" t="n">
        <f aca="false">Admin!B342</f>
        <v>46458</v>
      </c>
    </row>
    <row r="343" customFormat="false" ht="12" hidden="false" customHeight="false" outlineLevel="0" collapsed="false">
      <c r="W343" s="10" t="n">
        <f aca="false">Admin!B343</f>
        <v>46459</v>
      </c>
    </row>
    <row r="344" customFormat="false" ht="12" hidden="false" customHeight="false" outlineLevel="0" collapsed="false">
      <c r="W344" s="10" t="n">
        <f aca="false">Admin!B344</f>
        <v>46460</v>
      </c>
    </row>
    <row r="345" customFormat="false" ht="12" hidden="false" customHeight="false" outlineLevel="0" collapsed="false">
      <c r="W345" s="10" t="n">
        <f aca="false">Admin!B345</f>
        <v>46461</v>
      </c>
    </row>
    <row r="346" customFormat="false" ht="12" hidden="false" customHeight="false" outlineLevel="0" collapsed="false">
      <c r="W346" s="10" t="n">
        <f aca="false">Admin!B346</f>
        <v>46462</v>
      </c>
    </row>
    <row r="347" customFormat="false" ht="12" hidden="false" customHeight="false" outlineLevel="0" collapsed="false">
      <c r="W347" s="10" t="n">
        <f aca="false">Admin!B347</f>
        <v>46463</v>
      </c>
    </row>
    <row r="348" customFormat="false" ht="12" hidden="false" customHeight="false" outlineLevel="0" collapsed="false">
      <c r="W348" s="10" t="n">
        <f aca="false">Admin!B348</f>
        <v>46464</v>
      </c>
    </row>
    <row r="349" customFormat="false" ht="12" hidden="false" customHeight="false" outlineLevel="0" collapsed="false">
      <c r="W349" s="10" t="n">
        <f aca="false">Admin!B349</f>
        <v>46465</v>
      </c>
    </row>
    <row r="350" customFormat="false" ht="12" hidden="false" customHeight="false" outlineLevel="0" collapsed="false">
      <c r="W350" s="10" t="n">
        <f aca="false">Admin!B350</f>
        <v>46466</v>
      </c>
    </row>
    <row r="351" customFormat="false" ht="12" hidden="false" customHeight="false" outlineLevel="0" collapsed="false">
      <c r="W351" s="10" t="n">
        <f aca="false">Admin!B351</f>
        <v>46467</v>
      </c>
    </row>
    <row r="352" customFormat="false" ht="12" hidden="false" customHeight="false" outlineLevel="0" collapsed="false">
      <c r="W352" s="10" t="n">
        <f aca="false">Admin!B352</f>
        <v>46468</v>
      </c>
    </row>
    <row r="353" customFormat="false" ht="12" hidden="false" customHeight="false" outlineLevel="0" collapsed="false">
      <c r="W353" s="10" t="n">
        <f aca="false">Admin!B353</f>
        <v>46469</v>
      </c>
    </row>
    <row r="354" customFormat="false" ht="12" hidden="false" customHeight="false" outlineLevel="0" collapsed="false">
      <c r="W354" s="10" t="n">
        <f aca="false">Admin!B354</f>
        <v>46470</v>
      </c>
    </row>
    <row r="355" customFormat="false" ht="12" hidden="false" customHeight="false" outlineLevel="0" collapsed="false">
      <c r="W355" s="10" t="n">
        <f aca="false">Admin!B355</f>
        <v>46471</v>
      </c>
    </row>
    <row r="356" customFormat="false" ht="12" hidden="false" customHeight="false" outlineLevel="0" collapsed="false">
      <c r="W356" s="10" t="n">
        <f aca="false">Admin!B356</f>
        <v>46472</v>
      </c>
    </row>
    <row r="357" customFormat="false" ht="12" hidden="false" customHeight="false" outlineLevel="0" collapsed="false">
      <c r="W357" s="10" t="n">
        <f aca="false">Admin!B357</f>
        <v>46473</v>
      </c>
    </row>
    <row r="358" customFormat="false" ht="12" hidden="false" customHeight="false" outlineLevel="0" collapsed="false">
      <c r="W358" s="10" t="n">
        <f aca="false">Admin!B358</f>
        <v>46474</v>
      </c>
    </row>
    <row r="359" customFormat="false" ht="12" hidden="false" customHeight="false" outlineLevel="0" collapsed="false">
      <c r="W359" s="10" t="n">
        <f aca="false">Admin!B359</f>
        <v>46475</v>
      </c>
    </row>
    <row r="360" customFormat="false" ht="12" hidden="false" customHeight="false" outlineLevel="0" collapsed="false">
      <c r="W360" s="10" t="n">
        <f aca="false">Admin!B360</f>
        <v>46476</v>
      </c>
    </row>
    <row r="361" customFormat="false" ht="12" hidden="false" customHeight="false" outlineLevel="0" collapsed="false">
      <c r="W361" s="10" t="n">
        <f aca="false">Admin!B361</f>
        <v>46477</v>
      </c>
    </row>
    <row r="362" customFormat="false" ht="12" hidden="false" customHeight="false" outlineLevel="0" collapsed="false">
      <c r="W362" s="10" t="n">
        <f aca="false">Admin!B362</f>
        <v>46478</v>
      </c>
    </row>
    <row r="363" customFormat="false" ht="12" hidden="false" customHeight="false" outlineLevel="0" collapsed="false">
      <c r="W363" s="10" t="n">
        <f aca="false">Admin!B363</f>
        <v>46479</v>
      </c>
    </row>
    <row r="364" customFormat="false" ht="12" hidden="false" customHeight="false" outlineLevel="0" collapsed="false">
      <c r="W364" s="10" t="n">
        <f aca="false">Admin!B364</f>
        <v>46480</v>
      </c>
    </row>
    <row r="365" customFormat="false" ht="12" hidden="false" customHeight="false" outlineLevel="0" collapsed="false">
      <c r="W365" s="10" t="n">
        <f aca="false">Admin!B365</f>
        <v>46481</v>
      </c>
    </row>
    <row r="366" customFormat="false" ht="12" hidden="false" customHeight="false" outlineLevel="0" collapsed="false">
      <c r="W366" s="10" t="n">
        <f aca="false">Admin!B366</f>
        <v>46482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102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">
        <v>48</v>
      </c>
      <c r="I3" s="116" t="s">
        <v>49</v>
      </c>
      <c r="J3" s="116" t="s">
        <v>50</v>
      </c>
      <c r="K3" s="117" t="s">
        <v>51</v>
      </c>
      <c r="L3" s="117" t="s">
        <v>52</v>
      </c>
      <c r="M3" s="118" t="s">
        <v>53</v>
      </c>
      <c r="N3" s="116" t="s">
        <v>54</v>
      </c>
      <c r="O3" s="116" t="s">
        <v>55</v>
      </c>
      <c r="P3" s="116" t="s">
        <v>56</v>
      </c>
      <c r="Q3" s="116" t="s">
        <v>57</v>
      </c>
      <c r="R3" s="118" t="s">
        <v>58</v>
      </c>
      <c r="S3" s="119"/>
      <c r="T3" s="116" t="s">
        <v>59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</v>
      </c>
      <c r="F9" s="144"/>
      <c r="G9" s="144"/>
      <c r="H9" s="146" t="s">
        <v>73</v>
      </c>
      <c r="I9" s="146"/>
      <c r="J9" s="146"/>
      <c r="K9" s="148" t="n">
        <f aca="false">Admin!B2</f>
        <v>46118</v>
      </c>
      <c r="L9" s="149" t="s">
        <v>74</v>
      </c>
      <c r="M9" s="150" t="n">
        <f aca="false">K9+(7-WEEKDAY(K9,2))</f>
        <v>46124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</v>
      </c>
      <c r="F19" s="144"/>
      <c r="G19" s="144"/>
      <c r="H19" s="146" t="s">
        <v>71</v>
      </c>
      <c r="I19" s="146"/>
      <c r="J19" s="146"/>
      <c r="K19" s="148" t="n">
        <f aca="false">M9+1</f>
        <v>46125</v>
      </c>
      <c r="L19" s="149" t="s">
        <v>74</v>
      </c>
      <c r="M19" s="150" t="n">
        <f aca="false">K19+6</f>
        <v>46131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</v>
      </c>
      <c r="F29" s="144"/>
      <c r="G29" s="144"/>
      <c r="H29" s="146" t="s">
        <v>71</v>
      </c>
      <c r="I29" s="146"/>
      <c r="J29" s="146"/>
      <c r="K29" s="148" t="n">
        <f aca="false">M19+1</f>
        <v>46132</v>
      </c>
      <c r="L29" s="149" t="s">
        <v>74</v>
      </c>
      <c r="M29" s="150" t="n">
        <f aca="false">K29+6</f>
        <v>46138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</v>
      </c>
      <c r="F39" s="144"/>
      <c r="G39" s="144"/>
      <c r="H39" s="146" t="s">
        <v>71</v>
      </c>
      <c r="I39" s="146"/>
      <c r="J39" s="146"/>
      <c r="K39" s="148" t="n">
        <f aca="false">M29+1</f>
        <v>46139</v>
      </c>
      <c r="L39" s="149" t="s">
        <v>74</v>
      </c>
      <c r="M39" s="150" t="n">
        <f aca="false">K39+6</f>
        <v>46145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</v>
      </c>
      <c r="F49" s="144"/>
      <c r="G49" s="144"/>
      <c r="H49" s="146" t="s">
        <v>71</v>
      </c>
      <c r="I49" s="146"/>
      <c r="J49" s="146"/>
      <c r="K49" s="215" t="n">
        <f aca="false">Admin!B2</f>
        <v>46118</v>
      </c>
      <c r="L49" s="149" t="s">
        <v>74</v>
      </c>
      <c r="M49" s="150" t="n">
        <f aca="false">Admin!B26</f>
        <v>46142</v>
      </c>
      <c r="N49" s="151"/>
      <c r="O49" s="198" t="s">
        <v>80</v>
      </c>
      <c r="P49" s="198"/>
      <c r="Q49" s="198"/>
      <c r="R49" s="198"/>
      <c r="S49" s="144"/>
      <c r="T49" s="216" t="s">
        <v>81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str">
        <f aca="false">IF(E51=" "," ",IF((H51+K51+L51)&gt;0,H51+K51+L51," "))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IF(Employee!H$35=E$49,Employee!D$34+SUM(M51)+0,SUM(M51)+0)</f>
        <v>0</v>
      </c>
      <c r="W51" s="172" t="n">
        <f aca="false">IF(Employee!H$35=E$49,Employee!D$35+SUM(N51)+0,SUM(N51)+0)</f>
        <v>0</v>
      </c>
      <c r="X51" s="172" t="n">
        <f aca="false">IF(O51=" ",0,O51)</f>
        <v>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0</v>
      </c>
      <c r="AC51" s="172" t="n">
        <f aca="false">IF(T51=" ",0,T51)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str">
        <f aca="false">IF(E52=" "," ",IF((H52+K52+L52)&gt;0,H52+K52+L52," "))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IF(Employee!H$61=E$49,Employee!D$60+SUM(M52)+0,SUM(M52)+0)</f>
        <v>0</v>
      </c>
      <c r="W52" s="172" t="n">
        <f aca="false">IF(Employee!H$61=E$49,Employee!D$61+SUM(N52)+0,SUM(N52)+0)</f>
        <v>0</v>
      </c>
      <c r="X52" s="172" t="n">
        <f aca="false">IF(O52=" ",0,O52)</f>
        <v>0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0</v>
      </c>
      <c r="AC52" s="172" t="n">
        <f aca="false">IF(T52=" ",0,T52)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str">
        <f aca="false">IF(E53=" "," ",IF((H53+K53+L53)&gt;0,H53+K53+L53," "))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IF(Employee!H$87=E$49,Employee!D$86+SUM(M53)+0,SUM(M53)+0)</f>
        <v>0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0</v>
      </c>
      <c r="AC53" s="172" t="n">
        <f aca="false">IF(T53=" ",0,T53)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5</v>
      </c>
      <c r="F9" s="144"/>
      <c r="G9" s="144"/>
      <c r="H9" s="146" t="s">
        <v>71</v>
      </c>
      <c r="I9" s="146"/>
      <c r="J9" s="146"/>
      <c r="K9" s="215" t="n">
        <f aca="false">Apr!M39+1</f>
        <v>46146</v>
      </c>
      <c r="L9" s="149" t="s">
        <v>74</v>
      </c>
      <c r="M9" s="150" t="n">
        <f aca="false">K9+6</f>
        <v>46152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6</v>
      </c>
      <c r="F19" s="144"/>
      <c r="G19" s="144"/>
      <c r="H19" s="146" t="s">
        <v>71</v>
      </c>
      <c r="I19" s="146"/>
      <c r="J19" s="146"/>
      <c r="K19" s="215" t="n">
        <f aca="false">M9+1</f>
        <v>46153</v>
      </c>
      <c r="L19" s="149" t="s">
        <v>74</v>
      </c>
      <c r="M19" s="150" t="n">
        <f aca="false">K19+6</f>
        <v>46159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7</v>
      </c>
      <c r="F29" s="144"/>
      <c r="G29" s="144"/>
      <c r="H29" s="146" t="s">
        <v>71</v>
      </c>
      <c r="I29" s="146"/>
      <c r="J29" s="146"/>
      <c r="K29" s="215" t="n">
        <f aca="false">M19+1</f>
        <v>46160</v>
      </c>
      <c r="L29" s="149" t="s">
        <v>74</v>
      </c>
      <c r="M29" s="150" t="n">
        <f aca="false">K29+6</f>
        <v>46166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8</v>
      </c>
      <c r="F39" s="144"/>
      <c r="G39" s="144"/>
      <c r="H39" s="146" t="s">
        <v>71</v>
      </c>
      <c r="I39" s="146"/>
      <c r="J39" s="146"/>
      <c r="K39" s="215" t="n">
        <f aca="false">M29+1</f>
        <v>46167</v>
      </c>
      <c r="L39" s="149" t="s">
        <v>74</v>
      </c>
      <c r="M39" s="150" t="n">
        <f aca="false">K39+6</f>
        <v>46173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2</v>
      </c>
      <c r="F49" s="144"/>
      <c r="G49" s="144"/>
      <c r="H49" s="146" t="s">
        <v>71</v>
      </c>
      <c r="I49" s="146"/>
      <c r="J49" s="146"/>
      <c r="K49" s="215" t="n">
        <f aca="false">Admin!B27</f>
        <v>46143</v>
      </c>
      <c r="L49" s="149" t="s">
        <v>74</v>
      </c>
      <c r="M49" s="150" t="n">
        <f aca="false">Admin!B57</f>
        <v>46173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str">
        <f aca="false">IF(E51=" "," ",IF(T$49="Y",Apr!M51,IF((H51+K51+L51)&gt;0,H51+K51+L51,"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IF(Employee!H$35=E$49,Employee!D$34+SUM(M51)+Apr!V51,SUM(M51)+Apr!V51)</f>
        <v>0</v>
      </c>
      <c r="W51" s="172" t="n">
        <f aca="false">IF(Employee!H$35=E$49,Employee!D$35+SUM(N51)+Apr!W51,SUM(N51)+Apr!W51)</f>
        <v>0</v>
      </c>
      <c r="X51" s="172" t="n">
        <f aca="false">IF(O51=" ",Apr!X51,O51+Apr!X51)</f>
        <v>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0</v>
      </c>
      <c r="AC51" s="172" t="n">
        <f aca="false">IF(T51=" ",Apr!AC51,T51+Apr!AC51)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str">
        <f aca="false">IF(E52=" "," ",IF(T$49="Y",Apr!M52,IF((H52+K52+L52)&gt;0,H52+K52+L52,"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IF(Employee!H$61=E$49,Employee!D$60+SUM(M52)+Apr!V52,SUM(M52)+Apr!V52)</f>
        <v>0</v>
      </c>
      <c r="W52" s="172" t="n">
        <f aca="false">IF(Employee!H$61=E$49,Employee!D$61+SUM(N52)+Apr!W52,SUM(N52)+Apr!W52)</f>
        <v>0</v>
      </c>
      <c r="X52" s="172" t="n">
        <f aca="false">IF(O52=" ",Apr!X52,O52+Apr!X52)</f>
        <v>0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0</v>
      </c>
      <c r="AC52" s="172" t="n">
        <f aca="false">IF(T52=" ",Apr!AC52,T52+Apr!AC52)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str">
        <f aca="false">IF(E53=" "," ",IF(T$49="Y",Apr!M53,IF((H53+K53+L53)&gt;0,H53+K53+L53,"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IF(Employee!H$87=E$49,Employee!D$86+SUM(M53)+Apr!V53,SUM(M53)+Apr!V53)</f>
        <v>0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0</v>
      </c>
      <c r="AC53" s="172" t="n">
        <f aca="false">IF(T53=" ",Apr!AC53,T53+Apr!AC53)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38</v>
      </c>
      <c r="J1" s="247"/>
      <c r="K1" s="247"/>
      <c r="L1" s="247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9</v>
      </c>
      <c r="F9" s="144"/>
      <c r="G9" s="144"/>
      <c r="H9" s="146" t="s">
        <v>71</v>
      </c>
      <c r="I9" s="146"/>
      <c r="J9" s="146"/>
      <c r="K9" s="215" t="n">
        <f aca="false">May!M39+1</f>
        <v>46174</v>
      </c>
      <c r="L9" s="149" t="s">
        <v>74</v>
      </c>
      <c r="M9" s="150" t="n">
        <f aca="false">K9+6</f>
        <v>46180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10</v>
      </c>
      <c r="F19" s="144"/>
      <c r="G19" s="144"/>
      <c r="H19" s="146" t="s">
        <v>71</v>
      </c>
      <c r="I19" s="146"/>
      <c r="J19" s="146"/>
      <c r="K19" s="215" t="n">
        <f aca="false">M9+1</f>
        <v>46181</v>
      </c>
      <c r="L19" s="149" t="s">
        <v>74</v>
      </c>
      <c r="M19" s="150" t="n">
        <f aca="false">K19+6</f>
        <v>46187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11</v>
      </c>
      <c r="F29" s="144"/>
      <c r="G29" s="144"/>
      <c r="H29" s="146" t="s">
        <v>71</v>
      </c>
      <c r="I29" s="146"/>
      <c r="J29" s="146"/>
      <c r="K29" s="215" t="n">
        <f aca="false">M19+1</f>
        <v>46188</v>
      </c>
      <c r="L29" s="149" t="s">
        <v>74</v>
      </c>
      <c r="M29" s="150" t="n">
        <f aca="false">K29+6</f>
        <v>46194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12</v>
      </c>
      <c r="F39" s="144"/>
      <c r="G39" s="144"/>
      <c r="H39" s="146" t="s">
        <v>71</v>
      </c>
      <c r="I39" s="146"/>
      <c r="J39" s="146"/>
      <c r="K39" s="215" t="n">
        <f aca="false">M29+1</f>
        <v>46195</v>
      </c>
      <c r="L39" s="149" t="s">
        <v>74</v>
      </c>
      <c r="M39" s="150" t="n">
        <f aca="false">K39+6</f>
        <v>46201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01"/>
      <c r="AE47" s="101"/>
      <c r="AF47" s="101"/>
      <c r="AG47" s="101"/>
      <c r="AH47" s="144"/>
    </row>
    <row r="48" s="127" customFormat="true" ht="18.75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D48" s="101"/>
      <c r="AE48" s="101"/>
      <c r="AF48" s="101"/>
      <c r="AG48" s="101"/>
      <c r="AH48" s="144"/>
    </row>
    <row r="49" s="127" customFormat="true" ht="18.75" hidden="false" customHeight="true" outlineLevel="0" collapsed="false">
      <c r="A49" s="145"/>
      <c r="B49" s="146" t="s">
        <v>72</v>
      </c>
      <c r="C49" s="146"/>
      <c r="D49" s="146"/>
      <c r="E49" s="147" t="n">
        <v>13</v>
      </c>
      <c r="F49" s="144"/>
      <c r="G49" s="144"/>
      <c r="H49" s="146" t="s">
        <v>71</v>
      </c>
      <c r="I49" s="146"/>
      <c r="J49" s="146"/>
      <c r="K49" s="215" t="n">
        <f aca="false">M39+1</f>
        <v>46202</v>
      </c>
      <c r="L49" s="149" t="s">
        <v>74</v>
      </c>
      <c r="M49" s="150" t="n">
        <f aca="false">K49+6</f>
        <v>46208</v>
      </c>
      <c r="N49" s="151"/>
      <c r="O49" s="198" t="s">
        <v>77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D49" s="101"/>
      <c r="AE49" s="101"/>
      <c r="AF49" s="101"/>
      <c r="AG49" s="101"/>
      <c r="AH49" s="144"/>
    </row>
    <row r="50" s="127" customFormat="tru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D50" s="101"/>
      <c r="AE50" s="101"/>
      <c r="AF50" s="101"/>
      <c r="AG50" s="101"/>
      <c r="AH50" s="144"/>
    </row>
    <row r="51" s="127" customFormat="tru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75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B51" s="99"/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s="127" customFormat="tru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75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B52" s="99"/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s="127" customFormat="tru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75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B53" s="99"/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s="127" customFormat="tru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75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B54" s="99"/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s="127" customFormat="tru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75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B55" s="99"/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s="127" customFormat="true" ht="18.75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D56" s="101"/>
      <c r="AE56" s="101"/>
      <c r="AF56" s="101"/>
      <c r="AG56" s="101"/>
      <c r="AH56" s="144"/>
    </row>
    <row r="57" s="127" customFormat="tru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3</v>
      </c>
      <c r="F59" s="144"/>
      <c r="G59" s="144"/>
      <c r="H59" s="146" t="s">
        <v>71</v>
      </c>
      <c r="I59" s="146"/>
      <c r="J59" s="146"/>
      <c r="K59" s="215" t="n">
        <f aca="false">Admin!B58</f>
        <v>46174</v>
      </c>
      <c r="L59" s="149" t="s">
        <v>74</v>
      </c>
      <c r="M59" s="150" t="n">
        <f aca="false">Admin!B87</f>
        <v>46203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str">
        <f aca="false">IF(E61=" "," ",IF(T$59="Y",May!M51,IF((H61+K61+L61)&gt;0,H61+K61+L61,"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IF(Employee!H$35=E$59,Employee!D$34+SUM(M61)+May!V51,SUM(M61)+May!V51)</f>
        <v>0</v>
      </c>
      <c r="W61" s="172" t="n">
        <f aca="false">IF(Employee!H$35=E$59,Employee!D$35+SUM(N61)+May!W51,SUM(N61)+May!W51)</f>
        <v>0</v>
      </c>
      <c r="X61" s="172" t="n">
        <f aca="false">IF(O61=" ",May!X51,O61+May!X51)</f>
        <v>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0</v>
      </c>
      <c r="AC61" s="172" t="n">
        <f aca="false">IF(T61=" ",May!AC51,T61+May!AC51)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str">
        <f aca="false">IF(E62=" "," ",IF(T$59="Y",May!M52,IF((H62+K62+L62)&gt;0,H62+K62+L62,"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IF(Employee!H$61=E$59,Employee!D$60+SUM(M62)+May!V52,SUM(M62)+May!V52)</f>
        <v>0</v>
      </c>
      <c r="W62" s="172" t="n">
        <f aca="false">IF(Employee!H$61=E$59,Employee!D$61+SUM(N62)+May!W52,SUM(N62)+May!W52)</f>
        <v>0</v>
      </c>
      <c r="X62" s="172" t="n">
        <f aca="false">IF(O62=" ",May!X52,O62+May!X52)</f>
        <v>0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0</v>
      </c>
      <c r="AC62" s="172" t="n">
        <f aca="false">IF(T62=" ",May!AC52,T62+May!AC52)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str">
        <f aca="false">IF(E63=" "," ",IF(T$59="Y",May!M53,IF((H63+K63+L63)&gt;0,H63+K63+L63,"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IF(Employee!H$87=E$59,Employee!D$86+SUM(M63)+May!V53,SUM(M63)+May!V53)</f>
        <v>0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0</v>
      </c>
      <c r="AC63" s="172" t="n">
        <f aca="false">IF(T63=" ",May!AC53,T63+May!AC53)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14</v>
      </c>
      <c r="F9" s="144"/>
      <c r="G9" s="144"/>
      <c r="H9" s="146" t="s">
        <v>71</v>
      </c>
      <c r="I9" s="146"/>
      <c r="J9" s="146"/>
      <c r="K9" s="215" t="n">
        <f aca="false">Admin!B91</f>
        <v>46207</v>
      </c>
      <c r="L9" s="149" t="s">
        <v>74</v>
      </c>
      <c r="M9" s="150" t="n">
        <f aca="false">K9+6</f>
        <v>46213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e">
        <f aca="false">NA()</f>
        <v>#N/A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e">
        <f aca="false">NA()</f>
        <v>#N/A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",IF(Employee!F$78&lt;E$9," ",Employee!D$81)))</f>
        <v> </v>
      </c>
      <c r="F13" s="175" t="e">
        <f aca="false">NA()</f>
        <v>#N/A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e">
        <f aca="false">NA()</f>
        <v>#N/A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e">
        <f aca="false">NA()</f>
        <v>#N/A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15</v>
      </c>
      <c r="F19" s="144"/>
      <c r="G19" s="144"/>
      <c r="H19" s="146" t="s">
        <v>71</v>
      </c>
      <c r="I19" s="146"/>
      <c r="J19" s="146"/>
      <c r="K19" s="215" t="n">
        <f aca="false">M9+1</f>
        <v>46214</v>
      </c>
      <c r="L19" s="149" t="s">
        <v>74</v>
      </c>
      <c r="M19" s="150" t="n">
        <f aca="false">K19+6</f>
        <v>46220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16</v>
      </c>
      <c r="F29" s="144"/>
      <c r="G29" s="144"/>
      <c r="H29" s="146" t="s">
        <v>71</v>
      </c>
      <c r="I29" s="146"/>
      <c r="J29" s="146"/>
      <c r="K29" s="215" t="n">
        <f aca="false">M19+1</f>
        <v>46221</v>
      </c>
      <c r="L29" s="149" t="s">
        <v>74</v>
      </c>
      <c r="M29" s="150" t="n">
        <f aca="false">K29+6</f>
        <v>46227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17</v>
      </c>
      <c r="F39" s="144"/>
      <c r="G39" s="144"/>
      <c r="H39" s="146" t="s">
        <v>71</v>
      </c>
      <c r="I39" s="146"/>
      <c r="J39" s="146"/>
      <c r="K39" s="215" t="n">
        <f aca="false">M29+1</f>
        <v>46228</v>
      </c>
      <c r="L39" s="149" t="s">
        <v>74</v>
      </c>
      <c r="M39" s="150" t="n">
        <f aca="false">K39+6</f>
        <v>46234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260" t="e">
        <f aca="false">NA()</f>
        <v>#N/A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4</v>
      </c>
      <c r="F49" s="144"/>
      <c r="G49" s="144"/>
      <c r="H49" s="146" t="s">
        <v>71</v>
      </c>
      <c r="I49" s="146"/>
      <c r="J49" s="146"/>
      <c r="K49" s="215" t="n">
        <f aca="false">Admin!B88</f>
        <v>46204</v>
      </c>
      <c r="L49" s="149" t="s">
        <v>74</v>
      </c>
      <c r="M49" s="150" t="n">
        <f aca="false">Admin!B118</f>
        <v>46234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str">
        <f aca="false">IF(E51=" "," ",IF(T$49="Y",Jun!M61,IF((H51+K51+L51)&gt;0,H51+K51+L51,"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IF(Employee!H$35=E$49,Employee!D$34+SUM(M51)+Jun!V61,SUM(M51)+Jun!V61)</f>
        <v>0</v>
      </c>
      <c r="W51" s="172" t="n">
        <f aca="false">IF(Employee!H$35=E$49,Employee!D$35+SUM(N51)+Jun!W61,SUM(N51)+Jun!W61)</f>
        <v>0</v>
      </c>
      <c r="X51" s="172" t="n">
        <f aca="false">IF(O51=" ",Jun!X61,O51+Jun!X61)</f>
        <v>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0</v>
      </c>
      <c r="AC51" s="172" t="n">
        <f aca="false">IF(T51=" ",Jun!AC61,T51+Jun!AC61)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str">
        <f aca="false">IF(E52=" "," ",IF(T$49="Y",Jun!M62,IF((H52+K52+L52)&gt;0,H52+K52+L52,"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IF(Employee!H$61=E$49,Employee!D$60+SUM(M52)+Jun!V62,SUM(M52)+Jun!V62)</f>
        <v>0</v>
      </c>
      <c r="W52" s="172" t="n">
        <f aca="false">IF(Employee!H$61=E$49,Employee!D$61+SUM(N52)+Jun!W62,SUM(N52)+Jun!W62)</f>
        <v>0</v>
      </c>
      <c r="X52" s="172" t="n">
        <f aca="false">IF(O52=" ",Jun!X62,O52+Jun!X62)</f>
        <v>0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0</v>
      </c>
      <c r="AC52" s="172" t="n">
        <f aca="false">IF(T52=" ",Jun!AC62,T52+Jun!AC62)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str">
        <f aca="false">IF(E53=" "," ",IF(T$49="Y",Jun!M63,IF((H53+K53+L53)&gt;0,H53+K53+L53,"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IF(Employee!H$87=E$49,Employee!D$86+SUM(M53)+Jun!V63,SUM(M53)+Jun!V63)</f>
        <v>0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0</v>
      </c>
      <c r="AC53" s="172" t="n">
        <f aca="false">IF(T53=" ",Jun!AC63,T53+Jun!AC63)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18</v>
      </c>
      <c r="F9" s="144"/>
      <c r="G9" s="144"/>
      <c r="H9" s="146" t="s">
        <v>71</v>
      </c>
      <c r="I9" s="146"/>
      <c r="J9" s="146"/>
      <c r="K9" s="215" t="n">
        <f aca="false">Admin!B119</f>
        <v>46235</v>
      </c>
      <c r="L9" s="149" t="s">
        <v>74</v>
      </c>
      <c r="M9" s="150" t="n">
        <f aca="false">K9+6</f>
        <v>46241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IF(T$9="Y","jul!#ref!",0)</f>
        <v>0</v>
      </c>
      <c r="I11" s="168" t="n">
        <f aca="false">IF(T$9="Y","jul!#ref!",0)</f>
        <v>0</v>
      </c>
      <c r="J11" s="168" t="n">
        <f aca="false">IF(T$9="Y","jul!#ref!",0)</f>
        <v>0</v>
      </c>
      <c r="K11" s="168" t="n">
        <v>0</v>
      </c>
      <c r="L11" s="166" t="n">
        <f aca="false">IF(T$9="Y","jul!#ref!",0)</f>
        <v>0</v>
      </c>
      <c r="M11" s="166" t="str">
        <f aca="false">IF(E11=" "," ",IF(T$9="Y","jul!#ref!",IF((H11+K11+L11)&gt;0,H11+K11+L11,"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e">
        <f aca="false">IF(T11=" ",Jul!AC41,T11+Jul!AC41)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IF(T$9="Y","jul!#ref!",0)</f>
        <v>0</v>
      </c>
      <c r="I12" s="177" t="n">
        <f aca="false">IF(T$9="Y","jul!#ref!",0)</f>
        <v>0</v>
      </c>
      <c r="J12" s="177" t="n">
        <f aca="false">IF(T$9="Y","jul!#ref!",0)</f>
        <v>0</v>
      </c>
      <c r="K12" s="177" t="n">
        <f aca="false">IF(T$9="Y","jul!#ref!",I12*J12)</f>
        <v>0</v>
      </c>
      <c r="L12" s="179" t="n">
        <f aca="false">IF(T$9="Y","jul!#ref!",0)</f>
        <v>0</v>
      </c>
      <c r="M12" s="179" t="str">
        <f aca="false">IF(E12=" "," ",IF(T$9="Y","jul!#ref!",IF((H12+K12+L12)&gt;0,H12+K12+L12,"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IF(T$9="Y","jul!#ref!",0)</f>
        <v>0</v>
      </c>
      <c r="I13" s="177" t="n">
        <f aca="false">IF(T$9="Y","jul!#ref!",0)</f>
        <v>0</v>
      </c>
      <c r="J13" s="177" t="n">
        <f aca="false">IF(T$9="Y","jul!#ref!",0)</f>
        <v>0</v>
      </c>
      <c r="K13" s="177" t="n">
        <f aca="false">IF(T$9="Y","jul!#ref!",I13*J13)</f>
        <v>0</v>
      </c>
      <c r="L13" s="179" t="n">
        <f aca="false">IF(T$9="Y","jul!#ref!",0)</f>
        <v>0</v>
      </c>
      <c r="M13" s="179" t="str">
        <f aca="false">IF(E13=" "," ",IF(T$9="Y","jul!#ref!",IF((H13+K13+L13)&gt;0,H13+K13+L13,"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IF(T$9="Y","jul!#ref!",0)</f>
        <v>0</v>
      </c>
      <c r="I14" s="177" t="n">
        <f aca="false">IF(T$9="Y","jul!#ref!",0)</f>
        <v>0</v>
      </c>
      <c r="J14" s="177" t="n">
        <f aca="false">IF(T$9="Y","jul!#ref!",0)</f>
        <v>0</v>
      </c>
      <c r="K14" s="177" t="n">
        <f aca="false">IF(T$9="Y","jul!#ref!",I14*J14)</f>
        <v>0</v>
      </c>
      <c r="L14" s="179" t="n">
        <f aca="false">IF(T$9="Y","jul!#ref!",0)</f>
        <v>0</v>
      </c>
      <c r="M14" s="179" t="str">
        <f aca="false">IF(E14=" "," ",IF(T$9="Y","jul!#ref!",IF((H14+K14+L14)&gt;0,H14+K14+L14,"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IF(T$9="Y","jul!#ref!",0)</f>
        <v>0</v>
      </c>
      <c r="I15" s="182" t="n">
        <f aca="false">IF(T$9="Y","jul!#ref!",0)</f>
        <v>0</v>
      </c>
      <c r="J15" s="182" t="n">
        <f aca="false">IF(T$9="Y","jul!#ref!",0)</f>
        <v>0</v>
      </c>
      <c r="K15" s="182" t="n">
        <f aca="false">IF(T$9="Y","jul!#ref!",I15*J15)</f>
        <v>0</v>
      </c>
      <c r="L15" s="183" t="n">
        <f aca="false">IF(T$9="Y","jul!#ref!",0)</f>
        <v>0</v>
      </c>
      <c r="M15" s="183" t="str">
        <f aca="false">IF(E15=" "," ",IF(T$9="Y","jul!#ref!",IF((H15+K15+L15)&gt;0,H15+K15+L15,"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19</v>
      </c>
      <c r="F19" s="144"/>
      <c r="G19" s="144"/>
      <c r="H19" s="146" t="s">
        <v>71</v>
      </c>
      <c r="I19" s="146"/>
      <c r="J19" s="146"/>
      <c r="K19" s="215" t="n">
        <f aca="false">M9+1</f>
        <v>46242</v>
      </c>
      <c r="L19" s="149" t="s">
        <v>74</v>
      </c>
      <c r="M19" s="150" t="n">
        <f aca="false">K19+6</f>
        <v>46248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20</v>
      </c>
      <c r="F29" s="144"/>
      <c r="G29" s="144"/>
      <c r="H29" s="146" t="s">
        <v>71</v>
      </c>
      <c r="I29" s="146"/>
      <c r="J29" s="146"/>
      <c r="K29" s="215" t="n">
        <f aca="false">M19+1</f>
        <v>46249</v>
      </c>
      <c r="L29" s="149" t="s">
        <v>74</v>
      </c>
      <c r="M29" s="150" t="n">
        <f aca="false">K29+6</f>
        <v>46255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21</v>
      </c>
      <c r="F39" s="144"/>
      <c r="G39" s="144"/>
      <c r="H39" s="146" t="s">
        <v>71</v>
      </c>
      <c r="I39" s="146"/>
      <c r="J39" s="146"/>
      <c r="K39" s="215" t="n">
        <f aca="false">M29+1</f>
        <v>46256</v>
      </c>
      <c r="L39" s="149" t="s">
        <v>74</v>
      </c>
      <c r="M39" s="150" t="n">
        <f aca="false">K39+6</f>
        <v>46262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5</v>
      </c>
      <c r="F49" s="144"/>
      <c r="G49" s="144"/>
      <c r="H49" s="146" t="s">
        <v>71</v>
      </c>
      <c r="I49" s="146"/>
      <c r="J49" s="146"/>
      <c r="K49" s="215" t="n">
        <f aca="false">Admin!B119</f>
        <v>46235</v>
      </c>
      <c r="L49" s="149" t="s">
        <v>74</v>
      </c>
      <c r="M49" s="150" t="n">
        <f aca="false">Admin!B149</f>
        <v>46265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str">
        <f aca="false">IF(E51=" "," ",IF(T$49="Y",Jul!M51,IF((H51+K51+L51)&gt;0,H51+K51+L51,"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IF(Employee!H$35=E$49,Employee!D$34+SUM(M51)+Jul!V51,SUM(M51)+Jul!V51)</f>
        <v>0</v>
      </c>
      <c r="W51" s="172" t="n">
        <f aca="false">IF(Employee!H$35=E$49,Employee!D$35+SUM(N51)+Jul!W51,SUM(N51)+Jul!W51)</f>
        <v>0</v>
      </c>
      <c r="X51" s="172" t="n">
        <f aca="false">IF(O51=" ",Jul!X51,O51+Jul!X51)</f>
        <v>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0</v>
      </c>
      <c r="AC51" s="172" t="n">
        <f aca="false">IF(T51=" ",Jul!AC51,T51+Jul!AC51)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str">
        <f aca="false">IF(E52=" "," ",IF(T$49="Y",Jul!M52,IF((H52+K52+L52)&gt;0,H52+K52+L52,"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IF(Employee!H$61=E$49,Employee!D$60+SUM(M52)+Jul!V52,SUM(M52)+Jul!V52)</f>
        <v>0</v>
      </c>
      <c r="W52" s="172" t="n">
        <f aca="false">IF(Employee!H$61=E$49,Employee!D$61+SUM(N52)+Jul!W52,SUM(N52)+Jul!W52)</f>
        <v>0</v>
      </c>
      <c r="X52" s="172" t="n">
        <f aca="false">IF(O52=" ",Jul!X52,O52+Jul!X52)</f>
        <v>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0</v>
      </c>
      <c r="AC52" s="172" t="n">
        <f aca="false">IF(T52=" ",Jul!AC52,T52+Jul!AC52)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str">
        <f aca="false">IF(E53=" "," ",IF(T$49="Y",Jul!M53,IF((H53+K53+L53)&gt;0,H53+K53+L53,"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IF(Employee!H$87=E$49,Employee!D$86+SUM(M53)+Jul!V53,SUM(M53)+Jul!V53)</f>
        <v>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0</v>
      </c>
      <c r="AC53" s="172" t="n">
        <f aca="false">IF(T53=" ",Jul!AC53,T53+Jul!AC53)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22</v>
      </c>
      <c r="F9" s="144"/>
      <c r="G9" s="144"/>
      <c r="H9" s="146" t="s">
        <v>71</v>
      </c>
      <c r="I9" s="146"/>
      <c r="J9" s="146"/>
      <c r="K9" s="215" t="n">
        <f aca="false">Aug!M39+1</f>
        <v>46263</v>
      </c>
      <c r="L9" s="149" t="s">
        <v>74</v>
      </c>
      <c r="M9" s="150" t="n">
        <f aca="false">K9+6</f>
        <v>46269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e">
        <f aca="false">IF(T11=" ",Aug!AC41,T11+Aug!AC41)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23</v>
      </c>
      <c r="F19" s="144"/>
      <c r="G19" s="144"/>
      <c r="H19" s="146" t="s">
        <v>71</v>
      </c>
      <c r="I19" s="146"/>
      <c r="J19" s="146"/>
      <c r="K19" s="215" t="n">
        <f aca="false">M9+1</f>
        <v>46270</v>
      </c>
      <c r="L19" s="149" t="s">
        <v>74</v>
      </c>
      <c r="M19" s="150" t="n">
        <f aca="false">K19+6</f>
        <v>46276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24</v>
      </c>
      <c r="F29" s="144"/>
      <c r="G29" s="144"/>
      <c r="H29" s="146" t="s">
        <v>71</v>
      </c>
      <c r="I29" s="146"/>
      <c r="J29" s="146"/>
      <c r="K29" s="215" t="n">
        <f aca="false">M19+1</f>
        <v>46277</v>
      </c>
      <c r="L29" s="149" t="s">
        <v>74</v>
      </c>
      <c r="M29" s="150" t="n">
        <f aca="false">K29+6</f>
        <v>46283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25</v>
      </c>
      <c r="F39" s="144"/>
      <c r="G39" s="144"/>
      <c r="H39" s="146" t="s">
        <v>71</v>
      </c>
      <c r="I39" s="146"/>
      <c r="J39" s="146"/>
      <c r="K39" s="215" t="n">
        <f aca="false">M29+1</f>
        <v>46284</v>
      </c>
      <c r="L39" s="149" t="s">
        <v>74</v>
      </c>
      <c r="M39" s="150" t="n">
        <f aca="false">K39+6</f>
        <v>46290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26</v>
      </c>
      <c r="F49" s="144"/>
      <c r="G49" s="144"/>
      <c r="H49" s="146" t="s">
        <v>71</v>
      </c>
      <c r="I49" s="146"/>
      <c r="J49" s="146"/>
      <c r="K49" s="215" t="n">
        <f aca="false">Admin!B175</f>
        <v>46291</v>
      </c>
      <c r="L49" s="149" t="s">
        <v>74</v>
      </c>
      <c r="M49" s="150" t="n">
        <f aca="false">K49+6</f>
        <v>46297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6</v>
      </c>
      <c r="F59" s="144"/>
      <c r="G59" s="144"/>
      <c r="H59" s="146" t="s">
        <v>71</v>
      </c>
      <c r="I59" s="146"/>
      <c r="J59" s="146"/>
      <c r="K59" s="215" t="n">
        <f aca="false">Admin!B150</f>
        <v>46266</v>
      </c>
      <c r="L59" s="149" t="s">
        <v>74</v>
      </c>
      <c r="M59" s="150" t="n">
        <f aca="false">Admin!B179</f>
        <v>46295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str">
        <f aca="false">IF(E61=" "," ",IF(T$59="Y",Aug!M51,IF((H61+K61+L61)&gt;0,H61+K61+L61,"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IF(Employee!H$35=E$59,Employee!D$34+SUM(M61)+Aug!V51,SUM(M61)+Aug!V51)</f>
        <v>0</v>
      </c>
      <c r="W61" s="172" t="n">
        <f aca="false">IF(Employee!H$35=E$59,Employee!D$35+SUM(N61)+Aug!W51,SUM(N61)+Aug!W51)</f>
        <v>0</v>
      </c>
      <c r="X61" s="172" t="n">
        <f aca="false">IF(O61=" ",Aug!X51,O61+Aug!X51)</f>
        <v>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0</v>
      </c>
      <c r="AC61" s="172" t="n">
        <f aca="false">IF(T61=" ",Aug!AC51,T61+Aug!AC51)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str">
        <f aca="false">IF(E62=" "," ",IF(T$59="Y",Aug!M52,IF((H62+K62+L62)&gt;0,H62+K62+L62,"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IF(Employee!H$61=E$59,Employee!D$60+SUM(M62)+Aug!V52,SUM(M62)+Aug!V52)</f>
        <v>0</v>
      </c>
      <c r="W62" s="172" t="n">
        <f aca="false">IF(Employee!H$61=E$59,Employee!D$61+SUM(N62)+Aug!W52,SUM(N62)+Aug!W52)</f>
        <v>0</v>
      </c>
      <c r="X62" s="172" t="n">
        <f aca="false">IF(O62=" ",Aug!X52,O62+Aug!X52)</f>
        <v>0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0</v>
      </c>
      <c r="AC62" s="172" t="n">
        <f aca="false">IF(T62=" ",Aug!AC52,T62+Aug!AC52)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str">
        <f aca="false">IF(E63=" "," ",IF(T$59="Y",Aug!M53,IF((H63+K63+L63)&gt;0,H63+K63+L63,"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IF(Employee!H$87=E$59,Employee!D$86+SUM(M63)+Aug!V53,SUM(M63)+Aug!V53)</f>
        <v>0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0</v>
      </c>
      <c r="AC63" s="172" t="n">
        <f aca="false">IF(T63=" ",Aug!AC53,T63+Aug!AC53)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27</v>
      </c>
      <c r="F9" s="144"/>
      <c r="G9" s="144"/>
      <c r="H9" s="146" t="s">
        <v>71</v>
      </c>
      <c r="I9" s="146"/>
      <c r="J9" s="146"/>
      <c r="K9" s="215" t="n">
        <f aca="false">Admin!B182</f>
        <v>46298</v>
      </c>
      <c r="L9" s="149" t="s">
        <v>74</v>
      </c>
      <c r="M9" s="150" t="n">
        <f aca="false">Admin!B188</f>
        <v>46304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e">
        <f aca="false">IF(T11=" ",Sep!AC51,T11+Sep!AC51)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28</v>
      </c>
      <c r="F19" s="144"/>
      <c r="G19" s="144"/>
      <c r="H19" s="146" t="s">
        <v>71</v>
      </c>
      <c r="I19" s="146"/>
      <c r="J19" s="146"/>
      <c r="K19" s="215" t="n">
        <f aca="false">M9+1</f>
        <v>46305</v>
      </c>
      <c r="L19" s="149" t="s">
        <v>74</v>
      </c>
      <c r="M19" s="150" t="n">
        <f aca="false">K19+6</f>
        <v>46311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29</v>
      </c>
      <c r="F29" s="144"/>
      <c r="G29" s="144"/>
      <c r="H29" s="146" t="s">
        <v>71</v>
      </c>
      <c r="I29" s="146"/>
      <c r="J29" s="146"/>
      <c r="K29" s="215" t="n">
        <f aca="false">M19+1</f>
        <v>46312</v>
      </c>
      <c r="L29" s="149" t="s">
        <v>74</v>
      </c>
      <c r="M29" s="150" t="n">
        <f aca="false">K29+6</f>
        <v>46318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30</v>
      </c>
      <c r="F39" s="144"/>
      <c r="G39" s="144"/>
      <c r="H39" s="146" t="s">
        <v>71</v>
      </c>
      <c r="I39" s="146"/>
      <c r="J39" s="146"/>
      <c r="K39" s="215" t="n">
        <f aca="false">M29+1</f>
        <v>46319</v>
      </c>
      <c r="L39" s="149" t="s">
        <v>74</v>
      </c>
      <c r="M39" s="150" t="n">
        <f aca="false">K39+6</f>
        <v>46325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7</v>
      </c>
      <c r="F49" s="144"/>
      <c r="G49" s="144"/>
      <c r="H49" s="146" t="s">
        <v>71</v>
      </c>
      <c r="I49" s="146"/>
      <c r="J49" s="146"/>
      <c r="K49" s="215" t="n">
        <f aca="false">Admin!B180</f>
        <v>46296</v>
      </c>
      <c r="L49" s="149" t="s">
        <v>74</v>
      </c>
      <c r="M49" s="150" t="n">
        <f aca="false">Admin!B210</f>
        <v>46326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str">
        <f aca="false">IF(E51=" "," ",IF(T$49="Y",Sep!M61,IF((H51+K51+L51)&gt;0,H51+K51+L51,"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IF(Employee!H$35=E$49,Employee!D$34+SUM(M51)+Sep!V61,SUM(M51)+Sep!V61)</f>
        <v>0</v>
      </c>
      <c r="W51" s="172" t="n">
        <f aca="false">IF(Employee!H$35=E$49,Employee!D$35+SUM(N51)+Sep!W61,SUM(N51)+Sep!W61)</f>
        <v>0</v>
      </c>
      <c r="X51" s="172" t="n">
        <f aca="false">IF(O51=" ",Sep!X61,O51+Sep!X61)</f>
        <v>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0</v>
      </c>
      <c r="AC51" s="172" t="n">
        <f aca="false">IF(T51=" ",Sep!AC61,T51+Sep!AC61)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str">
        <f aca="false">IF(E52=" "," ",IF(T$49="Y",Sep!M62,IF((H52+K52+L52)&gt;0,H52+K52+L52,"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IF(Employee!H$61=E$49,Employee!D$60+SUM(M52)+Sep!V62,SUM(M52)+Sep!V62)</f>
        <v>0</v>
      </c>
      <c r="W52" s="172" t="n">
        <f aca="false">IF(Employee!H$61=E$49,Employee!D$61+SUM(N52)+Sep!W62,SUM(N52)+Sep!W62)</f>
        <v>0</v>
      </c>
      <c r="X52" s="172" t="n">
        <f aca="false">IF(O52=" ",Sep!X62,O52+Sep!X62)</f>
        <v>0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0</v>
      </c>
      <c r="AC52" s="172" t="n">
        <f aca="false">IF(T52=" ",Sep!AC62,T52+Sep!AC62)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str">
        <f aca="false">IF(E53=" "," ",IF(T$49="Y",Sep!M63,IF((H53+K53+L53)&gt;0,H53+K53+L53,"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IF(Employee!H$87=E$49,Employee!D$86+SUM(M53)+Sep!V63,SUM(M53)+Sep!V63)</f>
        <v>0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0</v>
      </c>
      <c r="AC53" s="172" t="n">
        <f aca="false">IF(T53=" ",Sep!AC63,T53+Sep!AC63)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31</v>
      </c>
      <c r="F9" s="144"/>
      <c r="G9" s="144"/>
      <c r="H9" s="146" t="s">
        <v>71</v>
      </c>
      <c r="I9" s="146"/>
      <c r="J9" s="146"/>
      <c r="K9" s="215" t="n">
        <f aca="false">Admin!B210</f>
        <v>46326</v>
      </c>
      <c r="L9" s="149" t="s">
        <v>74</v>
      </c>
      <c r="M9" s="150" t="n">
        <f aca="false">K9+6</f>
        <v>46332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e">
        <f aca="false">IF(T11=" ",Oct!AC41,T11+Oct!AC41)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32</v>
      </c>
      <c r="F19" s="144"/>
      <c r="G19" s="144"/>
      <c r="H19" s="146" t="s">
        <v>71</v>
      </c>
      <c r="I19" s="146"/>
      <c r="J19" s="146"/>
      <c r="K19" s="215" t="n">
        <f aca="false">M9+1</f>
        <v>46333</v>
      </c>
      <c r="L19" s="149" t="s">
        <v>74</v>
      </c>
      <c r="M19" s="150" t="n">
        <f aca="false">K19+6</f>
        <v>46339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33</v>
      </c>
      <c r="F29" s="144"/>
      <c r="G29" s="144"/>
      <c r="H29" s="146" t="s">
        <v>71</v>
      </c>
      <c r="I29" s="146"/>
      <c r="J29" s="146"/>
      <c r="K29" s="215" t="n">
        <f aca="false">M19+1</f>
        <v>46340</v>
      </c>
      <c r="L29" s="149" t="s">
        <v>74</v>
      </c>
      <c r="M29" s="150" t="n">
        <f aca="false">K29+6</f>
        <v>46346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34</v>
      </c>
      <c r="F39" s="144"/>
      <c r="G39" s="144"/>
      <c r="H39" s="146" t="s">
        <v>71</v>
      </c>
      <c r="I39" s="146"/>
      <c r="J39" s="146"/>
      <c r="K39" s="215" t="n">
        <f aca="false">M29+1</f>
        <v>46347</v>
      </c>
      <c r="L39" s="149" t="s">
        <v>74</v>
      </c>
      <c r="M39" s="150" t="n">
        <f aca="false">K39+6</f>
        <v>46353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8</v>
      </c>
      <c r="F49" s="144"/>
      <c r="G49" s="144"/>
      <c r="H49" s="146" t="s">
        <v>71</v>
      </c>
      <c r="I49" s="146"/>
      <c r="J49" s="146"/>
      <c r="K49" s="215" t="n">
        <f aca="false">Admin!B211</f>
        <v>46327</v>
      </c>
      <c r="L49" s="149" t="s">
        <v>74</v>
      </c>
      <c r="M49" s="150" t="n">
        <f aca="false">Admin!B240</f>
        <v>46356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str">
        <f aca="false">IF(E51=" "," ",IF(T$49="Y",Oct!M51,IF((H51+K51+L51)&gt;0,H51+K51+L51,"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IF(Employee!H$35=E$49,Employee!D$34+SUM(M51)+Oct!V51,SUM(M51)+Oct!V51)</f>
        <v>0</v>
      </c>
      <c r="W51" s="172" t="n">
        <f aca="false">IF(Employee!H$35=E$49,Employee!D$35+SUM(N51)+Oct!W51,SUM(N51)+Oct!W51)</f>
        <v>0</v>
      </c>
      <c r="X51" s="172" t="n">
        <f aca="false">IF(O51=" ",Oct!X51,O51+Oct!X51)</f>
        <v>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0</v>
      </c>
      <c r="AC51" s="172" t="n">
        <f aca="false">IF(T51=" ",Oct!AC51,T51+Oct!AC51)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str">
        <f aca="false">IF(E52=" "," ",IF(T$49="Y",Oct!M52,IF((H52+K52+L52)&gt;0,H52+K52+L52,"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IF(Employee!H$61=E$49,Employee!D$60+SUM(M52)+Oct!V52,SUM(M52)+Oct!V52)</f>
        <v>0</v>
      </c>
      <c r="W52" s="172" t="n">
        <f aca="false">IF(Employee!H$61=E$49,Employee!D$61+SUM(N52)+Oct!W52,SUM(N52)+Oct!W52)</f>
        <v>0</v>
      </c>
      <c r="X52" s="172" t="n">
        <f aca="false">IF(O52=" ",Oct!X52,O52+Oct!X52)</f>
        <v>0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0</v>
      </c>
      <c r="AC52" s="172" t="n">
        <f aca="false">IF(T52=" ",Oct!AC52,T52+Oct!AC52)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str">
        <f aca="false">IF(E53=" "," ",IF(T$49="Y",Oct!M53,IF((H53+K53+L53)&gt;0,H53+K53+L53,"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IF(Employee!H$87=E$49,Employee!D$86+SUM(M53)+Oct!V53,SUM(M53)+Oct!V53)</f>
        <v>0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0</v>
      </c>
      <c r="AC53" s="172" t="n">
        <f aca="false">IF(T53=" ",Oct!AC53,T53+Oct!AC53)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35</v>
      </c>
      <c r="F9" s="144"/>
      <c r="G9" s="144"/>
      <c r="H9" s="146" t="s">
        <v>71</v>
      </c>
      <c r="I9" s="146"/>
      <c r="J9" s="146"/>
      <c r="K9" s="215" t="n">
        <f aca="false">Nov!M39+1</f>
        <v>46354</v>
      </c>
      <c r="L9" s="149" t="s">
        <v>74</v>
      </c>
      <c r="M9" s="150" t="n">
        <f aca="false">K9+6</f>
        <v>46360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e">
        <f aca="false">IF(T11=" ",Nov!AC41,T11+Nov!AC41)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36</v>
      </c>
      <c r="F19" s="144"/>
      <c r="G19" s="144"/>
      <c r="H19" s="146" t="s">
        <v>71</v>
      </c>
      <c r="I19" s="146"/>
      <c r="J19" s="146"/>
      <c r="K19" s="215" t="n">
        <f aca="false">M9+1</f>
        <v>46361</v>
      </c>
      <c r="L19" s="149" t="s">
        <v>74</v>
      </c>
      <c r="M19" s="150" t="n">
        <f aca="false">K19+6</f>
        <v>46367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37</v>
      </c>
      <c r="F29" s="144"/>
      <c r="G29" s="144"/>
      <c r="H29" s="146" t="s">
        <v>71</v>
      </c>
      <c r="I29" s="146"/>
      <c r="J29" s="146"/>
      <c r="K29" s="215" t="n">
        <f aca="false">M19+1</f>
        <v>46368</v>
      </c>
      <c r="L29" s="149" t="s">
        <v>74</v>
      </c>
      <c r="M29" s="150" t="n">
        <f aca="false">K29+6</f>
        <v>46374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38</v>
      </c>
      <c r="F39" s="144"/>
      <c r="G39" s="144"/>
      <c r="H39" s="146" t="s">
        <v>71</v>
      </c>
      <c r="I39" s="146"/>
      <c r="J39" s="146"/>
      <c r="K39" s="215" t="n">
        <f aca="false">M29+1</f>
        <v>46375</v>
      </c>
      <c r="L39" s="149" t="s">
        <v>74</v>
      </c>
      <c r="M39" s="150" t="n">
        <f aca="false">K39+6</f>
        <v>46381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39</v>
      </c>
      <c r="F49" s="144"/>
      <c r="G49" s="144"/>
      <c r="H49" s="146" t="s">
        <v>71</v>
      </c>
      <c r="I49" s="146"/>
      <c r="J49" s="146"/>
      <c r="K49" s="215" t="n">
        <f aca="false">M39+1</f>
        <v>46382</v>
      </c>
      <c r="L49" s="149" t="s">
        <v>74</v>
      </c>
      <c r="M49" s="150" t="n">
        <f aca="false">K49+6</f>
        <v>46388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9</v>
      </c>
      <c r="F59" s="144"/>
      <c r="G59" s="144"/>
      <c r="H59" s="146" t="s">
        <v>71</v>
      </c>
      <c r="I59" s="146"/>
      <c r="J59" s="146"/>
      <c r="K59" s="215" t="n">
        <f aca="false">Admin!B241</f>
        <v>46357</v>
      </c>
      <c r="L59" s="149" t="s">
        <v>74</v>
      </c>
      <c r="M59" s="150" t="n">
        <f aca="false">Admin!B271</f>
        <v>46387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str">
        <f aca="false">IF(E61=" "," ",IF(T$59="Y",Nov!M51,IF((H61+K61+L61)&gt;0,H61+K61+L61,"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IF(Employee!H$35=E$59,Employee!D$34+SUM(M61)+Nov!V51,SUM(M61)+Nov!V51)</f>
        <v>0</v>
      </c>
      <c r="W61" s="172" t="n">
        <f aca="false">IF(Employee!H$35=E$59,Employee!D$35+SUM(N61)+Nov!W51,SUM(N61)+Nov!W51)</f>
        <v>0</v>
      </c>
      <c r="X61" s="172" t="n">
        <f aca="false">IF(O61=" ",Nov!X51,O61+Nov!X51)</f>
        <v>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0</v>
      </c>
      <c r="AC61" s="172" t="n">
        <f aca="false">IF(T61=" ",Nov!AC51,T61+Nov!AC51)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str">
        <f aca="false">IF(E62=" "," ",IF(T$59="Y",Nov!M52,IF((H62+K62+L62)&gt;0,H62+K62+L62,"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IF(Employee!H$61=E$59,Employee!D$60+SUM(M62)+Nov!V52,SUM(M62)+Nov!V52)</f>
        <v>0</v>
      </c>
      <c r="W62" s="172" t="n">
        <f aca="false">IF(Employee!H$61=E$59,Employee!D$61+SUM(N62)+Nov!W52,SUM(N62)+Nov!W52)</f>
        <v>0</v>
      </c>
      <c r="X62" s="172" t="n">
        <f aca="false">IF(O62=" ",Nov!X52,O62+Nov!X52)</f>
        <v>0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0</v>
      </c>
      <c r="AC62" s="172" t="n">
        <f aca="false">IF(T62=" ",Nov!AC52,T62+Nov!AC52)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str">
        <f aca="false">IF(E63=" "," ",IF(T$59="Y",Nov!M53,IF((H63+K63+L63)&gt;0,H63+K63+L63,"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IF(Employee!H$87=E$59,Employee!D$86+SUM(M63)+Nov!V53,SUM(M63)+Nov!V53)</f>
        <v>0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0</v>
      </c>
      <c r="AC63" s="172" t="n">
        <f aca="false">IF(T63=" ",Nov!AC53,T63+Nov!AC53)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40</v>
      </c>
      <c r="F9" s="144"/>
      <c r="G9" s="144"/>
      <c r="H9" s="146" t="s">
        <v>71</v>
      </c>
      <c r="I9" s="146"/>
      <c r="J9" s="146"/>
      <c r="K9" s="215" t="n">
        <f aca="false">Dec!M49+1</f>
        <v>46389</v>
      </c>
      <c r="L9" s="149" t="s">
        <v>74</v>
      </c>
      <c r="M9" s="150" t="n">
        <f aca="false">K9+6</f>
        <v>46395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e">
        <f aca="false">IF(T11=" ",Dec!AC51,T11+Dec!AC51)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41</v>
      </c>
      <c r="F19" s="144"/>
      <c r="G19" s="144"/>
      <c r="H19" s="146" t="s">
        <v>71</v>
      </c>
      <c r="I19" s="146"/>
      <c r="J19" s="146"/>
      <c r="K19" s="215" t="n">
        <f aca="false">M9+1</f>
        <v>46396</v>
      </c>
      <c r="L19" s="149" t="s">
        <v>74</v>
      </c>
      <c r="M19" s="150" t="n">
        <f aca="false">K19+6</f>
        <v>46402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42</v>
      </c>
      <c r="F29" s="144"/>
      <c r="G29" s="144"/>
      <c r="H29" s="146" t="s">
        <v>71</v>
      </c>
      <c r="I29" s="146"/>
      <c r="J29" s="146"/>
      <c r="K29" s="215" t="n">
        <f aca="false">M19+1</f>
        <v>46403</v>
      </c>
      <c r="L29" s="149" t="s">
        <v>74</v>
      </c>
      <c r="M29" s="150" t="n">
        <f aca="false">K29+6</f>
        <v>46409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43</v>
      </c>
      <c r="F39" s="144"/>
      <c r="G39" s="144"/>
      <c r="H39" s="146" t="s">
        <v>71</v>
      </c>
      <c r="I39" s="146"/>
      <c r="J39" s="146"/>
      <c r="K39" s="215" t="n">
        <f aca="false">M29+1</f>
        <v>46410</v>
      </c>
      <c r="L39" s="149" t="s">
        <v>74</v>
      </c>
      <c r="M39" s="150" t="n">
        <f aca="false">K39+6</f>
        <v>46416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10</v>
      </c>
      <c r="F49" s="144"/>
      <c r="G49" s="144"/>
      <c r="H49" s="146" t="s">
        <v>71</v>
      </c>
      <c r="I49" s="146"/>
      <c r="J49" s="146"/>
      <c r="K49" s="215" t="n">
        <f aca="false">Admin!B272</f>
        <v>46388</v>
      </c>
      <c r="L49" s="149" t="s">
        <v>74</v>
      </c>
      <c r="M49" s="150" t="n">
        <f aca="false">Admin!B302</f>
        <v>46418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str">
        <f aca="false">IF(E51=" "," ",IF(T$49="Y",Dec!M61,IF((H51+K51+L51)&gt;0,H51+K51+L51,"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IF(Employee!H$35=E$49,Employee!D$34+SUM(M51)+Dec!V61,SUM(M51)+Dec!V61)</f>
        <v>0</v>
      </c>
      <c r="W51" s="172" t="n">
        <f aca="false">IF(Employee!H$35=E$49,Employee!D$35+SUM(N51)+Dec!W61,SUM(N51)+Dec!W61)</f>
        <v>0</v>
      </c>
      <c r="X51" s="172" t="n">
        <f aca="false">IF(O51=" ",Dec!X61,O51+Dec!X61)</f>
        <v>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0</v>
      </c>
      <c r="AC51" s="172" t="n">
        <f aca="false">IF(T51=" ",Dec!AC61,T51+Dec!AC61)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str">
        <f aca="false">IF(E52=" "," ",IF(T$49="Y",Dec!M62,IF((H52+K52+L52)&gt;0,H52+K52+L52,"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IF(Employee!H$61=E$49,Employee!D$60+SUM(M52)+Dec!V62,SUM(M52)+Dec!V62)</f>
        <v>0</v>
      </c>
      <c r="W52" s="172" t="n">
        <f aca="false">IF(Employee!H$61=E$49,Employee!D$61+SUM(N52)+Dec!W62,SUM(N52)+Dec!W62)</f>
        <v>0</v>
      </c>
      <c r="X52" s="172" t="n">
        <f aca="false">IF(O52=" ",Dec!X62,O52+Dec!X62)</f>
        <v>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0</v>
      </c>
      <c r="AC52" s="172" t="n">
        <f aca="false">IF(T52=" ",Dec!AC62,T52+Dec!AC62)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str">
        <f aca="false">IF(E53=" "," ",IF(T$49="Y",Dec!M63,IF((H53+K53+L53)&gt;0,H53+K53+L53,"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IF(Employee!H$87=E$49,Employee!D$86+SUM(M53)+Dec!V63,SUM(M53)+Dec!V63)</f>
        <v>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0</v>
      </c>
      <c r="AC53" s="172" t="n">
        <f aca="false">IF(T53=" ",Dec!AC63,T53+Dec!AC63)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263" t="s">
        <v>2</v>
      </c>
      <c r="C1" s="263"/>
      <c r="D1" s="263"/>
      <c r="E1" s="263"/>
      <c r="F1" s="26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263"/>
      <c r="C2" s="263"/>
      <c r="D2" s="263"/>
      <c r="E2" s="263"/>
      <c r="F2" s="26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44</v>
      </c>
      <c r="F9" s="144"/>
      <c r="G9" s="144"/>
      <c r="H9" s="146" t="s">
        <v>71</v>
      </c>
      <c r="I9" s="146"/>
      <c r="J9" s="146"/>
      <c r="K9" s="215" t="n">
        <f aca="false">Jan!M39+1</f>
        <v>46417</v>
      </c>
      <c r="L9" s="149" t="s">
        <v>74</v>
      </c>
      <c r="M9" s="150" t="n">
        <f aca="false">K9+6</f>
        <v>46423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e">
        <f aca="false">IF(T11=" ",Jan!AC41,T11+Jan!AC41)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45</v>
      </c>
      <c r="F19" s="144"/>
      <c r="G19" s="144"/>
      <c r="H19" s="146" t="s">
        <v>71</v>
      </c>
      <c r="I19" s="146"/>
      <c r="J19" s="146"/>
      <c r="K19" s="215" t="n">
        <f aca="false">M9+1</f>
        <v>46424</v>
      </c>
      <c r="L19" s="149" t="s">
        <v>74</v>
      </c>
      <c r="M19" s="150" t="n">
        <f aca="false">K19+6</f>
        <v>46430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46</v>
      </c>
      <c r="F29" s="144"/>
      <c r="G29" s="144"/>
      <c r="H29" s="146" t="s">
        <v>71</v>
      </c>
      <c r="I29" s="146"/>
      <c r="J29" s="146"/>
      <c r="K29" s="215" t="n">
        <f aca="false">M19+1</f>
        <v>46431</v>
      </c>
      <c r="L29" s="149" t="s">
        <v>74</v>
      </c>
      <c r="M29" s="150" t="n">
        <f aca="false">K29+6</f>
        <v>46437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47</v>
      </c>
      <c r="F39" s="144"/>
      <c r="G39" s="144"/>
      <c r="H39" s="146" t="s">
        <v>71</v>
      </c>
      <c r="I39" s="146"/>
      <c r="J39" s="146"/>
      <c r="K39" s="215" t="n">
        <f aca="false">M29+1</f>
        <v>46438</v>
      </c>
      <c r="L39" s="149" t="s">
        <v>74</v>
      </c>
      <c r="M39" s="150" t="n">
        <f aca="false">K39+6</f>
        <v>46444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11</v>
      </c>
      <c r="F49" s="144"/>
      <c r="G49" s="144"/>
      <c r="H49" s="146" t="s">
        <v>71</v>
      </c>
      <c r="I49" s="146"/>
      <c r="J49" s="146"/>
      <c r="K49" s="215" t="n">
        <f aca="false">Admin!B303</f>
        <v>46419</v>
      </c>
      <c r="L49" s="149" t="s">
        <v>74</v>
      </c>
      <c r="M49" s="150" t="n">
        <f aca="false">Admin!B330</f>
        <v>46446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str">
        <f aca="false">IF(E51=" "," ",IF(T$49="Y",Jan!M51,IF((H51+K51+L51)&gt;0,H51+K51+L51,"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IF(Employee!H$35=E$49,Employee!D$34+SUM(M51)+Jan!V51,SUM(M51)+Jan!V51)</f>
        <v>0</v>
      </c>
      <c r="W51" s="172" t="n">
        <f aca="false">IF(Employee!H$35=E$49,Employee!D$35+SUM(N51)+Jan!W51,SUM(N51)+Jan!W51)</f>
        <v>0</v>
      </c>
      <c r="X51" s="172" t="n">
        <f aca="false">IF(O51=" ",Jan!X51,O51+Jan!X51)</f>
        <v>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0</v>
      </c>
      <c r="AC51" s="172" t="n">
        <f aca="false">IF(T51=" ",Jan!AC51,T51+Jan!AC51)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str">
        <f aca="false">IF(E52=" "," ",IF(T$49="Y",Jan!M52,IF((H52+K52+L52)&gt;0,H52+K52+L52,"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IF(Employee!H$61=E$49,Employee!D$60+SUM(M52)+Jan!V52,SUM(M52)+Jan!V52)</f>
        <v>0</v>
      </c>
      <c r="W52" s="172" t="n">
        <f aca="false">IF(Employee!H$61=E$49,Employee!D$61+SUM(N52)+Jan!W52,SUM(N52)+Jan!W52)</f>
        <v>0</v>
      </c>
      <c r="X52" s="172" t="n">
        <f aca="false">IF(O52=" ",Jan!X52,O52+Jan!X52)</f>
        <v>0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0</v>
      </c>
      <c r="AC52" s="172" t="n">
        <f aca="false">IF(T52=" ",Jan!AC52,T52+Jan!AC52)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str">
        <f aca="false">IF(E53=" "," ",IF(T$49="Y",Jan!M53,IF((H53+K53+L53)&gt;0,H53+K53+L53,"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IF(Employee!H$87=E$49,Employee!D$86+SUM(M53)+Jan!V53,SUM(M53)+Jan!V53)</f>
        <v>0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0</v>
      </c>
      <c r="AC53" s="172" t="n">
        <f aca="false">IF(T53=" ",Jan!AC53,T53+Jan!AC53)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1" t="s">
        <v>38</v>
      </c>
      <c r="J1" s="261"/>
      <c r="K1" s="261"/>
      <c r="L1" s="261"/>
      <c r="M1" s="248" t="n">
        <f aca="false">M16+M26+M36+M46+M56+M66+M76</f>
        <v>0</v>
      </c>
      <c r="N1" s="248" t="n">
        <f aca="false">N16+N26+N36+N46+N56+N66+N76</f>
        <v>0</v>
      </c>
      <c r="O1" s="248" t="n">
        <f aca="false">O16+O26+O36+O46+O56+O66+O76</f>
        <v>0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0</v>
      </c>
      <c r="S1" s="249"/>
      <c r="T1" s="248" t="n">
        <f aca="false">T16+T26+T36+T46+T56+T66+T76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M85</f>
        <v>0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0</v>
      </c>
      <c r="S2" s="106" t="n">
        <f aca="false">S65</f>
        <v>0</v>
      </c>
      <c r="T2" s="106" t="n">
        <f aca="false">T85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48</v>
      </c>
      <c r="F9" s="144"/>
      <c r="G9" s="144"/>
      <c r="H9" s="146" t="s">
        <v>71</v>
      </c>
      <c r="I9" s="146"/>
      <c r="J9" s="146"/>
      <c r="K9" s="215" t="n">
        <f aca="false">Feb!M39+1</f>
        <v>46445</v>
      </c>
      <c r="L9" s="149" t="s">
        <v>74</v>
      </c>
      <c r="M9" s="150" t="n">
        <f aca="false">K9+6</f>
        <v>46451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e">
        <f aca="false">IF(T11=" ",Feb!AC41,T11+Feb!AC41)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49</v>
      </c>
      <c r="F19" s="144"/>
      <c r="G19" s="144"/>
      <c r="H19" s="146" t="s">
        <v>71</v>
      </c>
      <c r="I19" s="146"/>
      <c r="J19" s="146"/>
      <c r="K19" s="215" t="n">
        <f aca="false">M9+1</f>
        <v>46452</v>
      </c>
      <c r="L19" s="149" t="s">
        <v>74</v>
      </c>
      <c r="M19" s="150" t="n">
        <f aca="false">K19+6</f>
        <v>46458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50</v>
      </c>
      <c r="F29" s="144"/>
      <c r="G29" s="144"/>
      <c r="H29" s="146" t="s">
        <v>71</v>
      </c>
      <c r="I29" s="146"/>
      <c r="J29" s="146"/>
      <c r="K29" s="215" t="n">
        <f aca="false">M19+1</f>
        <v>46459</v>
      </c>
      <c r="L29" s="149" t="s">
        <v>74</v>
      </c>
      <c r="M29" s="150" t="n">
        <f aca="false">K29+6</f>
        <v>46465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51</v>
      </c>
      <c r="F39" s="144"/>
      <c r="G39" s="144"/>
      <c r="H39" s="146" t="s">
        <v>71</v>
      </c>
      <c r="I39" s="146"/>
      <c r="J39" s="146"/>
      <c r="K39" s="215" t="n">
        <f aca="false">M29+1</f>
        <v>46466</v>
      </c>
      <c r="L39" s="149" t="s">
        <v>74</v>
      </c>
      <c r="M39" s="150" t="n">
        <f aca="false">K39+6</f>
        <v>46472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52</v>
      </c>
      <c r="F49" s="144"/>
      <c r="G49" s="144"/>
      <c r="H49" s="146" t="s">
        <v>71</v>
      </c>
      <c r="I49" s="146"/>
      <c r="J49" s="146"/>
      <c r="K49" s="215" t="n">
        <f aca="false">M39+1</f>
        <v>46473</v>
      </c>
      <c r="L49" s="149" t="s">
        <v>74</v>
      </c>
      <c r="M49" s="150" t="n">
        <f aca="false">K49+6</f>
        <v>46479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70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72</v>
      </c>
      <c r="C59" s="146"/>
      <c r="D59" s="146"/>
      <c r="E59" s="147" t="n">
        <v>53</v>
      </c>
      <c r="F59" s="144"/>
      <c r="G59" s="144"/>
      <c r="H59" s="146" t="s">
        <v>71</v>
      </c>
      <c r="I59" s="146"/>
      <c r="J59" s="146"/>
      <c r="K59" s="215" t="n">
        <f aca="false">M49+1</f>
        <v>46480</v>
      </c>
      <c r="L59" s="149" t="s">
        <v>74</v>
      </c>
      <c r="M59" s="150" t="n">
        <f aca="false">K59+4</f>
        <v>46484</v>
      </c>
      <c r="N59" s="151"/>
      <c r="O59" s="198" t="s">
        <v>77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4" t="s">
        <v>86</v>
      </c>
      <c r="C60" s="264"/>
      <c r="D60" s="264"/>
      <c r="E60" s="264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e">
        <f aca="false">IF(T61=" ",AC51,T61+AC51)</f>
        <v>#N/A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s="127" customFormat="tru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D67" s="101"/>
      <c r="AE67" s="101"/>
      <c r="AF67" s="101"/>
      <c r="AG67" s="101"/>
      <c r="AH67" s="144"/>
    </row>
    <row r="68" customFormat="false" ht="18" hidden="false" customHeight="true" outlineLevel="0" collapsed="false">
      <c r="A68" s="134"/>
      <c r="B68" s="135" t="s">
        <v>78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71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79</v>
      </c>
      <c r="C69" s="146"/>
      <c r="D69" s="146"/>
      <c r="E69" s="147" t="n">
        <v>12</v>
      </c>
      <c r="F69" s="144"/>
      <c r="G69" s="144"/>
      <c r="H69" s="146" t="s">
        <v>71</v>
      </c>
      <c r="I69" s="146"/>
      <c r="J69" s="146"/>
      <c r="K69" s="215" t="n">
        <f aca="false">Admin!B331</f>
        <v>46447</v>
      </c>
      <c r="L69" s="149" t="s">
        <v>74</v>
      </c>
      <c r="M69" s="150" t="n">
        <f aca="false">Admin!B361</f>
        <v>46477</v>
      </c>
      <c r="N69" s="151"/>
      <c r="O69" s="198" t="s">
        <v>85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 </v>
      </c>
      <c r="C71" s="160"/>
      <c r="D71" s="160" t="s">
        <v>75</v>
      </c>
      <c r="E71" s="213" t="str">
        <f aca="false">IF(Employee!D$28="w"," ",IF(Employee!F$24&gt;E$69," ",IF(Employee!F$26&lt;E$69," ",Employee!D$29)))</f>
        <v> </v>
      </c>
      <c r="F71" s="162" t="str">
        <f aca="false">IF(E71=" "," ",IF(Employee!F$24&gt;E$69," ",IF(Employee!F$26&lt;E$69," ",Employee!D$15)))</f>
        <v> 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str">
        <f aca="false">IF(E71=" "," ",IF(T$69="Y",Feb!M51,IF((H71+K71+L71)&gt;0,H71+K71+L71," ")))</f>
        <v> </v>
      </c>
      <c r="N71" s="164" t="n">
        <v>0</v>
      </c>
      <c r="O71" s="168" t="n">
        <v>0</v>
      </c>
      <c r="P71" s="168" t="n">
        <v>0</v>
      </c>
      <c r="Q71" s="166" t="n">
        <v>0</v>
      </c>
      <c r="R71" s="252" t="str">
        <f aca="false">IF(M71=" "," ",IF(M71=0," ",M71-SUM(N71:Q71)))</f>
        <v> </v>
      </c>
      <c r="S71" s="107"/>
      <c r="T71" s="170" t="n">
        <v>0</v>
      </c>
      <c r="U71" s="171"/>
      <c r="V71" s="172" t="n">
        <f aca="false">IF(Employee!H$35=E$69,Employee!D$34+SUM(M71)+Feb!V51,SUM(M71)+Feb!V51)</f>
        <v>0</v>
      </c>
      <c r="W71" s="172" t="n">
        <f aca="false">IF(Employee!H$35=E$69,Employee!D$35+SUM(N71)+Feb!W51,SUM(N71)+Feb!W51)</f>
        <v>0</v>
      </c>
      <c r="X71" s="172" t="n">
        <f aca="false">IF(O71=" ",Feb!X51,O71+Feb!X51)</f>
        <v>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0</v>
      </c>
      <c r="AC71" s="172" t="n">
        <f aca="false">IF(T71=" ",Feb!AC51,T71+Feb!AC51)</f>
        <v>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 </v>
      </c>
      <c r="C72" s="160"/>
      <c r="D72" s="160" t="s">
        <v>75</v>
      </c>
      <c r="E72" s="214" t="str">
        <f aca="false">IF(Employee!D$54="w"," ",IF(Employee!F$50&gt;E$69," ",IF(Employee!F$52&lt;E$69," ",Employee!D$55)))</f>
        <v> </v>
      </c>
      <c r="F72" s="175" t="str">
        <f aca="false">IF(E72=" "," ",IF(Employee!F$50&gt;E$69," ",IF(Employee!F$52&lt;E$69," ",Employee!D$41)))</f>
        <v> 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str">
        <f aca="false">IF(E72=" "," ",IF(T$69="Y",Feb!M52,IF((H72+K72+L72)&gt;0,H72+K72+L72," ")))</f>
        <v> </v>
      </c>
      <c r="N72" s="176" t="n">
        <v>0</v>
      </c>
      <c r="O72" s="177" t="n">
        <v>0</v>
      </c>
      <c r="P72" s="177" t="n">
        <v>0</v>
      </c>
      <c r="Q72" s="179" t="n">
        <v>0</v>
      </c>
      <c r="R72" s="253" t="str">
        <f aca="false">IF(M72=" "," ",IF(M72=0," ",M72-SUM(N72:Q72)))</f>
        <v> </v>
      </c>
      <c r="S72" s="107"/>
      <c r="T72" s="180" t="n">
        <v>0</v>
      </c>
      <c r="U72" s="171"/>
      <c r="V72" s="172" t="n">
        <f aca="false">IF(Employee!H$61=E$69,Employee!D$60+SUM(M72)+Feb!V52,SUM(M72)+Feb!V52)</f>
        <v>0</v>
      </c>
      <c r="W72" s="172" t="n">
        <f aca="false">IF(Employee!H$61=E$69,Employee!D$61+SUM(N72)+Feb!W52,SUM(N72)+Feb!W52)</f>
        <v>0</v>
      </c>
      <c r="X72" s="172" t="n">
        <f aca="false">IF(O72=" ",Feb!X52,O72+Feb!X52)</f>
        <v>0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0</v>
      </c>
      <c r="AC72" s="172" t="n">
        <f aca="false">IF(T72=" ",Feb!AC52,T72+Feb!AC52)</f>
        <v>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 </v>
      </c>
      <c r="C73" s="160"/>
      <c r="D73" s="160" t="s">
        <v>75</v>
      </c>
      <c r="E73" s="214" t="str">
        <f aca="false">IF(Employee!D$80="w"," ",IF(Employee!F$76&gt;E$69," ",IF(Employee!F$78&lt;E$69," ",Employee!D$81)))</f>
        <v> </v>
      </c>
      <c r="F73" s="175" t="str">
        <f aca="false">IF(E73=" "," ",IF(Employee!F$76&gt;E$69," ",IF(Employee!F$78&lt;E$69," ",Employee!D$67)))</f>
        <v> 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str">
        <f aca="false">IF(E73=" "," ",IF(T$69="Y",Feb!M53,IF((H73+K73+L73)&gt;0,H73+K73+L73," ")))</f>
        <v> 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str">
        <f aca="false">IF(M73=" "," ",IF(M73=0," ",M73-SUM(N73:Q73)))</f>
        <v> </v>
      </c>
      <c r="S73" s="107"/>
      <c r="T73" s="180" t="n">
        <v>0</v>
      </c>
      <c r="U73" s="171"/>
      <c r="V73" s="172" t="n">
        <f aca="false">IF(Employee!H$87=E$69,Employee!D$86+SUM(M73)+Feb!V53,SUM(M73)+Feb!V53)</f>
        <v>0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0</v>
      </c>
      <c r="AC73" s="172" t="n">
        <f aca="false">IF(T73=" ",Feb!AC53,T73+Feb!AC53)</f>
        <v>0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75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75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76</v>
      </c>
      <c r="G76" s="207"/>
      <c r="H76" s="242"/>
      <c r="I76" s="243"/>
      <c r="J76" s="243"/>
      <c r="K76" s="244"/>
      <c r="L76" s="244"/>
      <c r="M76" s="193" t="n">
        <f aca="false">SUM(M71:M75)</f>
        <v>0</v>
      </c>
      <c r="N76" s="193" t="n">
        <f aca="false">SUM(N71:N75)</f>
        <v>0</v>
      </c>
      <c r="O76" s="193" t="n">
        <f aca="false">SUM(O71:O75)</f>
        <v>0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0</v>
      </c>
      <c r="S76" s="107"/>
      <c r="T76" s="193" t="n">
        <f aca="false">SUM(T71:T75)</f>
        <v>0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82</v>
      </c>
      <c r="G79" s="219"/>
      <c r="H79" s="219"/>
      <c r="M79" s="220" t="s">
        <v>83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 </v>
      </c>
      <c r="M82" s="229" t="str">
        <f aca="false">IF(B73="D",M73," ")</f>
        <v> </v>
      </c>
      <c r="N82" s="230" t="str">
        <f aca="false">IF(B73="D",N73," ")</f>
        <v> </v>
      </c>
      <c r="O82" s="230" t="str">
        <f aca="false">IF(B73="D",O73," ")</f>
        <v> </v>
      </c>
      <c r="P82" s="230" t="str">
        <f aca="false">IF(B73="D",P73," ")</f>
        <v> </v>
      </c>
      <c r="Q82" s="230" t="str">
        <f aca="false">IF(B73="D",Q73," ")</f>
        <v> </v>
      </c>
      <c r="R82" s="231" t="str">
        <f aca="false">IF(B73="D",R73," ")</f>
        <v> </v>
      </c>
      <c r="S82" s="226"/>
      <c r="T82" s="232" t="str">
        <f aca="false">IF(B73="D",T73," ")</f>
        <v> 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84</v>
      </c>
      <c r="M85" s="239" t="n">
        <f aca="false">SUM(M80:M84)</f>
        <v>0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0</v>
      </c>
      <c r="S85" s="226"/>
      <c r="T85" s="239" t="n">
        <f aca="false">SUM(T80:T84)</f>
        <v>0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5" width="2.66"/>
    <col collapsed="false" customWidth="true" hidden="false" outlineLevel="0" max="2" min="2" style="265" width="12.66"/>
    <col collapsed="false" customWidth="true" hidden="false" outlineLevel="0" max="4" min="3" style="265" width="10.66"/>
    <col collapsed="false" customWidth="true" hidden="false" outlineLevel="0" max="7" min="5" style="265" width="12.66"/>
    <col collapsed="false" customWidth="true" hidden="false" outlineLevel="0" max="9" min="8" style="265" width="10.66"/>
    <col collapsed="false" customWidth="true" hidden="false" outlineLevel="0" max="11" min="10" style="265" width="5.66"/>
    <col collapsed="false" customWidth="true" hidden="false" outlineLevel="0" max="12" min="12" style="265" width="10.66"/>
    <col collapsed="false" customWidth="true" hidden="false" outlineLevel="0" max="13" min="13" style="265" width="12.66"/>
    <col collapsed="false" customWidth="true" hidden="false" outlineLevel="0" max="14" min="14" style="265" width="2.66"/>
    <col collapsed="false" customWidth="false" hidden="false" outlineLevel="0" max="257" min="15" style="265" width="9.15"/>
  </cols>
  <sheetData>
    <row r="2" customFormat="false" ht="11.45" hidden="false" customHeight="false" outlineLevel="0" collapsed="false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="269" customFormat="true" ht="12.65" hidden="false" customHeight="false" outlineLevel="0" collapsed="false">
      <c r="B3" s="270" t="s">
        <v>87</v>
      </c>
      <c r="C3" s="271"/>
      <c r="D3" s="271"/>
      <c r="E3" s="271"/>
      <c r="F3" s="272" t="s">
        <v>88</v>
      </c>
      <c r="G3" s="273" t="s">
        <v>89</v>
      </c>
      <c r="H3" s="273" t="str">
        <f aca="false">LOOKUP(F4,IF(F3="W",Admin!C2:C381,IF(F3="M",Admin!D2:D381," ")),Admin!A2:A381)</f>
        <v>Apr</v>
      </c>
      <c r="I3" s="274" t="str">
        <f aca="false">IF(M3="ERROR","Enter W or M in cell F3"," ")</f>
        <v> </v>
      </c>
      <c r="J3" s="274"/>
      <c r="K3" s="274"/>
      <c r="L3" s="274"/>
      <c r="M3" s="275" t="n">
        <f aca="false">IF(ISERROR(H3),"ERROR")</f>
        <v>0</v>
      </c>
    </row>
    <row r="4" s="269" customFormat="true" ht="12.65" hidden="false" customHeight="false" outlineLevel="0" collapsed="false">
      <c r="B4" s="270" t="s">
        <v>90</v>
      </c>
      <c r="C4" s="271"/>
      <c r="D4" s="271"/>
      <c r="E4" s="271"/>
      <c r="F4" s="272" t="n">
        <v>1</v>
      </c>
      <c r="G4" s="273" t="s">
        <v>91</v>
      </c>
      <c r="H4" s="273" t="n">
        <f aca="false">IF(F$3="W",8+10*(LOOKUP(F4,Admin!C2:C381,Admin!F2:F381)-1),8+10*LOOKUP(F4,Admin!H8:H19,Admin!I8:I19))</f>
        <v>8</v>
      </c>
      <c r="I4" s="274" t="str">
        <f aca="false">IF(M3="ERROR","Enter 1 to 53 in cell F4"," ")</f>
        <v> </v>
      </c>
      <c r="J4" s="274"/>
      <c r="K4" s="274"/>
      <c r="L4" s="274"/>
      <c r="M4" s="276"/>
    </row>
    <row r="5" s="269" customFormat="true" ht="12.65" hidden="false" customHeight="false" outlineLevel="0" collapsed="false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customFormat="false" ht="21" hidden="false" customHeight="true" outlineLevel="0" collapsed="false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customFormat="false" ht="24.75" hidden="false" customHeight="true" outlineLevel="0" collapsed="false">
      <c r="A7" s="281"/>
      <c r="B7" s="282" t="e">
        <f aca="false">IF(M14=" "," ",Employee!$D$5)</f>
        <v>#REF!</v>
      </c>
      <c r="C7" s="282"/>
      <c r="D7" s="282"/>
      <c r="E7" s="282"/>
      <c r="F7" s="282"/>
      <c r="G7" s="283" t="e">
        <f aca="false">IF(G14=" "," ",Employee!$D$15)</f>
        <v>#REF!</v>
      </c>
      <c r="H7" s="283"/>
      <c r="I7" s="284" t="e">
        <f aca="false">IF(G14=" "," ",Employee!$D$16)</f>
        <v>#REF!</v>
      </c>
      <c r="J7" s="284"/>
      <c r="K7" s="284"/>
      <c r="L7" s="285" t="e">
        <f aca="true">INDIRECT($H$3&amp;"!B"&amp;$H$4)</f>
        <v>#REF!</v>
      </c>
      <c r="M7" s="285"/>
      <c r="N7" s="286"/>
    </row>
    <row r="8" customFormat="false" ht="18" hidden="false" customHeight="true" outlineLevel="0" collapsed="false">
      <c r="A8" s="287"/>
      <c r="B8" s="288" t="e">
        <f aca="false">IF(M14=" "," ",Employee!$D$6)</f>
        <v>#REF!</v>
      </c>
      <c r="C8" s="288"/>
      <c r="D8" s="288"/>
      <c r="E8" s="289"/>
      <c r="F8" s="289"/>
      <c r="G8" s="290"/>
      <c r="H8" s="291"/>
      <c r="I8" s="292"/>
      <c r="J8" s="292"/>
      <c r="K8" s="292"/>
      <c r="L8" s="292"/>
      <c r="M8" s="292" t="e">
        <f aca="true">INDIRECT($H$3&amp;"!E"&amp;$H$4+2+C10)</f>
        <v>#REF!</v>
      </c>
      <c r="N8" s="293"/>
    </row>
    <row r="9" customFormat="false" ht="21" hidden="false" customHeight="true" outlineLevel="0" collapsed="false">
      <c r="A9" s="287"/>
      <c r="B9" s="288" t="e">
        <f aca="false">IF(M14=" "," ",Employee!$D$7)</f>
        <v>#REF!</v>
      </c>
      <c r="C9" s="288"/>
      <c r="D9" s="288"/>
      <c r="E9" s="294" t="e">
        <f aca="false">IF(M14=" "," ",Employee!$D$9)</f>
        <v>#REF!</v>
      </c>
      <c r="F9" s="271"/>
      <c r="G9" s="295"/>
      <c r="H9" s="296" t="s">
        <v>92</v>
      </c>
      <c r="I9" s="297" t="e">
        <f aca="true">INDIRECT($H$3&amp;"!M"&amp;$H$4+1)</f>
        <v>#REF!</v>
      </c>
      <c r="J9" s="298" t="s">
        <v>44</v>
      </c>
      <c r="K9" s="298"/>
      <c r="L9" s="296" t="s">
        <v>93</v>
      </c>
      <c r="M9" s="292" t="e">
        <f aca="false">IF(M8=" "," ",Employee!$M$15)</f>
        <v>#REF!</v>
      </c>
      <c r="N9" s="293"/>
    </row>
    <row r="10" customFormat="false" ht="21" hidden="false" customHeight="true" outlineLevel="0" collapsed="false">
      <c r="A10" s="287"/>
      <c r="B10" s="296" t="s">
        <v>94</v>
      </c>
      <c r="C10" s="299" t="n">
        <f aca="false">Employee!$D$29</f>
        <v>1</v>
      </c>
      <c r="D10" s="300"/>
      <c r="E10" s="300"/>
      <c r="F10" s="301"/>
      <c r="G10" s="301"/>
      <c r="H10" s="302" t="str">
        <f aca="false">"Tax "&amp;IF($F$3="W","Week","Month")</f>
        <v>Tax Week</v>
      </c>
      <c r="I10" s="303" t="e">
        <f aca="true">INDIRECT($H$3&amp;"!E"&amp;$H$4+1)</f>
        <v>#REF!</v>
      </c>
      <c r="J10" s="304" t="e">
        <f aca="true">IF(M8=" "," ",INDIRECT($H$3&amp;"!D"&amp;$H$4+2+C10))</f>
        <v>#REF!</v>
      </c>
      <c r="K10" s="304"/>
      <c r="L10" s="296" t="s">
        <v>95</v>
      </c>
      <c r="M10" s="292" t="e">
        <f aca="true">IF(M8=" "," ",INDIRECT($H$3&amp;"!C"&amp;$H$4+2+C10))</f>
        <v>#REF!</v>
      </c>
      <c r="N10" s="293"/>
    </row>
    <row r="11" customFormat="false" ht="6" hidden="false" customHeight="true" outlineLevel="0" collapsed="false">
      <c r="A11" s="287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93"/>
    </row>
    <row r="12" customFormat="false" ht="21" hidden="false" customHeight="true" outlineLevel="0" collapsed="false">
      <c r="A12" s="287"/>
      <c r="B12" s="306" t="s">
        <v>96</v>
      </c>
      <c r="C12" s="306"/>
      <c r="D12" s="306"/>
      <c r="E12" s="306"/>
      <c r="F12" s="306"/>
      <c r="G12" s="307" t="s">
        <v>97</v>
      </c>
      <c r="H12" s="308" t="s">
        <v>98</v>
      </c>
      <c r="I12" s="308"/>
      <c r="J12" s="308"/>
      <c r="K12" s="308"/>
      <c r="L12" s="308"/>
      <c r="M12" s="309" t="s">
        <v>99</v>
      </c>
      <c r="N12" s="293"/>
    </row>
    <row r="13" s="313" customFormat="true" ht="21" hidden="false" customHeight="true" outlineLevel="0" collapsed="false">
      <c r="A13" s="287"/>
      <c r="B13" s="310" t="s">
        <v>100</v>
      </c>
      <c r="C13" s="310" t="s">
        <v>101</v>
      </c>
      <c r="D13" s="310" t="s">
        <v>102</v>
      </c>
      <c r="E13" s="310" t="s">
        <v>103</v>
      </c>
      <c r="F13" s="311" t="s">
        <v>104</v>
      </c>
      <c r="G13" s="307"/>
      <c r="H13" s="312" t="s">
        <v>105</v>
      </c>
      <c r="I13" s="310" t="s">
        <v>106</v>
      </c>
      <c r="J13" s="310" t="s">
        <v>107</v>
      </c>
      <c r="K13" s="310"/>
      <c r="L13" s="311" t="s">
        <v>57</v>
      </c>
      <c r="M13" s="309"/>
      <c r="N13" s="293"/>
    </row>
    <row r="14" s="321" customFormat="true" ht="21" hidden="false" customHeight="true" outlineLevel="0" collapsed="false">
      <c r="A14" s="314"/>
      <c r="B14" s="315" t="e">
        <f aca="true">IF(M8=" "," ",INDIRECT($H$3&amp;"!H"&amp;$H$4+2+C10))</f>
        <v>#REF!</v>
      </c>
      <c r="C14" s="315" t="e">
        <f aca="true">IF(M8=" "," ",INDIRECT($H$3&amp;"!I"&amp;$H$4+2+C10))</f>
        <v>#REF!</v>
      </c>
      <c r="D14" s="315" t="e">
        <f aca="true">IF(M8=" "," ",INDIRECT($H$3&amp;"!J"&amp;$H$4+2+C10))</f>
        <v>#REF!</v>
      </c>
      <c r="E14" s="315" t="e">
        <f aca="true">IF(M8=" "," ",INDIRECT($H$3&amp;"!K"&amp;$H$4+2+C10))</f>
        <v>#REF!</v>
      </c>
      <c r="F14" s="316" t="e">
        <f aca="true">IF(M8=" "," ",INDIRECT($H$3&amp;"!L"&amp;$H$4+2+C10))</f>
        <v>#REF!</v>
      </c>
      <c r="G14" s="317" t="e">
        <f aca="true">IF(M8=" "," ",INDIRECT($H$3&amp;"!M"&amp;$H$4+2+C10))</f>
        <v>#REF!</v>
      </c>
      <c r="H14" s="318" t="e">
        <f aca="true">IF(M8=" "," ",INDIRECT($H$3&amp;"!N"&amp;$H$4+2+C10))</f>
        <v>#REF!</v>
      </c>
      <c r="I14" s="315" t="e">
        <f aca="true">IF(M8=" "," ",INDIRECT($H$3&amp;"!O"&amp;$H$4+2+C10))</f>
        <v>#REF!</v>
      </c>
      <c r="J14" s="315" t="e">
        <f aca="true">IF(M8=" "," ",INDIRECT($H$3&amp;"!P"&amp;$H$4+2+C10))</f>
        <v>#REF!</v>
      </c>
      <c r="K14" s="315"/>
      <c r="L14" s="316" t="e">
        <f aca="true">IF(M8=" "," ",INDIRECT($H$3&amp;"!Q"&amp;$H$4+2+C10))</f>
        <v>#REF!</v>
      </c>
      <c r="M14" s="319" t="e">
        <f aca="true">IF(M8=" "," ",INDIRECT($H$3&amp;"!R"&amp;$H$4+2+C10))</f>
        <v>#REF!</v>
      </c>
      <c r="N14" s="320"/>
    </row>
    <row r="15" s="324" customFormat="true" ht="21" hidden="false" customHeight="true" outlineLevel="0" collapsed="false">
      <c r="A15" s="287"/>
      <c r="B15" s="322" t="s">
        <v>108</v>
      </c>
      <c r="C15" s="32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293"/>
    </row>
    <row r="16" s="324" customFormat="true" ht="21" hidden="false" customHeight="true" outlineLevel="0" collapsed="false">
      <c r="A16" s="287"/>
      <c r="B16" s="325"/>
      <c r="C16" s="325"/>
      <c r="D16" s="323"/>
      <c r="E16" s="326" t="s">
        <v>109</v>
      </c>
      <c r="F16" s="326"/>
      <c r="G16" s="315" t="e">
        <f aca="true">IF(M8=" "," ",INDIRECT($H$3&amp;"!V"&amp;$H$4+2+C10))</f>
        <v>#REF!</v>
      </c>
      <c r="H16" s="315" t="e">
        <f aca="true">IF(M8=" "," ",INDIRECT($H$3&amp;"!W"&amp;$H$4+2+C10))</f>
        <v>#REF!</v>
      </c>
      <c r="I16" s="315" t="e">
        <f aca="true">IF(M8=" "," ",INDIRECT($H$3&amp;"!X"&amp;$H$4+2+C10))</f>
        <v>#REF!</v>
      </c>
      <c r="J16" s="315" t="e">
        <f aca="true">IF(M8=" "," ",INDIRECT($H$3&amp;"!Y"&amp;$H$4+2+C10))</f>
        <v>#REF!</v>
      </c>
      <c r="K16" s="315"/>
      <c r="L16" s="315" t="e">
        <f aca="true">IF(M8=" "," ",INDIRECT($H$3&amp;"!Z"&amp;$H$4+2+C10))</f>
        <v>#REF!</v>
      </c>
      <c r="M16" s="315" t="e">
        <f aca="true">IF(M8=" "," ",INDIRECT($H$3&amp;"!AA"&amp;$H$4+2+C10))</f>
        <v>#REF!</v>
      </c>
      <c r="N16" s="293"/>
    </row>
    <row r="17" customFormat="false" ht="6" hidden="false" customHeight="true" outlineLevel="0" collapsed="false">
      <c r="A17" s="287"/>
      <c r="B17" s="292"/>
      <c r="C17" s="292"/>
      <c r="D17" s="292"/>
      <c r="E17" s="292"/>
      <c r="F17" s="292"/>
      <c r="G17" s="292"/>
      <c r="H17" s="292"/>
      <c r="I17" s="292"/>
      <c r="J17" s="305"/>
      <c r="K17" s="305"/>
      <c r="L17" s="292"/>
      <c r="M17" s="292"/>
      <c r="N17" s="293"/>
    </row>
    <row r="18" customFormat="false" ht="21" hidden="false" customHeight="true" outlineLevel="0" collapsed="false">
      <c r="A18" s="287"/>
      <c r="B18" s="292"/>
      <c r="C18" s="292"/>
      <c r="D18" s="292"/>
      <c r="E18" s="292"/>
      <c r="F18" s="292"/>
      <c r="G18" s="292"/>
      <c r="H18" s="292"/>
      <c r="I18" s="292"/>
      <c r="J18" s="327" t="s">
        <v>110</v>
      </c>
      <c r="K18" s="327"/>
      <c r="L18" s="327"/>
      <c r="M18" s="328" t="e">
        <f aca="true">IF(M8=" "," ",INDIRECT($H$3&amp;"!R"&amp;$H$4))</f>
        <v>#REF!</v>
      </c>
      <c r="N18" s="293"/>
    </row>
    <row r="19" customFormat="false" ht="12" hidden="false" customHeight="true" outlineLevel="0" collapsed="false">
      <c r="A19" s="329"/>
      <c r="B19" s="330" t="s">
        <v>2</v>
      </c>
      <c r="C19" s="330"/>
      <c r="D19" s="331"/>
      <c r="E19" s="332"/>
      <c r="F19" s="332"/>
      <c r="G19" s="332"/>
      <c r="H19" s="332"/>
      <c r="I19" s="332"/>
      <c r="J19" s="332"/>
      <c r="K19" s="332"/>
      <c r="L19" s="332"/>
      <c r="M19" s="332"/>
      <c r="N19" s="333"/>
    </row>
    <row r="20" customFormat="false" ht="21" hidden="false" customHeight="true" outlineLevel="0" collapsed="false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</row>
    <row r="21" customFormat="false" ht="24.75" hidden="false" customHeight="true" outlineLevel="0" collapsed="false">
      <c r="A21" s="281"/>
      <c r="B21" s="282" t="e">
        <f aca="false">IF(M28=" "," ",Employee!$D$5)</f>
        <v>#REF!</v>
      </c>
      <c r="C21" s="282"/>
      <c r="D21" s="282"/>
      <c r="E21" s="282"/>
      <c r="F21" s="282"/>
      <c r="G21" s="283" t="e">
        <f aca="false">IF(G28=" "," ",Employee!$D$41)</f>
        <v>#REF!</v>
      </c>
      <c r="H21" s="283"/>
      <c r="I21" s="284" t="e">
        <f aca="false">IF(G28=" "," ",Employee!$D$42)</f>
        <v>#REF!</v>
      </c>
      <c r="J21" s="284"/>
      <c r="K21" s="284"/>
      <c r="L21" s="285" t="s">
        <v>70</v>
      </c>
      <c r="M21" s="285"/>
      <c r="N21" s="286"/>
    </row>
    <row r="22" customFormat="false" ht="18" hidden="false" customHeight="true" outlineLevel="0" collapsed="false">
      <c r="A22" s="287"/>
      <c r="B22" s="288" t="e">
        <f aca="false">IF(M28=" "," ",Employee!$D$6)</f>
        <v>#REF!</v>
      </c>
      <c r="C22" s="288"/>
      <c r="D22" s="288"/>
      <c r="E22" s="289"/>
      <c r="F22" s="289"/>
      <c r="G22" s="290"/>
      <c r="H22" s="291"/>
      <c r="I22" s="292"/>
      <c r="J22" s="292"/>
      <c r="K22" s="292"/>
      <c r="L22" s="292"/>
      <c r="M22" s="292" t="e">
        <f aca="true">INDIRECT($H$3&amp;"!E"&amp;$H$4+2+C24)</f>
        <v>#REF!</v>
      </c>
      <c r="N22" s="293"/>
    </row>
    <row r="23" customFormat="false" ht="21" hidden="false" customHeight="true" outlineLevel="0" collapsed="false">
      <c r="A23" s="287"/>
      <c r="B23" s="288" t="e">
        <f aca="false">IF(M28=" "," ",Employee!$D$7)</f>
        <v>#REF!</v>
      </c>
      <c r="C23" s="288"/>
      <c r="D23" s="288"/>
      <c r="E23" s="294" t="e">
        <f aca="false">IF(M28=" "," ",Employee!$D$9)</f>
        <v>#REF!</v>
      </c>
      <c r="F23" s="271"/>
      <c r="G23" s="295"/>
      <c r="H23" s="296" t="s">
        <v>92</v>
      </c>
      <c r="I23" s="297" t="e">
        <f aca="false">I9</f>
        <v>#REF!</v>
      </c>
      <c r="J23" s="298" t="s">
        <v>44</v>
      </c>
      <c r="K23" s="298"/>
      <c r="L23" s="296" t="s">
        <v>93</v>
      </c>
      <c r="M23" s="292" t="e">
        <f aca="false">IF(M22=" "," ",Employee!$M$41)</f>
        <v>#REF!</v>
      </c>
      <c r="N23" s="293"/>
    </row>
    <row r="24" customFormat="false" ht="21" hidden="false" customHeight="true" outlineLevel="0" collapsed="false">
      <c r="A24" s="287"/>
      <c r="B24" s="296" t="s">
        <v>94</v>
      </c>
      <c r="C24" s="299" t="n">
        <f aca="false">Employee!$D$55</f>
        <v>2</v>
      </c>
      <c r="D24" s="334"/>
      <c r="E24" s="335"/>
      <c r="F24" s="305"/>
      <c r="G24" s="305"/>
      <c r="H24" s="302" t="s">
        <v>111</v>
      </c>
      <c r="I24" s="303" t="e">
        <f aca="false">I10</f>
        <v>#REF!</v>
      </c>
      <c r="J24" s="304" t="e">
        <f aca="true">IF(M22=" "," ",INDIRECT($H$3&amp;"!D"&amp;$H$4+2+C24))</f>
        <v>#REF!</v>
      </c>
      <c r="K24" s="304"/>
      <c r="L24" s="296" t="s">
        <v>95</v>
      </c>
      <c r="M24" s="292" t="e">
        <f aca="true">IF(M22=" "," ",INDIRECT($H$3&amp;"!C"&amp;$H$4+2+C24))</f>
        <v>#REF!</v>
      </c>
      <c r="N24" s="293"/>
    </row>
    <row r="25" customFormat="false" ht="6" hidden="false" customHeight="true" outlineLevel="0" collapsed="false">
      <c r="A25" s="287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293"/>
    </row>
    <row r="26" customFormat="false" ht="21" hidden="false" customHeight="true" outlineLevel="0" collapsed="false">
      <c r="A26" s="287"/>
      <c r="B26" s="306" t="s">
        <v>96</v>
      </c>
      <c r="C26" s="306"/>
      <c r="D26" s="306"/>
      <c r="E26" s="306"/>
      <c r="F26" s="306"/>
      <c r="G26" s="307" t="s">
        <v>97</v>
      </c>
      <c r="H26" s="306" t="s">
        <v>98</v>
      </c>
      <c r="I26" s="306"/>
      <c r="J26" s="306"/>
      <c r="K26" s="306"/>
      <c r="L26" s="306"/>
      <c r="M26" s="336" t="s">
        <v>99</v>
      </c>
      <c r="N26" s="293"/>
    </row>
    <row r="27" s="313" customFormat="true" ht="21" hidden="false" customHeight="true" outlineLevel="0" collapsed="false">
      <c r="A27" s="287"/>
      <c r="B27" s="310" t="s">
        <v>100</v>
      </c>
      <c r="C27" s="310" t="s">
        <v>101</v>
      </c>
      <c r="D27" s="310" t="s">
        <v>102</v>
      </c>
      <c r="E27" s="310" t="s">
        <v>103</v>
      </c>
      <c r="F27" s="311" t="s">
        <v>104</v>
      </c>
      <c r="G27" s="307"/>
      <c r="H27" s="310" t="s">
        <v>105</v>
      </c>
      <c r="I27" s="310" t="s">
        <v>106</v>
      </c>
      <c r="J27" s="310" t="s">
        <v>107</v>
      </c>
      <c r="K27" s="310"/>
      <c r="L27" s="311" t="s">
        <v>57</v>
      </c>
      <c r="M27" s="336"/>
      <c r="N27" s="293"/>
    </row>
    <row r="28" s="324" customFormat="true" ht="21" hidden="false" customHeight="true" outlineLevel="0" collapsed="false">
      <c r="A28" s="287"/>
      <c r="B28" s="315" t="e">
        <f aca="true">IF(M22=" "," ",INDIRECT($H$3&amp;"!H"&amp;$H$4+2+C24))</f>
        <v>#REF!</v>
      </c>
      <c r="C28" s="315" t="e">
        <f aca="true">IF(M22=" "," ",INDIRECT($H$3&amp;"!I"&amp;$H$4+2+C24))</f>
        <v>#REF!</v>
      </c>
      <c r="D28" s="315" t="e">
        <f aca="true">IF(M22=" "," ",INDIRECT($H$3&amp;"!J"&amp;$H$4+2+C24))</f>
        <v>#REF!</v>
      </c>
      <c r="E28" s="315" t="e">
        <f aca="true">IF(M22=" "," ",INDIRECT($H$3&amp;"!K"&amp;$H$4+2+C24))</f>
        <v>#REF!</v>
      </c>
      <c r="F28" s="316" t="e">
        <f aca="true">IF(M22=" "," ",INDIRECT($H$3&amp;"!L"&amp;$H$4+2+C24))</f>
        <v>#REF!</v>
      </c>
      <c r="G28" s="317" t="e">
        <f aca="true">IF(M22=" "," ",INDIRECT($H$3&amp;"!M"&amp;$H$4+2+C24))</f>
        <v>#REF!</v>
      </c>
      <c r="H28" s="318" t="e">
        <f aca="true">IF(M22=" "," ",INDIRECT($H$3&amp;"!N"&amp;$H$4+2+C24))</f>
        <v>#REF!</v>
      </c>
      <c r="I28" s="315" t="e">
        <f aca="true">IF(M22=" "," ",INDIRECT($H$3&amp;"!O"&amp;$H$4+2+C24))</f>
        <v>#REF!</v>
      </c>
      <c r="J28" s="315" t="e">
        <f aca="true">IF(M22=" "," ",INDIRECT($H$3&amp;"!P"&amp;$H$4+2+C24))</f>
        <v>#REF!</v>
      </c>
      <c r="K28" s="315"/>
      <c r="L28" s="316" t="e">
        <f aca="true">IF(M22=" "," ",INDIRECT($H$3&amp;"!Q"&amp;$H$4+2+C24))</f>
        <v>#REF!</v>
      </c>
      <c r="M28" s="319" t="e">
        <f aca="true">IF(M22=" "," ",INDIRECT($H$3&amp;"!R"&amp;$H$4+2+C24))</f>
        <v>#REF!</v>
      </c>
      <c r="N28" s="293"/>
    </row>
    <row r="29" s="324" customFormat="true" ht="21" hidden="false" customHeight="true" outlineLevel="0" collapsed="false">
      <c r="A29" s="287"/>
      <c r="B29" s="322" t="s">
        <v>108</v>
      </c>
      <c r="C29" s="322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293"/>
    </row>
    <row r="30" s="324" customFormat="true" ht="21" hidden="false" customHeight="true" outlineLevel="0" collapsed="false">
      <c r="A30" s="287"/>
      <c r="B30" s="325"/>
      <c r="C30" s="325"/>
      <c r="D30" s="323"/>
      <c r="E30" s="326" t="s">
        <v>109</v>
      </c>
      <c r="F30" s="326"/>
      <c r="G30" s="315" t="e">
        <f aca="true">IF(M22=" "," ",INDIRECT($H$3&amp;"!V"&amp;$H$4+2+C24))</f>
        <v>#REF!</v>
      </c>
      <c r="H30" s="315" t="e">
        <f aca="true">IF(M22=" "," ",INDIRECT($H$3&amp;"!W"&amp;$H$4+2+C24))</f>
        <v>#REF!</v>
      </c>
      <c r="I30" s="315" t="e">
        <f aca="true">IF(M22=" "," ",INDIRECT($H$3&amp;"!X"&amp;$H$4+2+C24))</f>
        <v>#REF!</v>
      </c>
      <c r="J30" s="315" t="e">
        <f aca="true">IF(M22=" "," ",INDIRECT($H$3&amp;"!Y"&amp;$H$4+2+C24))</f>
        <v>#REF!</v>
      </c>
      <c r="K30" s="315"/>
      <c r="L30" s="315" t="e">
        <f aca="true">IF(M22=" "," ",INDIRECT($H$3&amp;"!Z"&amp;$H$4+2+C24))</f>
        <v>#REF!</v>
      </c>
      <c r="M30" s="315" t="e">
        <f aca="true">IF(M22=" "," ",INDIRECT($H$3&amp;"!AA"&amp;$H$4+2+C24))</f>
        <v>#REF!</v>
      </c>
      <c r="N30" s="293"/>
    </row>
    <row r="31" customFormat="false" ht="6" hidden="false" customHeight="true" outlineLevel="0" collapsed="false">
      <c r="A31" s="287"/>
      <c r="B31" s="292"/>
      <c r="C31" s="292"/>
      <c r="D31" s="292"/>
      <c r="E31" s="292"/>
      <c r="F31" s="292"/>
      <c r="G31" s="292"/>
      <c r="H31" s="292"/>
      <c r="I31" s="292"/>
      <c r="J31" s="305"/>
      <c r="K31" s="305"/>
      <c r="L31" s="292"/>
      <c r="M31" s="292"/>
      <c r="N31" s="293"/>
    </row>
    <row r="32" customFormat="false" ht="21" hidden="false" customHeight="true" outlineLevel="0" collapsed="false">
      <c r="A32" s="287"/>
      <c r="B32" s="292"/>
      <c r="C32" s="292"/>
      <c r="D32" s="292"/>
      <c r="E32" s="292"/>
      <c r="F32" s="292"/>
      <c r="G32" s="292"/>
      <c r="H32" s="292"/>
      <c r="I32" s="292"/>
      <c r="J32" s="327" t="s">
        <v>110</v>
      </c>
      <c r="K32" s="327"/>
      <c r="L32" s="327"/>
      <c r="M32" s="328" t="e">
        <f aca="false">M18</f>
        <v>#REF!</v>
      </c>
      <c r="N32" s="293"/>
    </row>
    <row r="33" customFormat="false" ht="12" hidden="false" customHeight="true" outlineLevel="0" collapsed="false">
      <c r="A33" s="329"/>
      <c r="B33" s="330" t="s">
        <v>2</v>
      </c>
      <c r="C33" s="330"/>
      <c r="D33" s="331"/>
      <c r="E33" s="332"/>
      <c r="F33" s="332"/>
      <c r="G33" s="332"/>
      <c r="H33" s="332"/>
      <c r="I33" s="332"/>
      <c r="J33" s="332"/>
      <c r="K33" s="332"/>
      <c r="L33" s="332"/>
      <c r="M33" s="332"/>
      <c r="N33" s="333"/>
    </row>
    <row r="34" customFormat="false" ht="21" hidden="false" customHeight="true" outlineLevel="0" collapsed="false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</row>
    <row r="35" customFormat="false" ht="21" hidden="false" customHeight="true" outlineLevel="0" collapsed="false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</row>
    <row r="36" customFormat="false" ht="24.75" hidden="false" customHeight="true" outlineLevel="0" collapsed="false">
      <c r="A36" s="281"/>
      <c r="B36" s="282" t="e">
        <f aca="false">IF(M43=" "," ",Employee!$D$5)</f>
        <v>#REF!</v>
      </c>
      <c r="C36" s="282"/>
      <c r="D36" s="282"/>
      <c r="E36" s="282"/>
      <c r="F36" s="282"/>
      <c r="G36" s="283" t="e">
        <f aca="false">IF(G43=" "," ",Employee!$D$67)</f>
        <v>#REF!</v>
      </c>
      <c r="H36" s="283"/>
      <c r="I36" s="284" t="e">
        <f aca="false">IF(G43=" "," ",Employee!$D$68)</f>
        <v>#REF!</v>
      </c>
      <c r="J36" s="284"/>
      <c r="K36" s="284"/>
      <c r="L36" s="285" t="s">
        <v>70</v>
      </c>
      <c r="M36" s="285"/>
      <c r="N36" s="286"/>
    </row>
    <row r="37" customFormat="false" ht="18" hidden="false" customHeight="true" outlineLevel="0" collapsed="false">
      <c r="A37" s="287"/>
      <c r="B37" s="288" t="e">
        <f aca="false">IF(M43=" "," ",Employee!$D$6)</f>
        <v>#REF!</v>
      </c>
      <c r="C37" s="288"/>
      <c r="D37" s="288"/>
      <c r="E37" s="289"/>
      <c r="F37" s="289"/>
      <c r="G37" s="290"/>
      <c r="H37" s="291"/>
      <c r="I37" s="292"/>
      <c r="J37" s="292"/>
      <c r="K37" s="292"/>
      <c r="L37" s="292"/>
      <c r="M37" s="292" t="e">
        <f aca="true">INDIRECT($H$3&amp;"!E"&amp;$H$4+2+C39)</f>
        <v>#REF!</v>
      </c>
      <c r="N37" s="293"/>
    </row>
    <row r="38" customFormat="false" ht="21" hidden="false" customHeight="true" outlineLevel="0" collapsed="false">
      <c r="A38" s="287"/>
      <c r="B38" s="288" t="e">
        <f aca="false">IF(M43=" "," ",Employee!$D$7)</f>
        <v>#REF!</v>
      </c>
      <c r="C38" s="288"/>
      <c r="D38" s="288"/>
      <c r="E38" s="294" t="e">
        <f aca="false">IF(M43=" "," ",Employee!$D$9)</f>
        <v>#REF!</v>
      </c>
      <c r="F38" s="271"/>
      <c r="G38" s="295"/>
      <c r="H38" s="296" t="s">
        <v>92</v>
      </c>
      <c r="I38" s="297" t="e">
        <f aca="false">I23</f>
        <v>#REF!</v>
      </c>
      <c r="J38" s="298" t="s">
        <v>44</v>
      </c>
      <c r="K38" s="298"/>
      <c r="L38" s="296" t="s">
        <v>93</v>
      </c>
      <c r="M38" s="292" t="e">
        <f aca="false">IF(M37=" "," ",Employee!$M$67)</f>
        <v>#REF!</v>
      </c>
      <c r="N38" s="293"/>
    </row>
    <row r="39" customFormat="false" ht="21" hidden="false" customHeight="true" outlineLevel="0" collapsed="false">
      <c r="A39" s="287"/>
      <c r="B39" s="296" t="s">
        <v>94</v>
      </c>
      <c r="C39" s="299" t="n">
        <f aca="false">Employee!$D$81</f>
        <v>3</v>
      </c>
      <c r="D39" s="334"/>
      <c r="E39" s="335"/>
      <c r="F39" s="305"/>
      <c r="G39" s="305"/>
      <c r="H39" s="302" t="s">
        <v>111</v>
      </c>
      <c r="I39" s="303" t="e">
        <f aca="false">I24</f>
        <v>#REF!</v>
      </c>
      <c r="J39" s="304" t="e">
        <f aca="true">IF(M37=" "," ",INDIRECT($H$3&amp;"!D"&amp;$H$4+2+C39))</f>
        <v>#REF!</v>
      </c>
      <c r="K39" s="304"/>
      <c r="L39" s="296" t="s">
        <v>95</v>
      </c>
      <c r="M39" s="292" t="e">
        <f aca="true">IF(M37=" "," ",INDIRECT($H$3&amp;"!C"&amp;$H$4+2+C39))</f>
        <v>#REF!</v>
      </c>
      <c r="N39" s="293"/>
    </row>
    <row r="40" customFormat="false" ht="6" hidden="false" customHeight="true" outlineLevel="0" collapsed="false">
      <c r="A40" s="287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293"/>
    </row>
    <row r="41" customFormat="false" ht="21" hidden="false" customHeight="true" outlineLevel="0" collapsed="false">
      <c r="A41" s="287"/>
      <c r="B41" s="306" t="s">
        <v>96</v>
      </c>
      <c r="C41" s="306"/>
      <c r="D41" s="306"/>
      <c r="E41" s="306"/>
      <c r="F41" s="306"/>
      <c r="G41" s="307" t="s">
        <v>97</v>
      </c>
      <c r="H41" s="306" t="s">
        <v>98</v>
      </c>
      <c r="I41" s="306"/>
      <c r="J41" s="306"/>
      <c r="K41" s="306"/>
      <c r="L41" s="306"/>
      <c r="M41" s="336" t="s">
        <v>99</v>
      </c>
      <c r="N41" s="293"/>
    </row>
    <row r="42" s="313" customFormat="true" ht="21" hidden="false" customHeight="true" outlineLevel="0" collapsed="false">
      <c r="A42" s="287"/>
      <c r="B42" s="310" t="s">
        <v>100</v>
      </c>
      <c r="C42" s="310" t="s">
        <v>101</v>
      </c>
      <c r="D42" s="310" t="s">
        <v>102</v>
      </c>
      <c r="E42" s="310" t="s">
        <v>103</v>
      </c>
      <c r="F42" s="311" t="s">
        <v>104</v>
      </c>
      <c r="G42" s="307"/>
      <c r="H42" s="310" t="s">
        <v>105</v>
      </c>
      <c r="I42" s="310" t="s">
        <v>106</v>
      </c>
      <c r="J42" s="310" t="s">
        <v>107</v>
      </c>
      <c r="K42" s="310"/>
      <c r="L42" s="311" t="s">
        <v>57</v>
      </c>
      <c r="M42" s="336"/>
      <c r="N42" s="293"/>
    </row>
    <row r="43" s="324" customFormat="true" ht="21" hidden="false" customHeight="true" outlineLevel="0" collapsed="false">
      <c r="A43" s="287"/>
      <c r="B43" s="315" t="e">
        <f aca="true">IF(M37=" "," ",INDIRECT($H$3&amp;"!H"&amp;$H$4+2+C39))</f>
        <v>#REF!</v>
      </c>
      <c r="C43" s="315" t="e">
        <f aca="true">IF(M37=" "," ",INDIRECT($H$3&amp;"!I"&amp;$H$4+2+C39))</f>
        <v>#REF!</v>
      </c>
      <c r="D43" s="315" t="e">
        <f aca="true">IF(M37=" "," ",INDIRECT($H$3&amp;"!J"&amp;$H$4+2+C39))</f>
        <v>#REF!</v>
      </c>
      <c r="E43" s="315" t="e">
        <f aca="true">IF(M37=" "," ",INDIRECT($H$3&amp;"!K"&amp;$H$4+2+C39))</f>
        <v>#REF!</v>
      </c>
      <c r="F43" s="316" t="e">
        <f aca="true">IF(M37=" "," ",INDIRECT($H$3&amp;"!L"&amp;$H$4+2+C39))</f>
        <v>#REF!</v>
      </c>
      <c r="G43" s="317" t="e">
        <f aca="true">IF(M37=" "," ",INDIRECT($H$3&amp;"!M"&amp;$H$4+2+C39))</f>
        <v>#REF!</v>
      </c>
      <c r="H43" s="318" t="e">
        <f aca="true">IF(M37=" "," ",INDIRECT($H$3&amp;"!N"&amp;$H$4+2+C39))</f>
        <v>#REF!</v>
      </c>
      <c r="I43" s="315" t="e">
        <f aca="true">IF(M37=" "," ",INDIRECT($H$3&amp;"!O"&amp;$H$4+2+C39))</f>
        <v>#REF!</v>
      </c>
      <c r="J43" s="315" t="e">
        <f aca="true">IF(M37=" "," ",INDIRECT($H$3&amp;"!P"&amp;$H$4+2+C39))</f>
        <v>#REF!</v>
      </c>
      <c r="K43" s="315"/>
      <c r="L43" s="316" t="e">
        <f aca="true">IF(M37=" "," ",INDIRECT($H$3&amp;"!Q"&amp;$H$4+2+C39))</f>
        <v>#REF!</v>
      </c>
      <c r="M43" s="319" t="e">
        <f aca="true">IF(M37=" "," ",INDIRECT($H$3&amp;"!R"&amp;$H$4+2+C39))</f>
        <v>#REF!</v>
      </c>
      <c r="N43" s="293"/>
    </row>
    <row r="44" s="324" customFormat="true" ht="21" hidden="false" customHeight="true" outlineLevel="0" collapsed="false">
      <c r="A44" s="287"/>
      <c r="B44" s="322" t="s">
        <v>108</v>
      </c>
      <c r="C44" s="322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293"/>
    </row>
    <row r="45" s="324" customFormat="true" ht="21" hidden="false" customHeight="true" outlineLevel="0" collapsed="false">
      <c r="A45" s="287"/>
      <c r="B45" s="325"/>
      <c r="C45" s="325"/>
      <c r="D45" s="323"/>
      <c r="E45" s="326" t="s">
        <v>109</v>
      </c>
      <c r="F45" s="326"/>
      <c r="G45" s="315" t="e">
        <f aca="true">IF(M37=" "," ",INDIRECT($H$3&amp;"!V"&amp;$H$4+2+C39))</f>
        <v>#REF!</v>
      </c>
      <c r="H45" s="315" t="e">
        <f aca="true">IF(M37=" "," ",INDIRECT($H$3&amp;"!W"&amp;$H$4+2+C39))</f>
        <v>#REF!</v>
      </c>
      <c r="I45" s="315" t="e">
        <f aca="true">IF(M37=" "," ",INDIRECT($H$3&amp;"!X"&amp;$H$4+2+C39))</f>
        <v>#REF!</v>
      </c>
      <c r="J45" s="315" t="e">
        <f aca="true">IF(M37=" "," ",INDIRECT($H$3&amp;"!Y"&amp;$H$4+2+C39))</f>
        <v>#REF!</v>
      </c>
      <c r="K45" s="315"/>
      <c r="L45" s="315" t="e">
        <f aca="true">IF(M37=" "," ",INDIRECT($H$3&amp;"!Z"&amp;$H$4+2+C39))</f>
        <v>#REF!</v>
      </c>
      <c r="M45" s="315" t="e">
        <f aca="true">IF(M37=" "," ",INDIRECT($H$3&amp;"!AA"&amp;$H$4+2+C39))</f>
        <v>#REF!</v>
      </c>
      <c r="N45" s="293"/>
    </row>
    <row r="46" customFormat="false" ht="6" hidden="false" customHeight="true" outlineLevel="0" collapsed="false">
      <c r="A46" s="287"/>
      <c r="B46" s="292"/>
      <c r="C46" s="292"/>
      <c r="D46" s="292"/>
      <c r="E46" s="292"/>
      <c r="F46" s="292"/>
      <c r="G46" s="292"/>
      <c r="H46" s="292"/>
      <c r="I46" s="292"/>
      <c r="J46" s="305"/>
      <c r="K46" s="305"/>
      <c r="L46" s="292"/>
      <c r="M46" s="292"/>
      <c r="N46" s="293"/>
    </row>
    <row r="47" customFormat="false" ht="21" hidden="false" customHeight="true" outlineLevel="0" collapsed="false">
      <c r="A47" s="287"/>
      <c r="B47" s="292"/>
      <c r="C47" s="292"/>
      <c r="D47" s="292"/>
      <c r="E47" s="292"/>
      <c r="F47" s="292"/>
      <c r="G47" s="292"/>
      <c r="H47" s="292"/>
      <c r="I47" s="292"/>
      <c r="J47" s="327" t="s">
        <v>110</v>
      </c>
      <c r="K47" s="327"/>
      <c r="L47" s="327"/>
      <c r="M47" s="328" t="e">
        <f aca="false">M32</f>
        <v>#REF!</v>
      </c>
      <c r="N47" s="293"/>
    </row>
    <row r="48" customFormat="false" ht="12" hidden="false" customHeight="true" outlineLevel="0" collapsed="false">
      <c r="A48" s="329"/>
      <c r="B48" s="330" t="s">
        <v>2</v>
      </c>
      <c r="C48" s="330"/>
      <c r="D48" s="331"/>
      <c r="E48" s="332"/>
      <c r="F48" s="332"/>
      <c r="G48" s="332"/>
      <c r="H48" s="332"/>
      <c r="I48" s="332"/>
      <c r="J48" s="332"/>
      <c r="K48" s="332"/>
      <c r="L48" s="332"/>
      <c r="M48" s="332"/>
      <c r="N48" s="333"/>
    </row>
    <row r="49" customFormat="false" ht="21" hidden="false" customHeight="true" outlineLevel="0" collapsed="false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customFormat="false" ht="24.75" hidden="false" customHeight="true" outlineLevel="0" collapsed="false">
      <c r="A50" s="281"/>
      <c r="B50" s="282" t="e">
        <f aca="false">IF(M57=" "," ",Employee!$D$5)</f>
        <v>#REF!</v>
      </c>
      <c r="C50" s="282"/>
      <c r="D50" s="282"/>
      <c r="E50" s="282"/>
      <c r="F50" s="282"/>
      <c r="G50" s="283" t="e">
        <f aca="false">IF(G57=" "," ",Employee!$D$93)</f>
        <v>#REF!</v>
      </c>
      <c r="H50" s="283"/>
      <c r="I50" s="284" t="e">
        <f aca="false">IF(G57=" "," ",Employee!$D$94)</f>
        <v>#REF!</v>
      </c>
      <c r="J50" s="284"/>
      <c r="K50" s="284"/>
      <c r="L50" s="285" t="s">
        <v>70</v>
      </c>
      <c r="M50" s="285"/>
      <c r="N50" s="286"/>
    </row>
    <row r="51" customFormat="false" ht="18" hidden="false" customHeight="true" outlineLevel="0" collapsed="false">
      <c r="A51" s="287"/>
      <c r="B51" s="288" t="e">
        <f aca="false">IF(M57=" "," ",Employee!$D$6)</f>
        <v>#REF!</v>
      </c>
      <c r="C51" s="288"/>
      <c r="D51" s="288"/>
      <c r="E51" s="289"/>
      <c r="F51" s="289"/>
      <c r="G51" s="290"/>
      <c r="H51" s="291"/>
      <c r="I51" s="292"/>
      <c r="J51" s="292"/>
      <c r="K51" s="292"/>
      <c r="L51" s="292"/>
      <c r="M51" s="292" t="e">
        <f aca="true">INDIRECT($H$3&amp;"!E"&amp;$H$4+2+C53)</f>
        <v>#REF!</v>
      </c>
      <c r="N51" s="293"/>
    </row>
    <row r="52" customFormat="false" ht="21" hidden="false" customHeight="true" outlineLevel="0" collapsed="false">
      <c r="A52" s="287"/>
      <c r="B52" s="288" t="e">
        <f aca="false">IF(M57=" "," ",Employee!$D$7)</f>
        <v>#REF!</v>
      </c>
      <c r="C52" s="288"/>
      <c r="D52" s="288"/>
      <c r="E52" s="294" t="e">
        <f aca="false">IF(M57=" "," ",Employee!$D$9)</f>
        <v>#REF!</v>
      </c>
      <c r="F52" s="271"/>
      <c r="G52" s="295"/>
      <c r="H52" s="296" t="s">
        <v>92</v>
      </c>
      <c r="I52" s="297" t="e">
        <f aca="false">I38</f>
        <v>#REF!</v>
      </c>
      <c r="J52" s="298" t="s">
        <v>44</v>
      </c>
      <c r="K52" s="298"/>
      <c r="L52" s="296" t="s">
        <v>93</v>
      </c>
      <c r="M52" s="292" t="e">
        <f aca="false">IF(M51=" "," ",Employee!$M$93)</f>
        <v>#REF!</v>
      </c>
      <c r="N52" s="293"/>
    </row>
    <row r="53" customFormat="false" ht="21" hidden="false" customHeight="true" outlineLevel="0" collapsed="false">
      <c r="A53" s="287"/>
      <c r="B53" s="296" t="s">
        <v>94</v>
      </c>
      <c r="C53" s="299" t="n">
        <f aca="false">Employee!$D$107</f>
        <v>4</v>
      </c>
      <c r="D53" s="334"/>
      <c r="E53" s="335"/>
      <c r="F53" s="305"/>
      <c r="G53" s="305"/>
      <c r="H53" s="302" t="s">
        <v>111</v>
      </c>
      <c r="I53" s="303" t="e">
        <f aca="false">I39</f>
        <v>#REF!</v>
      </c>
      <c r="J53" s="304" t="e">
        <f aca="true">IF(M51=" "," ",INDIRECT($H$3&amp;"!D"&amp;$H$4+2+C53))</f>
        <v>#REF!</v>
      </c>
      <c r="K53" s="304"/>
      <c r="L53" s="296" t="s">
        <v>95</v>
      </c>
      <c r="M53" s="292" t="e">
        <f aca="true">IF(M51=" "," ",INDIRECT($H$3&amp;"!C"&amp;$H$4+2+C53))</f>
        <v>#REF!</v>
      </c>
      <c r="N53" s="293"/>
    </row>
    <row r="54" customFormat="false" ht="6" hidden="false" customHeight="true" outlineLevel="0" collapsed="false">
      <c r="A54" s="287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293"/>
    </row>
    <row r="55" customFormat="false" ht="21" hidden="false" customHeight="true" outlineLevel="0" collapsed="false">
      <c r="A55" s="287"/>
      <c r="B55" s="306" t="s">
        <v>96</v>
      </c>
      <c r="C55" s="306"/>
      <c r="D55" s="306"/>
      <c r="E55" s="306"/>
      <c r="F55" s="306"/>
      <c r="G55" s="307" t="s">
        <v>97</v>
      </c>
      <c r="H55" s="306" t="s">
        <v>98</v>
      </c>
      <c r="I55" s="306"/>
      <c r="J55" s="306"/>
      <c r="K55" s="306"/>
      <c r="L55" s="306"/>
      <c r="M55" s="336" t="s">
        <v>99</v>
      </c>
      <c r="N55" s="293"/>
    </row>
    <row r="56" s="313" customFormat="true" ht="21" hidden="false" customHeight="true" outlineLevel="0" collapsed="false">
      <c r="A56" s="287"/>
      <c r="B56" s="310" t="s">
        <v>100</v>
      </c>
      <c r="C56" s="310" t="s">
        <v>101</v>
      </c>
      <c r="D56" s="310" t="s">
        <v>102</v>
      </c>
      <c r="E56" s="310" t="s">
        <v>103</v>
      </c>
      <c r="F56" s="311" t="s">
        <v>104</v>
      </c>
      <c r="G56" s="307"/>
      <c r="H56" s="310" t="s">
        <v>105</v>
      </c>
      <c r="I56" s="310" t="s">
        <v>106</v>
      </c>
      <c r="J56" s="310" t="s">
        <v>107</v>
      </c>
      <c r="K56" s="310"/>
      <c r="L56" s="311" t="s">
        <v>57</v>
      </c>
      <c r="M56" s="336"/>
      <c r="N56" s="293"/>
    </row>
    <row r="57" s="324" customFormat="true" ht="21" hidden="false" customHeight="true" outlineLevel="0" collapsed="false">
      <c r="A57" s="287"/>
      <c r="B57" s="315" t="e">
        <f aca="true">IF(M51=" "," ",INDIRECT($H$3&amp;"!H"&amp;$H$4+2+C53))</f>
        <v>#REF!</v>
      </c>
      <c r="C57" s="315" t="e">
        <f aca="true">IF(M51=" "," ",INDIRECT($H$3&amp;"!I"&amp;$H$4+2+C53))</f>
        <v>#REF!</v>
      </c>
      <c r="D57" s="315" t="e">
        <f aca="true">IF(M51=" "," ",INDIRECT($H$3&amp;"!J"&amp;$H$4+2+C53))</f>
        <v>#REF!</v>
      </c>
      <c r="E57" s="315" t="e">
        <f aca="true">IF(M51=" "," ",INDIRECT($H$3&amp;"!K"&amp;$H$4+2+C53))</f>
        <v>#REF!</v>
      </c>
      <c r="F57" s="316" t="e">
        <f aca="true">IF(M51=" "," ",INDIRECT($H$3&amp;"!L"&amp;$H$4+2+C53))</f>
        <v>#REF!</v>
      </c>
      <c r="G57" s="317" t="e">
        <f aca="true">IF(M51=" "," ",INDIRECT($H$3&amp;"!M"&amp;$H$4+2+C53))</f>
        <v>#REF!</v>
      </c>
      <c r="H57" s="318" t="e">
        <f aca="true">IF(M51=" "," ",INDIRECT($H$3&amp;"!N"&amp;$H$4+2+C53))</f>
        <v>#REF!</v>
      </c>
      <c r="I57" s="315" t="e">
        <f aca="true">IF(M51=" "," ",INDIRECT($H$3&amp;"!O"&amp;$H$4+2+C53))</f>
        <v>#REF!</v>
      </c>
      <c r="J57" s="315" t="e">
        <f aca="true">IF(M51=" "," ",INDIRECT($H$3&amp;"!P"&amp;$H$4+2+C53))</f>
        <v>#REF!</v>
      </c>
      <c r="K57" s="315"/>
      <c r="L57" s="316" t="e">
        <f aca="true">IF(M51=" "," ",INDIRECT($H$3&amp;"!Q"&amp;$H$4+2+C53))</f>
        <v>#REF!</v>
      </c>
      <c r="M57" s="319" t="e">
        <f aca="true">IF(M51=" "," ",INDIRECT($H$3&amp;"!R"&amp;$H$4+2+C53))</f>
        <v>#REF!</v>
      </c>
      <c r="N57" s="293"/>
    </row>
    <row r="58" s="324" customFormat="true" ht="21" hidden="false" customHeight="true" outlineLevel="0" collapsed="false">
      <c r="A58" s="287"/>
      <c r="B58" s="322" t="s">
        <v>108</v>
      </c>
      <c r="C58" s="322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293"/>
    </row>
    <row r="59" s="324" customFormat="true" ht="21" hidden="false" customHeight="true" outlineLevel="0" collapsed="false">
      <c r="A59" s="287"/>
      <c r="B59" s="325"/>
      <c r="C59" s="325"/>
      <c r="D59" s="323"/>
      <c r="E59" s="326" t="s">
        <v>109</v>
      </c>
      <c r="F59" s="326"/>
      <c r="G59" s="315" t="e">
        <f aca="true">IF(M51=" "," ",INDIRECT($H$3&amp;"!V"&amp;$H$4+2+C53))</f>
        <v>#REF!</v>
      </c>
      <c r="H59" s="315" t="e">
        <f aca="true">IF(M51=" "," ",INDIRECT($H$3&amp;"!W"&amp;$H$4+2+C53))</f>
        <v>#REF!</v>
      </c>
      <c r="I59" s="315" t="e">
        <f aca="true">IF(M51=" "," ",INDIRECT($H$3&amp;"!X"&amp;$H$4+2+C53))</f>
        <v>#REF!</v>
      </c>
      <c r="J59" s="315" t="e">
        <f aca="true">IF(M51=" "," ",INDIRECT($H$3&amp;"!Y"&amp;$H$4+2+C53))</f>
        <v>#REF!</v>
      </c>
      <c r="K59" s="315"/>
      <c r="L59" s="315" t="e">
        <f aca="true">IF(M51=" "," ",INDIRECT($H$3&amp;"!Z"&amp;$H$4+2+C53))</f>
        <v>#REF!</v>
      </c>
      <c r="M59" s="315" t="e">
        <f aca="true">IF(M51=" "," ",INDIRECT($H$3&amp;"!AA"&amp;$H$4+2+C53))</f>
        <v>#REF!</v>
      </c>
      <c r="N59" s="293"/>
    </row>
    <row r="60" customFormat="false" ht="6" hidden="false" customHeight="true" outlineLevel="0" collapsed="false">
      <c r="A60" s="287"/>
      <c r="B60" s="292"/>
      <c r="C60" s="292"/>
      <c r="D60" s="292"/>
      <c r="E60" s="292"/>
      <c r="F60" s="292"/>
      <c r="G60" s="292"/>
      <c r="H60" s="292"/>
      <c r="I60" s="292"/>
      <c r="J60" s="305"/>
      <c r="K60" s="305"/>
      <c r="L60" s="292"/>
      <c r="M60" s="292"/>
      <c r="N60" s="293"/>
    </row>
    <row r="61" customFormat="false" ht="21" hidden="false" customHeight="true" outlineLevel="0" collapsed="false">
      <c r="A61" s="287"/>
      <c r="B61" s="292"/>
      <c r="C61" s="292"/>
      <c r="D61" s="292"/>
      <c r="E61" s="292"/>
      <c r="F61" s="292"/>
      <c r="G61" s="292"/>
      <c r="H61" s="292"/>
      <c r="I61" s="292"/>
      <c r="J61" s="327" t="s">
        <v>110</v>
      </c>
      <c r="K61" s="327"/>
      <c r="L61" s="327"/>
      <c r="M61" s="328" t="e">
        <f aca="false">M47</f>
        <v>#REF!</v>
      </c>
      <c r="N61" s="293"/>
    </row>
    <row r="62" customFormat="false" ht="12" hidden="false" customHeight="true" outlineLevel="0" collapsed="false">
      <c r="A62" s="329"/>
      <c r="B62" s="330" t="s">
        <v>2</v>
      </c>
      <c r="C62" s="330"/>
      <c r="D62" s="331"/>
      <c r="E62" s="332"/>
      <c r="F62" s="332"/>
      <c r="G62" s="332"/>
      <c r="H62" s="332"/>
      <c r="I62" s="332"/>
      <c r="J62" s="332"/>
      <c r="K62" s="332"/>
      <c r="L62" s="332"/>
      <c r="M62" s="332"/>
      <c r="N62" s="333"/>
    </row>
    <row r="63" customFormat="false" ht="21" hidden="false" customHeight="true" outlineLevel="0" collapsed="false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</row>
    <row r="64" customFormat="false" ht="21" hidden="false" customHeight="true" outlineLevel="0" collapsed="false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</row>
    <row r="65" customFormat="false" ht="24.75" hidden="false" customHeight="true" outlineLevel="0" collapsed="false">
      <c r="A65" s="281"/>
      <c r="B65" s="282" t="e">
        <f aca="false">IF(M72=" "," ",Employee!$D$5)</f>
        <v>#REF!</v>
      </c>
      <c r="C65" s="282"/>
      <c r="D65" s="282"/>
      <c r="E65" s="282"/>
      <c r="F65" s="282"/>
      <c r="G65" s="283" t="e">
        <f aca="false">IF(G72=" "," ",Employee!$D$119)</f>
        <v>#REF!</v>
      </c>
      <c r="H65" s="283"/>
      <c r="I65" s="284" t="e">
        <f aca="false">IF(G72=" "," ",Employee!$D$120)</f>
        <v>#REF!</v>
      </c>
      <c r="J65" s="284"/>
      <c r="K65" s="284"/>
      <c r="L65" s="285" t="s">
        <v>70</v>
      </c>
      <c r="M65" s="285"/>
      <c r="N65" s="286"/>
    </row>
    <row r="66" customFormat="false" ht="18" hidden="false" customHeight="true" outlineLevel="0" collapsed="false">
      <c r="A66" s="287"/>
      <c r="B66" s="288" t="e">
        <f aca="false">IF(M72=" "," ",Employee!$D$6)</f>
        <v>#REF!</v>
      </c>
      <c r="C66" s="288"/>
      <c r="D66" s="288"/>
      <c r="E66" s="289"/>
      <c r="F66" s="289"/>
      <c r="G66" s="290"/>
      <c r="H66" s="291"/>
      <c r="I66" s="292"/>
      <c r="J66" s="292"/>
      <c r="K66" s="292"/>
      <c r="L66" s="292"/>
      <c r="M66" s="292" t="e">
        <f aca="true">INDIRECT($H$3&amp;"!E"&amp;$H$4+2+C68)</f>
        <v>#REF!</v>
      </c>
      <c r="N66" s="293"/>
    </row>
    <row r="67" customFormat="false" ht="21" hidden="false" customHeight="true" outlineLevel="0" collapsed="false">
      <c r="A67" s="287"/>
      <c r="B67" s="288" t="e">
        <f aca="false">IF(M72=" "," ",Employee!$D$7)</f>
        <v>#REF!</v>
      </c>
      <c r="C67" s="288"/>
      <c r="D67" s="288"/>
      <c r="E67" s="294" t="e">
        <f aca="false">IF(M72=" "," ",Employee!$D$9)</f>
        <v>#REF!</v>
      </c>
      <c r="F67" s="271"/>
      <c r="G67" s="295"/>
      <c r="H67" s="296" t="s">
        <v>92</v>
      </c>
      <c r="I67" s="297" t="e">
        <f aca="false">I52</f>
        <v>#REF!</v>
      </c>
      <c r="J67" s="298" t="s">
        <v>44</v>
      </c>
      <c r="K67" s="298"/>
      <c r="L67" s="296" t="s">
        <v>93</v>
      </c>
      <c r="M67" s="292" t="e">
        <f aca="false">IF(M66=" "," ",Employee!$M$119)</f>
        <v>#REF!</v>
      </c>
      <c r="N67" s="293"/>
    </row>
    <row r="68" customFormat="false" ht="21" hidden="false" customHeight="true" outlineLevel="0" collapsed="false">
      <c r="A68" s="287"/>
      <c r="B68" s="296" t="s">
        <v>94</v>
      </c>
      <c r="C68" s="299" t="n">
        <f aca="false">Employee!$D$133</f>
        <v>5</v>
      </c>
      <c r="D68" s="334"/>
      <c r="E68" s="335"/>
      <c r="F68" s="305"/>
      <c r="G68" s="305"/>
      <c r="H68" s="302" t="s">
        <v>111</v>
      </c>
      <c r="I68" s="303" t="e">
        <f aca="false">I53</f>
        <v>#REF!</v>
      </c>
      <c r="J68" s="304" t="e">
        <f aca="true">IF(M66=" "," ",INDIRECT($H$3&amp;"!D"&amp;$H$4+2+C68))</f>
        <v>#REF!</v>
      </c>
      <c r="K68" s="304"/>
      <c r="L68" s="296" t="s">
        <v>95</v>
      </c>
      <c r="M68" s="292" t="e">
        <f aca="true">IF(M66=" "," ",INDIRECT($H$3&amp;"!C"&amp;$H$4+2+C68))</f>
        <v>#REF!</v>
      </c>
      <c r="N68" s="293"/>
    </row>
    <row r="69" customFormat="false" ht="6" hidden="false" customHeight="true" outlineLevel="0" collapsed="false">
      <c r="A69" s="287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293"/>
    </row>
    <row r="70" customFormat="false" ht="21" hidden="false" customHeight="true" outlineLevel="0" collapsed="false">
      <c r="A70" s="287"/>
      <c r="B70" s="306" t="s">
        <v>96</v>
      </c>
      <c r="C70" s="306"/>
      <c r="D70" s="306"/>
      <c r="E70" s="306"/>
      <c r="F70" s="306"/>
      <c r="G70" s="307" t="s">
        <v>97</v>
      </c>
      <c r="H70" s="306" t="s">
        <v>98</v>
      </c>
      <c r="I70" s="306"/>
      <c r="J70" s="306"/>
      <c r="K70" s="306"/>
      <c r="L70" s="306"/>
      <c r="M70" s="336" t="s">
        <v>99</v>
      </c>
      <c r="N70" s="293"/>
    </row>
    <row r="71" s="313" customFormat="true" ht="21" hidden="false" customHeight="true" outlineLevel="0" collapsed="false">
      <c r="A71" s="287"/>
      <c r="B71" s="310" t="s">
        <v>100</v>
      </c>
      <c r="C71" s="310" t="s">
        <v>101</v>
      </c>
      <c r="D71" s="310" t="s">
        <v>102</v>
      </c>
      <c r="E71" s="310" t="s">
        <v>103</v>
      </c>
      <c r="F71" s="311" t="s">
        <v>104</v>
      </c>
      <c r="G71" s="307"/>
      <c r="H71" s="310" t="s">
        <v>112</v>
      </c>
      <c r="I71" s="310" t="s">
        <v>106</v>
      </c>
      <c r="J71" s="310" t="s">
        <v>107</v>
      </c>
      <c r="K71" s="310"/>
      <c r="L71" s="311" t="s">
        <v>57</v>
      </c>
      <c r="M71" s="336"/>
      <c r="N71" s="293"/>
    </row>
    <row r="72" s="324" customFormat="true" ht="21" hidden="false" customHeight="true" outlineLevel="0" collapsed="false">
      <c r="A72" s="287"/>
      <c r="B72" s="315" t="e">
        <f aca="true">IF(M66=" "," ",INDIRECT($H$3&amp;"!H"&amp;$H$4+2+C68))</f>
        <v>#REF!</v>
      </c>
      <c r="C72" s="315" t="e">
        <f aca="true">IF(M66=" "," ",INDIRECT($H$3&amp;"!I"&amp;$H$4+2+C68))</f>
        <v>#REF!</v>
      </c>
      <c r="D72" s="315" t="e">
        <f aca="true">IF(M66=" "," ",INDIRECT($H$3&amp;"!J"&amp;$H$4+2+C68))</f>
        <v>#REF!</v>
      </c>
      <c r="E72" s="315" t="e">
        <f aca="true">IF(M66=" "," ",INDIRECT($H$3&amp;"!K"&amp;$H$4+2+C68))</f>
        <v>#REF!</v>
      </c>
      <c r="F72" s="316" t="e">
        <f aca="true">IF(M66=" "," ",INDIRECT($H$3&amp;"!L"&amp;$H$4+2+C68))</f>
        <v>#REF!</v>
      </c>
      <c r="G72" s="317" t="e">
        <f aca="true">IF(M66=" "," ",INDIRECT($H$3&amp;"!M"&amp;$H$4+2+C68))</f>
        <v>#REF!</v>
      </c>
      <c r="H72" s="318" t="e">
        <f aca="true">IF(M66=" "," ",INDIRECT($H$3&amp;"!N"&amp;$H$4+2+C68))</f>
        <v>#REF!</v>
      </c>
      <c r="I72" s="315" t="e">
        <f aca="true">IF(M66=" "," ",INDIRECT($H$3&amp;"!O"&amp;$H$4+2+C68))</f>
        <v>#REF!</v>
      </c>
      <c r="J72" s="315" t="e">
        <f aca="true">IF(M66=" "," ",INDIRECT($H$3&amp;"!P"&amp;$H$4+2+C68))</f>
        <v>#REF!</v>
      </c>
      <c r="K72" s="315"/>
      <c r="L72" s="316" t="e">
        <f aca="true">IF(M66=" "," ",INDIRECT($H$3&amp;"!Q"&amp;$H$4+2+C68))</f>
        <v>#REF!</v>
      </c>
      <c r="M72" s="319" t="e">
        <f aca="true">IF(M66=" "," ",INDIRECT($H$3&amp;"!R"&amp;$H$4+2+C68))</f>
        <v>#REF!</v>
      </c>
      <c r="N72" s="293"/>
    </row>
    <row r="73" s="324" customFormat="true" ht="21" hidden="false" customHeight="true" outlineLevel="0" collapsed="false">
      <c r="A73" s="287"/>
      <c r="B73" s="322" t="s">
        <v>108</v>
      </c>
      <c r="C73" s="322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293"/>
    </row>
    <row r="74" s="324" customFormat="true" ht="21" hidden="false" customHeight="true" outlineLevel="0" collapsed="false">
      <c r="A74" s="287"/>
      <c r="B74" s="325"/>
      <c r="C74" s="325"/>
      <c r="D74" s="323"/>
      <c r="E74" s="326" t="s">
        <v>109</v>
      </c>
      <c r="F74" s="326"/>
      <c r="G74" s="315" t="e">
        <f aca="true">IF(M66=" "," ",INDIRECT($H$3&amp;"!V"&amp;$H$4+2+C68))</f>
        <v>#REF!</v>
      </c>
      <c r="H74" s="315" t="e">
        <f aca="true">IF(M66=" "," ",INDIRECT($H$3&amp;"!W"&amp;$H$4+2+C68))</f>
        <v>#REF!</v>
      </c>
      <c r="I74" s="315" t="e">
        <f aca="true">IF(M66=" "," ",INDIRECT($H$3&amp;"!X"&amp;$H$4+2+C68))</f>
        <v>#REF!</v>
      </c>
      <c r="J74" s="315" t="e">
        <f aca="true">IF(M66=" "," ",INDIRECT($H$3&amp;"!Y"&amp;$H$4+2+C68))</f>
        <v>#REF!</v>
      </c>
      <c r="K74" s="315"/>
      <c r="L74" s="315" t="e">
        <f aca="true">IF(M66=" "," ",INDIRECT($H$3&amp;"!Z"&amp;$H$4+2+C68))</f>
        <v>#REF!</v>
      </c>
      <c r="M74" s="315" t="e">
        <f aca="true">IF(M66=" "," ",INDIRECT($H$3&amp;"!AA"&amp;$H$4+2+C68))</f>
        <v>#REF!</v>
      </c>
      <c r="N74" s="293"/>
    </row>
    <row r="75" customFormat="false" ht="6" hidden="false" customHeight="true" outlineLevel="0" collapsed="false">
      <c r="A75" s="287"/>
      <c r="B75" s="292"/>
      <c r="C75" s="292"/>
      <c r="D75" s="292"/>
      <c r="E75" s="292"/>
      <c r="F75" s="292"/>
      <c r="G75" s="292"/>
      <c r="H75" s="292"/>
      <c r="I75" s="292"/>
      <c r="J75" s="305"/>
      <c r="K75" s="305"/>
      <c r="L75" s="292"/>
      <c r="M75" s="292"/>
      <c r="N75" s="293"/>
    </row>
    <row r="76" customFormat="false" ht="21" hidden="false" customHeight="true" outlineLevel="0" collapsed="false">
      <c r="A76" s="287"/>
      <c r="B76" s="292"/>
      <c r="C76" s="292"/>
      <c r="D76" s="292"/>
      <c r="E76" s="292"/>
      <c r="F76" s="292"/>
      <c r="G76" s="292"/>
      <c r="H76" s="292"/>
      <c r="I76" s="292"/>
      <c r="J76" s="327" t="s">
        <v>110</v>
      </c>
      <c r="K76" s="327"/>
      <c r="L76" s="327"/>
      <c r="M76" s="328" t="e">
        <f aca="false">M61</f>
        <v>#REF!</v>
      </c>
      <c r="N76" s="293"/>
    </row>
    <row r="77" customFormat="false" ht="12" hidden="false" customHeight="true" outlineLevel="0" collapsed="false">
      <c r="A77" s="329"/>
      <c r="B77" s="330" t="s">
        <v>2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3"/>
    </row>
    <row r="78" customFormat="false" ht="21" hidden="false" customHeight="true" outlineLevel="0" collapsed="false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8" width="1.66"/>
    <col collapsed="false" customWidth="true" hidden="false" outlineLevel="0" max="2" min="2" style="339" width="9.66"/>
    <col collapsed="false" customWidth="true" hidden="false" outlineLevel="0" max="9" min="3" style="338" width="11.66"/>
    <col collapsed="false" customWidth="true" hidden="false" outlineLevel="0" max="10" min="10" style="338" width="9.66"/>
    <col collapsed="false" customWidth="true" hidden="false" outlineLevel="0" max="14" min="11" style="338" width="11.66"/>
    <col collapsed="false" customWidth="true" hidden="false" outlineLevel="0" max="15" min="15" style="338" width="1.66"/>
    <col collapsed="false" customWidth="false" hidden="false" outlineLevel="0" max="257" min="16" style="338" width="9.15"/>
  </cols>
  <sheetData>
    <row r="1" customFormat="false" ht="9" hidden="false" customHeight="true" outlineLevel="0" collapsed="false">
      <c r="A1" s="340"/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3"/>
    </row>
    <row r="2" s="348" customFormat="true" ht="32.8" hidden="false" customHeight="false" outlineLevel="0" collapsed="false">
      <c r="A2" s="344"/>
      <c r="B2" s="345" t="s">
        <v>113</v>
      </c>
      <c r="C2" s="346" t="s">
        <v>114</v>
      </c>
      <c r="D2" s="345" t="s">
        <v>115</v>
      </c>
      <c r="E2" s="345" t="s">
        <v>116</v>
      </c>
      <c r="F2" s="345" t="s">
        <v>117</v>
      </c>
      <c r="G2" s="345" t="s">
        <v>118</v>
      </c>
      <c r="H2" s="345" t="s">
        <v>119</v>
      </c>
      <c r="I2" s="345" t="s">
        <v>120</v>
      </c>
      <c r="J2" s="345" t="s">
        <v>121</v>
      </c>
      <c r="K2" s="345" t="s">
        <v>122</v>
      </c>
      <c r="L2" s="346" t="s">
        <v>123</v>
      </c>
      <c r="M2" s="346" t="s">
        <v>124</v>
      </c>
      <c r="N2" s="345" t="s">
        <v>125</v>
      </c>
      <c r="O2" s="347"/>
    </row>
    <row r="3" customFormat="false" ht="15" hidden="false" customHeight="true" outlineLevel="0" collapsed="false">
      <c r="A3" s="349"/>
      <c r="B3" s="350"/>
      <c r="C3" s="351"/>
      <c r="D3" s="351"/>
      <c r="E3" s="351"/>
      <c r="F3" s="351"/>
      <c r="G3" s="351"/>
      <c r="H3" s="351"/>
      <c r="I3" s="351"/>
      <c r="N3" s="352"/>
      <c r="O3" s="353"/>
    </row>
    <row r="4" customFormat="false" ht="15" hidden="false" customHeight="true" outlineLevel="0" collapsed="false">
      <c r="A4" s="349"/>
      <c r="B4" s="354" t="n">
        <f aca="false">Admin!$B$26</f>
        <v>46142</v>
      </c>
      <c r="C4" s="355" t="n">
        <f aca="false">Admin!$B$45</f>
        <v>46161</v>
      </c>
      <c r="D4" s="356" t="n">
        <f aca="false">Apr!T1+Apr!O1</f>
        <v>0</v>
      </c>
      <c r="E4" s="357" t="n">
        <f aca="false">Apr!N1</f>
        <v>0</v>
      </c>
      <c r="F4" s="357" t="n">
        <f aca="false">Apr!AD60+Apr!AE60+Apr!AF60+Apr!AG60</f>
        <v>0</v>
      </c>
      <c r="G4" s="357" t="n">
        <f aca="false">Apr!AE62+Apr!AF62+Apr!AG62</f>
        <v>0</v>
      </c>
      <c r="H4" s="357" t="n">
        <f aca="false">Apr!P1</f>
        <v>0</v>
      </c>
      <c r="I4" s="356" t="n">
        <f aca="false">D4+E4-F4-G4+H4</f>
        <v>0</v>
      </c>
      <c r="M4" s="338" t="n">
        <f aca="false">(YEAR(Admin!B2)-1999)*100+1</f>
        <v>2701</v>
      </c>
      <c r="N4" s="358" t="n">
        <f aca="false">N3+I4-L4</f>
        <v>0</v>
      </c>
      <c r="O4" s="353"/>
    </row>
    <row r="5" customFormat="false" ht="15" hidden="false" customHeight="true" outlineLevel="0" collapsed="false">
      <c r="A5" s="349"/>
      <c r="B5" s="354" t="n">
        <f aca="false">Admin!$B$57</f>
        <v>46173</v>
      </c>
      <c r="C5" s="355" t="n">
        <f aca="false">Admin!$B$76</f>
        <v>46192</v>
      </c>
      <c r="D5" s="356" t="n">
        <f aca="false">May!T1+May!O1</f>
        <v>0</v>
      </c>
      <c r="E5" s="357" t="n">
        <f aca="false">May!N1</f>
        <v>0</v>
      </c>
      <c r="F5" s="357" t="n">
        <f aca="false">May!AD60+May!AE60+May!AF60+May!AG60</f>
        <v>0</v>
      </c>
      <c r="G5" s="357" t="n">
        <f aca="false">May!AE62+May!AF62+May!AG62</f>
        <v>0</v>
      </c>
      <c r="H5" s="357" t="n">
        <f aca="false">May!P1</f>
        <v>0</v>
      </c>
      <c r="I5" s="356" t="n">
        <f aca="false">D5+E5-F5-G5+H5</f>
        <v>0</v>
      </c>
      <c r="M5" s="338" t="n">
        <f aca="false">M4+1</f>
        <v>2702</v>
      </c>
      <c r="N5" s="358" t="n">
        <f aca="false">N4+I5-L5</f>
        <v>0</v>
      </c>
      <c r="O5" s="353"/>
    </row>
    <row r="6" customFormat="false" ht="15" hidden="false" customHeight="true" outlineLevel="0" collapsed="false">
      <c r="A6" s="349"/>
      <c r="B6" s="354" t="n">
        <f aca="false">Admin!$B$87</f>
        <v>46203</v>
      </c>
      <c r="C6" s="355" t="n">
        <f aca="false">Admin!$B$106</f>
        <v>46222</v>
      </c>
      <c r="D6" s="356" t="n">
        <f aca="false">Jun!T1+Jun!O1</f>
        <v>0</v>
      </c>
      <c r="E6" s="357" t="n">
        <f aca="false">Jun!N1</f>
        <v>0</v>
      </c>
      <c r="F6" s="357" t="n">
        <f aca="false">Jun!AD70+Jun!AE70+Jun!AF70+Jun!AG70</f>
        <v>0</v>
      </c>
      <c r="G6" s="357" t="n">
        <f aca="false">Jun!AE72+Jun!AF72+Jun!AG72</f>
        <v>0</v>
      </c>
      <c r="H6" s="357" t="n">
        <f aca="false">Jun!P1</f>
        <v>0</v>
      </c>
      <c r="I6" s="356" t="n">
        <f aca="false">D6+E6-F6-G6+H6</f>
        <v>0</v>
      </c>
      <c r="M6" s="338" t="n">
        <f aca="false">M5+1</f>
        <v>2703</v>
      </c>
      <c r="N6" s="358" t="n">
        <f aca="false">N5+I6-L6</f>
        <v>0</v>
      </c>
      <c r="O6" s="353"/>
    </row>
    <row r="7" customFormat="false" ht="15" hidden="false" customHeight="true" outlineLevel="0" collapsed="false">
      <c r="A7" s="349"/>
      <c r="B7" s="354" t="n">
        <f aca="false">Admin!$B$118</f>
        <v>46234</v>
      </c>
      <c r="C7" s="355" t="n">
        <f aca="false">Admin!$B$137</f>
        <v>46253</v>
      </c>
      <c r="D7" s="356" t="n">
        <f aca="false">Jul!T1+Jul!O1</f>
        <v>0</v>
      </c>
      <c r="E7" s="357" t="n">
        <f aca="false">Jul!N1</f>
        <v>0</v>
      </c>
      <c r="F7" s="357" t="n">
        <f aca="false">Jul!AD60+Jul!AE60+Jul!AF60+Jul!AG60</f>
        <v>0</v>
      </c>
      <c r="G7" s="357" t="n">
        <f aca="false">Jul!AE62+Jul!AF62+Jul!AG62</f>
        <v>0</v>
      </c>
      <c r="H7" s="357" t="n">
        <f aca="false">Jul!P1</f>
        <v>0</v>
      </c>
      <c r="I7" s="356" t="n">
        <f aca="false">D7+E7-F7-G7+H7</f>
        <v>0</v>
      </c>
      <c r="M7" s="338" t="n">
        <f aca="false">M6+1</f>
        <v>2704</v>
      </c>
      <c r="N7" s="358" t="n">
        <f aca="false">N6+I7-L7</f>
        <v>0</v>
      </c>
      <c r="O7" s="353"/>
    </row>
    <row r="8" customFormat="false" ht="15" hidden="false" customHeight="true" outlineLevel="0" collapsed="false">
      <c r="A8" s="349"/>
      <c r="B8" s="354" t="n">
        <f aca="false">Admin!$B$149</f>
        <v>46265</v>
      </c>
      <c r="C8" s="355" t="n">
        <f aca="false">Admin!$B$168</f>
        <v>46284</v>
      </c>
      <c r="D8" s="356" t="n">
        <f aca="false">Aug!T1+Aug!O1</f>
        <v>0</v>
      </c>
      <c r="E8" s="357" t="n">
        <f aca="false">Aug!N1</f>
        <v>0</v>
      </c>
      <c r="F8" s="357" t="n">
        <f aca="false">Aug!AD60+Aug!AE60+Aug!AF60+Aug!AG60</f>
        <v>0</v>
      </c>
      <c r="G8" s="357" t="n">
        <f aca="false">Aug!AE62+Aug!AF62+Aug!AG62</f>
        <v>0</v>
      </c>
      <c r="H8" s="357" t="n">
        <f aca="false">Aug!P1</f>
        <v>0</v>
      </c>
      <c r="I8" s="356" t="n">
        <f aca="false">D8+E8-F8-G8+H8</f>
        <v>0</v>
      </c>
      <c r="M8" s="338" t="n">
        <f aca="false">M7+1</f>
        <v>2705</v>
      </c>
      <c r="N8" s="358" t="n">
        <f aca="false">N7+I8-L8</f>
        <v>0</v>
      </c>
      <c r="O8" s="353"/>
    </row>
    <row r="9" customFormat="false" ht="15" hidden="false" customHeight="true" outlineLevel="0" collapsed="false">
      <c r="A9" s="349"/>
      <c r="B9" s="354" t="n">
        <f aca="false">Admin!$B$179</f>
        <v>46295</v>
      </c>
      <c r="C9" s="355" t="n">
        <f aca="false">Admin!$B$198</f>
        <v>46314</v>
      </c>
      <c r="D9" s="356" t="n">
        <f aca="false">Sep!T1+Sep!O1</f>
        <v>0</v>
      </c>
      <c r="E9" s="357" t="n">
        <f aca="false">Sep!N1</f>
        <v>0</v>
      </c>
      <c r="F9" s="357" t="n">
        <f aca="false">Sep!AD70+Sep!AE70+Sep!AF70+Sep!AG70</f>
        <v>0</v>
      </c>
      <c r="G9" s="357" t="n">
        <f aca="false">Sep!AE72+Sep!AF72+Sep!AG72</f>
        <v>0</v>
      </c>
      <c r="H9" s="357" t="n">
        <f aca="false">Sep!P1</f>
        <v>0</v>
      </c>
      <c r="I9" s="356" t="n">
        <f aca="false">D9+E9-F9-G9+H9</f>
        <v>0</v>
      </c>
      <c r="M9" s="338" t="n">
        <f aca="false">M8+1</f>
        <v>2706</v>
      </c>
      <c r="N9" s="358" t="n">
        <f aca="false">N8+I9-L9</f>
        <v>0</v>
      </c>
      <c r="O9" s="353"/>
    </row>
    <row r="10" customFormat="false" ht="15" hidden="false" customHeight="true" outlineLevel="0" collapsed="false">
      <c r="A10" s="349"/>
      <c r="B10" s="354" t="n">
        <f aca="false">Admin!$B$210</f>
        <v>46326</v>
      </c>
      <c r="C10" s="355" t="n">
        <f aca="false">Admin!$B$229</f>
        <v>46345</v>
      </c>
      <c r="D10" s="356" t="n">
        <f aca="false">Oct!T1+Oct!O1</f>
        <v>0</v>
      </c>
      <c r="E10" s="357" t="n">
        <f aca="false">Oct!N1</f>
        <v>0</v>
      </c>
      <c r="F10" s="357" t="n">
        <f aca="false">Oct!AD60+Oct!AE60+Oct!AF60+Oct!AG60</f>
        <v>0</v>
      </c>
      <c r="G10" s="357" t="n">
        <f aca="false">Oct!AE62+Oct!AF62+Oct!AG62</f>
        <v>0</v>
      </c>
      <c r="H10" s="357" t="n">
        <f aca="false">Oct!P1</f>
        <v>0</v>
      </c>
      <c r="I10" s="356" t="n">
        <f aca="false">D10+E10-F10-G10+H10</f>
        <v>0</v>
      </c>
      <c r="M10" s="338" t="n">
        <f aca="false">M9+1</f>
        <v>2707</v>
      </c>
      <c r="N10" s="358" t="n">
        <f aca="false">N9+I10-L10</f>
        <v>0</v>
      </c>
      <c r="O10" s="353"/>
    </row>
    <row r="11" customFormat="false" ht="15" hidden="false" customHeight="true" outlineLevel="0" collapsed="false">
      <c r="A11" s="349"/>
      <c r="B11" s="354" t="n">
        <f aca="false">Admin!$B$240</f>
        <v>46356</v>
      </c>
      <c r="C11" s="355" t="n">
        <f aca="false">Admin!$B$259</f>
        <v>46375</v>
      </c>
      <c r="D11" s="356" t="n">
        <f aca="false">Nov!T1+Nov!O1</f>
        <v>0</v>
      </c>
      <c r="E11" s="357" t="n">
        <f aca="false">Nov!N1</f>
        <v>0</v>
      </c>
      <c r="F11" s="357" t="n">
        <f aca="false">Nov!AD60+Nov!AE60+Nov!AF60+Nov!AG60</f>
        <v>0</v>
      </c>
      <c r="G11" s="357" t="n">
        <f aca="false">Nov!AE62+Nov!AF62+Nov!AG62</f>
        <v>0</v>
      </c>
      <c r="H11" s="357" t="n">
        <f aca="false">Nov!P1</f>
        <v>0</v>
      </c>
      <c r="I11" s="356" t="n">
        <f aca="false">D11+E11-F11-G11+H11</f>
        <v>0</v>
      </c>
      <c r="M11" s="338" t="n">
        <f aca="false">M10+1</f>
        <v>2708</v>
      </c>
      <c r="N11" s="358" t="n">
        <f aca="false">N10+I11-L11</f>
        <v>0</v>
      </c>
      <c r="O11" s="353"/>
    </row>
    <row r="12" customFormat="false" ht="15" hidden="false" customHeight="true" outlineLevel="0" collapsed="false">
      <c r="A12" s="349"/>
      <c r="B12" s="354" t="n">
        <f aca="false">Admin!$B$271</f>
        <v>46387</v>
      </c>
      <c r="C12" s="355" t="n">
        <f aca="false">Admin!$B$290</f>
        <v>46406</v>
      </c>
      <c r="D12" s="356" t="n">
        <f aca="false">Dec!T1+Dec!O1</f>
        <v>0</v>
      </c>
      <c r="E12" s="357" t="n">
        <f aca="false">Dec!N1</f>
        <v>0</v>
      </c>
      <c r="F12" s="357" t="n">
        <f aca="false">Dec!AD70+Dec!AE70+Dec!AF70+Dec!AG70</f>
        <v>0</v>
      </c>
      <c r="G12" s="357" t="n">
        <f aca="false">Dec!AE72+Dec!AF72+Dec!AG72</f>
        <v>0</v>
      </c>
      <c r="H12" s="357" t="n">
        <f aca="false">Dec!P1</f>
        <v>0</v>
      </c>
      <c r="I12" s="356" t="n">
        <f aca="false">D12+E12-F12-G12+H12</f>
        <v>0</v>
      </c>
      <c r="M12" s="338" t="n">
        <f aca="false">M11+1</f>
        <v>2709</v>
      </c>
      <c r="N12" s="358" t="n">
        <f aca="false">N11+I12-L12</f>
        <v>0</v>
      </c>
      <c r="O12" s="353"/>
    </row>
    <row r="13" customFormat="false" ht="15" hidden="false" customHeight="true" outlineLevel="0" collapsed="false">
      <c r="A13" s="349"/>
      <c r="B13" s="354" t="n">
        <f aca="false">Admin!$B$302</f>
        <v>46418</v>
      </c>
      <c r="C13" s="355" t="n">
        <f aca="false">Admin!$B$321</f>
        <v>46437</v>
      </c>
      <c r="D13" s="356" t="n">
        <f aca="false">Jan!T1+Jan!O1</f>
        <v>0</v>
      </c>
      <c r="E13" s="357" t="n">
        <f aca="false">Jan!N1</f>
        <v>0</v>
      </c>
      <c r="F13" s="357" t="n">
        <f aca="false">Jan!AD60+Jan!AE60+Jan!AF60+Jan!AG60</f>
        <v>0</v>
      </c>
      <c r="G13" s="357" t="n">
        <f aca="false">Jan!AE62+Jan!AF62+Jan!AG62</f>
        <v>0</v>
      </c>
      <c r="H13" s="357" t="n">
        <f aca="false">Jan!P1</f>
        <v>0</v>
      </c>
      <c r="I13" s="356" t="n">
        <f aca="false">D13+E13-F13-G13+H13</f>
        <v>0</v>
      </c>
      <c r="M13" s="338" t="n">
        <f aca="false">M12+1</f>
        <v>2710</v>
      </c>
      <c r="N13" s="358" t="n">
        <f aca="false">N12+I13-L13</f>
        <v>0</v>
      </c>
      <c r="O13" s="353"/>
    </row>
    <row r="14" customFormat="false" ht="15" hidden="false" customHeight="true" outlineLevel="0" collapsed="false">
      <c r="A14" s="349"/>
      <c r="B14" s="354" t="n">
        <f aca="false">Admin!$B$330</f>
        <v>46446</v>
      </c>
      <c r="C14" s="355" t="n">
        <f aca="false">Admin!$B$350</f>
        <v>46466</v>
      </c>
      <c r="D14" s="356" t="n">
        <f aca="false">Feb!T1+Feb!O1</f>
        <v>0</v>
      </c>
      <c r="E14" s="357" t="n">
        <f aca="false">Feb!N1</f>
        <v>0</v>
      </c>
      <c r="F14" s="357" t="n">
        <f aca="false">Feb!AD60+Feb!AE60+Feb!AF60+Feb!AG60</f>
        <v>0</v>
      </c>
      <c r="G14" s="357" t="n">
        <f aca="false">Feb!AE62+Feb!AF62+Feb!AG62</f>
        <v>0</v>
      </c>
      <c r="H14" s="357" t="n">
        <f aca="false">Feb!P1</f>
        <v>0</v>
      </c>
      <c r="I14" s="356" t="n">
        <f aca="false">D14+E14-F14-G14+H14</f>
        <v>0</v>
      </c>
      <c r="M14" s="338" t="n">
        <f aca="false">M13+1</f>
        <v>2711</v>
      </c>
      <c r="N14" s="358" t="n">
        <f aca="false">N13+I14-L14</f>
        <v>0</v>
      </c>
      <c r="O14" s="353"/>
    </row>
    <row r="15" customFormat="false" ht="15" hidden="false" customHeight="true" outlineLevel="0" collapsed="false">
      <c r="A15" s="349"/>
      <c r="B15" s="354" t="n">
        <f aca="false">Admin!$B$361</f>
        <v>46477</v>
      </c>
      <c r="C15" s="355" t="n">
        <f aca="false">Admin!$B$381</f>
        <v>46497</v>
      </c>
      <c r="D15" s="356" t="n">
        <f aca="false">Mar!T1+Mar!O1</f>
        <v>0</v>
      </c>
      <c r="E15" s="357" t="n">
        <f aca="false">Mar!N1</f>
        <v>0</v>
      </c>
      <c r="F15" s="357" t="n">
        <f aca="false">Mar!AD80+Mar!AE80+Mar!AF80+Mar!AG80</f>
        <v>0</v>
      </c>
      <c r="G15" s="357" t="n">
        <f aca="false">Mar!AE82+Mar!AF82+Mar!AG82</f>
        <v>0</v>
      </c>
      <c r="H15" s="357" t="n">
        <f aca="false">Mar!P1</f>
        <v>0</v>
      </c>
      <c r="I15" s="356" t="n">
        <f aca="false">D15+E15-F15-G15+H15</f>
        <v>0</v>
      </c>
      <c r="M15" s="338" t="n">
        <f aca="false">M14+1</f>
        <v>2712</v>
      </c>
      <c r="N15" s="358" t="n">
        <f aca="false">N14+I15-L15</f>
        <v>0</v>
      </c>
      <c r="O15" s="353"/>
    </row>
    <row r="16" s="339" customFormat="true" ht="15" hidden="false" customHeight="true" outlineLevel="0" collapsed="false">
      <c r="A16" s="359"/>
      <c r="B16" s="360"/>
      <c r="C16" s="361"/>
      <c r="D16" s="362" t="n">
        <f aca="false">SUM(D4:D15)</f>
        <v>0</v>
      </c>
      <c r="E16" s="362" t="n">
        <f aca="false">SUM(E4:E15)</f>
        <v>0</v>
      </c>
      <c r="F16" s="362" t="n">
        <f aca="false">SUM(F4:F15)</f>
        <v>0</v>
      </c>
      <c r="G16" s="362" t="n">
        <f aca="false">SUM(G4:G15)</f>
        <v>0</v>
      </c>
      <c r="H16" s="362" t="n">
        <f aca="false">SUM(H4:H15)</f>
        <v>0</v>
      </c>
      <c r="I16" s="362" t="n">
        <f aca="false">SUM(I4:I15)</f>
        <v>0</v>
      </c>
      <c r="J16" s="363"/>
      <c r="K16" s="363"/>
      <c r="L16" s="364" t="n">
        <f aca="false">SUM(L4:L15)</f>
        <v>0</v>
      </c>
      <c r="M16" s="361"/>
      <c r="N16" s="365"/>
      <c r="O16" s="366"/>
    </row>
    <row r="17" customFormat="false" ht="9" hidden="false" customHeight="true" outlineLevel="0" collapsed="false">
      <c r="A17" s="367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9"/>
    </row>
    <row r="18" customFormat="false" ht="12" hidden="false" customHeight="false" outlineLevel="0" collapsed="false">
      <c r="B18" s="370" t="s">
        <v>126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1" width="5.99"/>
    <col collapsed="false" customWidth="false" hidden="false" outlineLevel="0" max="2" min="2" style="372" width="9.15"/>
    <col collapsed="false" customWidth="false" hidden="false" outlineLevel="0" max="4" min="3" style="373" width="9.15"/>
    <col collapsed="false" customWidth="true" hidden="false" outlineLevel="0" max="5" min="5" style="371" width="5.66"/>
    <col collapsed="false" customWidth="false" hidden="false" outlineLevel="0" max="6" min="6" style="374" width="9.15"/>
    <col collapsed="false" customWidth="true" hidden="false" outlineLevel="0" max="7" min="7" style="371" width="6.32"/>
    <col collapsed="false" customWidth="false" hidden="false" outlineLevel="0" max="9" min="8" style="371" width="9.15"/>
    <col collapsed="false" customWidth="true" hidden="false" outlineLevel="0" max="10" min="10" style="371" width="12.5"/>
    <col collapsed="false" customWidth="true" hidden="false" outlineLevel="0" max="11" min="11" style="371" width="9.49"/>
    <col collapsed="false" customWidth="false" hidden="false" outlineLevel="0" max="12" min="12" style="371" width="9.15"/>
    <col collapsed="false" customWidth="true" hidden="false" outlineLevel="0" max="13" min="13" style="374" width="8.33"/>
    <col collapsed="false" customWidth="true" hidden="false" outlineLevel="0" max="14" min="14" style="374" width="10.5"/>
    <col collapsed="false" customWidth="true" hidden="false" outlineLevel="0" max="15" min="15" style="374" width="4.33"/>
    <col collapsed="false" customWidth="true" hidden="false" outlineLevel="0" max="16" min="16" style="374" width="9.82"/>
    <col collapsed="false" customWidth="true" hidden="false" outlineLevel="0" max="17" min="17" style="374" width="4.33"/>
    <col collapsed="false" customWidth="true" hidden="false" outlineLevel="0" max="18" min="18" style="374" width="9.82"/>
    <col collapsed="false" customWidth="true" hidden="false" outlineLevel="0" max="19" min="19" style="371" width="1.99"/>
    <col collapsed="false" customWidth="false" hidden="false" outlineLevel="0" max="257" min="20" style="371" width="9.15"/>
  </cols>
  <sheetData>
    <row r="1" customFormat="false" ht="22.35" hidden="false" customHeight="false" outlineLevel="0" collapsed="false">
      <c r="A1" s="375" t="s">
        <v>127</v>
      </c>
      <c r="B1" s="376" t="s">
        <v>128</v>
      </c>
      <c r="C1" s="375" t="s">
        <v>72</v>
      </c>
      <c r="D1" s="375" t="s">
        <v>79</v>
      </c>
      <c r="E1" s="377" t="s">
        <v>129</v>
      </c>
      <c r="F1" s="377" t="s">
        <v>130</v>
      </c>
      <c r="G1" s="378" t="s">
        <v>131</v>
      </c>
      <c r="H1" s="378"/>
      <c r="I1" s="379" t="n">
        <f aca="false">B366</f>
        <v>46482</v>
      </c>
      <c r="J1" s="379"/>
      <c r="K1" s="380"/>
      <c r="L1" s="380"/>
      <c r="M1" s="381"/>
      <c r="N1" s="382" t="str">
        <f aca="false">TEXT(YEAR(I1)-1,"0")&amp;"-"&amp;TEXT(YEAR(I1)-2000,"0")</f>
        <v>2026-27</v>
      </c>
      <c r="O1" s="381"/>
      <c r="P1" s="381"/>
      <c r="Q1" s="381"/>
      <c r="R1" s="381"/>
      <c r="S1" s="380"/>
    </row>
    <row r="2" customFormat="false" ht="11.45" hidden="false" customHeight="false" outlineLevel="0" collapsed="false">
      <c r="A2" s="383" t="str">
        <f aca="false">TEXT(DATE(YEAR(B$2),MONTH(B$2)+(D2-1),1),"Mmm")</f>
        <v>Apr</v>
      </c>
      <c r="B2" s="384" t="n">
        <v>46118</v>
      </c>
      <c r="C2" s="385" t="n">
        <v>1</v>
      </c>
      <c r="D2" s="385" t="n">
        <v>1</v>
      </c>
      <c r="E2" s="386" t="n">
        <f aca="false">B2</f>
        <v>46118</v>
      </c>
      <c r="F2" s="385" t="n">
        <v>1</v>
      </c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customFormat="false" ht="11.45" hidden="false" customHeight="false" outlineLevel="0" collapsed="false">
      <c r="A3" s="383" t="str">
        <f aca="false">TEXT(DATE(YEAR(B$2),MONTH(B$2)+(D3-1),1),"Mmm")</f>
        <v>Apr</v>
      </c>
      <c r="B3" s="384" t="n">
        <f aca="false">B2+1</f>
        <v>46119</v>
      </c>
      <c r="C3" s="385" t="n">
        <v>1</v>
      </c>
      <c r="D3" s="385" t="n">
        <v>1</v>
      </c>
      <c r="E3" s="387"/>
      <c r="F3" s="388" t="n">
        <v>1</v>
      </c>
      <c r="G3" s="380"/>
      <c r="H3" s="389" t="s">
        <v>132</v>
      </c>
      <c r="I3" s="389"/>
      <c r="J3" s="389"/>
      <c r="K3" s="389"/>
      <c r="L3" s="389"/>
      <c r="M3" s="389"/>
      <c r="N3" s="380"/>
      <c r="O3" s="380"/>
      <c r="P3" s="380"/>
      <c r="Q3" s="380"/>
      <c r="R3" s="380"/>
      <c r="S3" s="380"/>
    </row>
    <row r="4" customFormat="false" ht="11.45" hidden="false" customHeight="false" outlineLevel="0" collapsed="false">
      <c r="A4" s="383" t="str">
        <f aca="false">TEXT(DATE(YEAR(B$2),MONTH(B$2)+(D4-1),1),"Mmm")</f>
        <v>Apr</v>
      </c>
      <c r="B4" s="384" t="n">
        <f aca="false">B3+1</f>
        <v>46120</v>
      </c>
      <c r="C4" s="385" t="n">
        <v>1</v>
      </c>
      <c r="D4" s="385" t="n">
        <v>1</v>
      </c>
      <c r="E4" s="387"/>
      <c r="F4" s="388" t="n">
        <v>1</v>
      </c>
      <c r="G4" s="380"/>
      <c r="H4" s="390"/>
      <c r="I4" s="390"/>
      <c r="J4" s="390"/>
      <c r="K4" s="390"/>
      <c r="L4" s="390"/>
      <c r="M4" s="390"/>
      <c r="N4" s="380"/>
      <c r="O4" s="380"/>
      <c r="P4" s="380"/>
      <c r="Q4" s="380"/>
      <c r="R4" s="380"/>
      <c r="S4" s="380"/>
    </row>
    <row r="5" customFormat="false" ht="11.45" hidden="false" customHeight="false" outlineLevel="0" collapsed="false">
      <c r="A5" s="383" t="str">
        <f aca="false">TEXT(DATE(YEAR(B$2),MONTH(B$2)+(D5-1),1),"Mmm")</f>
        <v>Apr</v>
      </c>
      <c r="B5" s="384" t="n">
        <f aca="false">B4+1</f>
        <v>46121</v>
      </c>
      <c r="C5" s="385" t="n">
        <v>1</v>
      </c>
      <c r="D5" s="385" t="n">
        <v>1</v>
      </c>
      <c r="E5" s="387"/>
      <c r="F5" s="388" t="n">
        <v>1</v>
      </c>
      <c r="G5" s="380"/>
      <c r="H5" s="390"/>
      <c r="I5" s="390"/>
      <c r="J5" s="390"/>
      <c r="K5" s="390"/>
      <c r="L5" s="390"/>
      <c r="M5" s="390"/>
      <c r="N5" s="380"/>
      <c r="O5" s="380"/>
      <c r="P5" s="380"/>
      <c r="Q5" s="380"/>
      <c r="R5" s="380"/>
      <c r="S5" s="380"/>
    </row>
    <row r="6" customFormat="false" ht="11.45" hidden="false" customHeight="false" outlineLevel="0" collapsed="false">
      <c r="A6" s="383" t="str">
        <f aca="false">TEXT(DATE(YEAR(B$2),MONTH(B$2)+(D6-1),1),"Mmm")</f>
        <v>Apr</v>
      </c>
      <c r="B6" s="384" t="n">
        <f aca="false">B5+1</f>
        <v>46122</v>
      </c>
      <c r="C6" s="385" t="n">
        <v>1</v>
      </c>
      <c r="D6" s="385" t="n">
        <v>1</v>
      </c>
      <c r="E6" s="387"/>
      <c r="F6" s="388" t="n">
        <v>1</v>
      </c>
      <c r="G6" s="380"/>
      <c r="H6" s="390" t="s">
        <v>133</v>
      </c>
      <c r="I6" s="390" t="s">
        <v>134</v>
      </c>
      <c r="J6" s="390"/>
      <c r="K6" s="390" t="s">
        <v>135</v>
      </c>
      <c r="L6" s="390"/>
      <c r="M6" s="390"/>
      <c r="N6" s="380"/>
      <c r="O6" s="380"/>
      <c r="P6" s="380"/>
      <c r="Q6" s="380"/>
      <c r="R6" s="380"/>
      <c r="S6" s="380"/>
    </row>
    <row r="7" customFormat="false" ht="11.45" hidden="false" customHeight="false" outlineLevel="0" collapsed="false">
      <c r="A7" s="383" t="str">
        <f aca="false">TEXT(DATE(YEAR(B$2),MONTH(B$2)+(D7-1),1),"Mmm")</f>
        <v>Apr</v>
      </c>
      <c r="B7" s="384" t="n">
        <f aca="false">B6+1</f>
        <v>46123</v>
      </c>
      <c r="C7" s="385" t="n">
        <v>2</v>
      </c>
      <c r="D7" s="385" t="n">
        <v>1</v>
      </c>
      <c r="E7" s="387"/>
      <c r="F7" s="388" t="n">
        <v>2</v>
      </c>
      <c r="G7" s="380"/>
      <c r="H7" s="390"/>
      <c r="I7" s="390"/>
      <c r="J7" s="390"/>
      <c r="K7" s="390"/>
      <c r="L7" s="390"/>
      <c r="M7" s="390"/>
      <c r="N7" s="380"/>
      <c r="O7" s="380"/>
      <c r="P7" s="380"/>
      <c r="Q7" s="380"/>
      <c r="R7" s="380"/>
      <c r="S7" s="380"/>
    </row>
    <row r="8" customFormat="false" ht="11.45" hidden="false" customHeight="false" outlineLevel="0" collapsed="false">
      <c r="A8" s="383" t="str">
        <f aca="false">TEXT(DATE(YEAR(B$2),MONTH(B$2)+(D8-1),1),"Mmm")</f>
        <v>Apr</v>
      </c>
      <c r="B8" s="384" t="n">
        <f aca="false">B7+1</f>
        <v>46124</v>
      </c>
      <c r="C8" s="385" t="n">
        <v>2</v>
      </c>
      <c r="D8" s="385" t="n">
        <v>1</v>
      </c>
      <c r="E8" s="387"/>
      <c r="F8" s="388" t="n">
        <v>2</v>
      </c>
      <c r="G8" s="380"/>
      <c r="H8" s="385" t="n">
        <v>1</v>
      </c>
      <c r="I8" s="385" t="n">
        <v>4</v>
      </c>
      <c r="J8" s="390"/>
      <c r="K8" s="385" t="n">
        <v>5</v>
      </c>
      <c r="L8" s="390"/>
      <c r="M8" s="390"/>
      <c r="N8" s="380"/>
      <c r="O8" s="380"/>
      <c r="P8" s="380"/>
      <c r="Q8" s="380"/>
      <c r="R8" s="380"/>
      <c r="S8" s="380"/>
    </row>
    <row r="9" customFormat="false" ht="11.45" hidden="false" customHeight="false" outlineLevel="0" collapsed="false">
      <c r="A9" s="383" t="str">
        <f aca="false">TEXT(DATE(YEAR(B$2),MONTH(B$2)+(D9-1),1),"Mmm")</f>
        <v>Apr</v>
      </c>
      <c r="B9" s="384" t="n">
        <f aca="false">B8+1</f>
        <v>46125</v>
      </c>
      <c r="C9" s="385" t="n">
        <v>2</v>
      </c>
      <c r="D9" s="385" t="n">
        <v>1</v>
      </c>
      <c r="E9" s="387"/>
      <c r="F9" s="388" t="n">
        <v>2</v>
      </c>
      <c r="G9" s="380"/>
      <c r="H9" s="385" t="n">
        <v>2</v>
      </c>
      <c r="I9" s="385" t="n">
        <v>4</v>
      </c>
      <c r="J9" s="390"/>
      <c r="K9" s="390"/>
      <c r="L9" s="390"/>
      <c r="M9" s="390"/>
      <c r="N9" s="380"/>
      <c r="O9" s="380"/>
      <c r="P9" s="380"/>
      <c r="Q9" s="380"/>
      <c r="R9" s="380"/>
      <c r="S9" s="380"/>
    </row>
    <row r="10" customFormat="false" ht="11.45" hidden="false" customHeight="false" outlineLevel="0" collapsed="false">
      <c r="A10" s="383" t="str">
        <f aca="false">TEXT(DATE(YEAR(B$2),MONTH(B$2)+(D10-1),1),"Mmm")</f>
        <v>Apr</v>
      </c>
      <c r="B10" s="384" t="n">
        <f aca="false">B9+1</f>
        <v>46126</v>
      </c>
      <c r="C10" s="385" t="n">
        <v>2</v>
      </c>
      <c r="D10" s="385" t="n">
        <v>1</v>
      </c>
      <c r="E10" s="387"/>
      <c r="F10" s="388" t="n">
        <v>2</v>
      </c>
      <c r="G10" s="380"/>
      <c r="H10" s="385" t="n">
        <v>3</v>
      </c>
      <c r="I10" s="385" t="n">
        <v>5</v>
      </c>
      <c r="J10" s="390"/>
      <c r="K10" s="390"/>
      <c r="L10" s="390"/>
      <c r="M10" s="390"/>
      <c r="N10" s="380"/>
      <c r="O10" s="380"/>
      <c r="P10" s="380"/>
      <c r="Q10" s="380"/>
      <c r="R10" s="380"/>
      <c r="S10" s="380"/>
    </row>
    <row r="11" customFormat="false" ht="11.45" hidden="false" customHeight="false" outlineLevel="0" collapsed="false">
      <c r="A11" s="383" t="str">
        <f aca="false">TEXT(DATE(YEAR(B$2),MONTH(B$2)+(D11-1),1),"Mmm")</f>
        <v>Apr</v>
      </c>
      <c r="B11" s="384" t="n">
        <f aca="false">B10+1</f>
        <v>46127</v>
      </c>
      <c r="C11" s="385" t="n">
        <v>2</v>
      </c>
      <c r="D11" s="385" t="n">
        <v>1</v>
      </c>
      <c r="E11" s="387"/>
      <c r="F11" s="388" t="n">
        <v>2</v>
      </c>
      <c r="G11" s="380"/>
      <c r="H11" s="385" t="n">
        <v>4</v>
      </c>
      <c r="I11" s="385" t="n">
        <v>4</v>
      </c>
      <c r="J11" s="390"/>
      <c r="K11" s="390" t="s">
        <v>136</v>
      </c>
      <c r="L11" s="385" t="s">
        <v>9</v>
      </c>
      <c r="M11" s="390"/>
      <c r="N11" s="380"/>
      <c r="O11" s="380"/>
      <c r="P11" s="380"/>
      <c r="Q11" s="380"/>
      <c r="R11" s="380"/>
      <c r="S11" s="380"/>
    </row>
    <row r="12" customFormat="false" ht="11.45" hidden="false" customHeight="false" outlineLevel="0" collapsed="false">
      <c r="A12" s="383" t="str">
        <f aca="false">TEXT(DATE(YEAR(B$2),MONTH(B$2)+(D12-1),1),"Mmm")</f>
        <v>Apr</v>
      </c>
      <c r="B12" s="384" t="n">
        <f aca="false">B11+1</f>
        <v>46128</v>
      </c>
      <c r="C12" s="385" t="n">
        <v>2</v>
      </c>
      <c r="D12" s="385" t="n">
        <v>1</v>
      </c>
      <c r="E12" s="387"/>
      <c r="F12" s="388" t="n">
        <v>2</v>
      </c>
      <c r="G12" s="380"/>
      <c r="H12" s="385" t="n">
        <v>5</v>
      </c>
      <c r="I12" s="385" t="n">
        <v>4</v>
      </c>
      <c r="J12" s="390"/>
      <c r="K12" s="390" t="s">
        <v>137</v>
      </c>
      <c r="L12" s="385" t="s">
        <v>5</v>
      </c>
      <c r="M12" s="390"/>
      <c r="N12" s="380"/>
      <c r="O12" s="380"/>
      <c r="P12" s="380"/>
      <c r="Q12" s="380"/>
      <c r="R12" s="380"/>
      <c r="S12" s="380"/>
    </row>
    <row r="13" customFormat="false" ht="11.45" hidden="false" customHeight="false" outlineLevel="0" collapsed="false">
      <c r="A13" s="383" t="str">
        <f aca="false">TEXT(DATE(YEAR(B$2),MONTH(B$2)+(D13-1),1),"Mmm")</f>
        <v>Apr</v>
      </c>
      <c r="B13" s="384" t="n">
        <f aca="false">B12+1</f>
        <v>46129</v>
      </c>
      <c r="C13" s="385" t="n">
        <v>2</v>
      </c>
      <c r="D13" s="385" t="n">
        <v>1</v>
      </c>
      <c r="E13" s="387"/>
      <c r="F13" s="388" t="n">
        <v>2</v>
      </c>
      <c r="G13" s="380"/>
      <c r="H13" s="385" t="n">
        <v>6</v>
      </c>
      <c r="I13" s="385" t="n">
        <v>5</v>
      </c>
      <c r="J13" s="390"/>
      <c r="K13" s="390"/>
      <c r="L13" s="390"/>
      <c r="M13" s="390"/>
      <c r="N13" s="380"/>
      <c r="O13" s="380"/>
      <c r="P13" s="380"/>
      <c r="Q13" s="380"/>
      <c r="R13" s="380"/>
      <c r="S13" s="380"/>
    </row>
    <row r="14" customFormat="false" ht="11.45" hidden="false" customHeight="false" outlineLevel="0" collapsed="false">
      <c r="A14" s="383" t="str">
        <f aca="false">TEXT(DATE(YEAR(B$2),MONTH(B$2)+(D14-1),1),"Mmm")</f>
        <v>Apr</v>
      </c>
      <c r="B14" s="384" t="n">
        <f aca="false">B13+1</f>
        <v>46130</v>
      </c>
      <c r="C14" s="385" t="n">
        <v>3</v>
      </c>
      <c r="D14" s="385" t="n">
        <v>1</v>
      </c>
      <c r="E14" s="387"/>
      <c r="F14" s="388" t="n">
        <v>3</v>
      </c>
      <c r="G14" s="380"/>
      <c r="H14" s="385" t="n">
        <v>7</v>
      </c>
      <c r="I14" s="385" t="n">
        <v>4</v>
      </c>
      <c r="J14" s="390"/>
      <c r="K14" s="390"/>
      <c r="L14" s="390"/>
      <c r="M14" s="390"/>
      <c r="N14" s="380"/>
      <c r="O14" s="380"/>
      <c r="P14" s="380"/>
      <c r="Q14" s="380"/>
      <c r="R14" s="380"/>
      <c r="S14" s="380"/>
    </row>
    <row r="15" customFormat="false" ht="11.45" hidden="false" customHeight="false" outlineLevel="0" collapsed="false">
      <c r="A15" s="383" t="str">
        <f aca="false">TEXT(DATE(YEAR(B$2),MONTH(B$2)+(D15-1),1),"Mmm")</f>
        <v>Apr</v>
      </c>
      <c r="B15" s="384" t="n">
        <f aca="false">B14+1</f>
        <v>46131</v>
      </c>
      <c r="C15" s="385" t="n">
        <v>3</v>
      </c>
      <c r="D15" s="385" t="n">
        <v>1</v>
      </c>
      <c r="E15" s="387"/>
      <c r="F15" s="388" t="n">
        <v>3</v>
      </c>
      <c r="G15" s="380"/>
      <c r="H15" s="385" t="n">
        <v>8</v>
      </c>
      <c r="I15" s="385" t="n">
        <v>4</v>
      </c>
      <c r="J15" s="390"/>
      <c r="K15" s="390"/>
      <c r="L15" s="390"/>
      <c r="M15" s="390"/>
      <c r="N15" s="380"/>
      <c r="O15" s="380"/>
      <c r="P15" s="380"/>
      <c r="Q15" s="380"/>
      <c r="R15" s="380"/>
      <c r="S15" s="380"/>
    </row>
    <row r="16" customFormat="false" ht="11.45" hidden="false" customHeight="false" outlineLevel="0" collapsed="false">
      <c r="A16" s="383" t="str">
        <f aca="false">TEXT(DATE(YEAR(B$2),MONTH(B$2)+(D16-1),1),"Mmm")</f>
        <v>Apr</v>
      </c>
      <c r="B16" s="384" t="n">
        <f aca="false">B15+1</f>
        <v>46132</v>
      </c>
      <c r="C16" s="385" t="n">
        <v>3</v>
      </c>
      <c r="D16" s="385" t="n">
        <v>1</v>
      </c>
      <c r="E16" s="387"/>
      <c r="F16" s="388" t="n">
        <v>3</v>
      </c>
      <c r="G16" s="380"/>
      <c r="H16" s="385" t="n">
        <v>9</v>
      </c>
      <c r="I16" s="385" t="n">
        <v>5</v>
      </c>
      <c r="J16" s="390"/>
      <c r="K16" s="390"/>
      <c r="L16" s="390"/>
      <c r="M16" s="390"/>
      <c r="N16" s="380"/>
      <c r="O16" s="380"/>
      <c r="P16" s="380"/>
      <c r="Q16" s="380"/>
      <c r="R16" s="380"/>
      <c r="S16" s="380"/>
    </row>
    <row r="17" customFormat="false" ht="12" hidden="false" customHeight="true" outlineLevel="0" collapsed="false">
      <c r="A17" s="383" t="str">
        <f aca="false">TEXT(DATE(YEAR(B$2),MONTH(B$2)+(D17-1),1),"Mmm")</f>
        <v>Apr</v>
      </c>
      <c r="B17" s="384" t="n">
        <f aca="false">B16+1</f>
        <v>46133</v>
      </c>
      <c r="C17" s="385" t="n">
        <v>3</v>
      </c>
      <c r="D17" s="385" t="n">
        <v>1</v>
      </c>
      <c r="E17" s="387"/>
      <c r="F17" s="388" t="n">
        <v>3</v>
      </c>
      <c r="G17" s="380"/>
      <c r="H17" s="385" t="n">
        <v>10</v>
      </c>
      <c r="I17" s="385" t="n">
        <v>4</v>
      </c>
      <c r="J17" s="390"/>
      <c r="K17" s="390"/>
      <c r="L17" s="390"/>
      <c r="M17" s="390"/>
      <c r="N17" s="380"/>
      <c r="O17" s="380"/>
      <c r="P17" s="380"/>
      <c r="Q17" s="380"/>
      <c r="R17" s="380"/>
      <c r="S17" s="380"/>
    </row>
    <row r="18" customFormat="false" ht="11.45" hidden="false" customHeight="false" outlineLevel="0" collapsed="false">
      <c r="A18" s="383" t="str">
        <f aca="false">TEXT(DATE(YEAR(B$2),MONTH(B$2)+(D18-1),1),"Mmm")</f>
        <v>Apr</v>
      </c>
      <c r="B18" s="384" t="n">
        <f aca="false">B17+1</f>
        <v>46134</v>
      </c>
      <c r="C18" s="385" t="n">
        <v>3</v>
      </c>
      <c r="D18" s="385" t="n">
        <v>1</v>
      </c>
      <c r="E18" s="387"/>
      <c r="F18" s="388" t="n">
        <v>3</v>
      </c>
      <c r="G18" s="380"/>
      <c r="H18" s="385" t="n">
        <v>11</v>
      </c>
      <c r="I18" s="385" t="n">
        <v>4</v>
      </c>
      <c r="J18" s="390"/>
      <c r="K18" s="390"/>
      <c r="L18" s="390"/>
      <c r="M18" s="390"/>
      <c r="N18" s="380"/>
      <c r="O18" s="380"/>
      <c r="P18" s="380"/>
      <c r="Q18" s="380"/>
      <c r="R18" s="380"/>
      <c r="S18" s="380"/>
    </row>
    <row r="19" customFormat="false" ht="11.45" hidden="false" customHeight="false" outlineLevel="0" collapsed="false">
      <c r="A19" s="383" t="str">
        <f aca="false">TEXT(DATE(YEAR(B$2),MONTH(B$2)+(D19-1),1),"Mmm")</f>
        <v>Apr</v>
      </c>
      <c r="B19" s="384" t="n">
        <f aca="false">B18+1</f>
        <v>46135</v>
      </c>
      <c r="C19" s="385" t="n">
        <v>3</v>
      </c>
      <c r="D19" s="385" t="n">
        <v>1</v>
      </c>
      <c r="E19" s="387"/>
      <c r="F19" s="388" t="n">
        <v>3</v>
      </c>
      <c r="G19" s="380"/>
      <c r="H19" s="385" t="n">
        <v>12</v>
      </c>
      <c r="I19" s="385" t="n">
        <v>6</v>
      </c>
      <c r="J19" s="390"/>
      <c r="K19" s="390"/>
      <c r="L19" s="390"/>
      <c r="M19" s="390"/>
      <c r="N19" s="380"/>
      <c r="O19" s="380"/>
      <c r="P19" s="380"/>
      <c r="Q19" s="380"/>
      <c r="R19" s="380"/>
      <c r="S19" s="380"/>
    </row>
    <row r="20" customFormat="false" ht="11.45" hidden="false" customHeight="false" outlineLevel="0" collapsed="false">
      <c r="A20" s="383" t="str">
        <f aca="false">TEXT(DATE(YEAR(B$2),MONTH(B$2)+(D20-1),1),"Mmm")</f>
        <v>Apr</v>
      </c>
      <c r="B20" s="384" t="n">
        <f aca="false">B19+1</f>
        <v>46136</v>
      </c>
      <c r="C20" s="385" t="n">
        <v>3</v>
      </c>
      <c r="D20" s="385" t="n">
        <v>1</v>
      </c>
      <c r="E20" s="387"/>
      <c r="F20" s="388" t="n">
        <v>3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customFormat="false" ht="11.45" hidden="false" customHeight="false" outlineLevel="0" collapsed="false">
      <c r="A21" s="383" t="str">
        <f aca="false">TEXT(DATE(YEAR(B$2),MONTH(B$2)+(D21-1),1),"Mmm")</f>
        <v>Apr</v>
      </c>
      <c r="B21" s="384" t="n">
        <f aca="false">B20+1</f>
        <v>46137</v>
      </c>
      <c r="C21" s="385" t="n">
        <v>4</v>
      </c>
      <c r="D21" s="385" t="n">
        <v>1</v>
      </c>
      <c r="E21" s="387"/>
      <c r="F21" s="388" t="n">
        <v>4</v>
      </c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</row>
    <row r="22" customFormat="false" ht="11.45" hidden="false" customHeight="false" outlineLevel="0" collapsed="false">
      <c r="A22" s="383" t="str">
        <f aca="false">TEXT(DATE(YEAR(B$2),MONTH(B$2)+(D22-1),1),"Mmm")</f>
        <v>Apr</v>
      </c>
      <c r="B22" s="384" t="n">
        <f aca="false">B21+1</f>
        <v>46138</v>
      </c>
      <c r="C22" s="385" t="n">
        <v>4</v>
      </c>
      <c r="D22" s="385" t="n">
        <v>1</v>
      </c>
      <c r="E22" s="387"/>
      <c r="F22" s="388" t="n">
        <v>4</v>
      </c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</row>
    <row r="23" customFormat="false" ht="11.45" hidden="false" customHeight="false" outlineLevel="0" collapsed="false">
      <c r="A23" s="383" t="str">
        <f aca="false">TEXT(DATE(YEAR(B$2),MONTH(B$2)+(D23-1),1),"Mmm")</f>
        <v>Apr</v>
      </c>
      <c r="B23" s="384" t="n">
        <f aca="false">B22+1</f>
        <v>46139</v>
      </c>
      <c r="C23" s="385" t="n">
        <v>4</v>
      </c>
      <c r="D23" s="385" t="n">
        <v>1</v>
      </c>
      <c r="E23" s="387"/>
      <c r="F23" s="388" t="n">
        <v>4</v>
      </c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</row>
    <row r="24" customFormat="false" ht="11.45" hidden="false" customHeight="false" outlineLevel="0" collapsed="false">
      <c r="A24" s="383" t="str">
        <f aca="false">TEXT(DATE(YEAR(B$2),MONTH(B$2)+(D24-1),1),"Mmm")</f>
        <v>Apr</v>
      </c>
      <c r="B24" s="384" t="n">
        <f aca="false">B23+1</f>
        <v>46140</v>
      </c>
      <c r="C24" s="385" t="n">
        <v>4</v>
      </c>
      <c r="D24" s="385" t="n">
        <v>1</v>
      </c>
      <c r="E24" s="387"/>
      <c r="F24" s="388" t="n">
        <v>4</v>
      </c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customFormat="false" ht="11.45" hidden="false" customHeight="false" outlineLevel="0" collapsed="false">
      <c r="A25" s="383" t="str">
        <f aca="false">TEXT(DATE(YEAR(B$2),MONTH(B$2)+(D25-1),1),"Mmm")</f>
        <v>Apr</v>
      </c>
      <c r="B25" s="384" t="n">
        <f aca="false">B24+1</f>
        <v>46141</v>
      </c>
      <c r="C25" s="385" t="n">
        <v>4</v>
      </c>
      <c r="D25" s="385" t="n">
        <v>1</v>
      </c>
      <c r="E25" s="387"/>
      <c r="F25" s="388" t="n">
        <v>4</v>
      </c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customFormat="false" ht="12" hidden="false" customHeight="true" outlineLevel="0" collapsed="false">
      <c r="A26" s="383" t="str">
        <f aca="false">TEXT(DATE(YEAR(B$2),MONTH(B$2)+(D26-1),1),"Mmm")</f>
        <v>Apr</v>
      </c>
      <c r="B26" s="384" t="n">
        <f aca="false">B25+1</f>
        <v>46142</v>
      </c>
      <c r="C26" s="385" t="n">
        <v>4</v>
      </c>
      <c r="D26" s="385" t="n">
        <v>1</v>
      </c>
      <c r="E26" s="387"/>
      <c r="F26" s="388" t="n">
        <v>4</v>
      </c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customFormat="false" ht="12" hidden="false" customHeight="true" outlineLevel="0" collapsed="false">
      <c r="A27" s="383" t="str">
        <f aca="false">TEXT(DATE(YEAR(B$2),MONTH(B$2)+(D27-1),1),"Mmm")</f>
        <v>Apr</v>
      </c>
      <c r="B27" s="384" t="n">
        <f aca="false">B26+1</f>
        <v>46143</v>
      </c>
      <c r="C27" s="385" t="n">
        <v>4</v>
      </c>
      <c r="D27" s="385" t="n">
        <v>1</v>
      </c>
      <c r="E27" s="380"/>
      <c r="F27" s="388" t="n">
        <v>4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customFormat="false" ht="11.45" hidden="false" customHeight="false" outlineLevel="0" collapsed="false">
      <c r="A28" s="383" t="str">
        <f aca="false">TEXT(DATE(YEAR(B$2),MONTH(B$2)+(D28-1),1),"Mmm")</f>
        <v>May</v>
      </c>
      <c r="B28" s="384" t="n">
        <f aca="false">B27+1</f>
        <v>46144</v>
      </c>
      <c r="C28" s="385" t="n">
        <v>5</v>
      </c>
      <c r="D28" s="385" t="n">
        <v>2</v>
      </c>
      <c r="E28" s="387"/>
      <c r="F28" s="388" t="n">
        <v>1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customFormat="false" ht="11.45" hidden="false" customHeight="false" outlineLevel="0" collapsed="false">
      <c r="A29" s="383" t="str">
        <f aca="false">TEXT(DATE(YEAR(B$2),MONTH(B$2)+(D29-1),1),"Mmm")</f>
        <v>May</v>
      </c>
      <c r="B29" s="384" t="n">
        <f aca="false">B28+1</f>
        <v>46145</v>
      </c>
      <c r="C29" s="385" t="n">
        <v>5</v>
      </c>
      <c r="D29" s="385" t="n">
        <v>2</v>
      </c>
      <c r="E29" s="387"/>
      <c r="F29" s="388" t="n">
        <v>1</v>
      </c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customFormat="false" ht="11.45" hidden="false" customHeight="false" outlineLevel="0" collapsed="false">
      <c r="A30" s="383" t="str">
        <f aca="false">TEXT(DATE(YEAR(B$2),MONTH(B$2)+(D30-1),1),"Mmm")</f>
        <v>May</v>
      </c>
      <c r="B30" s="384" t="n">
        <f aca="false">B29+1</f>
        <v>46146</v>
      </c>
      <c r="C30" s="385" t="n">
        <v>5</v>
      </c>
      <c r="D30" s="385" t="n">
        <v>2</v>
      </c>
      <c r="E30" s="387"/>
      <c r="F30" s="385" t="n">
        <v>1</v>
      </c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customFormat="false" ht="11.45" hidden="false" customHeight="false" outlineLevel="0" collapsed="false">
      <c r="A31" s="383" t="str">
        <f aca="false">TEXT(DATE(YEAR(B$2),MONTH(B$2)+(D31-1),1),"Mmm")</f>
        <v>May</v>
      </c>
      <c r="B31" s="384" t="n">
        <f aca="false">B30+1</f>
        <v>46147</v>
      </c>
      <c r="C31" s="385" t="n">
        <v>5</v>
      </c>
      <c r="D31" s="385" t="n">
        <v>2</v>
      </c>
      <c r="E31" s="387"/>
      <c r="F31" s="388" t="n">
        <v>1</v>
      </c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customFormat="false" ht="11.45" hidden="false" customHeight="false" outlineLevel="0" collapsed="false">
      <c r="A32" s="383" t="str">
        <f aca="false">TEXT(DATE(YEAR(B$2),MONTH(B$2)+(D32-1),1),"Mmm")</f>
        <v>May</v>
      </c>
      <c r="B32" s="384" t="n">
        <f aca="false">B31+1</f>
        <v>46148</v>
      </c>
      <c r="C32" s="385" t="n">
        <v>5</v>
      </c>
      <c r="D32" s="385" t="n">
        <v>2</v>
      </c>
      <c r="E32" s="391"/>
      <c r="F32" s="388" t="n">
        <v>1</v>
      </c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customFormat="false" ht="11.45" hidden="false" customHeight="false" outlineLevel="0" collapsed="false">
      <c r="A33" s="383" t="str">
        <f aca="false">TEXT(DATE(YEAR(B$2),MONTH(B$2)+(D33-1),1),"Mmm")</f>
        <v>May</v>
      </c>
      <c r="B33" s="384" t="n">
        <f aca="false">B32+1</f>
        <v>46149</v>
      </c>
      <c r="C33" s="385" t="n">
        <v>5</v>
      </c>
      <c r="D33" s="385" t="n">
        <v>2</v>
      </c>
      <c r="E33" s="387"/>
      <c r="F33" s="388" t="n">
        <v>1</v>
      </c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</row>
    <row r="34" customFormat="false" ht="11.45" hidden="false" customHeight="false" outlineLevel="0" collapsed="false">
      <c r="A34" s="383" t="str">
        <f aca="false">TEXT(DATE(YEAR(B$2),MONTH(B$2)+(D34-1),1),"Mmm")</f>
        <v>May</v>
      </c>
      <c r="B34" s="384" t="n">
        <f aca="false">B33+1</f>
        <v>46150</v>
      </c>
      <c r="C34" s="385" t="n">
        <v>5</v>
      </c>
      <c r="D34" s="385" t="n">
        <v>2</v>
      </c>
      <c r="E34" s="387"/>
      <c r="F34" s="388" t="n">
        <v>1</v>
      </c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  <row r="35" customFormat="false" ht="11.45" hidden="false" customHeight="false" outlineLevel="0" collapsed="false">
      <c r="A35" s="383" t="str">
        <f aca="false">TEXT(DATE(YEAR(B$2),MONTH(B$2)+(D35-1),1),"Mmm")</f>
        <v>May</v>
      </c>
      <c r="B35" s="384" t="n">
        <f aca="false">B34+1</f>
        <v>46151</v>
      </c>
      <c r="C35" s="385" t="n">
        <v>6</v>
      </c>
      <c r="D35" s="385" t="n">
        <v>2</v>
      </c>
      <c r="E35" s="387"/>
      <c r="F35" s="388" t="n">
        <v>2</v>
      </c>
      <c r="G35" s="380"/>
      <c r="H35" s="380"/>
      <c r="I35" s="380"/>
      <c r="J35" s="380"/>
      <c r="K35" s="380"/>
      <c r="L35" s="380"/>
      <c r="M35" s="390"/>
      <c r="N35" s="390"/>
      <c r="O35" s="390"/>
      <c r="P35" s="390"/>
      <c r="Q35" s="390"/>
      <c r="R35" s="390"/>
      <c r="S35" s="390"/>
    </row>
    <row r="36" customFormat="false" ht="11.45" hidden="false" customHeight="false" outlineLevel="0" collapsed="false">
      <c r="A36" s="383" t="str">
        <f aca="false">TEXT(DATE(YEAR(B$2),MONTH(B$2)+(D36-1),1),"Mmm")</f>
        <v>May</v>
      </c>
      <c r="B36" s="384" t="n">
        <f aca="false">B35+1</f>
        <v>46152</v>
      </c>
      <c r="C36" s="385" t="n">
        <v>6</v>
      </c>
      <c r="D36" s="385" t="n">
        <v>2</v>
      </c>
      <c r="E36" s="387"/>
      <c r="F36" s="388" t="n">
        <v>2</v>
      </c>
      <c r="G36" s="380"/>
      <c r="H36" s="380"/>
      <c r="I36" s="380"/>
      <c r="J36" s="380"/>
      <c r="K36" s="380"/>
      <c r="L36" s="380"/>
      <c r="M36" s="390"/>
      <c r="N36" s="390"/>
      <c r="O36" s="390"/>
      <c r="P36" s="390"/>
      <c r="Q36" s="390"/>
      <c r="R36" s="390"/>
      <c r="S36" s="390"/>
    </row>
    <row r="37" customFormat="false" ht="11.45" hidden="false" customHeight="false" outlineLevel="0" collapsed="false">
      <c r="A37" s="383" t="str">
        <f aca="false">TEXT(DATE(YEAR(B$2),MONTH(B$2)+(D37-1),1),"Mmm")</f>
        <v>May</v>
      </c>
      <c r="B37" s="384" t="n">
        <f aca="false">B36+1</f>
        <v>46153</v>
      </c>
      <c r="C37" s="385" t="n">
        <v>6</v>
      </c>
      <c r="D37" s="385" t="n">
        <v>2</v>
      </c>
      <c r="E37" s="387"/>
      <c r="F37" s="388" t="n">
        <v>2</v>
      </c>
      <c r="G37" s="380"/>
      <c r="H37" s="380"/>
      <c r="I37" s="380"/>
      <c r="J37" s="380"/>
      <c r="K37" s="380"/>
      <c r="L37" s="380"/>
      <c r="M37" s="390"/>
      <c r="N37" s="390"/>
      <c r="O37" s="390"/>
      <c r="P37" s="390"/>
      <c r="Q37" s="390"/>
      <c r="R37" s="390"/>
      <c r="S37" s="390"/>
    </row>
    <row r="38" customFormat="false" ht="11.45" hidden="false" customHeight="false" outlineLevel="0" collapsed="false">
      <c r="A38" s="383" t="str">
        <f aca="false">TEXT(DATE(YEAR(B$2),MONTH(B$2)+(D38-1),1),"Mmm")</f>
        <v>May</v>
      </c>
      <c r="B38" s="384" t="n">
        <f aca="false">B37+1</f>
        <v>46154</v>
      </c>
      <c r="C38" s="385" t="n">
        <v>6</v>
      </c>
      <c r="D38" s="385" t="n">
        <v>2</v>
      </c>
      <c r="E38" s="387"/>
      <c r="F38" s="388" t="n">
        <v>2</v>
      </c>
      <c r="G38" s="380"/>
      <c r="H38" s="380"/>
      <c r="I38" s="380"/>
      <c r="J38" s="380"/>
      <c r="K38" s="380"/>
      <c r="L38" s="380"/>
      <c r="M38" s="390"/>
      <c r="N38" s="390"/>
      <c r="O38" s="390"/>
      <c r="P38" s="390"/>
      <c r="Q38" s="390"/>
      <c r="R38" s="390"/>
      <c r="S38" s="390"/>
    </row>
    <row r="39" customFormat="false" ht="11.45" hidden="false" customHeight="false" outlineLevel="0" collapsed="false">
      <c r="A39" s="383" t="str">
        <f aca="false">TEXT(DATE(YEAR(B$2),MONTH(B$2)+(D39-1),1),"Mmm")</f>
        <v>May</v>
      </c>
      <c r="B39" s="384" t="n">
        <f aca="false">B38+1</f>
        <v>46155</v>
      </c>
      <c r="C39" s="385" t="n">
        <v>6</v>
      </c>
      <c r="D39" s="385" t="n">
        <v>2</v>
      </c>
      <c r="E39" s="387"/>
      <c r="F39" s="388" t="n">
        <v>2</v>
      </c>
      <c r="G39" s="380"/>
      <c r="H39" s="380"/>
      <c r="I39" s="380"/>
      <c r="J39" s="380"/>
      <c r="K39" s="380"/>
      <c r="L39" s="380"/>
      <c r="M39" s="390"/>
      <c r="N39" s="390"/>
      <c r="O39" s="390"/>
      <c r="P39" s="390"/>
      <c r="Q39" s="390"/>
      <c r="R39" s="390"/>
      <c r="S39" s="390"/>
    </row>
    <row r="40" customFormat="false" ht="11.45" hidden="false" customHeight="false" outlineLevel="0" collapsed="false">
      <c r="A40" s="383" t="str">
        <f aca="false">TEXT(DATE(YEAR(B$2),MONTH(B$2)+(D40-1),1),"Mmm")</f>
        <v>May</v>
      </c>
      <c r="B40" s="384" t="n">
        <f aca="false">B39+1</f>
        <v>46156</v>
      </c>
      <c r="C40" s="385" t="n">
        <v>6</v>
      </c>
      <c r="D40" s="385" t="n">
        <v>2</v>
      </c>
      <c r="E40" s="387"/>
      <c r="F40" s="388" t="n">
        <v>2</v>
      </c>
      <c r="G40" s="380"/>
      <c r="H40" s="380"/>
      <c r="I40" s="380"/>
      <c r="J40" s="380"/>
      <c r="K40" s="380"/>
      <c r="L40" s="380"/>
      <c r="M40" s="390"/>
      <c r="N40" s="390"/>
      <c r="O40" s="390"/>
      <c r="P40" s="390"/>
      <c r="Q40" s="390"/>
      <c r="R40" s="390"/>
      <c r="S40" s="390"/>
    </row>
    <row r="41" customFormat="false" ht="11.45" hidden="false" customHeight="false" outlineLevel="0" collapsed="false">
      <c r="A41" s="383" t="str">
        <f aca="false">TEXT(DATE(YEAR(B$2),MONTH(B$2)+(D41-1),1),"Mmm")</f>
        <v>May</v>
      </c>
      <c r="B41" s="384" t="n">
        <f aca="false">B40+1</f>
        <v>46157</v>
      </c>
      <c r="C41" s="385" t="n">
        <v>6</v>
      </c>
      <c r="D41" s="385" t="n">
        <v>2</v>
      </c>
      <c r="E41" s="387"/>
      <c r="F41" s="388" t="n">
        <v>2</v>
      </c>
      <c r="G41" s="380"/>
      <c r="H41" s="380"/>
      <c r="I41" s="380"/>
      <c r="J41" s="380"/>
      <c r="K41" s="380"/>
      <c r="L41" s="380"/>
      <c r="M41" s="390"/>
      <c r="N41" s="390"/>
      <c r="O41" s="390"/>
      <c r="P41" s="390"/>
      <c r="Q41" s="390"/>
      <c r="R41" s="390"/>
      <c r="S41" s="390"/>
    </row>
    <row r="42" customFormat="false" ht="11.45" hidden="false" customHeight="false" outlineLevel="0" collapsed="false">
      <c r="A42" s="383" t="str">
        <f aca="false">TEXT(DATE(YEAR(B$2),MONTH(B$2)+(D42-1),1),"Mmm")</f>
        <v>May</v>
      </c>
      <c r="B42" s="384" t="n">
        <f aca="false">B41+1</f>
        <v>46158</v>
      </c>
      <c r="C42" s="385" t="n">
        <v>7</v>
      </c>
      <c r="D42" s="385" t="n">
        <v>2</v>
      </c>
      <c r="E42" s="387"/>
      <c r="F42" s="388" t="n">
        <v>3</v>
      </c>
      <c r="G42" s="380"/>
      <c r="H42" s="380"/>
      <c r="I42" s="380"/>
      <c r="J42" s="380"/>
      <c r="K42" s="380"/>
      <c r="L42" s="380"/>
      <c r="M42" s="390"/>
      <c r="N42" s="390"/>
      <c r="O42" s="390"/>
      <c r="P42" s="390"/>
      <c r="Q42" s="390"/>
      <c r="R42" s="390"/>
      <c r="S42" s="390"/>
    </row>
    <row r="43" customFormat="false" ht="11.45" hidden="false" customHeight="false" outlineLevel="0" collapsed="false">
      <c r="A43" s="383" t="str">
        <f aca="false">TEXT(DATE(YEAR(B$2),MONTH(B$2)+(D43-1),1),"Mmm")</f>
        <v>May</v>
      </c>
      <c r="B43" s="384" t="n">
        <f aca="false">B42+1</f>
        <v>46159</v>
      </c>
      <c r="C43" s="385" t="n">
        <v>7</v>
      </c>
      <c r="D43" s="385" t="n">
        <v>2</v>
      </c>
      <c r="E43" s="387"/>
      <c r="F43" s="388" t="n">
        <v>3</v>
      </c>
      <c r="G43" s="380"/>
      <c r="H43" s="380"/>
      <c r="I43" s="380"/>
      <c r="J43" s="380"/>
      <c r="K43" s="380"/>
      <c r="L43" s="380"/>
      <c r="M43" s="390"/>
      <c r="N43" s="390"/>
      <c r="O43" s="390"/>
      <c r="P43" s="390"/>
      <c r="Q43" s="390"/>
      <c r="R43" s="390"/>
      <c r="S43" s="390"/>
    </row>
    <row r="44" customFormat="false" ht="11.45" hidden="false" customHeight="false" outlineLevel="0" collapsed="false">
      <c r="A44" s="383" t="str">
        <f aca="false">TEXT(DATE(YEAR(B$2),MONTH(B$2)+(D44-1),1),"Mmm")</f>
        <v>May</v>
      </c>
      <c r="B44" s="384" t="n">
        <f aca="false">B43+1</f>
        <v>46160</v>
      </c>
      <c r="C44" s="385" t="n">
        <v>7</v>
      </c>
      <c r="D44" s="385" t="n">
        <v>2</v>
      </c>
      <c r="E44" s="387"/>
      <c r="F44" s="388" t="n">
        <v>3</v>
      </c>
      <c r="G44" s="380"/>
      <c r="H44" s="380"/>
      <c r="I44" s="380"/>
      <c r="J44" s="380"/>
      <c r="K44" s="380"/>
      <c r="L44" s="380"/>
      <c r="M44" s="390"/>
      <c r="N44" s="390"/>
      <c r="O44" s="390"/>
      <c r="P44" s="390"/>
      <c r="Q44" s="390"/>
      <c r="R44" s="390"/>
      <c r="S44" s="390"/>
    </row>
    <row r="45" customFormat="false" ht="11.45" hidden="false" customHeight="false" outlineLevel="0" collapsed="false">
      <c r="A45" s="383" t="str">
        <f aca="false">TEXT(DATE(YEAR(B$2),MONTH(B$2)+(D45-1),1),"Mmm")</f>
        <v>May</v>
      </c>
      <c r="B45" s="384" t="n">
        <f aca="false">B44+1</f>
        <v>46161</v>
      </c>
      <c r="C45" s="385" t="n">
        <v>7</v>
      </c>
      <c r="D45" s="385" t="n">
        <v>2</v>
      </c>
      <c r="E45" s="387"/>
      <c r="F45" s="388" t="n">
        <v>3</v>
      </c>
      <c r="G45" s="380"/>
      <c r="H45" s="380"/>
      <c r="I45" s="380"/>
      <c r="J45" s="380"/>
      <c r="K45" s="380"/>
      <c r="L45" s="380"/>
      <c r="M45" s="390"/>
      <c r="N45" s="390"/>
      <c r="O45" s="390"/>
      <c r="P45" s="390"/>
      <c r="Q45" s="390"/>
      <c r="R45" s="390"/>
      <c r="S45" s="390"/>
    </row>
    <row r="46" customFormat="false" ht="11.45" hidden="false" customHeight="false" outlineLevel="0" collapsed="false">
      <c r="A46" s="383" t="str">
        <f aca="false">TEXT(DATE(YEAR(B$2),MONTH(B$2)+(D46-1),1),"Mmm")</f>
        <v>May</v>
      </c>
      <c r="B46" s="384" t="n">
        <f aca="false">B45+1</f>
        <v>46162</v>
      </c>
      <c r="C46" s="385" t="n">
        <v>7</v>
      </c>
      <c r="D46" s="385" t="n">
        <v>2</v>
      </c>
      <c r="E46" s="387"/>
      <c r="F46" s="388" t="n">
        <v>3</v>
      </c>
      <c r="G46" s="380"/>
      <c r="H46" s="380"/>
      <c r="I46" s="380"/>
      <c r="J46" s="380"/>
      <c r="K46" s="380"/>
      <c r="L46" s="380"/>
      <c r="M46" s="390"/>
      <c r="N46" s="390"/>
      <c r="O46" s="390"/>
      <c r="P46" s="390"/>
      <c r="Q46" s="390"/>
      <c r="R46" s="390"/>
      <c r="S46" s="390"/>
    </row>
    <row r="47" customFormat="false" ht="11.45" hidden="false" customHeight="false" outlineLevel="0" collapsed="false">
      <c r="A47" s="383" t="str">
        <f aca="false">TEXT(DATE(YEAR(B$2),MONTH(B$2)+(D47-1),1),"Mmm")</f>
        <v>May</v>
      </c>
      <c r="B47" s="384" t="n">
        <f aca="false">B46+1</f>
        <v>46163</v>
      </c>
      <c r="C47" s="385" t="n">
        <v>7</v>
      </c>
      <c r="D47" s="385" t="n">
        <v>2</v>
      </c>
      <c r="E47" s="387"/>
      <c r="F47" s="388" t="n">
        <v>3</v>
      </c>
      <c r="G47" s="380"/>
      <c r="H47" s="380"/>
      <c r="I47" s="380"/>
      <c r="J47" s="380"/>
      <c r="K47" s="380"/>
      <c r="L47" s="380"/>
      <c r="M47" s="390"/>
      <c r="N47" s="390"/>
      <c r="O47" s="390"/>
      <c r="P47" s="390"/>
      <c r="Q47" s="390"/>
      <c r="R47" s="390"/>
      <c r="S47" s="390"/>
    </row>
    <row r="48" customFormat="false" ht="11.45" hidden="false" customHeight="false" outlineLevel="0" collapsed="false">
      <c r="A48" s="383" t="str">
        <f aca="false">TEXT(DATE(YEAR(B$2),MONTH(B$2)+(D48-1),1),"Mmm")</f>
        <v>May</v>
      </c>
      <c r="B48" s="384" t="n">
        <f aca="false">B47+1</f>
        <v>46164</v>
      </c>
      <c r="C48" s="385" t="n">
        <v>7</v>
      </c>
      <c r="D48" s="385" t="n">
        <v>2</v>
      </c>
      <c r="E48" s="387"/>
      <c r="F48" s="388" t="n">
        <v>3</v>
      </c>
      <c r="G48" s="380"/>
      <c r="H48" s="380"/>
      <c r="I48" s="380"/>
      <c r="J48" s="380"/>
      <c r="K48" s="380"/>
      <c r="L48" s="380"/>
      <c r="M48" s="390"/>
      <c r="N48" s="390"/>
      <c r="O48" s="390"/>
      <c r="P48" s="390"/>
      <c r="Q48" s="390"/>
      <c r="R48" s="390"/>
      <c r="S48" s="390"/>
    </row>
    <row r="49" customFormat="false" ht="11.45" hidden="false" customHeight="false" outlineLevel="0" collapsed="false">
      <c r="A49" s="383" t="str">
        <f aca="false">TEXT(DATE(YEAR(B$2),MONTH(B$2)+(D49-1),1),"Mmm")</f>
        <v>May</v>
      </c>
      <c r="B49" s="384" t="n">
        <f aca="false">B48+1</f>
        <v>46165</v>
      </c>
      <c r="C49" s="385" t="n">
        <v>8</v>
      </c>
      <c r="D49" s="385" t="n">
        <v>2</v>
      </c>
      <c r="E49" s="387"/>
      <c r="F49" s="388" t="n">
        <v>4</v>
      </c>
      <c r="G49" s="380"/>
      <c r="H49" s="380"/>
      <c r="I49" s="380"/>
      <c r="J49" s="380"/>
      <c r="K49" s="380"/>
      <c r="L49" s="380"/>
      <c r="M49" s="390"/>
      <c r="N49" s="390"/>
      <c r="O49" s="390"/>
      <c r="P49" s="390"/>
      <c r="Q49" s="390"/>
      <c r="R49" s="390"/>
      <c r="S49" s="390"/>
    </row>
    <row r="50" customFormat="false" ht="11.45" hidden="false" customHeight="false" outlineLevel="0" collapsed="false">
      <c r="A50" s="383" t="str">
        <f aca="false">TEXT(DATE(YEAR(B$2),MONTH(B$2)+(D50-1),1),"Mmm")</f>
        <v>May</v>
      </c>
      <c r="B50" s="384" t="n">
        <f aca="false">B49+1</f>
        <v>46166</v>
      </c>
      <c r="C50" s="385" t="n">
        <v>8</v>
      </c>
      <c r="D50" s="385" t="n">
        <v>2</v>
      </c>
      <c r="E50" s="387"/>
      <c r="F50" s="388" t="n">
        <v>4</v>
      </c>
      <c r="G50" s="380"/>
      <c r="H50" s="380"/>
      <c r="I50" s="380"/>
      <c r="J50" s="380"/>
      <c r="K50" s="380"/>
      <c r="L50" s="380"/>
      <c r="M50" s="390"/>
      <c r="N50" s="390"/>
      <c r="O50" s="390"/>
      <c r="P50" s="390"/>
      <c r="Q50" s="390"/>
      <c r="R50" s="390"/>
      <c r="S50" s="390"/>
    </row>
    <row r="51" customFormat="false" ht="11.45" hidden="false" customHeight="false" outlineLevel="0" collapsed="false">
      <c r="A51" s="383" t="str">
        <f aca="false">TEXT(DATE(YEAR(B$2),MONTH(B$2)+(D51-1),1),"Mmm")</f>
        <v>May</v>
      </c>
      <c r="B51" s="384" t="n">
        <f aca="false">B50+1</f>
        <v>46167</v>
      </c>
      <c r="C51" s="385" t="n">
        <v>8</v>
      </c>
      <c r="D51" s="385" t="n">
        <v>2</v>
      </c>
      <c r="E51" s="387"/>
      <c r="F51" s="388" t="n">
        <v>4</v>
      </c>
      <c r="G51" s="380"/>
      <c r="H51" s="380"/>
      <c r="I51" s="380"/>
      <c r="J51" s="380"/>
      <c r="K51" s="380"/>
      <c r="L51" s="380"/>
      <c r="M51" s="390"/>
      <c r="N51" s="390"/>
      <c r="O51" s="390"/>
      <c r="P51" s="390"/>
      <c r="Q51" s="390"/>
      <c r="R51" s="390"/>
      <c r="S51" s="390"/>
    </row>
    <row r="52" customFormat="false" ht="11.45" hidden="false" customHeight="false" outlineLevel="0" collapsed="false">
      <c r="A52" s="383" t="str">
        <f aca="false">TEXT(DATE(YEAR(B$2),MONTH(B$2)+(D52-1),1),"Mmm")</f>
        <v>May</v>
      </c>
      <c r="B52" s="384" t="n">
        <f aca="false">B51+1</f>
        <v>46168</v>
      </c>
      <c r="C52" s="385" t="n">
        <v>8</v>
      </c>
      <c r="D52" s="385" t="n">
        <v>2</v>
      </c>
      <c r="E52" s="387"/>
      <c r="F52" s="388" t="n">
        <v>4</v>
      </c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</row>
    <row r="53" customFormat="false" ht="11.45" hidden="false" customHeight="false" outlineLevel="0" collapsed="false">
      <c r="A53" s="383" t="str">
        <f aca="false">TEXT(DATE(YEAR(B$2),MONTH(B$2)+(D53-1),1),"Mmm")</f>
        <v>May</v>
      </c>
      <c r="B53" s="384" t="n">
        <f aca="false">B52+1</f>
        <v>46169</v>
      </c>
      <c r="C53" s="385" t="n">
        <v>8</v>
      </c>
      <c r="D53" s="385" t="n">
        <v>2</v>
      </c>
      <c r="E53" s="387"/>
      <c r="F53" s="388" t="n">
        <v>4</v>
      </c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</row>
    <row r="54" customFormat="false" ht="11.45" hidden="false" customHeight="false" outlineLevel="0" collapsed="false">
      <c r="A54" s="383" t="str">
        <f aca="false">TEXT(DATE(YEAR(B$2),MONTH(B$2)+(D54-1),1),"Mmm")</f>
        <v>May</v>
      </c>
      <c r="B54" s="384" t="n">
        <f aca="false">B53+1</f>
        <v>46170</v>
      </c>
      <c r="C54" s="385" t="n">
        <v>8</v>
      </c>
      <c r="D54" s="385" t="n">
        <v>2</v>
      </c>
      <c r="E54" s="387"/>
      <c r="F54" s="388" t="n">
        <v>4</v>
      </c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</row>
    <row r="55" customFormat="false" ht="11.45" hidden="false" customHeight="false" outlineLevel="0" collapsed="false">
      <c r="A55" s="383" t="str">
        <f aca="false">TEXT(DATE(YEAR(B$2),MONTH(B$2)+(D55-1),1),"Mmm")</f>
        <v>May</v>
      </c>
      <c r="B55" s="384" t="n">
        <f aca="false">B54+1</f>
        <v>46171</v>
      </c>
      <c r="C55" s="385" t="n">
        <v>8</v>
      </c>
      <c r="D55" s="385" t="n">
        <v>2</v>
      </c>
      <c r="E55" s="387"/>
      <c r="F55" s="388" t="n">
        <v>4</v>
      </c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</row>
    <row r="56" customFormat="false" ht="11.45" hidden="false" customHeight="false" outlineLevel="0" collapsed="false">
      <c r="A56" s="383" t="str">
        <f aca="false">TEXT(DATE(YEAR(B$2),MONTH(B$2)+(D56-1),1),"Mmm")</f>
        <v>Jun</v>
      </c>
      <c r="B56" s="384" t="n">
        <f aca="false">B55+1</f>
        <v>46172</v>
      </c>
      <c r="C56" s="385" t="n">
        <v>9</v>
      </c>
      <c r="D56" s="385" t="n">
        <v>3</v>
      </c>
      <c r="E56" s="387"/>
      <c r="F56" s="388" t="n">
        <v>1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</row>
    <row r="57" customFormat="false" ht="11.45" hidden="false" customHeight="false" outlineLevel="0" collapsed="false">
      <c r="A57" s="383" t="str">
        <f aca="false">TEXT(DATE(YEAR(B$2),MONTH(B$2)+(D57-1),1),"Mmm")</f>
        <v>Jun</v>
      </c>
      <c r="B57" s="384" t="n">
        <f aca="false">B56+1</f>
        <v>46173</v>
      </c>
      <c r="C57" s="385" t="n">
        <v>9</v>
      </c>
      <c r="D57" s="385" t="n">
        <v>3</v>
      </c>
      <c r="E57" s="387"/>
      <c r="F57" s="388" t="n">
        <v>1</v>
      </c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</row>
    <row r="58" customFormat="false" ht="10.5" hidden="false" customHeight="false" outlineLevel="0" collapsed="false">
      <c r="A58" s="383" t="str">
        <f aca="false">TEXT(DATE(YEAR(B$2),MONTH(B$2)+(D58-1),1),"Mmm")</f>
        <v>Jun</v>
      </c>
      <c r="B58" s="384" t="n">
        <f aca="false">B57+1</f>
        <v>46174</v>
      </c>
      <c r="C58" s="385" t="n">
        <v>9</v>
      </c>
      <c r="D58" s="385" t="n">
        <v>3</v>
      </c>
      <c r="E58" s="387"/>
      <c r="F58" s="385" t="n">
        <v>1</v>
      </c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</row>
    <row r="59" customFormat="false" ht="11.45" hidden="false" customHeight="false" outlineLevel="0" collapsed="false">
      <c r="A59" s="383" t="str">
        <f aca="false">TEXT(DATE(YEAR(B$2),MONTH(B$2)+(D59-1),1),"Mmm")</f>
        <v>Jun</v>
      </c>
      <c r="B59" s="384" t="n">
        <f aca="false">B58+1</f>
        <v>46175</v>
      </c>
      <c r="C59" s="385" t="n">
        <v>9</v>
      </c>
      <c r="D59" s="385" t="n">
        <v>3</v>
      </c>
      <c r="E59" s="387"/>
      <c r="F59" s="388" t="n">
        <v>1</v>
      </c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</row>
    <row r="60" customFormat="false" ht="11.45" hidden="false" customHeight="false" outlineLevel="0" collapsed="false">
      <c r="A60" s="383" t="str">
        <f aca="false">TEXT(DATE(YEAR(B$2),MONTH(B$2)+(D60-1),1),"Mmm")</f>
        <v>Jun</v>
      </c>
      <c r="B60" s="384" t="n">
        <f aca="false">B59+1</f>
        <v>46176</v>
      </c>
      <c r="C60" s="385" t="n">
        <v>9</v>
      </c>
      <c r="D60" s="385" t="n">
        <v>3</v>
      </c>
      <c r="E60" s="387"/>
      <c r="F60" s="388" t="n">
        <v>1</v>
      </c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</row>
    <row r="61" customFormat="false" ht="11.45" hidden="false" customHeight="false" outlineLevel="0" collapsed="false">
      <c r="A61" s="383" t="str">
        <f aca="false">TEXT(DATE(YEAR(B$2),MONTH(B$2)+(D61-1),1),"Mmm")</f>
        <v>Jun</v>
      </c>
      <c r="B61" s="384" t="n">
        <f aca="false">B60+1</f>
        <v>46177</v>
      </c>
      <c r="C61" s="385" t="n">
        <v>9</v>
      </c>
      <c r="D61" s="385" t="n">
        <v>3</v>
      </c>
      <c r="E61" s="387"/>
      <c r="F61" s="388" t="n">
        <v>1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</row>
    <row r="62" customFormat="false" ht="11.45" hidden="false" customHeight="false" outlineLevel="0" collapsed="false">
      <c r="A62" s="383" t="str">
        <f aca="false">TEXT(DATE(YEAR(B$2),MONTH(B$2)+(D62-1),1),"Mmm")</f>
        <v>Jun</v>
      </c>
      <c r="B62" s="384" t="n">
        <f aca="false">B61+1</f>
        <v>46178</v>
      </c>
      <c r="C62" s="385" t="n">
        <v>9</v>
      </c>
      <c r="D62" s="385" t="n">
        <v>3</v>
      </c>
      <c r="E62" s="387"/>
      <c r="F62" s="388" t="n">
        <v>1</v>
      </c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</row>
    <row r="63" customFormat="false" ht="11.45" hidden="false" customHeight="false" outlineLevel="0" collapsed="false">
      <c r="A63" s="383" t="str">
        <f aca="false">TEXT(DATE(YEAR(B$2),MONTH(B$2)+(D63-1),1),"Mmm")</f>
        <v>Jun</v>
      </c>
      <c r="B63" s="384" t="n">
        <f aca="false">B62+1</f>
        <v>46179</v>
      </c>
      <c r="C63" s="385" t="n">
        <v>10</v>
      </c>
      <c r="D63" s="385" t="n">
        <v>3</v>
      </c>
      <c r="E63" s="391"/>
      <c r="F63" s="388" t="n">
        <v>2</v>
      </c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</row>
    <row r="64" customFormat="false" ht="11.45" hidden="false" customHeight="false" outlineLevel="0" collapsed="false">
      <c r="A64" s="383" t="str">
        <f aca="false">TEXT(DATE(YEAR(B$2),MONTH(B$2)+(D64-1),1),"Mmm")</f>
        <v>Jun</v>
      </c>
      <c r="B64" s="384" t="n">
        <f aca="false">B63+1</f>
        <v>46180</v>
      </c>
      <c r="C64" s="385" t="n">
        <v>10</v>
      </c>
      <c r="D64" s="385" t="n">
        <v>3</v>
      </c>
      <c r="E64" s="387"/>
      <c r="F64" s="388" t="n">
        <v>2</v>
      </c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</row>
    <row r="65" customFormat="false" ht="11.45" hidden="false" customHeight="false" outlineLevel="0" collapsed="false">
      <c r="A65" s="383" t="str">
        <f aca="false">TEXT(DATE(YEAR(B$2),MONTH(B$2)+(D65-1),1),"Mmm")</f>
        <v>Jun</v>
      </c>
      <c r="B65" s="384" t="n">
        <f aca="false">B64+1</f>
        <v>46181</v>
      </c>
      <c r="C65" s="385" t="n">
        <v>10</v>
      </c>
      <c r="D65" s="385" t="n">
        <v>3</v>
      </c>
      <c r="E65" s="387"/>
      <c r="F65" s="388" t="n">
        <v>2</v>
      </c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</row>
    <row r="66" customFormat="false" ht="11.45" hidden="false" customHeight="false" outlineLevel="0" collapsed="false">
      <c r="A66" s="383" t="str">
        <f aca="false">TEXT(DATE(YEAR(B$2),MONTH(B$2)+(D66-1),1),"Mmm")</f>
        <v>Jun</v>
      </c>
      <c r="B66" s="384" t="n">
        <f aca="false">B65+1</f>
        <v>46182</v>
      </c>
      <c r="C66" s="385" t="n">
        <v>10</v>
      </c>
      <c r="D66" s="385" t="n">
        <v>3</v>
      </c>
      <c r="E66" s="387"/>
      <c r="F66" s="388" t="n">
        <v>2</v>
      </c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</row>
    <row r="67" customFormat="false" ht="11.45" hidden="false" customHeight="false" outlineLevel="0" collapsed="false">
      <c r="A67" s="383" t="str">
        <f aca="false">TEXT(DATE(YEAR(B$2),MONTH(B$2)+(D67-1),1),"Mmm")</f>
        <v>Jun</v>
      </c>
      <c r="B67" s="384" t="n">
        <f aca="false">B66+1</f>
        <v>46183</v>
      </c>
      <c r="C67" s="385" t="n">
        <v>10</v>
      </c>
      <c r="D67" s="385" t="n">
        <v>3</v>
      </c>
      <c r="E67" s="387"/>
      <c r="F67" s="388" t="n">
        <v>2</v>
      </c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</row>
    <row r="68" customFormat="false" ht="11.45" hidden="false" customHeight="false" outlineLevel="0" collapsed="false">
      <c r="A68" s="383" t="str">
        <f aca="false">TEXT(DATE(YEAR(B$2),MONTH(B$2)+(D68-1),1),"Mmm")</f>
        <v>Jun</v>
      </c>
      <c r="B68" s="384" t="n">
        <f aca="false">B67+1</f>
        <v>46184</v>
      </c>
      <c r="C68" s="385" t="n">
        <v>10</v>
      </c>
      <c r="D68" s="385" t="n">
        <v>3</v>
      </c>
      <c r="E68" s="387"/>
      <c r="F68" s="388" t="n">
        <v>2</v>
      </c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</row>
    <row r="69" customFormat="false" ht="11.45" hidden="false" customHeight="false" outlineLevel="0" collapsed="false">
      <c r="A69" s="383" t="str">
        <f aca="false">TEXT(DATE(YEAR(B$2),MONTH(B$2)+(D69-1),1),"Mmm")</f>
        <v>Jun</v>
      </c>
      <c r="B69" s="384" t="n">
        <f aca="false">B68+1</f>
        <v>46185</v>
      </c>
      <c r="C69" s="385" t="n">
        <v>10</v>
      </c>
      <c r="D69" s="385" t="n">
        <v>3</v>
      </c>
      <c r="E69" s="387"/>
      <c r="F69" s="388" t="n">
        <v>2</v>
      </c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</row>
    <row r="70" customFormat="false" ht="11.45" hidden="false" customHeight="false" outlineLevel="0" collapsed="false">
      <c r="A70" s="383" t="str">
        <f aca="false">TEXT(DATE(YEAR(B$2),MONTH(B$2)+(D70-1),1),"Mmm")</f>
        <v>Jun</v>
      </c>
      <c r="B70" s="384" t="n">
        <f aca="false">B69+1</f>
        <v>46186</v>
      </c>
      <c r="C70" s="385" t="n">
        <v>11</v>
      </c>
      <c r="D70" s="385" t="n">
        <v>3</v>
      </c>
      <c r="E70" s="387"/>
      <c r="F70" s="388" t="n">
        <v>3</v>
      </c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</row>
    <row r="71" customFormat="false" ht="11.45" hidden="false" customHeight="false" outlineLevel="0" collapsed="false">
      <c r="A71" s="383" t="str">
        <f aca="false">TEXT(DATE(YEAR(B$2),MONTH(B$2)+(D71-1),1),"Mmm")</f>
        <v>Jun</v>
      </c>
      <c r="B71" s="384" t="n">
        <f aca="false">B70+1</f>
        <v>46187</v>
      </c>
      <c r="C71" s="385" t="n">
        <v>11</v>
      </c>
      <c r="D71" s="385" t="n">
        <v>3</v>
      </c>
      <c r="E71" s="387"/>
      <c r="F71" s="388" t="n">
        <v>3</v>
      </c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</row>
    <row r="72" customFormat="false" ht="11.45" hidden="false" customHeight="false" outlineLevel="0" collapsed="false">
      <c r="A72" s="383" t="str">
        <f aca="false">TEXT(DATE(YEAR(B$2),MONTH(B$2)+(D72-1),1),"Mmm")</f>
        <v>Jun</v>
      </c>
      <c r="B72" s="384" t="n">
        <f aca="false">B71+1</f>
        <v>46188</v>
      </c>
      <c r="C72" s="385" t="n">
        <v>11</v>
      </c>
      <c r="D72" s="385" t="n">
        <v>3</v>
      </c>
      <c r="E72" s="387"/>
      <c r="F72" s="388" t="n">
        <v>3</v>
      </c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</row>
    <row r="73" customFormat="false" ht="11.45" hidden="false" customHeight="false" outlineLevel="0" collapsed="false">
      <c r="A73" s="383" t="str">
        <f aca="false">TEXT(DATE(YEAR(B$2),MONTH(B$2)+(D73-1),1),"Mmm")</f>
        <v>Jun</v>
      </c>
      <c r="B73" s="384" t="n">
        <f aca="false">B72+1</f>
        <v>46189</v>
      </c>
      <c r="C73" s="385" t="n">
        <v>11</v>
      </c>
      <c r="D73" s="385" t="n">
        <v>3</v>
      </c>
      <c r="E73" s="387"/>
      <c r="F73" s="388" t="n">
        <v>3</v>
      </c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customFormat="false" ht="11.45" hidden="false" customHeight="false" outlineLevel="0" collapsed="false">
      <c r="A74" s="383" t="str">
        <f aca="false">TEXT(DATE(YEAR(B$2),MONTH(B$2)+(D74-1),1),"Mmm")</f>
        <v>Jun</v>
      </c>
      <c r="B74" s="384" t="n">
        <f aca="false">B73+1</f>
        <v>46190</v>
      </c>
      <c r="C74" s="385" t="n">
        <v>11</v>
      </c>
      <c r="D74" s="385" t="n">
        <v>3</v>
      </c>
      <c r="E74" s="387"/>
      <c r="F74" s="388" t="n">
        <v>3</v>
      </c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customFormat="false" ht="11.45" hidden="false" customHeight="false" outlineLevel="0" collapsed="false">
      <c r="A75" s="383" t="str">
        <f aca="false">TEXT(DATE(YEAR(B$2),MONTH(B$2)+(D75-1),1),"Mmm")</f>
        <v>Jun</v>
      </c>
      <c r="B75" s="384" t="n">
        <f aca="false">B74+1</f>
        <v>46191</v>
      </c>
      <c r="C75" s="385" t="n">
        <v>11</v>
      </c>
      <c r="D75" s="385" t="n">
        <v>3</v>
      </c>
      <c r="E75" s="387"/>
      <c r="F75" s="388" t="n">
        <v>3</v>
      </c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customFormat="false" ht="11.45" hidden="false" customHeight="false" outlineLevel="0" collapsed="false">
      <c r="A76" s="383" t="str">
        <f aca="false">TEXT(DATE(YEAR(B$2),MONTH(B$2)+(D76-1),1),"Mmm")</f>
        <v>Jun</v>
      </c>
      <c r="B76" s="384" t="n">
        <f aca="false">B75+1</f>
        <v>46192</v>
      </c>
      <c r="C76" s="385" t="n">
        <v>11</v>
      </c>
      <c r="D76" s="385" t="n">
        <v>3</v>
      </c>
      <c r="E76" s="387"/>
      <c r="F76" s="388" t="n">
        <v>3</v>
      </c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customFormat="false" ht="11.45" hidden="false" customHeight="false" outlineLevel="0" collapsed="false">
      <c r="A77" s="383" t="str">
        <f aca="false">TEXT(DATE(YEAR(B$2),MONTH(B$2)+(D77-1),1),"Mmm")</f>
        <v>Jun</v>
      </c>
      <c r="B77" s="384" t="n">
        <f aca="false">B76+1</f>
        <v>46193</v>
      </c>
      <c r="C77" s="385" t="n">
        <v>12</v>
      </c>
      <c r="D77" s="385" t="n">
        <v>3</v>
      </c>
      <c r="E77" s="387"/>
      <c r="F77" s="388" t="n">
        <v>4</v>
      </c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customFormat="false" ht="11.45" hidden="false" customHeight="false" outlineLevel="0" collapsed="false">
      <c r="A78" s="383" t="str">
        <f aca="false">TEXT(DATE(YEAR(B$2),MONTH(B$2)+(D78-1),1),"Mmm")</f>
        <v>Jun</v>
      </c>
      <c r="B78" s="384" t="n">
        <f aca="false">B77+1</f>
        <v>46194</v>
      </c>
      <c r="C78" s="385" t="n">
        <v>12</v>
      </c>
      <c r="D78" s="385" t="n">
        <v>3</v>
      </c>
      <c r="E78" s="387"/>
      <c r="F78" s="388" t="n">
        <v>4</v>
      </c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customFormat="false" ht="11.45" hidden="false" customHeight="false" outlineLevel="0" collapsed="false">
      <c r="A79" s="383" t="str">
        <f aca="false">TEXT(DATE(YEAR(B$2),MONTH(B$2)+(D79-1),1),"Mmm")</f>
        <v>Jun</v>
      </c>
      <c r="B79" s="384" t="n">
        <f aca="false">B78+1</f>
        <v>46195</v>
      </c>
      <c r="C79" s="385" t="n">
        <v>12</v>
      </c>
      <c r="D79" s="385" t="n">
        <v>3</v>
      </c>
      <c r="E79" s="387"/>
      <c r="F79" s="388" t="n">
        <v>4</v>
      </c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customFormat="false" ht="11.45" hidden="false" customHeight="false" outlineLevel="0" collapsed="false">
      <c r="A80" s="383" t="str">
        <f aca="false">TEXT(DATE(YEAR(B$2),MONTH(B$2)+(D80-1),1),"Mmm")</f>
        <v>Jun</v>
      </c>
      <c r="B80" s="384" t="n">
        <f aca="false">B79+1</f>
        <v>46196</v>
      </c>
      <c r="C80" s="385" t="n">
        <v>12</v>
      </c>
      <c r="D80" s="385" t="n">
        <v>3</v>
      </c>
      <c r="E80" s="387"/>
      <c r="F80" s="388" t="n">
        <v>4</v>
      </c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customFormat="false" ht="11.45" hidden="false" customHeight="false" outlineLevel="0" collapsed="false">
      <c r="A81" s="383" t="str">
        <f aca="false">TEXT(DATE(YEAR(B$2),MONTH(B$2)+(D81-1),1),"Mmm")</f>
        <v>Jun</v>
      </c>
      <c r="B81" s="384" t="n">
        <f aca="false">B80+1</f>
        <v>46197</v>
      </c>
      <c r="C81" s="385" t="n">
        <v>12</v>
      </c>
      <c r="D81" s="385" t="n">
        <v>3</v>
      </c>
      <c r="E81" s="387"/>
      <c r="F81" s="388" t="n">
        <v>4</v>
      </c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customFormat="false" ht="11.45" hidden="false" customHeight="false" outlineLevel="0" collapsed="false">
      <c r="A82" s="383" t="str">
        <f aca="false">TEXT(DATE(YEAR(B$2),MONTH(B$2)+(D82-1),1),"Mmm")</f>
        <v>Jun</v>
      </c>
      <c r="B82" s="384" t="n">
        <f aca="false">B81+1</f>
        <v>46198</v>
      </c>
      <c r="C82" s="385" t="n">
        <v>12</v>
      </c>
      <c r="D82" s="385" t="n">
        <v>3</v>
      </c>
      <c r="E82" s="387"/>
      <c r="F82" s="388" t="n">
        <v>4</v>
      </c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customFormat="false" ht="11.45" hidden="false" customHeight="false" outlineLevel="0" collapsed="false">
      <c r="A83" s="383" t="str">
        <f aca="false">TEXT(DATE(YEAR(B$2),MONTH(B$2)+(D83-1),1),"Mmm")</f>
        <v>Jun</v>
      </c>
      <c r="B83" s="384" t="n">
        <f aca="false">B82+1</f>
        <v>46199</v>
      </c>
      <c r="C83" s="385" t="n">
        <v>12</v>
      </c>
      <c r="D83" s="385" t="n">
        <v>3</v>
      </c>
      <c r="E83" s="387"/>
      <c r="F83" s="388" t="n">
        <v>4</v>
      </c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customFormat="false" ht="11.45" hidden="false" customHeight="false" outlineLevel="0" collapsed="false">
      <c r="A84" s="383" t="str">
        <f aca="false">TEXT(DATE(YEAR(B$2),MONTH(B$2)+(D84-1),1),"Mmm")</f>
        <v>Jun</v>
      </c>
      <c r="B84" s="384" t="n">
        <f aca="false">B83+1</f>
        <v>46200</v>
      </c>
      <c r="C84" s="385" t="n">
        <v>13</v>
      </c>
      <c r="D84" s="385" t="n">
        <v>3</v>
      </c>
      <c r="E84" s="387"/>
      <c r="F84" s="388" t="n">
        <v>5</v>
      </c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customFormat="false" ht="11.45" hidden="false" customHeight="false" outlineLevel="0" collapsed="false">
      <c r="A85" s="383" t="str">
        <f aca="false">TEXT(DATE(YEAR(B$2),MONTH(B$2)+(D85-1),1),"Mmm")</f>
        <v>Jun</v>
      </c>
      <c r="B85" s="384" t="n">
        <f aca="false">B84+1</f>
        <v>46201</v>
      </c>
      <c r="C85" s="385" t="n">
        <v>13</v>
      </c>
      <c r="D85" s="385" t="n">
        <v>3</v>
      </c>
      <c r="E85" s="387"/>
      <c r="F85" s="388" t="n">
        <v>5</v>
      </c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customFormat="false" ht="11.45" hidden="false" customHeight="false" outlineLevel="0" collapsed="false">
      <c r="A86" s="383" t="str">
        <f aca="false">TEXT(DATE(YEAR(B$2),MONTH(B$2)+(D86-1),1),"Mmm")</f>
        <v>Jun</v>
      </c>
      <c r="B86" s="384" t="n">
        <f aca="false">B85+1</f>
        <v>46202</v>
      </c>
      <c r="C86" s="385" t="n">
        <v>13</v>
      </c>
      <c r="D86" s="385" t="n">
        <v>3</v>
      </c>
      <c r="E86" s="387"/>
      <c r="F86" s="388" t="n">
        <v>5</v>
      </c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customFormat="false" ht="11.45" hidden="false" customHeight="false" outlineLevel="0" collapsed="false">
      <c r="A87" s="383" t="str">
        <f aca="false">TEXT(DATE(YEAR(B$2),MONTH(B$2)+(D87-1),1),"Mmm")</f>
        <v>Jun</v>
      </c>
      <c r="B87" s="384" t="n">
        <f aca="false">B86+1</f>
        <v>46203</v>
      </c>
      <c r="C87" s="385" t="n">
        <v>13</v>
      </c>
      <c r="D87" s="385" t="n">
        <v>3</v>
      </c>
      <c r="E87" s="387"/>
      <c r="F87" s="388" t="n">
        <v>5</v>
      </c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customFormat="false" ht="11.45" hidden="false" customHeight="false" outlineLevel="0" collapsed="false">
      <c r="A88" s="383" t="str">
        <f aca="false">TEXT(DATE(YEAR(B$2),MONTH(B$2)+(D88-1),1),"Mmm")</f>
        <v>Jun</v>
      </c>
      <c r="B88" s="384" t="n">
        <f aca="false">B87+1</f>
        <v>46204</v>
      </c>
      <c r="C88" s="385" t="n">
        <v>13</v>
      </c>
      <c r="D88" s="385" t="n">
        <v>3</v>
      </c>
      <c r="E88" s="387"/>
      <c r="F88" s="388" t="n">
        <v>5</v>
      </c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  <row r="89" customFormat="false" ht="11.45" hidden="false" customHeight="false" outlineLevel="0" collapsed="false">
      <c r="A89" s="383" t="str">
        <f aca="false">TEXT(DATE(YEAR(B$2),MONTH(B$2)+(D89-1),1),"Mmm")</f>
        <v>Jun</v>
      </c>
      <c r="B89" s="384" t="n">
        <f aca="false">B88+1</f>
        <v>46205</v>
      </c>
      <c r="C89" s="385" t="n">
        <v>13</v>
      </c>
      <c r="D89" s="385" t="n">
        <v>3</v>
      </c>
      <c r="E89" s="387"/>
      <c r="F89" s="388" t="n">
        <v>5</v>
      </c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</row>
    <row r="90" customFormat="false" ht="11.45" hidden="false" customHeight="false" outlineLevel="0" collapsed="false">
      <c r="A90" s="383" t="str">
        <f aca="false">TEXT(DATE(YEAR(B$2),MONTH(B$2)+(D90-1),1),"Mmm")</f>
        <v>Jun</v>
      </c>
      <c r="B90" s="384" t="n">
        <f aca="false">B89+1</f>
        <v>46206</v>
      </c>
      <c r="C90" s="385" t="n">
        <v>13</v>
      </c>
      <c r="D90" s="385" t="n">
        <v>3</v>
      </c>
      <c r="E90" s="387"/>
      <c r="F90" s="388" t="n">
        <v>5</v>
      </c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</row>
    <row r="91" customFormat="false" ht="11.45" hidden="false" customHeight="false" outlineLevel="0" collapsed="false">
      <c r="A91" s="383" t="str">
        <f aca="false">TEXT(DATE(YEAR(B$2),MONTH(B$2)+(D91-1),1),"Mmm")</f>
        <v>Jul</v>
      </c>
      <c r="B91" s="384" t="n">
        <f aca="false">B90+1</f>
        <v>46207</v>
      </c>
      <c r="C91" s="385" t="n">
        <v>14</v>
      </c>
      <c r="D91" s="385" t="n">
        <v>4</v>
      </c>
      <c r="E91" s="387"/>
      <c r="F91" s="388" t="n">
        <v>1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</row>
    <row r="92" customFormat="false" ht="11.45" hidden="false" customHeight="false" outlineLevel="0" collapsed="false">
      <c r="A92" s="383" t="str">
        <f aca="false">TEXT(DATE(YEAR(B$2),MONTH(B$2)+(D92-1),1),"Mmm")</f>
        <v>Jul</v>
      </c>
      <c r="B92" s="384" t="n">
        <f aca="false">B91+1</f>
        <v>46208</v>
      </c>
      <c r="C92" s="385" t="n">
        <v>14</v>
      </c>
      <c r="D92" s="385" t="n">
        <v>4</v>
      </c>
      <c r="E92" s="387"/>
      <c r="F92" s="388" t="n">
        <v>1</v>
      </c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</row>
    <row r="93" customFormat="false" ht="10.5" hidden="false" customHeight="false" outlineLevel="0" collapsed="false">
      <c r="A93" s="383" t="str">
        <f aca="false">TEXT(DATE(YEAR(B$2),MONTH(B$2)+(D93-1),1),"Mmm")</f>
        <v>Jul</v>
      </c>
      <c r="B93" s="384" t="n">
        <f aca="false">B92+1</f>
        <v>46209</v>
      </c>
      <c r="C93" s="385" t="n">
        <v>14</v>
      </c>
      <c r="D93" s="385" t="n">
        <v>4</v>
      </c>
      <c r="E93" s="391"/>
      <c r="F93" s="385" t="n">
        <v>1</v>
      </c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</row>
    <row r="94" customFormat="false" ht="11.45" hidden="false" customHeight="false" outlineLevel="0" collapsed="false">
      <c r="A94" s="383" t="str">
        <f aca="false">TEXT(DATE(YEAR(B$2),MONTH(B$2)+(D94-1),1),"Mmm")</f>
        <v>Jul</v>
      </c>
      <c r="B94" s="384" t="n">
        <f aca="false">B93+1</f>
        <v>46210</v>
      </c>
      <c r="C94" s="385" t="n">
        <v>14</v>
      </c>
      <c r="D94" s="385" t="n">
        <v>4</v>
      </c>
      <c r="E94" s="387"/>
      <c r="F94" s="388" t="n">
        <v>1</v>
      </c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</row>
    <row r="95" customFormat="false" ht="11.45" hidden="false" customHeight="false" outlineLevel="0" collapsed="false">
      <c r="A95" s="383" t="str">
        <f aca="false">TEXT(DATE(YEAR(B$2),MONTH(B$2)+(D95-1),1),"Mmm")</f>
        <v>Jul</v>
      </c>
      <c r="B95" s="384" t="n">
        <f aca="false">B94+1</f>
        <v>46211</v>
      </c>
      <c r="C95" s="385" t="n">
        <v>14</v>
      </c>
      <c r="D95" s="385" t="n">
        <v>4</v>
      </c>
      <c r="E95" s="387"/>
      <c r="F95" s="388" t="n">
        <v>1</v>
      </c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</row>
    <row r="96" customFormat="false" ht="11.45" hidden="false" customHeight="false" outlineLevel="0" collapsed="false">
      <c r="A96" s="383" t="str">
        <f aca="false">TEXT(DATE(YEAR(B$2),MONTH(B$2)+(D96-1),1),"Mmm")</f>
        <v>Jul</v>
      </c>
      <c r="B96" s="384" t="n">
        <f aca="false">B95+1</f>
        <v>46212</v>
      </c>
      <c r="C96" s="385" t="n">
        <v>14</v>
      </c>
      <c r="D96" s="385" t="n">
        <v>4</v>
      </c>
      <c r="E96" s="387"/>
      <c r="F96" s="388" t="n">
        <v>1</v>
      </c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</row>
    <row r="97" customFormat="false" ht="11.45" hidden="false" customHeight="false" outlineLevel="0" collapsed="false">
      <c r="A97" s="383" t="str">
        <f aca="false">TEXT(DATE(YEAR(B$2),MONTH(B$2)+(D97-1),1),"Mmm")</f>
        <v>Jul</v>
      </c>
      <c r="B97" s="384" t="n">
        <f aca="false">B96+1</f>
        <v>46213</v>
      </c>
      <c r="C97" s="385" t="n">
        <v>14</v>
      </c>
      <c r="D97" s="385" t="n">
        <v>4</v>
      </c>
      <c r="E97" s="387"/>
      <c r="F97" s="388" t="n">
        <v>1</v>
      </c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</row>
    <row r="98" customFormat="false" ht="11.45" hidden="false" customHeight="false" outlineLevel="0" collapsed="false">
      <c r="A98" s="383" t="str">
        <f aca="false">TEXT(DATE(YEAR(B$2),MONTH(B$2)+(D98-1),1),"Mmm")</f>
        <v>Jul</v>
      </c>
      <c r="B98" s="384" t="n">
        <f aca="false">B97+1</f>
        <v>46214</v>
      </c>
      <c r="C98" s="385" t="n">
        <v>15</v>
      </c>
      <c r="D98" s="385" t="n">
        <v>4</v>
      </c>
      <c r="E98" s="387"/>
      <c r="F98" s="388" t="n">
        <v>2</v>
      </c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</row>
    <row r="99" customFormat="false" ht="11.45" hidden="false" customHeight="false" outlineLevel="0" collapsed="false">
      <c r="A99" s="383" t="str">
        <f aca="false">TEXT(DATE(YEAR(B$2),MONTH(B$2)+(D99-1),1),"Mmm")</f>
        <v>Jul</v>
      </c>
      <c r="B99" s="384" t="n">
        <f aca="false">B98+1</f>
        <v>46215</v>
      </c>
      <c r="C99" s="385" t="n">
        <v>15</v>
      </c>
      <c r="D99" s="385" t="n">
        <v>4</v>
      </c>
      <c r="E99" s="387"/>
      <c r="F99" s="388" t="n">
        <v>2</v>
      </c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</row>
    <row r="100" customFormat="false" ht="11.45" hidden="false" customHeight="false" outlineLevel="0" collapsed="false">
      <c r="A100" s="383" t="str">
        <f aca="false">TEXT(DATE(YEAR(B$2),MONTH(B$2)+(D100-1),1),"Mmm")</f>
        <v>Jul</v>
      </c>
      <c r="B100" s="384" t="n">
        <f aca="false">B99+1</f>
        <v>46216</v>
      </c>
      <c r="C100" s="385" t="n">
        <v>15</v>
      </c>
      <c r="D100" s="385" t="n">
        <v>4</v>
      </c>
      <c r="E100" s="387"/>
      <c r="F100" s="388" t="n">
        <v>2</v>
      </c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</row>
    <row r="101" customFormat="false" ht="11.45" hidden="false" customHeight="false" outlineLevel="0" collapsed="false">
      <c r="A101" s="383" t="str">
        <f aca="false">TEXT(DATE(YEAR(B$2),MONTH(B$2)+(D101-1),1),"Mmm")</f>
        <v>Jul</v>
      </c>
      <c r="B101" s="384" t="n">
        <f aca="false">B100+1</f>
        <v>46217</v>
      </c>
      <c r="C101" s="385" t="n">
        <v>15</v>
      </c>
      <c r="D101" s="385" t="n">
        <v>4</v>
      </c>
      <c r="E101" s="387"/>
      <c r="F101" s="388" t="n">
        <v>2</v>
      </c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</row>
    <row r="102" customFormat="false" ht="11.45" hidden="false" customHeight="false" outlineLevel="0" collapsed="false">
      <c r="A102" s="383" t="str">
        <f aca="false">TEXT(DATE(YEAR(B$2),MONTH(B$2)+(D102-1),1),"Mmm")</f>
        <v>Jul</v>
      </c>
      <c r="B102" s="384" t="n">
        <f aca="false">B101+1</f>
        <v>46218</v>
      </c>
      <c r="C102" s="385" t="n">
        <v>15</v>
      </c>
      <c r="D102" s="385" t="n">
        <v>4</v>
      </c>
      <c r="E102" s="387"/>
      <c r="F102" s="388" t="n">
        <v>2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</row>
    <row r="103" customFormat="false" ht="11.45" hidden="false" customHeight="false" outlineLevel="0" collapsed="false">
      <c r="A103" s="383" t="str">
        <f aca="false">TEXT(DATE(YEAR(B$2),MONTH(B$2)+(D103-1),1),"Mmm")</f>
        <v>Jul</v>
      </c>
      <c r="B103" s="384" t="n">
        <f aca="false">B102+1</f>
        <v>46219</v>
      </c>
      <c r="C103" s="385" t="n">
        <v>15</v>
      </c>
      <c r="D103" s="385" t="n">
        <v>4</v>
      </c>
      <c r="E103" s="387"/>
      <c r="F103" s="388" t="n">
        <v>2</v>
      </c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</row>
    <row r="104" customFormat="false" ht="11.45" hidden="false" customHeight="false" outlineLevel="0" collapsed="false">
      <c r="A104" s="383" t="str">
        <f aca="false">TEXT(DATE(YEAR(B$2),MONTH(B$2)+(D104-1),1),"Mmm")</f>
        <v>Jul</v>
      </c>
      <c r="B104" s="384" t="n">
        <f aca="false">B103+1</f>
        <v>46220</v>
      </c>
      <c r="C104" s="385" t="n">
        <v>15</v>
      </c>
      <c r="D104" s="385" t="n">
        <v>4</v>
      </c>
      <c r="E104" s="387"/>
      <c r="F104" s="388" t="n">
        <v>2</v>
      </c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</row>
    <row r="105" customFormat="false" ht="11.45" hidden="false" customHeight="false" outlineLevel="0" collapsed="false">
      <c r="A105" s="383" t="str">
        <f aca="false">TEXT(DATE(YEAR(B$2),MONTH(B$2)+(D105-1),1),"Mmm")</f>
        <v>Jul</v>
      </c>
      <c r="B105" s="384" t="n">
        <f aca="false">B104+1</f>
        <v>46221</v>
      </c>
      <c r="C105" s="385" t="n">
        <v>16</v>
      </c>
      <c r="D105" s="385" t="n">
        <v>4</v>
      </c>
      <c r="E105" s="387"/>
      <c r="F105" s="388" t="n">
        <v>3</v>
      </c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</row>
    <row r="106" customFormat="false" ht="11.45" hidden="false" customHeight="false" outlineLevel="0" collapsed="false">
      <c r="A106" s="383" t="str">
        <f aca="false">TEXT(DATE(YEAR(B$2),MONTH(B$2)+(D106-1),1),"Mmm")</f>
        <v>Jul</v>
      </c>
      <c r="B106" s="384" t="n">
        <f aca="false">B105+1</f>
        <v>46222</v>
      </c>
      <c r="C106" s="385" t="n">
        <v>16</v>
      </c>
      <c r="D106" s="385" t="n">
        <v>4</v>
      </c>
      <c r="E106" s="387"/>
      <c r="F106" s="388" t="n">
        <v>3</v>
      </c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</row>
    <row r="107" customFormat="false" ht="11.45" hidden="false" customHeight="false" outlineLevel="0" collapsed="false">
      <c r="A107" s="383" t="str">
        <f aca="false">TEXT(DATE(YEAR(B$2),MONTH(B$2)+(D107-1),1),"Mmm")</f>
        <v>Jul</v>
      </c>
      <c r="B107" s="384" t="n">
        <f aca="false">B106+1</f>
        <v>46223</v>
      </c>
      <c r="C107" s="385" t="n">
        <v>16</v>
      </c>
      <c r="D107" s="385" t="n">
        <v>4</v>
      </c>
      <c r="E107" s="387"/>
      <c r="F107" s="388" t="n">
        <v>3</v>
      </c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</row>
    <row r="108" customFormat="false" ht="11.45" hidden="false" customHeight="false" outlineLevel="0" collapsed="false">
      <c r="A108" s="383" t="str">
        <f aca="false">TEXT(DATE(YEAR(B$2),MONTH(B$2)+(D108-1),1),"Mmm")</f>
        <v>Jul</v>
      </c>
      <c r="B108" s="384" t="n">
        <f aca="false">B107+1</f>
        <v>46224</v>
      </c>
      <c r="C108" s="385" t="n">
        <v>16</v>
      </c>
      <c r="D108" s="385" t="n">
        <v>4</v>
      </c>
      <c r="E108" s="387"/>
      <c r="F108" s="388" t="n">
        <v>3</v>
      </c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</row>
    <row r="109" customFormat="false" ht="11.45" hidden="false" customHeight="false" outlineLevel="0" collapsed="false">
      <c r="A109" s="383" t="str">
        <f aca="false">TEXT(DATE(YEAR(B$2),MONTH(B$2)+(D109-1),1),"Mmm")</f>
        <v>Jul</v>
      </c>
      <c r="B109" s="384" t="n">
        <f aca="false">B108+1</f>
        <v>46225</v>
      </c>
      <c r="C109" s="385" t="n">
        <v>16</v>
      </c>
      <c r="D109" s="385" t="n">
        <v>4</v>
      </c>
      <c r="E109" s="387"/>
      <c r="F109" s="388" t="n">
        <v>3</v>
      </c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</row>
    <row r="110" customFormat="false" ht="11.45" hidden="false" customHeight="false" outlineLevel="0" collapsed="false">
      <c r="A110" s="383" t="str">
        <f aca="false">TEXT(DATE(YEAR(B$2),MONTH(B$2)+(D110-1),1),"Mmm")</f>
        <v>Jul</v>
      </c>
      <c r="B110" s="384" t="n">
        <f aca="false">B109+1</f>
        <v>46226</v>
      </c>
      <c r="C110" s="385" t="n">
        <v>16</v>
      </c>
      <c r="D110" s="385" t="n">
        <v>4</v>
      </c>
      <c r="E110" s="387"/>
      <c r="F110" s="388" t="n">
        <v>3</v>
      </c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</row>
    <row r="111" customFormat="false" ht="11.45" hidden="false" customHeight="false" outlineLevel="0" collapsed="false">
      <c r="A111" s="383" t="str">
        <f aca="false">TEXT(DATE(YEAR(B$2),MONTH(B$2)+(D111-1),1),"Mmm")</f>
        <v>Jul</v>
      </c>
      <c r="B111" s="384" t="n">
        <f aca="false">B110+1</f>
        <v>46227</v>
      </c>
      <c r="C111" s="385" t="n">
        <v>16</v>
      </c>
      <c r="D111" s="385" t="n">
        <v>4</v>
      </c>
      <c r="E111" s="387"/>
      <c r="F111" s="388" t="n">
        <v>3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</row>
    <row r="112" customFormat="false" ht="11.45" hidden="false" customHeight="false" outlineLevel="0" collapsed="false">
      <c r="A112" s="383" t="str">
        <f aca="false">TEXT(DATE(YEAR(B$2),MONTH(B$2)+(D112-1),1),"Mmm")</f>
        <v>Jul</v>
      </c>
      <c r="B112" s="384" t="n">
        <f aca="false">B111+1</f>
        <v>46228</v>
      </c>
      <c r="C112" s="385" t="n">
        <v>17</v>
      </c>
      <c r="D112" s="385" t="n">
        <v>4</v>
      </c>
      <c r="E112" s="387"/>
      <c r="F112" s="388" t="n">
        <v>4</v>
      </c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</row>
    <row r="113" customFormat="false" ht="11.45" hidden="false" customHeight="false" outlineLevel="0" collapsed="false">
      <c r="A113" s="383" t="str">
        <f aca="false">TEXT(DATE(YEAR(B$2),MONTH(B$2)+(D113-1),1),"Mmm")</f>
        <v>Jul</v>
      </c>
      <c r="B113" s="384" t="n">
        <f aca="false">B112+1</f>
        <v>46229</v>
      </c>
      <c r="C113" s="385" t="n">
        <v>17</v>
      </c>
      <c r="D113" s="385" t="n">
        <v>4</v>
      </c>
      <c r="E113" s="387"/>
      <c r="F113" s="388" t="n">
        <v>4</v>
      </c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</row>
    <row r="114" customFormat="false" ht="11.45" hidden="false" customHeight="false" outlineLevel="0" collapsed="false">
      <c r="A114" s="383" t="str">
        <f aca="false">TEXT(DATE(YEAR(B$2),MONTH(B$2)+(D114-1),1),"Mmm")</f>
        <v>Jul</v>
      </c>
      <c r="B114" s="384" t="n">
        <f aca="false">B113+1</f>
        <v>46230</v>
      </c>
      <c r="C114" s="385" t="n">
        <v>17</v>
      </c>
      <c r="D114" s="385" t="n">
        <v>4</v>
      </c>
      <c r="E114" s="387"/>
      <c r="F114" s="388" t="n">
        <v>4</v>
      </c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</row>
    <row r="115" customFormat="false" ht="11.45" hidden="false" customHeight="false" outlineLevel="0" collapsed="false">
      <c r="A115" s="383" t="str">
        <f aca="false">TEXT(DATE(YEAR(B$2),MONTH(B$2)+(D115-1),1),"Mmm")</f>
        <v>Jul</v>
      </c>
      <c r="B115" s="384" t="n">
        <f aca="false">B114+1</f>
        <v>46231</v>
      </c>
      <c r="C115" s="385" t="n">
        <v>17</v>
      </c>
      <c r="D115" s="385" t="n">
        <v>4</v>
      </c>
      <c r="E115" s="387"/>
      <c r="F115" s="388" t="n">
        <v>4</v>
      </c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</row>
    <row r="116" customFormat="false" ht="11.45" hidden="false" customHeight="false" outlineLevel="0" collapsed="false">
      <c r="A116" s="383" t="str">
        <f aca="false">TEXT(DATE(YEAR(B$2),MONTH(B$2)+(D116-1),1),"Mmm")</f>
        <v>Jul</v>
      </c>
      <c r="B116" s="384" t="n">
        <f aca="false">B115+1</f>
        <v>46232</v>
      </c>
      <c r="C116" s="385" t="n">
        <v>17</v>
      </c>
      <c r="D116" s="385" t="n">
        <v>4</v>
      </c>
      <c r="E116" s="387"/>
      <c r="F116" s="388" t="n">
        <v>4</v>
      </c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</row>
    <row r="117" customFormat="false" ht="11.45" hidden="false" customHeight="false" outlineLevel="0" collapsed="false">
      <c r="A117" s="383" t="str">
        <f aca="false">TEXT(DATE(YEAR(B$2),MONTH(B$2)+(D117-1),1),"Mmm")</f>
        <v>Jul</v>
      </c>
      <c r="B117" s="384" t="n">
        <f aca="false">B116+1</f>
        <v>46233</v>
      </c>
      <c r="C117" s="385" t="n">
        <v>17</v>
      </c>
      <c r="D117" s="385" t="n">
        <v>4</v>
      </c>
      <c r="E117" s="387"/>
      <c r="F117" s="388" t="n">
        <v>4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</row>
    <row r="118" customFormat="false" ht="11.45" hidden="false" customHeight="false" outlineLevel="0" collapsed="false">
      <c r="A118" s="383" t="str">
        <f aca="false">TEXT(DATE(YEAR(B$2),MONTH(B$2)+(D118-1),1),"Mmm")</f>
        <v>Jul</v>
      </c>
      <c r="B118" s="384" t="n">
        <f aca="false">B117+1</f>
        <v>46234</v>
      </c>
      <c r="C118" s="385" t="n">
        <v>17</v>
      </c>
      <c r="D118" s="385" t="n">
        <v>4</v>
      </c>
      <c r="E118" s="387"/>
      <c r="F118" s="388" t="n">
        <v>4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</row>
    <row r="119" customFormat="false" ht="11.45" hidden="false" customHeight="false" outlineLevel="0" collapsed="false">
      <c r="A119" s="383" t="str">
        <f aca="false">TEXT(DATE(YEAR(B$2),MONTH(B$2)+(D119-1),1),"Mmm")</f>
        <v>Aug</v>
      </c>
      <c r="B119" s="384" t="n">
        <f aca="false">B118+1</f>
        <v>46235</v>
      </c>
      <c r="C119" s="385" t="n">
        <v>18</v>
      </c>
      <c r="D119" s="385" t="n">
        <v>5</v>
      </c>
      <c r="E119" s="387"/>
      <c r="F119" s="388" t="n">
        <v>1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</row>
    <row r="120" customFormat="false" ht="11.45" hidden="false" customHeight="false" outlineLevel="0" collapsed="false">
      <c r="A120" s="383" t="str">
        <f aca="false">TEXT(DATE(YEAR(B$2),MONTH(B$2)+(D120-1),1),"Mmm")</f>
        <v>Aug</v>
      </c>
      <c r="B120" s="384" t="n">
        <f aca="false">B119+1</f>
        <v>46236</v>
      </c>
      <c r="C120" s="385" t="n">
        <v>18</v>
      </c>
      <c r="D120" s="385" t="n">
        <v>5</v>
      </c>
      <c r="E120" s="387"/>
      <c r="F120" s="388" t="n">
        <v>1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</row>
    <row r="121" customFormat="false" ht="10.5" hidden="false" customHeight="false" outlineLevel="0" collapsed="false">
      <c r="A121" s="383" t="str">
        <f aca="false">TEXT(DATE(YEAR(B$2),MONTH(B$2)+(D121-1),1),"Mmm")</f>
        <v>Aug</v>
      </c>
      <c r="B121" s="384" t="n">
        <f aca="false">B120+1</f>
        <v>46237</v>
      </c>
      <c r="C121" s="385" t="n">
        <v>18</v>
      </c>
      <c r="D121" s="385" t="n">
        <v>5</v>
      </c>
      <c r="E121" s="387"/>
      <c r="F121" s="385" t="n">
        <v>1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</row>
    <row r="122" customFormat="false" ht="11.45" hidden="false" customHeight="false" outlineLevel="0" collapsed="false">
      <c r="A122" s="383" t="str">
        <f aca="false">TEXT(DATE(YEAR(B$2),MONTH(B$2)+(D122-1),1),"Mmm")</f>
        <v>Aug</v>
      </c>
      <c r="B122" s="384" t="n">
        <f aca="false">B121+1</f>
        <v>46238</v>
      </c>
      <c r="C122" s="385" t="n">
        <v>18</v>
      </c>
      <c r="D122" s="385" t="n">
        <v>5</v>
      </c>
      <c r="E122" s="387"/>
      <c r="F122" s="388" t="n">
        <v>1</v>
      </c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</row>
    <row r="123" customFormat="false" ht="11.45" hidden="false" customHeight="false" outlineLevel="0" collapsed="false">
      <c r="A123" s="383" t="str">
        <f aca="false">TEXT(DATE(YEAR(B$2),MONTH(B$2)+(D123-1),1),"Mmm")</f>
        <v>Aug</v>
      </c>
      <c r="B123" s="384" t="n">
        <f aca="false">B122+1</f>
        <v>46239</v>
      </c>
      <c r="C123" s="385" t="n">
        <v>18</v>
      </c>
      <c r="D123" s="385" t="n">
        <v>5</v>
      </c>
      <c r="E123" s="387"/>
      <c r="F123" s="388" t="n">
        <v>1</v>
      </c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</row>
    <row r="124" customFormat="false" ht="11.45" hidden="false" customHeight="false" outlineLevel="0" collapsed="false">
      <c r="A124" s="383" t="str">
        <f aca="false">TEXT(DATE(YEAR(B$2),MONTH(B$2)+(D124-1),1),"Mmm")</f>
        <v>Aug</v>
      </c>
      <c r="B124" s="384" t="n">
        <f aca="false">B123+1</f>
        <v>46240</v>
      </c>
      <c r="C124" s="385" t="n">
        <v>18</v>
      </c>
      <c r="D124" s="385" t="n">
        <v>5</v>
      </c>
      <c r="E124" s="391"/>
      <c r="F124" s="388" t="n">
        <v>1</v>
      </c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</row>
    <row r="125" customFormat="false" ht="11.45" hidden="false" customHeight="false" outlineLevel="0" collapsed="false">
      <c r="A125" s="383" t="str">
        <f aca="false">TEXT(DATE(YEAR(B$2),MONTH(B$2)+(D125-1),1),"Mmm")</f>
        <v>Aug</v>
      </c>
      <c r="B125" s="384" t="n">
        <f aca="false">B124+1</f>
        <v>46241</v>
      </c>
      <c r="C125" s="385" t="n">
        <v>18</v>
      </c>
      <c r="D125" s="385" t="n">
        <v>5</v>
      </c>
      <c r="E125" s="387"/>
      <c r="F125" s="388" t="n">
        <v>1</v>
      </c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</row>
    <row r="126" customFormat="false" ht="11.45" hidden="false" customHeight="false" outlineLevel="0" collapsed="false">
      <c r="A126" s="383" t="str">
        <f aca="false">TEXT(DATE(YEAR(B$2),MONTH(B$2)+(D126-1),1),"Mmm")</f>
        <v>Aug</v>
      </c>
      <c r="B126" s="384" t="n">
        <f aca="false">B125+1</f>
        <v>46242</v>
      </c>
      <c r="C126" s="385" t="n">
        <v>19</v>
      </c>
      <c r="D126" s="385" t="n">
        <v>5</v>
      </c>
      <c r="E126" s="387"/>
      <c r="F126" s="388" t="n">
        <v>2</v>
      </c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</row>
    <row r="127" customFormat="false" ht="11.45" hidden="false" customHeight="false" outlineLevel="0" collapsed="false">
      <c r="A127" s="383" t="str">
        <f aca="false">TEXT(DATE(YEAR(B$2),MONTH(B$2)+(D127-1),1),"Mmm")</f>
        <v>Aug</v>
      </c>
      <c r="B127" s="384" t="n">
        <f aca="false">B126+1</f>
        <v>46243</v>
      </c>
      <c r="C127" s="385" t="n">
        <v>19</v>
      </c>
      <c r="D127" s="385" t="n">
        <v>5</v>
      </c>
      <c r="E127" s="387"/>
      <c r="F127" s="388" t="n">
        <v>2</v>
      </c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</row>
    <row r="128" customFormat="false" ht="11.45" hidden="false" customHeight="false" outlineLevel="0" collapsed="false">
      <c r="A128" s="383" t="str">
        <f aca="false">TEXT(DATE(YEAR(B$2),MONTH(B$2)+(D128-1),1),"Mmm")</f>
        <v>Aug</v>
      </c>
      <c r="B128" s="384" t="n">
        <f aca="false">B127+1</f>
        <v>46244</v>
      </c>
      <c r="C128" s="385" t="n">
        <v>19</v>
      </c>
      <c r="D128" s="385" t="n">
        <v>5</v>
      </c>
      <c r="E128" s="387"/>
      <c r="F128" s="388" t="n">
        <v>2</v>
      </c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</row>
    <row r="129" customFormat="false" ht="11.45" hidden="false" customHeight="false" outlineLevel="0" collapsed="false">
      <c r="A129" s="383" t="str">
        <f aca="false">TEXT(DATE(YEAR(B$2),MONTH(B$2)+(D129-1),1),"Mmm")</f>
        <v>Aug</v>
      </c>
      <c r="B129" s="384" t="n">
        <f aca="false">B128+1</f>
        <v>46245</v>
      </c>
      <c r="C129" s="385" t="n">
        <v>19</v>
      </c>
      <c r="D129" s="385" t="n">
        <v>5</v>
      </c>
      <c r="E129" s="387"/>
      <c r="F129" s="388" t="n">
        <v>2</v>
      </c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</row>
    <row r="130" customFormat="false" ht="11.45" hidden="false" customHeight="false" outlineLevel="0" collapsed="false">
      <c r="A130" s="383" t="str">
        <f aca="false">TEXT(DATE(YEAR(B$2),MONTH(B$2)+(D130-1),1),"Mmm")</f>
        <v>Aug</v>
      </c>
      <c r="B130" s="384" t="n">
        <f aca="false">B129+1</f>
        <v>46246</v>
      </c>
      <c r="C130" s="385" t="n">
        <v>19</v>
      </c>
      <c r="D130" s="385" t="n">
        <v>5</v>
      </c>
      <c r="E130" s="387"/>
      <c r="F130" s="388" t="n">
        <v>2</v>
      </c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</row>
    <row r="131" customFormat="false" ht="11.45" hidden="false" customHeight="false" outlineLevel="0" collapsed="false">
      <c r="A131" s="383" t="str">
        <f aca="false">TEXT(DATE(YEAR(B$2),MONTH(B$2)+(D131-1),1),"Mmm")</f>
        <v>Aug</v>
      </c>
      <c r="B131" s="384" t="n">
        <f aca="false">B130+1</f>
        <v>46247</v>
      </c>
      <c r="C131" s="385" t="n">
        <v>19</v>
      </c>
      <c r="D131" s="385" t="n">
        <v>5</v>
      </c>
      <c r="E131" s="387"/>
      <c r="F131" s="388" t="n">
        <v>2</v>
      </c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</row>
    <row r="132" customFormat="false" ht="11.45" hidden="false" customHeight="false" outlineLevel="0" collapsed="false">
      <c r="A132" s="383" t="str">
        <f aca="false">TEXT(DATE(YEAR(B$2),MONTH(B$2)+(D132-1),1),"Mmm")</f>
        <v>Aug</v>
      </c>
      <c r="B132" s="384" t="n">
        <f aca="false">B131+1</f>
        <v>46248</v>
      </c>
      <c r="C132" s="385" t="n">
        <v>19</v>
      </c>
      <c r="D132" s="385" t="n">
        <v>5</v>
      </c>
      <c r="E132" s="387"/>
      <c r="F132" s="388" t="n">
        <v>2</v>
      </c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</row>
    <row r="133" customFormat="false" ht="11.45" hidden="false" customHeight="false" outlineLevel="0" collapsed="false">
      <c r="A133" s="383" t="str">
        <f aca="false">TEXT(DATE(YEAR(B$2),MONTH(B$2)+(D133-1),1),"Mmm")</f>
        <v>Aug</v>
      </c>
      <c r="B133" s="384" t="n">
        <f aca="false">B132+1</f>
        <v>46249</v>
      </c>
      <c r="C133" s="385" t="n">
        <v>20</v>
      </c>
      <c r="D133" s="385" t="n">
        <v>5</v>
      </c>
      <c r="E133" s="387"/>
      <c r="F133" s="388" t="n">
        <v>3</v>
      </c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</row>
    <row r="134" customFormat="false" ht="11.45" hidden="false" customHeight="false" outlineLevel="0" collapsed="false">
      <c r="A134" s="383" t="str">
        <f aca="false">TEXT(DATE(YEAR(B$2),MONTH(B$2)+(D134-1),1),"Mmm")</f>
        <v>Aug</v>
      </c>
      <c r="B134" s="384" t="n">
        <f aca="false">B133+1</f>
        <v>46250</v>
      </c>
      <c r="C134" s="385" t="n">
        <v>20</v>
      </c>
      <c r="D134" s="385" t="n">
        <v>5</v>
      </c>
      <c r="E134" s="387"/>
      <c r="F134" s="388" t="n">
        <v>3</v>
      </c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</row>
    <row r="135" customFormat="false" ht="11.45" hidden="false" customHeight="false" outlineLevel="0" collapsed="false">
      <c r="A135" s="383" t="str">
        <f aca="false">TEXT(DATE(YEAR(B$2),MONTH(B$2)+(D135-1),1),"Mmm")</f>
        <v>Aug</v>
      </c>
      <c r="B135" s="384" t="n">
        <f aca="false">B134+1</f>
        <v>46251</v>
      </c>
      <c r="C135" s="385" t="n">
        <v>20</v>
      </c>
      <c r="D135" s="385" t="n">
        <v>5</v>
      </c>
      <c r="E135" s="387"/>
      <c r="F135" s="388" t="n">
        <v>3</v>
      </c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</row>
    <row r="136" customFormat="false" ht="11.45" hidden="false" customHeight="false" outlineLevel="0" collapsed="false">
      <c r="A136" s="383" t="str">
        <f aca="false">TEXT(DATE(YEAR(B$2),MONTH(B$2)+(D136-1),1),"Mmm")</f>
        <v>Aug</v>
      </c>
      <c r="B136" s="384" t="n">
        <f aca="false">B135+1</f>
        <v>46252</v>
      </c>
      <c r="C136" s="385" t="n">
        <v>20</v>
      </c>
      <c r="D136" s="385" t="n">
        <v>5</v>
      </c>
      <c r="E136" s="387"/>
      <c r="F136" s="388" t="n">
        <v>3</v>
      </c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</row>
    <row r="137" customFormat="false" ht="11.45" hidden="false" customHeight="false" outlineLevel="0" collapsed="false">
      <c r="A137" s="383" t="str">
        <f aca="false">TEXT(DATE(YEAR(B$2),MONTH(B$2)+(D137-1),1),"Mmm")</f>
        <v>Aug</v>
      </c>
      <c r="B137" s="384" t="n">
        <f aca="false">B136+1</f>
        <v>46253</v>
      </c>
      <c r="C137" s="385" t="n">
        <v>20</v>
      </c>
      <c r="D137" s="385" t="n">
        <v>5</v>
      </c>
      <c r="E137" s="387"/>
      <c r="F137" s="388" t="n">
        <v>3</v>
      </c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</row>
    <row r="138" customFormat="false" ht="11.45" hidden="false" customHeight="false" outlineLevel="0" collapsed="false">
      <c r="A138" s="383" t="str">
        <f aca="false">TEXT(DATE(YEAR(B$2),MONTH(B$2)+(D138-1),1),"Mmm")</f>
        <v>Aug</v>
      </c>
      <c r="B138" s="384" t="n">
        <f aca="false">B137+1</f>
        <v>46254</v>
      </c>
      <c r="C138" s="385" t="n">
        <v>20</v>
      </c>
      <c r="D138" s="385" t="n">
        <v>5</v>
      </c>
      <c r="E138" s="387"/>
      <c r="F138" s="388" t="n">
        <v>3</v>
      </c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</row>
    <row r="139" customFormat="false" ht="11.45" hidden="false" customHeight="false" outlineLevel="0" collapsed="false">
      <c r="A139" s="383" t="str">
        <f aca="false">TEXT(DATE(YEAR(B$2),MONTH(B$2)+(D139-1),1),"Mmm")</f>
        <v>Aug</v>
      </c>
      <c r="B139" s="384" t="n">
        <f aca="false">B138+1</f>
        <v>46255</v>
      </c>
      <c r="C139" s="385" t="n">
        <v>20</v>
      </c>
      <c r="D139" s="385" t="n">
        <v>5</v>
      </c>
      <c r="E139" s="387"/>
      <c r="F139" s="388" t="n">
        <v>3</v>
      </c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</row>
    <row r="140" customFormat="false" ht="11.45" hidden="false" customHeight="false" outlineLevel="0" collapsed="false">
      <c r="A140" s="383" t="str">
        <f aca="false">TEXT(DATE(YEAR(B$2),MONTH(B$2)+(D140-1),1),"Mmm")</f>
        <v>Aug</v>
      </c>
      <c r="B140" s="384" t="n">
        <f aca="false">B139+1</f>
        <v>46256</v>
      </c>
      <c r="C140" s="385" t="n">
        <v>21</v>
      </c>
      <c r="D140" s="385" t="n">
        <v>5</v>
      </c>
      <c r="E140" s="387"/>
      <c r="F140" s="388" t="n">
        <v>4</v>
      </c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</row>
    <row r="141" customFormat="false" ht="11.45" hidden="false" customHeight="false" outlineLevel="0" collapsed="false">
      <c r="A141" s="383" t="str">
        <f aca="false">TEXT(DATE(YEAR(B$2),MONTH(B$2)+(D141-1),1),"Mmm")</f>
        <v>Aug</v>
      </c>
      <c r="B141" s="384" t="n">
        <f aca="false">B140+1</f>
        <v>46257</v>
      </c>
      <c r="C141" s="385" t="n">
        <v>21</v>
      </c>
      <c r="D141" s="385" t="n">
        <v>5</v>
      </c>
      <c r="E141" s="387"/>
      <c r="F141" s="388" t="n">
        <v>4</v>
      </c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</row>
    <row r="142" customFormat="false" ht="11.45" hidden="false" customHeight="false" outlineLevel="0" collapsed="false">
      <c r="A142" s="383" t="str">
        <f aca="false">TEXT(DATE(YEAR(B$2),MONTH(B$2)+(D142-1),1),"Mmm")</f>
        <v>Aug</v>
      </c>
      <c r="B142" s="384" t="n">
        <f aca="false">B141+1</f>
        <v>46258</v>
      </c>
      <c r="C142" s="385" t="n">
        <v>21</v>
      </c>
      <c r="D142" s="385" t="n">
        <v>5</v>
      </c>
      <c r="E142" s="387"/>
      <c r="F142" s="388" t="n">
        <v>4</v>
      </c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</row>
    <row r="143" customFormat="false" ht="11.45" hidden="false" customHeight="false" outlineLevel="0" collapsed="false">
      <c r="A143" s="383" t="str">
        <f aca="false">TEXT(DATE(YEAR(B$2),MONTH(B$2)+(D143-1),1),"Mmm")</f>
        <v>Aug</v>
      </c>
      <c r="B143" s="384" t="n">
        <f aca="false">B142+1</f>
        <v>46259</v>
      </c>
      <c r="C143" s="385" t="n">
        <v>21</v>
      </c>
      <c r="D143" s="385" t="n">
        <v>5</v>
      </c>
      <c r="E143" s="387"/>
      <c r="F143" s="388" t="n">
        <v>4</v>
      </c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</row>
    <row r="144" customFormat="false" ht="11.45" hidden="false" customHeight="false" outlineLevel="0" collapsed="false">
      <c r="A144" s="383" t="str">
        <f aca="false">TEXT(DATE(YEAR(B$2),MONTH(B$2)+(D144-1),1),"Mmm")</f>
        <v>Aug</v>
      </c>
      <c r="B144" s="384" t="n">
        <f aca="false">B143+1</f>
        <v>46260</v>
      </c>
      <c r="C144" s="385" t="n">
        <v>21</v>
      </c>
      <c r="D144" s="385" t="n">
        <v>5</v>
      </c>
      <c r="E144" s="387"/>
      <c r="F144" s="388" t="n">
        <v>4</v>
      </c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</row>
    <row r="145" customFormat="false" ht="11.45" hidden="false" customHeight="false" outlineLevel="0" collapsed="false">
      <c r="A145" s="383" t="str">
        <f aca="false">TEXT(DATE(YEAR(B$2),MONTH(B$2)+(D145-1),1),"Mmm")</f>
        <v>Aug</v>
      </c>
      <c r="B145" s="384" t="n">
        <f aca="false">B144+1</f>
        <v>46261</v>
      </c>
      <c r="C145" s="385" t="n">
        <v>21</v>
      </c>
      <c r="D145" s="385" t="n">
        <v>5</v>
      </c>
      <c r="E145" s="387"/>
      <c r="F145" s="388" t="n">
        <v>4</v>
      </c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</row>
    <row r="146" customFormat="false" ht="11.45" hidden="false" customHeight="false" outlineLevel="0" collapsed="false">
      <c r="A146" s="383" t="str">
        <f aca="false">TEXT(DATE(YEAR(B$2),MONTH(B$2)+(D146-1),1),"Mmm")</f>
        <v>Aug</v>
      </c>
      <c r="B146" s="384" t="n">
        <f aca="false">B145+1</f>
        <v>46262</v>
      </c>
      <c r="C146" s="385" t="n">
        <v>21</v>
      </c>
      <c r="D146" s="385" t="n">
        <v>5</v>
      </c>
      <c r="E146" s="387"/>
      <c r="F146" s="388" t="n">
        <v>4</v>
      </c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</row>
    <row r="147" customFormat="false" ht="11.45" hidden="false" customHeight="false" outlineLevel="0" collapsed="false">
      <c r="A147" s="383" t="str">
        <f aca="false">TEXT(DATE(YEAR(B$2),MONTH(B$2)+(D147-1),1),"Mmm")</f>
        <v>Sep</v>
      </c>
      <c r="B147" s="384" t="n">
        <f aca="false">B146+1</f>
        <v>46263</v>
      </c>
      <c r="C147" s="385" t="n">
        <v>22</v>
      </c>
      <c r="D147" s="385" t="n">
        <v>6</v>
      </c>
      <c r="E147" s="387"/>
      <c r="F147" s="388" t="n">
        <v>1</v>
      </c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</row>
    <row r="148" customFormat="false" ht="11.45" hidden="false" customHeight="false" outlineLevel="0" collapsed="false">
      <c r="A148" s="383" t="str">
        <f aca="false">TEXT(DATE(YEAR(B$2),MONTH(B$2)+(D148-1),1),"Mmm")</f>
        <v>Sep</v>
      </c>
      <c r="B148" s="384" t="n">
        <f aca="false">B147+1</f>
        <v>46264</v>
      </c>
      <c r="C148" s="385" t="n">
        <v>22</v>
      </c>
      <c r="D148" s="385" t="n">
        <v>6</v>
      </c>
      <c r="E148" s="387"/>
      <c r="F148" s="388" t="n">
        <v>1</v>
      </c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</row>
    <row r="149" customFormat="false" ht="10.5" hidden="false" customHeight="false" outlineLevel="0" collapsed="false">
      <c r="A149" s="383" t="str">
        <f aca="false">TEXT(DATE(YEAR(B$2),MONTH(B$2)+(D149-1),1),"Mmm")</f>
        <v>Sep</v>
      </c>
      <c r="B149" s="384" t="n">
        <f aca="false">B148+1</f>
        <v>46265</v>
      </c>
      <c r="C149" s="385" t="n">
        <v>22</v>
      </c>
      <c r="D149" s="385" t="n">
        <v>6</v>
      </c>
      <c r="E149" s="387"/>
      <c r="F149" s="385" t="n">
        <v>1</v>
      </c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</row>
    <row r="150" customFormat="false" ht="11.45" hidden="false" customHeight="false" outlineLevel="0" collapsed="false">
      <c r="A150" s="383" t="str">
        <f aca="false">TEXT(DATE(YEAR(B$2),MONTH(B$2)+(D150-1),1),"Mmm")</f>
        <v>Sep</v>
      </c>
      <c r="B150" s="384" t="n">
        <f aca="false">B149+1</f>
        <v>46266</v>
      </c>
      <c r="C150" s="385" t="n">
        <v>22</v>
      </c>
      <c r="D150" s="385" t="n">
        <v>6</v>
      </c>
      <c r="E150" s="387"/>
      <c r="F150" s="388" t="n">
        <v>1</v>
      </c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</row>
    <row r="151" customFormat="false" ht="11.45" hidden="false" customHeight="false" outlineLevel="0" collapsed="false">
      <c r="A151" s="383" t="str">
        <f aca="false">TEXT(DATE(YEAR(B$2),MONTH(B$2)+(D151-1),1),"Mmm")</f>
        <v>Sep</v>
      </c>
      <c r="B151" s="384" t="n">
        <f aca="false">B150+1</f>
        <v>46267</v>
      </c>
      <c r="C151" s="385" t="n">
        <v>22</v>
      </c>
      <c r="D151" s="385" t="n">
        <v>6</v>
      </c>
      <c r="E151" s="387"/>
      <c r="F151" s="388" t="n">
        <v>1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</row>
    <row r="152" customFormat="false" ht="11.45" hidden="false" customHeight="false" outlineLevel="0" collapsed="false">
      <c r="A152" s="383" t="str">
        <f aca="false">TEXT(DATE(YEAR(B$2),MONTH(B$2)+(D152-1),1),"Mmm")</f>
        <v>Sep</v>
      </c>
      <c r="B152" s="384" t="n">
        <f aca="false">B151+1</f>
        <v>46268</v>
      </c>
      <c r="C152" s="385" t="n">
        <v>22</v>
      </c>
      <c r="D152" s="385" t="n">
        <v>6</v>
      </c>
      <c r="E152" s="387"/>
      <c r="F152" s="388" t="n">
        <v>1</v>
      </c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</row>
    <row r="153" customFormat="false" ht="11.45" hidden="false" customHeight="false" outlineLevel="0" collapsed="false">
      <c r="A153" s="383" t="str">
        <f aca="false">TEXT(DATE(YEAR(B$2),MONTH(B$2)+(D153-1),1),"Mmm")</f>
        <v>Sep</v>
      </c>
      <c r="B153" s="384" t="n">
        <f aca="false">B152+1</f>
        <v>46269</v>
      </c>
      <c r="C153" s="385" t="n">
        <v>22</v>
      </c>
      <c r="D153" s="385" t="n">
        <v>6</v>
      </c>
      <c r="E153" s="387"/>
      <c r="F153" s="388" t="n">
        <v>1</v>
      </c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</row>
    <row r="154" customFormat="false" ht="11.45" hidden="false" customHeight="false" outlineLevel="0" collapsed="false">
      <c r="A154" s="383" t="str">
        <f aca="false">TEXT(DATE(YEAR(B$2),MONTH(B$2)+(D154-1),1),"Mmm")</f>
        <v>Sep</v>
      </c>
      <c r="B154" s="384" t="n">
        <f aca="false">B153+1</f>
        <v>46270</v>
      </c>
      <c r="C154" s="385" t="n">
        <v>23</v>
      </c>
      <c r="D154" s="385" t="n">
        <v>6</v>
      </c>
      <c r="E154" s="387"/>
      <c r="F154" s="388" t="n">
        <v>2</v>
      </c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</row>
    <row r="155" customFormat="false" ht="11.45" hidden="false" customHeight="false" outlineLevel="0" collapsed="false">
      <c r="A155" s="383" t="str">
        <f aca="false">TEXT(DATE(YEAR(B$2),MONTH(B$2)+(D155-1),1),"Mmm")</f>
        <v>Sep</v>
      </c>
      <c r="B155" s="384" t="n">
        <f aca="false">B154+1</f>
        <v>46271</v>
      </c>
      <c r="C155" s="385" t="n">
        <v>23</v>
      </c>
      <c r="D155" s="385" t="n">
        <v>6</v>
      </c>
      <c r="E155" s="391"/>
      <c r="F155" s="388" t="n">
        <v>2</v>
      </c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</row>
    <row r="156" customFormat="false" ht="11.45" hidden="false" customHeight="false" outlineLevel="0" collapsed="false">
      <c r="A156" s="383" t="str">
        <f aca="false">TEXT(DATE(YEAR(B$2),MONTH(B$2)+(D156-1),1),"Mmm")</f>
        <v>Sep</v>
      </c>
      <c r="B156" s="384" t="n">
        <f aca="false">B155+1</f>
        <v>46272</v>
      </c>
      <c r="C156" s="385" t="n">
        <v>23</v>
      </c>
      <c r="D156" s="385" t="n">
        <v>6</v>
      </c>
      <c r="E156" s="387"/>
      <c r="F156" s="388" t="n">
        <v>2</v>
      </c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</row>
    <row r="157" customFormat="false" ht="11.45" hidden="false" customHeight="false" outlineLevel="0" collapsed="false">
      <c r="A157" s="383" t="str">
        <f aca="false">TEXT(DATE(YEAR(B$2),MONTH(B$2)+(D157-1),1),"Mmm")</f>
        <v>Sep</v>
      </c>
      <c r="B157" s="384" t="n">
        <f aca="false">B156+1</f>
        <v>46273</v>
      </c>
      <c r="C157" s="385" t="n">
        <v>23</v>
      </c>
      <c r="D157" s="385" t="n">
        <v>6</v>
      </c>
      <c r="E157" s="387"/>
      <c r="F157" s="388" t="n">
        <v>2</v>
      </c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</row>
    <row r="158" customFormat="false" ht="11.45" hidden="false" customHeight="false" outlineLevel="0" collapsed="false">
      <c r="A158" s="383" t="str">
        <f aca="false">TEXT(DATE(YEAR(B$2),MONTH(B$2)+(D158-1),1),"Mmm")</f>
        <v>Sep</v>
      </c>
      <c r="B158" s="384" t="n">
        <f aca="false">B157+1</f>
        <v>46274</v>
      </c>
      <c r="C158" s="385" t="n">
        <v>23</v>
      </c>
      <c r="D158" s="385" t="n">
        <v>6</v>
      </c>
      <c r="E158" s="387"/>
      <c r="F158" s="388" t="n">
        <v>2</v>
      </c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</row>
    <row r="159" customFormat="false" ht="11.45" hidden="false" customHeight="false" outlineLevel="0" collapsed="false">
      <c r="A159" s="383" t="str">
        <f aca="false">TEXT(DATE(YEAR(B$2),MONTH(B$2)+(D159-1),1),"Mmm")</f>
        <v>Sep</v>
      </c>
      <c r="B159" s="384" t="n">
        <f aca="false">B158+1</f>
        <v>46275</v>
      </c>
      <c r="C159" s="385" t="n">
        <v>23</v>
      </c>
      <c r="D159" s="385" t="n">
        <v>6</v>
      </c>
      <c r="E159" s="387"/>
      <c r="F159" s="388" t="n">
        <v>2</v>
      </c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</row>
    <row r="160" customFormat="false" ht="11.45" hidden="false" customHeight="false" outlineLevel="0" collapsed="false">
      <c r="A160" s="383" t="str">
        <f aca="false">TEXT(DATE(YEAR(B$2),MONTH(B$2)+(D160-1),1),"Mmm")</f>
        <v>Sep</v>
      </c>
      <c r="B160" s="384" t="n">
        <f aca="false">B159+1</f>
        <v>46276</v>
      </c>
      <c r="C160" s="385" t="n">
        <v>23</v>
      </c>
      <c r="D160" s="385" t="n">
        <v>6</v>
      </c>
      <c r="E160" s="387"/>
      <c r="F160" s="388" t="n">
        <v>2</v>
      </c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</row>
    <row r="161" customFormat="false" ht="11.45" hidden="false" customHeight="false" outlineLevel="0" collapsed="false">
      <c r="A161" s="383" t="str">
        <f aca="false">TEXT(DATE(YEAR(B$2),MONTH(B$2)+(D161-1),1),"Mmm")</f>
        <v>Sep</v>
      </c>
      <c r="B161" s="384" t="n">
        <f aca="false">B160+1</f>
        <v>46277</v>
      </c>
      <c r="C161" s="385" t="n">
        <v>24</v>
      </c>
      <c r="D161" s="385" t="n">
        <v>6</v>
      </c>
      <c r="E161" s="387"/>
      <c r="F161" s="388" t="n">
        <v>3</v>
      </c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</row>
    <row r="162" customFormat="false" ht="11.45" hidden="false" customHeight="false" outlineLevel="0" collapsed="false">
      <c r="A162" s="383" t="str">
        <f aca="false">TEXT(DATE(YEAR(B$2),MONTH(B$2)+(D162-1),1),"Mmm")</f>
        <v>Sep</v>
      </c>
      <c r="B162" s="384" t="n">
        <f aca="false">B161+1</f>
        <v>46278</v>
      </c>
      <c r="C162" s="385" t="n">
        <v>24</v>
      </c>
      <c r="D162" s="385" t="n">
        <v>6</v>
      </c>
      <c r="E162" s="387"/>
      <c r="F162" s="388" t="n">
        <v>3</v>
      </c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</row>
    <row r="163" customFormat="false" ht="11.45" hidden="false" customHeight="false" outlineLevel="0" collapsed="false">
      <c r="A163" s="383" t="str">
        <f aca="false">TEXT(DATE(YEAR(B$2),MONTH(B$2)+(D163-1),1),"Mmm")</f>
        <v>Sep</v>
      </c>
      <c r="B163" s="384" t="n">
        <f aca="false">B162+1</f>
        <v>46279</v>
      </c>
      <c r="C163" s="385" t="n">
        <v>24</v>
      </c>
      <c r="D163" s="385" t="n">
        <v>6</v>
      </c>
      <c r="E163" s="387"/>
      <c r="F163" s="388" t="n">
        <v>3</v>
      </c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</row>
    <row r="164" customFormat="false" ht="11.45" hidden="false" customHeight="false" outlineLevel="0" collapsed="false">
      <c r="A164" s="383" t="str">
        <f aca="false">TEXT(DATE(YEAR(B$2),MONTH(B$2)+(D164-1),1),"Mmm")</f>
        <v>Sep</v>
      </c>
      <c r="B164" s="384" t="n">
        <f aca="false">B163+1</f>
        <v>46280</v>
      </c>
      <c r="C164" s="385" t="n">
        <v>24</v>
      </c>
      <c r="D164" s="385" t="n">
        <v>6</v>
      </c>
      <c r="E164" s="387"/>
      <c r="F164" s="388" t="n">
        <v>3</v>
      </c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</row>
    <row r="165" customFormat="false" ht="11.45" hidden="false" customHeight="false" outlineLevel="0" collapsed="false">
      <c r="A165" s="383" t="str">
        <f aca="false">TEXT(DATE(YEAR(B$2),MONTH(B$2)+(D165-1),1),"Mmm")</f>
        <v>Sep</v>
      </c>
      <c r="B165" s="384" t="n">
        <f aca="false">B164+1</f>
        <v>46281</v>
      </c>
      <c r="C165" s="385" t="n">
        <v>24</v>
      </c>
      <c r="D165" s="385" t="n">
        <v>6</v>
      </c>
      <c r="E165" s="387"/>
      <c r="F165" s="388" t="n">
        <v>3</v>
      </c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</row>
    <row r="166" customFormat="false" ht="11.45" hidden="false" customHeight="false" outlineLevel="0" collapsed="false">
      <c r="A166" s="383" t="str">
        <f aca="false">TEXT(DATE(YEAR(B$2),MONTH(B$2)+(D166-1),1),"Mmm")</f>
        <v>Sep</v>
      </c>
      <c r="B166" s="384" t="n">
        <f aca="false">B165+1</f>
        <v>46282</v>
      </c>
      <c r="C166" s="385" t="n">
        <v>24</v>
      </c>
      <c r="D166" s="385" t="n">
        <v>6</v>
      </c>
      <c r="E166" s="387"/>
      <c r="F166" s="388" t="n">
        <v>3</v>
      </c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</row>
    <row r="167" customFormat="false" ht="11.45" hidden="false" customHeight="false" outlineLevel="0" collapsed="false">
      <c r="A167" s="383" t="str">
        <f aca="false">TEXT(DATE(YEAR(B$2),MONTH(B$2)+(D167-1),1),"Mmm")</f>
        <v>Sep</v>
      </c>
      <c r="B167" s="384" t="n">
        <f aca="false">B166+1</f>
        <v>46283</v>
      </c>
      <c r="C167" s="385" t="n">
        <v>24</v>
      </c>
      <c r="D167" s="385" t="n">
        <v>6</v>
      </c>
      <c r="E167" s="387"/>
      <c r="F167" s="388" t="n">
        <v>3</v>
      </c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</row>
    <row r="168" customFormat="false" ht="11.45" hidden="false" customHeight="false" outlineLevel="0" collapsed="false">
      <c r="A168" s="383" t="str">
        <f aca="false">TEXT(DATE(YEAR(B$2),MONTH(B$2)+(D168-1),1),"Mmm")</f>
        <v>Sep</v>
      </c>
      <c r="B168" s="384" t="n">
        <f aca="false">B167+1</f>
        <v>46284</v>
      </c>
      <c r="C168" s="385" t="n">
        <v>25</v>
      </c>
      <c r="D168" s="385" t="n">
        <v>6</v>
      </c>
      <c r="E168" s="387"/>
      <c r="F168" s="388" t="n">
        <v>4</v>
      </c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</row>
    <row r="169" customFormat="false" ht="11.45" hidden="false" customHeight="false" outlineLevel="0" collapsed="false">
      <c r="A169" s="383" t="str">
        <f aca="false">TEXT(DATE(YEAR(B$2),MONTH(B$2)+(D169-1),1),"Mmm")</f>
        <v>Sep</v>
      </c>
      <c r="B169" s="384" t="n">
        <f aca="false">B168+1</f>
        <v>46285</v>
      </c>
      <c r="C169" s="385" t="n">
        <v>25</v>
      </c>
      <c r="D169" s="385" t="n">
        <v>6</v>
      </c>
      <c r="E169" s="387"/>
      <c r="F169" s="388" t="n">
        <v>4</v>
      </c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</row>
    <row r="170" customFormat="false" ht="11.45" hidden="false" customHeight="false" outlineLevel="0" collapsed="false">
      <c r="A170" s="383" t="str">
        <f aca="false">TEXT(DATE(YEAR(B$2),MONTH(B$2)+(D170-1),1),"Mmm")</f>
        <v>Sep</v>
      </c>
      <c r="B170" s="384" t="n">
        <f aca="false">B169+1</f>
        <v>46286</v>
      </c>
      <c r="C170" s="385" t="n">
        <v>25</v>
      </c>
      <c r="D170" s="385" t="n">
        <v>6</v>
      </c>
      <c r="E170" s="387"/>
      <c r="F170" s="388" t="n">
        <v>4</v>
      </c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</row>
    <row r="171" customFormat="false" ht="11.45" hidden="false" customHeight="false" outlineLevel="0" collapsed="false">
      <c r="A171" s="383" t="str">
        <f aca="false">TEXT(DATE(YEAR(B$2),MONTH(B$2)+(D171-1),1),"Mmm")</f>
        <v>Sep</v>
      </c>
      <c r="B171" s="384" t="n">
        <f aca="false">B170+1</f>
        <v>46287</v>
      </c>
      <c r="C171" s="385" t="n">
        <v>25</v>
      </c>
      <c r="D171" s="385" t="n">
        <v>6</v>
      </c>
      <c r="E171" s="387"/>
      <c r="F171" s="388" t="n">
        <v>4</v>
      </c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</row>
    <row r="172" customFormat="false" ht="11.45" hidden="false" customHeight="false" outlineLevel="0" collapsed="false">
      <c r="A172" s="383" t="str">
        <f aca="false">TEXT(DATE(YEAR(B$2),MONTH(B$2)+(D172-1),1),"Mmm")</f>
        <v>Sep</v>
      </c>
      <c r="B172" s="384" t="n">
        <f aca="false">B171+1</f>
        <v>46288</v>
      </c>
      <c r="C172" s="385" t="n">
        <v>25</v>
      </c>
      <c r="D172" s="385" t="n">
        <v>6</v>
      </c>
      <c r="E172" s="387"/>
      <c r="F172" s="388" t="n">
        <v>4</v>
      </c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</row>
    <row r="173" customFormat="false" ht="11.45" hidden="false" customHeight="false" outlineLevel="0" collapsed="false">
      <c r="A173" s="383" t="str">
        <f aca="false">TEXT(DATE(YEAR(B$2),MONTH(B$2)+(D173-1),1),"Mmm")</f>
        <v>Sep</v>
      </c>
      <c r="B173" s="384" t="n">
        <f aca="false">B172+1</f>
        <v>46289</v>
      </c>
      <c r="C173" s="385" t="n">
        <v>25</v>
      </c>
      <c r="D173" s="385" t="n">
        <v>6</v>
      </c>
      <c r="E173" s="387"/>
      <c r="F173" s="388" t="n">
        <v>4</v>
      </c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</row>
    <row r="174" customFormat="false" ht="11.45" hidden="false" customHeight="false" outlineLevel="0" collapsed="false">
      <c r="A174" s="383" t="str">
        <f aca="false">TEXT(DATE(YEAR(B$2),MONTH(B$2)+(D174-1),1),"Mmm")</f>
        <v>Sep</v>
      </c>
      <c r="B174" s="384" t="n">
        <f aca="false">B173+1</f>
        <v>46290</v>
      </c>
      <c r="C174" s="385" t="n">
        <v>25</v>
      </c>
      <c r="D174" s="385" t="n">
        <v>6</v>
      </c>
      <c r="E174" s="387"/>
      <c r="F174" s="388" t="n">
        <v>4</v>
      </c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</row>
    <row r="175" customFormat="false" ht="11.45" hidden="false" customHeight="false" outlineLevel="0" collapsed="false">
      <c r="A175" s="383" t="str">
        <f aca="false">TEXT(DATE(YEAR(B$2),MONTH(B$2)+(D175-1),1),"Mmm")</f>
        <v>Sep</v>
      </c>
      <c r="B175" s="384" t="n">
        <f aca="false">B174+1</f>
        <v>46291</v>
      </c>
      <c r="C175" s="385" t="n">
        <v>26</v>
      </c>
      <c r="D175" s="385" t="n">
        <v>6</v>
      </c>
      <c r="E175" s="387"/>
      <c r="F175" s="388" t="n">
        <v>5</v>
      </c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</row>
    <row r="176" customFormat="false" ht="11.45" hidden="false" customHeight="false" outlineLevel="0" collapsed="false">
      <c r="A176" s="383" t="str">
        <f aca="false">TEXT(DATE(YEAR(B$2),MONTH(B$2)+(D176-1),1),"Mmm")</f>
        <v>Sep</v>
      </c>
      <c r="B176" s="384" t="n">
        <f aca="false">B175+1</f>
        <v>46292</v>
      </c>
      <c r="C176" s="385" t="n">
        <v>26</v>
      </c>
      <c r="D176" s="385" t="n">
        <v>6</v>
      </c>
      <c r="E176" s="387"/>
      <c r="F176" s="388" t="n">
        <v>5</v>
      </c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</row>
    <row r="177" customFormat="false" ht="11.45" hidden="false" customHeight="false" outlineLevel="0" collapsed="false">
      <c r="A177" s="383" t="str">
        <f aca="false">TEXT(DATE(YEAR(B$2),MONTH(B$2)+(D177-1),1),"Mmm")</f>
        <v>Sep</v>
      </c>
      <c r="B177" s="384" t="n">
        <f aca="false">B176+1</f>
        <v>46293</v>
      </c>
      <c r="C177" s="385" t="n">
        <v>26</v>
      </c>
      <c r="D177" s="385" t="n">
        <v>6</v>
      </c>
      <c r="E177" s="387"/>
      <c r="F177" s="388" t="n">
        <v>5</v>
      </c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</row>
    <row r="178" customFormat="false" ht="11.45" hidden="false" customHeight="false" outlineLevel="0" collapsed="false">
      <c r="A178" s="383" t="str">
        <f aca="false">TEXT(DATE(YEAR(B$2),MONTH(B$2)+(D178-1),1),"Mmm")</f>
        <v>Sep</v>
      </c>
      <c r="B178" s="384" t="n">
        <f aca="false">B177+1</f>
        <v>46294</v>
      </c>
      <c r="C178" s="385" t="n">
        <v>26</v>
      </c>
      <c r="D178" s="385" t="n">
        <v>6</v>
      </c>
      <c r="E178" s="387"/>
      <c r="F178" s="388" t="n">
        <v>5</v>
      </c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</row>
    <row r="179" customFormat="false" ht="11.45" hidden="false" customHeight="false" outlineLevel="0" collapsed="false">
      <c r="A179" s="383" t="str">
        <f aca="false">TEXT(DATE(YEAR(B$2),MONTH(B$2)+(D179-1),1),"Mmm")</f>
        <v>Sep</v>
      </c>
      <c r="B179" s="384" t="n">
        <f aca="false">B178+1</f>
        <v>46295</v>
      </c>
      <c r="C179" s="385" t="n">
        <v>26</v>
      </c>
      <c r="D179" s="385" t="n">
        <v>6</v>
      </c>
      <c r="E179" s="387"/>
      <c r="F179" s="388" t="n">
        <v>5</v>
      </c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</row>
    <row r="180" customFormat="false" ht="11.45" hidden="false" customHeight="false" outlineLevel="0" collapsed="false">
      <c r="A180" s="383" t="str">
        <f aca="false">TEXT(DATE(YEAR(B$2),MONTH(B$2)+(D180-1),1),"Mmm")</f>
        <v>Sep</v>
      </c>
      <c r="B180" s="384" t="n">
        <f aca="false">B179+1</f>
        <v>46296</v>
      </c>
      <c r="C180" s="385" t="n">
        <v>26</v>
      </c>
      <c r="D180" s="385" t="n">
        <v>6</v>
      </c>
      <c r="E180" s="387"/>
      <c r="F180" s="388" t="n">
        <v>5</v>
      </c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</row>
    <row r="181" customFormat="false" ht="11.45" hidden="false" customHeight="false" outlineLevel="0" collapsed="false">
      <c r="A181" s="383" t="str">
        <f aca="false">TEXT(DATE(YEAR(B$2),MONTH(B$2)+(D181-1),1),"Mmm")</f>
        <v>Sep</v>
      </c>
      <c r="B181" s="384" t="n">
        <f aca="false">B180+1</f>
        <v>46297</v>
      </c>
      <c r="C181" s="385" t="n">
        <v>26</v>
      </c>
      <c r="D181" s="385" t="n">
        <v>6</v>
      </c>
      <c r="E181" s="387"/>
      <c r="F181" s="388" t="n">
        <v>5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</row>
    <row r="182" customFormat="false" ht="11.45" hidden="false" customHeight="false" outlineLevel="0" collapsed="false">
      <c r="A182" s="383" t="str">
        <f aca="false">TEXT(DATE(YEAR(B$2),MONTH(B$2)+(D182-1),1),"Mmm")</f>
        <v>Oct</v>
      </c>
      <c r="B182" s="384" t="n">
        <f aca="false">B181+1</f>
        <v>46298</v>
      </c>
      <c r="C182" s="385" t="n">
        <v>27</v>
      </c>
      <c r="D182" s="385" t="n">
        <v>7</v>
      </c>
      <c r="E182" s="387"/>
      <c r="F182" s="388" t="n">
        <v>1</v>
      </c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</row>
    <row r="183" customFormat="false" ht="11.45" hidden="false" customHeight="false" outlineLevel="0" collapsed="false">
      <c r="A183" s="383" t="str">
        <f aca="false">TEXT(DATE(YEAR(B$2),MONTH(B$2)+(D183-1),1),"Mmm")</f>
        <v>Oct</v>
      </c>
      <c r="B183" s="384" t="n">
        <f aca="false">B182+1</f>
        <v>46299</v>
      </c>
      <c r="C183" s="385" t="n">
        <v>27</v>
      </c>
      <c r="D183" s="385" t="n">
        <v>7</v>
      </c>
      <c r="E183" s="387"/>
      <c r="F183" s="388" t="n">
        <v>1</v>
      </c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</row>
    <row r="184" customFormat="false" ht="10.5" hidden="false" customHeight="false" outlineLevel="0" collapsed="false">
      <c r="A184" s="383" t="str">
        <f aca="false">TEXT(DATE(YEAR(B$2),MONTH(B$2)+(D184-1),1),"Mmm")</f>
        <v>Oct</v>
      </c>
      <c r="B184" s="384" t="n">
        <f aca="false">B183+1</f>
        <v>46300</v>
      </c>
      <c r="C184" s="385" t="n">
        <v>27</v>
      </c>
      <c r="D184" s="385" t="n">
        <v>7</v>
      </c>
      <c r="E184" s="387"/>
      <c r="F184" s="385" t="n">
        <v>1</v>
      </c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</row>
    <row r="185" customFormat="false" ht="11.45" hidden="false" customHeight="false" outlineLevel="0" collapsed="false">
      <c r="A185" s="383" t="str">
        <f aca="false">TEXT(DATE(YEAR(B$2),MONTH(B$2)+(D185-1),1),"Mmm")</f>
        <v>Oct</v>
      </c>
      <c r="B185" s="384" t="n">
        <f aca="false">B184+1</f>
        <v>46301</v>
      </c>
      <c r="C185" s="385" t="n">
        <v>27</v>
      </c>
      <c r="D185" s="385" t="n">
        <v>7</v>
      </c>
      <c r="E185" s="391"/>
      <c r="F185" s="388" t="n">
        <v>1</v>
      </c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</row>
    <row r="186" customFormat="false" ht="11.45" hidden="false" customHeight="false" outlineLevel="0" collapsed="false">
      <c r="A186" s="383" t="str">
        <f aca="false">TEXT(DATE(YEAR(B$2),MONTH(B$2)+(D186-1),1),"Mmm")</f>
        <v>Oct</v>
      </c>
      <c r="B186" s="384" t="n">
        <f aca="false">B185+1</f>
        <v>46302</v>
      </c>
      <c r="C186" s="385" t="n">
        <v>27</v>
      </c>
      <c r="D186" s="385" t="n">
        <v>7</v>
      </c>
      <c r="E186" s="387"/>
      <c r="F186" s="388" t="n">
        <v>1</v>
      </c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</row>
    <row r="187" customFormat="false" ht="11.45" hidden="false" customHeight="false" outlineLevel="0" collapsed="false">
      <c r="A187" s="383" t="str">
        <f aca="false">TEXT(DATE(YEAR(B$2),MONTH(B$2)+(D187-1),1),"Mmm")</f>
        <v>Oct</v>
      </c>
      <c r="B187" s="384" t="n">
        <f aca="false">B186+1</f>
        <v>46303</v>
      </c>
      <c r="C187" s="385" t="n">
        <v>27</v>
      </c>
      <c r="D187" s="385" t="n">
        <v>7</v>
      </c>
      <c r="E187" s="387"/>
      <c r="F187" s="388" t="n">
        <v>1</v>
      </c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</row>
    <row r="188" customFormat="false" ht="11.45" hidden="false" customHeight="false" outlineLevel="0" collapsed="false">
      <c r="A188" s="383" t="str">
        <f aca="false">TEXT(DATE(YEAR(B$2),MONTH(B$2)+(D188-1),1),"Mmm")</f>
        <v>Oct</v>
      </c>
      <c r="B188" s="384" t="n">
        <f aca="false">B187+1</f>
        <v>46304</v>
      </c>
      <c r="C188" s="385" t="n">
        <v>27</v>
      </c>
      <c r="D188" s="385" t="n">
        <v>7</v>
      </c>
      <c r="E188" s="387"/>
      <c r="F188" s="388" t="n">
        <v>1</v>
      </c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</row>
    <row r="189" customFormat="false" ht="11.45" hidden="false" customHeight="false" outlineLevel="0" collapsed="false">
      <c r="A189" s="383" t="str">
        <f aca="false">TEXT(DATE(YEAR(B$2),MONTH(B$2)+(D189-1),1),"Mmm")</f>
        <v>Oct</v>
      </c>
      <c r="B189" s="384" t="n">
        <f aca="false">B188+1</f>
        <v>46305</v>
      </c>
      <c r="C189" s="385" t="n">
        <v>28</v>
      </c>
      <c r="D189" s="385" t="n">
        <v>7</v>
      </c>
      <c r="E189" s="387"/>
      <c r="F189" s="388" t="n">
        <v>2</v>
      </c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</row>
    <row r="190" customFormat="false" ht="11.45" hidden="false" customHeight="false" outlineLevel="0" collapsed="false">
      <c r="A190" s="383" t="str">
        <f aca="false">TEXT(DATE(YEAR(B$2),MONTH(B$2)+(D190-1),1),"Mmm")</f>
        <v>Oct</v>
      </c>
      <c r="B190" s="384" t="n">
        <f aca="false">B189+1</f>
        <v>46306</v>
      </c>
      <c r="C190" s="385" t="n">
        <v>28</v>
      </c>
      <c r="D190" s="385" t="n">
        <v>7</v>
      </c>
      <c r="E190" s="387"/>
      <c r="F190" s="388" t="n">
        <v>2</v>
      </c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</row>
    <row r="191" customFormat="false" ht="11.45" hidden="false" customHeight="false" outlineLevel="0" collapsed="false">
      <c r="A191" s="383" t="str">
        <f aca="false">TEXT(DATE(YEAR(B$2),MONTH(B$2)+(D191-1),1),"Mmm")</f>
        <v>Oct</v>
      </c>
      <c r="B191" s="384" t="n">
        <f aca="false">B190+1</f>
        <v>46307</v>
      </c>
      <c r="C191" s="385" t="n">
        <v>28</v>
      </c>
      <c r="D191" s="385" t="n">
        <v>7</v>
      </c>
      <c r="E191" s="387"/>
      <c r="F191" s="388" t="n">
        <v>2</v>
      </c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</row>
    <row r="192" customFormat="false" ht="11.45" hidden="false" customHeight="false" outlineLevel="0" collapsed="false">
      <c r="A192" s="383" t="str">
        <f aca="false">TEXT(DATE(YEAR(B$2),MONTH(B$2)+(D192-1),1),"Mmm")</f>
        <v>Oct</v>
      </c>
      <c r="B192" s="384" t="n">
        <f aca="false">B191+1</f>
        <v>46308</v>
      </c>
      <c r="C192" s="385" t="n">
        <v>28</v>
      </c>
      <c r="D192" s="385" t="n">
        <v>7</v>
      </c>
      <c r="E192" s="387"/>
      <c r="F192" s="388" t="n">
        <v>2</v>
      </c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</row>
    <row r="193" customFormat="false" ht="11.45" hidden="false" customHeight="false" outlineLevel="0" collapsed="false">
      <c r="A193" s="383" t="str">
        <f aca="false">TEXT(DATE(YEAR(B$2),MONTH(B$2)+(D193-1),1),"Mmm")</f>
        <v>Oct</v>
      </c>
      <c r="B193" s="384" t="n">
        <f aca="false">B192+1</f>
        <v>46309</v>
      </c>
      <c r="C193" s="385" t="n">
        <v>28</v>
      </c>
      <c r="D193" s="385" t="n">
        <v>7</v>
      </c>
      <c r="E193" s="387"/>
      <c r="F193" s="388" t="n">
        <v>2</v>
      </c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</row>
    <row r="194" customFormat="false" ht="11.45" hidden="false" customHeight="false" outlineLevel="0" collapsed="false">
      <c r="A194" s="383" t="str">
        <f aca="false">TEXT(DATE(YEAR(B$2),MONTH(B$2)+(D194-1),1),"Mmm")</f>
        <v>Oct</v>
      </c>
      <c r="B194" s="384" t="n">
        <f aca="false">B193+1</f>
        <v>46310</v>
      </c>
      <c r="C194" s="385" t="n">
        <v>28</v>
      </c>
      <c r="D194" s="385" t="n">
        <v>7</v>
      </c>
      <c r="E194" s="387"/>
      <c r="F194" s="388" t="n">
        <v>2</v>
      </c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</row>
    <row r="195" customFormat="false" ht="11.45" hidden="false" customHeight="false" outlineLevel="0" collapsed="false">
      <c r="A195" s="383" t="str">
        <f aca="false">TEXT(DATE(YEAR(B$2),MONTH(B$2)+(D195-1),1),"Mmm")</f>
        <v>Oct</v>
      </c>
      <c r="B195" s="384" t="n">
        <f aca="false">B194+1</f>
        <v>46311</v>
      </c>
      <c r="C195" s="385" t="n">
        <v>28</v>
      </c>
      <c r="D195" s="385" t="n">
        <v>7</v>
      </c>
      <c r="E195" s="387"/>
      <c r="F195" s="388" t="n">
        <v>2</v>
      </c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</row>
    <row r="196" customFormat="false" ht="11.45" hidden="false" customHeight="false" outlineLevel="0" collapsed="false">
      <c r="A196" s="383" t="str">
        <f aca="false">TEXT(DATE(YEAR(B$2),MONTH(B$2)+(D196-1),1),"Mmm")</f>
        <v>Oct</v>
      </c>
      <c r="B196" s="384" t="n">
        <f aca="false">B195+1</f>
        <v>46312</v>
      </c>
      <c r="C196" s="385" t="n">
        <v>29</v>
      </c>
      <c r="D196" s="385" t="n">
        <v>7</v>
      </c>
      <c r="E196" s="387"/>
      <c r="F196" s="388" t="n">
        <v>3</v>
      </c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</row>
    <row r="197" customFormat="false" ht="11.45" hidden="false" customHeight="false" outlineLevel="0" collapsed="false">
      <c r="A197" s="383" t="str">
        <f aca="false">TEXT(DATE(YEAR(B$2),MONTH(B$2)+(D197-1),1),"Mmm")</f>
        <v>Oct</v>
      </c>
      <c r="B197" s="384" t="n">
        <f aca="false">B196+1</f>
        <v>46313</v>
      </c>
      <c r="C197" s="385" t="n">
        <v>29</v>
      </c>
      <c r="D197" s="385" t="n">
        <v>7</v>
      </c>
      <c r="E197" s="387"/>
      <c r="F197" s="388" t="n">
        <v>3</v>
      </c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</row>
    <row r="198" customFormat="false" ht="11.45" hidden="false" customHeight="false" outlineLevel="0" collapsed="false">
      <c r="A198" s="383" t="str">
        <f aca="false">TEXT(DATE(YEAR(B$2),MONTH(B$2)+(D198-1),1),"Mmm")</f>
        <v>Oct</v>
      </c>
      <c r="B198" s="384" t="n">
        <f aca="false">B197+1</f>
        <v>46314</v>
      </c>
      <c r="C198" s="385" t="n">
        <v>29</v>
      </c>
      <c r="D198" s="385" t="n">
        <v>7</v>
      </c>
      <c r="E198" s="387"/>
      <c r="F198" s="388" t="n">
        <v>3</v>
      </c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</row>
    <row r="199" customFormat="false" ht="11.45" hidden="false" customHeight="false" outlineLevel="0" collapsed="false">
      <c r="A199" s="383" t="str">
        <f aca="false">TEXT(DATE(YEAR(B$2),MONTH(B$2)+(D199-1),1),"Mmm")</f>
        <v>Oct</v>
      </c>
      <c r="B199" s="384" t="n">
        <f aca="false">B198+1</f>
        <v>46315</v>
      </c>
      <c r="C199" s="385" t="n">
        <v>29</v>
      </c>
      <c r="D199" s="385" t="n">
        <v>7</v>
      </c>
      <c r="E199" s="387"/>
      <c r="F199" s="388" t="n">
        <v>3</v>
      </c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</row>
    <row r="200" customFormat="false" ht="11.45" hidden="false" customHeight="false" outlineLevel="0" collapsed="false">
      <c r="A200" s="383" t="str">
        <f aca="false">TEXT(DATE(YEAR(B$2),MONTH(B$2)+(D200-1),1),"Mmm")</f>
        <v>Oct</v>
      </c>
      <c r="B200" s="384" t="n">
        <f aca="false">B199+1</f>
        <v>46316</v>
      </c>
      <c r="C200" s="385" t="n">
        <v>29</v>
      </c>
      <c r="D200" s="385" t="n">
        <v>7</v>
      </c>
      <c r="E200" s="387"/>
      <c r="F200" s="388" t="n">
        <v>3</v>
      </c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</row>
    <row r="201" customFormat="false" ht="11.45" hidden="false" customHeight="false" outlineLevel="0" collapsed="false">
      <c r="A201" s="383" t="str">
        <f aca="false">TEXT(DATE(YEAR(B$2),MONTH(B$2)+(D201-1),1),"Mmm")</f>
        <v>Oct</v>
      </c>
      <c r="B201" s="384" t="n">
        <f aca="false">B200+1</f>
        <v>46317</v>
      </c>
      <c r="C201" s="385" t="n">
        <v>29</v>
      </c>
      <c r="D201" s="385" t="n">
        <v>7</v>
      </c>
      <c r="E201" s="387"/>
      <c r="F201" s="388" t="n">
        <v>3</v>
      </c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</row>
    <row r="202" customFormat="false" ht="11.45" hidden="false" customHeight="false" outlineLevel="0" collapsed="false">
      <c r="A202" s="383" t="str">
        <f aca="false">TEXT(DATE(YEAR(B$2),MONTH(B$2)+(D202-1),1),"Mmm")</f>
        <v>Oct</v>
      </c>
      <c r="B202" s="384" t="n">
        <f aca="false">B201+1</f>
        <v>46318</v>
      </c>
      <c r="C202" s="385" t="n">
        <v>29</v>
      </c>
      <c r="D202" s="385" t="n">
        <v>7</v>
      </c>
      <c r="E202" s="387"/>
      <c r="F202" s="388" t="n">
        <v>3</v>
      </c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</row>
    <row r="203" customFormat="false" ht="11.45" hidden="false" customHeight="false" outlineLevel="0" collapsed="false">
      <c r="A203" s="383" t="str">
        <f aca="false">TEXT(DATE(YEAR(B$2),MONTH(B$2)+(D203-1),1),"Mmm")</f>
        <v>Oct</v>
      </c>
      <c r="B203" s="384" t="n">
        <f aca="false">B202+1</f>
        <v>46319</v>
      </c>
      <c r="C203" s="385" t="n">
        <v>30</v>
      </c>
      <c r="D203" s="385" t="n">
        <v>7</v>
      </c>
      <c r="E203" s="387"/>
      <c r="F203" s="388" t="n">
        <v>4</v>
      </c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</row>
    <row r="204" customFormat="false" ht="11.45" hidden="false" customHeight="false" outlineLevel="0" collapsed="false">
      <c r="A204" s="383" t="str">
        <f aca="false">TEXT(DATE(YEAR(B$2),MONTH(B$2)+(D204-1),1),"Mmm")</f>
        <v>Oct</v>
      </c>
      <c r="B204" s="384" t="n">
        <f aca="false">B203+1</f>
        <v>46320</v>
      </c>
      <c r="C204" s="385" t="n">
        <v>30</v>
      </c>
      <c r="D204" s="385" t="n">
        <v>7</v>
      </c>
      <c r="E204" s="387"/>
      <c r="F204" s="388" t="n">
        <v>4</v>
      </c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</row>
    <row r="205" customFormat="false" ht="11.45" hidden="false" customHeight="false" outlineLevel="0" collapsed="false">
      <c r="A205" s="383" t="str">
        <f aca="false">TEXT(DATE(YEAR(B$2),MONTH(B$2)+(D205-1),1),"Mmm")</f>
        <v>Oct</v>
      </c>
      <c r="B205" s="384" t="n">
        <f aca="false">B204+1</f>
        <v>46321</v>
      </c>
      <c r="C205" s="385" t="n">
        <v>30</v>
      </c>
      <c r="D205" s="385" t="n">
        <v>7</v>
      </c>
      <c r="E205" s="387"/>
      <c r="F205" s="388" t="n">
        <v>4</v>
      </c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</row>
    <row r="206" customFormat="false" ht="11.45" hidden="false" customHeight="false" outlineLevel="0" collapsed="false">
      <c r="A206" s="383" t="str">
        <f aca="false">TEXT(DATE(YEAR(B$2),MONTH(B$2)+(D206-1),1),"Mmm")</f>
        <v>Oct</v>
      </c>
      <c r="B206" s="384" t="n">
        <f aca="false">B205+1</f>
        <v>46322</v>
      </c>
      <c r="C206" s="385" t="n">
        <v>30</v>
      </c>
      <c r="D206" s="385" t="n">
        <v>7</v>
      </c>
      <c r="E206" s="387"/>
      <c r="F206" s="388" t="n">
        <v>4</v>
      </c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</row>
    <row r="207" customFormat="false" ht="11.45" hidden="false" customHeight="false" outlineLevel="0" collapsed="false">
      <c r="A207" s="383" t="str">
        <f aca="false">TEXT(DATE(YEAR(B$2),MONTH(B$2)+(D207-1),1),"Mmm")</f>
        <v>Oct</v>
      </c>
      <c r="B207" s="384" t="n">
        <f aca="false">B206+1</f>
        <v>46323</v>
      </c>
      <c r="C207" s="385" t="n">
        <v>30</v>
      </c>
      <c r="D207" s="385" t="n">
        <v>7</v>
      </c>
      <c r="E207" s="387"/>
      <c r="F207" s="388" t="n">
        <v>4</v>
      </c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</row>
    <row r="208" customFormat="false" ht="11.45" hidden="false" customHeight="false" outlineLevel="0" collapsed="false">
      <c r="A208" s="383" t="str">
        <f aca="false">TEXT(DATE(YEAR(B$2),MONTH(B$2)+(D208-1),1),"Mmm")</f>
        <v>Oct</v>
      </c>
      <c r="B208" s="384" t="n">
        <f aca="false">B207+1</f>
        <v>46324</v>
      </c>
      <c r="C208" s="385" t="n">
        <v>30</v>
      </c>
      <c r="D208" s="385" t="n">
        <v>7</v>
      </c>
      <c r="E208" s="387"/>
      <c r="F208" s="388" t="n">
        <v>4</v>
      </c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</row>
    <row r="209" customFormat="false" ht="11.45" hidden="false" customHeight="false" outlineLevel="0" collapsed="false">
      <c r="A209" s="383" t="str">
        <f aca="false">TEXT(DATE(YEAR(B$2),MONTH(B$2)+(D209-1),1),"Mmm")</f>
        <v>Oct</v>
      </c>
      <c r="B209" s="384" t="n">
        <f aca="false">B208+1</f>
        <v>46325</v>
      </c>
      <c r="C209" s="385" t="n">
        <v>30</v>
      </c>
      <c r="D209" s="385" t="n">
        <v>7</v>
      </c>
      <c r="E209" s="387"/>
      <c r="F209" s="388" t="n">
        <v>4</v>
      </c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</row>
    <row r="210" customFormat="false" ht="11.45" hidden="false" customHeight="false" outlineLevel="0" collapsed="false">
      <c r="A210" s="383" t="str">
        <f aca="false">TEXT(DATE(YEAR(B$2),MONTH(B$2)+(D210-1),1),"Mmm")</f>
        <v>Nov</v>
      </c>
      <c r="B210" s="384" t="n">
        <f aca="false">B209+1</f>
        <v>46326</v>
      </c>
      <c r="C210" s="385" t="n">
        <v>31</v>
      </c>
      <c r="D210" s="385" t="n">
        <v>8</v>
      </c>
      <c r="E210" s="387"/>
      <c r="F210" s="388" t="n">
        <v>1</v>
      </c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</row>
    <row r="211" customFormat="false" ht="11.45" hidden="false" customHeight="false" outlineLevel="0" collapsed="false">
      <c r="A211" s="383" t="str">
        <f aca="false">TEXT(DATE(YEAR(B$2),MONTH(B$2)+(D211-1),1),"Mmm")</f>
        <v>Nov</v>
      </c>
      <c r="B211" s="384" t="n">
        <f aca="false">B210+1</f>
        <v>46327</v>
      </c>
      <c r="C211" s="385" t="n">
        <v>31</v>
      </c>
      <c r="D211" s="385" t="n">
        <v>8</v>
      </c>
      <c r="E211" s="387"/>
      <c r="F211" s="388" t="n">
        <v>1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</row>
    <row r="212" customFormat="false" ht="10.5" hidden="false" customHeight="false" outlineLevel="0" collapsed="false">
      <c r="A212" s="383" t="str">
        <f aca="false">TEXT(DATE(YEAR(B$2),MONTH(B$2)+(D212-1),1),"Mmm")</f>
        <v>Nov</v>
      </c>
      <c r="B212" s="384" t="n">
        <f aca="false">B211+1</f>
        <v>46328</v>
      </c>
      <c r="C212" s="385" t="n">
        <v>31</v>
      </c>
      <c r="D212" s="385" t="n">
        <v>8</v>
      </c>
      <c r="E212" s="387"/>
      <c r="F212" s="385" t="n">
        <v>1</v>
      </c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</row>
    <row r="213" customFormat="false" ht="11.45" hidden="false" customHeight="false" outlineLevel="0" collapsed="false">
      <c r="A213" s="383" t="str">
        <f aca="false">TEXT(DATE(YEAR(B$2),MONTH(B$2)+(D213-1),1),"Mmm")</f>
        <v>Nov</v>
      </c>
      <c r="B213" s="384" t="n">
        <f aca="false">B212+1</f>
        <v>46329</v>
      </c>
      <c r="C213" s="385" t="n">
        <v>31</v>
      </c>
      <c r="D213" s="385" t="n">
        <v>8</v>
      </c>
      <c r="E213" s="387"/>
      <c r="F213" s="388" t="n">
        <v>1</v>
      </c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</row>
    <row r="214" customFormat="false" ht="11.45" hidden="false" customHeight="false" outlineLevel="0" collapsed="false">
      <c r="A214" s="383" t="str">
        <f aca="false">TEXT(DATE(YEAR(B$2),MONTH(B$2)+(D214-1),1),"Mmm")</f>
        <v>Nov</v>
      </c>
      <c r="B214" s="384" t="n">
        <f aca="false">B213+1</f>
        <v>46330</v>
      </c>
      <c r="C214" s="385" t="n">
        <v>31</v>
      </c>
      <c r="D214" s="385" t="n">
        <v>8</v>
      </c>
      <c r="E214" s="387"/>
      <c r="F214" s="388" t="n">
        <v>1</v>
      </c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</row>
    <row r="215" customFormat="false" ht="11.45" hidden="false" customHeight="false" outlineLevel="0" collapsed="false">
      <c r="A215" s="383" t="str">
        <f aca="false">TEXT(DATE(YEAR(B$2),MONTH(B$2)+(D215-1),1),"Mmm")</f>
        <v>Nov</v>
      </c>
      <c r="B215" s="384" t="n">
        <f aca="false">B214+1</f>
        <v>46331</v>
      </c>
      <c r="C215" s="385" t="n">
        <v>31</v>
      </c>
      <c r="D215" s="385" t="n">
        <v>8</v>
      </c>
      <c r="E215" s="387"/>
      <c r="F215" s="388" t="n">
        <v>1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</row>
    <row r="216" customFormat="false" ht="11.45" hidden="false" customHeight="false" outlineLevel="0" collapsed="false">
      <c r="A216" s="383" t="str">
        <f aca="false">TEXT(DATE(YEAR(B$2),MONTH(B$2)+(D216-1),1),"Mmm")</f>
        <v>Nov</v>
      </c>
      <c r="B216" s="384" t="n">
        <f aca="false">B215+1</f>
        <v>46332</v>
      </c>
      <c r="C216" s="385" t="n">
        <v>31</v>
      </c>
      <c r="D216" s="385" t="n">
        <v>8</v>
      </c>
      <c r="E216" s="391"/>
      <c r="F216" s="388" t="n">
        <v>1</v>
      </c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</row>
    <row r="217" customFormat="false" ht="11.45" hidden="false" customHeight="false" outlineLevel="0" collapsed="false">
      <c r="A217" s="383" t="str">
        <f aca="false">TEXT(DATE(YEAR(B$2),MONTH(B$2)+(D217-1),1),"Mmm")</f>
        <v>Nov</v>
      </c>
      <c r="B217" s="384" t="n">
        <f aca="false">B216+1</f>
        <v>46333</v>
      </c>
      <c r="C217" s="385" t="n">
        <v>32</v>
      </c>
      <c r="D217" s="385" t="n">
        <v>8</v>
      </c>
      <c r="E217" s="387"/>
      <c r="F217" s="388" t="n">
        <v>2</v>
      </c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</row>
    <row r="218" customFormat="false" ht="11.45" hidden="false" customHeight="false" outlineLevel="0" collapsed="false">
      <c r="A218" s="383" t="str">
        <f aca="false">TEXT(DATE(YEAR(B$2),MONTH(B$2)+(D218-1),1),"Mmm")</f>
        <v>Nov</v>
      </c>
      <c r="B218" s="384" t="n">
        <f aca="false">B217+1</f>
        <v>46334</v>
      </c>
      <c r="C218" s="385" t="n">
        <v>32</v>
      </c>
      <c r="D218" s="385" t="n">
        <v>8</v>
      </c>
      <c r="E218" s="387"/>
      <c r="F218" s="388" t="n">
        <v>2</v>
      </c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</row>
    <row r="219" customFormat="false" ht="11.45" hidden="false" customHeight="false" outlineLevel="0" collapsed="false">
      <c r="A219" s="383" t="str">
        <f aca="false">TEXT(DATE(YEAR(B$2),MONTH(B$2)+(D219-1),1),"Mmm")</f>
        <v>Nov</v>
      </c>
      <c r="B219" s="384" t="n">
        <f aca="false">B218+1</f>
        <v>46335</v>
      </c>
      <c r="C219" s="385" t="n">
        <v>32</v>
      </c>
      <c r="D219" s="385" t="n">
        <v>8</v>
      </c>
      <c r="E219" s="387"/>
      <c r="F219" s="388" t="n">
        <v>2</v>
      </c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</row>
    <row r="220" customFormat="false" ht="11.45" hidden="false" customHeight="false" outlineLevel="0" collapsed="false">
      <c r="A220" s="383" t="str">
        <f aca="false">TEXT(DATE(YEAR(B$2),MONTH(B$2)+(D220-1),1),"Mmm")</f>
        <v>Nov</v>
      </c>
      <c r="B220" s="384" t="n">
        <f aca="false">B219+1</f>
        <v>46336</v>
      </c>
      <c r="C220" s="385" t="n">
        <v>32</v>
      </c>
      <c r="D220" s="385" t="n">
        <v>8</v>
      </c>
      <c r="E220" s="387"/>
      <c r="F220" s="388" t="n">
        <v>2</v>
      </c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</row>
    <row r="221" customFormat="false" ht="11.45" hidden="false" customHeight="false" outlineLevel="0" collapsed="false">
      <c r="A221" s="383" t="str">
        <f aca="false">TEXT(DATE(YEAR(B$2),MONTH(B$2)+(D221-1),1),"Mmm")</f>
        <v>Nov</v>
      </c>
      <c r="B221" s="384" t="n">
        <f aca="false">B220+1</f>
        <v>46337</v>
      </c>
      <c r="C221" s="385" t="n">
        <v>32</v>
      </c>
      <c r="D221" s="385" t="n">
        <v>8</v>
      </c>
      <c r="E221" s="387"/>
      <c r="F221" s="388" t="n">
        <v>2</v>
      </c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</row>
    <row r="222" customFormat="false" ht="11.45" hidden="false" customHeight="false" outlineLevel="0" collapsed="false">
      <c r="A222" s="383" t="str">
        <f aca="false">TEXT(DATE(YEAR(B$2),MONTH(B$2)+(D222-1),1),"Mmm")</f>
        <v>Nov</v>
      </c>
      <c r="B222" s="384" t="n">
        <f aca="false">B221+1</f>
        <v>46338</v>
      </c>
      <c r="C222" s="385" t="n">
        <v>32</v>
      </c>
      <c r="D222" s="385" t="n">
        <v>8</v>
      </c>
      <c r="E222" s="387"/>
      <c r="F222" s="388" t="n">
        <v>2</v>
      </c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</row>
    <row r="223" customFormat="false" ht="11.45" hidden="false" customHeight="false" outlineLevel="0" collapsed="false">
      <c r="A223" s="383" t="str">
        <f aca="false">TEXT(DATE(YEAR(B$2),MONTH(B$2)+(D223-1),1),"Mmm")</f>
        <v>Nov</v>
      </c>
      <c r="B223" s="384" t="n">
        <f aca="false">B222+1</f>
        <v>46339</v>
      </c>
      <c r="C223" s="385" t="n">
        <v>32</v>
      </c>
      <c r="D223" s="385" t="n">
        <v>8</v>
      </c>
      <c r="E223" s="387"/>
      <c r="F223" s="388" t="n">
        <v>2</v>
      </c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</row>
    <row r="224" customFormat="false" ht="11.45" hidden="false" customHeight="false" outlineLevel="0" collapsed="false">
      <c r="A224" s="383" t="str">
        <f aca="false">TEXT(DATE(YEAR(B$2),MONTH(B$2)+(D224-1),1),"Mmm")</f>
        <v>Nov</v>
      </c>
      <c r="B224" s="384" t="n">
        <f aca="false">B223+1</f>
        <v>46340</v>
      </c>
      <c r="C224" s="385" t="n">
        <v>33</v>
      </c>
      <c r="D224" s="385" t="n">
        <v>8</v>
      </c>
      <c r="E224" s="387"/>
      <c r="F224" s="388" t="n">
        <v>3</v>
      </c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</row>
    <row r="225" customFormat="false" ht="11.45" hidden="false" customHeight="false" outlineLevel="0" collapsed="false">
      <c r="A225" s="383" t="str">
        <f aca="false">TEXT(DATE(YEAR(B$2),MONTH(B$2)+(D225-1),1),"Mmm")</f>
        <v>Nov</v>
      </c>
      <c r="B225" s="384" t="n">
        <f aca="false">B224+1</f>
        <v>46341</v>
      </c>
      <c r="C225" s="385" t="n">
        <v>33</v>
      </c>
      <c r="D225" s="385" t="n">
        <v>8</v>
      </c>
      <c r="E225" s="387"/>
      <c r="F225" s="388" t="n">
        <v>3</v>
      </c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</row>
    <row r="226" customFormat="false" ht="11.45" hidden="false" customHeight="false" outlineLevel="0" collapsed="false">
      <c r="A226" s="383" t="str">
        <f aca="false">TEXT(DATE(YEAR(B$2),MONTH(B$2)+(D226-1),1),"Mmm")</f>
        <v>Nov</v>
      </c>
      <c r="B226" s="384" t="n">
        <f aca="false">B225+1</f>
        <v>46342</v>
      </c>
      <c r="C226" s="385" t="n">
        <v>33</v>
      </c>
      <c r="D226" s="385" t="n">
        <v>8</v>
      </c>
      <c r="E226" s="387"/>
      <c r="F226" s="388" t="n">
        <v>3</v>
      </c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</row>
    <row r="227" customFormat="false" ht="11.45" hidden="false" customHeight="false" outlineLevel="0" collapsed="false">
      <c r="A227" s="383" t="str">
        <f aca="false">TEXT(DATE(YEAR(B$2),MONTH(B$2)+(D227-1),1),"Mmm")</f>
        <v>Nov</v>
      </c>
      <c r="B227" s="384" t="n">
        <f aca="false">B226+1</f>
        <v>46343</v>
      </c>
      <c r="C227" s="385" t="n">
        <v>33</v>
      </c>
      <c r="D227" s="385" t="n">
        <v>8</v>
      </c>
      <c r="E227" s="387"/>
      <c r="F227" s="388" t="n">
        <v>3</v>
      </c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</row>
    <row r="228" customFormat="false" ht="11.45" hidden="false" customHeight="false" outlineLevel="0" collapsed="false">
      <c r="A228" s="383" t="str">
        <f aca="false">TEXT(DATE(YEAR(B$2),MONTH(B$2)+(D228-1),1),"Mmm")</f>
        <v>Nov</v>
      </c>
      <c r="B228" s="384" t="n">
        <f aca="false">B227+1</f>
        <v>46344</v>
      </c>
      <c r="C228" s="385" t="n">
        <v>33</v>
      </c>
      <c r="D228" s="385" t="n">
        <v>8</v>
      </c>
      <c r="E228" s="387"/>
      <c r="F228" s="388" t="n">
        <v>3</v>
      </c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</row>
    <row r="229" customFormat="false" ht="11.45" hidden="false" customHeight="false" outlineLevel="0" collapsed="false">
      <c r="A229" s="383" t="str">
        <f aca="false">TEXT(DATE(YEAR(B$2),MONTH(B$2)+(D229-1),1),"Mmm")</f>
        <v>Nov</v>
      </c>
      <c r="B229" s="384" t="n">
        <f aca="false">B228+1</f>
        <v>46345</v>
      </c>
      <c r="C229" s="385" t="n">
        <v>33</v>
      </c>
      <c r="D229" s="385" t="n">
        <v>8</v>
      </c>
      <c r="E229" s="387"/>
      <c r="F229" s="388" t="n">
        <v>3</v>
      </c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</row>
    <row r="230" customFormat="false" ht="11.45" hidden="false" customHeight="false" outlineLevel="0" collapsed="false">
      <c r="A230" s="383" t="str">
        <f aca="false">TEXT(DATE(YEAR(B$2),MONTH(B$2)+(D230-1),1),"Mmm")</f>
        <v>Nov</v>
      </c>
      <c r="B230" s="384" t="n">
        <f aca="false">B229+1</f>
        <v>46346</v>
      </c>
      <c r="C230" s="385" t="n">
        <v>33</v>
      </c>
      <c r="D230" s="385" t="n">
        <v>8</v>
      </c>
      <c r="E230" s="387"/>
      <c r="F230" s="388" t="n">
        <v>3</v>
      </c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</row>
    <row r="231" customFormat="false" ht="11.45" hidden="false" customHeight="false" outlineLevel="0" collapsed="false">
      <c r="A231" s="383" t="str">
        <f aca="false">TEXT(DATE(YEAR(B$2),MONTH(B$2)+(D231-1),1),"Mmm")</f>
        <v>Nov</v>
      </c>
      <c r="B231" s="384" t="n">
        <f aca="false">B230+1</f>
        <v>46347</v>
      </c>
      <c r="C231" s="385" t="n">
        <v>34</v>
      </c>
      <c r="D231" s="385" t="n">
        <v>8</v>
      </c>
      <c r="E231" s="387"/>
      <c r="F231" s="388" t="n">
        <v>4</v>
      </c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</row>
    <row r="232" customFormat="false" ht="11.45" hidden="false" customHeight="false" outlineLevel="0" collapsed="false">
      <c r="A232" s="383" t="str">
        <f aca="false">TEXT(DATE(YEAR(B$2),MONTH(B$2)+(D232-1),1),"Mmm")</f>
        <v>Nov</v>
      </c>
      <c r="B232" s="384" t="n">
        <f aca="false">B231+1</f>
        <v>46348</v>
      </c>
      <c r="C232" s="385" t="n">
        <v>34</v>
      </c>
      <c r="D232" s="385" t="n">
        <v>8</v>
      </c>
      <c r="E232" s="387"/>
      <c r="F232" s="388" t="n">
        <v>4</v>
      </c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</row>
    <row r="233" customFormat="false" ht="11.45" hidden="false" customHeight="false" outlineLevel="0" collapsed="false">
      <c r="A233" s="383" t="str">
        <f aca="false">TEXT(DATE(YEAR(B$2),MONTH(B$2)+(D233-1),1),"Mmm")</f>
        <v>Nov</v>
      </c>
      <c r="B233" s="384" t="n">
        <f aca="false">B232+1</f>
        <v>46349</v>
      </c>
      <c r="C233" s="385" t="n">
        <v>34</v>
      </c>
      <c r="D233" s="385" t="n">
        <v>8</v>
      </c>
      <c r="E233" s="387"/>
      <c r="F233" s="388" t="n">
        <v>4</v>
      </c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</row>
    <row r="234" customFormat="false" ht="11.45" hidden="false" customHeight="false" outlineLevel="0" collapsed="false">
      <c r="A234" s="383" t="str">
        <f aca="false">TEXT(DATE(YEAR(B$2),MONTH(B$2)+(D234-1),1),"Mmm")</f>
        <v>Nov</v>
      </c>
      <c r="B234" s="384" t="n">
        <f aca="false">B233+1</f>
        <v>46350</v>
      </c>
      <c r="C234" s="385" t="n">
        <v>34</v>
      </c>
      <c r="D234" s="385" t="n">
        <v>8</v>
      </c>
      <c r="E234" s="387"/>
      <c r="F234" s="388" t="n">
        <v>4</v>
      </c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</row>
    <row r="235" customFormat="false" ht="11.45" hidden="false" customHeight="false" outlineLevel="0" collapsed="false">
      <c r="A235" s="383" t="str">
        <f aca="false">TEXT(DATE(YEAR(B$2),MONTH(B$2)+(D235-1),1),"Mmm")</f>
        <v>Nov</v>
      </c>
      <c r="B235" s="384" t="n">
        <f aca="false">B234+1</f>
        <v>46351</v>
      </c>
      <c r="C235" s="385" t="n">
        <v>34</v>
      </c>
      <c r="D235" s="385" t="n">
        <v>8</v>
      </c>
      <c r="E235" s="387"/>
      <c r="F235" s="388" t="n">
        <v>4</v>
      </c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</row>
    <row r="236" customFormat="false" ht="11.45" hidden="false" customHeight="false" outlineLevel="0" collapsed="false">
      <c r="A236" s="383" t="str">
        <f aca="false">TEXT(DATE(YEAR(B$2),MONTH(B$2)+(D236-1),1),"Mmm")</f>
        <v>Nov</v>
      </c>
      <c r="B236" s="384" t="n">
        <f aca="false">B235+1</f>
        <v>46352</v>
      </c>
      <c r="C236" s="385" t="n">
        <v>34</v>
      </c>
      <c r="D236" s="385" t="n">
        <v>8</v>
      </c>
      <c r="E236" s="387"/>
      <c r="F236" s="388" t="n">
        <v>4</v>
      </c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</row>
    <row r="237" customFormat="false" ht="11.45" hidden="false" customHeight="false" outlineLevel="0" collapsed="false">
      <c r="A237" s="383" t="str">
        <f aca="false">TEXT(DATE(YEAR(B$2),MONTH(B$2)+(D237-1),1),"Mmm")</f>
        <v>Nov</v>
      </c>
      <c r="B237" s="384" t="n">
        <f aca="false">B236+1</f>
        <v>46353</v>
      </c>
      <c r="C237" s="385" t="n">
        <v>34</v>
      </c>
      <c r="D237" s="385" t="n">
        <v>8</v>
      </c>
      <c r="E237" s="387"/>
      <c r="F237" s="388" t="n">
        <v>4</v>
      </c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</row>
    <row r="238" customFormat="false" ht="11.45" hidden="false" customHeight="false" outlineLevel="0" collapsed="false">
      <c r="A238" s="383" t="str">
        <f aca="false">TEXT(DATE(YEAR(B$2),MONTH(B$2)+(D238-1),1),"Mmm")</f>
        <v>Dec</v>
      </c>
      <c r="B238" s="384" t="n">
        <f aca="false">B237+1</f>
        <v>46354</v>
      </c>
      <c r="C238" s="385" t="n">
        <v>35</v>
      </c>
      <c r="D238" s="385" t="n">
        <v>9</v>
      </c>
      <c r="E238" s="387"/>
      <c r="F238" s="388" t="n">
        <v>1</v>
      </c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</row>
    <row r="239" customFormat="false" ht="11.45" hidden="false" customHeight="false" outlineLevel="0" collapsed="false">
      <c r="A239" s="383" t="str">
        <f aca="false">TEXT(DATE(YEAR(B$2),MONTH(B$2)+(D239-1),1),"Mmm")</f>
        <v>Dec</v>
      </c>
      <c r="B239" s="384" t="n">
        <f aca="false">B238+1</f>
        <v>46355</v>
      </c>
      <c r="C239" s="385" t="n">
        <v>35</v>
      </c>
      <c r="D239" s="385" t="n">
        <v>9</v>
      </c>
      <c r="E239" s="387"/>
      <c r="F239" s="388" t="n">
        <v>1</v>
      </c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</row>
    <row r="240" customFormat="false" ht="10.5" hidden="false" customHeight="false" outlineLevel="0" collapsed="false">
      <c r="A240" s="383" t="str">
        <f aca="false">TEXT(DATE(YEAR(B$2),MONTH(B$2)+(D240-1),1),"Mmm")</f>
        <v>Dec</v>
      </c>
      <c r="B240" s="384" t="n">
        <f aca="false">B239+1</f>
        <v>46356</v>
      </c>
      <c r="C240" s="385" t="n">
        <v>35</v>
      </c>
      <c r="D240" s="385" t="n">
        <v>9</v>
      </c>
      <c r="E240" s="387"/>
      <c r="F240" s="385" t="n">
        <v>1</v>
      </c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</row>
    <row r="241" customFormat="false" ht="11.45" hidden="false" customHeight="false" outlineLevel="0" collapsed="false">
      <c r="A241" s="383" t="str">
        <f aca="false">TEXT(DATE(YEAR(B$2),MONTH(B$2)+(D241-1),1),"Mmm")</f>
        <v>Dec</v>
      </c>
      <c r="B241" s="384" t="n">
        <f aca="false">B240+1</f>
        <v>46357</v>
      </c>
      <c r="C241" s="385" t="n">
        <v>35</v>
      </c>
      <c r="D241" s="385" t="n">
        <v>9</v>
      </c>
      <c r="E241" s="387"/>
      <c r="F241" s="388" t="n">
        <v>1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</row>
    <row r="242" customFormat="false" ht="11.45" hidden="false" customHeight="false" outlineLevel="0" collapsed="false">
      <c r="A242" s="383" t="str">
        <f aca="false">TEXT(DATE(YEAR(B$2),MONTH(B$2)+(D242-1),1),"Mmm")</f>
        <v>Dec</v>
      </c>
      <c r="B242" s="384" t="n">
        <f aca="false">B241+1</f>
        <v>46358</v>
      </c>
      <c r="C242" s="385" t="n">
        <v>35</v>
      </c>
      <c r="D242" s="385" t="n">
        <v>9</v>
      </c>
      <c r="E242" s="387"/>
      <c r="F242" s="388" t="n">
        <v>1</v>
      </c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</row>
    <row r="243" customFormat="false" ht="11.45" hidden="false" customHeight="false" outlineLevel="0" collapsed="false">
      <c r="A243" s="383" t="str">
        <f aca="false">TEXT(DATE(YEAR(B$2),MONTH(B$2)+(D243-1),1),"Mmm")</f>
        <v>Dec</v>
      </c>
      <c r="B243" s="384" t="n">
        <f aca="false">B242+1</f>
        <v>46359</v>
      </c>
      <c r="C243" s="385" t="n">
        <v>35</v>
      </c>
      <c r="D243" s="385" t="n">
        <v>9</v>
      </c>
      <c r="E243" s="387"/>
      <c r="F243" s="388" t="n">
        <v>1</v>
      </c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</row>
    <row r="244" customFormat="false" ht="11.45" hidden="false" customHeight="false" outlineLevel="0" collapsed="false">
      <c r="A244" s="383" t="str">
        <f aca="false">TEXT(DATE(YEAR(B$2),MONTH(B$2)+(D244-1),1),"Mmm")</f>
        <v>Dec</v>
      </c>
      <c r="B244" s="384" t="n">
        <f aca="false">B243+1</f>
        <v>46360</v>
      </c>
      <c r="C244" s="385" t="n">
        <v>35</v>
      </c>
      <c r="D244" s="385" t="n">
        <v>9</v>
      </c>
      <c r="E244" s="387"/>
      <c r="F244" s="388" t="n">
        <v>1</v>
      </c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</row>
    <row r="245" customFormat="false" ht="11.45" hidden="false" customHeight="false" outlineLevel="0" collapsed="false">
      <c r="A245" s="383" t="str">
        <f aca="false">TEXT(DATE(YEAR(B$2),MONTH(B$2)+(D245-1),1),"Mmm")</f>
        <v>Dec</v>
      </c>
      <c r="B245" s="384" t="n">
        <f aca="false">B244+1</f>
        <v>46361</v>
      </c>
      <c r="C245" s="385" t="n">
        <v>36</v>
      </c>
      <c r="D245" s="385" t="n">
        <v>9</v>
      </c>
      <c r="E245" s="387"/>
      <c r="F245" s="388" t="n">
        <v>2</v>
      </c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</row>
    <row r="246" customFormat="false" ht="11.45" hidden="false" customHeight="false" outlineLevel="0" collapsed="false">
      <c r="A246" s="383" t="str">
        <f aca="false">TEXT(DATE(YEAR(B$2),MONTH(B$2)+(D246-1),1),"Mmm")</f>
        <v>Dec</v>
      </c>
      <c r="B246" s="384" t="n">
        <f aca="false">B245+1</f>
        <v>46362</v>
      </c>
      <c r="C246" s="385" t="n">
        <v>36</v>
      </c>
      <c r="D246" s="385" t="n">
        <v>9</v>
      </c>
      <c r="E246" s="391"/>
      <c r="F246" s="388" t="n">
        <v>2</v>
      </c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</row>
    <row r="247" customFormat="false" ht="11.45" hidden="false" customHeight="false" outlineLevel="0" collapsed="false">
      <c r="A247" s="383" t="str">
        <f aca="false">TEXT(DATE(YEAR(B$2),MONTH(B$2)+(D247-1),1),"Mmm")</f>
        <v>Dec</v>
      </c>
      <c r="B247" s="384" t="n">
        <f aca="false">B246+1</f>
        <v>46363</v>
      </c>
      <c r="C247" s="385" t="n">
        <v>36</v>
      </c>
      <c r="D247" s="385" t="n">
        <v>9</v>
      </c>
      <c r="E247" s="387"/>
      <c r="F247" s="388" t="n">
        <v>2</v>
      </c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</row>
    <row r="248" customFormat="false" ht="11.45" hidden="false" customHeight="false" outlineLevel="0" collapsed="false">
      <c r="A248" s="383" t="str">
        <f aca="false">TEXT(DATE(YEAR(B$2),MONTH(B$2)+(D248-1),1),"Mmm")</f>
        <v>Dec</v>
      </c>
      <c r="B248" s="384" t="n">
        <f aca="false">B247+1</f>
        <v>46364</v>
      </c>
      <c r="C248" s="385" t="n">
        <v>36</v>
      </c>
      <c r="D248" s="385" t="n">
        <v>9</v>
      </c>
      <c r="E248" s="387"/>
      <c r="F248" s="388" t="n">
        <v>2</v>
      </c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</row>
    <row r="249" customFormat="false" ht="11.45" hidden="false" customHeight="false" outlineLevel="0" collapsed="false">
      <c r="A249" s="383" t="str">
        <f aca="false">TEXT(DATE(YEAR(B$2),MONTH(B$2)+(D249-1),1),"Mmm")</f>
        <v>Dec</v>
      </c>
      <c r="B249" s="384" t="n">
        <f aca="false">B248+1</f>
        <v>46365</v>
      </c>
      <c r="C249" s="385" t="n">
        <v>36</v>
      </c>
      <c r="D249" s="385" t="n">
        <v>9</v>
      </c>
      <c r="E249" s="387"/>
      <c r="F249" s="388" t="n">
        <v>2</v>
      </c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</row>
    <row r="250" customFormat="false" ht="11.45" hidden="false" customHeight="false" outlineLevel="0" collapsed="false">
      <c r="A250" s="383" t="str">
        <f aca="false">TEXT(DATE(YEAR(B$2),MONTH(B$2)+(D250-1),1),"Mmm")</f>
        <v>Dec</v>
      </c>
      <c r="B250" s="384" t="n">
        <f aca="false">B249+1</f>
        <v>46366</v>
      </c>
      <c r="C250" s="385" t="n">
        <v>36</v>
      </c>
      <c r="D250" s="385" t="n">
        <v>9</v>
      </c>
      <c r="E250" s="387"/>
      <c r="F250" s="388" t="n">
        <v>2</v>
      </c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</row>
    <row r="251" customFormat="false" ht="11.45" hidden="false" customHeight="false" outlineLevel="0" collapsed="false">
      <c r="A251" s="383" t="str">
        <f aca="false">TEXT(DATE(YEAR(B$2),MONTH(B$2)+(D251-1),1),"Mmm")</f>
        <v>Dec</v>
      </c>
      <c r="B251" s="384" t="n">
        <f aca="false">B250+1</f>
        <v>46367</v>
      </c>
      <c r="C251" s="385" t="n">
        <v>36</v>
      </c>
      <c r="D251" s="385" t="n">
        <v>9</v>
      </c>
      <c r="E251" s="387"/>
      <c r="F251" s="388" t="n">
        <v>2</v>
      </c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</row>
    <row r="252" customFormat="false" ht="11.45" hidden="false" customHeight="false" outlineLevel="0" collapsed="false">
      <c r="A252" s="383" t="str">
        <f aca="false">TEXT(DATE(YEAR(B$2),MONTH(B$2)+(D252-1),1),"Mmm")</f>
        <v>Dec</v>
      </c>
      <c r="B252" s="384" t="n">
        <f aca="false">B251+1</f>
        <v>46368</v>
      </c>
      <c r="C252" s="385" t="n">
        <v>37</v>
      </c>
      <c r="D252" s="385" t="n">
        <v>9</v>
      </c>
      <c r="E252" s="387"/>
      <c r="F252" s="388" t="n">
        <v>3</v>
      </c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</row>
    <row r="253" customFormat="false" ht="11.45" hidden="false" customHeight="false" outlineLevel="0" collapsed="false">
      <c r="A253" s="383" t="str">
        <f aca="false">TEXT(DATE(YEAR(B$2),MONTH(B$2)+(D253-1),1),"Mmm")</f>
        <v>Dec</v>
      </c>
      <c r="B253" s="384" t="n">
        <f aca="false">B252+1</f>
        <v>46369</v>
      </c>
      <c r="C253" s="385" t="n">
        <v>37</v>
      </c>
      <c r="D253" s="385" t="n">
        <v>9</v>
      </c>
      <c r="E253" s="387"/>
      <c r="F253" s="388" t="n">
        <v>3</v>
      </c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</row>
    <row r="254" customFormat="false" ht="11.45" hidden="false" customHeight="false" outlineLevel="0" collapsed="false">
      <c r="A254" s="383" t="str">
        <f aca="false">TEXT(DATE(YEAR(B$2),MONTH(B$2)+(D254-1),1),"Mmm")</f>
        <v>Dec</v>
      </c>
      <c r="B254" s="384" t="n">
        <f aca="false">B253+1</f>
        <v>46370</v>
      </c>
      <c r="C254" s="385" t="n">
        <v>37</v>
      </c>
      <c r="D254" s="385" t="n">
        <v>9</v>
      </c>
      <c r="E254" s="387"/>
      <c r="F254" s="388" t="n">
        <v>3</v>
      </c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</row>
    <row r="255" customFormat="false" ht="11.45" hidden="false" customHeight="false" outlineLevel="0" collapsed="false">
      <c r="A255" s="383" t="str">
        <f aca="false">TEXT(DATE(YEAR(B$2),MONTH(B$2)+(D255-1),1),"Mmm")</f>
        <v>Dec</v>
      </c>
      <c r="B255" s="384" t="n">
        <f aca="false">B254+1</f>
        <v>46371</v>
      </c>
      <c r="C255" s="385" t="n">
        <v>37</v>
      </c>
      <c r="D255" s="385" t="n">
        <v>9</v>
      </c>
      <c r="E255" s="387"/>
      <c r="F255" s="388" t="n">
        <v>3</v>
      </c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</row>
    <row r="256" customFormat="false" ht="11.45" hidden="false" customHeight="false" outlineLevel="0" collapsed="false">
      <c r="A256" s="383" t="str">
        <f aca="false">TEXT(DATE(YEAR(B$2),MONTH(B$2)+(D256-1),1),"Mmm")</f>
        <v>Dec</v>
      </c>
      <c r="B256" s="384" t="n">
        <f aca="false">B255+1</f>
        <v>46372</v>
      </c>
      <c r="C256" s="385" t="n">
        <v>37</v>
      </c>
      <c r="D256" s="385" t="n">
        <v>9</v>
      </c>
      <c r="E256" s="387"/>
      <c r="F256" s="388" t="n">
        <v>3</v>
      </c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</row>
    <row r="257" customFormat="false" ht="11.45" hidden="false" customHeight="false" outlineLevel="0" collapsed="false">
      <c r="A257" s="383" t="str">
        <f aca="false">TEXT(DATE(YEAR(B$2),MONTH(B$2)+(D257-1),1),"Mmm")</f>
        <v>Dec</v>
      </c>
      <c r="B257" s="384" t="n">
        <f aca="false">B256+1</f>
        <v>46373</v>
      </c>
      <c r="C257" s="385" t="n">
        <v>37</v>
      </c>
      <c r="D257" s="385" t="n">
        <v>9</v>
      </c>
      <c r="E257" s="387"/>
      <c r="F257" s="388" t="n">
        <v>3</v>
      </c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</row>
    <row r="258" customFormat="false" ht="11.45" hidden="false" customHeight="false" outlineLevel="0" collapsed="false">
      <c r="A258" s="383" t="str">
        <f aca="false">TEXT(DATE(YEAR(B$2),MONTH(B$2)+(D258-1),1),"Mmm")</f>
        <v>Dec</v>
      </c>
      <c r="B258" s="384" t="n">
        <f aca="false">B257+1</f>
        <v>46374</v>
      </c>
      <c r="C258" s="385" t="n">
        <v>37</v>
      </c>
      <c r="D258" s="385" t="n">
        <v>9</v>
      </c>
      <c r="E258" s="387"/>
      <c r="F258" s="388" t="n">
        <v>3</v>
      </c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</row>
    <row r="259" customFormat="false" ht="11.45" hidden="false" customHeight="false" outlineLevel="0" collapsed="false">
      <c r="A259" s="383" t="str">
        <f aca="false">TEXT(DATE(YEAR(B$2),MONTH(B$2)+(D259-1),1),"Mmm")</f>
        <v>Dec</v>
      </c>
      <c r="B259" s="384" t="n">
        <f aca="false">B258+1</f>
        <v>46375</v>
      </c>
      <c r="C259" s="385" t="n">
        <v>38</v>
      </c>
      <c r="D259" s="385" t="n">
        <v>9</v>
      </c>
      <c r="E259" s="387"/>
      <c r="F259" s="388" t="n">
        <v>4</v>
      </c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</row>
    <row r="260" customFormat="false" ht="11.45" hidden="false" customHeight="false" outlineLevel="0" collapsed="false">
      <c r="A260" s="383" t="str">
        <f aca="false">TEXT(DATE(YEAR(B$2),MONTH(B$2)+(D260-1),1),"Mmm")</f>
        <v>Dec</v>
      </c>
      <c r="B260" s="384" t="n">
        <f aca="false">B259+1</f>
        <v>46376</v>
      </c>
      <c r="C260" s="385" t="n">
        <v>38</v>
      </c>
      <c r="D260" s="385" t="n">
        <v>9</v>
      </c>
      <c r="E260" s="387"/>
      <c r="F260" s="388" t="n">
        <v>4</v>
      </c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</row>
    <row r="261" customFormat="false" ht="11.45" hidden="false" customHeight="false" outlineLevel="0" collapsed="false">
      <c r="A261" s="383" t="str">
        <f aca="false">TEXT(DATE(YEAR(B$2),MONTH(B$2)+(D261-1),1),"Mmm")</f>
        <v>Dec</v>
      </c>
      <c r="B261" s="384" t="n">
        <f aca="false">B260+1</f>
        <v>46377</v>
      </c>
      <c r="C261" s="385" t="n">
        <v>38</v>
      </c>
      <c r="D261" s="385" t="n">
        <v>9</v>
      </c>
      <c r="E261" s="387"/>
      <c r="F261" s="388" t="n">
        <v>4</v>
      </c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</row>
    <row r="262" customFormat="false" ht="11.45" hidden="false" customHeight="false" outlineLevel="0" collapsed="false">
      <c r="A262" s="383" t="str">
        <f aca="false">TEXT(DATE(YEAR(B$2),MONTH(B$2)+(D262-1),1),"Mmm")</f>
        <v>Dec</v>
      </c>
      <c r="B262" s="384" t="n">
        <f aca="false">B261+1</f>
        <v>46378</v>
      </c>
      <c r="C262" s="385" t="n">
        <v>38</v>
      </c>
      <c r="D262" s="385" t="n">
        <v>9</v>
      </c>
      <c r="E262" s="387"/>
      <c r="F262" s="388" t="n">
        <v>4</v>
      </c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</row>
    <row r="263" customFormat="false" ht="11.45" hidden="false" customHeight="false" outlineLevel="0" collapsed="false">
      <c r="A263" s="383" t="str">
        <f aca="false">TEXT(DATE(YEAR(B$2),MONTH(B$2)+(D263-1),1),"Mmm")</f>
        <v>Dec</v>
      </c>
      <c r="B263" s="384" t="n">
        <f aca="false">B262+1</f>
        <v>46379</v>
      </c>
      <c r="C263" s="385" t="n">
        <v>38</v>
      </c>
      <c r="D263" s="385" t="n">
        <v>9</v>
      </c>
      <c r="E263" s="387"/>
      <c r="F263" s="388" t="n">
        <v>4</v>
      </c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</row>
    <row r="264" customFormat="false" ht="11.45" hidden="false" customHeight="false" outlineLevel="0" collapsed="false">
      <c r="A264" s="383" t="str">
        <f aca="false">TEXT(DATE(YEAR(B$2),MONTH(B$2)+(D264-1),1),"Mmm")</f>
        <v>Dec</v>
      </c>
      <c r="B264" s="384" t="n">
        <f aca="false">B263+1</f>
        <v>46380</v>
      </c>
      <c r="C264" s="385" t="n">
        <v>38</v>
      </c>
      <c r="D264" s="385" t="n">
        <v>9</v>
      </c>
      <c r="E264" s="387"/>
      <c r="F264" s="388" t="n">
        <v>4</v>
      </c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</row>
    <row r="265" customFormat="false" ht="11.45" hidden="false" customHeight="false" outlineLevel="0" collapsed="false">
      <c r="A265" s="383" t="str">
        <f aca="false">TEXT(DATE(YEAR(B$2),MONTH(B$2)+(D265-1),1),"Mmm")</f>
        <v>Dec</v>
      </c>
      <c r="B265" s="384" t="n">
        <f aca="false">B264+1</f>
        <v>46381</v>
      </c>
      <c r="C265" s="385" t="n">
        <v>38</v>
      </c>
      <c r="D265" s="385" t="n">
        <v>9</v>
      </c>
      <c r="E265" s="387"/>
      <c r="F265" s="388" t="n">
        <v>4</v>
      </c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</row>
    <row r="266" customFormat="false" ht="11.45" hidden="false" customHeight="false" outlineLevel="0" collapsed="false">
      <c r="A266" s="383" t="str">
        <f aca="false">TEXT(DATE(YEAR(B$2),MONTH(B$2)+(D266-1),1),"Mmm")</f>
        <v>Dec</v>
      </c>
      <c r="B266" s="384" t="n">
        <f aca="false">B265+1</f>
        <v>46382</v>
      </c>
      <c r="C266" s="385" t="n">
        <v>39</v>
      </c>
      <c r="D266" s="385" t="n">
        <v>9</v>
      </c>
      <c r="E266" s="387"/>
      <c r="F266" s="388" t="n">
        <v>5</v>
      </c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</row>
    <row r="267" customFormat="false" ht="11.45" hidden="false" customHeight="false" outlineLevel="0" collapsed="false">
      <c r="A267" s="383" t="str">
        <f aca="false">TEXT(DATE(YEAR(B$2),MONTH(B$2)+(D267-1),1),"Mmm")</f>
        <v>Dec</v>
      </c>
      <c r="B267" s="384" t="n">
        <f aca="false">B266+1</f>
        <v>46383</v>
      </c>
      <c r="C267" s="385" t="n">
        <v>39</v>
      </c>
      <c r="D267" s="385" t="n">
        <v>9</v>
      </c>
      <c r="E267" s="387"/>
      <c r="F267" s="388" t="n">
        <v>5</v>
      </c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</row>
    <row r="268" customFormat="false" ht="11.45" hidden="false" customHeight="false" outlineLevel="0" collapsed="false">
      <c r="A268" s="383" t="str">
        <f aca="false">TEXT(DATE(YEAR(B$2),MONTH(B$2)+(D268-1),1),"Mmm")</f>
        <v>Dec</v>
      </c>
      <c r="B268" s="384" t="n">
        <f aca="false">B267+1</f>
        <v>46384</v>
      </c>
      <c r="C268" s="385" t="n">
        <v>39</v>
      </c>
      <c r="D268" s="385" t="n">
        <v>9</v>
      </c>
      <c r="E268" s="387"/>
      <c r="F268" s="388" t="n">
        <v>5</v>
      </c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</row>
    <row r="269" customFormat="false" ht="11.45" hidden="false" customHeight="false" outlineLevel="0" collapsed="false">
      <c r="A269" s="383" t="str">
        <f aca="false">TEXT(DATE(YEAR(B$2),MONTH(B$2)+(D269-1),1),"Mmm")</f>
        <v>Dec</v>
      </c>
      <c r="B269" s="384" t="n">
        <f aca="false">B268+1</f>
        <v>46385</v>
      </c>
      <c r="C269" s="385" t="n">
        <v>39</v>
      </c>
      <c r="D269" s="385" t="n">
        <v>9</v>
      </c>
      <c r="E269" s="387"/>
      <c r="F269" s="388" t="n">
        <v>5</v>
      </c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</row>
    <row r="270" customFormat="false" ht="11.45" hidden="false" customHeight="false" outlineLevel="0" collapsed="false">
      <c r="A270" s="383" t="str">
        <f aca="false">TEXT(DATE(YEAR(B$2),MONTH(B$2)+(D270-1),1),"Mmm")</f>
        <v>Dec</v>
      </c>
      <c r="B270" s="384" t="n">
        <f aca="false">B269+1</f>
        <v>46386</v>
      </c>
      <c r="C270" s="385" t="n">
        <v>39</v>
      </c>
      <c r="D270" s="385" t="n">
        <v>9</v>
      </c>
      <c r="E270" s="387"/>
      <c r="F270" s="388" t="n">
        <v>5</v>
      </c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</row>
    <row r="271" customFormat="false" ht="11.45" hidden="false" customHeight="false" outlineLevel="0" collapsed="false">
      <c r="A271" s="383" t="str">
        <f aca="false">TEXT(DATE(YEAR(B$2),MONTH(B$2)+(D271-1),1),"Mmm")</f>
        <v>Dec</v>
      </c>
      <c r="B271" s="384" t="n">
        <f aca="false">B270+1</f>
        <v>46387</v>
      </c>
      <c r="C271" s="385" t="n">
        <v>39</v>
      </c>
      <c r="D271" s="385" t="n">
        <v>9</v>
      </c>
      <c r="E271" s="387"/>
      <c r="F271" s="388" t="n">
        <v>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</row>
    <row r="272" customFormat="false" ht="11.45" hidden="false" customHeight="false" outlineLevel="0" collapsed="false">
      <c r="A272" s="383" t="str">
        <f aca="false">TEXT(DATE(YEAR(B$2),MONTH(B$2)+(D272-1),1),"Mmm")</f>
        <v>Dec</v>
      </c>
      <c r="B272" s="384" t="n">
        <f aca="false">B271+1</f>
        <v>46388</v>
      </c>
      <c r="C272" s="385" t="n">
        <v>39</v>
      </c>
      <c r="D272" s="385" t="n">
        <v>9</v>
      </c>
      <c r="E272" s="387"/>
      <c r="F272" s="388" t="n">
        <v>5</v>
      </c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</row>
    <row r="273" customFormat="false" ht="11.45" hidden="false" customHeight="false" outlineLevel="0" collapsed="false">
      <c r="A273" s="383" t="str">
        <f aca="false">TEXT(DATE(YEAR(B$2),MONTH(B$2)+(D273-1),1),"Mmm")</f>
        <v>Jan</v>
      </c>
      <c r="B273" s="384" t="n">
        <f aca="false">B272+1</f>
        <v>46389</v>
      </c>
      <c r="C273" s="385" t="n">
        <v>40</v>
      </c>
      <c r="D273" s="385" t="n">
        <v>10</v>
      </c>
      <c r="E273" s="387"/>
      <c r="F273" s="388" t="n">
        <v>1</v>
      </c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</row>
    <row r="274" customFormat="false" ht="11.45" hidden="false" customHeight="false" outlineLevel="0" collapsed="false">
      <c r="A274" s="383" t="str">
        <f aca="false">TEXT(DATE(YEAR(B$2),MONTH(B$2)+(D274-1),1),"Mmm")</f>
        <v>Jan</v>
      </c>
      <c r="B274" s="384" t="n">
        <f aca="false">B273+1</f>
        <v>46390</v>
      </c>
      <c r="C274" s="385" t="n">
        <v>40</v>
      </c>
      <c r="D274" s="385" t="n">
        <v>10</v>
      </c>
      <c r="E274" s="387"/>
      <c r="F274" s="388" t="n">
        <v>1</v>
      </c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</row>
    <row r="275" customFormat="false" ht="11.45" hidden="false" customHeight="false" outlineLevel="0" collapsed="false">
      <c r="A275" s="383" t="str">
        <f aca="false">TEXT(DATE(YEAR(B$2),MONTH(B$2)+(D275-1),1),"Mmm")</f>
        <v>Jan</v>
      </c>
      <c r="B275" s="384" t="n">
        <f aca="false">B274+1</f>
        <v>46391</v>
      </c>
      <c r="C275" s="385" t="n">
        <v>40</v>
      </c>
      <c r="D275" s="385" t="n">
        <v>10</v>
      </c>
      <c r="E275" s="387"/>
      <c r="F275" s="388" t="n">
        <v>1</v>
      </c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</row>
    <row r="276" customFormat="false" ht="11.45" hidden="false" customHeight="false" outlineLevel="0" collapsed="false">
      <c r="A276" s="383" t="str">
        <f aca="false">TEXT(DATE(YEAR(B$2),MONTH(B$2)+(D276-1),1),"Mmm")</f>
        <v>Jan</v>
      </c>
      <c r="B276" s="384" t="n">
        <f aca="false">B275+1</f>
        <v>46392</v>
      </c>
      <c r="C276" s="385" t="n">
        <v>40</v>
      </c>
      <c r="D276" s="385" t="n">
        <v>10</v>
      </c>
      <c r="E276" s="387"/>
      <c r="F276" s="388" t="n">
        <v>1</v>
      </c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</row>
    <row r="277" customFormat="false" ht="11.45" hidden="false" customHeight="false" outlineLevel="0" collapsed="false">
      <c r="A277" s="383" t="str">
        <f aca="false">TEXT(DATE(YEAR(B$2),MONTH(B$2)+(D277-1),1),"Mmm")</f>
        <v>Jan</v>
      </c>
      <c r="B277" s="384" t="n">
        <f aca="false">B276+1</f>
        <v>46393</v>
      </c>
      <c r="C277" s="385" t="n">
        <v>40</v>
      </c>
      <c r="D277" s="385" t="n">
        <v>10</v>
      </c>
      <c r="E277" s="391"/>
      <c r="F277" s="388" t="n">
        <v>1</v>
      </c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</row>
    <row r="278" customFormat="false" ht="11.45" hidden="false" customHeight="false" outlineLevel="0" collapsed="false">
      <c r="A278" s="383" t="str">
        <f aca="false">TEXT(DATE(YEAR(B$2),MONTH(B$2)+(D278-1),1),"Mmm")</f>
        <v>Jan</v>
      </c>
      <c r="B278" s="384" t="n">
        <f aca="false">B277+1</f>
        <v>46394</v>
      </c>
      <c r="C278" s="385" t="n">
        <v>40</v>
      </c>
      <c r="D278" s="385" t="n">
        <v>10</v>
      </c>
      <c r="E278" s="387"/>
      <c r="F278" s="388" t="n">
        <v>1</v>
      </c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</row>
    <row r="279" customFormat="false" ht="11.45" hidden="false" customHeight="false" outlineLevel="0" collapsed="false">
      <c r="A279" s="383" t="str">
        <f aca="false">TEXT(DATE(YEAR(B$2),MONTH(B$2)+(D279-1),1),"Mmm")</f>
        <v>Jan</v>
      </c>
      <c r="B279" s="384" t="n">
        <f aca="false">B278+1</f>
        <v>46395</v>
      </c>
      <c r="C279" s="385" t="n">
        <v>40</v>
      </c>
      <c r="D279" s="385" t="n">
        <v>10</v>
      </c>
      <c r="E279" s="387"/>
      <c r="F279" s="388" t="n">
        <v>1</v>
      </c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</row>
    <row r="280" customFormat="false" ht="11.45" hidden="false" customHeight="false" outlineLevel="0" collapsed="false">
      <c r="A280" s="383" t="str">
        <f aca="false">TEXT(DATE(YEAR(B$2),MONTH(B$2)+(D280-1),1),"Mmm")</f>
        <v>Jan</v>
      </c>
      <c r="B280" s="384" t="n">
        <f aca="false">B279+1</f>
        <v>46396</v>
      </c>
      <c r="C280" s="385" t="n">
        <v>41</v>
      </c>
      <c r="D280" s="385" t="n">
        <v>10</v>
      </c>
      <c r="E280" s="387"/>
      <c r="F280" s="388" t="n">
        <v>2</v>
      </c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</row>
    <row r="281" customFormat="false" ht="11.45" hidden="false" customHeight="false" outlineLevel="0" collapsed="false">
      <c r="A281" s="383" t="str">
        <f aca="false">TEXT(DATE(YEAR(B$2),MONTH(B$2)+(D281-1),1),"Mmm")</f>
        <v>Jan</v>
      </c>
      <c r="B281" s="384" t="n">
        <f aca="false">B280+1</f>
        <v>46397</v>
      </c>
      <c r="C281" s="385" t="n">
        <v>41</v>
      </c>
      <c r="D281" s="385" t="n">
        <v>10</v>
      </c>
      <c r="E281" s="387"/>
      <c r="F281" s="388" t="n">
        <v>2</v>
      </c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</row>
    <row r="282" customFormat="false" ht="11.45" hidden="false" customHeight="false" outlineLevel="0" collapsed="false">
      <c r="A282" s="383" t="str">
        <f aca="false">TEXT(DATE(YEAR(B$2),MONTH(B$2)+(D282-1),1),"Mmm")</f>
        <v>Jan</v>
      </c>
      <c r="B282" s="384" t="n">
        <f aca="false">B281+1</f>
        <v>46398</v>
      </c>
      <c r="C282" s="385" t="n">
        <v>41</v>
      </c>
      <c r="D282" s="385" t="n">
        <v>10</v>
      </c>
      <c r="E282" s="387"/>
      <c r="F282" s="388" t="n">
        <v>2</v>
      </c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</row>
    <row r="283" customFormat="false" ht="11.45" hidden="false" customHeight="false" outlineLevel="0" collapsed="false">
      <c r="A283" s="383" t="str">
        <f aca="false">TEXT(DATE(YEAR(B$2),MONTH(B$2)+(D283-1),1),"Mmm")</f>
        <v>Jan</v>
      </c>
      <c r="B283" s="384" t="n">
        <f aca="false">B282+1</f>
        <v>46399</v>
      </c>
      <c r="C283" s="385" t="n">
        <v>41</v>
      </c>
      <c r="D283" s="385" t="n">
        <v>10</v>
      </c>
      <c r="E283" s="387"/>
      <c r="F283" s="388" t="n">
        <v>2</v>
      </c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</row>
    <row r="284" customFormat="false" ht="11.45" hidden="false" customHeight="false" outlineLevel="0" collapsed="false">
      <c r="A284" s="383" t="str">
        <f aca="false">TEXT(DATE(YEAR(B$2),MONTH(B$2)+(D284-1),1),"Mmm")</f>
        <v>Jan</v>
      </c>
      <c r="B284" s="384" t="n">
        <f aca="false">B283+1</f>
        <v>46400</v>
      </c>
      <c r="C284" s="385" t="n">
        <v>41</v>
      </c>
      <c r="D284" s="385" t="n">
        <v>10</v>
      </c>
      <c r="E284" s="387"/>
      <c r="F284" s="388" t="n">
        <v>2</v>
      </c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</row>
    <row r="285" customFormat="false" ht="11.45" hidden="false" customHeight="false" outlineLevel="0" collapsed="false">
      <c r="A285" s="383" t="str">
        <f aca="false">TEXT(DATE(YEAR(B$2),MONTH(B$2)+(D285-1),1),"Mmm")</f>
        <v>Jan</v>
      </c>
      <c r="B285" s="384" t="n">
        <f aca="false">B284+1</f>
        <v>46401</v>
      </c>
      <c r="C285" s="385" t="n">
        <v>41</v>
      </c>
      <c r="D285" s="385" t="n">
        <v>10</v>
      </c>
      <c r="E285" s="387"/>
      <c r="F285" s="388" t="n">
        <v>2</v>
      </c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</row>
    <row r="286" customFormat="false" ht="11.45" hidden="false" customHeight="false" outlineLevel="0" collapsed="false">
      <c r="A286" s="383" t="str">
        <f aca="false">TEXT(DATE(YEAR(B$2),MONTH(B$2)+(D286-1),1),"Mmm")</f>
        <v>Jan</v>
      </c>
      <c r="B286" s="384" t="n">
        <f aca="false">B285+1</f>
        <v>46402</v>
      </c>
      <c r="C286" s="385" t="n">
        <v>41</v>
      </c>
      <c r="D286" s="385" t="n">
        <v>10</v>
      </c>
      <c r="E286" s="387"/>
      <c r="F286" s="388" t="n">
        <v>2</v>
      </c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</row>
    <row r="287" customFormat="false" ht="11.45" hidden="false" customHeight="false" outlineLevel="0" collapsed="false">
      <c r="A287" s="383" t="str">
        <f aca="false">TEXT(DATE(YEAR(B$2),MONTH(B$2)+(D287-1),1),"Mmm")</f>
        <v>Jan</v>
      </c>
      <c r="B287" s="384" t="n">
        <f aca="false">B286+1</f>
        <v>46403</v>
      </c>
      <c r="C287" s="385" t="n">
        <v>42</v>
      </c>
      <c r="D287" s="385" t="n">
        <v>10</v>
      </c>
      <c r="E287" s="387"/>
      <c r="F287" s="388" t="n">
        <v>3</v>
      </c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</row>
    <row r="288" customFormat="false" ht="11.45" hidden="false" customHeight="false" outlineLevel="0" collapsed="false">
      <c r="A288" s="383" t="str">
        <f aca="false">TEXT(DATE(YEAR(B$2),MONTH(B$2)+(D288-1),1),"Mmm")</f>
        <v>Jan</v>
      </c>
      <c r="B288" s="384" t="n">
        <f aca="false">B287+1</f>
        <v>46404</v>
      </c>
      <c r="C288" s="385" t="n">
        <v>42</v>
      </c>
      <c r="D288" s="385" t="n">
        <v>10</v>
      </c>
      <c r="E288" s="387"/>
      <c r="F288" s="388" t="n">
        <v>3</v>
      </c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</row>
    <row r="289" customFormat="false" ht="11.45" hidden="false" customHeight="false" outlineLevel="0" collapsed="false">
      <c r="A289" s="383" t="str">
        <f aca="false">TEXT(DATE(YEAR(B$2),MONTH(B$2)+(D289-1),1),"Mmm")</f>
        <v>Jan</v>
      </c>
      <c r="B289" s="384" t="n">
        <f aca="false">B288+1</f>
        <v>46405</v>
      </c>
      <c r="C289" s="385" t="n">
        <v>42</v>
      </c>
      <c r="D289" s="385" t="n">
        <v>10</v>
      </c>
      <c r="E289" s="387"/>
      <c r="F289" s="388" t="n">
        <v>3</v>
      </c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</row>
    <row r="290" customFormat="false" ht="11.45" hidden="false" customHeight="false" outlineLevel="0" collapsed="false">
      <c r="A290" s="383" t="str">
        <f aca="false">TEXT(DATE(YEAR(B$2),MONTH(B$2)+(D290-1),1),"Mmm")</f>
        <v>Jan</v>
      </c>
      <c r="B290" s="384" t="n">
        <f aca="false">B289+1</f>
        <v>46406</v>
      </c>
      <c r="C290" s="385" t="n">
        <v>42</v>
      </c>
      <c r="D290" s="385" t="n">
        <v>10</v>
      </c>
      <c r="E290" s="387"/>
      <c r="F290" s="388" t="n">
        <v>3</v>
      </c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</row>
    <row r="291" customFormat="false" ht="11.45" hidden="false" customHeight="false" outlineLevel="0" collapsed="false">
      <c r="A291" s="383" t="str">
        <f aca="false">TEXT(DATE(YEAR(B$2),MONTH(B$2)+(D291-1),1),"Mmm")</f>
        <v>Jan</v>
      </c>
      <c r="B291" s="384" t="n">
        <f aca="false">B290+1</f>
        <v>46407</v>
      </c>
      <c r="C291" s="385" t="n">
        <v>42</v>
      </c>
      <c r="D291" s="385" t="n">
        <v>10</v>
      </c>
      <c r="E291" s="387"/>
      <c r="F291" s="388" t="n">
        <v>3</v>
      </c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</row>
    <row r="292" customFormat="false" ht="11.45" hidden="false" customHeight="false" outlineLevel="0" collapsed="false">
      <c r="A292" s="383" t="str">
        <f aca="false">TEXT(DATE(YEAR(B$2),MONTH(B$2)+(D292-1),1),"Mmm")</f>
        <v>Jan</v>
      </c>
      <c r="B292" s="384" t="n">
        <f aca="false">B291+1</f>
        <v>46408</v>
      </c>
      <c r="C292" s="385" t="n">
        <v>42</v>
      </c>
      <c r="D292" s="385" t="n">
        <v>10</v>
      </c>
      <c r="E292" s="387"/>
      <c r="F292" s="388" t="n">
        <v>3</v>
      </c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</row>
    <row r="293" customFormat="false" ht="11.45" hidden="false" customHeight="false" outlineLevel="0" collapsed="false">
      <c r="A293" s="383" t="str">
        <f aca="false">TEXT(DATE(YEAR(B$2),MONTH(B$2)+(D293-1),1),"Mmm")</f>
        <v>Jan</v>
      </c>
      <c r="B293" s="384" t="n">
        <f aca="false">B292+1</f>
        <v>46409</v>
      </c>
      <c r="C293" s="385" t="n">
        <v>42</v>
      </c>
      <c r="D293" s="385" t="n">
        <v>10</v>
      </c>
      <c r="E293" s="387"/>
      <c r="F293" s="388" t="n">
        <v>3</v>
      </c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</row>
    <row r="294" customFormat="false" ht="11.45" hidden="false" customHeight="false" outlineLevel="0" collapsed="false">
      <c r="A294" s="383" t="str">
        <f aca="false">TEXT(DATE(YEAR(B$2),MONTH(B$2)+(D294-1),1),"Mmm")</f>
        <v>Jan</v>
      </c>
      <c r="B294" s="384" t="n">
        <f aca="false">B293+1</f>
        <v>46410</v>
      </c>
      <c r="C294" s="385" t="n">
        <v>43</v>
      </c>
      <c r="D294" s="385" t="n">
        <v>10</v>
      </c>
      <c r="E294" s="387"/>
      <c r="F294" s="388" t="n">
        <v>4</v>
      </c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</row>
    <row r="295" customFormat="false" ht="11.45" hidden="false" customHeight="false" outlineLevel="0" collapsed="false">
      <c r="A295" s="383" t="str">
        <f aca="false">TEXT(DATE(YEAR(B$2),MONTH(B$2)+(D295-1),1),"Mmm")</f>
        <v>Jan</v>
      </c>
      <c r="B295" s="384" t="n">
        <f aca="false">B294+1</f>
        <v>46411</v>
      </c>
      <c r="C295" s="385" t="n">
        <v>43</v>
      </c>
      <c r="D295" s="385" t="n">
        <v>10</v>
      </c>
      <c r="E295" s="387"/>
      <c r="F295" s="388" t="n">
        <v>4</v>
      </c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</row>
    <row r="296" customFormat="false" ht="11.45" hidden="false" customHeight="false" outlineLevel="0" collapsed="false">
      <c r="A296" s="383" t="str">
        <f aca="false">TEXT(DATE(YEAR(B$2),MONTH(B$2)+(D296-1),1),"Mmm")</f>
        <v>Jan</v>
      </c>
      <c r="B296" s="384" t="n">
        <f aca="false">B295+1</f>
        <v>46412</v>
      </c>
      <c r="C296" s="385" t="n">
        <v>43</v>
      </c>
      <c r="D296" s="385" t="n">
        <v>10</v>
      </c>
      <c r="E296" s="387"/>
      <c r="F296" s="388" t="n">
        <v>4</v>
      </c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</row>
    <row r="297" customFormat="false" ht="11.45" hidden="false" customHeight="false" outlineLevel="0" collapsed="false">
      <c r="A297" s="383" t="str">
        <f aca="false">TEXT(DATE(YEAR(B$2),MONTH(B$2)+(D297-1),1),"Mmm")</f>
        <v>Jan</v>
      </c>
      <c r="B297" s="384" t="n">
        <f aca="false">B296+1</f>
        <v>46413</v>
      </c>
      <c r="C297" s="385" t="n">
        <v>43</v>
      </c>
      <c r="D297" s="385" t="n">
        <v>10</v>
      </c>
      <c r="E297" s="387"/>
      <c r="F297" s="388" t="n">
        <v>4</v>
      </c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</row>
    <row r="298" customFormat="false" ht="11.45" hidden="false" customHeight="false" outlineLevel="0" collapsed="false">
      <c r="A298" s="383" t="str">
        <f aca="false">TEXT(DATE(YEAR(B$2),MONTH(B$2)+(D298-1),1),"Mmm")</f>
        <v>Jan</v>
      </c>
      <c r="B298" s="384" t="n">
        <f aca="false">B297+1</f>
        <v>46414</v>
      </c>
      <c r="C298" s="385" t="n">
        <v>43</v>
      </c>
      <c r="D298" s="385" t="n">
        <v>10</v>
      </c>
      <c r="E298" s="387"/>
      <c r="F298" s="388" t="n">
        <v>4</v>
      </c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</row>
    <row r="299" customFormat="false" ht="11.45" hidden="false" customHeight="false" outlineLevel="0" collapsed="false">
      <c r="A299" s="383" t="str">
        <f aca="false">TEXT(DATE(YEAR(B$2),MONTH(B$2)+(D299-1),1),"Mmm")</f>
        <v>Jan</v>
      </c>
      <c r="B299" s="384" t="n">
        <f aca="false">B298+1</f>
        <v>46415</v>
      </c>
      <c r="C299" s="385" t="n">
        <v>43</v>
      </c>
      <c r="D299" s="385" t="n">
        <v>10</v>
      </c>
      <c r="E299" s="387"/>
      <c r="F299" s="388" t="n">
        <v>4</v>
      </c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</row>
    <row r="300" customFormat="false" ht="11.45" hidden="false" customHeight="false" outlineLevel="0" collapsed="false">
      <c r="A300" s="383" t="str">
        <f aca="false">TEXT(DATE(YEAR(B$2),MONTH(B$2)+(D300-1),1),"Mmm")</f>
        <v>Jan</v>
      </c>
      <c r="B300" s="384" t="n">
        <f aca="false">B299+1</f>
        <v>46416</v>
      </c>
      <c r="C300" s="385" t="n">
        <v>43</v>
      </c>
      <c r="D300" s="385" t="n">
        <v>10</v>
      </c>
      <c r="E300" s="387"/>
      <c r="F300" s="388" t="n">
        <v>4</v>
      </c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</row>
    <row r="301" customFormat="false" ht="11.45" hidden="false" customHeight="false" outlineLevel="0" collapsed="false">
      <c r="A301" s="383" t="str">
        <f aca="false">TEXT(DATE(YEAR(B$2),MONTH(B$2)+(D301-1),1),"Mmm")</f>
        <v>Feb</v>
      </c>
      <c r="B301" s="384" t="n">
        <f aca="false">B300+1</f>
        <v>46417</v>
      </c>
      <c r="C301" s="385" t="n">
        <v>44</v>
      </c>
      <c r="D301" s="385" t="n">
        <v>11</v>
      </c>
      <c r="E301" s="387"/>
      <c r="F301" s="388" t="n">
        <v>1</v>
      </c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</row>
    <row r="302" customFormat="false" ht="11.45" hidden="false" customHeight="false" outlineLevel="0" collapsed="false">
      <c r="A302" s="383" t="str">
        <f aca="false">TEXT(DATE(YEAR(B$2),MONTH(B$2)+(D302-1),1),"Mmm")</f>
        <v>Feb</v>
      </c>
      <c r="B302" s="384" t="n">
        <f aca="false">B301+1</f>
        <v>46418</v>
      </c>
      <c r="C302" s="385" t="n">
        <v>44</v>
      </c>
      <c r="D302" s="385" t="n">
        <v>11</v>
      </c>
      <c r="E302" s="387"/>
      <c r="F302" s="388" t="n">
        <v>1</v>
      </c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</row>
    <row r="303" customFormat="false" ht="11.45" hidden="false" customHeight="false" outlineLevel="0" collapsed="false">
      <c r="A303" s="383" t="str">
        <f aca="false">TEXT(DATE(YEAR(B$2),MONTH(B$2)+(D303-1),1),"Mmm")</f>
        <v>Feb</v>
      </c>
      <c r="B303" s="384" t="n">
        <f aca="false">B302+1</f>
        <v>46419</v>
      </c>
      <c r="C303" s="385" t="n">
        <v>44</v>
      </c>
      <c r="D303" s="385" t="n">
        <v>11</v>
      </c>
      <c r="E303" s="387"/>
      <c r="F303" s="388" t="n">
        <v>1</v>
      </c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</row>
    <row r="304" customFormat="false" ht="11.45" hidden="false" customHeight="false" outlineLevel="0" collapsed="false">
      <c r="A304" s="383" t="str">
        <f aca="false">TEXT(DATE(YEAR(B$2),MONTH(B$2)+(D304-1),1),"Mmm")</f>
        <v>Feb</v>
      </c>
      <c r="B304" s="384" t="n">
        <f aca="false">B303+1</f>
        <v>46420</v>
      </c>
      <c r="C304" s="385" t="n">
        <v>44</v>
      </c>
      <c r="D304" s="385" t="n">
        <v>11</v>
      </c>
      <c r="E304" s="387"/>
      <c r="F304" s="388" t="n">
        <v>1</v>
      </c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</row>
    <row r="305" customFormat="false" ht="11.45" hidden="false" customHeight="false" outlineLevel="0" collapsed="false">
      <c r="A305" s="383" t="str">
        <f aca="false">TEXT(DATE(YEAR(B$2),MONTH(B$2)+(D305-1),1),"Mmm")</f>
        <v>Feb</v>
      </c>
      <c r="B305" s="384" t="n">
        <f aca="false">B304+1</f>
        <v>46421</v>
      </c>
      <c r="C305" s="385" t="n">
        <v>44</v>
      </c>
      <c r="D305" s="385" t="n">
        <v>11</v>
      </c>
      <c r="E305" s="387"/>
      <c r="F305" s="388" t="n">
        <v>1</v>
      </c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</row>
    <row r="306" customFormat="false" ht="11.45" hidden="false" customHeight="false" outlineLevel="0" collapsed="false">
      <c r="A306" s="383" t="str">
        <f aca="false">TEXT(DATE(YEAR(B$2),MONTH(B$2)+(D306-1),1),"Mmm")</f>
        <v>Feb</v>
      </c>
      <c r="B306" s="384" t="n">
        <f aca="false">B305+1</f>
        <v>46422</v>
      </c>
      <c r="C306" s="385" t="n">
        <v>44</v>
      </c>
      <c r="D306" s="385" t="n">
        <v>11</v>
      </c>
      <c r="E306" s="387"/>
      <c r="F306" s="388" t="n">
        <v>1</v>
      </c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</row>
    <row r="307" customFormat="false" ht="11.45" hidden="false" customHeight="false" outlineLevel="0" collapsed="false">
      <c r="A307" s="383" t="str">
        <f aca="false">TEXT(DATE(YEAR(B$2),MONTH(B$2)+(D307-1),1),"Mmm")</f>
        <v>Feb</v>
      </c>
      <c r="B307" s="384" t="n">
        <f aca="false">B306+1</f>
        <v>46423</v>
      </c>
      <c r="C307" s="385" t="n">
        <v>44</v>
      </c>
      <c r="D307" s="385" t="n">
        <v>11</v>
      </c>
      <c r="E307" s="387"/>
      <c r="F307" s="388" t="n">
        <v>1</v>
      </c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</row>
    <row r="308" customFormat="false" ht="11.45" hidden="false" customHeight="false" outlineLevel="0" collapsed="false">
      <c r="A308" s="383" t="str">
        <f aca="false">TEXT(DATE(YEAR(B$2),MONTH(B$2)+(D308-1),1),"Mmm")</f>
        <v>Feb</v>
      </c>
      <c r="B308" s="384" t="n">
        <f aca="false">B307+1</f>
        <v>46424</v>
      </c>
      <c r="C308" s="385" t="n">
        <v>45</v>
      </c>
      <c r="D308" s="385" t="n">
        <v>11</v>
      </c>
      <c r="E308" s="391"/>
      <c r="F308" s="388" t="n">
        <v>2</v>
      </c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</row>
    <row r="309" customFormat="false" ht="11.45" hidden="false" customHeight="false" outlineLevel="0" collapsed="false">
      <c r="A309" s="383" t="str">
        <f aca="false">TEXT(DATE(YEAR(B$2),MONTH(B$2)+(D309-1),1),"Mmm")</f>
        <v>Feb</v>
      </c>
      <c r="B309" s="384" t="n">
        <f aca="false">B308+1</f>
        <v>46425</v>
      </c>
      <c r="C309" s="385" t="n">
        <v>45</v>
      </c>
      <c r="D309" s="385" t="n">
        <v>11</v>
      </c>
      <c r="E309" s="387"/>
      <c r="F309" s="388" t="n">
        <v>2</v>
      </c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</row>
    <row r="310" customFormat="false" ht="11.45" hidden="false" customHeight="false" outlineLevel="0" collapsed="false">
      <c r="A310" s="383" t="str">
        <f aca="false">TEXT(DATE(YEAR(B$2),MONTH(B$2)+(D310-1),1),"Mmm")</f>
        <v>Feb</v>
      </c>
      <c r="B310" s="384" t="n">
        <f aca="false">B309+1</f>
        <v>46426</v>
      </c>
      <c r="C310" s="385" t="n">
        <v>45</v>
      </c>
      <c r="D310" s="385" t="n">
        <v>11</v>
      </c>
      <c r="E310" s="387"/>
      <c r="F310" s="388" t="n">
        <v>2</v>
      </c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</row>
    <row r="311" customFormat="false" ht="11.45" hidden="false" customHeight="false" outlineLevel="0" collapsed="false">
      <c r="A311" s="383" t="str">
        <f aca="false">TEXT(DATE(YEAR(B$2),MONTH(B$2)+(D311-1),1),"Mmm")</f>
        <v>Feb</v>
      </c>
      <c r="B311" s="384" t="n">
        <f aca="false">B310+1</f>
        <v>46427</v>
      </c>
      <c r="C311" s="385" t="n">
        <v>45</v>
      </c>
      <c r="D311" s="385" t="n">
        <v>11</v>
      </c>
      <c r="E311" s="387"/>
      <c r="F311" s="388" t="n">
        <v>2</v>
      </c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</row>
    <row r="312" customFormat="false" ht="11.45" hidden="false" customHeight="false" outlineLevel="0" collapsed="false">
      <c r="A312" s="383" t="str">
        <f aca="false">TEXT(DATE(YEAR(B$2),MONTH(B$2)+(D312-1),1),"Mmm")</f>
        <v>Feb</v>
      </c>
      <c r="B312" s="384" t="n">
        <f aca="false">B311+1</f>
        <v>46428</v>
      </c>
      <c r="C312" s="385" t="n">
        <v>45</v>
      </c>
      <c r="D312" s="385" t="n">
        <v>11</v>
      </c>
      <c r="E312" s="387"/>
      <c r="F312" s="388" t="n">
        <v>2</v>
      </c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</row>
    <row r="313" customFormat="false" ht="11.45" hidden="false" customHeight="false" outlineLevel="0" collapsed="false">
      <c r="A313" s="383" t="str">
        <f aca="false">TEXT(DATE(YEAR(B$2),MONTH(B$2)+(D313-1),1),"Mmm")</f>
        <v>Feb</v>
      </c>
      <c r="B313" s="384" t="n">
        <f aca="false">B312+1</f>
        <v>46429</v>
      </c>
      <c r="C313" s="385" t="n">
        <v>45</v>
      </c>
      <c r="D313" s="385" t="n">
        <v>11</v>
      </c>
      <c r="E313" s="387"/>
      <c r="F313" s="388" t="n">
        <v>2</v>
      </c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</row>
    <row r="314" customFormat="false" ht="11.45" hidden="false" customHeight="false" outlineLevel="0" collapsed="false">
      <c r="A314" s="383" t="str">
        <f aca="false">TEXT(DATE(YEAR(B$2),MONTH(B$2)+(D314-1),1),"Mmm")</f>
        <v>Feb</v>
      </c>
      <c r="B314" s="384" t="n">
        <f aca="false">B313+1</f>
        <v>46430</v>
      </c>
      <c r="C314" s="385" t="n">
        <v>45</v>
      </c>
      <c r="D314" s="385" t="n">
        <v>11</v>
      </c>
      <c r="E314" s="387"/>
      <c r="F314" s="388" t="n">
        <v>2</v>
      </c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</row>
    <row r="315" customFormat="false" ht="11.45" hidden="false" customHeight="false" outlineLevel="0" collapsed="false">
      <c r="A315" s="383" t="str">
        <f aca="false">TEXT(DATE(YEAR(B$2),MONTH(B$2)+(D315-1),1),"Mmm")</f>
        <v>Feb</v>
      </c>
      <c r="B315" s="384" t="n">
        <f aca="false">B314+1</f>
        <v>46431</v>
      </c>
      <c r="C315" s="385" t="n">
        <v>46</v>
      </c>
      <c r="D315" s="385" t="n">
        <v>11</v>
      </c>
      <c r="E315" s="387"/>
      <c r="F315" s="388" t="n">
        <v>3</v>
      </c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</row>
    <row r="316" customFormat="false" ht="11.45" hidden="false" customHeight="false" outlineLevel="0" collapsed="false">
      <c r="A316" s="383" t="str">
        <f aca="false">TEXT(DATE(YEAR(B$2),MONTH(B$2)+(D316-1),1),"Mmm")</f>
        <v>Feb</v>
      </c>
      <c r="B316" s="384" t="n">
        <f aca="false">B315+1</f>
        <v>46432</v>
      </c>
      <c r="C316" s="385" t="n">
        <v>46</v>
      </c>
      <c r="D316" s="385" t="n">
        <v>11</v>
      </c>
      <c r="E316" s="387"/>
      <c r="F316" s="388" t="n">
        <v>3</v>
      </c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</row>
    <row r="317" customFormat="false" ht="11.45" hidden="false" customHeight="false" outlineLevel="0" collapsed="false">
      <c r="A317" s="383" t="str">
        <f aca="false">TEXT(DATE(YEAR(B$2),MONTH(B$2)+(D317-1),1),"Mmm")</f>
        <v>Feb</v>
      </c>
      <c r="B317" s="384" t="n">
        <f aca="false">B316+1</f>
        <v>46433</v>
      </c>
      <c r="C317" s="385" t="n">
        <v>46</v>
      </c>
      <c r="D317" s="385" t="n">
        <v>11</v>
      </c>
      <c r="E317" s="387"/>
      <c r="F317" s="388" t="n">
        <v>3</v>
      </c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</row>
    <row r="318" customFormat="false" ht="11.45" hidden="false" customHeight="false" outlineLevel="0" collapsed="false">
      <c r="A318" s="383" t="str">
        <f aca="false">TEXT(DATE(YEAR(B$2),MONTH(B$2)+(D318-1),1),"Mmm")</f>
        <v>Feb</v>
      </c>
      <c r="B318" s="384" t="n">
        <f aca="false">B317+1</f>
        <v>46434</v>
      </c>
      <c r="C318" s="385" t="n">
        <v>46</v>
      </c>
      <c r="D318" s="385" t="n">
        <v>11</v>
      </c>
      <c r="E318" s="387"/>
      <c r="F318" s="388" t="n">
        <v>3</v>
      </c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</row>
    <row r="319" customFormat="false" ht="11.45" hidden="false" customHeight="false" outlineLevel="0" collapsed="false">
      <c r="A319" s="383" t="str">
        <f aca="false">TEXT(DATE(YEAR(B$2),MONTH(B$2)+(D319-1),1),"Mmm")</f>
        <v>Feb</v>
      </c>
      <c r="B319" s="384" t="n">
        <f aca="false">B318+1</f>
        <v>46435</v>
      </c>
      <c r="C319" s="385" t="n">
        <v>46</v>
      </c>
      <c r="D319" s="385" t="n">
        <v>11</v>
      </c>
      <c r="E319" s="387"/>
      <c r="F319" s="388" t="n">
        <v>3</v>
      </c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</row>
    <row r="320" customFormat="false" ht="11.45" hidden="false" customHeight="false" outlineLevel="0" collapsed="false">
      <c r="A320" s="383" t="str">
        <f aca="false">TEXT(DATE(YEAR(B$2),MONTH(B$2)+(D320-1),1),"Mmm")</f>
        <v>Feb</v>
      </c>
      <c r="B320" s="384" t="n">
        <f aca="false">B319+1</f>
        <v>46436</v>
      </c>
      <c r="C320" s="385" t="n">
        <v>46</v>
      </c>
      <c r="D320" s="385" t="n">
        <v>11</v>
      </c>
      <c r="E320" s="387"/>
      <c r="F320" s="388" t="n">
        <v>3</v>
      </c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</row>
    <row r="321" customFormat="false" ht="11.45" hidden="false" customHeight="false" outlineLevel="0" collapsed="false">
      <c r="A321" s="383" t="str">
        <f aca="false">TEXT(DATE(YEAR(B$2),MONTH(B$2)+(D321-1),1),"Mmm")</f>
        <v>Feb</v>
      </c>
      <c r="B321" s="384" t="n">
        <f aca="false">B320+1</f>
        <v>46437</v>
      </c>
      <c r="C321" s="385" t="n">
        <v>46</v>
      </c>
      <c r="D321" s="385" t="n">
        <v>11</v>
      </c>
      <c r="E321" s="387"/>
      <c r="F321" s="388" t="n">
        <v>3</v>
      </c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</row>
    <row r="322" customFormat="false" ht="11.45" hidden="false" customHeight="false" outlineLevel="0" collapsed="false">
      <c r="A322" s="383" t="str">
        <f aca="false">TEXT(DATE(YEAR(B$2),MONTH(B$2)+(D322-1),1),"Mmm")</f>
        <v>Feb</v>
      </c>
      <c r="B322" s="384" t="n">
        <f aca="false">B321+1</f>
        <v>46438</v>
      </c>
      <c r="C322" s="385" t="n">
        <v>47</v>
      </c>
      <c r="D322" s="385" t="n">
        <v>11</v>
      </c>
      <c r="E322" s="387"/>
      <c r="F322" s="388" t="n">
        <v>4</v>
      </c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</row>
    <row r="323" customFormat="false" ht="11.45" hidden="false" customHeight="false" outlineLevel="0" collapsed="false">
      <c r="A323" s="383" t="str">
        <f aca="false">TEXT(DATE(YEAR(B$2),MONTH(B$2)+(D323-1),1),"Mmm")</f>
        <v>Feb</v>
      </c>
      <c r="B323" s="384" t="n">
        <f aca="false">B322+1</f>
        <v>46439</v>
      </c>
      <c r="C323" s="385" t="n">
        <v>47</v>
      </c>
      <c r="D323" s="385" t="n">
        <v>11</v>
      </c>
      <c r="E323" s="387"/>
      <c r="F323" s="388" t="n">
        <v>4</v>
      </c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</row>
    <row r="324" customFormat="false" ht="11.45" hidden="false" customHeight="false" outlineLevel="0" collapsed="false">
      <c r="A324" s="383" t="str">
        <f aca="false">TEXT(DATE(YEAR(B$2),MONTH(B$2)+(D324-1),1),"Mmm")</f>
        <v>Feb</v>
      </c>
      <c r="B324" s="384" t="n">
        <f aca="false">B323+1</f>
        <v>46440</v>
      </c>
      <c r="C324" s="385" t="n">
        <v>47</v>
      </c>
      <c r="D324" s="385" t="n">
        <v>11</v>
      </c>
      <c r="E324" s="387"/>
      <c r="F324" s="388" t="n">
        <v>4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</row>
    <row r="325" customFormat="false" ht="11.45" hidden="false" customHeight="false" outlineLevel="0" collapsed="false">
      <c r="A325" s="383" t="str">
        <f aca="false">TEXT(DATE(YEAR(B$2),MONTH(B$2)+(D325-1),1),"Mmm")</f>
        <v>Feb</v>
      </c>
      <c r="B325" s="384" t="n">
        <f aca="false">B324+1</f>
        <v>46441</v>
      </c>
      <c r="C325" s="385" t="n">
        <v>47</v>
      </c>
      <c r="D325" s="385" t="n">
        <v>11</v>
      </c>
      <c r="E325" s="387"/>
      <c r="F325" s="388" t="n">
        <v>4</v>
      </c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</row>
    <row r="326" customFormat="false" ht="11.45" hidden="false" customHeight="false" outlineLevel="0" collapsed="false">
      <c r="A326" s="383" t="str">
        <f aca="false">TEXT(DATE(YEAR(B$2),MONTH(B$2)+(D326-1),1),"Mmm")</f>
        <v>Feb</v>
      </c>
      <c r="B326" s="384" t="n">
        <f aca="false">B325+1</f>
        <v>46442</v>
      </c>
      <c r="C326" s="385" t="n">
        <v>47</v>
      </c>
      <c r="D326" s="385" t="n">
        <v>11</v>
      </c>
      <c r="E326" s="387"/>
      <c r="F326" s="388" t="n">
        <v>4</v>
      </c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</row>
    <row r="327" customFormat="false" ht="11.45" hidden="false" customHeight="false" outlineLevel="0" collapsed="false">
      <c r="A327" s="383" t="str">
        <f aca="false">TEXT(DATE(YEAR(B$2),MONTH(B$2)+(D327-1),1),"Mmm")</f>
        <v>Feb</v>
      </c>
      <c r="B327" s="384" t="n">
        <f aca="false">B326+1</f>
        <v>46443</v>
      </c>
      <c r="C327" s="385" t="n">
        <v>47</v>
      </c>
      <c r="D327" s="385" t="n">
        <v>11</v>
      </c>
      <c r="E327" s="387"/>
      <c r="F327" s="388" t="n">
        <v>4</v>
      </c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</row>
    <row r="328" customFormat="false" ht="11.45" hidden="false" customHeight="false" outlineLevel="0" collapsed="false">
      <c r="A328" s="383" t="str">
        <f aca="false">TEXT(DATE(YEAR(B$2),MONTH(B$2)+(D328-1),1),"Mmm")</f>
        <v>Feb</v>
      </c>
      <c r="B328" s="384" t="n">
        <f aca="false">B327+1</f>
        <v>46444</v>
      </c>
      <c r="C328" s="385" t="n">
        <v>47</v>
      </c>
      <c r="D328" s="385" t="n">
        <v>11</v>
      </c>
      <c r="E328" s="387"/>
      <c r="F328" s="388" t="n">
        <v>4</v>
      </c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</row>
    <row r="329" customFormat="false" ht="11.45" hidden="false" customHeight="false" outlineLevel="0" collapsed="false">
      <c r="A329" s="383" t="str">
        <f aca="false">TEXT(DATE(YEAR(B$2),MONTH(B$2)+(D329-1),1),"Mmm")</f>
        <v>Mar</v>
      </c>
      <c r="B329" s="384" t="n">
        <f aca="false">B328+1</f>
        <v>46445</v>
      </c>
      <c r="C329" s="385" t="n">
        <v>48</v>
      </c>
      <c r="D329" s="385" t="n">
        <v>12</v>
      </c>
      <c r="E329" s="387"/>
      <c r="F329" s="388" t="n">
        <v>1</v>
      </c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</row>
    <row r="330" customFormat="false" ht="11.45" hidden="false" customHeight="false" outlineLevel="0" collapsed="false">
      <c r="A330" s="383" t="str">
        <f aca="false">TEXT(DATE(YEAR(B$2),MONTH(B$2)+(D330-1),1),"Mmm")</f>
        <v>Mar</v>
      </c>
      <c r="B330" s="384" t="n">
        <f aca="false">B329+1</f>
        <v>46446</v>
      </c>
      <c r="C330" s="385" t="n">
        <v>48</v>
      </c>
      <c r="D330" s="385" t="n">
        <v>12</v>
      </c>
      <c r="E330" s="387"/>
      <c r="F330" s="388" t="n">
        <v>1</v>
      </c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</row>
    <row r="331" customFormat="false" ht="11.45" hidden="false" customHeight="false" outlineLevel="0" collapsed="false">
      <c r="A331" s="383" t="str">
        <f aca="false">TEXT(DATE(YEAR(B$2),MONTH(B$2)+(D331-1),1),"Mmm")</f>
        <v>Mar</v>
      </c>
      <c r="B331" s="384" t="n">
        <f aca="false">B330+1</f>
        <v>46447</v>
      </c>
      <c r="C331" s="385" t="n">
        <v>48</v>
      </c>
      <c r="D331" s="385" t="n">
        <v>12</v>
      </c>
      <c r="E331" s="387"/>
      <c r="F331" s="388" t="n">
        <v>1</v>
      </c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</row>
    <row r="332" customFormat="false" ht="11.45" hidden="false" customHeight="false" outlineLevel="0" collapsed="false">
      <c r="A332" s="383" t="str">
        <f aca="false">TEXT(DATE(YEAR(B$2),MONTH(B$2)+(D332-1),1),"Mmm")</f>
        <v>Mar</v>
      </c>
      <c r="B332" s="384" t="n">
        <f aca="false">B331+1</f>
        <v>46448</v>
      </c>
      <c r="C332" s="385" t="n">
        <v>48</v>
      </c>
      <c r="D332" s="385" t="n">
        <v>12</v>
      </c>
      <c r="E332" s="387"/>
      <c r="F332" s="388" t="n">
        <v>1</v>
      </c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</row>
    <row r="333" customFormat="false" ht="11.45" hidden="false" customHeight="false" outlineLevel="0" collapsed="false">
      <c r="A333" s="383" t="str">
        <f aca="false">TEXT(DATE(YEAR(B$2),MONTH(B$2)+(D333-1),1),"Mmm")</f>
        <v>Mar</v>
      </c>
      <c r="B333" s="384" t="n">
        <f aca="false">B332+1</f>
        <v>46449</v>
      </c>
      <c r="C333" s="385" t="n">
        <v>48</v>
      </c>
      <c r="D333" s="385" t="n">
        <v>12</v>
      </c>
      <c r="E333" s="387"/>
      <c r="F333" s="388" t="n">
        <v>1</v>
      </c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</row>
    <row r="334" customFormat="false" ht="11.45" hidden="false" customHeight="false" outlineLevel="0" collapsed="false">
      <c r="A334" s="383" t="str">
        <f aca="false">TEXT(DATE(YEAR(B$2),MONTH(B$2)+(D334-1),1),"Mmm")</f>
        <v>Mar</v>
      </c>
      <c r="B334" s="384" t="n">
        <f aca="false">B333+1</f>
        <v>46450</v>
      </c>
      <c r="C334" s="385" t="n">
        <v>48</v>
      </c>
      <c r="D334" s="385" t="n">
        <v>12</v>
      </c>
      <c r="E334" s="387"/>
      <c r="F334" s="388" t="n">
        <v>1</v>
      </c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</row>
    <row r="335" customFormat="false" ht="11.45" hidden="false" customHeight="false" outlineLevel="0" collapsed="false">
      <c r="A335" s="383" t="str">
        <f aca="false">TEXT(DATE(YEAR(B$2),MONTH(B$2)+(D335-1),1),"Mmm")</f>
        <v>Mar</v>
      </c>
      <c r="B335" s="384" t="n">
        <f aca="false">B334+1</f>
        <v>46451</v>
      </c>
      <c r="C335" s="385" t="n">
        <v>48</v>
      </c>
      <c r="D335" s="385" t="n">
        <v>12</v>
      </c>
      <c r="E335" s="387"/>
      <c r="F335" s="388" t="n">
        <v>1</v>
      </c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</row>
    <row r="336" customFormat="false" ht="11.45" hidden="false" customHeight="false" outlineLevel="0" collapsed="false">
      <c r="A336" s="383" t="str">
        <f aca="false">TEXT(DATE(YEAR(B$2),MONTH(B$2)+(D336-1),1),"Mmm")</f>
        <v>Mar</v>
      </c>
      <c r="B336" s="384" t="n">
        <f aca="false">B335+1</f>
        <v>46452</v>
      </c>
      <c r="C336" s="385" t="n">
        <v>49</v>
      </c>
      <c r="D336" s="385" t="n">
        <v>12</v>
      </c>
      <c r="E336" s="391"/>
      <c r="F336" s="388" t="n">
        <v>2</v>
      </c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</row>
    <row r="337" customFormat="false" ht="11.45" hidden="false" customHeight="false" outlineLevel="0" collapsed="false">
      <c r="A337" s="383" t="str">
        <f aca="false">TEXT(DATE(YEAR(B$2),MONTH(B$2)+(D337-1),1),"Mmm")</f>
        <v>Mar</v>
      </c>
      <c r="B337" s="384" t="n">
        <f aca="false">B336+1</f>
        <v>46453</v>
      </c>
      <c r="C337" s="385" t="n">
        <v>49</v>
      </c>
      <c r="D337" s="385" t="n">
        <v>12</v>
      </c>
      <c r="E337" s="387"/>
      <c r="F337" s="388" t="n">
        <v>2</v>
      </c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</row>
    <row r="338" customFormat="false" ht="11.45" hidden="false" customHeight="false" outlineLevel="0" collapsed="false">
      <c r="A338" s="383" t="str">
        <f aca="false">TEXT(DATE(YEAR(B$2),MONTH(B$2)+(D338-1),1),"Mmm")</f>
        <v>Mar</v>
      </c>
      <c r="B338" s="384" t="n">
        <f aca="false">B337+1</f>
        <v>46454</v>
      </c>
      <c r="C338" s="385" t="n">
        <v>49</v>
      </c>
      <c r="D338" s="385" t="n">
        <v>12</v>
      </c>
      <c r="E338" s="387"/>
      <c r="F338" s="388" t="n">
        <v>2</v>
      </c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</row>
    <row r="339" customFormat="false" ht="11.45" hidden="false" customHeight="false" outlineLevel="0" collapsed="false">
      <c r="A339" s="383" t="str">
        <f aca="false">TEXT(DATE(YEAR(B$2),MONTH(B$2)+(D339-1),1),"Mmm")</f>
        <v>Mar</v>
      </c>
      <c r="B339" s="384" t="n">
        <f aca="false">B338+1</f>
        <v>46455</v>
      </c>
      <c r="C339" s="385" t="n">
        <v>49</v>
      </c>
      <c r="D339" s="385" t="n">
        <v>12</v>
      </c>
      <c r="E339" s="387"/>
      <c r="F339" s="388" t="n">
        <v>2</v>
      </c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</row>
    <row r="340" customFormat="false" ht="11.45" hidden="false" customHeight="false" outlineLevel="0" collapsed="false">
      <c r="A340" s="383" t="str">
        <f aca="false">TEXT(DATE(YEAR(B$2),MONTH(B$2)+(D340-1),1),"Mmm")</f>
        <v>Mar</v>
      </c>
      <c r="B340" s="384" t="n">
        <f aca="false">B339+1</f>
        <v>46456</v>
      </c>
      <c r="C340" s="385" t="n">
        <v>49</v>
      </c>
      <c r="D340" s="385" t="n">
        <v>12</v>
      </c>
      <c r="E340" s="387"/>
      <c r="F340" s="388" t="n">
        <v>2</v>
      </c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</row>
    <row r="341" customFormat="false" ht="11.45" hidden="false" customHeight="false" outlineLevel="0" collapsed="false">
      <c r="A341" s="383" t="str">
        <f aca="false">TEXT(DATE(YEAR(B$2),MONTH(B$2)+(D341-1),1),"Mmm")</f>
        <v>Mar</v>
      </c>
      <c r="B341" s="384" t="n">
        <f aca="false">B340+1</f>
        <v>46457</v>
      </c>
      <c r="C341" s="385" t="n">
        <v>49</v>
      </c>
      <c r="D341" s="385" t="n">
        <v>12</v>
      </c>
      <c r="E341" s="387"/>
      <c r="F341" s="388" t="n">
        <v>2</v>
      </c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</row>
    <row r="342" customFormat="false" ht="11.45" hidden="false" customHeight="false" outlineLevel="0" collapsed="false">
      <c r="A342" s="383" t="str">
        <f aca="false">TEXT(DATE(YEAR(B$2),MONTH(B$2)+(D342-1),1),"Mmm")</f>
        <v>Mar</v>
      </c>
      <c r="B342" s="384" t="n">
        <f aca="false">B341+1</f>
        <v>46458</v>
      </c>
      <c r="C342" s="385" t="n">
        <v>49</v>
      </c>
      <c r="D342" s="385" t="n">
        <v>12</v>
      </c>
      <c r="E342" s="387"/>
      <c r="F342" s="388" t="n">
        <v>2</v>
      </c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</row>
    <row r="343" customFormat="false" ht="11.45" hidden="false" customHeight="false" outlineLevel="0" collapsed="false">
      <c r="A343" s="383" t="str">
        <f aca="false">TEXT(DATE(YEAR(B$2),MONTH(B$2)+(D343-1),1),"Mmm")</f>
        <v>Mar</v>
      </c>
      <c r="B343" s="384" t="n">
        <f aca="false">B342+1</f>
        <v>46459</v>
      </c>
      <c r="C343" s="385" t="n">
        <v>50</v>
      </c>
      <c r="D343" s="385" t="n">
        <v>12</v>
      </c>
      <c r="E343" s="387"/>
      <c r="F343" s="388" t="n">
        <v>3</v>
      </c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</row>
    <row r="344" customFormat="false" ht="11.45" hidden="false" customHeight="false" outlineLevel="0" collapsed="false">
      <c r="A344" s="383" t="str">
        <f aca="false">TEXT(DATE(YEAR(B$2),MONTH(B$2)+(D344-1),1),"Mmm")</f>
        <v>Mar</v>
      </c>
      <c r="B344" s="384" t="n">
        <f aca="false">B343+1</f>
        <v>46460</v>
      </c>
      <c r="C344" s="385" t="n">
        <v>50</v>
      </c>
      <c r="D344" s="385" t="n">
        <v>12</v>
      </c>
      <c r="E344" s="387"/>
      <c r="F344" s="388" t="n">
        <v>3</v>
      </c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</row>
    <row r="345" customFormat="false" ht="11.45" hidden="false" customHeight="false" outlineLevel="0" collapsed="false">
      <c r="A345" s="383" t="str">
        <f aca="false">TEXT(DATE(YEAR(B$2),MONTH(B$2)+(D345-1),1),"Mmm")</f>
        <v>Mar</v>
      </c>
      <c r="B345" s="384" t="n">
        <f aca="false">B344+1</f>
        <v>46461</v>
      </c>
      <c r="C345" s="385" t="n">
        <v>50</v>
      </c>
      <c r="D345" s="385" t="n">
        <v>12</v>
      </c>
      <c r="E345" s="387"/>
      <c r="F345" s="388" t="n">
        <v>3</v>
      </c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</row>
    <row r="346" customFormat="false" ht="11.45" hidden="false" customHeight="false" outlineLevel="0" collapsed="false">
      <c r="A346" s="383" t="str">
        <f aca="false">TEXT(DATE(YEAR(B$2),MONTH(B$2)+(D346-1),1),"Mmm")</f>
        <v>Mar</v>
      </c>
      <c r="B346" s="384" t="n">
        <f aca="false">B345+1</f>
        <v>46462</v>
      </c>
      <c r="C346" s="385" t="n">
        <v>50</v>
      </c>
      <c r="D346" s="385" t="n">
        <v>12</v>
      </c>
      <c r="E346" s="387"/>
      <c r="F346" s="388" t="n">
        <v>3</v>
      </c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</row>
    <row r="347" customFormat="false" ht="11.45" hidden="false" customHeight="false" outlineLevel="0" collapsed="false">
      <c r="A347" s="383" t="str">
        <f aca="false">TEXT(DATE(YEAR(B$2),MONTH(B$2)+(D347-1),1),"Mmm")</f>
        <v>Mar</v>
      </c>
      <c r="B347" s="384" t="n">
        <f aca="false">B346+1</f>
        <v>46463</v>
      </c>
      <c r="C347" s="385" t="n">
        <v>50</v>
      </c>
      <c r="D347" s="385" t="n">
        <v>12</v>
      </c>
      <c r="E347" s="387"/>
      <c r="F347" s="388" t="n">
        <v>3</v>
      </c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</row>
    <row r="348" customFormat="false" ht="11.45" hidden="false" customHeight="false" outlineLevel="0" collapsed="false">
      <c r="A348" s="383" t="str">
        <f aca="false">TEXT(DATE(YEAR(B$2),MONTH(B$2)+(D348-1),1),"Mmm")</f>
        <v>Mar</v>
      </c>
      <c r="B348" s="384" t="n">
        <f aca="false">B347+1</f>
        <v>46464</v>
      </c>
      <c r="C348" s="385" t="n">
        <v>50</v>
      </c>
      <c r="D348" s="385" t="n">
        <v>12</v>
      </c>
      <c r="E348" s="387"/>
      <c r="F348" s="388" t="n">
        <v>3</v>
      </c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</row>
    <row r="349" customFormat="false" ht="11.45" hidden="false" customHeight="false" outlineLevel="0" collapsed="false">
      <c r="A349" s="383" t="str">
        <f aca="false">TEXT(DATE(YEAR(B$2),MONTH(B$2)+(D349-1),1),"Mmm")</f>
        <v>Mar</v>
      </c>
      <c r="B349" s="384" t="n">
        <f aca="false">B348+1</f>
        <v>46465</v>
      </c>
      <c r="C349" s="385" t="n">
        <v>50</v>
      </c>
      <c r="D349" s="385" t="n">
        <v>12</v>
      </c>
      <c r="E349" s="387"/>
      <c r="F349" s="388" t="n">
        <v>3</v>
      </c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</row>
    <row r="350" customFormat="false" ht="11.45" hidden="false" customHeight="false" outlineLevel="0" collapsed="false">
      <c r="A350" s="383" t="str">
        <f aca="false">TEXT(DATE(YEAR(B$2),MONTH(B$2)+(D350-1),1),"Mmm")</f>
        <v>Mar</v>
      </c>
      <c r="B350" s="384" t="n">
        <f aca="false">B349+1</f>
        <v>46466</v>
      </c>
      <c r="C350" s="385" t="n">
        <v>51</v>
      </c>
      <c r="D350" s="385" t="n">
        <v>12</v>
      </c>
      <c r="E350" s="387"/>
      <c r="F350" s="388" t="n">
        <v>4</v>
      </c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</row>
    <row r="351" customFormat="false" ht="11.45" hidden="false" customHeight="false" outlineLevel="0" collapsed="false">
      <c r="A351" s="383" t="str">
        <f aca="false">TEXT(DATE(YEAR(B$2),MONTH(B$2)+(D351-1),1),"Mmm")</f>
        <v>Mar</v>
      </c>
      <c r="B351" s="384" t="n">
        <f aca="false">B350+1</f>
        <v>46467</v>
      </c>
      <c r="C351" s="385" t="n">
        <v>51</v>
      </c>
      <c r="D351" s="385" t="n">
        <v>12</v>
      </c>
      <c r="E351" s="387"/>
      <c r="F351" s="388" t="n">
        <v>4</v>
      </c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</row>
    <row r="352" customFormat="false" ht="11.45" hidden="false" customHeight="false" outlineLevel="0" collapsed="false">
      <c r="A352" s="383" t="str">
        <f aca="false">TEXT(DATE(YEAR(B$2),MONTH(B$2)+(D352-1),1),"Mmm")</f>
        <v>Mar</v>
      </c>
      <c r="B352" s="384" t="n">
        <f aca="false">B351+1</f>
        <v>46468</v>
      </c>
      <c r="C352" s="385" t="n">
        <v>51</v>
      </c>
      <c r="D352" s="385" t="n">
        <v>12</v>
      </c>
      <c r="E352" s="387"/>
      <c r="F352" s="388" t="n">
        <v>4</v>
      </c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</row>
    <row r="353" customFormat="false" ht="11.45" hidden="false" customHeight="false" outlineLevel="0" collapsed="false">
      <c r="A353" s="383" t="str">
        <f aca="false">TEXT(DATE(YEAR(B$2),MONTH(B$2)+(D353-1),1),"Mmm")</f>
        <v>Mar</v>
      </c>
      <c r="B353" s="384" t="n">
        <f aca="false">B352+1</f>
        <v>46469</v>
      </c>
      <c r="C353" s="385" t="n">
        <v>51</v>
      </c>
      <c r="D353" s="385" t="n">
        <v>12</v>
      </c>
      <c r="E353" s="387"/>
      <c r="F353" s="388" t="n">
        <v>4</v>
      </c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</row>
    <row r="354" customFormat="false" ht="11.45" hidden="false" customHeight="false" outlineLevel="0" collapsed="false">
      <c r="A354" s="383" t="str">
        <f aca="false">TEXT(DATE(YEAR(B$2),MONTH(B$2)+(D354-1),1),"Mmm")</f>
        <v>Mar</v>
      </c>
      <c r="B354" s="384" t="n">
        <f aca="false">B353+1</f>
        <v>46470</v>
      </c>
      <c r="C354" s="385" t="n">
        <v>51</v>
      </c>
      <c r="D354" s="385" t="n">
        <v>12</v>
      </c>
      <c r="E354" s="387"/>
      <c r="F354" s="388" t="n">
        <v>4</v>
      </c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</row>
    <row r="355" customFormat="false" ht="11.45" hidden="false" customHeight="false" outlineLevel="0" collapsed="false">
      <c r="A355" s="383" t="str">
        <f aca="false">TEXT(DATE(YEAR(B$2),MONTH(B$2)+(D355-1),1),"Mmm")</f>
        <v>Mar</v>
      </c>
      <c r="B355" s="384" t="n">
        <f aca="false">B354+1</f>
        <v>46471</v>
      </c>
      <c r="C355" s="385" t="n">
        <v>51</v>
      </c>
      <c r="D355" s="385" t="n">
        <v>12</v>
      </c>
      <c r="E355" s="387"/>
      <c r="F355" s="388" t="n">
        <v>4</v>
      </c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</row>
    <row r="356" customFormat="false" ht="11.45" hidden="false" customHeight="false" outlineLevel="0" collapsed="false">
      <c r="A356" s="383" t="str">
        <f aca="false">TEXT(DATE(YEAR(B$2),MONTH(B$2)+(D356-1),1),"Mmm")</f>
        <v>Mar</v>
      </c>
      <c r="B356" s="384" t="n">
        <f aca="false">B355+1</f>
        <v>46472</v>
      </c>
      <c r="C356" s="385" t="n">
        <v>51</v>
      </c>
      <c r="D356" s="385" t="n">
        <v>12</v>
      </c>
      <c r="E356" s="387"/>
      <c r="F356" s="388" t="n">
        <v>4</v>
      </c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</row>
    <row r="357" customFormat="false" ht="11.45" hidden="false" customHeight="false" outlineLevel="0" collapsed="false">
      <c r="A357" s="383" t="str">
        <f aca="false">TEXT(DATE(YEAR(B$2),MONTH(B$2)+(D357-1),1),"Mmm")</f>
        <v>Mar</v>
      </c>
      <c r="B357" s="384" t="n">
        <f aca="false">B356+1</f>
        <v>46473</v>
      </c>
      <c r="C357" s="385" t="n">
        <v>52</v>
      </c>
      <c r="D357" s="385" t="n">
        <v>12</v>
      </c>
      <c r="E357" s="387"/>
      <c r="F357" s="388" t="n">
        <v>5</v>
      </c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</row>
    <row r="358" customFormat="false" ht="11.45" hidden="false" customHeight="false" outlineLevel="0" collapsed="false">
      <c r="A358" s="383" t="str">
        <f aca="false">TEXT(DATE(YEAR(B$2),MONTH(B$2)+(D358-1),1),"Mmm")</f>
        <v>Mar</v>
      </c>
      <c r="B358" s="384" t="n">
        <f aca="false">B357+1</f>
        <v>46474</v>
      </c>
      <c r="C358" s="385" t="n">
        <v>52</v>
      </c>
      <c r="D358" s="385" t="n">
        <v>12</v>
      </c>
      <c r="E358" s="387"/>
      <c r="F358" s="388" t="n">
        <v>5</v>
      </c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</row>
    <row r="359" customFormat="false" ht="11.45" hidden="false" customHeight="false" outlineLevel="0" collapsed="false">
      <c r="A359" s="383" t="str">
        <f aca="false">TEXT(DATE(YEAR(B$2),MONTH(B$2)+(D359-1),1),"Mmm")</f>
        <v>Mar</v>
      </c>
      <c r="B359" s="384" t="n">
        <f aca="false">B358+1</f>
        <v>46475</v>
      </c>
      <c r="C359" s="385" t="n">
        <v>52</v>
      </c>
      <c r="D359" s="385" t="n">
        <v>12</v>
      </c>
      <c r="E359" s="387"/>
      <c r="F359" s="388" t="n">
        <v>5</v>
      </c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</row>
    <row r="360" customFormat="false" ht="11.45" hidden="false" customHeight="false" outlineLevel="0" collapsed="false">
      <c r="A360" s="383" t="str">
        <f aca="false">TEXT(DATE(YEAR(B$2),MONTH(B$2)+(D360-1),1),"Mmm")</f>
        <v>Mar</v>
      </c>
      <c r="B360" s="384" t="n">
        <f aca="false">B359+1</f>
        <v>46476</v>
      </c>
      <c r="C360" s="385" t="n">
        <v>52</v>
      </c>
      <c r="D360" s="385" t="n">
        <v>12</v>
      </c>
      <c r="E360" s="387"/>
      <c r="F360" s="388" t="n">
        <v>5</v>
      </c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</row>
    <row r="361" customFormat="false" ht="11.45" hidden="false" customHeight="false" outlineLevel="0" collapsed="false">
      <c r="A361" s="383" t="str">
        <f aca="false">TEXT(DATE(YEAR(B$2),MONTH(B$2)+(D361-1),1),"Mmm")</f>
        <v>Mar</v>
      </c>
      <c r="B361" s="384" t="n">
        <f aca="false">B360+1</f>
        <v>46477</v>
      </c>
      <c r="C361" s="385" t="n">
        <v>52</v>
      </c>
      <c r="D361" s="385" t="n">
        <v>12</v>
      </c>
      <c r="E361" s="387"/>
      <c r="F361" s="388" t="n">
        <v>5</v>
      </c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</row>
    <row r="362" customFormat="false" ht="11.45" hidden="false" customHeight="false" outlineLevel="0" collapsed="false">
      <c r="A362" s="383" t="str">
        <f aca="false">TEXT(DATE(YEAR(B$2),MONTH(B$2)+(D362-1),1),"Mmm")</f>
        <v>Mar</v>
      </c>
      <c r="B362" s="384" t="n">
        <f aca="false">B361+1</f>
        <v>46478</v>
      </c>
      <c r="C362" s="385" t="n">
        <v>52</v>
      </c>
      <c r="D362" s="385" t="n">
        <v>12</v>
      </c>
      <c r="E362" s="387"/>
      <c r="F362" s="388" t="n">
        <v>5</v>
      </c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</row>
    <row r="363" customFormat="false" ht="11.45" hidden="false" customHeight="false" outlineLevel="0" collapsed="false">
      <c r="A363" s="383" t="str">
        <f aca="false">TEXT(DATE(YEAR(B$2),MONTH(B$2)+(D363-1),1),"Mmm")</f>
        <v>Mar</v>
      </c>
      <c r="B363" s="384" t="n">
        <f aca="false">B362+1</f>
        <v>46479</v>
      </c>
      <c r="C363" s="385" t="n">
        <v>52</v>
      </c>
      <c r="D363" s="385" t="n">
        <v>12</v>
      </c>
      <c r="E363" s="387"/>
      <c r="F363" s="388" t="n">
        <v>5</v>
      </c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</row>
    <row r="364" customFormat="false" ht="11.45" hidden="false" customHeight="false" outlineLevel="0" collapsed="false">
      <c r="A364" s="383" t="str">
        <f aca="false">TEXT(DATE(YEAR(B$2),MONTH(B$2)+(D364-1),1),"Mmm")</f>
        <v>Mar</v>
      </c>
      <c r="B364" s="384" t="n">
        <f aca="false">B363+1</f>
        <v>46480</v>
      </c>
      <c r="C364" s="385" t="n">
        <v>53</v>
      </c>
      <c r="D364" s="385" t="n">
        <v>12</v>
      </c>
      <c r="E364" s="387"/>
      <c r="F364" s="388" t="n">
        <v>6</v>
      </c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</row>
    <row r="365" customFormat="false" ht="11.45" hidden="false" customHeight="false" outlineLevel="0" collapsed="false">
      <c r="A365" s="383" t="str">
        <f aca="false">TEXT(DATE(YEAR(B$2),MONTH(B$2)+(D365-1),1),"Mmm")</f>
        <v>Mar</v>
      </c>
      <c r="B365" s="384" t="n">
        <f aca="false">B364+1</f>
        <v>46481</v>
      </c>
      <c r="C365" s="385" t="n">
        <v>53</v>
      </c>
      <c r="D365" s="385" t="n">
        <v>12</v>
      </c>
      <c r="E365" s="387"/>
      <c r="F365" s="388" t="n">
        <v>6</v>
      </c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</row>
    <row r="366" customFormat="false" ht="11.45" hidden="false" customHeight="false" outlineLevel="0" collapsed="false">
      <c r="A366" s="383" t="str">
        <f aca="false">TEXT(DATE(YEAR(B$2),MONTH(B$2)+(D366-1),1),"Mmm")</f>
        <v>Mar</v>
      </c>
      <c r="B366" s="384" t="n">
        <f aca="false">B365+1</f>
        <v>46482</v>
      </c>
      <c r="C366" s="385" t="n">
        <v>53</v>
      </c>
      <c r="D366" s="385" t="n">
        <v>12</v>
      </c>
      <c r="E366" s="386" t="n">
        <f aca="false">B366</f>
        <v>46482</v>
      </c>
      <c r="F366" s="388" t="n">
        <v>6</v>
      </c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</row>
    <row r="367" customFormat="false" ht="11.45" hidden="false" customHeight="false" outlineLevel="0" collapsed="false">
      <c r="A367" s="383" t="str">
        <f aca="false">TEXT(DATE(YEAR(B$2),MONTH(B$2)+(D367-1),1),"Mmm")</f>
        <v>Mar</v>
      </c>
      <c r="B367" s="384" t="n">
        <f aca="false">B366+1</f>
        <v>46483</v>
      </c>
      <c r="C367" s="385" t="n">
        <v>53</v>
      </c>
      <c r="D367" s="385" t="n">
        <v>12</v>
      </c>
      <c r="E367" s="387"/>
      <c r="F367" s="388" t="n">
        <v>6</v>
      </c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</row>
    <row r="368" customFormat="false" ht="11.45" hidden="false" customHeight="false" outlineLevel="0" collapsed="false">
      <c r="A368" s="383" t="str">
        <f aca="false">TEXT(DATE(YEAR(B$2),MONTH(B$2)+(D368-1),1),"Mmm")</f>
        <v>Mar</v>
      </c>
      <c r="B368" s="384" t="n">
        <f aca="false">B367+1</f>
        <v>46484</v>
      </c>
      <c r="C368" s="385" t="n">
        <v>53</v>
      </c>
      <c r="D368" s="385" t="n">
        <v>12</v>
      </c>
      <c r="E368" s="387"/>
      <c r="F368" s="388" t="n">
        <v>6</v>
      </c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</row>
    <row r="369" customFormat="false" ht="11.45" hidden="false" customHeight="false" outlineLevel="0" collapsed="false">
      <c r="A369" s="383" t="str">
        <f aca="false">TEXT(DATE(YEAR(B$2),MONTH(B$2)+(D369-1),1),"Mmm")</f>
        <v>Mar</v>
      </c>
      <c r="B369" s="384" t="n">
        <f aca="false">B368+1</f>
        <v>46485</v>
      </c>
      <c r="C369" s="385" t="n">
        <v>53</v>
      </c>
      <c r="D369" s="385" t="n">
        <v>12</v>
      </c>
      <c r="E369" s="387"/>
      <c r="F369" s="388" t="n">
        <v>6</v>
      </c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</row>
    <row r="370" customFormat="false" ht="11.45" hidden="false" customHeight="false" outlineLevel="0" collapsed="false">
      <c r="A370" s="383" t="str">
        <f aca="false">TEXT(DATE(YEAR(B$2),MONTH(B$2)+(D370-1),1),"Mmm")</f>
        <v>Mar</v>
      </c>
      <c r="B370" s="384" t="n">
        <f aca="false">B369+1</f>
        <v>46486</v>
      </c>
      <c r="C370" s="385" t="n">
        <v>53</v>
      </c>
      <c r="D370" s="385" t="n">
        <v>12</v>
      </c>
      <c r="E370" s="387"/>
      <c r="F370" s="388" t="n">
        <v>6</v>
      </c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</row>
    <row r="371" customFormat="false" ht="11.45" hidden="false" customHeight="false" outlineLevel="0" collapsed="false">
      <c r="A371" s="383" t="str">
        <f aca="false">TEXT(DATE(YEAR(B$2),MONTH(B$2)+(D371-1),1),"Mmm")</f>
        <v>Mar</v>
      </c>
      <c r="B371" s="384" t="n">
        <f aca="false">B370+1</f>
        <v>46487</v>
      </c>
      <c r="C371" s="385" t="n">
        <v>53</v>
      </c>
      <c r="D371" s="385" t="n">
        <v>12</v>
      </c>
      <c r="E371" s="387"/>
      <c r="F371" s="388" t="n">
        <v>6</v>
      </c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</row>
    <row r="372" customFormat="false" ht="11.45" hidden="false" customHeight="false" outlineLevel="0" collapsed="false">
      <c r="A372" s="383" t="str">
        <f aca="false">TEXT(DATE(YEAR(B$2),MONTH(B$2)+(D372-1),1),"Mmm")</f>
        <v>Mar</v>
      </c>
      <c r="B372" s="384" t="n">
        <f aca="false">B371+1</f>
        <v>46488</v>
      </c>
      <c r="C372" s="385" t="n">
        <v>53</v>
      </c>
      <c r="D372" s="385" t="n">
        <v>12</v>
      </c>
      <c r="E372" s="387"/>
      <c r="F372" s="388" t="n">
        <v>6</v>
      </c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</row>
    <row r="373" customFormat="false" ht="11.45" hidden="false" customHeight="false" outlineLevel="0" collapsed="false">
      <c r="A373" s="383" t="str">
        <f aca="false">TEXT(DATE(YEAR(B$2),MONTH(B$2)+(D373-1),1),"Mmm")</f>
        <v>Mar</v>
      </c>
      <c r="B373" s="384" t="n">
        <f aca="false">B372+1</f>
        <v>46489</v>
      </c>
      <c r="C373" s="385" t="n">
        <v>53</v>
      </c>
      <c r="D373" s="385" t="n">
        <v>12</v>
      </c>
      <c r="E373" s="387"/>
      <c r="F373" s="388" t="n">
        <v>6</v>
      </c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</row>
    <row r="374" customFormat="false" ht="11.45" hidden="false" customHeight="false" outlineLevel="0" collapsed="false">
      <c r="A374" s="383" t="str">
        <f aca="false">TEXT(DATE(YEAR(B$2),MONTH(B$2)+(D374-1),1),"Mmm")</f>
        <v>Mar</v>
      </c>
      <c r="B374" s="384" t="n">
        <f aca="false">B373+1</f>
        <v>46490</v>
      </c>
      <c r="C374" s="385" t="n">
        <v>53</v>
      </c>
      <c r="D374" s="385" t="n">
        <v>12</v>
      </c>
      <c r="E374" s="387"/>
      <c r="F374" s="388" t="n">
        <v>6</v>
      </c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</row>
    <row r="375" customFormat="false" ht="11.45" hidden="false" customHeight="false" outlineLevel="0" collapsed="false">
      <c r="A375" s="383" t="str">
        <f aca="false">TEXT(DATE(YEAR(B$2),MONTH(B$2)+(D375-1),1),"Mmm")</f>
        <v>Mar</v>
      </c>
      <c r="B375" s="384" t="n">
        <f aca="false">B374+1</f>
        <v>46491</v>
      </c>
      <c r="C375" s="385" t="n">
        <v>53</v>
      </c>
      <c r="D375" s="385" t="n">
        <v>12</v>
      </c>
      <c r="E375" s="387"/>
      <c r="F375" s="388" t="n">
        <v>6</v>
      </c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</row>
    <row r="376" customFormat="false" ht="11.45" hidden="false" customHeight="false" outlineLevel="0" collapsed="false">
      <c r="A376" s="383" t="str">
        <f aca="false">TEXT(DATE(YEAR(B$2),MONTH(B$2)+(D376-1),1),"Mmm")</f>
        <v>Mar</v>
      </c>
      <c r="B376" s="384" t="n">
        <f aca="false">B375+1</f>
        <v>46492</v>
      </c>
      <c r="C376" s="385" t="n">
        <v>53</v>
      </c>
      <c r="D376" s="385" t="n">
        <v>12</v>
      </c>
      <c r="E376" s="387"/>
      <c r="F376" s="388" t="n">
        <v>6</v>
      </c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</row>
    <row r="377" customFormat="false" ht="11.45" hidden="false" customHeight="false" outlineLevel="0" collapsed="false">
      <c r="A377" s="383" t="str">
        <f aca="false">TEXT(DATE(YEAR(B$2),MONTH(B$2)+(D377-1),1),"Mmm")</f>
        <v>Mar</v>
      </c>
      <c r="B377" s="384" t="n">
        <f aca="false">B376+1</f>
        <v>46493</v>
      </c>
      <c r="C377" s="385" t="n">
        <v>53</v>
      </c>
      <c r="D377" s="385" t="n">
        <v>12</v>
      </c>
      <c r="E377" s="387"/>
      <c r="F377" s="388" t="n">
        <v>6</v>
      </c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</row>
    <row r="378" customFormat="false" ht="11.45" hidden="false" customHeight="false" outlineLevel="0" collapsed="false">
      <c r="A378" s="383" t="str">
        <f aca="false">TEXT(DATE(YEAR(B$2),MONTH(B$2)+(D378-1),1),"Mmm")</f>
        <v>Mar</v>
      </c>
      <c r="B378" s="384" t="n">
        <f aca="false">B377+1</f>
        <v>46494</v>
      </c>
      <c r="C378" s="385" t="n">
        <v>53</v>
      </c>
      <c r="D378" s="385" t="n">
        <v>12</v>
      </c>
      <c r="E378" s="387"/>
      <c r="F378" s="388" t="n">
        <v>6</v>
      </c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</row>
    <row r="379" customFormat="false" ht="11.45" hidden="false" customHeight="false" outlineLevel="0" collapsed="false">
      <c r="A379" s="383" t="str">
        <f aca="false">TEXT(DATE(YEAR(B$2),MONTH(B$2)+(D379-1),1),"Mmm")</f>
        <v>Mar</v>
      </c>
      <c r="B379" s="384" t="n">
        <f aca="false">B378+1</f>
        <v>46495</v>
      </c>
      <c r="C379" s="385" t="n">
        <v>53</v>
      </c>
      <c r="D379" s="385" t="n">
        <v>12</v>
      </c>
      <c r="E379" s="387"/>
      <c r="F379" s="388" t="n">
        <v>6</v>
      </c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</row>
    <row r="380" customFormat="false" ht="11.45" hidden="false" customHeight="false" outlineLevel="0" collapsed="false">
      <c r="A380" s="383" t="str">
        <f aca="false">TEXT(DATE(YEAR(B$2),MONTH(B$2)+(D380-1),1),"Mmm")</f>
        <v>Mar</v>
      </c>
      <c r="B380" s="384" t="n">
        <f aca="false">B379+1</f>
        <v>46496</v>
      </c>
      <c r="C380" s="385" t="n">
        <v>53</v>
      </c>
      <c r="D380" s="385" t="n">
        <v>12</v>
      </c>
      <c r="E380" s="387"/>
      <c r="F380" s="388" t="n">
        <v>6</v>
      </c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</row>
    <row r="381" customFormat="false" ht="11.45" hidden="false" customHeight="false" outlineLevel="0" collapsed="false">
      <c r="A381" s="383" t="str">
        <f aca="false">TEXT(DATE(YEAR(B$2),MONTH(B$2)+(D381-1),1),"Mmm")</f>
        <v>Mar</v>
      </c>
      <c r="B381" s="384" t="n">
        <f aca="false">B380+1</f>
        <v>46497</v>
      </c>
      <c r="C381" s="385" t="n">
        <v>53</v>
      </c>
      <c r="D381" s="385" t="n">
        <v>12</v>
      </c>
      <c r="E381" s="387"/>
      <c r="F381" s="388" t="n">
        <v>6</v>
      </c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</row>
    <row r="382" customFormat="false" ht="10.5" hidden="false" customHeight="false" outlineLevel="0" collapsed="false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