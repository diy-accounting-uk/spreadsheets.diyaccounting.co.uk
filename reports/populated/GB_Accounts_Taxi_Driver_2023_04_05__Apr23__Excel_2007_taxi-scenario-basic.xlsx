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<sst xmlns="http://schemas.openxmlformats.org/spreadsheetml/2006/main" count="1090" uniqueCount="327">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</sst>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s="4" customFormat="true" ht="54.75" hidden="false" customHeight="true" outlineLevel="0" collapsed="false">
      <c r="B4" s="5" t="s">
        <v>2</v>
      </c>
      <c r="C4" s="5"/>
      <c r="D4" s="5"/>
      <c r="E4" s="5"/>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7</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45021</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44657</v>
      </c>
      <c r="R2" s="60"/>
      <c r="S2" s="60"/>
      <c r="T2" s="60"/>
      <c r="U2" s="61" t="s">
        <v>38</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44657</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45021</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45021</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29640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29640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2022-23</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2022-23</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108</v>
      </c>
      <c r="L1" s="129"/>
      <c r="M1" s="129"/>
      <c r="N1" s="129"/>
      <c r="O1" s="135"/>
      <c r="Q1" s="136"/>
      <c r="AA1" s="136"/>
    </row>
    <row r="2" s="141" customFormat="true" ht="12.75" hidden="false" customHeight="true" outlineLevel="0" collapsed="false">
      <c r="A2" s="137" t="s">
        <v>109</v>
      </c>
      <c r="B2" s="138" t="s">
        <v>110</v>
      </c>
      <c r="C2" s="139" t="n">
        <f aca="false">Admin!B$5</f>
        <v>44681</v>
      </c>
      <c r="D2" s="139" t="n">
        <f aca="false">Admin!B$6</f>
        <v>44712</v>
      </c>
      <c r="E2" s="139" t="n">
        <f aca="false">Admin!B$7</f>
        <v>44742</v>
      </c>
      <c r="F2" s="139" t="n">
        <f aca="false">Admin!B$8</f>
        <v>44773</v>
      </c>
      <c r="G2" s="139" t="n">
        <f aca="false">Admin!B$9</f>
        <v>44804</v>
      </c>
      <c r="H2" s="139" t="n">
        <f aca="false">Admin!B$10</f>
        <v>44834</v>
      </c>
      <c r="I2" s="139" t="n">
        <f aca="false">Admin!B$11</f>
        <v>44865</v>
      </c>
      <c r="J2" s="139" t="n">
        <f aca="false">Admin!B$12</f>
        <v>44895</v>
      </c>
      <c r="K2" s="139" t="n">
        <f aca="false">Admin!B$13</f>
        <v>44926</v>
      </c>
      <c r="L2" s="139" t="n">
        <f aca="false">Admin!B$14</f>
        <v>44957</v>
      </c>
      <c r="M2" s="139" t="n">
        <f aca="false">Admin!B$15</f>
        <v>44985</v>
      </c>
      <c r="N2" s="139" t="n">
        <f aca="false">Admin!B$16</f>
        <v>45016</v>
      </c>
      <c r="O2" s="140"/>
      <c r="Q2" s="128"/>
      <c r="AA2" s="128"/>
    </row>
    <row r="3" s="55" customFormat="true" ht="12.75" hidden="false" customHeight="false" outlineLevel="0" collapsed="false">
      <c r="A3" s="137"/>
      <c r="B3" s="142" t="str">
        <f aca="false">Admin!G$2</f>
        <v>2022-23</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2800</v>
      </c>
      <c r="D5" s="150" t="n">
        <f aca="false">SalesMay!$E$1</f>
        <v>3200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119</v>
      </c>
      <c r="B13" s="149" t="n">
        <f aca="false">ROUNDUP(B5-B12,0)</f>
        <v>31020</v>
      </c>
      <c r="C13" s="150" t="n">
        <f aca="false">C5-C12</f>
        <v>1120</v>
      </c>
      <c r="D13" s="150" t="n">
        <f aca="false">D5-D12</f>
        <v>2900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29640</v>
      </c>
      <c r="C23" s="150" t="n">
        <f aca="false">C13-C22</f>
        <v>600</v>
      </c>
      <c r="D23" s="150" t="n">
        <f aca="false">D13-D22</f>
        <v>2900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29640</v>
      </c>
      <c r="C27" s="172" t="n">
        <f aca="false">'Wages Forecast'!D30</f>
        <v>600</v>
      </c>
      <c r="D27" s="172" t="n">
        <f aca="false">'Wages Forecast'!E30</f>
        <v>2900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5074.911</v>
      </c>
      <c r="C32" s="172" t="n">
        <f aca="false">'Wages Forecast'!C$41/12</f>
        <v>422.90925</v>
      </c>
      <c r="D32" s="172" t="n">
        <f aca="false">'Wages Forecast'!C$41/12</f>
        <v>422.90925</v>
      </c>
      <c r="E32" s="172" t="n">
        <f aca="false">'Wages Forecast'!C$41/12</f>
        <v>422.90925</v>
      </c>
      <c r="F32" s="172" t="n">
        <f aca="false">'Wages Forecast'!C$41/12</f>
        <v>422.90925</v>
      </c>
      <c r="G32" s="172" t="n">
        <f aca="false">'Wages Forecast'!C$41/12</f>
        <v>422.90925</v>
      </c>
      <c r="H32" s="172" t="n">
        <f aca="false">'Wages Forecast'!C$41/12</f>
        <v>422.90925</v>
      </c>
      <c r="I32" s="172" t="n">
        <f aca="false">'Wages Forecast'!C$41/12</f>
        <v>422.90925</v>
      </c>
      <c r="J32" s="172" t="n">
        <f aca="false">'Wages Forecast'!C$41/12</f>
        <v>422.90925</v>
      </c>
      <c r="K32" s="172" t="n">
        <f aca="false">'Wages Forecast'!C$41/12</f>
        <v>422.90925</v>
      </c>
      <c r="L32" s="172" t="n">
        <f aca="false">'Wages Forecast'!C$41/12</f>
        <v>422.90925</v>
      </c>
      <c r="M32" s="172" t="n">
        <f aca="false">'Wages Forecast'!C$41/12</f>
        <v>422.90925</v>
      </c>
      <c r="N32" s="172" t="n">
        <f aca="false">'Wages Forecast'!C$41/12</f>
        <v>422.90925</v>
      </c>
      <c r="O32" s="173"/>
      <c r="Q32" s="128"/>
      <c r="AA32" s="128"/>
    </row>
    <row r="33" s="165" customFormat="true" ht="12.75" hidden="false" customHeight="false" outlineLevel="0" collapsed="false">
      <c r="A33" s="170" t="s">
        <v>138</v>
      </c>
      <c r="B33" s="171" t="n">
        <f aca="false">SUM(C33:N33)</f>
        <v>24565.089</v>
      </c>
      <c r="C33" s="177" t="n">
        <f aca="false">C27-SUM(C28:C31)-C32</f>
        <v>177.09075</v>
      </c>
      <c r="D33" s="177" t="n">
        <f aca="false">D27-SUM(D28:D31)-D32</f>
        <v>2477.09075</v>
      </c>
      <c r="E33" s="177" t="n">
        <f aca="false">E27-SUM(E28:E31)-E32</f>
        <v>2277.09075</v>
      </c>
      <c r="F33" s="177" t="n">
        <f aca="false">F27-SUM(F28:F31)-F32</f>
        <v>2157.09075</v>
      </c>
      <c r="G33" s="177" t="n">
        <f aca="false">G27-SUM(G28:G31)-G32</f>
        <v>2277.09075</v>
      </c>
      <c r="H33" s="177" t="n">
        <f aca="false">H27-SUM(H28:H31)-H32</f>
        <v>2277.09075</v>
      </c>
      <c r="I33" s="177" t="n">
        <f aca="false">I27-SUM(I28:I31)-I32</f>
        <v>2157.09075</v>
      </c>
      <c r="J33" s="177" t="n">
        <f aca="false">J27-SUM(J28:J31)-J32</f>
        <v>2277.09075</v>
      </c>
      <c r="K33" s="177" t="n">
        <f aca="false">K27-SUM(K28:K31)-K32</f>
        <v>2277.09075</v>
      </c>
      <c r="L33" s="177" t="n">
        <f aca="false">L27-SUM(L28:L31)-L32</f>
        <v>1657.09075</v>
      </c>
      <c r="M33" s="177" t="n">
        <f aca="false">M27-SUM(M28:M31)-M32</f>
        <v>2277.09075</v>
      </c>
      <c r="N33" s="177" t="n">
        <f aca="false">N27-SUM(N28:N31)-N32</f>
        <v>2277.09075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45021</v>
      </c>
      <c r="D1" s="198" t="n">
        <f aca="false">D33+D62</f>
        <v>0</v>
      </c>
      <c r="E1" s="199"/>
      <c r="F1" s="200" t="s">
        <v>171</v>
      </c>
      <c r="G1" s="201"/>
      <c r="H1" s="202" t="n">
        <f aca="false">H33+H62</f>
        <v>0</v>
      </c>
      <c r="I1" s="202" t="n">
        <f aca="false">I33+I62</f>
        <v>0</v>
      </c>
      <c r="J1" s="202" t="n">
        <f aca="false">J33+J62</f>
        <v>0</v>
      </c>
      <c r="K1" s="202" t="n">
        <f aca="false">K33+K62</f>
        <v>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44657</v>
      </c>
      <c r="I4" s="209" t="n">
        <f aca="false">Admin!G$4</f>
        <v>1</v>
      </c>
      <c r="J4" s="209" t="n">
        <f aca="false">Admin!G$5</f>
        <v>0.18</v>
      </c>
      <c r="K4" s="208" t="n">
        <f aca="false">Admin!B$17</f>
        <v>45021</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44657</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44657</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44657</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44657</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44657</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44657</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44657</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44657</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44657</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44657</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191</v>
      </c>
      <c r="B52" s="265"/>
      <c r="C52" s="266" t="n">
        <f aca="false">Admin!B$4</f>
        <v>44657</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192</v>
      </c>
      <c r="B54" s="261"/>
      <c r="C54" s="262" t="n">
        <f aca="false">Admin!B$4</f>
        <v>44657</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193</v>
      </c>
      <c r="B60" s="265"/>
      <c r="C60" s="266" t="n">
        <f aca="false">Admin!B$4</f>
        <v>44657</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194</v>
      </c>
      <c r="B62" s="268"/>
      <c r="C62" s="269" t="str">
        <f aca="false">Admin!G$2</f>
        <v>2022-23</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195</v>
      </c>
      <c r="C2" s="278" t="str">
        <f aca="false">Admin!K$2</f>
        <v>2022-23</v>
      </c>
      <c r="D2" s="279" t="s">
        <v>196</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197</v>
      </c>
      <c r="C5" s="283"/>
      <c r="D5" s="283"/>
      <c r="E5" s="284" t="n">
        <f aca="false">'SE Short'!D106</f>
        <v>29640</v>
      </c>
      <c r="F5" s="276"/>
      <c r="G5" s="280"/>
      <c r="K5" s="285"/>
    </row>
    <row r="6" customFormat="false" ht="12.75" hidden="false" customHeight="false" outlineLevel="0" collapsed="false">
      <c r="A6" s="135"/>
      <c r="B6" s="144" t="s">
        <v>198</v>
      </c>
      <c r="C6" s="144" t="str">
        <f aca="false">C2</f>
        <v>2022-23</v>
      </c>
      <c r="D6" s="286"/>
      <c r="E6" s="280" t="n">
        <f aca="false">IF((E5&gt;0),Admin!N$4,0)</f>
        <v>12570</v>
      </c>
      <c r="F6" s="276"/>
      <c r="G6" s="280"/>
      <c r="K6" s="285"/>
    </row>
    <row r="7" customFormat="false" ht="12.75" hidden="false" customHeight="false" outlineLevel="0" collapsed="false">
      <c r="A7" s="135"/>
      <c r="B7" s="283" t="s">
        <v>199</v>
      </c>
      <c r="C7" s="283"/>
      <c r="D7" s="283"/>
      <c r="E7" s="284" t="n">
        <f aca="false">IF((E5&gt;E6),(E5-E6),0)</f>
        <v>17070</v>
      </c>
      <c r="F7" s="276"/>
      <c r="G7" s="280"/>
      <c r="K7" s="285"/>
    </row>
    <row r="8" customFormat="false" ht="12.75" hidden="false" customHeight="false" outlineLevel="0" collapsed="false">
      <c r="A8" s="135"/>
      <c r="B8" s="144" t="s">
        <v>200</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201</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202</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203</v>
      </c>
      <c r="C12" s="297" t="n">
        <f aca="false">Admin!B$21</f>
        <v>45322</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204</v>
      </c>
      <c r="C14" s="300"/>
      <c r="D14" s="287" t="n">
        <f aca="false">Admin!L$20</f>
        <v>0.0973</v>
      </c>
      <c r="E14" s="301" t="n">
        <f aca="false">IF(E5&gt;Admin!N20,IF(E5&lt;Admin!N$23,(E5-Admin!N20)*D14,(Admin!N$23-Admin!N20)*D14),0)</f>
        <v>1725.3236</v>
      </c>
      <c r="F14" s="276"/>
      <c r="G14" s="295"/>
      <c r="K14" s="285"/>
    </row>
    <row r="15" customFormat="false" ht="12.75" hidden="false" customHeight="false" outlineLevel="0" collapsed="false">
      <c r="A15" s="135"/>
      <c r="B15" s="300" t="s">
        <v>205</v>
      </c>
      <c r="C15" s="300"/>
      <c r="D15" s="287" t="n">
        <f aca="false">Admin!L$23</f>
        <v>0.0273</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206</v>
      </c>
      <c r="C17" s="302"/>
      <c r="D17" s="298"/>
      <c r="E17" s="292" t="n">
        <f aca="false">SUM(E10:E16)</f>
        <v>5139.3236</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207</v>
      </c>
      <c r="C20" s="304"/>
      <c r="D20" s="305" t="s">
        <v>208</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209</v>
      </c>
      <c r="E22" s="308" t="s">
        <v>210</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211</v>
      </c>
      <c r="C24" s="311" t="str">
        <f aca="false">Admin!B$24</f>
        <v>2023-24</v>
      </c>
      <c r="D24" s="312" t="s">
        <v>212</v>
      </c>
      <c r="E24" s="301" t="n">
        <f aca="false">E17</f>
        <v>5139.3236</v>
      </c>
      <c r="F24" s="276"/>
      <c r="G24" s="280"/>
    </row>
    <row r="25" customFormat="false" ht="12.75" hidden="false" customHeight="false" outlineLevel="0" collapsed="false">
      <c r="A25" s="135"/>
      <c r="B25" s="144" t="s">
        <v>213</v>
      </c>
      <c r="C25" s="144"/>
      <c r="D25" s="313" t="n">
        <f aca="false">Admin!B$21</f>
        <v>45322</v>
      </c>
      <c r="E25" s="284" t="n">
        <f aca="false">E24/2</f>
        <v>2569.6618</v>
      </c>
      <c r="F25" s="276"/>
      <c r="G25" s="280"/>
    </row>
    <row r="26" customFormat="false" ht="12.75" hidden="false" customHeight="false" outlineLevel="0" collapsed="false">
      <c r="A26" s="135"/>
      <c r="B26" s="144" t="s">
        <v>213</v>
      </c>
      <c r="C26" s="144"/>
      <c r="D26" s="313" t="n">
        <f aca="false">Admin!B$22</f>
        <v>45504</v>
      </c>
      <c r="E26" s="284" t="n">
        <f aca="false">E24/2</f>
        <v>2569.6618</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214</v>
      </c>
      <c r="C28" s="160"/>
      <c r="D28" s="298"/>
      <c r="E28" s="275"/>
      <c r="F28" s="276"/>
      <c r="G28" s="280"/>
    </row>
    <row r="29" customFormat="false" ht="12.75" hidden="false" customHeight="false" outlineLevel="0" collapsed="false">
      <c r="A29" s="135"/>
      <c r="B29" s="315" t="s">
        <v>215</v>
      </c>
      <c r="C29" s="315"/>
      <c r="D29" s="135"/>
      <c r="E29" s="316"/>
      <c r="F29" s="276"/>
      <c r="G29" s="317"/>
    </row>
    <row r="30" customFormat="false" ht="12.75" hidden="false" customHeight="false" outlineLevel="0" collapsed="false">
      <c r="A30" s="135"/>
      <c r="B30" s="318" t="s">
        <v>216</v>
      </c>
      <c r="C30" s="318"/>
      <c r="D30" s="319"/>
      <c r="E30" s="316"/>
      <c r="F30" s="276"/>
      <c r="G30" s="317"/>
    </row>
    <row r="31" customFormat="false" ht="12.75" hidden="false" customHeight="false" outlineLevel="0" collapsed="false">
      <c r="A31" s="135"/>
      <c r="B31" s="320" t="s">
        <v>217</v>
      </c>
      <c r="C31" s="318"/>
      <c r="D31" s="319"/>
      <c r="E31" s="316"/>
      <c r="F31" s="276"/>
      <c r="G31" s="317"/>
    </row>
    <row r="32" customFormat="false" ht="12.75" hidden="false" customHeight="false" outlineLevel="0" collapsed="false">
      <c r="A32" s="135"/>
      <c r="B32" s="160" t="s">
        <v>218</v>
      </c>
      <c r="C32" s="160"/>
      <c r="D32" s="319"/>
      <c r="E32" s="321"/>
      <c r="F32" s="276"/>
      <c r="G32" s="317"/>
    </row>
    <row r="33" customFormat="false" ht="12.75" hidden="false" customHeight="false" outlineLevel="0" collapsed="false">
      <c r="A33" s="135"/>
      <c r="B33" s="160" t="s">
        <v>219</v>
      </c>
      <c r="C33" s="160"/>
      <c r="D33" s="319"/>
      <c r="E33" s="321"/>
      <c r="F33" s="276"/>
      <c r="G33" s="317"/>
    </row>
    <row r="34" customFormat="false" ht="12.75" hidden="false" customHeight="false" outlineLevel="0" collapsed="false">
      <c r="A34" s="135"/>
      <c r="B34" s="160" t="s">
        <v>220</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221</v>
      </c>
      <c r="C2" s="324" t="s">
        <v>222</v>
      </c>
      <c r="D2" s="325" t="n">
        <f aca="false">Admin!B$5</f>
        <v>44681</v>
      </c>
      <c r="E2" s="326" t="n">
        <f aca="false">Admin!B$6</f>
        <v>44712</v>
      </c>
      <c r="F2" s="326" t="n">
        <f aca="false">Admin!B$7</f>
        <v>44742</v>
      </c>
      <c r="G2" s="326" t="n">
        <f aca="false">Admin!B$8</f>
        <v>44773</v>
      </c>
      <c r="H2" s="326" t="n">
        <f aca="false">Admin!B$9</f>
        <v>44804</v>
      </c>
      <c r="I2" s="326" t="n">
        <f aca="false">Admin!B$10</f>
        <v>44834</v>
      </c>
      <c r="J2" s="326" t="n">
        <f aca="false">Admin!B$11</f>
        <v>44865</v>
      </c>
      <c r="K2" s="326" t="n">
        <f aca="false">Admin!B$12</f>
        <v>44895</v>
      </c>
      <c r="L2" s="326" t="n">
        <f aca="false">Admin!B$13</f>
        <v>44926</v>
      </c>
      <c r="M2" s="326" t="n">
        <f aca="false">Admin!B$14</f>
        <v>44957</v>
      </c>
      <c r="N2" s="326" t="n">
        <f aca="false">Admin!B$15</f>
        <v>44985</v>
      </c>
      <c r="O2" s="326" t="n">
        <f aca="false">Admin!B$16</f>
        <v>45016</v>
      </c>
      <c r="P2" s="241"/>
    </row>
    <row r="3" customFormat="false" ht="12" hidden="false" customHeight="true" outlineLevel="0" collapsed="false">
      <c r="A3" s="241"/>
      <c r="B3" s="323"/>
      <c r="C3" s="327" t="n">
        <f aca="false">Admin!B$17</f>
        <v>45021</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2800</v>
      </c>
      <c r="E5" s="176" t="n">
        <f aca="false">'Profit &amp; Loss Acc'!D5</f>
        <v>3200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223</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31020</v>
      </c>
      <c r="D11" s="176" t="n">
        <f aca="false">D5+D7-D9</f>
        <v>1120</v>
      </c>
      <c r="E11" s="176" t="n">
        <f aca="false">E5+E7-E9</f>
        <v>2900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224</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225</v>
      </c>
      <c r="C15" s="176" t="n">
        <f aca="false">SUM(D15:O15)</f>
        <v>29640</v>
      </c>
      <c r="D15" s="176" t="n">
        <f aca="false">D11-D13</f>
        <v>600</v>
      </c>
      <c r="E15" s="176" t="n">
        <f aca="false">E11-E13</f>
        <v>2900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226</v>
      </c>
      <c r="C17" s="324" t="s">
        <v>222</v>
      </c>
      <c r="D17" s="338" t="n">
        <f aca="false">D2</f>
        <v>44681</v>
      </c>
      <c r="E17" s="338" t="n">
        <f aca="false">E2</f>
        <v>44712</v>
      </c>
      <c r="F17" s="338" t="n">
        <f aca="false">F2</f>
        <v>44742</v>
      </c>
      <c r="G17" s="338" t="n">
        <f aca="false">G2</f>
        <v>44773</v>
      </c>
      <c r="H17" s="338" t="n">
        <f aca="false">H2</f>
        <v>44804</v>
      </c>
      <c r="I17" s="338" t="n">
        <f aca="false">I2</f>
        <v>44834</v>
      </c>
      <c r="J17" s="338" t="n">
        <f aca="false">J2</f>
        <v>44865</v>
      </c>
      <c r="K17" s="338" t="n">
        <f aca="false">K2</f>
        <v>44895</v>
      </c>
      <c r="L17" s="338" t="n">
        <f aca="false">L2</f>
        <v>44926</v>
      </c>
      <c r="M17" s="338" t="n">
        <f aca="false">M2</f>
        <v>44957</v>
      </c>
      <c r="N17" s="338" t="n">
        <f aca="false">N2</f>
        <v>44985</v>
      </c>
      <c r="O17" s="338" t="n">
        <f aca="false">O2</f>
        <v>45016</v>
      </c>
      <c r="P17" s="241"/>
    </row>
    <row r="18" customFormat="false" ht="12" hidden="false" customHeight="true" outlineLevel="0" collapsed="false">
      <c r="A18" s="241"/>
      <c r="B18" s="337"/>
      <c r="C18" s="327" t="n">
        <f aca="false">C3</f>
        <v>45021</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2800</v>
      </c>
      <c r="E20" s="176" t="n">
        <f aca="false">IF(C5&gt;0,IF(E5&gt;0,E5,C5/C19),0)</f>
        <v>3200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223</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31020</v>
      </c>
      <c r="D26" s="176" t="n">
        <f aca="false">D20+D22-D24</f>
        <v>1120</v>
      </c>
      <c r="E26" s="176" t="n">
        <f aca="false">E20+E22-E24</f>
        <v>2900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224</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225</v>
      </c>
      <c r="C30" s="176" t="n">
        <f aca="false">SUM(D30:O30)</f>
        <v>29640</v>
      </c>
      <c r="D30" s="176" t="n">
        <f aca="false">D26-D28</f>
        <v>600</v>
      </c>
      <c r="E30" s="176" t="n">
        <f aca="false">E26-E28</f>
        <v>2900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227</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228</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229</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230</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231</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232</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233</v>
      </c>
      <c r="C39" s="342" t="n">
        <f aca="false">IF((C36&gt;0),C36*Admin!L$20,0)</f>
        <v>1660.911</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234</v>
      </c>
      <c r="C41" s="344" t="n">
        <f aca="false">C37+C38+C39</f>
        <v>5074.911</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SUM(D4:D34)</f>
        <v>0</v>
      </c>
      <c r="E1" s="352" t="n">
        <f aca="false">SUM(E4:E34)/2</f>
        <v>2800</v>
      </c>
      <c r="F1" s="352" t="n">
        <f aca="false">SUM(F4:F34)/2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44657</v>
      </c>
      <c r="B5" s="359" t="n">
        <v>44657</v>
      </c>
      <c r="C5" s="360"/>
      <c r="D5" s="361"/>
      <c r="E5" s="362"/>
      <c r="F5" s="363"/>
    </row>
    <row r="6" customFormat="false" ht="12.75" hidden="false" customHeight="false" outlineLevel="0" collapsed="false">
      <c r="A6" s="364" t="n">
        <v>44658</v>
      </c>
      <c r="B6" s="347" t="n">
        <v>44658</v>
      </c>
      <c r="E6" s="349" t="n">
        <v>200</v>
      </c>
      <c r="F6" s="365"/>
    </row>
    <row r="7" customFormat="false" ht="12.75" hidden="false" customHeight="false" outlineLevel="0" collapsed="false">
      <c r="A7" s="364" t="n">
        <v>44659</v>
      </c>
      <c r="B7" s="347" t="n">
        <v>44659</v>
      </c>
      <c r="E7" s="349" t="n">
        <v>220</v>
      </c>
      <c r="F7" s="365"/>
    </row>
    <row r="8" customFormat="false" ht="12.75" hidden="false" customHeight="false" outlineLevel="0" collapsed="false">
      <c r="A8" s="364" t="n">
        <v>44660</v>
      </c>
      <c r="B8" s="347" t="n">
        <v>44660</v>
      </c>
      <c r="E8" s="349" t="n">
        <v>180</v>
      </c>
      <c r="F8" s="365"/>
    </row>
    <row r="9" customFormat="false" ht="12.75" hidden="false" customHeight="false" outlineLevel="0" collapsed="false">
      <c r="A9" s="364" t="n">
        <v>44661</v>
      </c>
      <c r="B9" s="347" t="n">
        <v>44661</v>
      </c>
      <c r="E9" s="349" t="n">
        <v>210</v>
      </c>
      <c r="F9" s="365"/>
    </row>
    <row r="10" customFormat="false" ht="12.75" hidden="false" customHeight="false" outlineLevel="0" collapsed="false">
      <c r="A10" s="364" t="n">
        <v>44661</v>
      </c>
      <c r="B10" s="347" t="s">
        <v>242</v>
      </c>
      <c r="F10" s="365"/>
    </row>
    <row r="11" customFormat="false" ht="12.75" hidden="false" customHeight="false" outlineLevel="0" collapsed="false">
      <c r="A11" s="364" t="n">
        <v>44661</v>
      </c>
      <c r="B11" s="347" t="s">
        <v>243</v>
      </c>
      <c r="F11" s="365"/>
    </row>
    <row r="12" customFormat="false" ht="12.75" hidden="false" customHeight="false" outlineLevel="0" collapsed="false">
      <c r="A12" s="366"/>
      <c r="B12" s="367"/>
      <c r="C12" s="368"/>
      <c r="D12" s="369"/>
      <c r="E12" s="370" t="n">
        <f aca="false">SUM(E5:E11)</f>
        <v>810</v>
      </c>
      <c r="F12" s="371" t="n">
        <f aca="false">SUM(F5:F11)</f>
        <v>0</v>
      </c>
    </row>
    <row r="14" customFormat="false" ht="12.75" hidden="false" customHeight="false" outlineLevel="0" collapsed="false">
      <c r="A14" s="358" t="n">
        <v>44662</v>
      </c>
      <c r="B14" s="359" t="n">
        <v>44662</v>
      </c>
      <c r="C14" s="360"/>
      <c r="D14" s="361"/>
      <c r="E14" s="362" t="n">
        <v>190</v>
      </c>
    </row>
    <row r="15" customFormat="false" ht="12.75" hidden="false" customHeight="false" outlineLevel="0" collapsed="false">
      <c r="B15" s="347" t="n">
        <v>44663</v>
      </c>
      <c r="F15" s="365"/>
    </row>
    <row r="16" customFormat="false" ht="12.75" hidden="false" customHeight="false" outlineLevel="0" collapsed="false">
      <c r="A16" s="364" t="n">
        <v>44664</v>
      </c>
      <c r="B16" s="347" t="n">
        <v>44664</v>
      </c>
      <c r="F16" s="365"/>
    </row>
    <row r="17" customFormat="false" ht="12.75" hidden="false" customHeight="false" outlineLevel="0" collapsed="false">
      <c r="A17" s="364" t="n">
        <v>44665</v>
      </c>
      <c r="B17" s="347" t="n">
        <v>44665</v>
      </c>
      <c r="E17" s="349" t="n">
        <v>200</v>
      </c>
      <c r="F17" s="365"/>
    </row>
    <row r="18" customFormat="false" ht="12.75" hidden="false" customHeight="false" outlineLevel="0" collapsed="false">
      <c r="A18" s="364" t="n">
        <v>44666</v>
      </c>
      <c r="B18" s="347" t="n">
        <v>44666</v>
      </c>
      <c r="E18" s="349" t="n">
        <v>220</v>
      </c>
      <c r="F18" s="365"/>
    </row>
    <row r="19" customFormat="false" ht="12.75" hidden="false" customHeight="false" outlineLevel="0" collapsed="false">
      <c r="A19" s="364" t="n">
        <v>44667</v>
      </c>
      <c r="B19" s="347" t="n">
        <v>44667</v>
      </c>
      <c r="E19" s="349" t="n">
        <v>180</v>
      </c>
      <c r="F19" s="365"/>
    </row>
    <row r="20" customFormat="false" ht="12.75" hidden="false" customHeight="false" outlineLevel="0" collapsed="false">
      <c r="A20" s="364" t="n">
        <v>44668</v>
      </c>
      <c r="B20" s="347" t="n">
        <v>44668</v>
      </c>
      <c r="E20" s="349" t="n">
        <v>200</v>
      </c>
      <c r="F20" s="365"/>
    </row>
    <row r="21" customFormat="false" ht="12.75" hidden="false" customHeight="false" outlineLevel="0" collapsed="false">
      <c r="A21" s="364" t="n">
        <v>44668</v>
      </c>
      <c r="B21" s="347" t="s">
        <v>242</v>
      </c>
      <c r="F21" s="365"/>
    </row>
    <row r="22" customFormat="false" ht="12.75" hidden="false" customHeight="false" outlineLevel="0" collapsed="false">
      <c r="A22" s="364" t="n">
        <v>44668</v>
      </c>
      <c r="B22" s="347" t="s">
        <v>243</v>
      </c>
      <c r="F22" s="365"/>
    </row>
    <row r="23" customFormat="false" ht="12.75" hidden="false" customHeight="false" outlineLevel="0" collapsed="false">
      <c r="A23" s="366"/>
      <c r="B23" s="367"/>
      <c r="C23" s="368"/>
      <c r="D23" s="369"/>
      <c r="E23" s="370" t="n">
        <f aca="false">SUM(E14:E22)</f>
        <v>990</v>
      </c>
      <c r="F23" s="371" t="n">
        <f aca="false">SUM(F14:F22)</f>
        <v>0</v>
      </c>
    </row>
    <row r="25" customFormat="false" ht="12.75" hidden="false" customHeight="false" outlineLevel="0" collapsed="false">
      <c r="A25" s="358" t="n">
        <v>44669</v>
      </c>
      <c r="B25" s="359" t="n">
        <v>44669</v>
      </c>
      <c r="C25" s="360"/>
      <c r="D25" s="361"/>
      <c r="E25" s="362" t="n">
        <v>200</v>
      </c>
    </row>
    <row r="26" customFormat="false" ht="12.75" hidden="false" customHeight="false" outlineLevel="0" collapsed="false">
      <c r="B26" s="347" t="n">
        <v>44670</v>
      </c>
      <c r="F26" s="365"/>
    </row>
    <row r="27" customFormat="false" ht="12.75" hidden="false" customHeight="false" outlineLevel="0" collapsed="false">
      <c r="A27" s="364" t="n">
        <v>44671</v>
      </c>
      <c r="B27" s="347" t="n">
        <v>44671</v>
      </c>
      <c r="F27" s="365"/>
    </row>
    <row r="28" customFormat="false" ht="12.75" hidden="false" customHeight="false" outlineLevel="0" collapsed="false">
      <c r="A28" s="364" t="n">
        <v>44672</v>
      </c>
      <c r="B28" s="347" t="n">
        <v>44672</v>
      </c>
      <c r="E28" s="349" t="n">
        <v>200</v>
      </c>
      <c r="F28" s="365"/>
    </row>
    <row r="29" customFormat="false" ht="12.75" hidden="false" customHeight="false" outlineLevel="0" collapsed="false">
      <c r="A29" s="364" t="n">
        <v>44673</v>
      </c>
      <c r="B29" s="347" t="n">
        <v>44673</v>
      </c>
      <c r="E29" s="349" t="n">
        <v>200</v>
      </c>
      <c r="F29" s="365"/>
    </row>
    <row r="30" customFormat="false" ht="12.75" hidden="false" customHeight="false" outlineLevel="0" collapsed="false">
      <c r="A30" s="364" t="n">
        <v>44674</v>
      </c>
      <c r="B30" s="347" t="n">
        <v>44674</v>
      </c>
      <c r="E30" s="349" t="n">
        <v>200</v>
      </c>
      <c r="F30" s="365"/>
    </row>
    <row r="31" customFormat="false" ht="12.75" hidden="false" customHeight="false" outlineLevel="0" collapsed="false">
      <c r="A31" s="364" t="n">
        <v>44675</v>
      </c>
      <c r="B31" s="347" t="n">
        <v>44675</v>
      </c>
      <c r="E31" s="349" t="n">
        <v>200</v>
      </c>
      <c r="F31" s="365"/>
    </row>
    <row r="32" customFormat="false" ht="12.75" hidden="false" customHeight="false" outlineLevel="0" collapsed="false">
      <c r="A32" s="364" t="n">
        <v>44675</v>
      </c>
      <c r="B32" s="347" t="s">
        <v>242</v>
      </c>
      <c r="F32" s="365"/>
    </row>
    <row r="33" customFormat="false" ht="12.75" hidden="false" customHeight="false" outlineLevel="0" collapsed="false">
      <c r="A33" s="364" t="n">
        <v>44675</v>
      </c>
      <c r="B33" s="347" t="s">
        <v>243</v>
      </c>
      <c r="F33" s="365"/>
    </row>
    <row r="34" customFormat="false" ht="12.75" hidden="false" customHeight="false" outlineLevel="0" collapsed="false">
      <c r="A34" s="366"/>
      <c r="B34" s="367"/>
      <c r="C34" s="368"/>
      <c r="D34" s="369"/>
      <c r="E34" s="370" t="n">
        <f aca="false">SUM(E25:E33)</f>
        <v>1000</v>
      </c>
      <c r="F34" s="371" t="n">
        <f aca="false">SUM(F25:F33)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244</v>
      </c>
      <c r="C1" s="376" t="s">
        <v>237</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245</v>
      </c>
      <c r="C2" s="380" t="s">
        <v>246</v>
      </c>
      <c r="D2" s="380" t="s">
        <v>247</v>
      </c>
      <c r="E2" s="380" t="s">
        <v>248</v>
      </c>
      <c r="F2" s="207" t="s">
        <v>249</v>
      </c>
      <c r="G2" s="381" t="s">
        <v>250</v>
      </c>
      <c r="H2" s="381"/>
      <c r="I2" s="382" t="n">
        <f aca="false">G1+H1+I1+J1</f>
        <v>1680</v>
      </c>
      <c r="J2" s="382"/>
      <c r="K2" s="207" t="s">
        <v>251</v>
      </c>
      <c r="L2" s="207" t="s">
        <v>252</v>
      </c>
      <c r="M2" s="207" t="s">
        <v>253</v>
      </c>
      <c r="N2" s="207" t="s">
        <v>254</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79" t="n">
        <f aca="false">IF((A1&lt;Admin!$F$22),((A1)*Admin!$G$21),(A1*Admin!$G$21-(A1-Admin!$F$21)*(Admin!$G$21-Admin!$G$22)))</f>
        <v>0</v>
      </c>
    </row>
    <row r="5" s="373" customFormat="true" ht="12.75" hidden="false" customHeight="false" outlineLevel="0" collapsed="false">
      <c r="A5" s="372" t="n">
        <v>45762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278</v>
      </c>
      <c r="D6" s="373" t="s">
        <v>279</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280</v>
      </c>
      <c r="D7" s="373" t="s">
        <v>279</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281</v>
      </c>
      <c r="D8" s="373" t="s">
        <v>282</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283</v>
      </c>
      <c r="D9" s="373" t="s">
        <v>284</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3200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44676</v>
      </c>
      <c r="B5" s="359" t="n">
        <v>44676</v>
      </c>
      <c r="C5" s="360"/>
      <c r="D5" s="361"/>
      <c r="E5" s="362" t="n">
        <v>200</v>
      </c>
    </row>
    <row r="6" customFormat="false" ht="12.75" hidden="false" customHeight="false" outlineLevel="0" collapsed="false">
      <c r="B6" s="347" t="n">
        <v>44677</v>
      </c>
      <c r="F6" s="365"/>
    </row>
    <row r="7" customFormat="false" ht="12.75" hidden="false" customHeight="false" outlineLevel="0" collapsed="false">
      <c r="A7" s="364" t="n">
        <v>44678</v>
      </c>
      <c r="B7" s="347" t="n">
        <v>44678</v>
      </c>
      <c r="F7" s="365"/>
    </row>
    <row r="8" customFormat="false" ht="12.75" hidden="false" customHeight="false" outlineLevel="0" collapsed="false">
      <c r="A8" s="364" t="n">
        <v>44679</v>
      </c>
      <c r="B8" s="347" t="n">
        <v>44679</v>
      </c>
      <c r="F8" s="365"/>
    </row>
    <row r="9" customFormat="false" ht="12.75" hidden="false" customHeight="false" outlineLevel="0" collapsed="false">
      <c r="A9" s="364" t="n">
        <v>44680</v>
      </c>
      <c r="B9" s="347" t="n">
        <v>44680</v>
      </c>
      <c r="F9" s="365"/>
    </row>
    <row r="10" customFormat="false" ht="12.75" hidden="false" customHeight="false" outlineLevel="0" collapsed="false">
      <c r="A10" s="364" t="n">
        <v>44681</v>
      </c>
      <c r="B10" s="347" t="n">
        <v>44681</v>
      </c>
      <c r="F10" s="365"/>
    </row>
    <row r="11" customFormat="false" ht="12.75" hidden="false" customHeight="false" outlineLevel="0" collapsed="false">
      <c r="A11" s="364" t="n">
        <v>44682</v>
      </c>
      <c r="B11" s="347" t="n">
        <v>44682</v>
      </c>
      <c r="F11" s="365"/>
    </row>
    <row r="12" customFormat="false" ht="12.75" hidden="false" customHeight="false" outlineLevel="0" collapsed="false">
      <c r="A12" s="364" t="n">
        <v>44682</v>
      </c>
      <c r="B12" s="347" t="s">
        <v>242</v>
      </c>
      <c r="F12" s="365"/>
    </row>
    <row r="13" customFormat="false" ht="12.75" hidden="false" customHeight="false" outlineLevel="0" collapsed="false">
      <c r="A13" s="364" t="n">
        <v>44682</v>
      </c>
      <c r="B13" s="347" t="s">
        <v>243</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44683</v>
      </c>
      <c r="B16" s="359" t="n">
        <v>44683</v>
      </c>
      <c r="C16" s="360"/>
      <c r="D16" s="361"/>
      <c r="E16" s="362"/>
      <c r="F16" s="363"/>
    </row>
    <row r="17" customFormat="false" ht="12.75" hidden="false" customHeight="false" outlineLevel="0" collapsed="false">
      <c r="A17" s="364" t="n">
        <v>44684</v>
      </c>
      <c r="B17" s="347" t="n">
        <v>44684</v>
      </c>
      <c r="F17" s="365"/>
    </row>
    <row r="18" customFormat="false" ht="12.75" hidden="false" customHeight="false" outlineLevel="0" collapsed="false">
      <c r="A18" s="364" t="n">
        <v>44685</v>
      </c>
      <c r="B18" s="347" t="n">
        <v>44685</v>
      </c>
      <c r="F18" s="365"/>
    </row>
    <row r="19" customFormat="false" ht="12.75" hidden="false" customHeight="false" outlineLevel="0" collapsed="false">
      <c r="A19" s="364" t="n">
        <v>44686</v>
      </c>
      <c r="B19" s="347" t="n">
        <v>44686</v>
      </c>
      <c r="E19" s="349" t="n">
        <v>200</v>
      </c>
      <c r="F19" s="365"/>
    </row>
    <row r="20" customFormat="false" ht="12.75" hidden="false" customHeight="false" outlineLevel="0" collapsed="false">
      <c r="A20" s="364" t="n">
        <v>44687</v>
      </c>
      <c r="B20" s="347" t="n">
        <v>44687</v>
      </c>
      <c r="E20" s="349" t="n">
        <v>200</v>
      </c>
      <c r="F20" s="365"/>
    </row>
    <row r="21" customFormat="false" ht="12.75" hidden="false" customHeight="false" outlineLevel="0" collapsed="false">
      <c r="A21" s="364" t="n">
        <v>44688</v>
      </c>
      <c r="B21" s="347" t="n">
        <v>44688</v>
      </c>
      <c r="E21" s="349" t="n">
        <v>200</v>
      </c>
      <c r="F21" s="365"/>
    </row>
    <row r="22" customFormat="false" ht="12.75" hidden="false" customHeight="false" outlineLevel="0" collapsed="false">
      <c r="A22" s="364" t="n">
        <v>44689</v>
      </c>
      <c r="B22" s="347" t="n">
        <v>44689</v>
      </c>
      <c r="E22" s="349" t="n">
        <v>200</v>
      </c>
      <c r="F22" s="365"/>
    </row>
    <row r="23" customFormat="false" ht="12.75" hidden="false" customHeight="false" outlineLevel="0" collapsed="false">
      <c r="A23" s="364" t="n">
        <v>44689</v>
      </c>
      <c r="B23" s="347" t="s">
        <v>242</v>
      </c>
      <c r="F23" s="365"/>
    </row>
    <row r="24" customFormat="false" ht="12.75" hidden="false" customHeight="false" outlineLevel="0" collapsed="false">
      <c r="A24" s="364" t="n">
        <v>44689</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44690</v>
      </c>
      <c r="B27" s="359" t="n">
        <v>44690</v>
      </c>
      <c r="C27" s="360"/>
      <c r="D27" s="361"/>
      <c r="E27" s="362" t="n">
        <v>200</v>
      </c>
    </row>
    <row r="28" customFormat="false" ht="12.75" hidden="false" customHeight="false" outlineLevel="0" collapsed="false">
      <c r="B28" s="347" t="n">
        <v>44691</v>
      </c>
      <c r="F28" s="365"/>
    </row>
    <row r="29" customFormat="false" ht="12.75" hidden="false" customHeight="false" outlineLevel="0" collapsed="false">
      <c r="A29" s="364" t="n">
        <v>44692</v>
      </c>
      <c r="B29" s="347" t="n">
        <v>44692</v>
      </c>
      <c r="F29" s="365"/>
    </row>
    <row r="30" customFormat="false" ht="12.75" hidden="false" customHeight="false" outlineLevel="0" collapsed="false">
      <c r="A30" s="364" t="n">
        <v>44693</v>
      </c>
      <c r="B30" s="347" t="n">
        <v>44693</v>
      </c>
      <c r="E30" s="349" t="n">
        <v>200</v>
      </c>
      <c r="F30" s="365"/>
    </row>
    <row r="31" customFormat="false" ht="12.75" hidden="false" customHeight="false" outlineLevel="0" collapsed="false">
      <c r="A31" s="364" t="n">
        <v>44694</v>
      </c>
      <c r="B31" s="347" t="n">
        <v>44694</v>
      </c>
      <c r="E31" s="349" t="n">
        <v>200</v>
      </c>
      <c r="F31" s="365"/>
    </row>
    <row r="32" customFormat="false" ht="12.75" hidden="false" customHeight="false" outlineLevel="0" collapsed="false">
      <c r="A32" s="364" t="n">
        <v>44695</v>
      </c>
      <c r="B32" s="347" t="n">
        <v>44695</v>
      </c>
      <c r="E32" s="349" t="n">
        <v>200</v>
      </c>
      <c r="F32" s="365"/>
    </row>
    <row r="33" customFormat="false" ht="12.75" hidden="false" customHeight="false" outlineLevel="0" collapsed="false">
      <c r="A33" s="364" t="n">
        <v>44696</v>
      </c>
      <c r="B33" s="347" t="n">
        <v>44696</v>
      </c>
      <c r="E33" s="349" t="n">
        <v>200</v>
      </c>
      <c r="F33" s="365"/>
    </row>
    <row r="34" customFormat="false" ht="12.75" hidden="false" customHeight="false" outlineLevel="0" collapsed="false">
      <c r="A34" s="364" t="n">
        <v>44696</v>
      </c>
      <c r="B34" s="347" t="s">
        <v>242</v>
      </c>
      <c r="F34" s="365"/>
    </row>
    <row r="35" customFormat="false" ht="12.75" hidden="false" customHeight="false" outlineLevel="0" collapsed="false">
      <c r="A35" s="364" t="n">
        <v>44696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44697</v>
      </c>
      <c r="B38" s="359" t="n">
        <v>44697</v>
      </c>
      <c r="C38" s="360"/>
      <c r="D38" s="361"/>
      <c r="E38" s="362" t="n">
        <v>200</v>
      </c>
    </row>
    <row r="39" customFormat="false" ht="12.75" hidden="false" customHeight="false" outlineLevel="0" collapsed="false">
      <c r="B39" s="347" t="n">
        <v>44698</v>
      </c>
      <c r="F39" s="365"/>
    </row>
    <row r="40" customFormat="false" ht="12.75" hidden="false" customHeight="false" outlineLevel="0" collapsed="false">
      <c r="A40" s="364" t="n">
        <v>44699</v>
      </c>
      <c r="B40" s="347" t="n">
        <v>44699</v>
      </c>
      <c r="F40" s="365"/>
    </row>
    <row r="41" customFormat="false" ht="12.75" hidden="false" customHeight="false" outlineLevel="0" collapsed="false">
      <c r="A41" s="364" t="n">
        <v>44700</v>
      </c>
      <c r="B41" s="347" t="n">
        <v>44700</v>
      </c>
      <c r="E41" s="349" t="n">
        <v>200</v>
      </c>
      <c r="F41" s="365"/>
    </row>
    <row r="42" customFormat="false" ht="12.75" hidden="false" customHeight="false" outlineLevel="0" collapsed="false">
      <c r="A42" s="364" t="n">
        <v>44701</v>
      </c>
      <c r="B42" s="347" t="n">
        <v>44701</v>
      </c>
      <c r="E42" s="349" t="n">
        <v>200</v>
      </c>
      <c r="F42" s="365"/>
    </row>
    <row r="43" customFormat="false" ht="12.75" hidden="false" customHeight="false" outlineLevel="0" collapsed="false">
      <c r="A43" s="364" t="n">
        <v>44702</v>
      </c>
      <c r="B43" s="347" t="n">
        <v>44702</v>
      </c>
      <c r="E43" s="349" t="n">
        <v>200</v>
      </c>
      <c r="F43" s="365"/>
    </row>
    <row r="44" customFormat="false" ht="12.75" hidden="false" customHeight="false" outlineLevel="0" collapsed="false">
      <c r="A44" s="364" t="n">
        <v>44703</v>
      </c>
      <c r="B44" s="347" t="n">
        <v>44703</v>
      </c>
      <c r="E44" s="349" t="n">
        <v>200</v>
      </c>
      <c r="F44" s="365"/>
    </row>
    <row r="45" customFormat="false" ht="12.75" hidden="false" customHeight="false" outlineLevel="0" collapsed="false">
      <c r="A45" s="364" t="n">
        <v>44703</v>
      </c>
      <c r="B45" s="347" t="s">
        <v>242</v>
      </c>
      <c r="F45" s="365"/>
    </row>
    <row r="46" customFormat="false" ht="12.75" hidden="false" customHeight="false" outlineLevel="0" collapsed="false">
      <c r="A46" s="364" t="n">
        <v>44703</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44704</v>
      </c>
      <c r="B49" s="359" t="n">
        <v>44704</v>
      </c>
      <c r="C49" s="360"/>
      <c r="D49" s="361"/>
      <c r="E49" s="362" t="n">
        <v>200</v>
      </c>
    </row>
    <row r="50" customFormat="false" ht="12.75" hidden="false" customHeight="false" outlineLevel="0" collapsed="false">
      <c r="B50" s="347" t="n">
        <v>44705</v>
      </c>
      <c r="F50" s="365"/>
    </row>
    <row r="51" customFormat="false" ht="12.75" hidden="false" customHeight="false" outlineLevel="0" collapsed="false">
      <c r="A51" s="364" t="n">
        <v>44706</v>
      </c>
      <c r="B51" s="347" t="n">
        <v>44706</v>
      </c>
      <c r="F51" s="365"/>
    </row>
    <row r="52" customFormat="false" ht="12.75" hidden="false" customHeight="false" outlineLevel="0" collapsed="false">
      <c r="A52" s="364" t="n">
        <v>44707</v>
      </c>
      <c r="B52" s="347" t="n">
        <v>44707</v>
      </c>
      <c r="F52" s="365"/>
    </row>
    <row r="53" customFormat="false" ht="12.75" hidden="false" customHeight="false" outlineLevel="0" collapsed="false">
      <c r="A53" s="364" t="n">
        <v>44708</v>
      </c>
      <c r="B53" s="347" t="n">
        <v>44708</v>
      </c>
      <c r="F53" s="365"/>
    </row>
    <row r="54" customFormat="false" ht="12.75" hidden="false" customHeight="false" outlineLevel="0" collapsed="false">
      <c r="A54" s="364" t="n">
        <v>44709</v>
      </c>
      <c r="B54" s="347" t="n">
        <v>44709</v>
      </c>
      <c r="F54" s="365"/>
    </row>
    <row r="55" customFormat="false" ht="12.75" hidden="false" customHeight="false" outlineLevel="0" collapsed="false">
      <c r="A55" s="364" t="n">
        <v>44710</v>
      </c>
      <c r="B55" s="347" t="n">
        <v>44710</v>
      </c>
      <c r="F55" s="365"/>
    </row>
    <row r="56" customFormat="false" ht="12.75" hidden="false" customHeight="false" outlineLevel="0" collapsed="false">
      <c r="A56" s="364" t="n">
        <v>44710</v>
      </c>
      <c r="B56" s="347" t="s">
        <v>242</v>
      </c>
      <c r="F56" s="365"/>
    </row>
    <row r="57" customFormat="false" ht="12.75" hidden="false" customHeight="false" outlineLevel="0" collapsed="false">
      <c r="A57" s="364" t="n">
        <v>44710</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245</v>
      </c>
      <c r="C2" s="380" t="s">
        <v>246</v>
      </c>
      <c r="D2" s="380" t="s">
        <v>247</v>
      </c>
      <c r="E2" s="380" t="s">
        <v>248</v>
      </c>
      <c r="F2" s="207" t="s">
        <v>249</v>
      </c>
      <c r="G2" s="381" t="s">
        <v>250</v>
      </c>
      <c r="H2" s="381"/>
      <c r="I2" s="382" t="n">
        <f aca="false">G1+H1+I1+J1+PurchasesApr!I2</f>
        <v>1980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IF((A1&lt;Admin!$F$22),((A1-PurchasesApr!A1)*Admin!$G$21),(A1*Admin!$G$21-(A1-Admin!$F$21)*(Admin!$G$21-Admin!$G$22)-PurchasesApr!A2))</f>
        <v>0</v>
      </c>
    </row>
    <row r="5" s="373" customFormat="true" ht="12.75" hidden="false" customHeight="false" outlineLevel="0" collapsed="false">
      <c r="A5" s="372" t="n">
        <v>45792</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44711</v>
      </c>
      <c r="B5" s="359" t="n">
        <v>44711</v>
      </c>
      <c r="C5" s="360"/>
      <c r="D5" s="361"/>
      <c r="E5" s="362"/>
      <c r="F5" s="363"/>
    </row>
    <row r="6" customFormat="false" ht="12.75" hidden="false" customHeight="false" outlineLevel="0" collapsed="false">
      <c r="A6" s="364" t="n">
        <v>44712</v>
      </c>
      <c r="B6" s="347" t="n">
        <v>44712</v>
      </c>
      <c r="F6" s="365"/>
    </row>
    <row r="7" customFormat="false" ht="12.75" hidden="false" customHeight="false" outlineLevel="0" collapsed="false">
      <c r="A7" s="364" t="n">
        <v>44713</v>
      </c>
      <c r="B7" s="347" t="n">
        <v>44713</v>
      </c>
      <c r="F7" s="365"/>
    </row>
    <row r="8" customFormat="false" ht="12.75" hidden="false" customHeight="false" outlineLevel="0" collapsed="false">
      <c r="A8" s="364" t="n">
        <v>44714</v>
      </c>
      <c r="B8" s="347" t="n">
        <v>44714</v>
      </c>
      <c r="E8" s="349" t="n">
        <v>200</v>
      </c>
      <c r="F8" s="365"/>
    </row>
    <row r="9" customFormat="false" ht="12.75" hidden="false" customHeight="false" outlineLevel="0" collapsed="false">
      <c r="A9" s="364" t="n">
        <v>44715</v>
      </c>
      <c r="B9" s="347" t="n">
        <v>44715</v>
      </c>
      <c r="E9" s="349" t="n">
        <v>200</v>
      </c>
      <c r="F9" s="365"/>
    </row>
    <row r="10" customFormat="false" ht="12.75" hidden="false" customHeight="false" outlineLevel="0" collapsed="false">
      <c r="A10" s="364" t="n">
        <v>44716</v>
      </c>
      <c r="B10" s="347" t="n">
        <v>44716</v>
      </c>
      <c r="E10" s="349" t="n">
        <v>200</v>
      </c>
      <c r="F10" s="365"/>
    </row>
    <row r="11" customFormat="false" ht="12.75" hidden="false" customHeight="false" outlineLevel="0" collapsed="false">
      <c r="A11" s="364" t="n">
        <v>44717</v>
      </c>
      <c r="B11" s="347" t="n">
        <v>44717</v>
      </c>
      <c r="E11" s="349" t="n">
        <v>200</v>
      </c>
      <c r="F11" s="365"/>
    </row>
    <row r="12" customFormat="false" ht="12.75" hidden="false" customHeight="false" outlineLevel="0" collapsed="false">
      <c r="A12" s="364" t="n">
        <v>44717</v>
      </c>
      <c r="B12" s="347" t="s">
        <v>242</v>
      </c>
      <c r="F12" s="365"/>
    </row>
    <row r="13" customFormat="false" ht="12.75" hidden="false" customHeight="false" outlineLevel="0" collapsed="false">
      <c r="A13" s="364" t="n">
        <v>44717</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44718</v>
      </c>
      <c r="B16" s="359" t="n">
        <v>44718</v>
      </c>
      <c r="C16" s="360"/>
      <c r="D16" s="361"/>
      <c r="E16" s="362" t="n">
        <v>200</v>
      </c>
    </row>
    <row r="17" customFormat="false" ht="12.75" hidden="false" customHeight="false" outlineLevel="0" collapsed="false">
      <c r="B17" s="347" t="n">
        <v>44719</v>
      </c>
      <c r="F17" s="365"/>
    </row>
    <row r="18" customFormat="false" ht="12.75" hidden="false" customHeight="false" outlineLevel="0" collapsed="false">
      <c r="A18" s="364" t="n">
        <v>44720</v>
      </c>
      <c r="B18" s="347" t="n">
        <v>44720</v>
      </c>
      <c r="F18" s="365"/>
    </row>
    <row r="19" customFormat="false" ht="12.75" hidden="false" customHeight="false" outlineLevel="0" collapsed="false">
      <c r="A19" s="364" t="n">
        <v>44721</v>
      </c>
      <c r="B19" s="347" t="n">
        <v>44721</v>
      </c>
      <c r="E19" s="349" t="n">
        <v>200</v>
      </c>
      <c r="F19" s="365"/>
    </row>
    <row r="20" customFormat="false" ht="12.75" hidden="false" customHeight="false" outlineLevel="0" collapsed="false">
      <c r="A20" s="364" t="n">
        <v>44722</v>
      </c>
      <c r="B20" s="347" t="n">
        <v>44722</v>
      </c>
      <c r="E20" s="349" t="n">
        <v>200</v>
      </c>
      <c r="F20" s="365"/>
    </row>
    <row r="21" customFormat="false" ht="12.75" hidden="false" customHeight="false" outlineLevel="0" collapsed="false">
      <c r="A21" s="364" t="n">
        <v>44723</v>
      </c>
      <c r="B21" s="347" t="n">
        <v>44723</v>
      </c>
      <c r="E21" s="349" t="n">
        <v>200</v>
      </c>
      <c r="F21" s="365"/>
    </row>
    <row r="22" customFormat="false" ht="12.75" hidden="false" customHeight="false" outlineLevel="0" collapsed="false">
      <c r="A22" s="364" t="n">
        <v>44724</v>
      </c>
      <c r="B22" s="347" t="n">
        <v>44724</v>
      </c>
      <c r="E22" s="349" t="n">
        <v>200</v>
      </c>
      <c r="F22" s="365"/>
    </row>
    <row r="23" customFormat="false" ht="12.75" hidden="false" customHeight="false" outlineLevel="0" collapsed="false">
      <c r="A23" s="364" t="n">
        <v>44724</v>
      </c>
      <c r="B23" s="347" t="s">
        <v>242</v>
      </c>
      <c r="F23" s="365"/>
    </row>
    <row r="24" customFormat="false" ht="12.75" hidden="false" customHeight="false" outlineLevel="0" collapsed="false">
      <c r="A24" s="364" t="n">
        <v>44724</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44725</v>
      </c>
      <c r="B27" s="359" t="n">
        <v>44725</v>
      </c>
      <c r="C27" s="360"/>
      <c r="D27" s="361"/>
      <c r="E27" s="362" t="n">
        <v>200</v>
      </c>
    </row>
    <row r="28" customFormat="false" ht="12.75" hidden="false" customHeight="false" outlineLevel="0" collapsed="false">
      <c r="B28" s="347" t="n">
        <v>44726</v>
      </c>
      <c r="F28" s="365"/>
    </row>
    <row r="29" customFormat="false" ht="12.75" hidden="false" customHeight="false" outlineLevel="0" collapsed="false">
      <c r="A29" s="364" t="n">
        <v>44727</v>
      </c>
      <c r="B29" s="347" t="n">
        <v>44727</v>
      </c>
      <c r="F29" s="365"/>
    </row>
    <row r="30" customFormat="false" ht="12.75" hidden="false" customHeight="false" outlineLevel="0" collapsed="false">
      <c r="A30" s="364" t="n">
        <v>44728</v>
      </c>
      <c r="B30" s="347" t="n">
        <v>44728</v>
      </c>
      <c r="E30" s="349" t="n">
        <v>200</v>
      </c>
      <c r="F30" s="365"/>
    </row>
    <row r="31" customFormat="false" ht="12.75" hidden="false" customHeight="false" outlineLevel="0" collapsed="false">
      <c r="A31" s="364" t="n">
        <v>44729</v>
      </c>
      <c r="B31" s="347" t="n">
        <v>44729</v>
      </c>
      <c r="E31" s="349" t="n">
        <v>200</v>
      </c>
      <c r="F31" s="365"/>
    </row>
    <row r="32" customFormat="false" ht="12.75" hidden="false" customHeight="false" outlineLevel="0" collapsed="false">
      <c r="A32" s="364" t="n">
        <v>44730</v>
      </c>
      <c r="B32" s="347" t="n">
        <v>44730</v>
      </c>
      <c r="E32" s="349" t="n">
        <v>200</v>
      </c>
      <c r="F32" s="365"/>
    </row>
    <row r="33" customFormat="false" ht="12.75" hidden="false" customHeight="false" outlineLevel="0" collapsed="false">
      <c r="A33" s="364" t="n">
        <v>44731</v>
      </c>
      <c r="B33" s="347" t="n">
        <v>44731</v>
      </c>
      <c r="E33" s="349" t="n">
        <v>200</v>
      </c>
      <c r="F33" s="365"/>
    </row>
    <row r="34" customFormat="false" ht="12.75" hidden="false" customHeight="false" outlineLevel="0" collapsed="false">
      <c r="A34" s="364" t="n">
        <v>44731</v>
      </c>
      <c r="B34" s="347" t="s">
        <v>242</v>
      </c>
      <c r="F34" s="365"/>
    </row>
    <row r="35" customFormat="false" ht="12.75" hidden="false" customHeight="false" outlineLevel="0" collapsed="false">
      <c r="A35" s="364" t="n">
        <v>44731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44732</v>
      </c>
      <c r="B38" s="359" t="n">
        <v>44732</v>
      </c>
      <c r="C38" s="360"/>
      <c r="D38" s="361"/>
      <c r="E38" s="362" t="n">
        <v>200</v>
      </c>
    </row>
    <row r="39" customFormat="false" ht="12.75" hidden="false" customHeight="false" outlineLevel="0" collapsed="false">
      <c r="B39" s="347" t="n">
        <v>44733</v>
      </c>
      <c r="F39" s="365"/>
    </row>
    <row r="40" customFormat="false" ht="12.75" hidden="false" customHeight="false" outlineLevel="0" collapsed="false">
      <c r="A40" s="364" t="n">
        <v>44734</v>
      </c>
      <c r="B40" s="347" t="n">
        <v>44734</v>
      </c>
      <c r="F40" s="365"/>
    </row>
    <row r="41" customFormat="false" ht="12.75" hidden="false" customHeight="false" outlineLevel="0" collapsed="false">
      <c r="A41" s="364" t="n">
        <v>44735</v>
      </c>
      <c r="B41" s="347" t="n">
        <v>44735</v>
      </c>
      <c r="F41" s="365"/>
    </row>
    <row r="42" customFormat="false" ht="12.75" hidden="false" customHeight="false" outlineLevel="0" collapsed="false">
      <c r="A42" s="364" t="n">
        <v>44736</v>
      </c>
      <c r="B42" s="347" t="n">
        <v>44736</v>
      </c>
      <c r="F42" s="365"/>
    </row>
    <row r="43" customFormat="false" ht="12.75" hidden="false" customHeight="false" outlineLevel="0" collapsed="false">
      <c r="A43" s="364" t="n">
        <v>44737</v>
      </c>
      <c r="B43" s="347" t="n">
        <v>44737</v>
      </c>
      <c r="F43" s="365"/>
    </row>
    <row r="44" customFormat="false" ht="12.75" hidden="false" customHeight="false" outlineLevel="0" collapsed="false">
      <c r="A44" s="364" t="n">
        <v>44738</v>
      </c>
      <c r="B44" s="347" t="n">
        <v>44738</v>
      </c>
      <c r="F44" s="365"/>
    </row>
    <row r="45" customFormat="false" ht="12.75" hidden="false" customHeight="false" outlineLevel="0" collapsed="false">
      <c r="A45" s="364" t="n">
        <v>44738</v>
      </c>
      <c r="B45" s="347" t="s">
        <v>242</v>
      </c>
      <c r="F45" s="365"/>
    </row>
    <row r="46" customFormat="false" ht="12.75" hidden="false" customHeight="false" outlineLevel="0" collapsed="false">
      <c r="A46" s="364" t="n">
        <v>44738</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244</v>
      </c>
      <c r="C1" s="392" t="s">
        <v>237</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245</v>
      </c>
      <c r="C2" s="380" t="s">
        <v>246</v>
      </c>
      <c r="D2" s="380" t="s">
        <v>247</v>
      </c>
      <c r="E2" s="380" t="s">
        <v>248</v>
      </c>
      <c r="F2" s="207" t="s">
        <v>249</v>
      </c>
      <c r="G2" s="381" t="s">
        <v>250</v>
      </c>
      <c r="H2" s="381"/>
      <c r="I2" s="382" t="n">
        <f aca="false">G1+H1+I1+J1+PurchasesMay!I2</f>
        <v>2280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IF((A1&lt;Admin!$F$22),((A1-PurchasesMay!A1)*Admin!$G$21),(A1*Admin!$G$21-(A1-Admin!$F$21)*(Admin!$G$21-Admin!$G$22)-PurchasesMay!A2))</f>
        <v>0</v>
      </c>
    </row>
    <row r="5" s="373" customFormat="true" ht="12.75" hidden="false" customHeight="false" outlineLevel="0" collapsed="false">
      <c r="A5" s="372" t="n">
        <v>45823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286</v>
      </c>
      <c r="D6" s="373" t="s">
        <v>287</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44739</v>
      </c>
      <c r="B5" s="359" t="n">
        <v>44739</v>
      </c>
      <c r="C5" s="360"/>
      <c r="D5" s="361"/>
      <c r="E5" s="362"/>
      <c r="F5" s="363"/>
    </row>
    <row r="6" customFormat="false" ht="12.75" hidden="false" customHeight="false" outlineLevel="0" collapsed="false">
      <c r="A6" s="364" t="n">
        <v>44740</v>
      </c>
      <c r="B6" s="347" t="n">
        <v>44740</v>
      </c>
      <c r="F6" s="365"/>
    </row>
    <row r="7" customFormat="false" ht="12.75" hidden="false" customHeight="false" outlineLevel="0" collapsed="false">
      <c r="A7" s="364" t="n">
        <v>44741</v>
      </c>
      <c r="B7" s="347" t="n">
        <v>44741</v>
      </c>
      <c r="F7" s="365"/>
    </row>
    <row r="8" customFormat="false" ht="12.75" hidden="false" customHeight="false" outlineLevel="0" collapsed="false">
      <c r="A8" s="364" t="n">
        <v>44742</v>
      </c>
      <c r="B8" s="347" t="n">
        <v>44742</v>
      </c>
      <c r="F8" s="365"/>
    </row>
    <row r="9" customFormat="false" ht="12.75" hidden="false" customHeight="false" outlineLevel="0" collapsed="false">
      <c r="A9" s="364" t="n">
        <v>44743</v>
      </c>
      <c r="B9" s="347" t="n">
        <v>44743</v>
      </c>
      <c r="F9" s="365"/>
    </row>
    <row r="10" customFormat="false" ht="12.75" hidden="false" customHeight="false" outlineLevel="0" collapsed="false">
      <c r="A10" s="364" t="n">
        <v>44744</v>
      </c>
      <c r="B10" s="347" t="n">
        <v>44744</v>
      </c>
      <c r="F10" s="365"/>
    </row>
    <row r="11" customFormat="false" ht="12.75" hidden="false" customHeight="false" outlineLevel="0" collapsed="false">
      <c r="A11" s="364" t="n">
        <v>44745</v>
      </c>
      <c r="B11" s="347" t="n">
        <v>44745</v>
      </c>
      <c r="F11" s="365"/>
    </row>
    <row r="12" customFormat="false" ht="12.75" hidden="false" customHeight="false" outlineLevel="0" collapsed="false">
      <c r="A12" s="364" t="n">
        <v>44745</v>
      </c>
      <c r="B12" s="347" t="s">
        <v>242</v>
      </c>
      <c r="F12" s="365"/>
    </row>
    <row r="13" customFormat="false" ht="12.75" hidden="false" customHeight="false" outlineLevel="0" collapsed="false">
      <c r="A13" s="364" t="n">
        <v>44745</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44746</v>
      </c>
      <c r="B16" s="359" t="n">
        <v>44746</v>
      </c>
      <c r="C16" s="360"/>
      <c r="D16" s="361"/>
      <c r="E16" s="362"/>
      <c r="F16" s="363"/>
    </row>
    <row r="17" customFormat="false" ht="12.75" hidden="false" customHeight="false" outlineLevel="0" collapsed="false">
      <c r="A17" s="364" t="n">
        <v>44747</v>
      </c>
      <c r="B17" s="347" t="n">
        <v>44747</v>
      </c>
      <c r="F17" s="365"/>
    </row>
    <row r="18" customFormat="false" ht="12.75" hidden="false" customHeight="false" outlineLevel="0" collapsed="false">
      <c r="A18" s="364" t="n">
        <v>44748</v>
      </c>
      <c r="B18" s="347" t="n">
        <v>44748</v>
      </c>
      <c r="F18" s="365"/>
    </row>
    <row r="19" customFormat="false" ht="12.75" hidden="false" customHeight="false" outlineLevel="0" collapsed="false">
      <c r="A19" s="364" t="n">
        <v>44749</v>
      </c>
      <c r="B19" s="347" t="n">
        <v>44749</v>
      </c>
      <c r="E19" s="349" t="n">
        <v>200</v>
      </c>
      <c r="F19" s="365"/>
    </row>
    <row r="20" customFormat="false" ht="12.75" hidden="false" customHeight="false" outlineLevel="0" collapsed="false">
      <c r="A20" s="364" t="n">
        <v>44750</v>
      </c>
      <c r="B20" s="347" t="n">
        <v>44750</v>
      </c>
      <c r="E20" s="349" t="n">
        <v>200</v>
      </c>
      <c r="F20" s="365"/>
    </row>
    <row r="21" customFormat="false" ht="12.75" hidden="false" customHeight="false" outlineLevel="0" collapsed="false">
      <c r="A21" s="364" t="n">
        <v>44751</v>
      </c>
      <c r="B21" s="347" t="n">
        <v>44751</v>
      </c>
      <c r="E21" s="349" t="n">
        <v>200</v>
      </c>
      <c r="F21" s="365"/>
    </row>
    <row r="22" customFormat="false" ht="12.75" hidden="false" customHeight="false" outlineLevel="0" collapsed="false">
      <c r="A22" s="364" t="n">
        <v>44752</v>
      </c>
      <c r="B22" s="347" t="n">
        <v>44752</v>
      </c>
      <c r="E22" s="349" t="n">
        <v>200</v>
      </c>
      <c r="F22" s="365"/>
    </row>
    <row r="23" customFormat="false" ht="12.75" hidden="false" customHeight="false" outlineLevel="0" collapsed="false">
      <c r="A23" s="364" t="n">
        <v>44752</v>
      </c>
      <c r="B23" s="347" t="s">
        <v>242</v>
      </c>
      <c r="F23" s="365"/>
    </row>
    <row r="24" customFormat="false" ht="12.75" hidden="false" customHeight="false" outlineLevel="0" collapsed="false">
      <c r="A24" s="364" t="n">
        <v>44752</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44753</v>
      </c>
      <c r="B27" s="359" t="n">
        <v>44753</v>
      </c>
      <c r="C27" s="360"/>
      <c r="D27" s="361"/>
      <c r="E27" s="362" t="n">
        <v>200</v>
      </c>
    </row>
    <row r="28" customFormat="false" ht="12.75" hidden="false" customHeight="false" outlineLevel="0" collapsed="false">
      <c r="B28" s="347" t="n">
        <v>44754</v>
      </c>
      <c r="F28" s="365"/>
    </row>
    <row r="29" customFormat="false" ht="12.75" hidden="false" customHeight="false" outlineLevel="0" collapsed="false">
      <c r="A29" s="364" t="n">
        <v>44755</v>
      </c>
      <c r="B29" s="347" t="n">
        <v>44755</v>
      </c>
      <c r="F29" s="365"/>
    </row>
    <row r="30" customFormat="false" ht="12.75" hidden="false" customHeight="false" outlineLevel="0" collapsed="false">
      <c r="A30" s="364" t="n">
        <v>44756</v>
      </c>
      <c r="B30" s="347" t="n">
        <v>44756</v>
      </c>
      <c r="E30" s="349" t="n">
        <v>200</v>
      </c>
      <c r="F30" s="365"/>
    </row>
    <row r="31" customFormat="false" ht="12.75" hidden="false" customHeight="false" outlineLevel="0" collapsed="false">
      <c r="A31" s="364" t="n">
        <v>44757</v>
      </c>
      <c r="B31" s="347" t="n">
        <v>44757</v>
      </c>
      <c r="E31" s="349" t="n">
        <v>200</v>
      </c>
      <c r="F31" s="365"/>
    </row>
    <row r="32" customFormat="false" ht="12.75" hidden="false" customHeight="false" outlineLevel="0" collapsed="false">
      <c r="A32" s="364" t="n">
        <v>44758</v>
      </c>
      <c r="B32" s="347" t="n">
        <v>44758</v>
      </c>
      <c r="E32" s="349" t="n">
        <v>200</v>
      </c>
      <c r="F32" s="365"/>
    </row>
    <row r="33" customFormat="false" ht="12.75" hidden="false" customHeight="false" outlineLevel="0" collapsed="false">
      <c r="A33" s="364" t="n">
        <v>44759</v>
      </c>
      <c r="B33" s="347" t="n">
        <v>44759</v>
      </c>
      <c r="E33" s="349" t="n">
        <v>200</v>
      </c>
      <c r="F33" s="365"/>
    </row>
    <row r="34" customFormat="false" ht="12.75" hidden="false" customHeight="false" outlineLevel="0" collapsed="false">
      <c r="A34" s="364" t="n">
        <v>44759</v>
      </c>
      <c r="B34" s="347" t="s">
        <v>242</v>
      </c>
      <c r="F34" s="365"/>
    </row>
    <row r="35" customFormat="false" ht="12.75" hidden="false" customHeight="false" outlineLevel="0" collapsed="false">
      <c r="A35" s="364" t="n">
        <v>44759</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44760</v>
      </c>
      <c r="B38" s="359" t="n">
        <v>44760</v>
      </c>
      <c r="C38" s="360"/>
      <c r="D38" s="361"/>
      <c r="E38" s="362" t="n">
        <v>200</v>
      </c>
    </row>
    <row r="39" customFormat="false" ht="12.75" hidden="false" customHeight="false" outlineLevel="0" collapsed="false">
      <c r="B39" s="347" t="n">
        <v>44761</v>
      </c>
      <c r="F39" s="365"/>
    </row>
    <row r="40" customFormat="false" ht="12.75" hidden="false" customHeight="false" outlineLevel="0" collapsed="false">
      <c r="A40" s="364" t="n">
        <v>44762</v>
      </c>
      <c r="B40" s="347" t="n">
        <v>44762</v>
      </c>
      <c r="F40" s="365"/>
    </row>
    <row r="41" customFormat="false" ht="12.75" hidden="false" customHeight="false" outlineLevel="0" collapsed="false">
      <c r="A41" s="364" t="n">
        <v>44763</v>
      </c>
      <c r="B41" s="347" t="n">
        <v>44763</v>
      </c>
      <c r="E41" s="349" t="n">
        <v>200</v>
      </c>
      <c r="F41" s="365"/>
    </row>
    <row r="42" customFormat="false" ht="12.75" hidden="false" customHeight="false" outlineLevel="0" collapsed="false">
      <c r="A42" s="364" t="n">
        <v>44764</v>
      </c>
      <c r="B42" s="347" t="n">
        <v>44764</v>
      </c>
      <c r="E42" s="349" t="n">
        <v>200</v>
      </c>
      <c r="F42" s="365"/>
    </row>
    <row r="43" customFormat="false" ht="12.75" hidden="false" customHeight="false" outlineLevel="0" collapsed="false">
      <c r="A43" s="364" t="n">
        <v>44765</v>
      </c>
      <c r="B43" s="347" t="n">
        <v>44765</v>
      </c>
      <c r="E43" s="349" t="n">
        <v>200</v>
      </c>
      <c r="F43" s="365"/>
    </row>
    <row r="44" customFormat="false" ht="12.75" hidden="false" customHeight="false" outlineLevel="0" collapsed="false">
      <c r="A44" s="364" t="n">
        <v>44766</v>
      </c>
      <c r="B44" s="347" t="n">
        <v>44766</v>
      </c>
      <c r="E44" s="349" t="n">
        <v>200</v>
      </c>
      <c r="F44" s="365"/>
    </row>
    <row r="45" customFormat="false" ht="12.75" hidden="false" customHeight="false" outlineLevel="0" collapsed="false">
      <c r="A45" s="364" t="n">
        <v>44766</v>
      </c>
      <c r="B45" s="347" t="s">
        <v>242</v>
      </c>
      <c r="F45" s="365"/>
    </row>
    <row r="46" customFormat="false" ht="12.75" hidden="false" customHeight="false" outlineLevel="0" collapsed="false">
      <c r="A46" s="364" t="n">
        <v>44766</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44767</v>
      </c>
      <c r="B49" s="359" t="n">
        <v>44767</v>
      </c>
      <c r="C49" s="360"/>
      <c r="D49" s="361"/>
      <c r="E49" s="362" t="n">
        <v>200</v>
      </c>
    </row>
    <row r="50" customFormat="false" ht="12.75" hidden="false" customHeight="false" outlineLevel="0" collapsed="false">
      <c r="B50" s="347" t="n">
        <v>44768</v>
      </c>
      <c r="F50" s="365"/>
    </row>
    <row r="51" customFormat="false" ht="12.75" hidden="false" customHeight="false" outlineLevel="0" collapsed="false">
      <c r="A51" s="364" t="n">
        <v>44769</v>
      </c>
      <c r="B51" s="347" t="n">
        <v>44769</v>
      </c>
      <c r="F51" s="365"/>
    </row>
    <row r="52" customFormat="false" ht="12.75" hidden="false" customHeight="false" outlineLevel="0" collapsed="false">
      <c r="A52" s="364" t="n">
        <v>44770</v>
      </c>
      <c r="B52" s="347" t="n">
        <v>44770</v>
      </c>
      <c r="F52" s="365"/>
    </row>
    <row r="53" customFormat="false" ht="12.75" hidden="false" customHeight="false" outlineLevel="0" collapsed="false">
      <c r="A53" s="364" t="n">
        <v>44771</v>
      </c>
      <c r="B53" s="347" t="n">
        <v>44771</v>
      </c>
      <c r="F53" s="365"/>
    </row>
    <row r="54" customFormat="false" ht="12.75" hidden="false" customHeight="false" outlineLevel="0" collapsed="false">
      <c r="A54" s="364" t="n">
        <v>44772</v>
      </c>
      <c r="B54" s="347" t="n">
        <v>44772</v>
      </c>
      <c r="F54" s="365"/>
    </row>
    <row r="55" customFormat="false" ht="12.75" hidden="false" customHeight="false" outlineLevel="0" collapsed="false">
      <c r="A55" s="364" t="n">
        <v>44773</v>
      </c>
      <c r="B55" s="347" t="n">
        <v>44773</v>
      </c>
      <c r="F55" s="365"/>
    </row>
    <row r="56" customFormat="false" ht="12.75" hidden="false" customHeight="false" outlineLevel="0" collapsed="false">
      <c r="A56" s="364" t="n">
        <v>44773</v>
      </c>
      <c r="B56" s="347" t="s">
        <v>242</v>
      </c>
      <c r="F56" s="365"/>
    </row>
    <row r="57" customFormat="false" ht="12.75" hidden="false" customHeight="false" outlineLevel="0" collapsed="false">
      <c r="A57" s="364" t="n">
        <v>44773</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245</v>
      </c>
      <c r="C2" s="380" t="s">
        <v>246</v>
      </c>
      <c r="D2" s="380" t="s">
        <v>247</v>
      </c>
      <c r="E2" s="380" t="s">
        <v>248</v>
      </c>
      <c r="F2" s="207" t="s">
        <v>249</v>
      </c>
      <c r="G2" s="381" t="s">
        <v>250</v>
      </c>
      <c r="H2" s="381"/>
      <c r="I2" s="382" t="n">
        <f aca="false">G1+H1+I1+J1+PurchasesJun!I2</f>
        <v>2580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IF((A1&lt;Admin!$F$22),((A1-PurchasesJun!A1)*Admin!$G$21),(A1*Admin!$G$21-(A1-Admin!$F$21)*(Admin!$G$21-Admin!$G$22)-PurchasesJun!A2))</f>
        <v>0</v>
      </c>
    </row>
    <row r="5" s="373" customFormat="true" ht="12.75" hidden="false" customHeight="false" outlineLevel="0" collapsed="false">
      <c r="A5" s="372" t="n">
        <v>45853</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44774</v>
      </c>
      <c r="B5" s="359" t="n">
        <v>44774</v>
      </c>
      <c r="C5" s="360"/>
      <c r="D5" s="361"/>
      <c r="E5" s="362"/>
      <c r="F5" s="363"/>
    </row>
    <row r="6" customFormat="false" ht="12.75" hidden="false" customHeight="false" outlineLevel="0" collapsed="false">
      <c r="A6" s="364" t="n">
        <v>44775</v>
      </c>
      <c r="B6" s="347" t="n">
        <v>44775</v>
      </c>
      <c r="F6" s="365"/>
    </row>
    <row r="7" customFormat="false" ht="12.75" hidden="false" customHeight="false" outlineLevel="0" collapsed="false">
      <c r="A7" s="364" t="n">
        <v>44776</v>
      </c>
      <c r="B7" s="347" t="n">
        <v>44776</v>
      </c>
      <c r="F7" s="365"/>
    </row>
    <row r="8" customFormat="false" ht="12.75" hidden="false" customHeight="false" outlineLevel="0" collapsed="false">
      <c r="A8" s="364" t="n">
        <v>44777</v>
      </c>
      <c r="B8" s="347" t="n">
        <v>44777</v>
      </c>
      <c r="E8" s="349" t="n">
        <v>200</v>
      </c>
      <c r="F8" s="365"/>
    </row>
    <row r="9" customFormat="false" ht="12.75" hidden="false" customHeight="false" outlineLevel="0" collapsed="false">
      <c r="A9" s="364" t="n">
        <v>44778</v>
      </c>
      <c r="B9" s="347" t="n">
        <v>44778</v>
      </c>
      <c r="E9" s="349" t="n">
        <v>200</v>
      </c>
      <c r="F9" s="365"/>
    </row>
    <row r="10" customFormat="false" ht="12.75" hidden="false" customHeight="false" outlineLevel="0" collapsed="false">
      <c r="A10" s="364" t="n">
        <v>44779</v>
      </c>
      <c r="B10" s="347" t="n">
        <v>44779</v>
      </c>
      <c r="E10" s="349" t="n">
        <v>200</v>
      </c>
      <c r="F10" s="365"/>
    </row>
    <row r="11" customFormat="false" ht="12.75" hidden="false" customHeight="false" outlineLevel="0" collapsed="false">
      <c r="A11" s="364" t="n">
        <v>44780</v>
      </c>
      <c r="B11" s="347" t="n">
        <v>44780</v>
      </c>
      <c r="E11" s="349" t="n">
        <v>200</v>
      </c>
      <c r="F11" s="365"/>
    </row>
    <row r="12" customFormat="false" ht="12.75" hidden="false" customHeight="false" outlineLevel="0" collapsed="false">
      <c r="A12" s="364" t="n">
        <v>44780</v>
      </c>
      <c r="B12" s="347" t="s">
        <v>242</v>
      </c>
      <c r="F12" s="365"/>
    </row>
    <row r="13" customFormat="false" ht="12.75" hidden="false" customHeight="false" outlineLevel="0" collapsed="false">
      <c r="A13" s="364" t="n">
        <v>44780</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44781</v>
      </c>
      <c r="B16" s="359" t="n">
        <v>44781</v>
      </c>
      <c r="C16" s="360"/>
      <c r="D16" s="361"/>
      <c r="E16" s="362" t="n">
        <v>200</v>
      </c>
    </row>
    <row r="17" customFormat="false" ht="12.75" hidden="false" customHeight="false" outlineLevel="0" collapsed="false">
      <c r="B17" s="347" t="n">
        <v>44782</v>
      </c>
      <c r="F17" s="365"/>
    </row>
    <row r="18" customFormat="false" ht="12.75" hidden="false" customHeight="false" outlineLevel="0" collapsed="false">
      <c r="A18" s="364" t="n">
        <v>44783</v>
      </c>
      <c r="B18" s="347" t="n">
        <v>44783</v>
      </c>
      <c r="F18" s="365"/>
    </row>
    <row r="19" customFormat="false" ht="12.75" hidden="false" customHeight="false" outlineLevel="0" collapsed="false">
      <c r="A19" s="364" t="n">
        <v>44784</v>
      </c>
      <c r="B19" s="347" t="n">
        <v>44784</v>
      </c>
      <c r="E19" s="349" t="n">
        <v>200</v>
      </c>
      <c r="F19" s="365"/>
    </row>
    <row r="20" customFormat="false" ht="12.75" hidden="false" customHeight="false" outlineLevel="0" collapsed="false">
      <c r="A20" s="364" t="n">
        <v>44785</v>
      </c>
      <c r="B20" s="347" t="n">
        <v>44785</v>
      </c>
      <c r="E20" s="349" t="n">
        <v>200</v>
      </c>
      <c r="F20" s="365"/>
    </row>
    <row r="21" customFormat="false" ht="12.75" hidden="false" customHeight="false" outlineLevel="0" collapsed="false">
      <c r="A21" s="364" t="n">
        <v>44786</v>
      </c>
      <c r="B21" s="347" t="n">
        <v>44786</v>
      </c>
      <c r="E21" s="349" t="n">
        <v>200</v>
      </c>
      <c r="F21" s="365"/>
    </row>
    <row r="22" customFormat="false" ht="12.75" hidden="false" customHeight="false" outlineLevel="0" collapsed="false">
      <c r="A22" s="364" t="n">
        <v>44787</v>
      </c>
      <c r="B22" s="347" t="n">
        <v>44787</v>
      </c>
      <c r="E22" s="349" t="n">
        <v>200</v>
      </c>
      <c r="F22" s="365"/>
    </row>
    <row r="23" customFormat="false" ht="12.75" hidden="false" customHeight="false" outlineLevel="0" collapsed="false">
      <c r="A23" s="364" t="n">
        <v>44787</v>
      </c>
      <c r="B23" s="347" t="s">
        <v>242</v>
      </c>
      <c r="F23" s="365"/>
    </row>
    <row r="24" customFormat="false" ht="12.75" hidden="false" customHeight="false" outlineLevel="0" collapsed="false">
      <c r="A24" s="364" t="n">
        <v>44787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44788</v>
      </c>
      <c r="B27" s="359" t="n">
        <v>44788</v>
      </c>
      <c r="C27" s="360"/>
      <c r="D27" s="361"/>
      <c r="E27" s="362" t="n">
        <v>200</v>
      </c>
    </row>
    <row r="28" customFormat="false" ht="12.75" hidden="false" customHeight="false" outlineLevel="0" collapsed="false">
      <c r="B28" s="347" t="n">
        <v>44789</v>
      </c>
      <c r="F28" s="365"/>
    </row>
    <row r="29" customFormat="false" ht="12.75" hidden="false" customHeight="false" outlineLevel="0" collapsed="false">
      <c r="A29" s="364" t="n">
        <v>44790</v>
      </c>
      <c r="B29" s="347" t="n">
        <v>44790</v>
      </c>
      <c r="F29" s="365"/>
    </row>
    <row r="30" customFormat="false" ht="12.75" hidden="false" customHeight="false" outlineLevel="0" collapsed="false">
      <c r="A30" s="364" t="n">
        <v>44791</v>
      </c>
      <c r="B30" s="347" t="n">
        <v>44791</v>
      </c>
      <c r="E30" s="349" t="n">
        <v>200</v>
      </c>
      <c r="F30" s="365"/>
    </row>
    <row r="31" customFormat="false" ht="12.75" hidden="false" customHeight="false" outlineLevel="0" collapsed="false">
      <c r="A31" s="364" t="n">
        <v>44792</v>
      </c>
      <c r="B31" s="347" t="n">
        <v>44792</v>
      </c>
      <c r="E31" s="349" t="n">
        <v>200</v>
      </c>
      <c r="F31" s="365"/>
    </row>
    <row r="32" customFormat="false" ht="12.75" hidden="false" customHeight="false" outlineLevel="0" collapsed="false">
      <c r="A32" s="364" t="n">
        <v>44793</v>
      </c>
      <c r="B32" s="347" t="n">
        <v>44793</v>
      </c>
      <c r="E32" s="349" t="n">
        <v>200</v>
      </c>
      <c r="F32" s="365"/>
    </row>
    <row r="33" customFormat="false" ht="12.75" hidden="false" customHeight="false" outlineLevel="0" collapsed="false">
      <c r="A33" s="364" t="n">
        <v>44794</v>
      </c>
      <c r="B33" s="347" t="n">
        <v>44794</v>
      </c>
      <c r="E33" s="349" t="n">
        <v>200</v>
      </c>
      <c r="F33" s="365"/>
    </row>
    <row r="34" customFormat="false" ht="12.75" hidden="false" customHeight="false" outlineLevel="0" collapsed="false">
      <c r="A34" s="364" t="n">
        <v>44794</v>
      </c>
      <c r="B34" s="347" t="s">
        <v>242</v>
      </c>
      <c r="F34" s="365"/>
    </row>
    <row r="35" customFormat="false" ht="12.75" hidden="false" customHeight="false" outlineLevel="0" collapsed="false">
      <c r="A35" s="364" t="n">
        <v>44794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44795</v>
      </c>
      <c r="B38" s="359" t="n">
        <v>44795</v>
      </c>
      <c r="C38" s="360"/>
      <c r="D38" s="361"/>
      <c r="E38" s="362" t="n">
        <v>200</v>
      </c>
    </row>
    <row r="39" customFormat="false" ht="12.75" hidden="false" customHeight="false" outlineLevel="0" collapsed="false">
      <c r="B39" s="347" t="n">
        <v>44796</v>
      </c>
      <c r="F39" s="365"/>
    </row>
    <row r="40" customFormat="false" ht="12.75" hidden="false" customHeight="false" outlineLevel="0" collapsed="false">
      <c r="A40" s="364" t="n">
        <v>44797</v>
      </c>
      <c r="B40" s="347" t="n">
        <v>44797</v>
      </c>
      <c r="F40" s="365"/>
    </row>
    <row r="41" customFormat="false" ht="12.75" hidden="false" customHeight="false" outlineLevel="0" collapsed="false">
      <c r="A41" s="364" t="n">
        <v>44798</v>
      </c>
      <c r="B41" s="347" t="n">
        <v>44798</v>
      </c>
      <c r="F41" s="365"/>
    </row>
    <row r="42" customFormat="false" ht="12.75" hidden="false" customHeight="false" outlineLevel="0" collapsed="false">
      <c r="A42" s="364" t="n">
        <v>44799</v>
      </c>
      <c r="B42" s="347" t="n">
        <v>44799</v>
      </c>
      <c r="F42" s="365"/>
    </row>
    <row r="43" customFormat="false" ht="12.75" hidden="false" customHeight="false" outlineLevel="0" collapsed="false">
      <c r="A43" s="364" t="n">
        <v>44800</v>
      </c>
      <c r="B43" s="347" t="n">
        <v>44800</v>
      </c>
      <c r="F43" s="365"/>
    </row>
    <row r="44" customFormat="false" ht="12.75" hidden="false" customHeight="false" outlineLevel="0" collapsed="false">
      <c r="A44" s="364" t="n">
        <v>44801</v>
      </c>
      <c r="B44" s="347" t="n">
        <v>44801</v>
      </c>
      <c r="F44" s="365"/>
    </row>
    <row r="45" customFormat="false" ht="12.75" hidden="false" customHeight="false" outlineLevel="0" collapsed="false">
      <c r="A45" s="364" t="n">
        <v>44801</v>
      </c>
      <c r="B45" s="347" t="s">
        <v>242</v>
      </c>
      <c r="F45" s="365"/>
    </row>
    <row r="46" customFormat="false" ht="12.75" hidden="false" customHeight="false" outlineLevel="0" collapsed="false">
      <c r="A46" s="364" t="n">
        <v>44801</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245</v>
      </c>
      <c r="C2" s="380" t="s">
        <v>246</v>
      </c>
      <c r="D2" s="380" t="s">
        <v>247</v>
      </c>
      <c r="E2" s="380" t="s">
        <v>248</v>
      </c>
      <c r="F2" s="207" t="s">
        <v>249</v>
      </c>
      <c r="G2" s="381" t="s">
        <v>250</v>
      </c>
      <c r="H2" s="381"/>
      <c r="I2" s="382" t="n">
        <f aca="false">G1+H1+I1+J1+PurchasesJul!I2</f>
        <v>2880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IF((A1&lt;Admin!$F$22),((A1-PurchasesJul!A1)*Admin!$G$21),(A1*Admin!$G$21-(A1-Admin!$F$21)*(Admin!$G$21-Admin!$G$22)-PurchasesJul!A2))</f>
        <v>0</v>
      </c>
    </row>
    <row r="5" s="373" customFormat="true" ht="12.75" hidden="false" customHeight="false" outlineLevel="0" collapsed="false">
      <c r="A5" s="372" t="n">
        <v>45884</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44802</v>
      </c>
      <c r="B5" s="359" t="n">
        <v>44802</v>
      </c>
      <c r="C5" s="360"/>
      <c r="D5" s="361"/>
      <c r="E5" s="362"/>
      <c r="F5" s="363"/>
    </row>
    <row r="6" customFormat="false" ht="12.75" hidden="false" customHeight="false" outlineLevel="0" collapsed="false">
      <c r="A6" s="364" t="n">
        <v>44803</v>
      </c>
      <c r="B6" s="347" t="n">
        <v>44803</v>
      </c>
      <c r="F6" s="365"/>
    </row>
    <row r="7" customFormat="false" ht="12.75" hidden="false" customHeight="false" outlineLevel="0" collapsed="false">
      <c r="A7" s="364" t="n">
        <v>44804</v>
      </c>
      <c r="B7" s="347" t="n">
        <v>44804</v>
      </c>
      <c r="F7" s="365"/>
    </row>
    <row r="8" customFormat="false" ht="12.75" hidden="false" customHeight="false" outlineLevel="0" collapsed="false">
      <c r="A8" s="364" t="n">
        <v>44805</v>
      </c>
      <c r="B8" s="347" t="n">
        <v>44805</v>
      </c>
      <c r="E8" s="349" t="n">
        <v>200</v>
      </c>
      <c r="F8" s="365"/>
    </row>
    <row r="9" customFormat="false" ht="12.75" hidden="false" customHeight="false" outlineLevel="0" collapsed="false">
      <c r="A9" s="364" t="n">
        <v>44806</v>
      </c>
      <c r="B9" s="347" t="n">
        <v>44806</v>
      </c>
      <c r="E9" s="349" t="n">
        <v>200</v>
      </c>
      <c r="F9" s="365"/>
    </row>
    <row r="10" customFormat="false" ht="12.75" hidden="false" customHeight="false" outlineLevel="0" collapsed="false">
      <c r="A10" s="364" t="n">
        <v>44807</v>
      </c>
      <c r="B10" s="347" t="n">
        <v>44807</v>
      </c>
      <c r="E10" s="349" t="n">
        <v>200</v>
      </c>
      <c r="F10" s="365"/>
    </row>
    <row r="11" customFormat="false" ht="12.75" hidden="false" customHeight="false" outlineLevel="0" collapsed="false">
      <c r="A11" s="364" t="n">
        <v>44808</v>
      </c>
      <c r="B11" s="347" t="n">
        <v>44808</v>
      </c>
      <c r="E11" s="349" t="n">
        <v>200</v>
      </c>
      <c r="F11" s="365"/>
    </row>
    <row r="12" customFormat="false" ht="12.75" hidden="false" customHeight="false" outlineLevel="0" collapsed="false">
      <c r="A12" s="364" t="n">
        <v>44808</v>
      </c>
      <c r="B12" s="347" t="s">
        <v>242</v>
      </c>
      <c r="F12" s="365"/>
    </row>
    <row r="13" customFormat="false" ht="12.75" hidden="false" customHeight="false" outlineLevel="0" collapsed="false">
      <c r="A13" s="364" t="n">
        <v>44808</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44809</v>
      </c>
      <c r="B16" s="359" t="n">
        <v>44809</v>
      </c>
      <c r="C16" s="360"/>
      <c r="D16" s="361"/>
      <c r="E16" s="362" t="n">
        <v>200</v>
      </c>
    </row>
    <row r="17" customFormat="false" ht="12.75" hidden="false" customHeight="false" outlineLevel="0" collapsed="false">
      <c r="B17" s="347" t="n">
        <v>44810</v>
      </c>
      <c r="F17" s="365"/>
    </row>
    <row r="18" customFormat="false" ht="12.75" hidden="false" customHeight="false" outlineLevel="0" collapsed="false">
      <c r="A18" s="364" t="n">
        <v>44811</v>
      </c>
      <c r="B18" s="347" t="n">
        <v>44811</v>
      </c>
      <c r="F18" s="365"/>
    </row>
    <row r="19" customFormat="false" ht="12.75" hidden="false" customHeight="false" outlineLevel="0" collapsed="false">
      <c r="A19" s="364" t="n">
        <v>44812</v>
      </c>
      <c r="B19" s="347" t="n">
        <v>44812</v>
      </c>
      <c r="E19" s="349" t="n">
        <v>200</v>
      </c>
      <c r="F19" s="365"/>
    </row>
    <row r="20" customFormat="false" ht="12.75" hidden="false" customHeight="false" outlineLevel="0" collapsed="false">
      <c r="A20" s="364" t="n">
        <v>44813</v>
      </c>
      <c r="B20" s="347" t="n">
        <v>44813</v>
      </c>
      <c r="E20" s="349" t="n">
        <v>200</v>
      </c>
      <c r="F20" s="365"/>
    </row>
    <row r="21" customFormat="false" ht="12.75" hidden="false" customHeight="false" outlineLevel="0" collapsed="false">
      <c r="A21" s="364" t="n">
        <v>44814</v>
      </c>
      <c r="B21" s="347" t="n">
        <v>44814</v>
      </c>
      <c r="E21" s="349" t="n">
        <v>200</v>
      </c>
      <c r="F21" s="365"/>
    </row>
    <row r="22" customFormat="false" ht="12.75" hidden="false" customHeight="false" outlineLevel="0" collapsed="false">
      <c r="A22" s="364" t="n">
        <v>44815</v>
      </c>
      <c r="B22" s="347" t="n">
        <v>44815</v>
      </c>
      <c r="E22" s="349" t="n">
        <v>200</v>
      </c>
      <c r="F22" s="365"/>
    </row>
    <row r="23" customFormat="false" ht="12.75" hidden="false" customHeight="false" outlineLevel="0" collapsed="false">
      <c r="A23" s="364" t="n">
        <v>44815</v>
      </c>
      <c r="B23" s="347" t="s">
        <v>242</v>
      </c>
      <c r="F23" s="365"/>
    </row>
    <row r="24" customFormat="false" ht="12.75" hidden="false" customHeight="false" outlineLevel="0" collapsed="false">
      <c r="A24" s="364" t="n">
        <v>44815</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44816</v>
      </c>
      <c r="B27" s="359" t="n">
        <v>44816</v>
      </c>
      <c r="C27" s="360"/>
      <c r="D27" s="361"/>
      <c r="E27" s="362" t="n">
        <v>200</v>
      </c>
    </row>
    <row r="28" customFormat="false" ht="12.75" hidden="false" customHeight="false" outlineLevel="0" collapsed="false">
      <c r="B28" s="347" t="n">
        <v>44817</v>
      </c>
      <c r="F28" s="365"/>
    </row>
    <row r="29" customFormat="false" ht="12.75" hidden="false" customHeight="false" outlineLevel="0" collapsed="false">
      <c r="A29" s="364" t="n">
        <v>44818</v>
      </c>
      <c r="B29" s="347" t="n">
        <v>44818</v>
      </c>
      <c r="F29" s="365"/>
    </row>
    <row r="30" customFormat="false" ht="12.75" hidden="false" customHeight="false" outlineLevel="0" collapsed="false">
      <c r="A30" s="364" t="n">
        <v>44819</v>
      </c>
      <c r="B30" s="347" t="n">
        <v>44819</v>
      </c>
      <c r="E30" s="349" t="n">
        <v>200</v>
      </c>
      <c r="F30" s="365"/>
    </row>
    <row r="31" customFormat="false" ht="12.75" hidden="false" customHeight="false" outlineLevel="0" collapsed="false">
      <c r="A31" s="364" t="n">
        <v>44820</v>
      </c>
      <c r="B31" s="347" t="n">
        <v>44820</v>
      </c>
      <c r="E31" s="349" t="n">
        <v>200</v>
      </c>
      <c r="F31" s="365"/>
    </row>
    <row r="32" customFormat="false" ht="12.75" hidden="false" customHeight="false" outlineLevel="0" collapsed="false">
      <c r="A32" s="364" t="n">
        <v>44821</v>
      </c>
      <c r="B32" s="347" t="n">
        <v>44821</v>
      </c>
      <c r="E32" s="349" t="n">
        <v>200</v>
      </c>
      <c r="F32" s="365"/>
    </row>
    <row r="33" customFormat="false" ht="12.75" hidden="false" customHeight="false" outlineLevel="0" collapsed="false">
      <c r="A33" s="364" t="n">
        <v>44822</v>
      </c>
      <c r="B33" s="347" t="n">
        <v>44822</v>
      </c>
      <c r="E33" s="349" t="n">
        <v>200</v>
      </c>
      <c r="F33" s="365"/>
    </row>
    <row r="34" customFormat="false" ht="12.75" hidden="false" customHeight="false" outlineLevel="0" collapsed="false">
      <c r="A34" s="364" t="n">
        <v>44822</v>
      </c>
      <c r="B34" s="347" t="s">
        <v>242</v>
      </c>
      <c r="F34" s="365"/>
    </row>
    <row r="35" customFormat="false" ht="12.75" hidden="false" customHeight="false" outlineLevel="0" collapsed="false">
      <c r="A35" s="364" t="n">
        <v>44822</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44823</v>
      </c>
      <c r="B38" s="359" t="n">
        <v>44823</v>
      </c>
      <c r="C38" s="360"/>
      <c r="D38" s="361"/>
      <c r="E38" s="362" t="n">
        <v>200</v>
      </c>
    </row>
    <row r="39" customFormat="false" ht="12.75" hidden="false" customHeight="false" outlineLevel="0" collapsed="false">
      <c r="B39" s="347" t="n">
        <v>44824</v>
      </c>
      <c r="F39" s="365"/>
    </row>
    <row r="40" customFormat="false" ht="12.75" hidden="false" customHeight="false" outlineLevel="0" collapsed="false">
      <c r="A40" s="364" t="n">
        <v>44825</v>
      </c>
      <c r="B40" s="347" t="n">
        <v>44825</v>
      </c>
      <c r="F40" s="365"/>
    </row>
    <row r="41" customFormat="false" ht="12.75" hidden="false" customHeight="false" outlineLevel="0" collapsed="false">
      <c r="A41" s="364" t="n">
        <v>44826</v>
      </c>
      <c r="B41" s="347" t="n">
        <v>44826</v>
      </c>
      <c r="F41" s="365"/>
    </row>
    <row r="42" customFormat="false" ht="12.75" hidden="false" customHeight="false" outlineLevel="0" collapsed="false">
      <c r="A42" s="364" t="n">
        <v>44827</v>
      </c>
      <c r="B42" s="347" t="n">
        <v>44827</v>
      </c>
      <c r="F42" s="365"/>
    </row>
    <row r="43" customFormat="false" ht="12.75" hidden="false" customHeight="false" outlineLevel="0" collapsed="false">
      <c r="A43" s="364" t="n">
        <v>44828</v>
      </c>
      <c r="B43" s="347" t="n">
        <v>44828</v>
      </c>
      <c r="F43" s="365"/>
    </row>
    <row r="44" customFormat="false" ht="12.75" hidden="false" customHeight="false" outlineLevel="0" collapsed="false">
      <c r="A44" s="364" t="n">
        <v>44829</v>
      </c>
      <c r="B44" s="347" t="n">
        <v>44829</v>
      </c>
      <c r="F44" s="365"/>
    </row>
    <row r="45" customFormat="false" ht="12.75" hidden="false" customHeight="false" outlineLevel="0" collapsed="false">
      <c r="A45" s="364" t="n">
        <v>44829</v>
      </c>
      <c r="B45" s="347" t="s">
        <v>242</v>
      </c>
      <c r="F45" s="365"/>
    </row>
    <row r="46" customFormat="false" ht="12.75" hidden="false" customHeight="false" outlineLevel="0" collapsed="false">
      <c r="A46" s="364" t="n">
        <v>44829</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245</v>
      </c>
      <c r="C2" s="380" t="s">
        <v>246</v>
      </c>
      <c r="D2" s="380" t="s">
        <v>247</v>
      </c>
      <c r="E2" s="380" t="s">
        <v>248</v>
      </c>
      <c r="F2" s="207" t="s">
        <v>249</v>
      </c>
      <c r="G2" s="381" t="s">
        <v>250</v>
      </c>
      <c r="H2" s="381"/>
      <c r="I2" s="382" t="n">
        <f aca="false">G1+H1+I1+J1+PurchasesAug!I2</f>
        <v>3180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IF((A1&lt;Admin!$F$22),((A1-PurchasesAug!A1)*Admin!$G$21),(A1*Admin!$G$21-(A1-Admin!$F$21)*(Admin!$G$21-Admin!$G$22)-PurchasesAug!A2))</f>
        <v>0</v>
      </c>
    </row>
    <row r="5" s="373" customFormat="true" ht="12.75" hidden="false" customHeight="false" outlineLevel="0" collapsed="false">
      <c r="A5" s="372" t="n">
        <v>45915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44830</v>
      </c>
      <c r="B5" s="359" t="n">
        <v>44830</v>
      </c>
      <c r="C5" s="360"/>
      <c r="D5" s="361"/>
      <c r="E5" s="362"/>
      <c r="F5" s="363"/>
    </row>
    <row r="6" customFormat="false" ht="12.75" hidden="false" customHeight="false" outlineLevel="0" collapsed="false">
      <c r="A6" s="364" t="n">
        <v>44831</v>
      </c>
      <c r="B6" s="347" t="n">
        <v>44831</v>
      </c>
      <c r="F6" s="365"/>
    </row>
    <row r="7" customFormat="false" ht="12.75" hidden="false" customHeight="false" outlineLevel="0" collapsed="false">
      <c r="A7" s="364" t="n">
        <v>44832</v>
      </c>
      <c r="B7" s="347" t="n">
        <v>44832</v>
      </c>
      <c r="F7" s="365"/>
    </row>
    <row r="8" customFormat="false" ht="12.75" hidden="false" customHeight="false" outlineLevel="0" collapsed="false">
      <c r="A8" s="364" t="n">
        <v>44833</v>
      </c>
      <c r="B8" s="347" t="n">
        <v>44833</v>
      </c>
      <c r="F8" s="365"/>
    </row>
    <row r="9" customFormat="false" ht="12.75" hidden="false" customHeight="false" outlineLevel="0" collapsed="false">
      <c r="A9" s="364" t="n">
        <v>44834</v>
      </c>
      <c r="B9" s="347" t="n">
        <v>44834</v>
      </c>
      <c r="F9" s="365"/>
    </row>
    <row r="10" customFormat="false" ht="12.75" hidden="false" customHeight="false" outlineLevel="0" collapsed="false">
      <c r="A10" s="364" t="n">
        <v>44835</v>
      </c>
      <c r="B10" s="347" t="n">
        <v>44835</v>
      </c>
      <c r="F10" s="365"/>
    </row>
    <row r="11" customFormat="false" ht="12.75" hidden="false" customHeight="false" outlineLevel="0" collapsed="false">
      <c r="A11" s="364" t="n">
        <v>44836</v>
      </c>
      <c r="B11" s="347" t="n">
        <v>44836</v>
      </c>
      <c r="F11" s="365"/>
    </row>
    <row r="12" customFormat="false" ht="12.75" hidden="false" customHeight="false" outlineLevel="0" collapsed="false">
      <c r="A12" s="364" t="n">
        <v>44836</v>
      </c>
      <c r="B12" s="347" t="s">
        <v>242</v>
      </c>
      <c r="F12" s="365"/>
    </row>
    <row r="13" customFormat="false" ht="12.75" hidden="false" customHeight="false" outlineLevel="0" collapsed="false">
      <c r="A13" s="364" t="n">
        <v>44836</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44837</v>
      </c>
      <c r="B16" s="359" t="n">
        <v>44837</v>
      </c>
      <c r="C16" s="360"/>
      <c r="D16" s="361"/>
      <c r="E16" s="362"/>
      <c r="F16" s="363"/>
    </row>
    <row r="17" customFormat="false" ht="12.75" hidden="false" customHeight="false" outlineLevel="0" collapsed="false">
      <c r="A17" s="364" t="n">
        <v>44838</v>
      </c>
      <c r="B17" s="347" t="n">
        <v>44838</v>
      </c>
      <c r="F17" s="365"/>
    </row>
    <row r="18" customFormat="false" ht="12.75" hidden="false" customHeight="false" outlineLevel="0" collapsed="false">
      <c r="A18" s="364" t="n">
        <v>44839</v>
      </c>
      <c r="B18" s="347" t="n">
        <v>44839</v>
      </c>
      <c r="F18" s="365"/>
    </row>
    <row r="19" customFormat="false" ht="12.75" hidden="false" customHeight="false" outlineLevel="0" collapsed="false">
      <c r="A19" s="364" t="n">
        <v>44840</v>
      </c>
      <c r="B19" s="347" t="n">
        <v>44840</v>
      </c>
      <c r="E19" s="349" t="n">
        <v>200</v>
      </c>
      <c r="F19" s="365"/>
    </row>
    <row r="20" customFormat="false" ht="12.75" hidden="false" customHeight="false" outlineLevel="0" collapsed="false">
      <c r="A20" s="364" t="n">
        <v>44841</v>
      </c>
      <c r="B20" s="347" t="n">
        <v>44841</v>
      </c>
      <c r="E20" s="349" t="n">
        <v>200</v>
      </c>
      <c r="F20" s="365"/>
    </row>
    <row r="21" customFormat="false" ht="12.75" hidden="false" customHeight="false" outlineLevel="0" collapsed="false">
      <c r="A21" s="364" t="n">
        <v>44842</v>
      </c>
      <c r="B21" s="347" t="n">
        <v>44842</v>
      </c>
      <c r="E21" s="349" t="n">
        <v>200</v>
      </c>
      <c r="F21" s="365"/>
    </row>
    <row r="22" customFormat="false" ht="12.75" hidden="false" customHeight="false" outlineLevel="0" collapsed="false">
      <c r="A22" s="364" t="n">
        <v>44843</v>
      </c>
      <c r="B22" s="347" t="n">
        <v>44843</v>
      </c>
      <c r="E22" s="349" t="n">
        <v>200</v>
      </c>
      <c r="F22" s="365"/>
    </row>
    <row r="23" customFormat="false" ht="12.75" hidden="false" customHeight="false" outlineLevel="0" collapsed="false">
      <c r="A23" s="364" t="n">
        <v>44843</v>
      </c>
      <c r="B23" s="347" t="s">
        <v>242</v>
      </c>
      <c r="F23" s="365"/>
    </row>
    <row r="24" customFormat="false" ht="12.75" hidden="false" customHeight="false" outlineLevel="0" collapsed="false">
      <c r="A24" s="364" t="n">
        <v>44843</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44844</v>
      </c>
      <c r="B27" s="359" t="n">
        <v>44844</v>
      </c>
      <c r="C27" s="360"/>
      <c r="D27" s="361"/>
      <c r="E27" s="362" t="n">
        <v>200</v>
      </c>
    </row>
    <row r="28" customFormat="false" ht="12.75" hidden="false" customHeight="false" outlineLevel="0" collapsed="false">
      <c r="B28" s="347" t="n">
        <v>44845</v>
      </c>
      <c r="F28" s="365"/>
    </row>
    <row r="29" customFormat="false" ht="12.75" hidden="false" customHeight="false" outlineLevel="0" collapsed="false">
      <c r="A29" s="364" t="n">
        <v>44846</v>
      </c>
      <c r="B29" s="347" t="n">
        <v>44846</v>
      </c>
      <c r="F29" s="365"/>
    </row>
    <row r="30" customFormat="false" ht="12.75" hidden="false" customHeight="false" outlineLevel="0" collapsed="false">
      <c r="A30" s="364" t="n">
        <v>44847</v>
      </c>
      <c r="B30" s="347" t="n">
        <v>44847</v>
      </c>
      <c r="E30" s="349" t="n">
        <v>200</v>
      </c>
      <c r="F30" s="365"/>
    </row>
    <row r="31" customFormat="false" ht="12.75" hidden="false" customHeight="false" outlineLevel="0" collapsed="false">
      <c r="A31" s="364" t="n">
        <v>44848</v>
      </c>
      <c r="B31" s="347" t="n">
        <v>44848</v>
      </c>
      <c r="E31" s="349" t="n">
        <v>200</v>
      </c>
      <c r="F31" s="365"/>
    </row>
    <row r="32" customFormat="false" ht="12.75" hidden="false" customHeight="false" outlineLevel="0" collapsed="false">
      <c r="A32" s="364" t="n">
        <v>44849</v>
      </c>
      <c r="B32" s="347" t="n">
        <v>44849</v>
      </c>
      <c r="E32" s="349" t="n">
        <v>200</v>
      </c>
      <c r="F32" s="365"/>
    </row>
    <row r="33" customFormat="false" ht="12.75" hidden="false" customHeight="false" outlineLevel="0" collapsed="false">
      <c r="A33" s="364" t="n">
        <v>44850</v>
      </c>
      <c r="B33" s="347" t="n">
        <v>44850</v>
      </c>
      <c r="E33" s="349" t="n">
        <v>200</v>
      </c>
      <c r="F33" s="365"/>
    </row>
    <row r="34" customFormat="false" ht="12.75" hidden="false" customHeight="false" outlineLevel="0" collapsed="false">
      <c r="A34" s="364" t="n">
        <v>44850</v>
      </c>
      <c r="B34" s="347" t="s">
        <v>242</v>
      </c>
      <c r="F34" s="365"/>
    </row>
    <row r="35" customFormat="false" ht="12.75" hidden="false" customHeight="false" outlineLevel="0" collapsed="false">
      <c r="A35" s="364" t="n">
        <v>44850</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44851</v>
      </c>
      <c r="B38" s="359" t="n">
        <v>44851</v>
      </c>
      <c r="C38" s="360"/>
      <c r="D38" s="361"/>
      <c r="E38" s="362" t="n">
        <v>200</v>
      </c>
    </row>
    <row r="39" customFormat="false" ht="12.75" hidden="false" customHeight="false" outlineLevel="0" collapsed="false">
      <c r="B39" s="347" t="n">
        <v>44852</v>
      </c>
      <c r="F39" s="365"/>
    </row>
    <row r="40" customFormat="false" ht="12.75" hidden="false" customHeight="false" outlineLevel="0" collapsed="false">
      <c r="A40" s="364" t="n">
        <v>44853</v>
      </c>
      <c r="B40" s="347" t="n">
        <v>44853</v>
      </c>
      <c r="F40" s="365"/>
    </row>
    <row r="41" customFormat="false" ht="12.75" hidden="false" customHeight="false" outlineLevel="0" collapsed="false">
      <c r="A41" s="364" t="n">
        <v>44854</v>
      </c>
      <c r="B41" s="347" t="n">
        <v>44854</v>
      </c>
      <c r="E41" s="349" t="n">
        <v>200</v>
      </c>
      <c r="F41" s="365"/>
    </row>
    <row r="42" customFormat="false" ht="12.75" hidden="false" customHeight="false" outlineLevel="0" collapsed="false">
      <c r="A42" s="364" t="n">
        <v>44855</v>
      </c>
      <c r="B42" s="347" t="n">
        <v>44855</v>
      </c>
      <c r="E42" s="349" t="n">
        <v>200</v>
      </c>
      <c r="F42" s="365"/>
    </row>
    <row r="43" customFormat="false" ht="12.75" hidden="false" customHeight="false" outlineLevel="0" collapsed="false">
      <c r="A43" s="364" t="n">
        <v>44856</v>
      </c>
      <c r="B43" s="347" t="n">
        <v>44856</v>
      </c>
      <c r="E43" s="349" t="n">
        <v>200</v>
      </c>
      <c r="F43" s="365"/>
    </row>
    <row r="44" customFormat="false" ht="12.75" hidden="false" customHeight="false" outlineLevel="0" collapsed="false">
      <c r="A44" s="364" t="n">
        <v>44857</v>
      </c>
      <c r="B44" s="347" t="n">
        <v>44857</v>
      </c>
      <c r="E44" s="349" t="n">
        <v>200</v>
      </c>
      <c r="F44" s="365"/>
    </row>
    <row r="45" customFormat="false" ht="12.75" hidden="false" customHeight="false" outlineLevel="0" collapsed="false">
      <c r="A45" s="364" t="n">
        <v>44857</v>
      </c>
      <c r="B45" s="347" t="s">
        <v>242</v>
      </c>
      <c r="F45" s="365"/>
    </row>
    <row r="46" customFormat="false" ht="12.75" hidden="false" customHeight="false" outlineLevel="0" collapsed="false">
      <c r="A46" s="364" t="n">
        <v>44857</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44858</v>
      </c>
      <c r="B49" s="359" t="n">
        <v>44858</v>
      </c>
      <c r="C49" s="360"/>
      <c r="D49" s="361"/>
      <c r="E49" s="362" t="n">
        <v>200</v>
      </c>
    </row>
    <row r="50" customFormat="false" ht="12.75" hidden="false" customHeight="false" outlineLevel="0" collapsed="false">
      <c r="B50" s="347" t="n">
        <v>44859</v>
      </c>
      <c r="F50" s="365"/>
    </row>
    <row r="51" customFormat="false" ht="12.75" hidden="false" customHeight="false" outlineLevel="0" collapsed="false">
      <c r="A51" s="364" t="n">
        <v>44860</v>
      </c>
      <c r="B51" s="347" t="n">
        <v>44860</v>
      </c>
      <c r="F51" s="365"/>
    </row>
    <row r="52" customFormat="false" ht="12.75" hidden="false" customHeight="false" outlineLevel="0" collapsed="false">
      <c r="A52" s="364" t="n">
        <v>44861</v>
      </c>
      <c r="B52" s="347" t="n">
        <v>44861</v>
      </c>
      <c r="F52" s="365"/>
    </row>
    <row r="53" customFormat="false" ht="12.75" hidden="false" customHeight="false" outlineLevel="0" collapsed="false">
      <c r="A53" s="364" t="n">
        <v>44862</v>
      </c>
      <c r="B53" s="347" t="n">
        <v>44862</v>
      </c>
      <c r="F53" s="365"/>
    </row>
    <row r="54" customFormat="false" ht="12.75" hidden="false" customHeight="false" outlineLevel="0" collapsed="false">
      <c r="A54" s="364" t="n">
        <v>44863</v>
      </c>
      <c r="B54" s="347" t="n">
        <v>44863</v>
      </c>
      <c r="F54" s="365"/>
    </row>
    <row r="55" customFormat="false" ht="12.75" hidden="false" customHeight="false" outlineLevel="0" collapsed="false">
      <c r="A55" s="364" t="n">
        <v>44864</v>
      </c>
      <c r="B55" s="347" t="n">
        <v>44864</v>
      </c>
      <c r="F55" s="365"/>
    </row>
    <row r="56" customFormat="false" ht="12.75" hidden="false" customHeight="false" outlineLevel="0" collapsed="false">
      <c r="A56" s="364" t="n">
        <v>44864</v>
      </c>
      <c r="B56" s="347" t="s">
        <v>242</v>
      </c>
      <c r="F56" s="365"/>
    </row>
    <row r="57" customFormat="false" ht="12.75" hidden="false" customHeight="false" outlineLevel="0" collapsed="false">
      <c r="A57" s="364" t="n">
        <v>44864</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244</v>
      </c>
      <c r="C1" s="392" t="s">
        <v>237</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245</v>
      </c>
      <c r="C2" s="380" t="s">
        <v>246</v>
      </c>
      <c r="D2" s="380" t="s">
        <v>247</v>
      </c>
      <c r="E2" s="380" t="s">
        <v>248</v>
      </c>
      <c r="F2" s="207" t="s">
        <v>249</v>
      </c>
      <c r="G2" s="381" t="s">
        <v>250</v>
      </c>
      <c r="H2" s="381"/>
      <c r="I2" s="382" t="n">
        <f aca="false">G1+H1+I1+J1+PurchasesSep!I2</f>
        <v>3480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IF((A1&lt;Admin!$F$22),((A1-PurchasesSep!A1)*Admin!$G$21),(A1*Admin!$G$21-(A1-Admin!$F$21)*(Admin!$G$21-Admin!$G$22)-PurchasesSep!A2))</f>
        <v>0</v>
      </c>
    </row>
    <row r="5" s="373" customFormat="true" ht="12.75" hidden="false" customHeight="false" outlineLevel="0" collapsed="false">
      <c r="A5" s="372" t="n">
        <v>45945</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44865</v>
      </c>
      <c r="B5" s="359" t="n">
        <v>44865</v>
      </c>
      <c r="C5" s="360"/>
      <c r="D5" s="361"/>
      <c r="E5" s="362"/>
      <c r="F5" s="363"/>
    </row>
    <row r="6" customFormat="false" ht="12.75" hidden="false" customHeight="false" outlineLevel="0" collapsed="false">
      <c r="A6" s="364" t="n">
        <v>44866</v>
      </c>
      <c r="B6" s="347" t="n">
        <v>44866</v>
      </c>
      <c r="F6" s="365"/>
    </row>
    <row r="7" customFormat="false" ht="12.75" hidden="false" customHeight="false" outlineLevel="0" collapsed="false">
      <c r="A7" s="364" t="n">
        <v>44867</v>
      </c>
      <c r="B7" s="347" t="n">
        <v>44867</v>
      </c>
      <c r="F7" s="365"/>
    </row>
    <row r="8" customFormat="false" ht="12.75" hidden="false" customHeight="false" outlineLevel="0" collapsed="false">
      <c r="A8" s="364" t="n">
        <v>44868</v>
      </c>
      <c r="B8" s="347" t="n">
        <v>44868</v>
      </c>
      <c r="E8" s="349" t="n">
        <v>200</v>
      </c>
      <c r="F8" s="365"/>
    </row>
    <row r="9" customFormat="false" ht="12.75" hidden="false" customHeight="false" outlineLevel="0" collapsed="false">
      <c r="A9" s="364" t="n">
        <v>44869</v>
      </c>
      <c r="B9" s="347" t="n">
        <v>44869</v>
      </c>
      <c r="E9" s="349" t="n">
        <v>200</v>
      </c>
      <c r="F9" s="365"/>
    </row>
    <row r="10" customFormat="false" ht="12.75" hidden="false" customHeight="false" outlineLevel="0" collapsed="false">
      <c r="A10" s="364" t="n">
        <v>44870</v>
      </c>
      <c r="B10" s="347" t="n">
        <v>44870</v>
      </c>
      <c r="E10" s="349" t="n">
        <v>200</v>
      </c>
      <c r="F10" s="365"/>
    </row>
    <row r="11" customFormat="false" ht="12.75" hidden="false" customHeight="false" outlineLevel="0" collapsed="false">
      <c r="A11" s="364" t="n">
        <v>44871</v>
      </c>
      <c r="B11" s="347" t="n">
        <v>44871</v>
      </c>
      <c r="E11" s="349" t="n">
        <v>200</v>
      </c>
      <c r="F11" s="365"/>
    </row>
    <row r="12" customFormat="false" ht="12.75" hidden="false" customHeight="false" outlineLevel="0" collapsed="false">
      <c r="A12" s="364" t="n">
        <v>44871</v>
      </c>
      <c r="B12" s="347" t="s">
        <v>242</v>
      </c>
      <c r="F12" s="365"/>
    </row>
    <row r="13" customFormat="false" ht="12.75" hidden="false" customHeight="false" outlineLevel="0" collapsed="false">
      <c r="A13" s="364" t="n">
        <v>44871</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44872</v>
      </c>
      <c r="B16" s="359" t="n">
        <v>44872</v>
      </c>
      <c r="C16" s="360"/>
      <c r="D16" s="361"/>
      <c r="E16" s="362" t="n">
        <v>200</v>
      </c>
    </row>
    <row r="17" customFormat="false" ht="12.75" hidden="false" customHeight="false" outlineLevel="0" collapsed="false">
      <c r="B17" s="347" t="n">
        <v>44873</v>
      </c>
      <c r="F17" s="365"/>
    </row>
    <row r="18" customFormat="false" ht="12.75" hidden="false" customHeight="false" outlineLevel="0" collapsed="false">
      <c r="A18" s="364" t="n">
        <v>44874</v>
      </c>
      <c r="B18" s="347" t="n">
        <v>44874</v>
      </c>
      <c r="F18" s="365"/>
    </row>
    <row r="19" customFormat="false" ht="12.75" hidden="false" customHeight="false" outlineLevel="0" collapsed="false">
      <c r="A19" s="364" t="n">
        <v>44875</v>
      </c>
      <c r="B19" s="347" t="n">
        <v>44875</v>
      </c>
      <c r="E19" s="349" t="n">
        <v>200</v>
      </c>
      <c r="F19" s="365"/>
    </row>
    <row r="20" customFormat="false" ht="12.75" hidden="false" customHeight="false" outlineLevel="0" collapsed="false">
      <c r="A20" s="364" t="n">
        <v>44876</v>
      </c>
      <c r="B20" s="347" t="n">
        <v>44876</v>
      </c>
      <c r="E20" s="349" t="n">
        <v>200</v>
      </c>
      <c r="F20" s="365"/>
    </row>
    <row r="21" customFormat="false" ht="12.75" hidden="false" customHeight="false" outlineLevel="0" collapsed="false">
      <c r="A21" s="364" t="n">
        <v>44877</v>
      </c>
      <c r="B21" s="347" t="n">
        <v>44877</v>
      </c>
      <c r="E21" s="349" t="n">
        <v>200</v>
      </c>
      <c r="F21" s="365"/>
    </row>
    <row r="22" customFormat="false" ht="12.75" hidden="false" customHeight="false" outlineLevel="0" collapsed="false">
      <c r="A22" s="364" t="n">
        <v>44878</v>
      </c>
      <c r="B22" s="347" t="n">
        <v>44878</v>
      </c>
      <c r="E22" s="349" t="n">
        <v>200</v>
      </c>
      <c r="F22" s="365"/>
    </row>
    <row r="23" customFormat="false" ht="12.75" hidden="false" customHeight="false" outlineLevel="0" collapsed="false">
      <c r="A23" s="364" t="n">
        <v>44878</v>
      </c>
      <c r="B23" s="347" t="s">
        <v>242</v>
      </c>
      <c r="F23" s="365"/>
    </row>
    <row r="24" customFormat="false" ht="12.75" hidden="false" customHeight="false" outlineLevel="0" collapsed="false">
      <c r="A24" s="364" t="n">
        <v>44878</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44879</v>
      </c>
      <c r="B27" s="359" t="n">
        <v>44879</v>
      </c>
      <c r="C27" s="360"/>
      <c r="D27" s="361"/>
      <c r="E27" s="362" t="n">
        <v>200</v>
      </c>
    </row>
    <row r="28" customFormat="false" ht="12.75" hidden="false" customHeight="false" outlineLevel="0" collapsed="false">
      <c r="B28" s="347" t="n">
        <v>44880</v>
      </c>
      <c r="F28" s="365"/>
    </row>
    <row r="29" customFormat="false" ht="12.75" hidden="false" customHeight="false" outlineLevel="0" collapsed="false">
      <c r="A29" s="364" t="n">
        <v>44881</v>
      </c>
      <c r="B29" s="347" t="n">
        <v>44881</v>
      </c>
      <c r="F29" s="365"/>
    </row>
    <row r="30" customFormat="false" ht="12.75" hidden="false" customHeight="false" outlineLevel="0" collapsed="false">
      <c r="A30" s="364" t="n">
        <v>44882</v>
      </c>
      <c r="B30" s="347" t="n">
        <v>44882</v>
      </c>
      <c r="E30" s="349" t="n">
        <v>200</v>
      </c>
      <c r="F30" s="365"/>
    </row>
    <row r="31" customFormat="false" ht="12.75" hidden="false" customHeight="false" outlineLevel="0" collapsed="false">
      <c r="A31" s="364" t="n">
        <v>44883</v>
      </c>
      <c r="B31" s="347" t="n">
        <v>44883</v>
      </c>
      <c r="E31" s="349" t="n">
        <v>200</v>
      </c>
      <c r="F31" s="365"/>
    </row>
    <row r="32" customFormat="false" ht="12.75" hidden="false" customHeight="false" outlineLevel="0" collapsed="false">
      <c r="A32" s="364" t="n">
        <v>44884</v>
      </c>
      <c r="B32" s="347" t="n">
        <v>44884</v>
      </c>
      <c r="E32" s="349" t="n">
        <v>200</v>
      </c>
      <c r="F32" s="365"/>
    </row>
    <row r="33" customFormat="false" ht="12.75" hidden="false" customHeight="false" outlineLevel="0" collapsed="false">
      <c r="A33" s="364" t="n">
        <v>44885</v>
      </c>
      <c r="B33" s="347" t="n">
        <v>44885</v>
      </c>
      <c r="E33" s="349" t="n">
        <v>200</v>
      </c>
      <c r="F33" s="365"/>
    </row>
    <row r="34" customFormat="false" ht="12.75" hidden="false" customHeight="false" outlineLevel="0" collapsed="false">
      <c r="A34" s="364" t="n">
        <v>44885</v>
      </c>
      <c r="B34" s="347" t="s">
        <v>242</v>
      </c>
      <c r="F34" s="365"/>
    </row>
    <row r="35" customFormat="false" ht="12.75" hidden="false" customHeight="false" outlineLevel="0" collapsed="false">
      <c r="A35" s="364" t="n">
        <v>44885</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44886</v>
      </c>
      <c r="B38" s="359" t="n">
        <v>44886</v>
      </c>
      <c r="C38" s="360"/>
      <c r="D38" s="361"/>
      <c r="E38" s="362" t="n">
        <v>200</v>
      </c>
    </row>
    <row r="39" customFormat="false" ht="12.75" hidden="false" customHeight="false" outlineLevel="0" collapsed="false">
      <c r="B39" s="347" t="n">
        <v>44887</v>
      </c>
      <c r="F39" s="365"/>
    </row>
    <row r="40" customFormat="false" ht="12.75" hidden="false" customHeight="false" outlineLevel="0" collapsed="false">
      <c r="A40" s="364" t="n">
        <v>44888</v>
      </c>
      <c r="B40" s="347" t="n">
        <v>44888</v>
      </c>
      <c r="F40" s="365"/>
    </row>
    <row r="41" customFormat="false" ht="12.75" hidden="false" customHeight="false" outlineLevel="0" collapsed="false">
      <c r="A41" s="364" t="n">
        <v>44889</v>
      </c>
      <c r="B41" s="347" t="n">
        <v>44889</v>
      </c>
      <c r="F41" s="365"/>
    </row>
    <row r="42" customFormat="false" ht="12.75" hidden="false" customHeight="false" outlineLevel="0" collapsed="false">
      <c r="A42" s="364" t="n">
        <v>44890</v>
      </c>
      <c r="B42" s="347" t="n">
        <v>44890</v>
      </c>
      <c r="F42" s="365"/>
    </row>
    <row r="43" customFormat="false" ht="12.75" hidden="false" customHeight="false" outlineLevel="0" collapsed="false">
      <c r="A43" s="364" t="n">
        <v>44891</v>
      </c>
      <c r="B43" s="347" t="n">
        <v>44891</v>
      </c>
      <c r="F43" s="365"/>
    </row>
    <row r="44" customFormat="false" ht="12.75" hidden="false" customHeight="false" outlineLevel="0" collapsed="false">
      <c r="A44" s="364" t="n">
        <v>44892</v>
      </c>
      <c r="B44" s="347" t="n">
        <v>44892</v>
      </c>
      <c r="F44" s="365"/>
    </row>
    <row r="45" customFormat="false" ht="12.75" hidden="false" customHeight="false" outlineLevel="0" collapsed="false">
      <c r="A45" s="364" t="n">
        <v>44892</v>
      </c>
      <c r="B45" s="347" t="s">
        <v>242</v>
      </c>
      <c r="F45" s="365"/>
    </row>
    <row r="46" customFormat="false" ht="12.75" hidden="false" customHeight="false" outlineLevel="0" collapsed="false">
      <c r="A46" s="364" t="n">
        <v>44892</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245</v>
      </c>
      <c r="C2" s="380" t="s">
        <v>246</v>
      </c>
      <c r="D2" s="380" t="s">
        <v>247</v>
      </c>
      <c r="E2" s="380" t="s">
        <v>248</v>
      </c>
      <c r="F2" s="207" t="s">
        <v>249</v>
      </c>
      <c r="G2" s="381" t="s">
        <v>250</v>
      </c>
      <c r="H2" s="381"/>
      <c r="I2" s="382" t="n">
        <f aca="false">G1+H1+I1+J1+PurchasesOct!I2</f>
        <v>3780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IF((A1&lt;Admin!$F$22),((A1-PurchasesOct!A1)*Admin!$G$21),(A1*Admin!$G$21-(A1-Admin!$F$21)*(Admin!$G$21-Admin!$G$22)-PurchasesOct!A2))</f>
        <v>0</v>
      </c>
    </row>
    <row r="5" s="373" customFormat="true" ht="12.75" hidden="false" customHeight="false" outlineLevel="0" collapsed="false">
      <c r="A5" s="372" t="n">
        <v>45976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44893</v>
      </c>
      <c r="B5" s="359" t="n">
        <v>44893</v>
      </c>
      <c r="C5" s="360"/>
      <c r="D5" s="361"/>
      <c r="E5" s="362"/>
      <c r="F5" s="363"/>
    </row>
    <row r="6" customFormat="false" ht="12.75" hidden="false" customHeight="false" outlineLevel="0" collapsed="false">
      <c r="A6" s="364" t="n">
        <v>44894</v>
      </c>
      <c r="B6" s="347" t="n">
        <v>44894</v>
      </c>
      <c r="F6" s="365"/>
    </row>
    <row r="7" customFormat="false" ht="12.75" hidden="false" customHeight="false" outlineLevel="0" collapsed="false">
      <c r="A7" s="364" t="n">
        <v>44895</v>
      </c>
      <c r="B7" s="347" t="n">
        <v>44895</v>
      </c>
      <c r="F7" s="365"/>
    </row>
    <row r="8" customFormat="false" ht="12.75" hidden="false" customHeight="false" outlineLevel="0" collapsed="false">
      <c r="A8" s="364" t="n">
        <v>44896</v>
      </c>
      <c r="B8" s="347" t="n">
        <v>44896</v>
      </c>
      <c r="E8" s="349" t="n">
        <v>200</v>
      </c>
      <c r="F8" s="365"/>
    </row>
    <row r="9" customFormat="false" ht="12.75" hidden="false" customHeight="false" outlineLevel="0" collapsed="false">
      <c r="A9" s="364" t="n">
        <v>44897</v>
      </c>
      <c r="B9" s="347" t="n">
        <v>44897</v>
      </c>
      <c r="E9" s="349" t="n">
        <v>200</v>
      </c>
      <c r="F9" s="365"/>
    </row>
    <row r="10" customFormat="false" ht="12.75" hidden="false" customHeight="false" outlineLevel="0" collapsed="false">
      <c r="A10" s="364" t="n">
        <v>44898</v>
      </c>
      <c r="B10" s="347" t="n">
        <v>44898</v>
      </c>
      <c r="E10" s="349" t="n">
        <v>200</v>
      </c>
      <c r="F10" s="365"/>
    </row>
    <row r="11" customFormat="false" ht="12.75" hidden="false" customHeight="false" outlineLevel="0" collapsed="false">
      <c r="A11" s="364" t="n">
        <v>44899</v>
      </c>
      <c r="B11" s="347" t="n">
        <v>44899</v>
      </c>
      <c r="E11" s="349" t="n">
        <v>200</v>
      </c>
      <c r="F11" s="365"/>
    </row>
    <row r="12" customFormat="false" ht="12.75" hidden="false" customHeight="false" outlineLevel="0" collapsed="false">
      <c r="A12" s="364" t="n">
        <v>44899</v>
      </c>
      <c r="B12" s="347" t="s">
        <v>242</v>
      </c>
      <c r="F12" s="365"/>
    </row>
    <row r="13" customFormat="false" ht="12.75" hidden="false" customHeight="false" outlineLevel="0" collapsed="false">
      <c r="A13" s="364" t="n">
        <v>44899</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44900</v>
      </c>
      <c r="B16" s="359" t="n">
        <v>44900</v>
      </c>
      <c r="C16" s="360"/>
      <c r="D16" s="361"/>
      <c r="E16" s="362" t="n">
        <v>200</v>
      </c>
    </row>
    <row r="17" customFormat="false" ht="12.75" hidden="false" customHeight="false" outlineLevel="0" collapsed="false">
      <c r="B17" s="347" t="n">
        <v>44901</v>
      </c>
      <c r="F17" s="365"/>
    </row>
    <row r="18" customFormat="false" ht="12.75" hidden="false" customHeight="false" outlineLevel="0" collapsed="false">
      <c r="A18" s="364" t="n">
        <v>44902</v>
      </c>
      <c r="B18" s="347" t="n">
        <v>44902</v>
      </c>
      <c r="F18" s="365"/>
    </row>
    <row r="19" customFormat="false" ht="12.75" hidden="false" customHeight="false" outlineLevel="0" collapsed="false">
      <c r="A19" s="364" t="n">
        <v>44903</v>
      </c>
      <c r="B19" s="347" t="n">
        <v>44903</v>
      </c>
      <c r="E19" s="349" t="n">
        <v>200</v>
      </c>
      <c r="F19" s="365"/>
    </row>
    <row r="20" customFormat="false" ht="12.75" hidden="false" customHeight="false" outlineLevel="0" collapsed="false">
      <c r="A20" s="364" t="n">
        <v>44904</v>
      </c>
      <c r="B20" s="347" t="n">
        <v>44904</v>
      </c>
      <c r="E20" s="349" t="n">
        <v>200</v>
      </c>
      <c r="F20" s="365"/>
    </row>
    <row r="21" customFormat="false" ht="12.75" hidden="false" customHeight="false" outlineLevel="0" collapsed="false">
      <c r="A21" s="364" t="n">
        <v>44905</v>
      </c>
      <c r="B21" s="347" t="n">
        <v>44905</v>
      </c>
      <c r="E21" s="349" t="n">
        <v>200</v>
      </c>
      <c r="F21" s="365"/>
    </row>
    <row r="22" customFormat="false" ht="12.75" hidden="false" customHeight="false" outlineLevel="0" collapsed="false">
      <c r="A22" s="364" t="n">
        <v>44906</v>
      </c>
      <c r="B22" s="347" t="n">
        <v>44906</v>
      </c>
      <c r="E22" s="349" t="n">
        <v>200</v>
      </c>
      <c r="F22" s="365"/>
    </row>
    <row r="23" customFormat="false" ht="12.75" hidden="false" customHeight="false" outlineLevel="0" collapsed="false">
      <c r="A23" s="364" t="n">
        <v>44906</v>
      </c>
      <c r="B23" s="347" t="s">
        <v>242</v>
      </c>
      <c r="F23" s="365"/>
    </row>
    <row r="24" customFormat="false" ht="12.75" hidden="false" customHeight="false" outlineLevel="0" collapsed="false">
      <c r="A24" s="364" t="n">
        <v>44906</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44907</v>
      </c>
      <c r="B27" s="359" t="n">
        <v>44907</v>
      </c>
      <c r="C27" s="360"/>
      <c r="D27" s="361"/>
      <c r="E27" s="362" t="n">
        <v>200</v>
      </c>
    </row>
    <row r="28" customFormat="false" ht="12.75" hidden="false" customHeight="false" outlineLevel="0" collapsed="false">
      <c r="B28" s="347" t="n">
        <v>44908</v>
      </c>
      <c r="F28" s="365"/>
    </row>
    <row r="29" customFormat="false" ht="12.75" hidden="false" customHeight="false" outlineLevel="0" collapsed="false">
      <c r="A29" s="364" t="n">
        <v>44909</v>
      </c>
      <c r="B29" s="347" t="n">
        <v>44909</v>
      </c>
      <c r="F29" s="365"/>
    </row>
    <row r="30" customFormat="false" ht="12.75" hidden="false" customHeight="false" outlineLevel="0" collapsed="false">
      <c r="A30" s="364" t="n">
        <v>44910</v>
      </c>
      <c r="B30" s="347" t="n">
        <v>44910</v>
      </c>
      <c r="E30" s="349" t="n">
        <v>200</v>
      </c>
      <c r="F30" s="365"/>
    </row>
    <row r="31" customFormat="false" ht="12.75" hidden="false" customHeight="false" outlineLevel="0" collapsed="false">
      <c r="A31" s="364" t="n">
        <v>44911</v>
      </c>
      <c r="B31" s="347" t="n">
        <v>44911</v>
      </c>
      <c r="E31" s="349" t="n">
        <v>200</v>
      </c>
      <c r="F31" s="365"/>
    </row>
    <row r="32" customFormat="false" ht="12.75" hidden="false" customHeight="false" outlineLevel="0" collapsed="false">
      <c r="A32" s="364" t="n">
        <v>44912</v>
      </c>
      <c r="B32" s="347" t="n">
        <v>44912</v>
      </c>
      <c r="E32" s="349" t="n">
        <v>200</v>
      </c>
      <c r="F32" s="365"/>
    </row>
    <row r="33" customFormat="false" ht="12.75" hidden="false" customHeight="false" outlineLevel="0" collapsed="false">
      <c r="A33" s="364" t="n">
        <v>44913</v>
      </c>
      <c r="B33" s="347" t="n">
        <v>44913</v>
      </c>
      <c r="E33" s="349" t="n">
        <v>200</v>
      </c>
      <c r="F33" s="365"/>
    </row>
    <row r="34" customFormat="false" ht="12.75" hidden="false" customHeight="false" outlineLevel="0" collapsed="false">
      <c r="A34" s="364" t="n">
        <v>44913</v>
      </c>
      <c r="B34" s="347" t="s">
        <v>242</v>
      </c>
      <c r="F34" s="365"/>
    </row>
    <row r="35" customFormat="false" ht="12.75" hidden="false" customHeight="false" outlineLevel="0" collapsed="false">
      <c r="A35" s="364" t="n">
        <v>44913</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44914</v>
      </c>
      <c r="B38" s="359" t="n">
        <v>44914</v>
      </c>
      <c r="C38" s="360"/>
      <c r="D38" s="361"/>
      <c r="E38" s="362" t="n">
        <v>200</v>
      </c>
    </row>
    <row r="39" customFormat="false" ht="12.75" hidden="false" customHeight="false" outlineLevel="0" collapsed="false">
      <c r="B39" s="347" t="n">
        <v>44915</v>
      </c>
      <c r="F39" s="365"/>
    </row>
    <row r="40" customFormat="false" ht="12.75" hidden="false" customHeight="false" outlineLevel="0" collapsed="false">
      <c r="A40" s="364" t="n">
        <v>44916</v>
      </c>
      <c r="B40" s="347" t="n">
        <v>44916</v>
      </c>
      <c r="F40" s="365"/>
    </row>
    <row r="41" customFormat="false" ht="12.75" hidden="false" customHeight="false" outlineLevel="0" collapsed="false">
      <c r="A41" s="364" t="n">
        <v>44917</v>
      </c>
      <c r="B41" s="347" t="n">
        <v>44917</v>
      </c>
      <c r="F41" s="365"/>
    </row>
    <row r="42" customFormat="false" ht="12.75" hidden="false" customHeight="false" outlineLevel="0" collapsed="false">
      <c r="A42" s="364" t="n">
        <v>44918</v>
      </c>
      <c r="B42" s="347" t="n">
        <v>44918</v>
      </c>
      <c r="F42" s="365"/>
    </row>
    <row r="43" customFormat="false" ht="12.75" hidden="false" customHeight="false" outlineLevel="0" collapsed="false">
      <c r="A43" s="364" t="n">
        <v>44919</v>
      </c>
      <c r="B43" s="347" t="n">
        <v>44919</v>
      </c>
      <c r="F43" s="365"/>
    </row>
    <row r="44" customFormat="false" ht="12.75" hidden="false" customHeight="false" outlineLevel="0" collapsed="false">
      <c r="A44" s="364" t="n">
        <v>44920</v>
      </c>
      <c r="B44" s="347" t="n">
        <v>44920</v>
      </c>
      <c r="F44" s="365"/>
    </row>
    <row r="45" customFormat="false" ht="12.75" hidden="false" customHeight="false" outlineLevel="0" collapsed="false">
      <c r="A45" s="364" t="n">
        <v>44920</v>
      </c>
      <c r="B45" s="347" t="s">
        <v>242</v>
      </c>
      <c r="F45" s="365"/>
    </row>
    <row r="46" customFormat="false" ht="12.75" hidden="false" customHeight="false" outlineLevel="0" collapsed="false">
      <c r="A46" s="364" t="n">
        <v>44920</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245</v>
      </c>
      <c r="C2" s="380" t="s">
        <v>246</v>
      </c>
      <c r="D2" s="380" t="s">
        <v>247</v>
      </c>
      <c r="E2" s="380" t="s">
        <v>248</v>
      </c>
      <c r="F2" s="207" t="s">
        <v>249</v>
      </c>
      <c r="G2" s="381" t="s">
        <v>250</v>
      </c>
      <c r="H2" s="381"/>
      <c r="I2" s="382" t="n">
        <f aca="false">G1+H1+I1+J1+PurchasesNov!I2</f>
        <v>4080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IF((A1&lt;Admin!$F$22),((A1-PurchasesNov!A1)*Admin!$G$21),(A1*Admin!$G$21-(A1-Admin!$F$21)*(Admin!$G$21-Admin!$G$22)-PurchasesNov!A2))</f>
        <v>0</v>
      </c>
    </row>
    <row r="5" s="373" customFormat="true" ht="12.75" hidden="false" customHeight="false" outlineLevel="0" collapsed="false">
      <c r="A5" s="372" t="n">
        <v>46006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SUM(D4:D58)</f>
        <v>0</v>
      </c>
      <c r="E1" s="352" t="n">
        <f aca="false">SUM(E4:E58)/2</f>
        <v>3000</v>
      </c>
      <c r="F1" s="352" t="n">
        <f aca="false">SUM(F4:F58)/2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44921</v>
      </c>
      <c r="B5" s="359" t="n">
        <v>44921</v>
      </c>
      <c r="C5" s="360"/>
      <c r="D5" s="361"/>
      <c r="E5" s="362"/>
      <c r="F5" s="363"/>
    </row>
    <row r="6" customFormat="false" ht="12.75" hidden="false" customHeight="false" outlineLevel="0" collapsed="false">
      <c r="A6" s="364" t="n">
        <v>44922</v>
      </c>
      <c r="B6" s="347" t="n">
        <v>44922</v>
      </c>
      <c r="F6" s="365"/>
    </row>
    <row r="7" customFormat="false" ht="12.75" hidden="false" customHeight="false" outlineLevel="0" collapsed="false">
      <c r="A7" s="364" t="n">
        <v>44923</v>
      </c>
      <c r="B7" s="347" t="n">
        <v>44923</v>
      </c>
      <c r="F7" s="365"/>
    </row>
    <row r="8" customFormat="false" ht="12.75" hidden="false" customHeight="false" outlineLevel="0" collapsed="false">
      <c r="A8" s="364" t="n">
        <v>44924</v>
      </c>
      <c r="B8" s="347" t="n">
        <v>44924</v>
      </c>
      <c r="F8" s="365"/>
    </row>
    <row r="9" customFormat="false" ht="12.75" hidden="false" customHeight="false" outlineLevel="0" collapsed="false">
      <c r="A9" s="364" t="n">
        <v>44925</v>
      </c>
      <c r="B9" s="347" t="n">
        <v>44925</v>
      </c>
      <c r="F9" s="365"/>
    </row>
    <row r="10" customFormat="false" ht="12.75" hidden="false" customHeight="false" outlineLevel="0" collapsed="false">
      <c r="A10" s="364" t="n">
        <v>44926</v>
      </c>
      <c r="B10" s="347" t="n">
        <v>44926</v>
      </c>
      <c r="F10" s="365"/>
    </row>
    <row r="11" customFormat="false" ht="12.75" hidden="false" customHeight="false" outlineLevel="0" collapsed="false">
      <c r="A11" s="364" t="n">
        <v>44927</v>
      </c>
      <c r="B11" s="347" t="n">
        <v>44927</v>
      </c>
      <c r="F11" s="365"/>
    </row>
    <row r="12" customFormat="false" ht="12.75" hidden="false" customHeight="false" outlineLevel="0" collapsed="false">
      <c r="A12" s="364" t="n">
        <v>44927</v>
      </c>
      <c r="B12" s="347" t="s">
        <v>242</v>
      </c>
      <c r="F12" s="365"/>
    </row>
    <row r="13" customFormat="false" ht="12.75" hidden="false" customHeight="false" outlineLevel="0" collapsed="false">
      <c r="A13" s="364" t="n">
        <v>44927</v>
      </c>
      <c r="B13" s="347" t="s">
        <v>243</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44928</v>
      </c>
      <c r="B16" s="359" t="n">
        <v>44928</v>
      </c>
      <c r="C16" s="360"/>
      <c r="D16" s="361"/>
      <c r="E16" s="362"/>
      <c r="F16" s="363"/>
    </row>
    <row r="17" customFormat="false" ht="12.75" hidden="false" customHeight="false" outlineLevel="0" collapsed="false">
      <c r="A17" s="364" t="n">
        <v>44929</v>
      </c>
      <c r="B17" s="347" t="n">
        <v>44929</v>
      </c>
      <c r="F17" s="365"/>
    </row>
    <row r="18" customFormat="false" ht="12.75" hidden="false" customHeight="false" outlineLevel="0" collapsed="false">
      <c r="A18" s="364" t="n">
        <v>44930</v>
      </c>
      <c r="B18" s="347" t="n">
        <v>44930</v>
      </c>
      <c r="F18" s="365"/>
    </row>
    <row r="19" customFormat="false" ht="12.75" hidden="false" customHeight="false" outlineLevel="0" collapsed="false">
      <c r="A19" s="364" t="n">
        <v>44931</v>
      </c>
      <c r="B19" s="347" t="n">
        <v>44931</v>
      </c>
      <c r="E19" s="349" t="n">
        <v>200</v>
      </c>
      <c r="F19" s="365"/>
    </row>
    <row r="20" customFormat="false" ht="12.75" hidden="false" customHeight="false" outlineLevel="0" collapsed="false">
      <c r="A20" s="364" t="n">
        <v>44932</v>
      </c>
      <c r="B20" s="347" t="n">
        <v>44932</v>
      </c>
      <c r="E20" s="349" t="n">
        <v>200</v>
      </c>
      <c r="F20" s="365"/>
    </row>
    <row r="21" customFormat="false" ht="12.75" hidden="false" customHeight="false" outlineLevel="0" collapsed="false">
      <c r="A21" s="364" t="n">
        <v>44933</v>
      </c>
      <c r="B21" s="347" t="n">
        <v>44933</v>
      </c>
      <c r="E21" s="349" t="n">
        <v>200</v>
      </c>
      <c r="F21" s="365"/>
    </row>
    <row r="22" customFormat="false" ht="12.75" hidden="false" customHeight="false" outlineLevel="0" collapsed="false">
      <c r="A22" s="364" t="n">
        <v>44934</v>
      </c>
      <c r="B22" s="347" t="n">
        <v>44934</v>
      </c>
      <c r="E22" s="349" t="n">
        <v>200</v>
      </c>
      <c r="F22" s="365"/>
    </row>
    <row r="23" customFormat="false" ht="12.75" hidden="false" customHeight="false" outlineLevel="0" collapsed="false">
      <c r="A23" s="364" t="n">
        <v>44934</v>
      </c>
      <c r="B23" s="347" t="s">
        <v>242</v>
      </c>
      <c r="F23" s="365"/>
    </row>
    <row r="24" customFormat="false" ht="12.75" hidden="false" customHeight="false" outlineLevel="0" collapsed="false">
      <c r="A24" s="364" t="n">
        <v>44934</v>
      </c>
      <c r="B24" s="347" t="s">
        <v>243</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44935</v>
      </c>
      <c r="B27" s="359" t="n">
        <v>44935</v>
      </c>
      <c r="C27" s="360"/>
      <c r="D27" s="361"/>
      <c r="E27" s="362" t="n">
        <v>200</v>
      </c>
    </row>
    <row r="28" customFormat="false" ht="12.75" hidden="false" customHeight="false" outlineLevel="0" collapsed="false">
      <c r="B28" s="347" t="n">
        <v>44936</v>
      </c>
      <c r="F28" s="365"/>
    </row>
    <row r="29" customFormat="false" ht="12.75" hidden="false" customHeight="false" outlineLevel="0" collapsed="false">
      <c r="A29" s="364" t="n">
        <v>44937</v>
      </c>
      <c r="B29" s="347" t="n">
        <v>44937</v>
      </c>
      <c r="F29" s="365"/>
    </row>
    <row r="30" customFormat="false" ht="12.75" hidden="false" customHeight="false" outlineLevel="0" collapsed="false">
      <c r="A30" s="364" t="n">
        <v>44938</v>
      </c>
      <c r="B30" s="347" t="n">
        <v>44938</v>
      </c>
      <c r="E30" s="349" t="n">
        <v>200</v>
      </c>
      <c r="F30" s="365"/>
    </row>
    <row r="31" customFormat="false" ht="12.75" hidden="false" customHeight="false" outlineLevel="0" collapsed="false">
      <c r="A31" s="364" t="n">
        <v>44939</v>
      </c>
      <c r="B31" s="347" t="n">
        <v>44939</v>
      </c>
      <c r="E31" s="349" t="n">
        <v>200</v>
      </c>
      <c r="F31" s="365"/>
    </row>
    <row r="32" customFormat="false" ht="12.75" hidden="false" customHeight="false" outlineLevel="0" collapsed="false">
      <c r="A32" s="364" t="n">
        <v>44940</v>
      </c>
      <c r="B32" s="347" t="n">
        <v>44940</v>
      </c>
      <c r="E32" s="349" t="n">
        <v>200</v>
      </c>
      <c r="F32" s="365"/>
    </row>
    <row r="33" customFormat="false" ht="12.75" hidden="false" customHeight="false" outlineLevel="0" collapsed="false">
      <c r="A33" s="364" t="n">
        <v>44941</v>
      </c>
      <c r="B33" s="347" t="n">
        <v>44941</v>
      </c>
      <c r="E33" s="349" t="n">
        <v>200</v>
      </c>
      <c r="F33" s="365"/>
    </row>
    <row r="34" customFormat="false" ht="12.75" hidden="false" customHeight="false" outlineLevel="0" collapsed="false">
      <c r="A34" s="364" t="n">
        <v>44941</v>
      </c>
      <c r="B34" s="347" t="s">
        <v>242</v>
      </c>
      <c r="F34" s="365"/>
    </row>
    <row r="35" customFormat="false" ht="12.75" hidden="false" customHeight="false" outlineLevel="0" collapsed="false">
      <c r="A35" s="364" t="n">
        <v>44941</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44942</v>
      </c>
      <c r="B38" s="359" t="n">
        <v>44942</v>
      </c>
      <c r="C38" s="360"/>
      <c r="D38" s="361"/>
      <c r="E38" s="362" t="n">
        <v>200</v>
      </c>
    </row>
    <row r="39" customFormat="false" ht="12.75" hidden="false" customHeight="false" outlineLevel="0" collapsed="false">
      <c r="B39" s="347" t="n">
        <v>44943</v>
      </c>
      <c r="F39" s="365"/>
    </row>
    <row r="40" customFormat="false" ht="12.75" hidden="false" customHeight="false" outlineLevel="0" collapsed="false">
      <c r="A40" s="364" t="n">
        <v>44944</v>
      </c>
      <c r="B40" s="347" t="n">
        <v>44944</v>
      </c>
      <c r="F40" s="365"/>
    </row>
    <row r="41" customFormat="false" ht="12.75" hidden="false" customHeight="false" outlineLevel="0" collapsed="false">
      <c r="A41" s="364" t="n">
        <v>44945</v>
      </c>
      <c r="B41" s="347" t="n">
        <v>44945</v>
      </c>
      <c r="E41" s="349" t="n">
        <v>200</v>
      </c>
      <c r="F41" s="365"/>
    </row>
    <row r="42" customFormat="false" ht="12.75" hidden="false" customHeight="false" outlineLevel="0" collapsed="false">
      <c r="A42" s="364" t="n">
        <v>44946</v>
      </c>
      <c r="B42" s="347" t="n">
        <v>44946</v>
      </c>
      <c r="E42" s="349" t="n">
        <v>200</v>
      </c>
      <c r="F42" s="365"/>
    </row>
    <row r="43" customFormat="false" ht="12.75" hidden="false" customHeight="false" outlineLevel="0" collapsed="false">
      <c r="A43" s="364" t="n">
        <v>44947</v>
      </c>
      <c r="B43" s="347" t="n">
        <v>44947</v>
      </c>
      <c r="E43" s="349" t="n">
        <v>200</v>
      </c>
      <c r="F43" s="365"/>
    </row>
    <row r="44" customFormat="false" ht="12.75" hidden="false" customHeight="false" outlineLevel="0" collapsed="false">
      <c r="A44" s="364" t="n">
        <v>44948</v>
      </c>
      <c r="B44" s="347" t="n">
        <v>44948</v>
      </c>
      <c r="E44" s="349" t="n">
        <v>200</v>
      </c>
      <c r="F44" s="365"/>
    </row>
    <row r="45" customFormat="false" ht="12.75" hidden="false" customHeight="false" outlineLevel="0" collapsed="false">
      <c r="A45" s="364" t="n">
        <v>44948</v>
      </c>
      <c r="B45" s="347" t="s">
        <v>242</v>
      </c>
      <c r="F45" s="365"/>
    </row>
    <row r="46" customFormat="false" ht="12.75" hidden="false" customHeight="false" outlineLevel="0" collapsed="false">
      <c r="A46" s="364" t="n">
        <v>44948</v>
      </c>
      <c r="B46" s="347" t="s">
        <v>243</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44949</v>
      </c>
      <c r="B49" s="359" t="n">
        <v>44949</v>
      </c>
      <c r="C49" s="360"/>
      <c r="D49" s="361"/>
      <c r="E49" s="362" t="n">
        <v>200</v>
      </c>
    </row>
    <row r="50" customFormat="false" ht="12.75" hidden="false" customHeight="false" outlineLevel="0" collapsed="false">
      <c r="B50" s="347" t="n">
        <v>44950</v>
      </c>
      <c r="F50" s="365"/>
    </row>
    <row r="51" customFormat="false" ht="12.75" hidden="false" customHeight="false" outlineLevel="0" collapsed="false">
      <c r="A51" s="364" t="n">
        <v>44951</v>
      </c>
      <c r="B51" s="347" t="n">
        <v>44951</v>
      </c>
      <c r="F51" s="365"/>
    </row>
    <row r="52" customFormat="false" ht="12.75" hidden="false" customHeight="false" outlineLevel="0" collapsed="false">
      <c r="A52" s="364" t="n">
        <v>44952</v>
      </c>
      <c r="B52" s="347" t="n">
        <v>44952</v>
      </c>
      <c r="F52" s="365"/>
    </row>
    <row r="53" customFormat="false" ht="12.75" hidden="false" customHeight="false" outlineLevel="0" collapsed="false">
      <c r="A53" s="364" t="n">
        <v>44953</v>
      </c>
      <c r="B53" s="347" t="n">
        <v>44953</v>
      </c>
      <c r="F53" s="365"/>
    </row>
    <row r="54" customFormat="false" ht="12.75" hidden="false" customHeight="false" outlineLevel="0" collapsed="false">
      <c r="A54" s="364" t="n">
        <v>44954</v>
      </c>
      <c r="B54" s="347" t="n">
        <v>44954</v>
      </c>
      <c r="F54" s="365"/>
    </row>
    <row r="55" customFormat="false" ht="12.75" hidden="false" customHeight="false" outlineLevel="0" collapsed="false">
      <c r="A55" s="364" t="n">
        <v>44955</v>
      </c>
      <c r="B55" s="347" t="n">
        <v>44955</v>
      </c>
      <c r="F55" s="365"/>
    </row>
    <row r="56" customFormat="false" ht="12.75" hidden="false" customHeight="false" outlineLevel="0" collapsed="false">
      <c r="A56" s="364" t="n">
        <v>44955</v>
      </c>
      <c r="B56" s="347" t="s">
        <v>242</v>
      </c>
      <c r="F56" s="365"/>
    </row>
    <row r="57" customFormat="false" ht="12.75" hidden="false" customHeight="false" outlineLevel="0" collapsed="false">
      <c r="A57" s="364" t="n">
        <v>44955</v>
      </c>
      <c r="B57" s="347" t="s">
        <v>243</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244</v>
      </c>
      <c r="C1" s="392" t="s">
        <v>237</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245</v>
      </c>
      <c r="C2" s="380" t="s">
        <v>246</v>
      </c>
      <c r="D2" s="380" t="s">
        <v>247</v>
      </c>
      <c r="E2" s="380" t="s">
        <v>248</v>
      </c>
      <c r="F2" s="207" t="s">
        <v>249</v>
      </c>
      <c r="G2" s="381" t="s">
        <v>250</v>
      </c>
      <c r="H2" s="381"/>
      <c r="I2" s="382" t="n">
        <f aca="false">G1+H1+I1+J1+PurchasesDec!I2</f>
        <v>4380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IF((A1&lt;Admin!$F$22),((A1-PurchasesDec!A1)*Admin!$G$21),(A1*Admin!$G$21-(A1-Admin!$F$21)*(Admin!$G$21-Admin!$G$22)-PurchasesDec!A2))</f>
        <v>0</v>
      </c>
    </row>
    <row r="5" s="373" customFormat="true" ht="12.75" hidden="false" customHeight="false" outlineLevel="0" collapsed="false">
      <c r="A5" s="372" t="n">
        <v>46037</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281</v>
      </c>
      <c r="D6" s="373" t="s">
        <v>282</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288</v>
      </c>
      <c r="D7" s="373" t="s">
        <v>284</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235</v>
      </c>
      <c r="B1" s="351" t="s">
        <v>236</v>
      </c>
      <c r="C1" s="352" t="s">
        <v>237</v>
      </c>
      <c r="D1" s="353" t="n">
        <f aca="false">SUM(D4:D47)</f>
        <v>0</v>
      </c>
      <c r="E1" s="352" t="n">
        <f aca="false">SUM(E4:E47)/2</f>
        <v>3000</v>
      </c>
      <c r="F1" s="352" t="n">
        <f aca="false">SUM(F4:F47)/2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44956</v>
      </c>
      <c r="B5" s="359" t="n">
        <v>44956</v>
      </c>
      <c r="C5" s="360"/>
      <c r="D5" s="361"/>
      <c r="E5" s="362"/>
      <c r="F5" s="363"/>
    </row>
    <row r="6" customFormat="false" ht="12.75" hidden="false" customHeight="false" outlineLevel="0" collapsed="false">
      <c r="A6" s="364" t="n">
        <v>44957</v>
      </c>
      <c r="B6" s="347" t="n">
        <v>44957</v>
      </c>
      <c r="F6" s="365"/>
    </row>
    <row r="7" customFormat="false" ht="12.75" hidden="false" customHeight="false" outlineLevel="0" collapsed="false">
      <c r="A7" s="364" t="n">
        <v>44958</v>
      </c>
      <c r="B7" s="347" t="n">
        <v>44958</v>
      </c>
      <c r="F7" s="365"/>
    </row>
    <row r="8" customFormat="false" ht="12.75" hidden="false" customHeight="false" outlineLevel="0" collapsed="false">
      <c r="A8" s="364" t="n">
        <v>44959</v>
      </c>
      <c r="B8" s="347" t="n">
        <v>44959</v>
      </c>
      <c r="E8" s="349" t="n">
        <v>200</v>
      </c>
      <c r="F8" s="365"/>
    </row>
    <row r="9" customFormat="false" ht="12.75" hidden="false" customHeight="false" outlineLevel="0" collapsed="false">
      <c r="A9" s="364" t="n">
        <v>44960</v>
      </c>
      <c r="B9" s="347" t="n">
        <v>44960</v>
      </c>
      <c r="E9" s="349" t="n">
        <v>200</v>
      </c>
      <c r="F9" s="365"/>
    </row>
    <row r="10" customFormat="false" ht="12.75" hidden="false" customHeight="false" outlineLevel="0" collapsed="false">
      <c r="A10" s="364" t="n">
        <v>44961</v>
      </c>
      <c r="B10" s="347" t="n">
        <v>44961</v>
      </c>
      <c r="E10" s="349" t="n">
        <v>200</v>
      </c>
      <c r="F10" s="365"/>
    </row>
    <row r="11" customFormat="false" ht="12.75" hidden="false" customHeight="false" outlineLevel="0" collapsed="false">
      <c r="A11" s="364" t="n">
        <v>44962</v>
      </c>
      <c r="B11" s="347" t="n">
        <v>44962</v>
      </c>
      <c r="E11" s="349" t="n">
        <v>200</v>
      </c>
      <c r="F11" s="365"/>
    </row>
    <row r="12" customFormat="false" ht="12.75" hidden="false" customHeight="false" outlineLevel="0" collapsed="false">
      <c r="A12" s="364" t="n">
        <v>44962</v>
      </c>
      <c r="B12" s="347" t="s">
        <v>242</v>
      </c>
      <c r="F12" s="365"/>
    </row>
    <row r="13" customFormat="false" ht="12.75" hidden="false" customHeight="false" outlineLevel="0" collapsed="false">
      <c r="A13" s="364" t="n">
        <v>44962</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44963</v>
      </c>
      <c r="B16" s="359" t="n">
        <v>44963</v>
      </c>
      <c r="C16" s="360"/>
      <c r="D16" s="361"/>
      <c r="E16" s="362" t="n">
        <v>200</v>
      </c>
    </row>
    <row r="17" customFormat="false" ht="12.75" hidden="false" customHeight="false" outlineLevel="0" collapsed="false">
      <c r="B17" s="347" t="n">
        <v>44964</v>
      </c>
      <c r="F17" s="365"/>
    </row>
    <row r="18" customFormat="false" ht="12.75" hidden="false" customHeight="false" outlineLevel="0" collapsed="false">
      <c r="A18" s="364" t="n">
        <v>44965</v>
      </c>
      <c r="B18" s="347" t="n">
        <v>44965</v>
      </c>
      <c r="F18" s="365"/>
    </row>
    <row r="19" customFormat="false" ht="12.75" hidden="false" customHeight="false" outlineLevel="0" collapsed="false">
      <c r="A19" s="364" t="n">
        <v>44966</v>
      </c>
      <c r="B19" s="347" t="n">
        <v>44966</v>
      </c>
      <c r="E19" s="349" t="n">
        <v>200</v>
      </c>
      <c r="F19" s="365"/>
    </row>
    <row r="20" customFormat="false" ht="12.75" hidden="false" customHeight="false" outlineLevel="0" collapsed="false">
      <c r="A20" s="364" t="n">
        <v>44967</v>
      </c>
      <c r="B20" s="347" t="n">
        <v>44967</v>
      </c>
      <c r="E20" s="349" t="n">
        <v>200</v>
      </c>
      <c r="F20" s="365"/>
    </row>
    <row r="21" customFormat="false" ht="12.75" hidden="false" customHeight="false" outlineLevel="0" collapsed="false">
      <c r="A21" s="364" t="n">
        <v>44968</v>
      </c>
      <c r="B21" s="347" t="n">
        <v>44968</v>
      </c>
      <c r="E21" s="349" t="n">
        <v>200</v>
      </c>
      <c r="F21" s="365"/>
    </row>
    <row r="22" customFormat="false" ht="12.75" hidden="false" customHeight="false" outlineLevel="0" collapsed="false">
      <c r="A22" s="364" t="n">
        <v>44969</v>
      </c>
      <c r="B22" s="347" t="n">
        <v>44969</v>
      </c>
      <c r="E22" s="349" t="n">
        <v>200</v>
      </c>
      <c r="F22" s="365"/>
    </row>
    <row r="23" customFormat="false" ht="12.75" hidden="false" customHeight="false" outlineLevel="0" collapsed="false">
      <c r="A23" s="364" t="n">
        <v>44969</v>
      </c>
      <c r="B23" s="347" t="s">
        <v>242</v>
      </c>
      <c r="F23" s="365"/>
    </row>
    <row r="24" customFormat="false" ht="12.75" hidden="false" customHeight="false" outlineLevel="0" collapsed="false">
      <c r="A24" s="364" t="n">
        <v>44969</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44970</v>
      </c>
      <c r="B27" s="359" t="n">
        <v>44970</v>
      </c>
      <c r="C27" s="360"/>
      <c r="D27" s="361"/>
      <c r="E27" s="362" t="n">
        <v>200</v>
      </c>
    </row>
    <row r="28" customFormat="false" ht="12.75" hidden="false" customHeight="false" outlineLevel="0" collapsed="false">
      <c r="B28" s="347" t="n">
        <v>44971</v>
      </c>
      <c r="F28" s="365"/>
    </row>
    <row r="29" customFormat="false" ht="12.75" hidden="false" customHeight="false" outlineLevel="0" collapsed="false">
      <c r="A29" s="364" t="n">
        <v>44972</v>
      </c>
      <c r="B29" s="347" t="n">
        <v>44972</v>
      </c>
      <c r="F29" s="365"/>
    </row>
    <row r="30" customFormat="false" ht="12.75" hidden="false" customHeight="false" outlineLevel="0" collapsed="false">
      <c r="A30" s="364" t="n">
        <v>44973</v>
      </c>
      <c r="B30" s="347" t="n">
        <v>44973</v>
      </c>
      <c r="E30" s="349" t="n">
        <v>200</v>
      </c>
      <c r="F30" s="365"/>
    </row>
    <row r="31" customFormat="false" ht="12.75" hidden="false" customHeight="false" outlineLevel="0" collapsed="false">
      <c r="A31" s="364" t="n">
        <v>44974</v>
      </c>
      <c r="B31" s="347" t="n">
        <v>44974</v>
      </c>
      <c r="E31" s="349" t="n">
        <v>200</v>
      </c>
      <c r="F31" s="365"/>
    </row>
    <row r="32" customFormat="false" ht="12.75" hidden="false" customHeight="false" outlineLevel="0" collapsed="false">
      <c r="A32" s="364" t="n">
        <v>44975</v>
      </c>
      <c r="B32" s="347" t="n">
        <v>44975</v>
      </c>
      <c r="E32" s="349" t="n">
        <v>200</v>
      </c>
      <c r="F32" s="365"/>
    </row>
    <row r="33" customFormat="false" ht="12.75" hidden="false" customHeight="false" outlineLevel="0" collapsed="false">
      <c r="A33" s="364" t="n">
        <v>44976</v>
      </c>
      <c r="B33" s="347" t="n">
        <v>44976</v>
      </c>
      <c r="E33" s="349" t="n">
        <v>200</v>
      </c>
      <c r="F33" s="365"/>
    </row>
    <row r="34" customFormat="false" ht="12.75" hidden="false" customHeight="false" outlineLevel="0" collapsed="false">
      <c r="A34" s="364" t="n">
        <v>44976</v>
      </c>
      <c r="B34" s="347" t="s">
        <v>242</v>
      </c>
      <c r="F34" s="365"/>
    </row>
    <row r="35" customFormat="false" ht="12.75" hidden="false" customHeight="false" outlineLevel="0" collapsed="false">
      <c r="A35" s="364" t="n">
        <v>44976</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44977</v>
      </c>
      <c r="B38" s="359" t="n">
        <v>44977</v>
      </c>
      <c r="C38" s="360"/>
      <c r="D38" s="361"/>
      <c r="E38" s="362" t="n">
        <v>200</v>
      </c>
    </row>
    <row r="39" customFormat="false" ht="12.75" hidden="false" customHeight="false" outlineLevel="0" collapsed="false">
      <c r="B39" s="347" t="n">
        <v>44978</v>
      </c>
      <c r="F39" s="365"/>
    </row>
    <row r="40" customFormat="false" ht="12.75" hidden="false" customHeight="false" outlineLevel="0" collapsed="false">
      <c r="A40" s="364" t="n">
        <v>44979</v>
      </c>
      <c r="B40" s="347" t="n">
        <v>44979</v>
      </c>
      <c r="F40" s="365"/>
    </row>
    <row r="41" customFormat="false" ht="12.75" hidden="false" customHeight="false" outlineLevel="0" collapsed="false">
      <c r="A41" s="364" t="n">
        <v>44980</v>
      </c>
      <c r="B41" s="347" t="n">
        <v>44980</v>
      </c>
      <c r="F41" s="365"/>
    </row>
    <row r="42" customFormat="false" ht="12.75" hidden="false" customHeight="false" outlineLevel="0" collapsed="false">
      <c r="A42" s="364" t="n">
        <v>44981</v>
      </c>
      <c r="B42" s="347" t="n">
        <v>44981</v>
      </c>
      <c r="F42" s="365"/>
    </row>
    <row r="43" customFormat="false" ht="12.75" hidden="false" customHeight="false" outlineLevel="0" collapsed="false">
      <c r="A43" s="364" t="n">
        <v>44982</v>
      </c>
      <c r="B43" s="347" t="n">
        <v>44982</v>
      </c>
      <c r="F43" s="365"/>
    </row>
    <row r="44" customFormat="false" ht="12.75" hidden="false" customHeight="false" outlineLevel="0" collapsed="false">
      <c r="A44" s="364" t="n">
        <v>44983</v>
      </c>
      <c r="B44" s="347" t="n">
        <v>44983</v>
      </c>
      <c r="F44" s="365"/>
    </row>
    <row r="45" customFormat="false" ht="12.75" hidden="false" customHeight="false" outlineLevel="0" collapsed="false">
      <c r="A45" s="364" t="n">
        <v>44983</v>
      </c>
      <c r="B45" s="347" t="s">
        <v>242</v>
      </c>
      <c r="F45" s="365"/>
    </row>
    <row r="46" customFormat="false" ht="12.75" hidden="false" customHeight="false" outlineLevel="0" collapsed="false">
      <c r="A46" s="364" t="n">
        <v>44983</v>
      </c>
      <c r="B46" s="347" t="s">
        <v>243</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245</v>
      </c>
      <c r="C2" s="380" t="s">
        <v>246</v>
      </c>
      <c r="D2" s="380" t="s">
        <v>247</v>
      </c>
      <c r="E2" s="380" t="s">
        <v>248</v>
      </c>
      <c r="F2" s="207" t="s">
        <v>249</v>
      </c>
      <c r="G2" s="381" t="s">
        <v>250</v>
      </c>
      <c r="H2" s="381"/>
      <c r="I2" s="382" t="n">
        <f aca="false">G1+H1+I1+J1+PurchasesJan!I2</f>
        <v>4680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IF((A1&lt;Admin!$F$22),((A1-PurchasesJan!A1)*Admin!$G$21),(A1*Admin!$G$21-(A1-Admin!$F$21)*(Admin!$G$21-Admin!$G$22)-PurchasesJan!A2))</f>
        <v>0</v>
      </c>
    </row>
    <row r="5" s="373" customFormat="true" ht="12.75" hidden="false" customHeight="false" outlineLevel="0" collapsed="false">
      <c r="A5" s="372" t="n">
        <v>46068</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235</v>
      </c>
      <c r="B1" s="351" t="s">
        <v>236</v>
      </c>
      <c r="C1" s="352" t="s">
        <v>237</v>
      </c>
      <c r="D1" s="353" t="n">
        <f aca="false">SUM(D4:D65)</f>
        <v>0</v>
      </c>
      <c r="E1" s="352" t="n">
        <f aca="false">SUM(E4:E65)/2</f>
        <v>3000</v>
      </c>
      <c r="F1" s="352" t="n">
        <f aca="false">SUM(F4:F65)/2</f>
        <v>0</v>
      </c>
    </row>
    <row r="2" s="354" customFormat="true" ht="12.75" hidden="false" customHeight="true" outlineLevel="0" collapsed="false">
      <c r="A2" s="350"/>
      <c r="B2" s="351"/>
      <c r="C2" s="355" t="s">
        <v>238</v>
      </c>
      <c r="D2" s="356" t="s">
        <v>239</v>
      </c>
      <c r="E2" s="355" t="s">
        <v>240</v>
      </c>
      <c r="F2" s="355" t="s">
        <v>241</v>
      </c>
    </row>
    <row r="3" s="357" customFormat="true" ht="24" hidden="false" customHeight="true" outlineLevel="0" collapsed="false">
      <c r="A3" s="350"/>
      <c r="B3" s="351"/>
      <c r="C3" s="355"/>
      <c r="D3" s="356"/>
      <c r="E3" s="355"/>
      <c r="F3" s="355"/>
    </row>
    <row r="5" customFormat="false" ht="12.75" hidden="false" customHeight="false" outlineLevel="0" collapsed="false">
      <c r="A5" s="358" t="n">
        <v>44984</v>
      </c>
      <c r="B5" s="359" t="n">
        <v>44984</v>
      </c>
      <c r="C5" s="360"/>
      <c r="D5" s="361"/>
      <c r="E5" s="362"/>
      <c r="F5" s="363"/>
    </row>
    <row r="6" customFormat="false" ht="12.75" hidden="false" customHeight="false" outlineLevel="0" collapsed="false">
      <c r="A6" s="364" t="n">
        <v>44985</v>
      </c>
      <c r="B6" s="347" t="n">
        <v>44985</v>
      </c>
      <c r="F6" s="365"/>
    </row>
    <row r="7" customFormat="false" ht="12.75" hidden="false" customHeight="false" outlineLevel="0" collapsed="false">
      <c r="A7" s="364" t="n">
        <v>44986</v>
      </c>
      <c r="B7" s="347" t="n">
        <v>44986</v>
      </c>
      <c r="F7" s="365"/>
    </row>
    <row r="8" customFormat="false" ht="12.75" hidden="false" customHeight="false" outlineLevel="0" collapsed="false">
      <c r="A8" s="364" t="n">
        <v>44987</v>
      </c>
      <c r="B8" s="347" t="n">
        <v>44987</v>
      </c>
      <c r="E8" s="181" t="n">
        <v>200</v>
      </c>
      <c r="F8" s="365"/>
    </row>
    <row r="9" customFormat="false" ht="12.75" hidden="false" customHeight="false" outlineLevel="0" collapsed="false">
      <c r="A9" s="364" t="n">
        <v>44988</v>
      </c>
      <c r="B9" s="347" t="n">
        <v>44988</v>
      </c>
      <c r="E9" s="181" t="n">
        <v>200</v>
      </c>
      <c r="F9" s="365"/>
    </row>
    <row r="10" customFormat="false" ht="12.75" hidden="false" customHeight="false" outlineLevel="0" collapsed="false">
      <c r="A10" s="364" t="n">
        <v>44989</v>
      </c>
      <c r="B10" s="347" t="n">
        <v>44989</v>
      </c>
      <c r="E10" s="181" t="n">
        <v>200</v>
      </c>
      <c r="F10" s="365"/>
    </row>
    <row r="11" customFormat="false" ht="12.75" hidden="false" customHeight="false" outlineLevel="0" collapsed="false">
      <c r="A11" s="364" t="n">
        <v>44990</v>
      </c>
      <c r="B11" s="347" t="n">
        <v>44990</v>
      </c>
      <c r="E11" s="181" t="n">
        <v>200</v>
      </c>
      <c r="F11" s="365"/>
    </row>
    <row r="12" customFormat="false" ht="12.75" hidden="false" customHeight="false" outlineLevel="0" collapsed="false">
      <c r="A12" s="364" t="n">
        <v>44990</v>
      </c>
      <c r="B12" s="347" t="s">
        <v>242</v>
      </c>
      <c r="F12" s="365"/>
    </row>
    <row r="13" customFormat="false" ht="12.75" hidden="false" customHeight="false" outlineLevel="0" collapsed="false">
      <c r="A13" s="364" t="n">
        <v>44990</v>
      </c>
      <c r="B13" s="347" t="s">
        <v>243</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44991</v>
      </c>
      <c r="B16" s="359" t="n">
        <v>44991</v>
      </c>
      <c r="C16" s="360"/>
      <c r="D16" s="361"/>
      <c r="E16" s="362" t="n">
        <v>200</v>
      </c>
    </row>
    <row r="17" customFormat="false" ht="12.75" hidden="false" customHeight="false" outlineLevel="0" collapsed="false">
      <c r="B17" s="347" t="n">
        <v>44992</v>
      </c>
      <c r="F17" s="365"/>
    </row>
    <row r="18" customFormat="false" ht="12.75" hidden="false" customHeight="false" outlineLevel="0" collapsed="false">
      <c r="A18" s="364" t="n">
        <v>44993</v>
      </c>
      <c r="B18" s="347" t="n">
        <v>44993</v>
      </c>
      <c r="F18" s="365"/>
    </row>
    <row r="19" customFormat="false" ht="12.75" hidden="false" customHeight="false" outlineLevel="0" collapsed="false">
      <c r="A19" s="364" t="n">
        <v>44994</v>
      </c>
      <c r="B19" s="347" t="n">
        <v>44994</v>
      </c>
      <c r="E19" s="181" t="n">
        <v>200</v>
      </c>
      <c r="F19" s="365"/>
    </row>
    <row r="20" customFormat="false" ht="12.75" hidden="false" customHeight="false" outlineLevel="0" collapsed="false">
      <c r="A20" s="364" t="n">
        <v>44995</v>
      </c>
      <c r="B20" s="347" t="n">
        <v>44995</v>
      </c>
      <c r="E20" s="181" t="n">
        <v>200</v>
      </c>
      <c r="F20" s="365"/>
    </row>
    <row r="21" customFormat="false" ht="12.75" hidden="false" customHeight="false" outlineLevel="0" collapsed="false">
      <c r="A21" s="364" t="n">
        <v>44996</v>
      </c>
      <c r="B21" s="347" t="n">
        <v>44996</v>
      </c>
      <c r="E21" s="181" t="n">
        <v>200</v>
      </c>
      <c r="F21" s="365"/>
    </row>
    <row r="22" customFormat="false" ht="12.75" hidden="false" customHeight="false" outlineLevel="0" collapsed="false">
      <c r="A22" s="364" t="n">
        <v>44997</v>
      </c>
      <c r="B22" s="347" t="n">
        <v>44997</v>
      </c>
      <c r="E22" s="181" t="n">
        <v>200</v>
      </c>
      <c r="F22" s="365"/>
    </row>
    <row r="23" customFormat="false" ht="12.75" hidden="false" customHeight="false" outlineLevel="0" collapsed="false">
      <c r="A23" s="364" t="n">
        <v>44997</v>
      </c>
      <c r="B23" s="347" t="s">
        <v>242</v>
      </c>
      <c r="F23" s="365"/>
    </row>
    <row r="24" customFormat="false" ht="12.75" hidden="false" customHeight="false" outlineLevel="0" collapsed="false">
      <c r="A24" s="364" t="n">
        <v>44997</v>
      </c>
      <c r="B24" s="347" t="s">
        <v>243</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44998</v>
      </c>
      <c r="B27" s="359" t="n">
        <v>44998</v>
      </c>
      <c r="C27" s="360"/>
      <c r="D27" s="361"/>
      <c r="E27" s="362" t="n">
        <v>200</v>
      </c>
    </row>
    <row r="28" customFormat="false" ht="12.75" hidden="false" customHeight="false" outlineLevel="0" collapsed="false">
      <c r="B28" s="347" t="n">
        <v>44999</v>
      </c>
      <c r="F28" s="365"/>
    </row>
    <row r="29" customFormat="false" ht="12.75" hidden="false" customHeight="false" outlineLevel="0" collapsed="false">
      <c r="A29" s="364" t="n">
        <v>45000</v>
      </c>
      <c r="B29" s="347" t="n">
        <v>45000</v>
      </c>
      <c r="F29" s="365"/>
    </row>
    <row r="30" customFormat="false" ht="12.75" hidden="false" customHeight="false" outlineLevel="0" collapsed="false">
      <c r="A30" s="364" t="n">
        <v>45001</v>
      </c>
      <c r="B30" s="347" t="n">
        <v>45001</v>
      </c>
      <c r="E30" s="181" t="n">
        <v>200</v>
      </c>
      <c r="F30" s="365"/>
    </row>
    <row r="31" customFormat="false" ht="12.75" hidden="false" customHeight="false" outlineLevel="0" collapsed="false">
      <c r="A31" s="364" t="n">
        <v>45002</v>
      </c>
      <c r="B31" s="347" t="n">
        <v>45002</v>
      </c>
      <c r="E31" s="181" t="n">
        <v>200</v>
      </c>
      <c r="F31" s="365"/>
    </row>
    <row r="32" customFormat="false" ht="12.75" hidden="false" customHeight="false" outlineLevel="0" collapsed="false">
      <c r="A32" s="364" t="n">
        <v>45003</v>
      </c>
      <c r="B32" s="347" t="n">
        <v>45003</v>
      </c>
      <c r="E32" s="181" t="n">
        <v>200</v>
      </c>
      <c r="F32" s="365"/>
    </row>
    <row r="33" customFormat="false" ht="12.75" hidden="false" customHeight="false" outlineLevel="0" collapsed="false">
      <c r="A33" s="364" t="n">
        <v>45004</v>
      </c>
      <c r="B33" s="347" t="n">
        <v>45004</v>
      </c>
      <c r="E33" s="181" t="n">
        <v>200</v>
      </c>
      <c r="F33" s="365"/>
    </row>
    <row r="34" customFormat="false" ht="12.75" hidden="false" customHeight="false" outlineLevel="0" collapsed="false">
      <c r="A34" s="364" t="n">
        <v>45004</v>
      </c>
      <c r="B34" s="347" t="s">
        <v>242</v>
      </c>
      <c r="F34" s="365"/>
    </row>
    <row r="35" customFormat="false" ht="12.75" hidden="false" customHeight="false" outlineLevel="0" collapsed="false">
      <c r="A35" s="364" t="n">
        <v>45004</v>
      </c>
      <c r="B35" s="347" t="s">
        <v>243</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45005</v>
      </c>
      <c r="B38" s="359" t="n">
        <v>45005</v>
      </c>
      <c r="C38" s="360"/>
      <c r="D38" s="361"/>
      <c r="E38" s="362" t="n">
        <v>200</v>
      </c>
    </row>
    <row r="39" customFormat="false" ht="12.75" hidden="false" customHeight="false" outlineLevel="0" collapsed="false">
      <c r="B39" s="347" t="n">
        <v>45006</v>
      </c>
      <c r="F39" s="365"/>
    </row>
    <row r="40" customFormat="false" ht="12.75" hidden="false" customHeight="false" outlineLevel="0" collapsed="false">
      <c r="A40" s="364" t="n">
        <v>45007</v>
      </c>
      <c r="B40" s="347" t="n">
        <v>45007</v>
      </c>
      <c r="F40" s="365"/>
    </row>
    <row r="41" customFormat="false" ht="12.75" hidden="false" customHeight="false" outlineLevel="0" collapsed="false">
      <c r="A41" s="364" t="n">
        <v>45008</v>
      </c>
      <c r="B41" s="347" t="n">
        <v>45008</v>
      </c>
      <c r="F41" s="365"/>
    </row>
    <row r="42" customFormat="false" ht="12.75" hidden="false" customHeight="false" outlineLevel="0" collapsed="false">
      <c r="A42" s="364" t="n">
        <v>45009</v>
      </c>
      <c r="B42" s="347" t="n">
        <v>45009</v>
      </c>
      <c r="F42" s="365"/>
    </row>
    <row r="43" customFormat="false" ht="12.75" hidden="false" customHeight="false" outlineLevel="0" collapsed="false">
      <c r="A43" s="364" t="n">
        <v>45010</v>
      </c>
      <c r="B43" s="347" t="n">
        <v>45010</v>
      </c>
      <c r="F43" s="365"/>
    </row>
    <row r="44" customFormat="false" ht="12.75" hidden="false" customHeight="false" outlineLevel="0" collapsed="false">
      <c r="A44" s="364" t="n">
        <v>45011</v>
      </c>
      <c r="B44" s="347" t="n">
        <v>45011</v>
      </c>
      <c r="F44" s="365"/>
    </row>
    <row r="45" customFormat="false" ht="12.75" hidden="false" customHeight="false" outlineLevel="0" collapsed="false">
      <c r="A45" s="364" t="n">
        <v>45011</v>
      </c>
      <c r="B45" s="347" t="s">
        <v>242</v>
      </c>
      <c r="F45" s="365"/>
    </row>
    <row r="46" customFormat="false" ht="12.75" hidden="false" customHeight="false" outlineLevel="0" collapsed="false">
      <c r="A46" s="364" t="n">
        <v>45011</v>
      </c>
      <c r="B46" s="347" t="s">
        <v>243</v>
      </c>
      <c r="F46" s="365"/>
    </row>
    <row r="47" customFormat="false" ht="12.75" hidden="false" customHeight="false" outlineLevel="0" collapsed="false">
      <c r="A47" s="366"/>
      <c r="B47" s="367"/>
      <c r="C47" s="368"/>
      <c r="D47" s="369"/>
      <c r="E47" s="370" t="n">
        <f aca="false">SUM(E38:E46)</f>
        <v>200</v>
      </c>
      <c r="F47" s="371" t="n">
        <f aca="false">SUM(F38:F46)</f>
        <v>0</v>
      </c>
    </row>
    <row r="49" customFormat="false" ht="12.75" hidden="false" customHeight="false" outlineLevel="0" collapsed="false">
      <c r="A49" s="358" t="n">
        <v>45012</v>
      </c>
      <c r="B49" s="359" t="n">
        <v>45012</v>
      </c>
      <c r="C49" s="360"/>
      <c r="D49" s="361"/>
      <c r="E49" s="362"/>
      <c r="F49" s="363"/>
    </row>
    <row r="50" customFormat="false" ht="12.75" hidden="false" customHeight="false" outlineLevel="0" collapsed="false">
      <c r="A50" s="364" t="n">
        <v>45013</v>
      </c>
      <c r="B50" s="347" t="n">
        <v>45013</v>
      </c>
      <c r="F50" s="365"/>
    </row>
    <row r="51" customFormat="false" ht="12.75" hidden="false" customHeight="false" outlineLevel="0" collapsed="false">
      <c r="A51" s="364" t="n">
        <v>45014</v>
      </c>
      <c r="B51" s="347" t="n">
        <v>45014</v>
      </c>
      <c r="F51" s="365"/>
    </row>
    <row r="52" customFormat="false" ht="12.75" hidden="false" customHeight="false" outlineLevel="0" collapsed="false">
      <c r="A52" s="364" t="n">
        <v>45015</v>
      </c>
      <c r="B52" s="347" t="n">
        <v>45015</v>
      </c>
      <c r="F52" s="365"/>
    </row>
    <row r="53" customFormat="false" ht="12.75" hidden="false" customHeight="false" outlineLevel="0" collapsed="false">
      <c r="A53" s="364" t="n">
        <v>45016</v>
      </c>
      <c r="B53" s="347" t="n">
        <v>45016</v>
      </c>
      <c r="F53" s="365"/>
    </row>
    <row r="54" customFormat="false" ht="12.75" hidden="false" customHeight="false" outlineLevel="0" collapsed="false">
      <c r="A54" s="364" t="n">
        <v>45017</v>
      </c>
      <c r="B54" s="347" t="n">
        <v>45017</v>
      </c>
      <c r="F54" s="365"/>
    </row>
    <row r="55" customFormat="false" ht="12.75" hidden="false" customHeight="false" outlineLevel="0" collapsed="false">
      <c r="A55" s="364" t="n">
        <v>45018</v>
      </c>
      <c r="B55" s="347" t="n">
        <v>45018</v>
      </c>
      <c r="F55" s="365"/>
    </row>
    <row r="56" customFormat="false" ht="12.75" hidden="false" customHeight="false" outlineLevel="0" collapsed="false">
      <c r="A56" s="364" t="n">
        <v>45018</v>
      </c>
      <c r="B56" s="347" t="s">
        <v>242</v>
      </c>
      <c r="F56" s="365"/>
    </row>
    <row r="57" customFormat="false" ht="12.75" hidden="false" customHeight="false" outlineLevel="0" collapsed="false">
      <c r="A57" s="364" t="n">
        <v>45018</v>
      </c>
      <c r="B57" s="347" t="s">
        <v>243</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45019</v>
      </c>
      <c r="B60" s="359" t="n">
        <v>45019</v>
      </c>
      <c r="C60" s="360"/>
      <c r="D60" s="361"/>
      <c r="E60" s="362"/>
      <c r="F60" s="363"/>
    </row>
    <row r="61" customFormat="false" ht="12.75" hidden="false" customHeight="false" outlineLevel="0" collapsed="false">
      <c r="A61" s="364" t="n">
        <v>45020</v>
      </c>
      <c r="B61" s="347" t="n">
        <v>45020</v>
      </c>
      <c r="F61" s="365"/>
    </row>
    <row r="62" customFormat="false" ht="12.75" hidden="false" customHeight="false" outlineLevel="0" collapsed="false">
      <c r="A62" s="364" t="n">
        <v>45021</v>
      </c>
      <c r="B62" s="347" t="n">
        <v>45021</v>
      </c>
      <c r="F62" s="365"/>
    </row>
    <row r="63" customFormat="false" ht="12.75" hidden="false" customHeight="false" outlineLevel="0" collapsed="false">
      <c r="A63" s="364" t="n">
        <v>45021</v>
      </c>
      <c r="B63" s="347" t="s">
        <v>242</v>
      </c>
      <c r="F63" s="365"/>
    </row>
    <row r="64" customFormat="false" ht="12.75" hidden="false" customHeight="false" outlineLevel="0" collapsed="false">
      <c r="A64" s="364" t="n">
        <v>45021</v>
      </c>
      <c r="B64" s="347" t="s">
        <v>243</v>
      </c>
      <c r="F64" s="365"/>
    </row>
    <row r="65" customFormat="false" ht="12.75" hidden="false" customHeight="false" outlineLevel="0" collapsed="false">
      <c r="A65" s="366"/>
      <c r="B65" s="367"/>
      <c r="C65" s="368"/>
      <c r="D65" s="369"/>
      <c r="E65" s="370" t="n">
        <f aca="false">SUM(E60:E64)</f>
        <v>0</v>
      </c>
      <c r="F65" s="371" t="n">
        <f aca="false">SUM(F60:F64)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244</v>
      </c>
      <c r="C1" s="392" t="s">
        <v>237</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245</v>
      </c>
      <c r="C2" s="380" t="s">
        <v>246</v>
      </c>
      <c r="D2" s="380" t="s">
        <v>247</v>
      </c>
      <c r="E2" s="380" t="s">
        <v>248</v>
      </c>
      <c r="F2" s="207" t="s">
        <v>249</v>
      </c>
      <c r="G2" s="381" t="s">
        <v>250</v>
      </c>
      <c r="H2" s="381"/>
      <c r="I2" s="382" t="n">
        <f aca="false">G1+H1+I1+J1+PurchasesFeb!I2</f>
        <v>4980</v>
      </c>
      <c r="J2" s="382"/>
      <c r="K2" s="207" t="s">
        <v>251</v>
      </c>
      <c r="L2" s="207" t="s">
        <v>252</v>
      </c>
      <c r="M2" s="207" t="s">
        <v>253</v>
      </c>
      <c r="N2" s="207" t="s">
        <v>285</v>
      </c>
      <c r="O2" s="207" t="s">
        <v>255</v>
      </c>
      <c r="P2" s="207" t="s">
        <v>256</v>
      </c>
      <c r="Q2" s="207" t="s">
        <v>257</v>
      </c>
      <c r="R2" s="207" t="s">
        <v>258</v>
      </c>
      <c r="S2" s="383" t="s">
        <v>259</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260</v>
      </c>
      <c r="B3" s="207" t="s">
        <v>261</v>
      </c>
      <c r="C3" s="380"/>
      <c r="D3" s="380"/>
      <c r="E3" s="380"/>
      <c r="F3" s="380"/>
      <c r="G3" s="207" t="s">
        <v>112</v>
      </c>
      <c r="H3" s="207" t="s">
        <v>262</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263</v>
      </c>
      <c r="H4" s="376" t="s">
        <v>264</v>
      </c>
      <c r="I4" s="376" t="s">
        <v>265</v>
      </c>
      <c r="J4" s="376" t="s">
        <v>266</v>
      </c>
      <c r="K4" s="376" t="s">
        <v>267</v>
      </c>
      <c r="L4" s="376" t="s">
        <v>268</v>
      </c>
      <c r="M4" s="376" t="s">
        <v>269</v>
      </c>
      <c r="N4" s="376" t="s">
        <v>270</v>
      </c>
      <c r="O4" s="376" t="s">
        <v>271</v>
      </c>
      <c r="P4" s="376" t="s">
        <v>272</v>
      </c>
      <c r="Q4" s="376" t="s">
        <v>273</v>
      </c>
      <c r="R4" s="376" t="s">
        <v>274</v>
      </c>
      <c r="S4" s="388" t="s">
        <v>275</v>
      </c>
      <c r="T4" s="384"/>
      <c r="U4" s="394" t="n">
        <f aca="false">IF((A1&lt;Admin!$F$22),((A1-PurchasesFeb!A1)*Admin!$G$21),(A1*Admin!$G$21-(A1-Admin!$F$21)*(Admin!$G$21-Admin!$G$22)-PurchasesFeb!A2))</f>
        <v>0</v>
      </c>
    </row>
    <row r="5" s="373" customFormat="true" ht="12.75" hidden="false" customHeight="false" outlineLevel="0" collapsed="false">
      <c r="A5" s="372" t="n">
        <v>46096</v>
      </c>
      <c r="B5" s="373" t="s">
        <v>276</v>
      </c>
      <c r="D5" s="373" t="s">
        <v>277</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289</v>
      </c>
      <c r="C1" s="68"/>
      <c r="D1" s="400"/>
      <c r="E1" s="400"/>
      <c r="F1" s="400"/>
      <c r="G1" s="401"/>
      <c r="H1" s="68"/>
      <c r="I1" s="68"/>
      <c r="J1" s="68"/>
      <c r="K1" s="68"/>
      <c r="L1" s="68"/>
      <c r="M1" s="68"/>
      <c r="N1" s="68"/>
      <c r="O1" s="68"/>
    </row>
    <row r="2" customFormat="false" ht="12" hidden="false" customHeight="true" outlineLevel="0" collapsed="false">
      <c r="A2" s="68"/>
      <c r="B2" s="402" t="n">
        <v>44620</v>
      </c>
      <c r="C2" s="68"/>
      <c r="D2" s="403" t="s">
        <v>290</v>
      </c>
      <c r="E2" s="403"/>
      <c r="F2" s="403"/>
      <c r="G2" s="404" t="str">
        <f aca="false">B23</f>
        <v>2022-23</v>
      </c>
      <c r="H2" s="68"/>
      <c r="I2" s="405" t="s">
        <v>291</v>
      </c>
      <c r="J2" s="405"/>
      <c r="K2" s="406" t="str">
        <f aca="false">G2</f>
        <v>2022-23</v>
      </c>
      <c r="L2" s="68"/>
      <c r="M2" s="68"/>
      <c r="N2" s="68"/>
      <c r="O2" s="68"/>
    </row>
    <row r="3" customFormat="false" ht="12" hidden="false" customHeight="true" outlineLevel="0" collapsed="false">
      <c r="A3" s="68"/>
      <c r="B3" s="402" t="n">
        <v>44651</v>
      </c>
      <c r="C3" s="68"/>
      <c r="D3" s="68"/>
      <c r="E3" s="68"/>
      <c r="F3" s="68"/>
      <c r="G3" s="407"/>
      <c r="H3" s="68"/>
      <c r="I3" s="68"/>
      <c r="J3" s="408"/>
      <c r="K3" s="408"/>
      <c r="L3" s="401"/>
      <c r="M3" s="68"/>
      <c r="N3" s="68"/>
      <c r="O3" s="68"/>
    </row>
    <row r="4" customFormat="false" ht="12" hidden="false" customHeight="true" outlineLevel="0" collapsed="false">
      <c r="A4" s="68"/>
      <c r="B4" s="409" t="n">
        <v>44657</v>
      </c>
      <c r="C4" s="68"/>
      <c r="D4" s="410" t="s">
        <v>69</v>
      </c>
      <c r="E4" s="410"/>
      <c r="F4" s="410"/>
      <c r="G4" s="411" t="n">
        <v>1</v>
      </c>
      <c r="H4" s="68"/>
      <c r="I4" s="410" t="s">
        <v>292</v>
      </c>
      <c r="J4" s="410"/>
      <c r="K4" s="410"/>
      <c r="L4" s="410"/>
      <c r="M4" s="410"/>
      <c r="N4" s="412" t="n">
        <v>12570</v>
      </c>
      <c r="O4" s="407" t="s">
        <v>29</v>
      </c>
    </row>
    <row r="5" customFormat="false" ht="12" hidden="false" customHeight="true" outlineLevel="0" collapsed="false">
      <c r="A5" s="68"/>
      <c r="B5" s="402" t="n">
        <v>44681</v>
      </c>
      <c r="C5" s="68"/>
      <c r="D5" s="410" t="s">
        <v>293</v>
      </c>
      <c r="E5" s="410"/>
      <c r="F5" s="410"/>
      <c r="G5" s="411" t="n">
        <v>0.18</v>
      </c>
      <c r="H5" s="68"/>
      <c r="I5" s="68"/>
      <c r="J5" s="68"/>
      <c r="K5" s="68"/>
      <c r="L5" s="68"/>
      <c r="M5" s="68"/>
      <c r="N5" s="407"/>
      <c r="O5" s="407"/>
    </row>
    <row r="6" customFormat="false" ht="12" hidden="false" customHeight="true" outlineLevel="0" collapsed="false">
      <c r="A6" s="68"/>
      <c r="B6" s="402" t="n">
        <v>44712</v>
      </c>
      <c r="C6" s="68"/>
      <c r="D6" s="68"/>
      <c r="E6" s="68"/>
      <c r="F6" s="68"/>
      <c r="G6" s="407"/>
      <c r="H6" s="68"/>
      <c r="I6" s="410" t="s">
        <v>294</v>
      </c>
      <c r="J6" s="410"/>
      <c r="K6" s="410"/>
      <c r="L6" s="410"/>
      <c r="M6" s="410"/>
      <c r="N6" s="411" t="n">
        <v>0</v>
      </c>
      <c r="O6" s="407" t="s">
        <v>295</v>
      </c>
    </row>
    <row r="7" customFormat="false" ht="12" hidden="false" customHeight="true" outlineLevel="0" collapsed="false">
      <c r="A7" s="68"/>
      <c r="B7" s="402" t="n">
        <v>44742</v>
      </c>
      <c r="C7" s="68"/>
      <c r="D7" s="410" t="s">
        <v>296</v>
      </c>
      <c r="E7" s="410"/>
      <c r="F7" s="410"/>
      <c r="G7" s="407"/>
      <c r="H7" s="68"/>
      <c r="I7" s="410" t="s">
        <v>297</v>
      </c>
      <c r="J7" s="410"/>
      <c r="K7" s="410"/>
      <c r="L7" s="410"/>
      <c r="M7" s="410"/>
      <c r="N7" s="411" t="n">
        <v>0.2</v>
      </c>
      <c r="O7" s="407" t="s">
        <v>295</v>
      </c>
    </row>
    <row r="8" customFormat="false" ht="12" hidden="false" customHeight="true" outlineLevel="0" collapsed="false">
      <c r="A8" s="68"/>
      <c r="B8" s="402" t="n">
        <v>44773</v>
      </c>
      <c r="C8" s="68"/>
      <c r="D8" s="68" t="s">
        <v>298</v>
      </c>
      <c r="E8" s="413" t="n">
        <v>12000</v>
      </c>
      <c r="F8" s="68" t="s">
        <v>299</v>
      </c>
      <c r="G8" s="413" t="n">
        <v>3000</v>
      </c>
      <c r="H8" s="68"/>
      <c r="I8" s="68"/>
      <c r="J8" s="68"/>
      <c r="K8" s="68"/>
      <c r="L8" s="68"/>
      <c r="M8" s="68"/>
      <c r="N8" s="407" t="n">
        <v>0.4</v>
      </c>
      <c r="O8" s="407"/>
    </row>
    <row r="9" customFormat="false" ht="12" hidden="false" customHeight="true" outlineLevel="0" collapsed="false">
      <c r="A9" s="68"/>
      <c r="B9" s="402" t="n">
        <v>44804</v>
      </c>
      <c r="C9" s="68"/>
      <c r="D9" s="68"/>
      <c r="E9" s="407"/>
      <c r="F9" s="68"/>
      <c r="G9" s="407"/>
      <c r="H9" s="68"/>
      <c r="I9" s="410" t="s">
        <v>300</v>
      </c>
      <c r="J9" s="410"/>
      <c r="K9" s="410"/>
      <c r="L9" s="414" t="s">
        <v>301</v>
      </c>
      <c r="M9" s="414" t="s">
        <v>302</v>
      </c>
      <c r="N9" s="415" t="s">
        <v>303</v>
      </c>
      <c r="O9" s="407"/>
    </row>
    <row r="10" customFormat="false" ht="12" hidden="false" customHeight="true" outlineLevel="0" collapsed="false">
      <c r="A10" s="68"/>
      <c r="B10" s="402" t="n">
        <v>44834</v>
      </c>
      <c r="C10" s="68"/>
      <c r="D10" s="68"/>
      <c r="E10" s="407"/>
      <c r="F10" s="68"/>
      <c r="G10" s="407"/>
      <c r="H10" s="68"/>
      <c r="I10" s="68"/>
      <c r="J10" s="68"/>
      <c r="K10" s="68"/>
      <c r="L10" s="68"/>
      <c r="M10" s="68"/>
      <c r="N10" s="407"/>
      <c r="O10" s="407"/>
    </row>
    <row r="11" customFormat="false" ht="12" hidden="false" customHeight="true" outlineLevel="0" collapsed="false">
      <c r="A11" s="68"/>
      <c r="B11" s="402" t="n">
        <v>44865</v>
      </c>
      <c r="C11" s="68"/>
      <c r="D11" s="403" t="s">
        <v>304</v>
      </c>
      <c r="E11" s="403"/>
      <c r="F11" s="403"/>
      <c r="G11" s="407" t="s">
        <v>295</v>
      </c>
      <c r="H11" s="68"/>
      <c r="I11" s="68" t="s">
        <v>305</v>
      </c>
      <c r="J11" s="68"/>
      <c r="K11" s="416" t="n">
        <v>0.2</v>
      </c>
      <c r="L11" s="407" t="n">
        <f aca="false">N11</f>
        <v>0</v>
      </c>
      <c r="M11" s="407" t="n">
        <v>37700</v>
      </c>
      <c r="N11" s="413" t="n">
        <v>0</v>
      </c>
      <c r="O11" s="407"/>
    </row>
    <row r="12" customFormat="false" ht="12" hidden="false" customHeight="true" outlineLevel="0" collapsed="false">
      <c r="A12" s="68"/>
      <c r="B12" s="402" t="n">
        <v>44895</v>
      </c>
      <c r="C12" s="68"/>
      <c r="D12" s="68"/>
      <c r="E12" s="68"/>
      <c r="F12" s="68"/>
      <c r="G12" s="407"/>
      <c r="H12" s="68"/>
      <c r="I12" s="68" t="s">
        <v>306</v>
      </c>
      <c r="J12" s="68"/>
      <c r="K12" s="416" t="n">
        <v>0.4</v>
      </c>
      <c r="L12" s="407" t="n">
        <v>37701</v>
      </c>
      <c r="M12" s="68" t="n">
        <v>37700</v>
      </c>
      <c r="N12" s="413" t="n">
        <v>0</v>
      </c>
      <c r="O12" s="407"/>
    </row>
    <row r="13" customFormat="false" ht="12" hidden="false" customHeight="true" outlineLevel="0" collapsed="false">
      <c r="A13" s="68"/>
      <c r="B13" s="402" t="n">
        <v>44926</v>
      </c>
      <c r="C13" s="68"/>
      <c r="D13" s="410" t="s">
        <v>307</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44957</v>
      </c>
      <c r="C14" s="68"/>
      <c r="D14" s="410" t="s">
        <v>308</v>
      </c>
      <c r="E14" s="410"/>
      <c r="F14" s="410"/>
      <c r="G14" s="411" t="n">
        <v>0.1</v>
      </c>
      <c r="H14" s="68"/>
      <c r="I14" s="403" t="s">
        <v>309</v>
      </c>
      <c r="J14" s="403"/>
      <c r="K14" s="403"/>
      <c r="L14" s="406" t="str">
        <f aca="false">G2</f>
        <v>2022-23</v>
      </c>
      <c r="M14" s="68"/>
      <c r="N14" s="68"/>
      <c r="O14" s="68"/>
    </row>
    <row r="15" customFormat="false" ht="12" hidden="false" customHeight="true" outlineLevel="0" collapsed="false">
      <c r="A15" s="68"/>
      <c r="B15" s="402" t="n">
        <v>44985</v>
      </c>
      <c r="C15" s="68"/>
      <c r="D15" s="410" t="s">
        <v>310</v>
      </c>
      <c r="E15" s="410"/>
      <c r="F15" s="410"/>
      <c r="G15" s="411" t="n">
        <v>0.2</v>
      </c>
      <c r="H15" s="68"/>
      <c r="I15" s="68"/>
      <c r="J15" s="68"/>
      <c r="K15" s="68"/>
      <c r="L15" s="68"/>
      <c r="M15" s="68"/>
      <c r="N15" s="68"/>
      <c r="O15" s="68"/>
    </row>
    <row r="16" customFormat="false" ht="12" hidden="false" customHeight="true" outlineLevel="0" collapsed="false">
      <c r="A16" s="68"/>
      <c r="B16" s="402" t="n">
        <v>45016</v>
      </c>
      <c r="C16" s="68"/>
      <c r="D16" s="410" t="s">
        <v>311</v>
      </c>
      <c r="E16" s="410"/>
      <c r="F16" s="410"/>
      <c r="G16" s="411" t="n">
        <v>0.33</v>
      </c>
      <c r="H16" s="68"/>
      <c r="I16" s="410" t="s">
        <v>312</v>
      </c>
      <c r="J16" s="410"/>
      <c r="K16" s="410"/>
      <c r="L16" s="417" t="n">
        <v>0</v>
      </c>
      <c r="M16" s="68" t="s">
        <v>313</v>
      </c>
      <c r="N16" s="68"/>
      <c r="O16" s="68"/>
    </row>
    <row r="17" customFormat="false" ht="12" hidden="false" customHeight="true" outlineLevel="0" collapsed="false">
      <c r="A17" s="68"/>
      <c r="B17" s="409" t="n">
        <v>45021</v>
      </c>
      <c r="C17" s="68"/>
      <c r="D17" s="410" t="s">
        <v>314</v>
      </c>
      <c r="E17" s="410"/>
      <c r="F17" s="410"/>
      <c r="G17" s="411" t="n">
        <v>0.25</v>
      </c>
      <c r="H17" s="68"/>
      <c r="I17" s="68"/>
      <c r="J17" s="68"/>
      <c r="K17" s="68"/>
      <c r="L17" s="418" t="n">
        <v>3.15</v>
      </c>
      <c r="M17" s="68"/>
      <c r="N17" s="68"/>
      <c r="O17" s="68"/>
    </row>
    <row r="18" customFormat="false" ht="12" hidden="false" customHeight="true" outlineLevel="0" collapsed="false">
      <c r="A18" s="68"/>
      <c r="B18" s="402" t="n">
        <v>45046</v>
      </c>
      <c r="C18" s="68"/>
      <c r="D18" s="68"/>
      <c r="E18" s="68"/>
      <c r="F18" s="68"/>
      <c r="G18" s="407"/>
      <c r="H18" s="68"/>
      <c r="I18" s="68"/>
      <c r="J18" s="68"/>
      <c r="K18" s="68"/>
      <c r="L18" s="68"/>
      <c r="M18" s="68"/>
      <c r="N18" s="68"/>
      <c r="O18" s="68"/>
    </row>
    <row r="19" customFormat="false" ht="12" hidden="false" customHeight="true" outlineLevel="0" collapsed="false">
      <c r="A19" s="68"/>
      <c r="B19" s="402" t="n">
        <v>45077</v>
      </c>
      <c r="C19" s="68"/>
      <c r="D19" s="403" t="s">
        <v>315</v>
      </c>
      <c r="E19" s="403"/>
      <c r="F19" s="407" t="s">
        <v>316</v>
      </c>
      <c r="G19" s="407" t="s">
        <v>317</v>
      </c>
      <c r="H19" s="68"/>
      <c r="I19" s="419" t="s">
        <v>318</v>
      </c>
      <c r="J19" s="419"/>
      <c r="K19" s="419"/>
      <c r="L19" s="68"/>
      <c r="M19" s="420" t="s">
        <v>319</v>
      </c>
      <c r="N19" s="68"/>
      <c r="O19" s="68"/>
    </row>
    <row r="20" customFormat="false" ht="12" hidden="false" customHeight="true" outlineLevel="0" collapsed="false">
      <c r="A20" s="68"/>
      <c r="B20" s="402" t="n">
        <v>45107</v>
      </c>
      <c r="C20" s="68"/>
      <c r="D20" s="401"/>
      <c r="E20" s="401"/>
      <c r="F20" s="407"/>
      <c r="G20" s="407"/>
      <c r="H20" s="68"/>
      <c r="I20" s="419"/>
      <c r="J20" s="419"/>
      <c r="K20" s="419"/>
      <c r="L20" s="421" t="n">
        <v>0.0973</v>
      </c>
      <c r="M20" s="420"/>
      <c r="N20" s="413" t="n">
        <v>11908</v>
      </c>
      <c r="O20" s="407" t="s">
        <v>29</v>
      </c>
    </row>
    <row r="21" customFormat="false" ht="12" hidden="false" customHeight="true" outlineLevel="0" collapsed="false">
      <c r="A21" s="68"/>
      <c r="B21" s="402" t="n">
        <v>45322</v>
      </c>
      <c r="C21" s="68"/>
      <c r="D21" s="410" t="s">
        <v>320</v>
      </c>
      <c r="E21" s="410"/>
      <c r="F21" s="413" t="n">
        <v>10000</v>
      </c>
      <c r="G21" s="417" t="n">
        <v>0.45</v>
      </c>
      <c r="H21" s="68"/>
      <c r="I21" s="422"/>
      <c r="J21" s="422"/>
      <c r="K21" s="422"/>
      <c r="L21" s="416"/>
      <c r="M21" s="68"/>
      <c r="N21" s="68"/>
      <c r="O21" s="68"/>
    </row>
    <row r="22" customFormat="false" ht="12" hidden="false" customHeight="true" outlineLevel="0" collapsed="false">
      <c r="A22" s="68"/>
      <c r="B22" s="402" t="n">
        <v>45504</v>
      </c>
      <c r="C22" s="68"/>
      <c r="D22" s="68" t="s">
        <v>321</v>
      </c>
      <c r="E22" s="68"/>
      <c r="F22" s="413" t="n">
        <v>10001</v>
      </c>
      <c r="G22" s="417" t="n">
        <v>0.25</v>
      </c>
      <c r="H22" s="68"/>
      <c r="I22" s="419" t="s">
        <v>322</v>
      </c>
      <c r="J22" s="419"/>
      <c r="K22" s="419"/>
      <c r="L22" s="68"/>
      <c r="M22" s="420" t="s">
        <v>323</v>
      </c>
      <c r="N22" s="68"/>
      <c r="O22" s="68"/>
    </row>
    <row r="23" customFormat="false" ht="12" hidden="false" customHeight="true" outlineLevel="0" collapsed="false">
      <c r="A23" s="68"/>
      <c r="B23" s="409" t="s">
        <v>324</v>
      </c>
      <c r="C23" s="68"/>
      <c r="D23" s="68"/>
      <c r="E23" s="68"/>
      <c r="F23" s="407"/>
      <c r="G23" s="418"/>
      <c r="H23" s="68"/>
      <c r="I23" s="419"/>
      <c r="J23" s="419"/>
      <c r="K23" s="419"/>
      <c r="L23" s="421" t="n">
        <v>0.0273</v>
      </c>
      <c r="M23" s="420"/>
      <c r="N23" s="413" t="n">
        <v>50270</v>
      </c>
      <c r="O23" s="407" t="s">
        <v>29</v>
      </c>
    </row>
    <row r="24" customFormat="false" ht="12" hidden="false" customHeight="true" outlineLevel="0" collapsed="false">
      <c r="A24" s="68"/>
      <c r="B24" s="409" t="s">
        <v>325</v>
      </c>
      <c r="C24" s="68"/>
      <c r="D24" s="403" t="s">
        <v>315</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326</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