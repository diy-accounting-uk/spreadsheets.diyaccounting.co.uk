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<sst xmlns="http://schemas.openxmlformats.org/spreadsheetml/2006/main" count="1163" uniqueCount="341">
  <si>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</si>
  <si>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</si>
  <si>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</si>
  <si>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</si>
  <si>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</si>
  <si>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</si>
  <si>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</si>
  <si>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</si>
  <si>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</si>
  <si>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</si>
  <si>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</si>
  <si>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</si>
  <si>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</si>
  <si>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</si>
  <si>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</si>
  <si>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</si>
  <si>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</si>
  <si>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</si>
  <si>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</si>
  <si>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</si>
  <si>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</si>
  <si>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</si>
  <si>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</si>
  <si>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</si>
  <si>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</si>
  <si>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</si>
  <si>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</si>
  <si>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</si>
  <si>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</si>
  <si>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</si>
  <si>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</si>
  <si>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</si>
  <si>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</si>
  <si>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</si>
  <si>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</si>
  <si>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</si>
  <si>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</si>
  <si>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</si>
  <si>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</si>
  <si>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</si>
  <si>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</si>
  <si>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</si>
  <si>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</si>
  <si>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</si>
  <si>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</si>
  <si>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</si>
  <si>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</si>
  <si>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</si>
  <si>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</si>
  <si>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</si>
  <si>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</si>
  <si>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</si>
  <si>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</si>
  <si>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</si>
  <si>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</si>
  <si>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</si>
  <si>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</si>
  <si>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</si>
  <si>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</si>
  <si>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</si>
  <si>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</si>
  <si>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</si>
  <si>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</si>
  <si>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</si>
  <si>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</si>
  <si>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</si>
  <si>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</si>
  <si>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</si>
  <si>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</si>
  <si>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</si>
  <si>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</si>
  <si>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</si>
  <si>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</si>
  <si>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</si>
  <si>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</si>
  <si>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</si>
  <si>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</si>
  <si>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</si>
  <si>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</si>
  <si>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</si>
  <si>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</si>
  <si>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</si>
  <si>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</si>
  <si>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</si>
  <si>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</si>
  <si>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</si>
  <si>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</si>
  <si>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</si>
  <si>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</si>
  <si>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</si>
  <si>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</si>
  <si>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</si>
  <si>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</si>
  <si>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</si>
  <si>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</si>
  <si>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</si>
  <si>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</si>
  <si>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</si>
  <si>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</si>
  <si>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</si>
  <si>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</si>
  <si>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</si>
  <si>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</si>
  <si>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</si>
  <si>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</si>
  <si>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</si>
  <si>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</si>
  <si>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</si>
  <si>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</si>
  <si>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</si>
  <si>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</si>
  <si>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</si>
  <si>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</si>
  <si>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</si>
  <si>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</si>
  <si>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</si>
  <si>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</si>
  <si>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</si>
  <si>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</si>
  <si>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</si>
  <si>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</si>
  <si>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</si>
  <si>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</si>
  <si>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</si>
  <si>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</si>
  <si>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</si>
  <si>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</si>
  <si>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</si>
  <si>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</si>
  <si>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</si>
  <si>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</si>
  <si>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</si>
  <si>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</si>
  <si>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</si>
  <si>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</si>
  <si>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</si>
  <si>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</si>
  <si>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</si>
  <si>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</si>
  <si>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</si>
  <si>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</si>
  <si>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</si>
  <si>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</si>
  <si>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</si>
  <si>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</si>
  <si>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</si>
  <si>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</si>
  <si>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</si>
  <si>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</si>
  <si>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</si>
  <si>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</si>
  <si>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</si>
  <si>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</si>
  <si>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</si>
  <si>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</si>
  <si>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</si>
  <si>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</si>
  <si>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</si>
  <si>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</si>
  <si>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</si>
  <si>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</si>
  <si>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</si>
  <si>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</si>
  <si>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</si>
  <si>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</si>
  <si>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</si>
  <si>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</si>
  <si>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</si>
  <si>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</si>
  <si>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</si>
  <si>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</si>
  <si>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</si>
  <si>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</si>
  <si>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</si>
  <si>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</si>
  <si>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</si>
  <si>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</si>
  <si>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</si>
  <si>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</si>
  <si>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</si>
  <si>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</si>
  <si>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</si>
  <si>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</si>
  <si>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</si>
  <si>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</si>
  <si>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</si>
  <si>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</si>
  <si>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</si>
  <si>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</si>
  <si>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</si>
  <si>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</si>
  <si>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</si>
  <si>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</si>
  <si>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</si>
  <si>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</si>
  <si>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</si>
  <si>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</si>
  <si>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</si>
  <si>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</si>
  <si>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</si>
  <si>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</si>
  <si>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</si>
  <si>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</si>
  <si>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</si>
  <si>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</si>
  <si>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</si>
  <si>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</si>
  <si>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</si>
  <si>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</si>
  <si>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</si>
  <si>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</si>
  <si>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</si>
  <si>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</si>
  <si>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</si>
  <si>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</si>
  <si>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</si>
  <si>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</si>
  <si>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</si>
  <si>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</si>
  <si>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</si>
  <si>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</si>
  <si>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</si>
  <si>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</si>
  <si>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</si>
  <si>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</si>
  <si>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</si>
  <si>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</si>
  <si>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</si>
  <si>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</si>
  <si>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</si>
  <si>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</si>
  <si>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</si>
  <si>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</si>
  <si>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</si>
  <si>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</si>
  <si>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</si>
  <si>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</si>
  <si>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</si>
  <si>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</si>
  <si>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</si>
  <si>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</si>
  <si>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</si>
  <si>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</si>
  <si>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</si>
  <si>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</si>
  <si>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</si>
  <si>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</si>
  <si>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</si>
  <si>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</si>
  <si>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</si>
  <si>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</si>
  <si>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</si>
  <si>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</si>
  <si>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</si>
  <si>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</si>
  <si>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</si>
  <si>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</si>
  <si>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</si>
  <si>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</si>
  <si>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</si>
  <si>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</si>
  <si>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</si>
  <si>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</si>
  <si>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</si>
  <si>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</si>
  <si>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</si>
  <si>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</si>
  <si>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</si>
  <si>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</si>
  <si>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</si>
  <si>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</si>
  <si>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</si>
  <si>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</si>
  <si>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</si>
  <si>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</si>
  <si>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</si>
  <si>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</si>
  <si>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</si>
  <si>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</si>
  <si>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</si>
  <si>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</si>
  <si>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</si>
  <si>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</si>
  <si>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</si>
  <si>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</si>
  <si>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</si>
  <si>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</si>
  <si>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</si>
  <si>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</si>
  <si>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</si>
  <si>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</si>
  <si>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</si>
  <si>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</si>
  <si>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</si>
  <si>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</si>
  <si>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</si>
  <si>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</si>
  <si>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</si>
  <si>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</si>
  <si>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</si>
  <si>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</si>
  <si>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</si>
  <si>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</si>
  <si>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</si>
  <si>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</si>
  <si>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</si>
  <si>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</si>
  <si>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</si>
  <si>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</si>
  <si>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</si>
  <si>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</si>
  <si>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</si>
  <si>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</si>
  <si>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</si>
  <si>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</si>
  <si>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</si>
  <si>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</si>
  <si>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</si>
  <si>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</si>
  <si>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</si>
  <si>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</si>
  <si>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</si>
  <si>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</si>
  <si>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</si>
  <si>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</si>
  <si>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</si>
  <si>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</si>
  <si>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</si>
  <si>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</si>
  <si>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</si>
  <si>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</si>
  <si>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</si>
  <si>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</si>
  <si>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</si>
  <si>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</si>
  <si>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</si>
  <si>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</si>
  <si>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2020-21</t>
  </si>
  <si>
    <t xml:space="preserve">2021-22</t>
  </si>
  <si>
    <t xml:space="preserve">VAT</t>
  </si>
  <si>
    <t xml:space="preserve">VAT Registration threshold</t>
  </si>
</sst>
</file>

<file path=xl/styles.xml><?xml version="1.0" encoding="utf-8"?>
<styleSheet xmlns="http://schemas.openxmlformats.org/spreadsheetml/2006/main">
  <numFmts count="16">
    <numFmt numFmtId="164" formatCode="General"/>
    <numFmt numFmtId="165" formatCode="dd/mm/yyyy"/>
    <numFmt numFmtId="166" formatCode="mmm\-yy"/>
    <numFmt numFmtId="167" formatCode="[$-F800]dddd&quot;, &quot;mmmm\ dd&quot;, &quot;yyyy"/>
    <numFmt numFmtId="168" formatCode="dd/mm/yyyy;@"/>
    <numFmt numFmtId="169" formatCode="#,##0"/>
    <numFmt numFmtId="170" formatCode="0"/>
    <numFmt numFmtId="171" formatCode="dd\-mmm\-yy"/>
    <numFmt numFmtId="172" formatCode="0.00_ ;[RED]\-0.00\ "/>
    <numFmt numFmtId="173" formatCode="#,##0_ ;[RED]\-#,##0\ "/>
    <numFmt numFmtId="174" formatCode="#,##0.00"/>
    <numFmt numFmtId="175" formatCode="0.00"/>
    <numFmt numFmtId="176" formatCode="#,##0.00_ ;[RED]\-#,##0.00\ "/>
    <numFmt numFmtId="177" formatCode="0_ ;[RED]\-0\ "/>
    <numFmt numFmtId="178" formatCode="0%"/>
    <numFmt numFmtId="179"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9" fillId="2" borderId="0" xfId="20" applyFont="true" applyBorder="true" applyAlignment="true" applyProtection="tru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7"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8"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69"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0"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9" fontId="14" fillId="3" borderId="0" xfId="0" applyFont="true" applyBorder="false" applyAlignment="true" applyProtection="false">
      <alignment horizontal="general" vertical="center" textRotation="0" wrapText="false" indent="0" shrinkToFit="false"/>
      <protection locked="true" hidden="false"/>
    </xf>
    <xf numFmtId="170"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69"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7"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4" fontId="10" fillId="0" borderId="7" xfId="0" applyFont="true" applyBorder="true" applyAlignment="true" applyProtection="true">
      <alignment horizontal="general" vertical="center" textRotation="0" wrapText="false" indent="0" shrinkToFit="false"/>
      <protection locked="true" hidden="true"/>
    </xf>
    <xf numFmtId="164"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7"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4" fontId="10" fillId="0" borderId="7" xfId="0" applyFont="true" applyBorder="true" applyAlignment="true" applyProtection="true">
      <alignment horizontal="left" vertical="bottom" textRotation="0" wrapText="false" indent="0" shrinkToFit="false"/>
      <protection locked="true" hidden="true"/>
    </xf>
    <xf numFmtId="167"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8" fontId="14" fillId="0" borderId="7" xfId="0" applyFont="true" applyBorder="true" applyAlignment="true" applyProtection="true">
      <alignment horizontal="center" vertical="center" textRotation="0" wrapText="false" indent="0" shrinkToFit="false"/>
      <protection locked="true" hidden="true"/>
    </xf>
    <xf numFmtId="164"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69"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0" fontId="18" fillId="3" borderId="7" xfId="0" applyFont="true" applyBorder="true" applyAlignment="true" applyProtection="true">
      <alignment horizontal="center" vertical="center" textRotation="0" wrapText="false" indent="0" shrinkToFit="false"/>
      <protection locked="true" hidden="true"/>
    </xf>
    <xf numFmtId="170" fontId="26" fillId="3" borderId="9" xfId="0" applyFont="true" applyBorder="true" applyAlignment="true" applyProtection="true">
      <alignment horizontal="center" vertical="center" textRotation="0" wrapText="false" indent="0" shrinkToFit="false"/>
      <protection locked="true" hidden="true"/>
    </xf>
    <xf numFmtId="170"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69"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1"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0"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2" fontId="27" fillId="0"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6" fontId="28" fillId="3" borderId="19" xfId="0" applyFont="true" applyBorder="true" applyAlignment="true" applyProtection="true">
      <alignment horizontal="center" vertical="bottom" textRotation="0" wrapText="false" indent="0" shrinkToFit="false"/>
      <protection locked="true" hidden="true"/>
    </xf>
    <xf numFmtId="166" fontId="28" fillId="3" borderId="20" xfId="0" applyFont="true" applyBorder="true" applyAlignment="true" applyProtection="true">
      <alignment horizontal="center" vertical="center" textRotation="0" wrapText="true" indent="0" shrinkToFit="false"/>
      <protection locked="true" hidden="true"/>
    </xf>
    <xf numFmtId="166" fontId="27" fillId="3" borderId="19" xfId="0" applyFont="true" applyBorder="true" applyAlignment="true" applyProtection="true">
      <alignment horizontal="center" vertical="center" textRotation="0" wrapText="true" indent="0" shrinkToFit="false"/>
      <protection locked="true" hidden="true"/>
    </xf>
    <xf numFmtId="166" fontId="27" fillId="3" borderId="0" xfId="0" applyFont="true" applyBorder="false" applyAlignment="true" applyProtection="true">
      <alignment horizontal="center" vertical="bottom" textRotation="0" wrapText="false" indent="0" shrinkToFit="false"/>
      <protection locked="true" hidden="true"/>
    </xf>
    <xf numFmtId="166"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2" fontId="28" fillId="3" borderId="19" xfId="0" applyFont="true" applyBorder="true" applyAlignment="true" applyProtection="true">
      <alignment horizontal="center" vertical="bottom" textRotation="0" wrapText="false" indent="0" shrinkToFit="false"/>
      <protection locked="true" hidden="true"/>
    </xf>
    <xf numFmtId="164" fontId="28" fillId="3" borderId="21" xfId="0" applyFont="true" applyBorder="true" applyAlignment="true" applyProtection="true">
      <alignment horizontal="center" vertical="center" textRotation="0" wrapText="true" indent="0" shrinkToFit="false"/>
      <protection locked="true" hidden="true"/>
    </xf>
    <xf numFmtId="172" fontId="29" fillId="3" borderId="0" xfId="0" applyFont="true" applyBorder="false" applyAlignment="true" applyProtection="true">
      <alignment horizontal="center" vertical="bottom" textRotation="0" wrapText="fals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2" fontId="28" fillId="0" borderId="0" xfId="0" applyFont="true" applyBorder="false" applyAlignment="true" applyProtection="true">
      <alignment horizontal="center" vertical="bottom" textRotation="0" wrapText="true" indent="0" shrinkToFit="false"/>
      <protection locked="true" hidden="true"/>
    </xf>
    <xf numFmtId="173" fontId="28" fillId="0" borderId="19" xfId="0" applyFont="true" applyBorder="true" applyAlignment="true" applyProtection="true">
      <alignment horizontal="right" vertical="bottom" textRotation="0" wrapText="false" indent="1" shrinkToFit="false"/>
      <protection locked="true" hidden="true"/>
    </xf>
    <xf numFmtId="173" fontId="27" fillId="0" borderId="0" xfId="0" applyFont="true" applyBorder="false" applyAlignment="false" applyProtection="true">
      <alignment horizontal="general" vertical="bottom" textRotation="0" wrapText="false" indent="0"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2" fontId="27" fillId="0" borderId="0" xfId="0" applyFont="true" applyBorder="false" applyAlignment="true" applyProtection="true">
      <alignment horizontal="center" vertical="bottom" textRotation="0" wrapText="true" indent="0" shrinkToFit="false"/>
      <protection locked="true" hidden="true"/>
    </xf>
    <xf numFmtId="173" fontId="27" fillId="3" borderId="0" xfId="0" applyFont="true" applyBorder="fals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73" fontId="27" fillId="0" borderId="19" xfId="0" applyFont="true" applyBorder="true" applyAlignment="true" applyProtection="true">
      <alignment horizontal="right" vertical="bottom" textRotation="0" wrapText="false" indent="1" shrinkToFit="false"/>
      <protection locked="true" hidden="true"/>
    </xf>
    <xf numFmtId="175" fontId="27" fillId="3"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2" fontId="28" fillId="0"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8" fillId="0" borderId="22" xfId="0" applyFont="true" applyBorder="true" applyAlignment="true" applyProtection="true">
      <alignment horizontal="right" vertical="bottom" textRotation="0" wrapText="false" indent="1" shrinkToFit="false"/>
      <protection locked="true" hidden="true"/>
    </xf>
    <xf numFmtId="173" fontId="27" fillId="0" borderId="23" xfId="0" applyFont="true" applyBorder="true" applyAlignment="true" applyProtection="true">
      <alignment horizontal="right" vertical="bottom" textRotation="0" wrapText="false" indent="1" shrinkToFit="false"/>
      <protection locked="true" hidden="true"/>
    </xf>
    <xf numFmtId="173" fontId="27" fillId="3" borderId="24" xfId="0" applyFont="true" applyBorder="true" applyAlignment="true" applyProtection="true">
      <alignment horizontal="right" vertical="bottom" textRotation="0" wrapText="false" indent="1" shrinkToFit="false"/>
      <protection locked="true" hidden="true"/>
    </xf>
    <xf numFmtId="173" fontId="27" fillId="0" borderId="25" xfId="0" applyFont="true" applyBorder="true" applyAlignment="true" applyProtection="true">
      <alignment horizontal="righ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3" fontId="28" fillId="0" borderId="26" xfId="0" applyFont="true" applyBorder="true" applyAlignment="true" applyProtection="true">
      <alignment horizontal="right" vertical="bottom" textRotation="0" wrapText="false" indent="1" shrinkToFit="false"/>
      <protection locked="true" hidden="true"/>
    </xf>
    <xf numFmtId="173"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true" applyProtection="true">
      <alignment horizontal="center"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0" fontId="27" fillId="0" borderId="0" xfId="0" applyFont="true" applyBorder="false" applyAlignment="false" applyProtection="true">
      <alignment horizontal="general" vertical="bottom" textRotation="0" wrapText="false" indent="0" shrinkToFit="false"/>
      <protection locked="true" hidden="true"/>
    </xf>
    <xf numFmtId="175" fontId="27" fillId="3" borderId="0" xfId="0" applyFont="true" applyBorder="false" applyAlignment="true" applyProtection="true">
      <alignment horizontal="center"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0"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4" fontId="5" fillId="3" borderId="29" xfId="0" applyFont="true" applyBorder="true" applyAlignment="true" applyProtection="false">
      <alignment horizontal="left" vertical="center" textRotation="0" wrapText="true" indent="1" shrinkToFit="false"/>
      <protection locked="true" hidden="false"/>
    </xf>
    <xf numFmtId="175"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6" fontId="27" fillId="0" borderId="19" xfId="0" applyFont="true" applyBorder="tru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0" fontId="27" fillId="3" borderId="0" xfId="0" applyFont="true" applyBorder="fals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6" fontId="28" fillId="0" borderId="26" xfId="0" applyFont="true" applyBorder="true" applyAlignment="true" applyProtection="true">
      <alignment horizontal="center" vertical="bottom" textRotation="0" wrapText="false" indent="0"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0" fontId="32" fillId="3" borderId="0" xfId="0" applyFont="true" applyBorder="false" applyAlignment="true" applyProtection="true">
      <alignment horizontal="center" vertical="bottom" textRotation="0" wrapText="fals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7" fontId="33" fillId="3" borderId="0" xfId="0" applyFont="true" applyBorder="true" applyAlignment="true" applyProtection="true">
      <alignment horizontal="left"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6"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8"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3" fontId="27" fillId="3" borderId="26" xfId="0" applyFont="true" applyBorder="true" applyAlignment="true" applyProtection="true">
      <alignment horizontal="center" vertical="center" textRotation="0" wrapText="true" indent="0" shrinkToFit="false"/>
      <protection locked="true" hidden="true"/>
    </xf>
    <xf numFmtId="175" fontId="27" fillId="3" borderId="19" xfId="0" applyFont="true" applyBorder="true" applyAlignment="true" applyProtection="true">
      <alignment horizontal="center" vertical="bottom"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left" vertical="bottom" textRotation="0" wrapText="false" indent="1" shrinkToFit="false"/>
      <protection locked="true" hidden="true"/>
    </xf>
    <xf numFmtId="175" fontId="27" fillId="3" borderId="19" xfId="0" applyFont="true" applyBorder="true" applyAlignment="true" applyProtection="true">
      <alignment horizontal="center" vertical="bottom" textRotation="0" wrapText="false" indent="0" shrinkToFit="false"/>
      <protection locked="true" hidden="true"/>
    </xf>
    <xf numFmtId="171"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6" fontId="28" fillId="3" borderId="0" xfId="0" applyFont="true" applyBorder="false" applyAlignment="false" applyProtection="true">
      <alignment horizontal="general"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0" fillId="3" borderId="0" xfId="0" applyFont="true" applyBorder="false" applyAlignment="true" applyProtection="true">
      <alignment horizontal="left" vertical="bottom" textRotation="0" wrapText="false" indent="1"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0" fontId="30" fillId="0" borderId="0" xfId="0" applyFont="true" applyBorder="false" applyAlignment="false" applyProtection="false">
      <alignment horizontal="general" vertical="bottom" textRotation="0" wrapText="false" indent="0" shrinkToFit="false"/>
      <protection locked="true" hidden="false"/>
    </xf>
    <xf numFmtId="176" fontId="30" fillId="0" borderId="0" xfId="0" applyFont="true" applyBorder="false" applyAlignment="false" applyProtection="false">
      <alignment horizontal="general" vertical="bottom" textRotation="0" wrapText="false" indent="0" shrinkToFit="false"/>
      <protection locked="true" hidden="false"/>
    </xf>
    <xf numFmtId="178" fontId="30" fillId="0" borderId="0" xfId="0" applyFont="true" applyBorder="false" applyAlignment="true" applyProtection="false">
      <alignment horizontal="center" vertical="bottom" textRotation="0" wrapText="false" indent="0" shrinkToFit="false"/>
      <protection locked="true" hidden="false"/>
    </xf>
    <xf numFmtId="176" fontId="30" fillId="0" borderId="0" xfId="0" applyFont="true" applyBorder="false" applyAlignment="true" applyProtection="false">
      <alignment horizontal="center" vertical="bottom" textRotation="0" wrapText="false" indent="0" shrinkToFit="false"/>
      <protection locked="true" hidden="false"/>
    </xf>
    <xf numFmtId="170"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6" fontId="34" fillId="3" borderId="19" xfId="0" applyFont="true" applyBorder="true" applyAlignment="true" applyProtection="false">
      <alignment horizontal="center" vertical="bottom" textRotation="0" wrapText="false" indent="0" shrinkToFit="false"/>
      <protection locked="true" hidden="false"/>
    </xf>
    <xf numFmtId="176" fontId="34" fillId="3" borderId="31" xfId="0" applyFont="true" applyBorder="true" applyAlignment="true" applyProtection="false">
      <alignment horizontal="center" vertical="bottom" textRotation="0" wrapText="false" indent="0" shrinkToFit="false"/>
      <protection locked="true" hidden="false"/>
    </xf>
    <xf numFmtId="178" fontId="35" fillId="3" borderId="31" xfId="0" applyFont="true" applyBorder="true" applyAlignment="true" applyProtection="false">
      <alignment horizontal="center" vertical="center" textRotation="0" wrapText="true" indent="0" shrinkToFit="false"/>
      <protection locked="true" hidden="false"/>
    </xf>
    <xf numFmtId="170" fontId="30" fillId="3" borderId="32" xfId="0" applyFont="true" applyBorder="true" applyAlignment="true" applyProtection="false">
      <alignment horizontal="center" vertical="center" textRotation="0" wrapText="true" indent="0" shrinkToFit="false"/>
      <protection locked="true" hidden="false"/>
    </xf>
    <xf numFmtId="176" fontId="34" fillId="3" borderId="32" xfId="0" applyFont="true" applyBorder="true" applyAlignment="true" applyProtection="false">
      <alignment horizontal="center" vertical="bottom" textRotation="0" wrapText="false" indent="0" shrinkToFit="false"/>
      <protection locked="true" hidden="false"/>
    </xf>
    <xf numFmtId="171"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0" fontId="30" fillId="3" borderId="19" xfId="0" applyFont="true" applyBorder="true" applyAlignment="true" applyProtection="false">
      <alignment horizontal="center" vertical="center" textRotation="0" wrapText="true" indent="0" shrinkToFit="false"/>
      <protection locked="true" hidden="false"/>
    </xf>
    <xf numFmtId="176" fontId="30" fillId="3" borderId="19" xfId="0" applyFont="true" applyBorder="true" applyAlignment="true" applyProtection="false">
      <alignment horizontal="center" vertical="center" textRotation="0" wrapText="true" indent="0" shrinkToFit="false"/>
      <protection locked="true" hidden="false"/>
    </xf>
    <xf numFmtId="176"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1" fontId="35" fillId="3" borderId="19" xfId="0" applyFont="true" applyBorder="true" applyAlignment="true" applyProtection="false">
      <alignment horizontal="center" vertical="center" textRotation="0" wrapText="true" indent="0" shrinkToFit="false"/>
      <protection locked="true" hidden="false"/>
    </xf>
    <xf numFmtId="178" fontId="36" fillId="3" borderId="21" xfId="0" applyFont="true" applyBorder="true" applyAlignment="true" applyProtection="false">
      <alignment horizontal="center" vertical="bottom" textRotation="0" wrapText="true" indent="0" shrinkToFit="false"/>
      <protection locked="true" hidden="false"/>
    </xf>
    <xf numFmtId="178"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0" fontId="30" fillId="3" borderId="0" xfId="0" applyFont="true" applyBorder="false" applyAlignment="true" applyProtection="false">
      <alignment horizontal="center" vertical="center" textRotation="0" wrapText="true" indent="0" shrinkToFit="false"/>
      <protection locked="true" hidden="false"/>
    </xf>
    <xf numFmtId="176"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8" fontId="30" fillId="3" borderId="0" xfId="0" applyFont="true" applyBorder="false" applyAlignment="true" applyProtection="false">
      <alignment horizontal="center" vertical="center" textRotation="0" wrapText="true" indent="0" shrinkToFit="false"/>
      <protection locked="true" hidden="false"/>
    </xf>
    <xf numFmtId="176" fontId="30" fillId="3" borderId="0" xfId="0" applyFont="true" applyBorder="false" applyAlignment="true" applyProtection="false">
      <alignment horizontal="center" vertical="center" textRotation="0" wrapText="false" indent="0" shrinkToFit="false"/>
      <protection locked="true" hidden="false"/>
    </xf>
    <xf numFmtId="178"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7" fontId="36" fillId="3" borderId="29" xfId="0" applyFont="true" applyBorder="true" applyAlignment="true" applyProtection="false">
      <alignment horizontal="center" vertical="center" textRotation="0" wrapText="true" indent="0" shrinkToFit="false"/>
      <protection locked="true" hidden="false"/>
    </xf>
    <xf numFmtId="176" fontId="30" fillId="3" borderId="0" xfId="0" applyFont="true" applyBorder="false" applyAlignment="true" applyProtection="false">
      <alignment horizontal="left" vertical="center" textRotation="0" wrapText="false" indent="2" shrinkToFit="false"/>
      <protection locked="true" hidden="false"/>
    </xf>
    <xf numFmtId="178" fontId="30" fillId="3" borderId="0" xfId="0" applyFont="true" applyBorder="false" applyAlignment="true" applyProtection="false">
      <alignment horizontal="center" vertical="center" textRotation="0" wrapText="false" indent="0" shrinkToFit="false"/>
      <protection locked="true" hidden="false"/>
    </xf>
    <xf numFmtId="176" fontId="30" fillId="3" borderId="0" xfId="0" applyFont="true" applyBorder="false" applyAlignment="true" applyProtection="false">
      <alignment horizontal="center" vertical="bottom" textRotation="0" wrapText="false" indent="0" shrinkToFit="false"/>
      <protection locked="true" hidden="false"/>
    </xf>
    <xf numFmtId="170"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6"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0" fontId="30" fillId="3" borderId="0" xfId="0" applyFont="true" applyBorder="false" applyAlignment="true" applyProtection="false">
      <alignment horizontal="general" vertical="center"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0" fontId="30" fillId="0" borderId="19" xfId="0" applyFont="true" applyBorder="true" applyAlignment="false" applyProtection="false">
      <alignment horizontal="general" vertical="bottom" textRotation="0" wrapText="false" indent="0" shrinkToFit="false"/>
      <protection locked="true" hidden="false"/>
    </xf>
    <xf numFmtId="176" fontId="30" fillId="0" borderId="19" xfId="0" applyFont="true" applyBorder="true" applyAlignment="false" applyProtection="false">
      <alignment horizontal="general" vertical="bottom" textRotation="0" wrapText="false" indent="0" shrinkToFit="false"/>
      <protection locked="true" hidden="false"/>
    </xf>
    <xf numFmtId="178" fontId="30" fillId="3" borderId="0" xfId="0" applyFont="true" applyBorder="false" applyAlignment="true" applyProtection="false">
      <alignment horizontal="center" vertical="bottom" textRotation="0" wrapText="false" indent="0" shrinkToFit="false"/>
      <protection locked="true" hidden="false"/>
    </xf>
    <xf numFmtId="171" fontId="30" fillId="3" borderId="36" xfId="0" applyFont="true" applyBorder="true" applyAlignment="true" applyProtection="false">
      <alignment horizontal="left" vertical="bottom" textRotation="0" wrapText="true" indent="7" shrinkToFit="false"/>
      <protection locked="true" hidden="false"/>
    </xf>
    <xf numFmtId="176" fontId="30" fillId="3" borderId="21" xfId="0" applyFont="true" applyBorder="true" applyAlignment="false" applyProtection="false">
      <alignment horizontal="general" vertical="bottom" textRotation="0" wrapText="false" indent="0" shrinkToFit="false"/>
      <protection locked="true" hidden="false"/>
    </xf>
    <xf numFmtId="176" fontId="30" fillId="3" borderId="19" xfId="0" applyFont="true" applyBorder="true" applyAlignment="false" applyProtection="false">
      <alignment horizontal="general" vertical="bottom" textRotation="0" wrapText="false" indent="0" shrinkToFit="false"/>
      <protection locked="true" hidden="false"/>
    </xf>
    <xf numFmtId="170" fontId="30" fillId="3" borderId="0" xfId="0" applyFont="true" applyBorder="false" applyAlignment="false" applyProtection="false">
      <alignment horizontal="general" vertical="bottom" textRotation="0" wrapText="false" indent="0" shrinkToFit="false"/>
      <protection locked="true" hidden="false"/>
    </xf>
    <xf numFmtId="171"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6" fontId="30" fillId="0" borderId="19" xfId="0" applyFont="true" applyBorder="true" applyAlignment="true" applyProtection="false">
      <alignment horizontal="center" vertical="bottom" textRotation="0" wrapText="false" indent="0" shrinkToFit="false"/>
      <protection locked="true" hidden="false"/>
    </xf>
    <xf numFmtId="170"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69" fontId="34" fillId="3" borderId="0" xfId="0" applyFont="true" applyBorder="false" applyAlignment="true" applyProtection="false">
      <alignment horizontal="left" vertical="bottom" textRotation="0" wrapText="false" indent="0" shrinkToFit="false"/>
      <protection locked="true" hidden="false"/>
    </xf>
    <xf numFmtId="178"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8"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6" fontId="30" fillId="3" borderId="26" xfId="0" applyFont="true" applyBorder="true" applyAlignment="false" applyProtection="false">
      <alignment horizontal="general" vertical="bottom" textRotation="0" wrapText="fals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0" fontId="34" fillId="3" borderId="0" xfId="0" applyFont="true" applyBorder="false" applyAlignment="true" applyProtection="false">
      <alignment horizontal="general" vertical="bottom" textRotation="0" wrapText="true" indent="0" shrinkToFit="false"/>
      <protection locked="true" hidden="false"/>
    </xf>
    <xf numFmtId="170" fontId="34" fillId="0" borderId="19" xfId="0" applyFont="true" applyBorder="true" applyAlignment="false" applyProtection="false">
      <alignment horizontal="general" vertical="bottom" textRotation="0" wrapText="false" indent="0" shrinkToFit="false"/>
      <protection locked="true" hidden="false"/>
    </xf>
    <xf numFmtId="170" fontId="30" fillId="3" borderId="19" xfId="0" applyFont="true" applyBorder="true" applyAlignment="false" applyProtection="false">
      <alignment horizontal="general" vertical="bottom" textRotation="0" wrapText="false" indent="0" shrinkToFit="false"/>
      <protection locked="true" hidden="false"/>
    </xf>
    <xf numFmtId="164" fontId="34" fillId="3" borderId="27" xfId="0" applyFont="true" applyBorder="true" applyAlignment="true" applyProtection="false">
      <alignment horizontal="right" vertical="center" textRotation="0" wrapText="true" indent="0" shrinkToFit="false"/>
      <protection locked="true" hidden="false"/>
    </xf>
    <xf numFmtId="176"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0" fontId="30" fillId="3" borderId="38" xfId="0" applyFont="true" applyBorder="true" applyAlignment="false" applyProtection="false">
      <alignment horizontal="general" vertical="bottom" textRotation="0" wrapText="false" indent="0" shrinkToFit="false"/>
      <protection locked="true" hidden="false"/>
    </xf>
    <xf numFmtId="176" fontId="30" fillId="3" borderId="38" xfId="0" applyFont="true" applyBorder="true" applyAlignment="false" applyProtection="false">
      <alignment horizontal="general" vertical="bottom" textRotation="0" wrapText="false" indent="0" shrinkToFit="false"/>
      <protection locked="true" hidden="false"/>
    </xf>
    <xf numFmtId="178" fontId="30" fillId="3" borderId="38" xfId="0" applyFont="true" applyBorder="true" applyAlignment="true" applyProtection="false">
      <alignment horizontal="center" vertical="bottom" textRotation="0" wrapText="false" indent="0" shrinkToFit="false"/>
      <protection locked="true" hidden="false"/>
    </xf>
    <xf numFmtId="176" fontId="30" fillId="3" borderId="38" xfId="0" applyFont="true" applyBorder="true" applyAlignment="true" applyProtection="false">
      <alignment horizontal="center" vertical="bottom" textRotation="0" wrapText="false" indent="0" shrinkToFit="false"/>
      <protection locked="true" hidden="false"/>
    </xf>
    <xf numFmtId="170"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1" fontId="10" fillId="0" borderId="0" xfId="21" applyFont="true" applyBorder="false" applyAlignment="false" applyProtection="false">
      <alignment horizontal="general" vertical="bottom" textRotation="0" wrapText="false" indent="0" shrinkToFit="false"/>
      <protection locked="true" hidden="false"/>
    </xf>
    <xf numFmtId="173"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1" fontId="10" fillId="3" borderId="0" xfId="21" applyFont="true" applyBorder="false" applyAlignment="false" applyProtection="false">
      <alignment horizontal="general" vertical="bottom" textRotation="0" wrapText="false" indent="0" shrinkToFit="false"/>
      <protection locked="true" hidden="false"/>
    </xf>
    <xf numFmtId="173" fontId="10" fillId="3" borderId="0" xfId="21" applyFont="true" applyBorder="false" applyAlignment="false" applyProtection="false">
      <alignment horizontal="general" vertical="bottom" textRotation="0" wrapText="false" indent="0" shrinkToFit="false"/>
      <protection locked="true" hidden="false"/>
    </xf>
    <xf numFmtId="171" fontId="11" fillId="3" borderId="19" xfId="21" applyFont="true" applyBorder="true" applyAlignment="true" applyProtection="false">
      <alignment horizontal="center" vertical="bottom" textRotation="0" wrapText="true" indent="0" shrinkToFit="false"/>
      <protection locked="true" hidden="false"/>
    </xf>
    <xf numFmtId="171" fontId="10" fillId="3" borderId="0" xfId="21" applyFont="true" applyBorder="false" applyAlignment="true" applyProtection="false">
      <alignment horizontal="center" vertical="bottom" textRotation="0" wrapText="true" indent="0" shrinkToFit="false"/>
      <protection locked="true" hidden="false"/>
    </xf>
    <xf numFmtId="173" fontId="11" fillId="3" borderId="19" xfId="21" applyFont="true" applyBorder="true" applyAlignment="true" applyProtection="false">
      <alignment horizontal="center" vertical="bottom" textRotation="0" wrapText="true" indent="0" shrinkToFit="false"/>
      <protection locked="true" hidden="false"/>
    </xf>
    <xf numFmtId="173" fontId="10" fillId="3" borderId="0" xfId="21" applyFont="true" applyBorder="false" applyAlignment="true" applyProtection="false">
      <alignment horizontal="center" vertical="bottom" textRotation="0" wrapText="true" indent="0" shrinkToFit="false"/>
      <protection locked="true" hidden="false"/>
    </xf>
    <xf numFmtId="171" fontId="11" fillId="3" borderId="40" xfId="21" applyFont="true" applyBorder="true" applyAlignment="true" applyProtection="false">
      <alignment horizontal="center" vertical="bottom" textRotation="0" wrapText="false" indent="0" shrinkToFit="false"/>
      <protection locked="true" hidden="false"/>
    </xf>
    <xf numFmtId="171" fontId="11" fillId="3" borderId="41" xfId="21" applyFont="true" applyBorder="true" applyAlignment="true" applyProtection="false">
      <alignment horizontal="left" vertical="bottom" textRotation="0" wrapText="false" indent="1" shrinkToFit="false"/>
      <protection locked="true" hidden="false"/>
    </xf>
    <xf numFmtId="171" fontId="10" fillId="3" borderId="0" xfId="21" applyFont="true" applyBorder="false" applyAlignment="true" applyProtection="false">
      <alignment horizontal="left" vertical="bottom" textRotation="0" wrapText="false" indent="1" shrinkToFit="false"/>
      <protection locked="true" hidden="false"/>
    </xf>
    <xf numFmtId="173" fontId="10" fillId="0" borderId="26" xfId="21" applyFont="true" applyBorder="true" applyAlignment="false" applyProtection="false">
      <alignment horizontal="general" vertical="bottom" textRotation="0" wrapText="false" indent="0" shrinkToFit="false"/>
      <protection locked="true" hidden="false"/>
    </xf>
    <xf numFmtId="171"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6"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6"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6"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6" fontId="27" fillId="0" borderId="19" xfId="0" applyFont="true" applyBorder="true" applyAlignment="false" applyProtection="false">
      <alignment horizontal="general" vertical="bottom" textRotation="0" wrapText="false" indent="0" shrinkToFit="false"/>
      <protection locked="true" hidden="false"/>
    </xf>
    <xf numFmtId="166" fontId="27" fillId="0" borderId="19" xfId="0" applyFont="true" applyBorder="true" applyAlignment="true" applyProtection="false">
      <alignment horizontal="center" vertical="bottom" textRotation="0" wrapText="false" indent="0" shrinkToFit="false"/>
      <protection locked="true" hidden="false"/>
    </xf>
    <xf numFmtId="176"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6" fontId="27" fillId="0" borderId="26" xfId="0" applyFont="true" applyBorder="true" applyAlignment="true" applyProtection="false">
      <alignment horizontal="center" vertical="center" textRotation="0" wrapText="tru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6" fontId="27" fillId="0" borderId="0" xfId="21" applyFont="true" applyBorder="false" applyAlignment="false" applyProtection="false">
      <alignment horizontal="general" vertical="bottom" textRotation="0" wrapText="false" indent="0" shrinkToFit="false"/>
      <protection locked="true" hidden="false"/>
    </xf>
    <xf numFmtId="170"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3" fontId="27" fillId="0" borderId="0" xfId="21" applyFont="true" applyBorder="false" applyAlignment="true" applyProtection="false">
      <alignment horizontal="center" vertical="bottom" textRotation="0" wrapText="false" indent="0" shrinkToFit="false"/>
      <protection locked="true" hidden="false"/>
    </xf>
    <xf numFmtId="176" fontId="29" fillId="0" borderId="0" xfId="21" applyFont="true" applyBorder="false" applyAlignment="true" applyProtection="false">
      <alignment horizontal="center" vertical="bottom" textRotation="0" wrapText="false" indent="0" shrinkToFit="false"/>
      <protection locked="true" hidden="false"/>
    </xf>
    <xf numFmtId="170" fontId="29" fillId="0" borderId="0" xfId="21" applyFont="true" applyBorder="false" applyAlignment="true" applyProtection="false">
      <alignment horizontal="center" vertical="bottom" textRotation="0" wrapText="false" indent="0" shrinkToFit="false"/>
      <protection locked="true" hidden="false"/>
    </xf>
    <xf numFmtId="171" fontId="27" fillId="3" borderId="19" xfId="21" applyFont="true" applyBorder="true" applyAlignment="true" applyProtection="false">
      <alignment horizontal="center" vertical="center" textRotation="0" wrapText="true" indent="0" shrinkToFit="false"/>
      <protection locked="true" hidden="false"/>
    </xf>
    <xf numFmtId="176" fontId="27" fillId="3" borderId="19" xfId="21" applyFont="true" applyBorder="true" applyAlignment="true" applyProtection="false">
      <alignment horizontal="center" vertical="center" textRotation="0" wrapText="true" indent="0" shrinkToFit="false"/>
      <protection locked="true" hidden="false"/>
    </xf>
    <xf numFmtId="170" fontId="28" fillId="3" borderId="0" xfId="21" applyFont="true" applyBorder="false" applyAlignment="false" applyProtection="false">
      <alignment horizontal="general" vertical="bottom" textRotation="0" wrapText="false" indent="0" shrinkToFit="false"/>
      <protection locked="true" hidden="false"/>
    </xf>
    <xf numFmtId="176" fontId="28" fillId="3" borderId="19" xfId="21" applyFont="true" applyBorder="true" applyAlignment="true" applyProtection="false">
      <alignment horizontal="center" vertical="bottom" textRotation="0" wrapText="false" indent="0" shrinkToFit="false"/>
      <protection locked="true" hidden="false"/>
    </xf>
    <xf numFmtId="173" fontId="28" fillId="3" borderId="19" xfId="21" applyFont="true" applyBorder="true" applyAlignment="true" applyProtection="false">
      <alignment horizontal="center" vertical="bottom" textRotation="0" wrapText="false" indent="0" shrinkToFit="false"/>
      <protection locked="true" hidden="false"/>
    </xf>
    <xf numFmtId="176" fontId="28" fillId="5" borderId="19" xfId="21" applyFont="true" applyBorder="true" applyAlignment="true" applyProtection="false">
      <alignment horizontal="center" vertical="bottom" textRotation="0" wrapText="false" indent="0" shrinkToFit="false"/>
      <protection locked="true" hidden="false"/>
    </xf>
    <xf numFmtId="171" fontId="28" fillId="5" borderId="19" xfId="21" applyFont="true" applyBorder="true" applyAlignment="true" applyProtection="false">
      <alignment horizontal="center" vertical="bottom" textRotation="0" wrapText="false" indent="0" shrinkToFit="false"/>
      <protection locked="true" hidden="false"/>
    </xf>
    <xf numFmtId="176" fontId="28" fillId="3" borderId="30" xfId="21" applyFont="true" applyBorder="true" applyAlignment="true" applyProtection="false">
      <alignment horizontal="center" vertical="bottom" textRotation="0" wrapText="false" indent="0" shrinkToFit="false"/>
      <protection locked="true" hidden="false"/>
    </xf>
    <xf numFmtId="176" fontId="28" fillId="0" borderId="0" xfId="21" applyFont="true" applyBorder="false" applyAlignment="false" applyProtection="false">
      <alignment horizontal="general" vertical="bottom" textRotation="0" wrapText="false" indent="0" shrinkToFit="false"/>
      <protection locked="true" hidden="false"/>
    </xf>
    <xf numFmtId="170" fontId="27" fillId="3" borderId="21" xfId="21" applyFont="true" applyBorder="true" applyAlignment="true" applyProtection="false">
      <alignment horizontal="center" vertical="center" textRotation="0" wrapText="true" indent="0" shrinkToFit="false"/>
      <protection locked="true" hidden="false"/>
    </xf>
    <xf numFmtId="177" fontId="30" fillId="3" borderId="30" xfId="21" applyFont="true" applyBorder="true" applyAlignment="true" applyProtection="false">
      <alignment horizontal="center" vertical="center" textRotation="0" wrapText="true" indent="0" shrinkToFit="false"/>
      <protection locked="true" hidden="false"/>
    </xf>
    <xf numFmtId="173" fontId="27" fillId="3" borderId="19" xfId="21" applyFont="true" applyBorder="true" applyAlignment="true" applyProtection="false">
      <alignment horizontal="center" vertical="center" textRotation="0" wrapText="true" indent="0" shrinkToFit="false"/>
      <protection locked="true" hidden="false"/>
    </xf>
    <xf numFmtId="176" fontId="27" fillId="5" borderId="19" xfId="21" applyFont="true" applyBorder="true" applyAlignment="true" applyProtection="false">
      <alignment horizontal="center" vertical="center" textRotation="0" wrapText="true" indent="0" shrinkToFit="false"/>
      <protection locked="true" hidden="false"/>
    </xf>
    <xf numFmtId="170" fontId="27"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center" vertical="center" textRotation="0" wrapText="true" indent="0" shrinkToFit="false"/>
      <protection locked="true" hidden="false"/>
    </xf>
    <xf numFmtId="171" fontId="30" fillId="0" borderId="0" xfId="21" applyFont="true" applyBorder="false" applyAlignment="false" applyProtection="false">
      <alignment horizontal="general" vertical="bottom" textRotation="0" wrapText="false" indent="0" shrinkToFit="false"/>
      <protection locked="true" hidden="false"/>
    </xf>
    <xf numFmtId="176" fontId="27" fillId="0" borderId="38" xfId="21" applyFont="true" applyBorder="true" applyAlignment="false" applyProtection="false">
      <alignment horizontal="general" vertical="bottom" textRotation="0" wrapText="false" indent="0" shrinkToFit="false"/>
      <protection locked="true" hidden="false"/>
    </xf>
    <xf numFmtId="170" fontId="27" fillId="0" borderId="38" xfId="21" applyFont="true" applyBorder="tru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3" fontId="27" fillId="0" borderId="38" xfId="21" applyFont="true" applyBorder="true" applyAlignment="true" applyProtection="false">
      <alignment horizontal="center" vertical="bottom" textRotation="0" wrapText="false" indent="0" shrinkToFit="false"/>
      <protection locked="true" hidden="false"/>
    </xf>
    <xf numFmtId="176" fontId="29" fillId="0" borderId="38" xfId="21" applyFont="true" applyBorder="true" applyAlignment="true" applyProtection="false">
      <alignment horizontal="center" vertical="bottom" textRotation="0" wrapText="false" indent="0" shrinkToFit="false"/>
      <protection locked="true" hidden="false"/>
    </xf>
    <xf numFmtId="170" fontId="29" fillId="0" borderId="38" xfId="21" applyFont="true" applyBorder="true" applyAlignment="true" applyProtection="false">
      <alignment horizontal="center" vertical="bottom" textRotation="0" wrapText="false" indent="0" shrinkToFit="false"/>
      <protection locked="true" hidden="false"/>
    </xf>
    <xf numFmtId="171"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6" fontId="27" fillId="0" borderId="0" xfId="21" applyFont="true" applyBorder="false" applyAlignment="true" applyProtection="false">
      <alignment horizontal="right"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6" fontId="30" fillId="0" borderId="0" xfId="21" applyFont="true" applyBorder="false" applyAlignment="false" applyProtection="false">
      <alignment horizontal="general" vertical="bottom" textRotation="0" wrapText="false" indent="0" shrinkToFit="false"/>
      <protection locked="true" hidden="false"/>
    </xf>
    <xf numFmtId="176" fontId="27" fillId="3" borderId="19" xfId="21" applyFont="true" applyBorder="true" applyAlignment="true" applyProtection="false">
      <alignment horizontal="center" vertical="bottom" textRotation="0" wrapText="false" indent="0" shrinkToFit="false"/>
      <protection locked="true" hidden="false"/>
    </xf>
    <xf numFmtId="176" fontId="28" fillId="3" borderId="19" xfId="21" applyFont="true" applyBorder="true" applyAlignment="true" applyProtection="false">
      <alignment horizontal="center" vertical="center" textRotation="0" wrapText="false" indent="0" shrinkToFit="false"/>
      <protection locked="true" hidden="false"/>
    </xf>
    <xf numFmtId="176" fontId="29" fillId="3"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true" applyProtection="false">
      <alignment horizontal="center" vertical="bottom" textRotation="0" wrapText="false" indent="0" shrinkToFit="false"/>
      <protection locked="true" hidden="false"/>
    </xf>
    <xf numFmtId="171" fontId="27" fillId="5"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false" applyProtection="false">
      <alignment horizontal="general" vertical="bottom" textRotation="0" wrapText="false" indent="0" shrinkToFit="false"/>
      <protection locked="true" hidden="false"/>
    </xf>
    <xf numFmtId="176" fontId="34" fillId="3" borderId="19" xfId="21" applyFont="true" applyBorder="true" applyAlignment="true" applyProtection="false">
      <alignment horizontal="center" vertical="bottom" textRotation="0" wrapText="false" indent="0" shrinkToFit="false"/>
      <protection locked="true" hidden="false"/>
    </xf>
    <xf numFmtId="176" fontId="34" fillId="3" borderId="30" xfId="21" applyFont="true" applyBorder="true" applyAlignment="true" applyProtection="false">
      <alignment horizontal="center" vertical="bottom" textRotation="0" wrapText="false" indent="0" shrinkToFit="false"/>
      <protection locked="true" hidden="false"/>
    </xf>
    <xf numFmtId="171" fontId="30" fillId="3" borderId="19" xfId="21" applyFont="true" applyBorder="true" applyAlignment="true" applyProtection="false">
      <alignment horizontal="center" vertical="center" textRotation="0" wrapText="true" indent="0" shrinkToFit="false"/>
      <protection locked="true" hidden="false"/>
    </xf>
    <xf numFmtId="176"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6" fontId="30" fillId="3" borderId="19" xfId="21" applyFont="true" applyBorder="true" applyAlignment="true" applyProtection="false">
      <alignment horizontal="center" vertical="center" textRotation="0" wrapText="true" indent="0" shrinkToFit="false"/>
      <protection locked="true" hidden="false"/>
    </xf>
    <xf numFmtId="176" fontId="30" fillId="5"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64"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6"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6" fontId="27" fillId="3" borderId="19" xfId="21" applyFont="true" applyBorder="true" applyAlignment="true" applyProtection="false">
      <alignment horizontal="right" vertical="bottom" textRotation="0" wrapText="false" indent="0" shrinkToFit="false"/>
      <protection locked="true" hidden="false"/>
    </xf>
    <xf numFmtId="176" fontId="34" fillId="3" borderId="30" xfId="21" applyFont="true" applyBorder="true" applyAlignment="true" applyProtection="false">
      <alignment horizontal="center" vertical="center" textRotation="0" wrapText="true" indent="0" shrinkToFit="false"/>
      <protection locked="true" hidden="false"/>
    </xf>
    <xf numFmtId="176"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6" fontId="34" fillId="5" borderId="19" xfId="21" applyFont="true" applyBorder="true" applyAlignment="true" applyProtection="false">
      <alignment horizontal="center" vertical="center" textRotation="0" wrapText="true" indent="0" shrinkToFit="false"/>
      <protection locked="true" hidden="false"/>
    </xf>
    <xf numFmtId="175"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6" fontId="27" fillId="0" borderId="38" xfId="21" applyFont="true" applyBorder="true" applyAlignment="true" applyProtection="false">
      <alignment horizontal="right"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6" fontId="30" fillId="0" borderId="38" xfId="21" applyFont="true" applyBorder="true" applyAlignment="false" applyProtection="false">
      <alignment horizontal="general" vertical="bottom" textRotation="0" wrapText="false" indent="0" shrinkToFit="false"/>
      <protection locked="true" hidden="false"/>
    </xf>
    <xf numFmtId="175" fontId="13" fillId="3" borderId="0" xfId="21" applyFont="true" applyBorder="false" applyAlignment="false" applyProtection="false">
      <alignment horizontal="general"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1" fontId="30" fillId="0" borderId="38" xfId="21" applyFont="true" applyBorder="true" applyAlignment="false" applyProtection="false">
      <alignment horizontal="general" vertical="bottom" textRotation="0" wrapText="false" indent="0" shrinkToFit="false"/>
      <protection locked="true" hidden="false"/>
    </xf>
    <xf numFmtId="171"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1"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1"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1"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1"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8" fontId="10" fillId="0" borderId="19" xfId="0" applyFont="true" applyBorder="true" applyAlignment="true" applyProtection="true">
      <alignment horizontal="center" vertical="bottom" textRotation="0" wrapText="false" indent="0" shrinkToFit="false"/>
      <protection locked="true" hidden="true"/>
    </xf>
    <xf numFmtId="170"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8" fontId="10" fillId="3" borderId="0" xfId="0" applyFont="true" applyBorder="false" applyAlignment="true" applyProtection="true">
      <alignment horizontal="center" vertical="bottom" textRotation="0" wrapText="false" indent="0" shrinkToFit="false"/>
      <protection locked="true" hidden="true"/>
    </xf>
    <xf numFmtId="175"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5" fontId="10" fillId="3" borderId="0" xfId="0" applyFont="true" applyBorder="false" applyAlignment="true" applyProtection="true">
      <alignment horizontal="center" vertical="bottom" textRotation="0" wrapText="false" indent="0" shrinkToFit="false"/>
      <protection locked="true" hidden="true"/>
    </xf>
    <xf numFmtId="171"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customFormat="false" ht="54.75" hidden="false" customHeight="true" outlineLevel="0" collapsed="false">
      <c r="A4" s="5"/>
      <c r="B4" s="6" t="s">
        <v>1</v>
      </c>
      <c r="C4" s="6"/>
      <c r="D4" s="6"/>
      <c r="E4" s="6"/>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43927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44291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44291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customFormat="fals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c r="X31" s="49"/>
      <c r="Y31" s="49"/>
      <c r="Z31" s="49"/>
      <c r="AA31" s="49"/>
      <c r="AB31" s="49"/>
      <c r="AC31" s="49"/>
      <c r="AD31" s="49"/>
      <c r="AE31" s="49"/>
      <c r="AF31" s="49"/>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c r="BM31" s="49"/>
      <c r="BN31" s="49"/>
      <c r="BO31" s="49"/>
      <c r="BP31" s="49"/>
      <c r="BQ31" s="49"/>
      <c r="BR31" s="49"/>
      <c r="BS31" s="49"/>
      <c r="BT31" s="49"/>
      <c r="BU31" s="49"/>
      <c r="BV31" s="49"/>
      <c r="BW31" s="49"/>
      <c r="BX31" s="49"/>
      <c r="BY31" s="49"/>
      <c r="BZ31" s="49"/>
      <c r="CA31" s="49"/>
      <c r="CB31" s="49"/>
      <c r="CC31" s="49"/>
      <c r="CD31" s="49"/>
      <c r="CE31" s="49"/>
      <c r="CF31" s="49"/>
      <c r="CG31" s="49"/>
      <c r="CH31" s="49"/>
      <c r="CI31" s="49"/>
      <c r="CJ31" s="49"/>
      <c r="CK31" s="49"/>
      <c r="CL31" s="49"/>
      <c r="CM31" s="49"/>
      <c r="CN31" s="49"/>
      <c r="CO31" s="49"/>
      <c r="CP31" s="49"/>
      <c r="CQ31" s="49"/>
      <c r="CR31" s="49"/>
      <c r="CS31" s="49"/>
      <c r="CT31" s="49"/>
      <c r="CU31" s="49"/>
      <c r="CV31" s="49"/>
      <c r="CW31" s="49"/>
      <c r="CX31" s="49"/>
      <c r="CY31" s="49"/>
      <c r="CZ31" s="49"/>
      <c r="DA31" s="49"/>
      <c r="DB31" s="49"/>
      <c r="DC31" s="49"/>
      <c r="DD31" s="49"/>
      <c r="DE31" s="49"/>
      <c r="DF31" s="49"/>
      <c r="DG31" s="49"/>
      <c r="DH31" s="49"/>
      <c r="DI31" s="49"/>
      <c r="DJ31" s="49"/>
      <c r="DK31" s="49"/>
      <c r="DL31" s="49"/>
      <c r="DM31" s="49"/>
      <c r="DN31" s="49"/>
      <c r="DO31" s="49"/>
      <c r="DP31" s="49"/>
      <c r="DQ31" s="49"/>
      <c r="DR31" s="49"/>
      <c r="DS31" s="49"/>
      <c r="DT31" s="49"/>
      <c r="DU31" s="49"/>
      <c r="DV31" s="49"/>
      <c r="DW31" s="49"/>
      <c r="DX31" s="49"/>
      <c r="DY31" s="49"/>
      <c r="DZ31" s="49"/>
      <c r="EA31" s="49"/>
      <c r="EB31" s="49"/>
      <c r="EC31" s="49"/>
      <c r="ED31" s="49"/>
      <c r="EE31" s="49"/>
      <c r="EF31" s="49"/>
      <c r="EG31" s="49"/>
      <c r="EH31" s="49"/>
      <c r="EI31" s="49"/>
      <c r="EJ31" s="49"/>
      <c r="EK31" s="49"/>
      <c r="EL31" s="49"/>
      <c r="EM31" s="49"/>
      <c r="EN31" s="49"/>
      <c r="EO31" s="49"/>
      <c r="EP31" s="49"/>
      <c r="EQ31" s="49"/>
      <c r="ER31" s="49"/>
      <c r="ES31" s="49"/>
      <c r="ET31" s="49"/>
      <c r="EU31" s="49"/>
      <c r="EV31" s="49"/>
      <c r="EW31" s="49"/>
      <c r="EX31" s="49"/>
      <c r="EY31" s="49"/>
      <c r="EZ31" s="49"/>
      <c r="FA31" s="49"/>
      <c r="FB31" s="49"/>
      <c r="FC31" s="49"/>
      <c r="FD31" s="49"/>
      <c r="FE31" s="49"/>
      <c r="FF31" s="49"/>
      <c r="FG31" s="49"/>
      <c r="FH31" s="49"/>
      <c r="FI31" s="49"/>
      <c r="FJ31" s="49"/>
      <c r="FK31" s="49"/>
      <c r="FL31" s="49"/>
      <c r="FM31" s="49"/>
      <c r="FN31" s="49"/>
      <c r="FO31" s="49"/>
      <c r="FP31" s="49"/>
      <c r="FQ31" s="49"/>
      <c r="FR31" s="49"/>
      <c r="FS31" s="49"/>
      <c r="FT31" s="49"/>
      <c r="FU31" s="49"/>
      <c r="FV31" s="49"/>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49"/>
      <c r="GX31" s="49"/>
      <c r="GY31" s="49"/>
      <c r="GZ31" s="49"/>
      <c r="HA31" s="49"/>
      <c r="HB31" s="49"/>
      <c r="HC31" s="49"/>
      <c r="HD31" s="49"/>
      <c r="HE31" s="49"/>
      <c r="HF31" s="49"/>
      <c r="HG31" s="49"/>
      <c r="HH31" s="49"/>
      <c r="HI31" s="49"/>
      <c r="HJ31" s="49"/>
      <c r="HK31" s="49"/>
      <c r="HL31" s="49"/>
      <c r="HM31" s="49"/>
      <c r="HN31" s="49"/>
      <c r="HO31" s="49"/>
      <c r="HP31" s="49"/>
      <c r="HQ31" s="49"/>
      <c r="HR31" s="49"/>
      <c r="HS31" s="49"/>
      <c r="HT31" s="49"/>
      <c r="HU31" s="49"/>
      <c r="HV31" s="49"/>
      <c r="HW31" s="49"/>
      <c r="HX31" s="49"/>
      <c r="HY31" s="49"/>
      <c r="HZ31" s="49"/>
      <c r="IA31" s="49"/>
      <c r="IB31" s="49"/>
      <c r="IC31" s="49"/>
      <c r="ID31" s="49"/>
      <c r="IE31" s="49"/>
      <c r="IF31" s="49"/>
      <c r="IG31" s="49"/>
      <c r="IH31" s="49"/>
      <c r="II31" s="49"/>
      <c r="IJ31" s="49"/>
      <c r="IK31" s="49"/>
      <c r="IL31" s="49"/>
      <c r="IM31" s="49"/>
      <c r="IN31" s="49"/>
      <c r="IO31" s="49"/>
      <c r="IP31" s="49"/>
      <c r="IQ31" s="49"/>
      <c r="IR31" s="49"/>
      <c r="IS31" s="49"/>
      <c r="IT31" s="49"/>
      <c r="IU31" s="49"/>
      <c r="IV31" s="49"/>
      <c r="IW31" s="49"/>
    </row>
    <row r="32" customFormat="fals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c r="BM32" s="49"/>
      <c r="BN32" s="49"/>
      <c r="BO32" s="49"/>
      <c r="BP32" s="49"/>
      <c r="BQ32" s="49"/>
      <c r="BR32" s="49"/>
      <c r="BS32" s="49"/>
      <c r="BT32" s="49"/>
      <c r="BU32" s="49"/>
      <c r="BV32" s="49"/>
      <c r="BW32" s="49"/>
      <c r="BX32" s="49"/>
      <c r="BY32" s="49"/>
      <c r="BZ32" s="49"/>
      <c r="CA32" s="49"/>
      <c r="CB32" s="49"/>
      <c r="CC32" s="49"/>
      <c r="CD32" s="49"/>
      <c r="CE32" s="49"/>
      <c r="CF32" s="49"/>
      <c r="CG32" s="49"/>
      <c r="CH32" s="49"/>
      <c r="CI32" s="49"/>
      <c r="CJ32" s="49"/>
      <c r="CK32" s="49"/>
      <c r="CL32" s="49"/>
      <c r="CM32" s="49"/>
      <c r="CN32" s="49"/>
      <c r="CO32" s="49"/>
      <c r="CP32" s="49"/>
      <c r="CQ32" s="49"/>
      <c r="CR32" s="49"/>
      <c r="CS32" s="49"/>
      <c r="CT32" s="49"/>
      <c r="CU32" s="49"/>
      <c r="CV32" s="49"/>
      <c r="CW32" s="49"/>
      <c r="CX32" s="49"/>
      <c r="CY32" s="49"/>
      <c r="CZ32" s="49"/>
      <c r="DA32" s="49"/>
      <c r="DB32" s="49"/>
      <c r="DC32" s="49"/>
      <c r="DD32" s="49"/>
      <c r="DE32" s="49"/>
      <c r="DF32" s="49"/>
      <c r="DG32" s="49"/>
      <c r="DH32" s="49"/>
      <c r="DI32" s="49"/>
      <c r="DJ32" s="49"/>
      <c r="DK32" s="49"/>
      <c r="DL32" s="49"/>
      <c r="DM32" s="49"/>
      <c r="DN32" s="49"/>
      <c r="DO32" s="49"/>
      <c r="DP32" s="49"/>
      <c r="DQ32" s="49"/>
      <c r="DR32" s="49"/>
      <c r="DS32" s="49"/>
      <c r="DT32" s="49"/>
      <c r="DU32" s="49"/>
      <c r="DV32" s="49"/>
      <c r="DW32" s="49"/>
      <c r="DX32" s="49"/>
      <c r="DY32" s="49"/>
      <c r="DZ32" s="49"/>
      <c r="EA32" s="49"/>
      <c r="EB32" s="49"/>
      <c r="EC32" s="49"/>
      <c r="ED32" s="49"/>
      <c r="EE32" s="49"/>
      <c r="EF32" s="49"/>
      <c r="EG32" s="49"/>
      <c r="EH32" s="49"/>
      <c r="EI32" s="49"/>
      <c r="EJ32" s="49"/>
      <c r="EK32" s="49"/>
      <c r="EL32" s="49"/>
      <c r="EM32" s="49"/>
      <c r="EN32" s="49"/>
      <c r="EO32" s="49"/>
      <c r="EP32" s="49"/>
      <c r="EQ32" s="49"/>
      <c r="ER32" s="49"/>
      <c r="ES32" s="49"/>
      <c r="ET32" s="49"/>
      <c r="EU32" s="49"/>
      <c r="EV32" s="49"/>
      <c r="EW32" s="49"/>
      <c r="EX32" s="49"/>
      <c r="EY32" s="49"/>
      <c r="EZ32" s="49"/>
      <c r="FA32" s="49"/>
      <c r="FB32" s="49"/>
      <c r="FC32" s="49"/>
      <c r="FD32" s="49"/>
      <c r="FE32" s="49"/>
      <c r="FF32" s="49"/>
      <c r="FG32" s="49"/>
      <c r="FH32" s="49"/>
      <c r="FI32" s="49"/>
      <c r="FJ32" s="49"/>
      <c r="FK32" s="49"/>
      <c r="FL32" s="49"/>
      <c r="FM32" s="49"/>
      <c r="FN32" s="49"/>
      <c r="FO32" s="49"/>
      <c r="FP32" s="49"/>
      <c r="FQ32" s="49"/>
      <c r="FR32" s="49"/>
      <c r="FS32" s="49"/>
      <c r="FT32" s="49"/>
      <c r="FU32" s="49"/>
      <c r="FV32" s="49"/>
      <c r="FW32" s="49"/>
      <c r="FX32" s="49"/>
      <c r="FY32" s="49"/>
      <c r="FZ32" s="49"/>
      <c r="GA32" s="49"/>
      <c r="GB32" s="49"/>
      <c r="GC32" s="49"/>
      <c r="GD32" s="49"/>
      <c r="GE32" s="49"/>
      <c r="GF32" s="49"/>
      <c r="GG32" s="49"/>
      <c r="GH32" s="49"/>
      <c r="GI32" s="49"/>
      <c r="GJ32" s="49"/>
      <c r="GK32" s="49"/>
      <c r="GL32" s="49"/>
      <c r="GM32" s="49"/>
      <c r="GN32" s="49"/>
      <c r="GO32" s="49"/>
      <c r="GP32" s="49"/>
      <c r="GQ32" s="49"/>
      <c r="GR32" s="49"/>
      <c r="GS32" s="49"/>
      <c r="GT32" s="49"/>
      <c r="GU32" s="49"/>
      <c r="GV32" s="49"/>
      <c r="GW32" s="49"/>
      <c r="GX32" s="49"/>
      <c r="GY32" s="49"/>
      <c r="GZ32" s="49"/>
      <c r="HA32" s="49"/>
      <c r="HB32" s="49"/>
      <c r="HC32" s="49"/>
      <c r="HD32" s="49"/>
      <c r="HE32" s="49"/>
      <c r="HF32" s="49"/>
      <c r="HG32" s="49"/>
      <c r="HH32" s="49"/>
      <c r="HI32" s="49"/>
      <c r="HJ32" s="49"/>
      <c r="HK32" s="49"/>
      <c r="HL32" s="49"/>
      <c r="HM32" s="49"/>
      <c r="HN32" s="49"/>
      <c r="HO32" s="49"/>
      <c r="HP32" s="49"/>
      <c r="HQ32" s="49"/>
      <c r="HR32" s="49"/>
      <c r="HS32" s="49"/>
      <c r="HT32" s="49"/>
      <c r="HU32" s="49"/>
      <c r="HV32" s="49"/>
      <c r="HW32" s="49"/>
      <c r="HX32" s="49"/>
      <c r="HY32" s="49"/>
      <c r="HZ32" s="49"/>
      <c r="IA32" s="49"/>
      <c r="IB32" s="49"/>
      <c r="IC32" s="49"/>
      <c r="ID32" s="49"/>
      <c r="IE32" s="49"/>
      <c r="IF32" s="49"/>
      <c r="IG32" s="49"/>
      <c r="IH32" s="49"/>
      <c r="II32" s="49"/>
      <c r="IJ32" s="49"/>
      <c r="IK32" s="49"/>
      <c r="IL32" s="49"/>
      <c r="IM32" s="49"/>
      <c r="IN32" s="49"/>
      <c r="IO32" s="49"/>
      <c r="IP32" s="49"/>
      <c r="IQ32" s="49"/>
      <c r="IR32" s="49"/>
      <c r="IS32" s="49"/>
      <c r="IT32" s="49"/>
      <c r="IU32" s="49"/>
      <c r="IV32" s="49"/>
      <c r="IW32" s="49"/>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2022</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43927</v>
      </c>
      <c r="R2" s="60"/>
      <c r="S2" s="60"/>
      <c r="T2" s="60"/>
      <c r="U2" s="61" t="s">
        <v>34</v>
      </c>
      <c r="V2" s="60" t="n">
        <f aca="false">Admin!B17</f>
        <v>44291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43927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43927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44291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customFormat="fals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108"/>
      <c r="BH41" s="108"/>
      <c r="BI41" s="108"/>
      <c r="BJ41" s="108"/>
      <c r="BK41" s="108"/>
      <c r="BL41" s="108"/>
      <c r="BM41" s="108"/>
      <c r="BN41" s="108"/>
      <c r="BO41" s="108"/>
      <c r="BP41" s="108"/>
      <c r="BQ41" s="108"/>
      <c r="BR41" s="108"/>
      <c r="BS41" s="108"/>
      <c r="BT41" s="108"/>
      <c r="BU41" s="108"/>
      <c r="BV41" s="108"/>
      <c r="BW41" s="108"/>
      <c r="BX41" s="108"/>
      <c r="BY41" s="108"/>
      <c r="BZ41" s="108"/>
      <c r="CA41" s="108"/>
      <c r="CB41" s="108"/>
      <c r="CC41" s="108"/>
      <c r="CD41" s="108"/>
      <c r="CE41" s="108"/>
      <c r="CF41" s="108"/>
      <c r="CG41" s="108"/>
      <c r="CH41" s="108"/>
      <c r="CI41" s="108"/>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c r="DX41" s="108"/>
      <c r="DY41" s="108"/>
      <c r="DZ41" s="108"/>
      <c r="EA41" s="108"/>
      <c r="EB41" s="108"/>
      <c r="EC41" s="108"/>
      <c r="ED41" s="108"/>
      <c r="EE41" s="108"/>
      <c r="EF41" s="108"/>
      <c r="EG41" s="108"/>
      <c r="EH41" s="108"/>
      <c r="EI41" s="108"/>
      <c r="EJ41" s="108"/>
      <c r="EK41" s="108"/>
      <c r="EL41" s="108"/>
      <c r="EM41" s="108"/>
      <c r="EN41" s="108"/>
      <c r="EO41" s="108"/>
      <c r="EP41" s="108"/>
      <c r="EQ41" s="108"/>
      <c r="ER41" s="108"/>
      <c r="ES41" s="108"/>
      <c r="ET41" s="108"/>
      <c r="EU41" s="108"/>
      <c r="EV41" s="108"/>
      <c r="EW41" s="108"/>
      <c r="EX41" s="108"/>
      <c r="EY41" s="108"/>
      <c r="EZ41" s="108"/>
      <c r="FA41" s="108"/>
      <c r="FB41" s="108"/>
      <c r="FC41" s="108"/>
      <c r="FD41" s="108"/>
      <c r="FE41" s="108"/>
      <c r="FF41" s="108"/>
      <c r="FG41" s="108"/>
      <c r="FH41" s="108"/>
      <c r="FI41" s="108"/>
      <c r="FJ41" s="108"/>
      <c r="FK41" s="108"/>
      <c r="FL41" s="108"/>
      <c r="FM41" s="108"/>
      <c r="FN41" s="108"/>
      <c r="FO41" s="108"/>
      <c r="FP41" s="108"/>
      <c r="FQ41" s="108"/>
      <c r="FR41" s="108"/>
      <c r="FS41" s="108"/>
      <c r="FT41" s="108"/>
      <c r="FU41" s="108"/>
      <c r="FV41" s="108"/>
      <c r="FW41" s="108"/>
      <c r="FX41" s="108"/>
      <c r="FY41" s="108"/>
      <c r="FZ41" s="108"/>
      <c r="GA41" s="108"/>
      <c r="GB41" s="108"/>
      <c r="GC41" s="108"/>
      <c r="GD41" s="108"/>
      <c r="GE41" s="108"/>
      <c r="GF41" s="108"/>
      <c r="GG41" s="108"/>
      <c r="GH41" s="108"/>
      <c r="GI41" s="108"/>
      <c r="GJ41" s="108"/>
      <c r="GK41" s="108"/>
      <c r="GL41" s="108"/>
      <c r="GM41" s="108"/>
      <c r="GN41" s="108"/>
      <c r="GO41" s="108"/>
      <c r="GP41" s="108"/>
      <c r="GQ41" s="108"/>
      <c r="GR41" s="108"/>
      <c r="GS41" s="108"/>
      <c r="GT41" s="108"/>
      <c r="GU41" s="108"/>
      <c r="GV41" s="108"/>
      <c r="GW41" s="108"/>
      <c r="GX41" s="108"/>
      <c r="GY41" s="108"/>
      <c r="GZ41" s="108"/>
      <c r="HA41" s="108"/>
      <c r="HB41" s="108"/>
      <c r="HC41" s="108"/>
      <c r="HD41" s="108"/>
      <c r="HE41" s="108"/>
      <c r="HF41" s="108"/>
      <c r="HG41" s="108"/>
      <c r="HH41" s="108"/>
      <c r="HI41" s="108"/>
      <c r="HJ41" s="108"/>
      <c r="HK41" s="108"/>
      <c r="HL41" s="108"/>
      <c r="HM41" s="108"/>
      <c r="HN41" s="108"/>
      <c r="HO41" s="108"/>
      <c r="HP41" s="108"/>
      <c r="HQ41" s="108"/>
      <c r="HR41" s="108"/>
      <c r="HS41" s="108"/>
      <c r="HT41" s="108"/>
      <c r="HU41" s="108"/>
      <c r="HV41" s="108"/>
      <c r="HW41" s="108"/>
      <c r="HX41" s="108"/>
      <c r="HY41" s="108"/>
      <c r="HZ41" s="108"/>
      <c r="IA41" s="108"/>
      <c r="IB41" s="108"/>
      <c r="IC41" s="108"/>
      <c r="ID41" s="108"/>
      <c r="IE41" s="108"/>
      <c r="IF41" s="108"/>
      <c r="IG41" s="108"/>
      <c r="IH41" s="108"/>
      <c r="II41" s="108"/>
      <c r="IJ41" s="108"/>
      <c r="IK41" s="108"/>
      <c r="IL41" s="108"/>
      <c r="IM41" s="108"/>
      <c r="IN41" s="108"/>
      <c r="IO41" s="108"/>
      <c r="IP41" s="108"/>
      <c r="IQ41" s="108"/>
      <c r="IR41" s="108"/>
      <c r="IS41" s="108"/>
      <c r="IT41" s="108"/>
      <c r="IU41" s="108"/>
      <c r="IV41" s="108"/>
      <c r="IW41" s="108"/>
    </row>
    <row r="42" customFormat="fals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08"/>
      <c r="BX42" s="108"/>
      <c r="BY42" s="108"/>
      <c r="BZ42" s="108"/>
      <c r="CA42" s="108"/>
      <c r="CB42" s="108"/>
      <c r="CC42" s="108"/>
      <c r="CD42" s="108"/>
      <c r="CE42" s="108"/>
      <c r="CF42" s="108"/>
      <c r="CG42" s="108"/>
      <c r="CH42" s="108"/>
      <c r="CI42" s="108"/>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c r="DX42" s="108"/>
      <c r="DY42" s="108"/>
      <c r="DZ42" s="108"/>
      <c r="EA42" s="108"/>
      <c r="EB42" s="108"/>
      <c r="EC42" s="108"/>
      <c r="ED42" s="108"/>
      <c r="EE42" s="108"/>
      <c r="EF42" s="108"/>
      <c r="EG42" s="108"/>
      <c r="EH42" s="108"/>
      <c r="EI42" s="108"/>
      <c r="EJ42" s="108"/>
      <c r="EK42" s="108"/>
      <c r="EL42" s="108"/>
      <c r="EM42" s="108"/>
      <c r="EN42" s="108"/>
      <c r="EO42" s="108"/>
      <c r="EP42" s="108"/>
      <c r="EQ42" s="108"/>
      <c r="ER42" s="108"/>
      <c r="ES42" s="108"/>
      <c r="ET42" s="108"/>
      <c r="EU42" s="108"/>
      <c r="EV42" s="108"/>
      <c r="EW42" s="108"/>
      <c r="EX42" s="108"/>
      <c r="EY42" s="108"/>
      <c r="EZ42" s="108"/>
      <c r="FA42" s="108"/>
      <c r="FB42" s="108"/>
      <c r="FC42" s="108"/>
      <c r="FD42" s="108"/>
      <c r="FE42" s="108"/>
      <c r="FF42" s="108"/>
      <c r="FG42" s="108"/>
      <c r="FH42" s="108"/>
      <c r="FI42" s="108"/>
      <c r="FJ42" s="108"/>
      <c r="FK42" s="108"/>
      <c r="FL42" s="108"/>
      <c r="FM42" s="108"/>
      <c r="FN42" s="108"/>
      <c r="FO42" s="108"/>
      <c r="FP42" s="108"/>
      <c r="FQ42" s="108"/>
      <c r="FR42" s="108"/>
      <c r="FS42" s="108"/>
      <c r="FT42" s="108"/>
      <c r="FU42" s="108"/>
      <c r="FV42" s="108"/>
      <c r="FW42" s="108"/>
      <c r="FX42" s="108"/>
      <c r="FY42" s="108"/>
      <c r="FZ42" s="108"/>
      <c r="GA42" s="108"/>
      <c r="GB42" s="108"/>
      <c r="GC42" s="108"/>
      <c r="GD42" s="108"/>
      <c r="GE42" s="108"/>
      <c r="GF42" s="108"/>
      <c r="GG42" s="108"/>
      <c r="GH42" s="108"/>
      <c r="GI42" s="108"/>
      <c r="GJ42" s="108"/>
      <c r="GK42" s="108"/>
      <c r="GL42" s="108"/>
      <c r="GM42" s="108"/>
      <c r="GN42" s="108"/>
      <c r="GO42" s="108"/>
      <c r="GP42" s="108"/>
      <c r="GQ42" s="108"/>
      <c r="GR42" s="108"/>
      <c r="GS42" s="108"/>
      <c r="GT42" s="108"/>
      <c r="GU42" s="108"/>
      <c r="GV42" s="108"/>
      <c r="GW42" s="108"/>
      <c r="GX42" s="108"/>
      <c r="GY42" s="108"/>
      <c r="GZ42" s="108"/>
      <c r="HA42" s="108"/>
      <c r="HB42" s="108"/>
      <c r="HC42" s="108"/>
      <c r="HD42" s="108"/>
      <c r="HE42" s="108"/>
      <c r="HF42" s="108"/>
      <c r="HG42" s="108"/>
      <c r="HH42" s="108"/>
      <c r="HI42" s="108"/>
      <c r="HJ42" s="108"/>
      <c r="HK42" s="108"/>
      <c r="HL42" s="108"/>
      <c r="HM42" s="108"/>
      <c r="HN42" s="108"/>
      <c r="HO42" s="108"/>
      <c r="HP42" s="108"/>
      <c r="HQ42" s="108"/>
      <c r="HR42" s="108"/>
      <c r="HS42" s="108"/>
      <c r="HT42" s="108"/>
      <c r="HU42" s="108"/>
      <c r="HV42" s="108"/>
      <c r="HW42" s="108"/>
      <c r="HX42" s="108"/>
      <c r="HY42" s="108"/>
      <c r="HZ42" s="108"/>
      <c r="IA42" s="108"/>
      <c r="IB42" s="108"/>
      <c r="IC42" s="108"/>
      <c r="ID42" s="108"/>
      <c r="IE42" s="108"/>
      <c r="IF42" s="108"/>
      <c r="IG42" s="108"/>
      <c r="IH42" s="108"/>
      <c r="II42" s="108"/>
      <c r="IJ42" s="108"/>
      <c r="IK42" s="108"/>
      <c r="IL42" s="108"/>
      <c r="IM42" s="108"/>
      <c r="IN42" s="108"/>
      <c r="IO42" s="108"/>
      <c r="IP42" s="108"/>
      <c r="IQ42" s="108"/>
      <c r="IR42" s="108"/>
      <c r="IS42" s="108"/>
      <c r="IT42" s="108"/>
      <c r="IU42" s="108"/>
      <c r="IV42" s="108"/>
      <c r="IW42" s="108"/>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2020-21</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customFormat="false" ht="12" hidden="false" customHeight="true" outlineLevel="0" collapsed="false">
      <c r="A1" s="126" t="s">
        <v>102</v>
      </c>
      <c r="B1" s="127" t="s">
        <v>103</v>
      </c>
      <c r="C1" s="128" t="s">
        <v>104</v>
      </c>
      <c r="D1" s="129" t="n">
        <f aca="false">Admin!B5</f>
        <v>43951</v>
      </c>
      <c r="E1" s="129" t="n">
        <f aca="false">Admin!B6</f>
        <v>43982</v>
      </c>
      <c r="F1" s="129" t="n">
        <f aca="false">Admin!B7</f>
        <v>44012</v>
      </c>
      <c r="G1" s="129" t="n">
        <f aca="false">Admin!B8</f>
        <v>44043</v>
      </c>
      <c r="H1" s="129" t="n">
        <f aca="false">Admin!B9</f>
        <v>44074</v>
      </c>
      <c r="I1" s="129" t="n">
        <f aca="false">Admin!B10</f>
        <v>44104</v>
      </c>
      <c r="J1" s="129" t="n">
        <f aca="false">Admin!B11</f>
        <v>44135</v>
      </c>
      <c r="K1" s="129" t="n">
        <f aca="false">Admin!B12</f>
        <v>44165</v>
      </c>
      <c r="L1" s="129" t="n">
        <f aca="false">Admin!B13</f>
        <v>44196</v>
      </c>
      <c r="M1" s="129" t="n">
        <f aca="false">Admin!B14</f>
        <v>44227</v>
      </c>
      <c r="N1" s="129" t="n">
        <f aca="false">Admin!B15</f>
        <v>44255</v>
      </c>
      <c r="O1" s="129" t="n">
        <f aca="false">Admin!B16</f>
        <v>44286</v>
      </c>
      <c r="P1" s="130"/>
      <c r="Q1" s="131"/>
      <c r="R1" s="132"/>
      <c r="S1" s="133" t="s">
        <v>105</v>
      </c>
      <c r="T1" s="133" t="s">
        <v>106</v>
      </c>
      <c r="U1" s="133" t="s">
        <v>107</v>
      </c>
      <c r="V1" s="133" t="s">
        <v>108</v>
      </c>
      <c r="W1" s="133" t="s">
        <v>109</v>
      </c>
      <c r="X1" s="133" t="s">
        <v>110</v>
      </c>
      <c r="Y1" s="133" t="s">
        <v>111</v>
      </c>
      <c r="Z1" s="132"/>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c r="CX1" s="131"/>
      <c r="CY1" s="131"/>
      <c r="CZ1" s="131"/>
      <c r="DA1" s="131"/>
      <c r="DB1" s="131"/>
      <c r="DC1" s="131"/>
      <c r="DD1" s="131"/>
      <c r="DE1" s="131"/>
      <c r="DF1" s="131"/>
      <c r="DG1" s="131"/>
      <c r="DH1" s="131"/>
      <c r="DI1" s="131"/>
      <c r="DJ1" s="131"/>
      <c r="DK1" s="131"/>
      <c r="DL1" s="131"/>
      <c r="DM1" s="131"/>
      <c r="DN1" s="131"/>
      <c r="DO1" s="131"/>
      <c r="DP1" s="131"/>
      <c r="DQ1" s="131"/>
      <c r="DR1" s="131"/>
      <c r="DS1" s="131"/>
      <c r="DT1" s="131"/>
      <c r="DU1" s="131"/>
      <c r="DV1" s="131"/>
      <c r="DW1" s="131"/>
      <c r="DX1" s="131"/>
      <c r="DY1" s="131"/>
      <c r="DZ1" s="131"/>
      <c r="EA1" s="131"/>
      <c r="EB1" s="131"/>
      <c r="EC1" s="131"/>
      <c r="ED1" s="131"/>
      <c r="EE1" s="131"/>
      <c r="EF1" s="131"/>
      <c r="EG1" s="131"/>
      <c r="EH1" s="131"/>
      <c r="EI1" s="131"/>
      <c r="EJ1" s="131"/>
      <c r="EK1" s="131"/>
      <c r="EL1" s="131"/>
      <c r="EM1" s="131"/>
      <c r="EN1" s="131"/>
      <c r="EO1" s="131"/>
      <c r="EP1" s="131"/>
      <c r="EQ1" s="131"/>
      <c r="ER1" s="131"/>
      <c r="ES1" s="131"/>
      <c r="ET1" s="131"/>
      <c r="EU1" s="131"/>
      <c r="EV1" s="131"/>
      <c r="EW1" s="131"/>
      <c r="EX1" s="131"/>
      <c r="EY1" s="131"/>
      <c r="EZ1" s="131"/>
      <c r="FA1" s="131"/>
      <c r="FB1" s="131"/>
      <c r="FC1" s="131"/>
      <c r="FD1" s="131"/>
      <c r="FE1" s="131"/>
      <c r="FF1" s="131"/>
      <c r="FG1" s="131"/>
      <c r="FH1" s="131"/>
      <c r="FI1" s="131"/>
      <c r="FJ1" s="131"/>
      <c r="FK1" s="131"/>
      <c r="FL1" s="131"/>
      <c r="FM1" s="131"/>
      <c r="FN1" s="131"/>
      <c r="FO1" s="131"/>
      <c r="FP1" s="131"/>
      <c r="FQ1" s="131"/>
      <c r="FR1" s="131"/>
      <c r="FS1" s="131"/>
      <c r="FT1" s="131"/>
      <c r="FU1" s="131"/>
      <c r="FV1" s="131"/>
      <c r="FW1" s="131"/>
      <c r="FX1" s="131"/>
      <c r="FY1" s="131"/>
      <c r="FZ1" s="131"/>
      <c r="GA1" s="131"/>
      <c r="GB1" s="131"/>
      <c r="GC1" s="131"/>
      <c r="GD1" s="131"/>
      <c r="GE1" s="131"/>
      <c r="GF1" s="131"/>
      <c r="GG1" s="131"/>
      <c r="GH1" s="131"/>
      <c r="GI1" s="131"/>
      <c r="GJ1" s="131"/>
      <c r="GK1" s="131"/>
      <c r="GL1" s="131"/>
      <c r="GM1" s="131"/>
      <c r="GN1" s="131"/>
      <c r="GO1" s="131"/>
      <c r="GP1" s="131"/>
      <c r="GQ1" s="131"/>
      <c r="GR1" s="131"/>
      <c r="GS1" s="131"/>
      <c r="GT1" s="131"/>
      <c r="GU1" s="131"/>
      <c r="GV1" s="131"/>
      <c r="GW1" s="131"/>
      <c r="GX1" s="131"/>
      <c r="GY1" s="131"/>
      <c r="GZ1" s="131"/>
      <c r="HA1" s="131"/>
      <c r="HB1" s="131"/>
      <c r="HC1" s="131"/>
      <c r="HD1" s="131"/>
      <c r="HE1" s="131"/>
      <c r="HF1" s="131"/>
      <c r="HG1" s="131"/>
      <c r="HH1" s="131"/>
      <c r="HI1" s="131"/>
      <c r="HJ1" s="131"/>
      <c r="HK1" s="131"/>
      <c r="HL1" s="131"/>
      <c r="HM1" s="131"/>
      <c r="HN1" s="131"/>
      <c r="HO1" s="131"/>
      <c r="HP1" s="131"/>
      <c r="HQ1" s="131"/>
      <c r="HR1" s="131"/>
      <c r="HS1" s="131"/>
      <c r="HT1" s="131"/>
      <c r="HU1" s="131"/>
      <c r="HV1" s="131"/>
      <c r="HW1" s="131"/>
      <c r="HX1" s="131"/>
      <c r="HY1" s="131"/>
      <c r="HZ1" s="131"/>
      <c r="IA1" s="131"/>
      <c r="IB1" s="131"/>
      <c r="IC1" s="131"/>
      <c r="ID1" s="131"/>
      <c r="IE1" s="131"/>
      <c r="IF1" s="131"/>
      <c r="IG1" s="131"/>
      <c r="IH1" s="131"/>
      <c r="II1" s="131"/>
      <c r="IJ1" s="131"/>
      <c r="IK1" s="131"/>
      <c r="IL1" s="131"/>
      <c r="IM1" s="131"/>
      <c r="IN1" s="131"/>
      <c r="IO1" s="131"/>
      <c r="IP1" s="131"/>
      <c r="IQ1" s="131"/>
      <c r="IR1" s="131"/>
      <c r="IS1" s="131"/>
      <c r="IT1" s="131"/>
      <c r="IU1" s="131"/>
      <c r="IV1" s="131"/>
      <c r="IW1" s="131"/>
    </row>
    <row r="2" customFormat="false" ht="12" hidden="false" customHeight="true" outlineLevel="0" collapsed="false">
      <c r="A2" s="126"/>
      <c r="B2" s="134"/>
      <c r="C2" s="135" t="str">
        <f aca="false">Admin!G2</f>
        <v>2020-21</v>
      </c>
      <c r="D2" s="129"/>
      <c r="E2" s="129"/>
      <c r="F2" s="129"/>
      <c r="G2" s="129"/>
      <c r="H2" s="129"/>
      <c r="I2" s="129"/>
      <c r="J2" s="129"/>
      <c r="K2" s="129"/>
      <c r="L2" s="129"/>
      <c r="M2" s="129"/>
      <c r="N2" s="129"/>
      <c r="O2" s="129"/>
      <c r="P2" s="132"/>
      <c r="R2" s="132"/>
      <c r="S2" s="133"/>
      <c r="T2" s="133"/>
      <c r="U2" s="133"/>
      <c r="V2" s="133"/>
      <c r="W2" s="133"/>
      <c r="X2" s="133"/>
      <c r="Y2" s="133"/>
      <c r="Z2" s="132"/>
    </row>
    <row r="3" customFormat="fals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Q3" s="139"/>
      <c r="R3" s="132"/>
      <c r="S3" s="132"/>
      <c r="T3" s="132"/>
      <c r="U3" s="132"/>
      <c r="V3" s="132"/>
      <c r="W3" s="132"/>
      <c r="X3" s="132"/>
      <c r="Y3" s="132"/>
      <c r="Z3" s="132"/>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39"/>
      <c r="GJ3" s="139"/>
      <c r="GK3" s="139"/>
      <c r="GL3" s="139"/>
      <c r="GM3" s="139"/>
      <c r="GN3" s="139"/>
      <c r="GO3" s="139"/>
      <c r="GP3" s="139"/>
      <c r="GQ3" s="139"/>
      <c r="GR3" s="139"/>
      <c r="GS3" s="139"/>
      <c r="GT3" s="139"/>
      <c r="GU3" s="139"/>
      <c r="GV3" s="139"/>
      <c r="GW3" s="139"/>
      <c r="GX3" s="139"/>
      <c r="GY3" s="139"/>
      <c r="GZ3" s="139"/>
      <c r="HA3" s="139"/>
      <c r="HB3" s="139"/>
      <c r="HC3" s="139"/>
      <c r="HD3" s="139"/>
      <c r="HE3" s="139"/>
      <c r="HF3" s="139"/>
      <c r="HG3" s="139"/>
      <c r="HH3" s="139"/>
      <c r="HI3" s="139"/>
      <c r="HJ3" s="139"/>
      <c r="HK3" s="139"/>
      <c r="HL3" s="139"/>
      <c r="HM3" s="139"/>
      <c r="HN3" s="139"/>
      <c r="HO3" s="139"/>
      <c r="HP3" s="139"/>
      <c r="HQ3" s="139"/>
      <c r="HR3" s="139"/>
      <c r="HS3" s="139"/>
      <c r="HT3" s="139"/>
      <c r="HU3" s="139"/>
      <c r="HV3" s="139"/>
      <c r="HW3" s="139"/>
      <c r="HX3" s="139"/>
      <c r="HY3" s="139"/>
      <c r="HZ3" s="139"/>
      <c r="IA3" s="139"/>
      <c r="IB3" s="139"/>
      <c r="IC3" s="139"/>
      <c r="ID3" s="139"/>
      <c r="IE3" s="139"/>
      <c r="IF3" s="139"/>
      <c r="IG3" s="139"/>
      <c r="IH3" s="139"/>
      <c r="II3" s="139"/>
      <c r="IJ3" s="139"/>
      <c r="IK3" s="139"/>
      <c r="IL3" s="139"/>
      <c r="IM3" s="139"/>
      <c r="IN3" s="139"/>
      <c r="IO3" s="139"/>
      <c r="IP3" s="139"/>
      <c r="IQ3" s="139"/>
      <c r="IR3" s="139"/>
      <c r="IS3" s="139"/>
      <c r="IT3" s="139"/>
      <c r="IU3" s="139"/>
      <c r="IV3" s="139"/>
      <c r="IW3" s="139"/>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customFormat="fals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Q7" s="151"/>
      <c r="R7" s="132"/>
      <c r="S7" s="132"/>
      <c r="T7" s="132"/>
      <c r="U7" s="132"/>
      <c r="V7" s="132"/>
      <c r="W7" s="132"/>
      <c r="X7" s="132"/>
      <c r="Y7" s="132"/>
      <c r="Z7" s="132"/>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3474</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1833.3</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24562.7</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2020-21</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2020-21</v>
      </c>
      <c r="D6" s="181"/>
      <c r="E6" s="148" t="n">
        <f aca="false">IF((E5&gt;0),Admin!N$4,0)</f>
        <v>12500</v>
      </c>
      <c r="F6" s="173"/>
      <c r="G6" s="148"/>
    </row>
    <row r="7" customFormat="false" ht="12.75" hidden="false" customHeight="false" outlineLevel="0" collapsed="false">
      <c r="A7" s="132"/>
      <c r="B7" s="179" t="s">
        <v>164</v>
      </c>
      <c r="C7" s="179"/>
      <c r="D7" s="179"/>
      <c r="E7" s="180" t="n">
        <f aca="false">IF((E5&gt;Admin!N4),(E5-E6),0)</f>
        <v>17370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3474</v>
      </c>
      <c r="F8" s="173"/>
      <c r="G8" s="148"/>
      <c r="H8" s="184"/>
    </row>
    <row r="9" customFormat="false" ht="12.75" hidden="false" customHeight="false" outlineLevel="0" collapsed="false">
      <c r="A9" s="132"/>
      <c r="B9" s="178" t="s">
        <v>166</v>
      </c>
      <c r="C9" s="182" t="n">
        <f aca="false">Admin!N13</f>
        <v>37501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3474</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44592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1833.3</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5307.3</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customFormat="false" ht="12.75" hidden="false" customHeight="true" outlineLevel="0" collapsed="false">
      <c r="A23" s="156"/>
      <c r="B23" s="178"/>
      <c r="C23" s="178"/>
      <c r="D23" s="202" t="s">
        <v>175</v>
      </c>
      <c r="E23" s="203" t="s">
        <v>176</v>
      </c>
      <c r="F23" s="182"/>
      <c r="G23" s="148"/>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row>
    <row r="24" customFormat="false" ht="12.75" hidden="false" customHeight="false" outlineLevel="0" collapsed="false">
      <c r="A24" s="156"/>
      <c r="B24" s="178"/>
      <c r="C24" s="178"/>
      <c r="D24" s="202"/>
      <c r="E24" s="202"/>
      <c r="F24" s="182"/>
      <c r="G24" s="148"/>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row>
    <row r="25" customFormat="false" ht="12.75" hidden="false" customHeight="false" outlineLevel="0" collapsed="false">
      <c r="A25" s="132"/>
      <c r="B25" s="178" t="s">
        <v>177</v>
      </c>
      <c r="C25" s="205" t="str">
        <f aca="false">Admin!B24</f>
        <v>2021-22</v>
      </c>
      <c r="D25" s="206" t="s">
        <v>178</v>
      </c>
      <c r="E25" s="197" t="n">
        <f aca="false">E18</f>
        <v>5307.3</v>
      </c>
      <c r="F25" s="173"/>
      <c r="G25" s="148"/>
    </row>
    <row r="26" customFormat="false" ht="12.75" hidden="false" customHeight="false" outlineLevel="0" collapsed="false">
      <c r="A26" s="132"/>
      <c r="B26" s="178" t="s">
        <v>179</v>
      </c>
      <c r="C26" s="178"/>
      <c r="D26" s="207" t="n">
        <f aca="false">Admin!B21</f>
        <v>44592</v>
      </c>
      <c r="E26" s="180" t="n">
        <f aca="false">E25/2</f>
        <v>2653.65</v>
      </c>
      <c r="F26" s="173"/>
      <c r="G26" s="148"/>
    </row>
    <row r="27" customFormat="false" ht="12.75" hidden="false" customHeight="false" outlineLevel="0" collapsed="false">
      <c r="A27" s="132"/>
      <c r="B27" s="178" t="s">
        <v>179</v>
      </c>
      <c r="C27" s="178"/>
      <c r="D27" s="207" t="n">
        <f aca="false">Admin!B22</f>
        <v>44773</v>
      </c>
      <c r="E27" s="180" t="n">
        <f aca="false">E25/2</f>
        <v>2653.65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customFormat="fals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35"/>
      <c r="DH1" s="235"/>
      <c r="DI1" s="235"/>
      <c r="DJ1" s="235"/>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35"/>
      <c r="HO1" s="235"/>
      <c r="HP1" s="235"/>
      <c r="HQ1" s="235"/>
      <c r="HR1" s="235"/>
      <c r="HS1" s="235"/>
      <c r="HT1" s="235"/>
      <c r="HU1" s="235"/>
      <c r="HV1" s="235"/>
      <c r="HW1" s="235"/>
      <c r="HX1" s="235"/>
      <c r="HY1" s="235"/>
      <c r="HZ1" s="235"/>
      <c r="IA1" s="235"/>
      <c r="IB1" s="235"/>
      <c r="IC1" s="235"/>
      <c r="ID1" s="235"/>
      <c r="IE1" s="235"/>
      <c r="IF1" s="235"/>
      <c r="IG1" s="235"/>
      <c r="IH1" s="235"/>
      <c r="II1" s="235"/>
      <c r="IJ1" s="235"/>
      <c r="IK1" s="235"/>
      <c r="IL1" s="235"/>
      <c r="IM1" s="235"/>
      <c r="IN1" s="235"/>
      <c r="IO1" s="235"/>
      <c r="IP1" s="235"/>
      <c r="IQ1" s="235"/>
      <c r="IR1" s="235"/>
      <c r="IS1" s="235"/>
      <c r="IT1" s="235"/>
      <c r="IU1" s="235"/>
      <c r="IV1" s="235"/>
      <c r="IW1" s="235"/>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customFormat="false" ht="12.75" hidden="false" customHeight="true" outlineLevel="0" collapsed="false">
      <c r="A4" s="225"/>
      <c r="B4" s="226"/>
      <c r="C4" s="236"/>
      <c r="D4" s="237"/>
      <c r="E4" s="238"/>
      <c r="F4" s="229"/>
      <c r="G4" s="230"/>
      <c r="H4" s="229"/>
      <c r="I4" s="241" t="n">
        <f aca="false">Admin!B4</f>
        <v>43927</v>
      </c>
      <c r="J4" s="242" t="n">
        <f aca="false">Admin!G4</f>
        <v>1</v>
      </c>
      <c r="K4" s="238"/>
      <c r="L4" s="243" t="n">
        <f aca="false">Admin!G5</f>
        <v>0.18</v>
      </c>
      <c r="M4" s="241" t="n">
        <f aca="false">Admin!B17</f>
        <v>44291</v>
      </c>
      <c r="N4" s="232"/>
      <c r="O4" s="233"/>
      <c r="P4" s="239"/>
      <c r="Q4" s="239"/>
      <c r="R4" s="239"/>
      <c r="S4" s="244"/>
      <c r="T4" s="245"/>
      <c r="U4" s="245"/>
      <c r="V4" s="245"/>
      <c r="W4" s="245"/>
      <c r="X4" s="245"/>
      <c r="Y4" s="245"/>
      <c r="Z4" s="245"/>
      <c r="AA4" s="245"/>
      <c r="AB4" s="245"/>
      <c r="AC4" s="245"/>
      <c r="AD4" s="245"/>
      <c r="AE4" s="245"/>
      <c r="AF4" s="245"/>
      <c r="AG4" s="245"/>
      <c r="AH4" s="245"/>
      <c r="AI4" s="245"/>
      <c r="AJ4" s="245"/>
      <c r="AK4" s="245"/>
      <c r="AL4" s="245"/>
      <c r="AM4" s="245"/>
      <c r="AN4" s="245"/>
      <c r="AO4" s="245"/>
      <c r="AP4" s="245"/>
      <c r="AQ4" s="245"/>
      <c r="AR4" s="245"/>
      <c r="AS4" s="245"/>
      <c r="AT4" s="245"/>
      <c r="AU4" s="245"/>
      <c r="AV4" s="245"/>
      <c r="AW4" s="245"/>
      <c r="AX4" s="245"/>
      <c r="AY4" s="245"/>
      <c r="AZ4" s="245"/>
      <c r="BA4" s="245"/>
      <c r="BB4" s="245"/>
      <c r="BC4" s="245"/>
      <c r="BD4" s="245"/>
      <c r="BE4" s="245"/>
      <c r="BF4" s="245"/>
      <c r="BG4" s="245"/>
      <c r="BH4" s="245"/>
      <c r="BI4" s="245"/>
      <c r="BJ4" s="245"/>
      <c r="BK4" s="245"/>
      <c r="BL4" s="245"/>
      <c r="BM4" s="245"/>
      <c r="BN4" s="245"/>
      <c r="BO4" s="245"/>
      <c r="BP4" s="245"/>
      <c r="BQ4" s="245"/>
      <c r="BR4" s="245"/>
      <c r="BS4" s="245"/>
      <c r="BT4" s="245"/>
      <c r="BU4" s="245"/>
      <c r="BV4" s="245"/>
      <c r="BW4" s="245"/>
      <c r="BX4" s="245"/>
      <c r="BY4" s="245"/>
      <c r="BZ4" s="245"/>
      <c r="CA4" s="245"/>
      <c r="CB4" s="245"/>
      <c r="CC4" s="245"/>
      <c r="CD4" s="245"/>
      <c r="CE4" s="245"/>
      <c r="CF4" s="245"/>
      <c r="CG4" s="245"/>
      <c r="CH4" s="245"/>
      <c r="CI4" s="245"/>
      <c r="CJ4" s="245"/>
      <c r="CK4" s="245"/>
      <c r="CL4" s="245"/>
      <c r="CM4" s="245"/>
      <c r="CN4" s="245"/>
      <c r="CO4" s="245"/>
      <c r="CP4" s="245"/>
      <c r="CQ4" s="245"/>
      <c r="CR4" s="245"/>
      <c r="CS4" s="245"/>
      <c r="CT4" s="245"/>
      <c r="CU4" s="245"/>
      <c r="CV4" s="245"/>
      <c r="CW4" s="245"/>
      <c r="CX4" s="245"/>
      <c r="CY4" s="245"/>
      <c r="CZ4" s="245"/>
      <c r="DA4" s="245"/>
      <c r="DB4" s="245"/>
      <c r="DC4" s="245"/>
      <c r="DD4" s="245"/>
      <c r="DE4" s="245"/>
      <c r="DF4" s="245"/>
      <c r="DG4" s="245"/>
      <c r="DH4" s="245"/>
      <c r="DI4" s="245"/>
      <c r="DJ4" s="245"/>
      <c r="DK4" s="245"/>
      <c r="DL4" s="245"/>
      <c r="DM4" s="245"/>
      <c r="DN4" s="245"/>
      <c r="DO4" s="245"/>
      <c r="DP4" s="245"/>
      <c r="DQ4" s="245"/>
      <c r="DR4" s="245"/>
      <c r="DS4" s="245"/>
      <c r="DT4" s="245"/>
      <c r="DU4" s="245"/>
      <c r="DV4" s="245"/>
      <c r="DW4" s="245"/>
      <c r="DX4" s="245"/>
      <c r="DY4" s="245"/>
      <c r="DZ4" s="245"/>
      <c r="EA4" s="245"/>
      <c r="EB4" s="245"/>
      <c r="EC4" s="245"/>
      <c r="ED4" s="245"/>
      <c r="EE4" s="245"/>
      <c r="EF4" s="245"/>
      <c r="EG4" s="245"/>
      <c r="EH4" s="245"/>
      <c r="EI4" s="245"/>
      <c r="EJ4" s="245"/>
      <c r="EK4" s="245"/>
      <c r="EL4" s="245"/>
      <c r="EM4" s="245"/>
      <c r="EN4" s="245"/>
      <c r="EO4" s="245"/>
      <c r="EP4" s="245"/>
      <c r="EQ4" s="245"/>
      <c r="ER4" s="245"/>
      <c r="ES4" s="245"/>
      <c r="ET4" s="245"/>
      <c r="EU4" s="245"/>
      <c r="EV4" s="245"/>
      <c r="EW4" s="245"/>
      <c r="EX4" s="245"/>
      <c r="EY4" s="245"/>
      <c r="EZ4" s="245"/>
      <c r="FA4" s="245"/>
      <c r="FB4" s="245"/>
      <c r="FC4" s="245"/>
      <c r="FD4" s="245"/>
      <c r="FE4" s="245"/>
      <c r="FF4" s="245"/>
      <c r="FG4" s="245"/>
      <c r="FH4" s="245"/>
      <c r="FI4" s="245"/>
      <c r="FJ4" s="245"/>
      <c r="FK4" s="245"/>
      <c r="FL4" s="245"/>
      <c r="FM4" s="245"/>
      <c r="FN4" s="245"/>
      <c r="FO4" s="245"/>
      <c r="FP4" s="245"/>
      <c r="FQ4" s="245"/>
      <c r="FR4" s="245"/>
      <c r="FS4" s="245"/>
      <c r="FT4" s="245"/>
      <c r="FU4" s="245"/>
      <c r="FV4" s="245"/>
      <c r="FW4" s="245"/>
      <c r="FX4" s="245"/>
      <c r="FY4" s="245"/>
      <c r="FZ4" s="245"/>
      <c r="GA4" s="245"/>
      <c r="GB4" s="245"/>
      <c r="GC4" s="245"/>
      <c r="GD4" s="245"/>
      <c r="GE4" s="245"/>
      <c r="GF4" s="245"/>
      <c r="GG4" s="245"/>
      <c r="GH4" s="245"/>
      <c r="GI4" s="245"/>
      <c r="GJ4" s="245"/>
      <c r="GK4" s="245"/>
      <c r="GL4" s="245"/>
      <c r="GM4" s="245"/>
      <c r="GN4" s="245"/>
      <c r="GO4" s="245"/>
      <c r="GP4" s="245"/>
      <c r="GQ4" s="245"/>
      <c r="GR4" s="245"/>
      <c r="GS4" s="245"/>
      <c r="GT4" s="245"/>
      <c r="GU4" s="245"/>
      <c r="GV4" s="245"/>
      <c r="GW4" s="245"/>
      <c r="GX4" s="245"/>
      <c r="GY4" s="245"/>
      <c r="GZ4" s="245"/>
      <c r="HA4" s="245"/>
      <c r="HB4" s="245"/>
      <c r="HC4" s="245"/>
      <c r="HD4" s="245"/>
      <c r="HE4" s="245"/>
      <c r="HF4" s="245"/>
      <c r="HG4" s="245"/>
      <c r="HH4" s="245"/>
      <c r="HI4" s="245"/>
      <c r="HJ4" s="245"/>
      <c r="HK4" s="245"/>
      <c r="HL4" s="245"/>
      <c r="HM4" s="245"/>
      <c r="HN4" s="245"/>
      <c r="HO4" s="245"/>
      <c r="HP4" s="245"/>
      <c r="HQ4" s="245"/>
      <c r="HR4" s="245"/>
      <c r="HS4" s="245"/>
      <c r="HT4" s="245"/>
      <c r="HU4" s="245"/>
      <c r="HV4" s="245"/>
      <c r="HW4" s="245"/>
      <c r="HX4" s="245"/>
      <c r="HY4" s="245"/>
      <c r="HZ4" s="245"/>
      <c r="IA4" s="245"/>
      <c r="IB4" s="245"/>
      <c r="IC4" s="245"/>
      <c r="ID4" s="245"/>
      <c r="IE4" s="245"/>
      <c r="IF4" s="245"/>
      <c r="IG4" s="245"/>
      <c r="IH4" s="245"/>
      <c r="II4" s="245"/>
      <c r="IJ4" s="245"/>
      <c r="IK4" s="245"/>
      <c r="IL4" s="245"/>
      <c r="IM4" s="245"/>
      <c r="IN4" s="245"/>
      <c r="IO4" s="245"/>
      <c r="IP4" s="245"/>
      <c r="IQ4" s="245"/>
      <c r="IR4" s="245"/>
      <c r="IS4" s="245"/>
      <c r="IT4" s="245"/>
      <c r="IU4" s="245"/>
      <c r="IV4" s="245"/>
      <c r="IW4" s="245"/>
    </row>
    <row r="5" customFormat="false" ht="6" hidden="false" customHeight="true" outlineLevel="0" collapsed="false">
      <c r="A5" s="246"/>
      <c r="B5" s="247"/>
      <c r="C5" s="248"/>
      <c r="D5" s="249"/>
      <c r="E5" s="250"/>
      <c r="F5" s="251"/>
      <c r="G5" s="252"/>
      <c r="H5" s="251"/>
      <c r="I5" s="250"/>
      <c r="J5" s="249"/>
      <c r="K5" s="253"/>
      <c r="L5" s="254"/>
      <c r="M5" s="250"/>
      <c r="N5" s="251"/>
      <c r="O5" s="247"/>
      <c r="P5" s="250"/>
      <c r="Q5" s="250"/>
      <c r="R5" s="250"/>
      <c r="S5" s="244"/>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245"/>
      <c r="IH5" s="245"/>
      <c r="II5" s="245"/>
      <c r="IJ5" s="245"/>
      <c r="IK5" s="245"/>
      <c r="IL5" s="245"/>
      <c r="IM5" s="245"/>
      <c r="IN5" s="245"/>
      <c r="IO5" s="245"/>
      <c r="IP5" s="245"/>
      <c r="IQ5" s="245"/>
      <c r="IR5" s="245"/>
      <c r="IS5" s="245"/>
      <c r="IT5" s="245"/>
      <c r="IU5" s="245"/>
      <c r="IV5" s="245"/>
      <c r="IW5" s="245"/>
    </row>
    <row r="6" customFormat="false" ht="13.5" hidden="false" customHeight="true" outlineLevel="0" collapsed="false">
      <c r="A6" s="255"/>
      <c r="B6" s="256" t="s">
        <v>202</v>
      </c>
      <c r="C6" s="256"/>
      <c r="D6" s="257" t="n">
        <f aca="false">Admin!B$4</f>
        <v>43927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43927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43927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43927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43927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43951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43982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44012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44043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44074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44104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44135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44165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44196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44227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44255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44291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customFormat="false" ht="24.75" hidden="false" customHeight="true" outlineLevel="0" collapsed="false">
      <c r="A1" s="321"/>
      <c r="B1" s="322" t="s">
        <v>225</v>
      </c>
      <c r="C1" s="323" t="s">
        <v>226</v>
      </c>
      <c r="D1" s="324"/>
      <c r="E1" s="322" t="s">
        <v>227</v>
      </c>
      <c r="F1" s="323" t="s">
        <v>228</v>
      </c>
      <c r="G1" s="321"/>
      <c r="H1" s="325"/>
      <c r="I1" s="325"/>
      <c r="J1" s="325"/>
      <c r="K1" s="325"/>
      <c r="L1" s="325"/>
      <c r="M1" s="325"/>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5"/>
      <c r="BA1" s="325"/>
      <c r="BB1" s="325"/>
      <c r="BC1" s="325"/>
      <c r="BD1" s="325"/>
      <c r="BE1" s="325"/>
      <c r="BF1" s="325"/>
      <c r="BG1" s="325"/>
      <c r="BH1" s="325"/>
      <c r="BI1" s="325"/>
      <c r="BJ1" s="325"/>
      <c r="BK1" s="325"/>
      <c r="BL1" s="325"/>
      <c r="BM1" s="325"/>
      <c r="BN1" s="325"/>
      <c r="BO1" s="325"/>
      <c r="BP1" s="325"/>
      <c r="BQ1" s="325"/>
      <c r="BR1" s="325"/>
      <c r="BS1" s="325"/>
      <c r="BT1" s="325"/>
      <c r="BU1" s="325"/>
      <c r="BV1" s="325"/>
      <c r="BW1" s="325"/>
      <c r="BX1" s="325"/>
      <c r="BY1" s="325"/>
      <c r="BZ1" s="325"/>
      <c r="CA1" s="325"/>
      <c r="CB1" s="325"/>
      <c r="CC1" s="325"/>
      <c r="CD1" s="325"/>
      <c r="CE1" s="325"/>
      <c r="CF1" s="325"/>
      <c r="CG1" s="325"/>
      <c r="CH1" s="325"/>
      <c r="CI1" s="325"/>
      <c r="CJ1" s="325"/>
      <c r="CK1" s="325"/>
      <c r="CL1" s="325"/>
      <c r="CM1" s="325"/>
      <c r="CN1" s="325"/>
      <c r="CO1" s="325"/>
      <c r="CP1" s="325"/>
      <c r="CQ1" s="325"/>
      <c r="CR1" s="325"/>
      <c r="CS1" s="325"/>
      <c r="CT1" s="325"/>
      <c r="CU1" s="325"/>
      <c r="CV1" s="325"/>
      <c r="CW1" s="325"/>
      <c r="CX1" s="325"/>
      <c r="CY1" s="325"/>
      <c r="CZ1" s="325"/>
      <c r="DA1" s="325"/>
      <c r="DB1" s="325"/>
      <c r="DC1" s="325"/>
      <c r="DD1" s="325"/>
      <c r="DE1" s="325"/>
      <c r="DF1" s="325"/>
      <c r="DG1" s="325"/>
      <c r="DH1" s="325"/>
      <c r="DI1" s="325"/>
      <c r="DJ1" s="325"/>
      <c r="DK1" s="325"/>
      <c r="DL1" s="325"/>
      <c r="DM1" s="325"/>
      <c r="DN1" s="325"/>
      <c r="DO1" s="325"/>
      <c r="DP1" s="325"/>
      <c r="DQ1" s="325"/>
      <c r="DR1" s="325"/>
      <c r="DS1" s="325"/>
      <c r="DT1" s="325"/>
      <c r="DU1" s="325"/>
      <c r="DV1" s="325"/>
      <c r="DW1" s="325"/>
      <c r="DX1" s="325"/>
      <c r="DY1" s="325"/>
      <c r="DZ1" s="325"/>
      <c r="EA1" s="325"/>
      <c r="EB1" s="325"/>
      <c r="EC1" s="325"/>
      <c r="ED1" s="325"/>
      <c r="EE1" s="325"/>
      <c r="EF1" s="325"/>
      <c r="EG1" s="325"/>
      <c r="EH1" s="325"/>
      <c r="EI1" s="325"/>
      <c r="EJ1" s="325"/>
      <c r="EK1" s="325"/>
      <c r="EL1" s="325"/>
      <c r="EM1" s="325"/>
      <c r="EN1" s="325"/>
      <c r="EO1" s="325"/>
      <c r="EP1" s="325"/>
      <c r="EQ1" s="325"/>
      <c r="ER1" s="325"/>
      <c r="ES1" s="325"/>
      <c r="ET1" s="325"/>
      <c r="EU1" s="325"/>
      <c r="EV1" s="325"/>
      <c r="EW1" s="325"/>
      <c r="EX1" s="325"/>
      <c r="EY1" s="325"/>
      <c r="EZ1" s="325"/>
      <c r="FA1" s="325"/>
      <c r="FB1" s="325"/>
      <c r="FC1" s="325"/>
      <c r="FD1" s="325"/>
      <c r="FE1" s="325"/>
      <c r="FF1" s="325"/>
      <c r="FG1" s="325"/>
      <c r="FH1" s="325"/>
      <c r="FI1" s="325"/>
      <c r="FJ1" s="325"/>
      <c r="FK1" s="325"/>
      <c r="FL1" s="325"/>
      <c r="FM1" s="325"/>
      <c r="FN1" s="325"/>
      <c r="FO1" s="325"/>
      <c r="FP1" s="325"/>
      <c r="FQ1" s="325"/>
      <c r="FR1" s="325"/>
      <c r="FS1" s="325"/>
      <c r="FT1" s="325"/>
      <c r="FU1" s="325"/>
      <c r="FV1" s="325"/>
      <c r="FW1" s="325"/>
      <c r="FX1" s="325"/>
      <c r="FY1" s="325"/>
      <c r="FZ1" s="325"/>
      <c r="GA1" s="325"/>
      <c r="GB1" s="325"/>
      <c r="GC1" s="325"/>
      <c r="GD1" s="325"/>
      <c r="GE1" s="325"/>
      <c r="GF1" s="325"/>
      <c r="GG1" s="325"/>
      <c r="GH1" s="325"/>
      <c r="GI1" s="325"/>
      <c r="GJ1" s="325"/>
      <c r="GK1" s="325"/>
      <c r="GL1" s="325"/>
      <c r="GM1" s="325"/>
      <c r="GN1" s="325"/>
      <c r="GO1" s="325"/>
      <c r="GP1" s="325"/>
      <c r="GQ1" s="325"/>
      <c r="GR1" s="325"/>
      <c r="GS1" s="325"/>
      <c r="GT1" s="325"/>
      <c r="GU1" s="325"/>
      <c r="GV1" s="325"/>
      <c r="GW1" s="325"/>
      <c r="GX1" s="325"/>
      <c r="GY1" s="325"/>
      <c r="GZ1" s="325"/>
      <c r="HA1" s="325"/>
      <c r="HB1" s="325"/>
      <c r="HC1" s="325"/>
      <c r="HD1" s="325"/>
      <c r="HE1" s="325"/>
      <c r="HF1" s="325"/>
      <c r="HG1" s="325"/>
      <c r="HH1" s="325"/>
      <c r="HI1" s="325"/>
      <c r="HJ1" s="325"/>
      <c r="HK1" s="325"/>
      <c r="HL1" s="325"/>
      <c r="HM1" s="325"/>
      <c r="HN1" s="325"/>
      <c r="HO1" s="325"/>
      <c r="HP1" s="325"/>
      <c r="HQ1" s="325"/>
      <c r="HR1" s="325"/>
      <c r="HS1" s="325"/>
      <c r="HT1" s="325"/>
      <c r="HU1" s="325"/>
      <c r="HV1" s="325"/>
      <c r="HW1" s="325"/>
      <c r="HX1" s="325"/>
      <c r="HY1" s="325"/>
      <c r="HZ1" s="325"/>
      <c r="IA1" s="325"/>
      <c r="IB1" s="325"/>
      <c r="IC1" s="325"/>
      <c r="ID1" s="325"/>
      <c r="IE1" s="325"/>
      <c r="IF1" s="325"/>
      <c r="IG1" s="325"/>
      <c r="IH1" s="325"/>
      <c r="II1" s="325"/>
      <c r="IJ1" s="325"/>
      <c r="IK1" s="325"/>
      <c r="IL1" s="325"/>
      <c r="IM1" s="325"/>
      <c r="IN1" s="325"/>
      <c r="IO1" s="325"/>
      <c r="IP1" s="325"/>
      <c r="IQ1" s="325"/>
      <c r="IR1" s="325"/>
      <c r="IS1" s="325"/>
      <c r="IT1" s="325"/>
      <c r="IU1" s="325"/>
      <c r="IV1" s="325"/>
      <c r="IW1" s="325"/>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43951</v>
      </c>
      <c r="C5" s="332" t="str">
        <f aca="false">IF((SalesApr!$H$1&gt;0),SalesApr!$H$1," ")</f>
        <v> </v>
      </c>
      <c r="D5" s="326"/>
      <c r="E5" s="331" t="n">
        <f aca="false">B5</f>
        <v>43951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43982</v>
      </c>
      <c r="C7" s="330" t="str">
        <f aca="false">IF((SalesMay!$H$1&gt;0),SalesMay!$H$1," ")</f>
        <v> </v>
      </c>
      <c r="D7" s="326"/>
      <c r="E7" s="331" t="n">
        <f aca="false">B7</f>
        <v>43982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44012</v>
      </c>
      <c r="C9" s="330" t="str">
        <f aca="false">IF((SalesJun!$H$1&gt;0),SalesJun!$H$1," ")</f>
        <v> </v>
      </c>
      <c r="D9" s="326"/>
      <c r="E9" s="331" t="n">
        <f aca="false">B9</f>
        <v>44012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44043</v>
      </c>
      <c r="C11" s="330" t="str">
        <f aca="false">IF((SalesJul!$H$1&gt;0),SalesJul!$H$1," ")</f>
        <v> </v>
      </c>
      <c r="D11" s="326"/>
      <c r="E11" s="331" t="n">
        <f aca="false">B11</f>
        <v>44043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44074</v>
      </c>
      <c r="C13" s="330" t="str">
        <f aca="false">IF((SalesAug!$H$1&gt;0),SalesAug!$H$1," ")</f>
        <v> </v>
      </c>
      <c r="D13" s="326"/>
      <c r="E13" s="331" t="n">
        <f aca="false">B13</f>
        <v>44074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44104</v>
      </c>
      <c r="C15" s="330" t="str">
        <f aca="false">IF((SalesSep!$H$1&gt;0),SalesSep!$H$1," ")</f>
        <v> </v>
      </c>
      <c r="D15" s="326"/>
      <c r="E15" s="331" t="n">
        <f aca="false">B15</f>
        <v>44104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44135</v>
      </c>
      <c r="C17" s="330" t="str">
        <f aca="false">IF((SalesOct!$H$1&gt;0),SalesOct!$H$1," ")</f>
        <v> </v>
      </c>
      <c r="D17" s="326"/>
      <c r="E17" s="331" t="n">
        <f aca="false">B17</f>
        <v>44135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44165</v>
      </c>
      <c r="C19" s="330" t="str">
        <f aca="false">IF((SalesNov!$H$1&gt;0),SalesNov!$H$1," ")</f>
        <v> </v>
      </c>
      <c r="D19" s="326"/>
      <c r="E19" s="331" t="n">
        <f aca="false">B19</f>
        <v>44165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44196</v>
      </c>
      <c r="C21" s="330" t="str">
        <f aca="false">IF((SalesDec!$H$1&gt;0),SalesDec!$H$1," ")</f>
        <v> </v>
      </c>
      <c r="D21" s="326"/>
      <c r="E21" s="331" t="n">
        <f aca="false">B21</f>
        <v>44196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44227</v>
      </c>
      <c r="C23" s="330" t="str">
        <f aca="false">IF((SalesJan!$H$1&gt;0),SalesJan!$H$1," ")</f>
        <v> </v>
      </c>
      <c r="D23" s="326"/>
      <c r="E23" s="331" t="n">
        <f aca="false">B23</f>
        <v>44227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44255</v>
      </c>
      <c r="C25" s="330" t="str">
        <f aca="false">IF((SalesFeb!$H$1&gt;0),SalesFeb!$H$1," ")</f>
        <v> </v>
      </c>
      <c r="D25" s="326"/>
      <c r="E25" s="331" t="n">
        <f aca="false">B25</f>
        <v>44255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44286</v>
      </c>
      <c r="C27" s="330" t="str">
        <f aca="false">IF((SalesMar!$H$1&gt;0),SalesMar!$H$1," ")</f>
        <v> </v>
      </c>
      <c r="D27" s="326"/>
      <c r="E27" s="331" t="n">
        <f aca="false">B27</f>
        <v>44286</v>
      </c>
      <c r="F27" s="330" t="str">
        <f aca="false">IF((PurchasesMar!$H$1&gt;0),PurchasesMar!$H$1," ")</f>
        <v> </v>
      </c>
      <c r="G27" s="326"/>
    </row>
    <row r="28" customFormat="false" ht="12.75" hidden="false" customHeight="false" outlineLevel="0" collapsed="false">
      <c r="A28" s="326"/>
      <c r="B28" s="327"/>
      <c r="C28" s="328"/>
      <c r="D28" s="326"/>
      <c r="E28" s="327"/>
      <c r="F28" s="328"/>
      <c r="G28" s="326"/>
    </row>
    <row r="29" customFormat="false" ht="23.85" hidden="false" customHeight="false" outlineLevel="0" collapsed="false">
      <c r="A29" s="321"/>
      <c r="B29" s="333" t="s">
        <v>230</v>
      </c>
      <c r="C29" s="334" t="n">
        <f aca="false">SUM(C3:C28)</f>
        <v>0</v>
      </c>
      <c r="D29" s="321"/>
      <c r="E29" s="333" t="s">
        <v>231</v>
      </c>
      <c r="F29" s="334" t="n">
        <f aca="false">SUM(F3:F28)</f>
        <v>0</v>
      </c>
      <c r="G29" s="321"/>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5"/>
      <c r="BJ29" s="325"/>
      <c r="BK29" s="325"/>
      <c r="BL29" s="325"/>
      <c r="BM29" s="325"/>
      <c r="BN29" s="325"/>
      <c r="BO29" s="325"/>
      <c r="BP29" s="325"/>
      <c r="BQ29" s="325"/>
      <c r="BR29" s="325"/>
      <c r="BS29" s="325"/>
      <c r="BT29" s="325"/>
      <c r="BU29" s="325"/>
      <c r="BV29" s="325"/>
      <c r="BW29" s="325"/>
      <c r="BX29" s="325"/>
      <c r="BY29" s="325"/>
      <c r="BZ29" s="325"/>
      <c r="CA29" s="325"/>
      <c r="CB29" s="325"/>
      <c r="CC29" s="325"/>
      <c r="CD29" s="325"/>
      <c r="CE29" s="325"/>
      <c r="CF29" s="325"/>
      <c r="CG29" s="325"/>
      <c r="CH29" s="325"/>
      <c r="CI29" s="325"/>
      <c r="CJ29" s="325"/>
      <c r="CK29" s="325"/>
      <c r="CL29" s="325"/>
      <c r="CM29" s="325"/>
      <c r="CN29" s="325"/>
      <c r="CO29" s="325"/>
      <c r="CP29" s="325"/>
      <c r="CQ29" s="325"/>
      <c r="CR29" s="325"/>
      <c r="CS29" s="325"/>
      <c r="CT29" s="325"/>
      <c r="CU29" s="325"/>
      <c r="CV29" s="325"/>
      <c r="CW29" s="325"/>
      <c r="CX29" s="325"/>
      <c r="CY29" s="325"/>
      <c r="CZ29" s="325"/>
      <c r="DA29" s="325"/>
      <c r="DB29" s="325"/>
      <c r="DC29" s="325"/>
      <c r="DD29" s="325"/>
      <c r="DE29" s="325"/>
      <c r="DF29" s="325"/>
      <c r="DG29" s="325"/>
      <c r="DH29" s="325"/>
      <c r="DI29" s="325"/>
      <c r="DJ29" s="325"/>
      <c r="DK29" s="325"/>
      <c r="DL29" s="325"/>
      <c r="DM29" s="325"/>
      <c r="DN29" s="325"/>
      <c r="DO29" s="325"/>
      <c r="DP29" s="325"/>
      <c r="DQ29" s="325"/>
      <c r="DR29" s="325"/>
      <c r="DS29" s="325"/>
      <c r="DT29" s="325"/>
      <c r="DU29" s="325"/>
      <c r="DV29" s="325"/>
      <c r="DW29" s="325"/>
      <c r="DX29" s="325"/>
      <c r="DY29" s="325"/>
      <c r="DZ29" s="325"/>
      <c r="EA29" s="325"/>
      <c r="EB29" s="325"/>
      <c r="EC29" s="325"/>
      <c r="ED29" s="325"/>
      <c r="EE29" s="325"/>
      <c r="EF29" s="325"/>
      <c r="EG29" s="325"/>
      <c r="EH29" s="325"/>
      <c r="EI29" s="325"/>
      <c r="EJ29" s="325"/>
      <c r="EK29" s="325"/>
      <c r="EL29" s="325"/>
      <c r="EM29" s="325"/>
      <c r="EN29" s="325"/>
      <c r="EO29" s="325"/>
      <c r="EP29" s="325"/>
      <c r="EQ29" s="325"/>
      <c r="ER29" s="325"/>
      <c r="ES29" s="325"/>
      <c r="ET29" s="325"/>
      <c r="EU29" s="325"/>
      <c r="EV29" s="325"/>
      <c r="EW29" s="325"/>
      <c r="EX29" s="325"/>
      <c r="EY29" s="325"/>
      <c r="EZ29" s="325"/>
      <c r="FA29" s="325"/>
      <c r="FB29" s="325"/>
      <c r="FC29" s="325"/>
      <c r="FD29" s="325"/>
      <c r="FE29" s="325"/>
      <c r="FF29" s="325"/>
      <c r="FG29" s="325"/>
      <c r="FH29" s="325"/>
      <c r="FI29" s="325"/>
      <c r="FJ29" s="325"/>
      <c r="FK29" s="325"/>
      <c r="FL29" s="325"/>
      <c r="FM29" s="325"/>
      <c r="FN29" s="325"/>
      <c r="FO29" s="325"/>
      <c r="FP29" s="325"/>
      <c r="FQ29" s="325"/>
      <c r="FR29" s="325"/>
      <c r="FS29" s="325"/>
      <c r="FT29" s="325"/>
      <c r="FU29" s="325"/>
      <c r="FV29" s="325"/>
      <c r="FW29" s="325"/>
      <c r="FX29" s="325"/>
      <c r="FY29" s="325"/>
      <c r="FZ29" s="325"/>
      <c r="GA29" s="325"/>
      <c r="GB29" s="325"/>
      <c r="GC29" s="325"/>
      <c r="GD29" s="325"/>
      <c r="GE29" s="325"/>
      <c r="GF29" s="325"/>
      <c r="GG29" s="325"/>
      <c r="GH29" s="325"/>
      <c r="GI29" s="325"/>
      <c r="GJ29" s="325"/>
      <c r="GK29" s="325"/>
      <c r="GL29" s="325"/>
      <c r="GM29" s="325"/>
      <c r="GN29" s="325"/>
      <c r="GO29" s="325"/>
      <c r="GP29" s="325"/>
      <c r="GQ29" s="325"/>
      <c r="GR29" s="325"/>
      <c r="GS29" s="325"/>
      <c r="GT29" s="325"/>
      <c r="GU29" s="325"/>
      <c r="GV29" s="325"/>
      <c r="GW29" s="325"/>
      <c r="GX29" s="325"/>
      <c r="GY29" s="325"/>
      <c r="GZ29" s="325"/>
      <c r="HA29" s="325"/>
      <c r="HB29" s="325"/>
      <c r="HC29" s="325"/>
      <c r="HD29" s="325"/>
      <c r="HE29" s="325"/>
      <c r="HF29" s="325"/>
      <c r="HG29" s="325"/>
      <c r="HH29" s="325"/>
      <c r="HI29" s="325"/>
      <c r="HJ29" s="325"/>
      <c r="HK29" s="325"/>
      <c r="HL29" s="325"/>
      <c r="HM29" s="325"/>
      <c r="HN29" s="325"/>
      <c r="HO29" s="325"/>
      <c r="HP29" s="325"/>
      <c r="HQ29" s="325"/>
      <c r="HR29" s="325"/>
      <c r="HS29" s="325"/>
      <c r="HT29" s="325"/>
      <c r="HU29" s="325"/>
      <c r="HV29" s="325"/>
      <c r="HW29" s="325"/>
      <c r="HX29" s="325"/>
      <c r="HY29" s="325"/>
      <c r="HZ29" s="325"/>
      <c r="IA29" s="325"/>
      <c r="IB29" s="325"/>
      <c r="IC29" s="325"/>
      <c r="ID29" s="325"/>
      <c r="IE29" s="325"/>
      <c r="IF29" s="325"/>
      <c r="IG29" s="325"/>
      <c r="IH29" s="325"/>
      <c r="II29" s="325"/>
      <c r="IJ29" s="325"/>
      <c r="IK29" s="325"/>
      <c r="IL29" s="325"/>
      <c r="IM29" s="325"/>
      <c r="IN29" s="325"/>
      <c r="IO29" s="325"/>
      <c r="IP29" s="325"/>
      <c r="IQ29" s="325"/>
      <c r="IR29" s="325"/>
      <c r="IS29" s="325"/>
      <c r="IT29" s="325"/>
      <c r="IU29" s="325"/>
      <c r="IV29" s="325"/>
      <c r="IW29" s="325"/>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403"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303</v>
      </c>
      <c r="C1" s="68"/>
      <c r="D1" s="408"/>
      <c r="E1" s="408"/>
      <c r="F1" s="408"/>
      <c r="G1" s="162"/>
      <c r="H1" s="68"/>
      <c r="I1" s="68"/>
      <c r="J1" s="68"/>
      <c r="K1" s="68"/>
      <c r="L1" s="68"/>
      <c r="M1" s="68"/>
      <c r="N1" s="68"/>
      <c r="O1" s="68"/>
    </row>
    <row r="2" customFormat="false" ht="12" hidden="false" customHeight="true" outlineLevel="0" collapsed="false">
      <c r="A2" s="68"/>
      <c r="B2" s="409" t="n">
        <v>43890</v>
      </c>
      <c r="C2" s="68"/>
      <c r="D2" s="410" t="s">
        <v>304</v>
      </c>
      <c r="E2" s="410"/>
      <c r="F2" s="410"/>
      <c r="G2" s="411" t="str">
        <f aca="false">B23</f>
        <v>2020-21</v>
      </c>
      <c r="H2" s="68"/>
      <c r="I2" s="68"/>
      <c r="J2" s="412" t="s">
        <v>305</v>
      </c>
      <c r="K2" s="412"/>
      <c r="L2" s="410" t="str">
        <f aca="false">G2</f>
        <v>2020-21</v>
      </c>
      <c r="M2" s="68"/>
      <c r="N2" s="68"/>
      <c r="O2" s="68"/>
    </row>
    <row r="3" customFormat="false" ht="12" hidden="false" customHeight="true" outlineLevel="0" collapsed="false">
      <c r="A3" s="68"/>
      <c r="B3" s="409" t="n">
        <v>43921</v>
      </c>
      <c r="C3" s="68"/>
      <c r="D3" s="68"/>
      <c r="E3" s="68"/>
      <c r="F3" s="68"/>
      <c r="G3" s="413"/>
      <c r="H3" s="68"/>
      <c r="I3" s="68"/>
      <c r="J3" s="414"/>
      <c r="K3" s="414"/>
      <c r="L3" s="162"/>
      <c r="M3" s="68"/>
      <c r="N3" s="68"/>
      <c r="O3" s="68"/>
    </row>
    <row r="4" customFormat="false" ht="12" hidden="false" customHeight="true" outlineLevel="0" collapsed="false">
      <c r="A4" s="68"/>
      <c r="B4" s="415" t="n">
        <v>43927</v>
      </c>
      <c r="C4" s="68"/>
      <c r="D4" s="416" t="s">
        <v>65</v>
      </c>
      <c r="E4" s="416"/>
      <c r="F4" s="416"/>
      <c r="G4" s="417" t="n">
        <v>1</v>
      </c>
      <c r="H4" s="68"/>
      <c r="I4" s="416" t="s">
        <v>306</v>
      </c>
      <c r="J4" s="416"/>
      <c r="K4" s="416"/>
      <c r="L4" s="416"/>
      <c r="M4" s="416"/>
      <c r="N4" s="418" t="n">
        <v>12500</v>
      </c>
      <c r="O4" s="413" t="s">
        <v>26</v>
      </c>
    </row>
    <row r="5" customFormat="false" ht="12" hidden="false" customHeight="true" outlineLevel="0" collapsed="false">
      <c r="A5" s="68"/>
      <c r="B5" s="409" t="n">
        <v>43951</v>
      </c>
      <c r="C5" s="68"/>
      <c r="D5" s="416" t="s">
        <v>307</v>
      </c>
      <c r="E5" s="416"/>
      <c r="F5" s="416"/>
      <c r="G5" s="417" t="n">
        <v>0.18</v>
      </c>
      <c r="H5" s="68"/>
      <c r="I5" s="68"/>
      <c r="J5" s="68"/>
      <c r="K5" s="68"/>
      <c r="L5" s="68"/>
      <c r="M5" s="68"/>
      <c r="N5" s="413"/>
      <c r="O5" s="413"/>
    </row>
    <row r="6" customFormat="false" ht="12" hidden="false" customHeight="true" outlineLevel="0" collapsed="false">
      <c r="A6" s="68"/>
      <c r="B6" s="409" t="n">
        <v>43982</v>
      </c>
      <c r="C6" s="68"/>
      <c r="D6" s="68"/>
      <c r="E6" s="68"/>
      <c r="F6" s="68"/>
      <c r="G6" s="413"/>
      <c r="H6" s="68"/>
      <c r="I6" s="68" t="s">
        <v>308</v>
      </c>
      <c r="J6" s="68"/>
      <c r="K6" s="68"/>
      <c r="L6" s="68"/>
      <c r="M6" s="68"/>
      <c r="N6" s="417" t="n">
        <v>0</v>
      </c>
      <c r="O6" s="413" t="s">
        <v>309</v>
      </c>
    </row>
    <row r="7" customFormat="false" ht="12" hidden="false" customHeight="true" outlineLevel="0" collapsed="false">
      <c r="A7" s="68"/>
      <c r="B7" s="409" t="n">
        <v>44012</v>
      </c>
      <c r="C7" s="68"/>
      <c r="D7" s="416" t="s">
        <v>310</v>
      </c>
      <c r="E7" s="416"/>
      <c r="F7" s="416"/>
      <c r="G7" s="413"/>
      <c r="H7" s="68"/>
      <c r="I7" s="416" t="s">
        <v>311</v>
      </c>
      <c r="J7" s="416"/>
      <c r="K7" s="416"/>
      <c r="L7" s="416"/>
      <c r="M7" s="416"/>
      <c r="N7" s="417" t="n">
        <v>0.2</v>
      </c>
      <c r="O7" s="413" t="s">
        <v>309</v>
      </c>
    </row>
    <row r="8" customFormat="false" ht="12" hidden="false" customHeight="true" outlineLevel="0" collapsed="false">
      <c r="A8" s="68"/>
      <c r="B8" s="409" t="n">
        <v>44043</v>
      </c>
      <c r="C8" s="68"/>
      <c r="D8" s="68" t="s">
        <v>312</v>
      </c>
      <c r="E8" s="419" t="n">
        <v>12000</v>
      </c>
      <c r="F8" s="68" t="s">
        <v>313</v>
      </c>
      <c r="G8" s="419" t="n">
        <v>3000</v>
      </c>
      <c r="H8" s="68"/>
      <c r="I8" s="416" t="s">
        <v>314</v>
      </c>
      <c r="J8" s="416"/>
      <c r="K8" s="416"/>
      <c r="L8" s="416"/>
      <c r="M8" s="416"/>
      <c r="N8" s="417" t="n">
        <v>0.4</v>
      </c>
      <c r="O8" s="413" t="s">
        <v>309</v>
      </c>
    </row>
    <row r="9" customFormat="false" ht="12" hidden="false" customHeight="true" outlineLevel="0" collapsed="false">
      <c r="A9" s="68"/>
      <c r="B9" s="409" t="n">
        <v>44074</v>
      </c>
      <c r="C9" s="68"/>
      <c r="D9" s="68"/>
      <c r="E9" s="413"/>
      <c r="F9" s="68"/>
      <c r="G9" s="413"/>
      <c r="H9" s="68"/>
      <c r="I9" s="68"/>
      <c r="J9" s="68"/>
      <c r="K9" s="68"/>
      <c r="L9" s="68"/>
      <c r="M9" s="68"/>
      <c r="N9" s="413"/>
      <c r="O9" s="413"/>
    </row>
    <row r="10" customFormat="false" ht="12" hidden="false" customHeight="true" outlineLevel="0" collapsed="false">
      <c r="A10" s="68"/>
      <c r="B10" s="409" t="n">
        <v>44104</v>
      </c>
      <c r="C10" s="68"/>
      <c r="D10" s="68"/>
      <c r="E10" s="413"/>
      <c r="F10" s="68"/>
      <c r="G10" s="413"/>
      <c r="H10" s="68"/>
      <c r="I10" s="416" t="s">
        <v>315</v>
      </c>
      <c r="J10" s="416"/>
      <c r="K10" s="416"/>
      <c r="L10" s="420" t="s">
        <v>316</v>
      </c>
      <c r="M10" s="420" t="s">
        <v>317</v>
      </c>
      <c r="N10" s="421" t="s">
        <v>318</v>
      </c>
      <c r="O10" s="413"/>
    </row>
    <row r="11" customFormat="false" ht="12" hidden="false" customHeight="true" outlineLevel="0" collapsed="false">
      <c r="A11" s="68"/>
      <c r="B11" s="409" t="n">
        <v>44135</v>
      </c>
      <c r="C11" s="68"/>
      <c r="D11" s="410" t="s">
        <v>319</v>
      </c>
      <c r="E11" s="410"/>
      <c r="F11" s="410"/>
      <c r="G11" s="413" t="s">
        <v>309</v>
      </c>
      <c r="H11" s="68"/>
      <c r="I11" s="68" t="s">
        <v>320</v>
      </c>
      <c r="J11" s="68"/>
      <c r="K11" s="422" t="n">
        <f aca="false">N6</f>
        <v>0</v>
      </c>
      <c r="L11" s="413" t="n">
        <f aca="false">N11</f>
        <v>0</v>
      </c>
      <c r="M11" s="413" t="n">
        <v>0</v>
      </c>
      <c r="N11" s="419" t="n">
        <v>0</v>
      </c>
      <c r="O11" s="413"/>
    </row>
    <row r="12" customFormat="false" ht="12" hidden="false" customHeight="true" outlineLevel="0" collapsed="false">
      <c r="A12" s="68"/>
      <c r="B12" s="409" t="n">
        <v>44165</v>
      </c>
      <c r="C12" s="68"/>
      <c r="D12" s="68"/>
      <c r="E12" s="68"/>
      <c r="F12" s="68"/>
      <c r="G12" s="413"/>
      <c r="H12" s="68"/>
      <c r="I12" s="68" t="s">
        <v>321</v>
      </c>
      <c r="J12" s="68"/>
      <c r="K12" s="422" t="n">
        <f aca="false">N7</f>
        <v>0.2</v>
      </c>
      <c r="L12" s="413" t="n">
        <v>0</v>
      </c>
      <c r="M12" s="413" t="n">
        <v>37500</v>
      </c>
      <c r="N12" s="419" t="n">
        <v>0</v>
      </c>
      <c r="O12" s="413"/>
    </row>
    <row r="13" customFormat="false" ht="12" hidden="false" customHeight="true" outlineLevel="0" collapsed="false">
      <c r="A13" s="68"/>
      <c r="B13" s="409" t="n">
        <v>44196</v>
      </c>
      <c r="C13" s="68"/>
      <c r="D13" s="416" t="s">
        <v>203</v>
      </c>
      <c r="E13" s="416"/>
      <c r="F13" s="416"/>
      <c r="G13" s="417" t="n">
        <v>0</v>
      </c>
      <c r="H13" s="68"/>
      <c r="I13" s="68" t="s">
        <v>322</v>
      </c>
      <c r="J13" s="68"/>
      <c r="K13" s="422" t="n">
        <f aca="false">N8</f>
        <v>0.4</v>
      </c>
      <c r="L13" s="413" t="n">
        <v>37501</v>
      </c>
      <c r="M13" s="68"/>
      <c r="N13" s="419" t="n">
        <v>37501</v>
      </c>
      <c r="O13" s="413"/>
    </row>
    <row r="14" customFormat="false" ht="12" hidden="false" customHeight="true" outlineLevel="0" collapsed="false">
      <c r="A14" s="68"/>
      <c r="B14" s="409" t="n">
        <v>44227</v>
      </c>
      <c r="C14" s="68"/>
      <c r="D14" s="416" t="s">
        <v>205</v>
      </c>
      <c r="E14" s="416"/>
      <c r="F14" s="416"/>
      <c r="G14" s="417" t="n">
        <v>0.1</v>
      </c>
      <c r="H14" s="68"/>
      <c r="I14" s="68"/>
      <c r="J14" s="68"/>
      <c r="K14" s="68"/>
      <c r="L14" s="68"/>
      <c r="M14" s="68"/>
      <c r="N14" s="68"/>
      <c r="O14" s="68"/>
    </row>
    <row r="15" customFormat="false" ht="12" hidden="false" customHeight="true" outlineLevel="0" collapsed="false">
      <c r="A15" s="68"/>
      <c r="B15" s="409" t="n">
        <v>44255</v>
      </c>
      <c r="C15" s="68"/>
      <c r="D15" s="416" t="s">
        <v>207</v>
      </c>
      <c r="E15" s="416"/>
      <c r="F15" s="416"/>
      <c r="G15" s="417" t="n">
        <v>0.2</v>
      </c>
      <c r="H15" s="68"/>
      <c r="I15" s="410" t="s">
        <v>323</v>
      </c>
      <c r="J15" s="410"/>
      <c r="K15" s="410"/>
      <c r="L15" s="410" t="str">
        <f aca="false">G2</f>
        <v>2020-21</v>
      </c>
      <c r="M15" s="68"/>
      <c r="N15" s="68"/>
      <c r="O15" s="68"/>
    </row>
    <row r="16" customFormat="false" ht="12" hidden="false" customHeight="true" outlineLevel="0" collapsed="false">
      <c r="A16" s="68"/>
      <c r="B16" s="409" t="n">
        <v>44286</v>
      </c>
      <c r="C16" s="68"/>
      <c r="D16" s="416" t="s">
        <v>324</v>
      </c>
      <c r="E16" s="416"/>
      <c r="F16" s="416"/>
      <c r="G16" s="417" t="n">
        <v>0.33</v>
      </c>
      <c r="H16" s="68"/>
      <c r="I16" s="68"/>
      <c r="J16" s="68"/>
      <c r="K16" s="68"/>
      <c r="L16" s="68"/>
      <c r="M16" s="68"/>
      <c r="N16" s="68"/>
      <c r="O16" s="68"/>
    </row>
    <row r="17" customFormat="false" ht="12" hidden="false" customHeight="true" outlineLevel="0" collapsed="false">
      <c r="A17" s="68"/>
      <c r="B17" s="415" t="n">
        <v>44291</v>
      </c>
      <c r="C17" s="68"/>
      <c r="D17" s="416" t="s">
        <v>325</v>
      </c>
      <c r="E17" s="416"/>
      <c r="F17" s="416"/>
      <c r="G17" s="417" t="n">
        <v>0.25</v>
      </c>
      <c r="H17" s="68"/>
      <c r="I17" s="416" t="s">
        <v>326</v>
      </c>
      <c r="J17" s="416"/>
      <c r="K17" s="416"/>
      <c r="L17" s="423" t="n">
        <v>3.05</v>
      </c>
      <c r="M17" s="68" t="s">
        <v>327</v>
      </c>
      <c r="N17" s="68"/>
      <c r="O17" s="68"/>
    </row>
    <row r="18" customFormat="false" ht="12" hidden="false" customHeight="true" outlineLevel="0" collapsed="false">
      <c r="A18" s="68"/>
      <c r="B18" s="409" t="n">
        <v>44316</v>
      </c>
      <c r="C18" s="68"/>
      <c r="D18" s="68"/>
      <c r="E18" s="68"/>
      <c r="F18" s="68"/>
      <c r="G18" s="413"/>
      <c r="H18" s="68"/>
      <c r="I18" s="68"/>
      <c r="J18" s="68"/>
      <c r="K18" s="68"/>
      <c r="L18" s="68"/>
      <c r="M18" s="68"/>
      <c r="N18" s="68"/>
      <c r="O18" s="68"/>
    </row>
    <row r="19" customFormat="false" ht="12" hidden="false" customHeight="true" outlineLevel="0" collapsed="false">
      <c r="A19" s="68"/>
      <c r="B19" s="409" t="n">
        <v>44347</v>
      </c>
      <c r="C19" s="68"/>
      <c r="D19" s="410" t="s">
        <v>328</v>
      </c>
      <c r="E19" s="410"/>
      <c r="F19" s="413" t="s">
        <v>329</v>
      </c>
      <c r="G19" s="413" t="s">
        <v>330</v>
      </c>
      <c r="H19" s="68"/>
      <c r="I19" s="424" t="s">
        <v>331</v>
      </c>
      <c r="J19" s="424"/>
      <c r="K19" s="424"/>
      <c r="L19" s="68"/>
      <c r="M19" s="425" t="s">
        <v>332</v>
      </c>
      <c r="N19" s="68"/>
      <c r="O19" s="68"/>
    </row>
    <row r="20" customFormat="false" ht="12" hidden="false" customHeight="true" outlineLevel="0" collapsed="false">
      <c r="A20" s="68"/>
      <c r="B20" s="409" t="n">
        <v>44377</v>
      </c>
      <c r="C20" s="68"/>
      <c r="D20" s="162"/>
      <c r="E20" s="162"/>
      <c r="F20" s="413"/>
      <c r="G20" s="413"/>
      <c r="H20" s="68"/>
      <c r="I20" s="424"/>
      <c r="J20" s="424"/>
      <c r="K20" s="424"/>
      <c r="L20" s="426" t="n">
        <v>0.09</v>
      </c>
      <c r="M20" s="425"/>
      <c r="N20" s="419" t="n">
        <v>9500</v>
      </c>
      <c r="O20" s="413" t="s">
        <v>26</v>
      </c>
    </row>
    <row r="21" customFormat="false" ht="12" hidden="false" customHeight="true" outlineLevel="0" collapsed="false">
      <c r="A21" s="68"/>
      <c r="B21" s="409" t="n">
        <v>44592</v>
      </c>
      <c r="C21" s="68"/>
      <c r="D21" s="416" t="s">
        <v>333</v>
      </c>
      <c r="E21" s="416"/>
      <c r="F21" s="419" t="n">
        <v>10000</v>
      </c>
      <c r="G21" s="423" t="n">
        <v>0.45</v>
      </c>
      <c r="H21" s="68"/>
      <c r="I21" s="427"/>
      <c r="J21" s="427"/>
      <c r="K21" s="427"/>
      <c r="L21" s="422"/>
      <c r="M21" s="68"/>
      <c r="N21" s="68"/>
      <c r="O21" s="68"/>
    </row>
    <row r="22" customFormat="false" ht="12" hidden="false" customHeight="true" outlineLevel="0" collapsed="false">
      <c r="A22" s="68"/>
      <c r="B22" s="409" t="n">
        <v>44773</v>
      </c>
      <c r="C22" s="68"/>
      <c r="D22" s="68" t="s">
        <v>334</v>
      </c>
      <c r="E22" s="68"/>
      <c r="F22" s="419" t="n">
        <v>10001</v>
      </c>
      <c r="G22" s="423" t="n">
        <v>0.25</v>
      </c>
      <c r="H22" s="68"/>
      <c r="I22" s="424" t="s">
        <v>335</v>
      </c>
      <c r="J22" s="424"/>
      <c r="K22" s="424"/>
      <c r="L22" s="68"/>
      <c r="M22" s="425" t="s">
        <v>336</v>
      </c>
      <c r="N22" s="68"/>
      <c r="O22" s="68"/>
    </row>
    <row r="23" customFormat="false" ht="12" hidden="false" customHeight="true" outlineLevel="0" collapsed="false">
      <c r="A23" s="68"/>
      <c r="B23" s="415" t="s">
        <v>337</v>
      </c>
      <c r="C23" s="68"/>
      <c r="D23" s="68"/>
      <c r="E23" s="68"/>
      <c r="F23" s="413"/>
      <c r="G23" s="428"/>
      <c r="H23" s="68"/>
      <c r="I23" s="424"/>
      <c r="J23" s="424"/>
      <c r="K23" s="424"/>
      <c r="L23" s="426" t="n">
        <v>0.02</v>
      </c>
      <c r="M23" s="425"/>
      <c r="N23" s="419" t="n">
        <v>50000</v>
      </c>
      <c r="O23" s="413" t="s">
        <v>26</v>
      </c>
    </row>
    <row r="24" customFormat="false" ht="12" hidden="false" customHeight="true" outlineLevel="0" collapsed="false">
      <c r="A24" s="68"/>
      <c r="B24" s="415" t="s">
        <v>338</v>
      </c>
      <c r="C24" s="68"/>
      <c r="D24" s="410" t="s">
        <v>339</v>
      </c>
      <c r="E24" s="410"/>
      <c r="F24" s="68"/>
      <c r="G24" s="68"/>
      <c r="H24" s="68"/>
      <c r="I24" s="68"/>
      <c r="J24" s="68"/>
      <c r="K24" s="68"/>
      <c r="L24" s="68"/>
      <c r="M24" s="68"/>
      <c r="N24" s="68"/>
      <c r="O24" s="68"/>
    </row>
    <row r="25" customFormat="false" ht="12" hidden="false" customHeight="true" outlineLevel="0" collapsed="false">
      <c r="A25" s="68"/>
      <c r="B25" s="429"/>
      <c r="C25" s="68"/>
      <c r="D25" s="68"/>
      <c r="E25" s="68"/>
      <c r="F25" s="68"/>
      <c r="G25" s="68"/>
      <c r="H25" s="68"/>
      <c r="I25" s="68"/>
      <c r="J25" s="68"/>
      <c r="K25" s="68"/>
      <c r="L25" s="68"/>
      <c r="M25" s="68"/>
      <c r="N25" s="68"/>
      <c r="O25" s="68"/>
    </row>
    <row r="26" customFormat="false" ht="12" hidden="false" customHeight="true" outlineLevel="0" collapsed="false">
      <c r="A26" s="68"/>
      <c r="B26" s="429"/>
      <c r="C26" s="68"/>
      <c r="D26" s="68" t="s">
        <v>340</v>
      </c>
      <c r="E26" s="68"/>
      <c r="F26" s="419" t="n">
        <v>85000</v>
      </c>
      <c r="G26" s="68"/>
      <c r="H26" s="68"/>
      <c r="I26" s="68"/>
      <c r="J26" s="68"/>
      <c r="K26" s="68"/>
      <c r="L26" s="68"/>
      <c r="M26" s="68"/>
      <c r="N26" s="68"/>
      <c r="O26" s="68"/>
    </row>
    <row r="27" customFormat="false" ht="12" hidden="false" customHeight="false" outlineLevel="0" collapsed="false">
      <c r="A27" s="68"/>
      <c r="B27" s="429"/>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