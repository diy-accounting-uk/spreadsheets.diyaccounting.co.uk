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_rels/externalLink6.xml.rels" ContentType="application/vnd.openxmlformats-package.relationships+xml"/>
  <Override PartName="/xl/externalLinks/_rels/externalLink5.xml.rels" ContentType="application/vnd.openxmlformats-package.relationships+xml"/>
  <Override PartName="/xl/externalLinks/_rels/externalLink4.xml.rels" ContentType="application/vnd.openxmlformats-package.relationships+xml"/>
  <Override PartName="/xl/externalLinks/_rels/externalLink3.xml.rels" ContentType="application/vnd.openxmlformats-package.relationships+xml"/>
  <Override PartName="/xl/externalLinks/_rels/externalLink2.xml.rels" ContentType="application/vnd.openxmlformats-package.relationships+xml"/>
  <Override PartName="/xl/externalLinks/_rels/externalLink1.xml.rels" ContentType="application/vnd.openxmlformats-package.relationships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usiness Details" sheetId="1" state="visible" r:id="rId3"/>
    <sheet name="SE Short" sheetId="2" state="visible" r:id="rId4"/>
    <sheet name="SE Full" sheetId="3" state="visible" r:id="rId5"/>
    <sheet name="Profit &amp; Loss Account" sheetId="4" state="visible" r:id="rId6"/>
    <sheet name="VitalTax" sheetId="5" state="visible" r:id="rId7"/>
    <sheet name="Income Tax" sheetId="6" state="visible" r:id="rId8"/>
    <sheet name="Wagesinterface" sheetId="7" state="visible" r:id="rId9"/>
    <sheet name="StockControl" sheetId="8" state="visible" r:id="rId10"/>
    <sheet name="Profit Forecast" sheetId="9" state="visible" r:id="rId11"/>
    <sheet name="Admin" sheetId="10" state="visible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</externalReferences>
  <definedNames>
    <definedName function="false" hidden="false" localSheetId="3" name="_xlnm.Print_Titles" vbProcedure="false">'Profit &amp; Loss Account'!$2:$4</definedName>
    <definedName function="false" hidden="false" localSheetId="4" name="_xlnm.Print_Titles" vbProcedure="false">VitalTax!$2:$4</definedName>
    <definedName function="false" hidden="false" name="Annual_ConsolidatedExpenses" vbProcedure="false">VitalTax!$G$29</definedName>
    <definedName function="false" hidden="false" name="Annual_ExpenseAdminCosts" vbProcedure="false">VitalTax!$G$15</definedName>
    <definedName function="false" hidden="false" name="Annual_ExpenseAdminCostsDisallowable" vbProcedure="false">VitalTax!$G$42</definedName>
    <definedName function="false" hidden="false" name="Annual_ExpenseAdvertisingCosts" vbProcedure="false">VitalTax!$G$18</definedName>
    <definedName function="false" hidden="false" name="Annual_ExpenseAdvertisingCostsDisallowable" vbProcedure="false">VitalTax!$G$43</definedName>
    <definedName function="false" hidden="false" name="Annual_ExpenseBadDebt" vbProcedure="false">VitalTax!$G$20</definedName>
    <definedName function="false" hidden="false" name="Annual_ExpenseBadDebtDisallowable" vbProcedure="false">VitalTax!$G$47</definedName>
    <definedName function="false" hidden="false" name="Annual_ExpenseBusinessEntertainmentCosts" vbProcedure="false">VitalTax!$G$25</definedName>
    <definedName function="false" hidden="false" name="Annual_ExpenseBusinessEntertainmentCostsDisallowable" vbProcedure="false">VitalTax!$G$44</definedName>
    <definedName function="false" hidden="false" name="Annual_ExpenseCisPaymentsToSubcontractors" vbProcedure="false">VitalTax!$G$24</definedName>
    <definedName function="false" hidden="false" name="Annual_ExpenseCisPaymentsToSubcontractorsDisallowable" vbProcedure="false">VitalTax!$G$37</definedName>
    <definedName function="false" hidden="false" name="Annual_ExpenseCostOfGoodsBought" vbProcedure="false">VitalTax!$G$7</definedName>
    <definedName function="false" hidden="false" name="Annual_ExpenseCostOfGoodsBoughtDisallowable" vbProcedure="false">VitalTax!$G$36</definedName>
    <definedName function="false" hidden="false" name="Annual_ExpenseDepreciation" vbProcedure="false">VitalTax!$G$26</definedName>
    <definedName function="false" hidden="false" name="Annual_ExpenseDepreciationDisallowable" vbProcedure="false">VitalTax!$G$49</definedName>
    <definedName function="false" hidden="false" name="Annual_ExpenseFinancialCharges" vbProcedure="false">VitalTax!$G$16</definedName>
    <definedName function="false" hidden="false" name="Annual_ExpenseFinancialChargesDisallowable" vbProcedure="false">VitalTax!$G$46</definedName>
    <definedName function="false" hidden="false" name="Annual_ExpenseInterest" vbProcedure="false">VitalTax!$G$21</definedName>
    <definedName function="false" hidden="false" name="Annual_ExpenseInterestDisallowable" vbProcedure="false">VitalTax!$G$45</definedName>
    <definedName function="false" hidden="false" name="Annual_ExpenseMaintenanceCosts" vbProcedure="false">VitalTax!$G$14</definedName>
    <definedName function="false" hidden="false" name="Annual_ExpenseMaintenanceCostsDisallowable" vbProcedure="false">VitalTax!$G$41</definedName>
    <definedName function="false" hidden="false" name="Annual_ExpenseOther" vbProcedure="false">VitalTax!$G$22</definedName>
    <definedName function="false" hidden="false" name="Annual_ExpenseOtherDisallowable" vbProcedure="false">VitalTax!$G$50</definedName>
    <definedName function="false" hidden="false" name="Annual_ExpensePremisesRunningCosts" vbProcedure="false">VitalTax!$G$13</definedName>
    <definedName function="false" hidden="false" name="Annual_ExpensePremisesRunningCostsDisallowable" vbProcedure="false">VitalTax!$G$40</definedName>
    <definedName function="false" hidden="false" name="Annual_ExpenseProfessionalFees" vbProcedure="false">VitalTax!$G$19</definedName>
    <definedName function="false" hidden="false" name="Annual_ExpenseProfessionalFeesDisallowable" vbProcedure="false">VitalTax!$G$48</definedName>
    <definedName function="false" hidden="false" name="Annual_ExpenseStaffCosts" vbProcedure="false">VitalTax!$G$12</definedName>
    <definedName function="false" hidden="false" name="Annual_ExpenseStaffCostsDisallowable" vbProcedure="false">VitalTax!$G$38</definedName>
    <definedName function="false" hidden="false" name="Annual_ExpenseTravelCosts" vbProcedure="false">VitalTax!$G$17</definedName>
    <definedName function="false" hidden="false" name="Annual_ExpenseTravelCostsDisallowable" vbProcedure="false">VitalTax!$G$39</definedName>
    <definedName function="false" hidden="false" name="Annual_IncomeOther" vbProcedure="false">VitalTax!$G$6</definedName>
    <definedName function="false" hidden="false" name="Annual_IncomeTurnover" vbProcedure="false">VitalTax!$G$5</definedName>
    <definedName function="false" hidden="false" name="Q1_ConsolidatedExpenses" vbProcedure="false">VitalTax!$C$29</definedName>
    <definedName function="false" hidden="false" name="Q1_ExpenseAdminCosts" vbProcedure="false">VitalTax!$C$15</definedName>
    <definedName function="false" hidden="false" name="Q1_ExpenseAdminCostsDisallowable" vbProcedure="false">VitalTax!$C$42</definedName>
    <definedName function="false" hidden="false" name="Q1_ExpenseAdvertisingCosts" vbProcedure="false">VitalTax!$C$18</definedName>
    <definedName function="false" hidden="false" name="Q1_ExpenseAdvertisingCostsDisallowable" vbProcedure="false">VitalTax!$C$43</definedName>
    <definedName function="false" hidden="false" name="Q1_ExpenseBadDebt" vbProcedure="false">VitalTax!$C$20</definedName>
    <definedName function="false" hidden="false" name="Q1_ExpenseBadDebtDisallowable" vbProcedure="false">VitalTax!$C$47</definedName>
    <definedName function="false" hidden="false" name="Q1_ExpenseBusinessEntertainmentCosts" vbProcedure="false">VitalTax!$C$25</definedName>
    <definedName function="false" hidden="false" name="Q1_ExpenseBusinessEntertainmentCostsDisallowable" vbProcedure="false">VitalTax!$C$44</definedName>
    <definedName function="false" hidden="false" name="Q1_ExpenseCisPaymentsToSubcontractors" vbProcedure="false">VitalTax!$C$24</definedName>
    <definedName function="false" hidden="false" name="Q1_ExpenseCisPaymentsToSubcontractorsDisallowable" vbProcedure="false">VitalTax!$C$37</definedName>
    <definedName function="false" hidden="false" name="Q1_ExpenseCostOfGoodsBought" vbProcedure="false">VitalTax!$C$7</definedName>
    <definedName function="false" hidden="false" name="Q1_ExpenseCostOfGoodsBoughtDisallowable" vbProcedure="false">VitalTax!$C$36</definedName>
    <definedName function="false" hidden="false" name="Q1_ExpenseDepreciation" vbProcedure="false">VitalTax!$C$26</definedName>
    <definedName function="false" hidden="false" name="Q1_ExpenseDepreciationDisallowable" vbProcedure="false">VitalTax!$C$49</definedName>
    <definedName function="false" hidden="false" name="Q1_ExpenseFinancialCharges" vbProcedure="false">VitalTax!$C$16</definedName>
    <definedName function="false" hidden="false" name="Q1_ExpenseFinancialChargesDisallowable" vbProcedure="false">VitalTax!$C$46</definedName>
    <definedName function="false" hidden="false" name="Q1_ExpenseInterest" vbProcedure="false">VitalTax!$C$21</definedName>
    <definedName function="false" hidden="false" name="Q1_ExpenseInterestDisallowable" vbProcedure="false">VitalTax!$C$45</definedName>
    <definedName function="false" hidden="false" name="Q1_ExpenseMaintenanceCosts" vbProcedure="false">VitalTax!$C$14</definedName>
    <definedName function="false" hidden="false" name="Q1_ExpenseMaintenanceCostsDisallowable" vbProcedure="false">VitalTax!$C$41</definedName>
    <definedName function="false" hidden="false" name="Q1_ExpenseOther" vbProcedure="false">VitalTax!$C$22</definedName>
    <definedName function="false" hidden="false" name="Q1_ExpenseOtherDisallowable" vbProcedure="false">VitalTax!$C$50</definedName>
    <definedName function="false" hidden="false" name="Q1_ExpensePremisesRunningCosts" vbProcedure="false">VitalTax!$C$13</definedName>
    <definedName function="false" hidden="false" name="Q1_ExpensePremisesRunningCostsDisallowable" vbProcedure="false">VitalTax!$C$40</definedName>
    <definedName function="false" hidden="false" name="Q1_ExpenseProfessionalFees" vbProcedure="false">VitalTax!$C$19</definedName>
    <definedName function="false" hidden="false" name="Q1_ExpenseProfessionalFeesDisallowable" vbProcedure="false">VitalTax!$C$48</definedName>
    <definedName function="false" hidden="false" name="Q1_ExpenseStaffCosts" vbProcedure="false">VitalTax!$C$12</definedName>
    <definedName function="false" hidden="false" name="Q1_ExpenseStaffCostsDisallowable" vbProcedure="false">VitalTax!$C$38</definedName>
    <definedName function="false" hidden="false" name="Q1_ExpenseTravelCosts" vbProcedure="false">VitalTax!$C$17</definedName>
    <definedName function="false" hidden="false" name="Q1_ExpenseTravelCostsDisallowable" vbProcedure="false">VitalTax!$C$39</definedName>
    <definedName function="false" hidden="false" name="Q1_IncomeOther" vbProcedure="false">VitalTax!$C$6</definedName>
    <definedName function="false" hidden="false" name="Q1_IncomeTurnover" vbProcedure="false">VitalTax!$C$5</definedName>
    <definedName function="false" hidden="false" name="Q2_ConsolidatedExpenses" vbProcedure="false">VitalTax!$D$29</definedName>
    <definedName function="false" hidden="false" name="Q2_ExpenseAdminCosts" vbProcedure="false">VitalTax!$D$15</definedName>
    <definedName function="false" hidden="false" name="Q2_ExpenseAdminCostsDisallowable" vbProcedure="false">VitalTax!$D$42</definedName>
    <definedName function="false" hidden="false" name="Q2_ExpenseAdvertisingCosts" vbProcedure="false">VitalTax!$D$18</definedName>
    <definedName function="false" hidden="false" name="Q2_ExpenseAdvertisingCostsDisallowable" vbProcedure="false">VitalTax!$D$43</definedName>
    <definedName function="false" hidden="false" name="Q2_ExpenseBadDebt" vbProcedure="false">VitalTax!$D$20</definedName>
    <definedName function="false" hidden="false" name="Q2_ExpenseBadDebtDisallowable" vbProcedure="false">VitalTax!$D$47</definedName>
    <definedName function="false" hidden="false" name="Q2_ExpenseBusinessEntertainmentCosts" vbProcedure="false">VitalTax!$D$25</definedName>
    <definedName function="false" hidden="false" name="Q2_ExpenseBusinessEntertainmentCostsDisallowable" vbProcedure="false">VitalTax!$D$44</definedName>
    <definedName function="false" hidden="false" name="Q2_ExpenseCisPaymentsToSubcontractors" vbProcedure="false">VitalTax!$D$24</definedName>
    <definedName function="false" hidden="false" name="Q2_ExpenseCisPaymentsToSubcontractorsDisallowable" vbProcedure="false">VitalTax!$D$37</definedName>
    <definedName function="false" hidden="false" name="Q2_ExpenseCostOfGoodsBought" vbProcedure="false">VitalTax!$D$7</definedName>
    <definedName function="false" hidden="false" name="Q2_ExpenseCostOfGoodsBoughtDisallowable" vbProcedure="false">VitalTax!$D$36</definedName>
    <definedName function="false" hidden="false" name="Q2_ExpenseDepreciation" vbProcedure="false">VitalTax!$D$26</definedName>
    <definedName function="false" hidden="false" name="Q2_ExpenseDepreciationDisallowable" vbProcedure="false">VitalTax!$D$49</definedName>
    <definedName function="false" hidden="false" name="Q2_ExpenseFinancialCharges" vbProcedure="false">VitalTax!$D$16</definedName>
    <definedName function="false" hidden="false" name="Q2_ExpenseFinancialChargesDisallowable" vbProcedure="false">VitalTax!$D$46</definedName>
    <definedName function="false" hidden="false" name="Q2_ExpenseInterest" vbProcedure="false">VitalTax!$D$21</definedName>
    <definedName function="false" hidden="false" name="Q2_ExpenseInterestDisallowable" vbProcedure="false">VitalTax!$D$45</definedName>
    <definedName function="false" hidden="false" name="Q2_ExpenseMaintenanceCosts" vbProcedure="false">VitalTax!$D$14</definedName>
    <definedName function="false" hidden="false" name="Q2_ExpenseMaintenanceCostsDisallowable" vbProcedure="false">VitalTax!$D$41</definedName>
    <definedName function="false" hidden="false" name="Q2_ExpenseOther" vbProcedure="false">VitalTax!$D$22</definedName>
    <definedName function="false" hidden="false" name="Q2_ExpenseOtherDisallowable" vbProcedure="false">VitalTax!$D$50</definedName>
    <definedName function="false" hidden="false" name="Q2_ExpensePremisesRunningCosts" vbProcedure="false">VitalTax!$D$13</definedName>
    <definedName function="false" hidden="false" name="Q2_ExpensePremisesRunningCostsDisallowable" vbProcedure="false">VitalTax!$D$40</definedName>
    <definedName function="false" hidden="false" name="Q2_ExpenseProfessionalFees" vbProcedure="false">VitalTax!$D$19</definedName>
    <definedName function="false" hidden="false" name="Q2_ExpenseProfessionalFeesDisallowable" vbProcedure="false">VitalTax!$D$48</definedName>
    <definedName function="false" hidden="false" name="Q2_ExpenseStaffCosts" vbProcedure="false">VitalTax!$D$12</definedName>
    <definedName function="false" hidden="false" name="Q2_ExpenseStaffCostsDisallowable" vbProcedure="false">VitalTax!$D$38</definedName>
    <definedName function="false" hidden="false" name="Q2_ExpenseTravelCosts" vbProcedure="false">VitalTax!$D$17</definedName>
    <definedName function="false" hidden="false" name="Q2_ExpenseTravelCostsDisallowable" vbProcedure="false">VitalTax!$D$39</definedName>
    <definedName function="false" hidden="false" name="Q2_IncomeOther" vbProcedure="false">VitalTax!$D$6</definedName>
    <definedName function="false" hidden="false" name="Q2_IncomeTurnover" vbProcedure="false">VitalTax!$D$5</definedName>
    <definedName function="false" hidden="false" name="Q3_ConsolidatedExpenses" vbProcedure="false">VitalTax!$E$29</definedName>
    <definedName function="false" hidden="false" name="Q3_ExpenseAdminCosts" vbProcedure="false">VitalTax!$E$15</definedName>
    <definedName function="false" hidden="false" name="Q3_ExpenseAdminCostsDisallowable" vbProcedure="false">VitalTax!$E$42</definedName>
    <definedName function="false" hidden="false" name="Q3_ExpenseAdvertisingCosts" vbProcedure="false">VitalTax!$E$18</definedName>
    <definedName function="false" hidden="false" name="Q3_ExpenseAdvertisingCostsDisallowable" vbProcedure="false">VitalTax!$E$43</definedName>
    <definedName function="false" hidden="false" name="Q3_ExpenseBadDebt" vbProcedure="false">VitalTax!$E$20</definedName>
    <definedName function="false" hidden="false" name="Q3_ExpenseBadDebtDisallowable" vbProcedure="false">VitalTax!$E$47</definedName>
    <definedName function="false" hidden="false" name="Q3_ExpenseBusinessEntertainmentCosts" vbProcedure="false">VitalTax!$E$25</definedName>
    <definedName function="false" hidden="false" name="Q3_ExpenseBusinessEntertainmentCostsDisallowable" vbProcedure="false">VitalTax!$E$44</definedName>
    <definedName function="false" hidden="false" name="Q3_ExpenseCisPaymentsToSubcontractors" vbProcedure="false">VitalTax!$E$24</definedName>
    <definedName function="false" hidden="false" name="Q3_ExpenseCisPaymentsToSubcontractorsDisallowable" vbProcedure="false">VitalTax!$E$37</definedName>
    <definedName function="false" hidden="false" name="Q3_ExpenseCostOfGoodsBought" vbProcedure="false">VitalTax!$E$7</definedName>
    <definedName function="false" hidden="false" name="Q3_ExpenseCostOfGoodsBoughtDisallowable" vbProcedure="false">VitalTax!$E$36</definedName>
    <definedName function="false" hidden="false" name="Q3_ExpenseDepreciation" vbProcedure="false">VitalTax!$E$26</definedName>
    <definedName function="false" hidden="false" name="Q3_ExpenseDepreciationDisallowable" vbProcedure="false">VitalTax!$E$49</definedName>
    <definedName function="false" hidden="false" name="Q3_ExpenseFinancialCharges" vbProcedure="false">VitalTax!$E$16</definedName>
    <definedName function="false" hidden="false" name="Q3_ExpenseFinancialChargesDisallowable" vbProcedure="false">VitalTax!$E$46</definedName>
    <definedName function="false" hidden="false" name="Q3_ExpenseInterest" vbProcedure="false">VitalTax!$E$21</definedName>
    <definedName function="false" hidden="false" name="Q3_ExpenseInterestDisallowable" vbProcedure="false">VitalTax!$E$45</definedName>
    <definedName function="false" hidden="false" name="Q3_ExpenseMaintenanceCosts" vbProcedure="false">VitalTax!$E$14</definedName>
    <definedName function="false" hidden="false" name="Q3_ExpenseMaintenanceCostsDisallowable" vbProcedure="false">VitalTax!$E$41</definedName>
    <definedName function="false" hidden="false" name="Q3_ExpenseOther" vbProcedure="false">VitalTax!$E$22</definedName>
    <definedName function="false" hidden="false" name="Q3_ExpenseOtherDisallowable" vbProcedure="false">VitalTax!$E$50</definedName>
    <definedName function="false" hidden="false" name="Q3_ExpensePremisesRunningCosts" vbProcedure="false">VitalTax!$E$13</definedName>
    <definedName function="false" hidden="false" name="Q3_ExpensePremisesRunningCostsDisallowable" vbProcedure="false">VitalTax!$E$40</definedName>
    <definedName function="false" hidden="false" name="Q3_ExpenseProfessionalFees" vbProcedure="false">VitalTax!$E$19</definedName>
    <definedName function="false" hidden="false" name="Q3_ExpenseProfessionalFeesDisallowable" vbProcedure="false">VitalTax!$E$48</definedName>
    <definedName function="false" hidden="false" name="Q3_ExpenseStaffCosts" vbProcedure="false">VitalTax!$E$12</definedName>
    <definedName function="false" hidden="false" name="Q3_ExpenseStaffCostsDisallowable" vbProcedure="false">VitalTax!$E$38</definedName>
    <definedName function="false" hidden="false" name="Q3_ExpenseTravelCosts" vbProcedure="false">VitalTax!$E$17</definedName>
    <definedName function="false" hidden="false" name="Q3_ExpenseTravelCostsDisallowable" vbProcedure="false">VitalTax!$E$39</definedName>
    <definedName function="false" hidden="false" name="Q3_IncomeOther" vbProcedure="false">VitalTax!$E$6</definedName>
    <definedName function="false" hidden="false" name="Q3_IncomeTurnover" vbProcedure="false">VitalTax!$E$5</definedName>
    <definedName function="false" hidden="false" name="Q4_ConsolidatedExpenses" vbProcedure="false">VitalTax!$F$29</definedName>
    <definedName function="false" hidden="false" name="Q4_ExpenseAdminCosts" vbProcedure="false">VitalTax!$F$15</definedName>
    <definedName function="false" hidden="false" name="Q4_ExpenseAdminCostsDisallowable" vbProcedure="false">VitalTax!$F$42</definedName>
    <definedName function="false" hidden="false" name="Q4_ExpenseAdvertisingCosts" vbProcedure="false">VitalTax!$F$18</definedName>
    <definedName function="false" hidden="false" name="Q4_ExpenseAdvertisingCostsDisallowable" vbProcedure="false">VitalTax!$F$43</definedName>
    <definedName function="false" hidden="false" name="Q4_ExpenseBadDebt" vbProcedure="false">VitalTax!$F$20</definedName>
    <definedName function="false" hidden="false" name="Q4_ExpenseBadDebtDisallowable" vbProcedure="false">VitalTax!$F$47</definedName>
    <definedName function="false" hidden="false" name="Q4_ExpenseBusinessEntertainmentCosts" vbProcedure="false">VitalTax!$F$25</definedName>
    <definedName function="false" hidden="false" name="Q4_ExpenseBusinessEntertainmentCostsDisallowable" vbProcedure="false">VitalTax!$F$44</definedName>
    <definedName function="false" hidden="false" name="Q4_ExpenseCisPaymentsToSubcontractors" vbProcedure="false">VitalTax!$F$24</definedName>
    <definedName function="false" hidden="false" name="Q4_ExpenseCisPaymentsToSubcontractorsDisallowable" vbProcedure="false">VitalTax!$F$37</definedName>
    <definedName function="false" hidden="false" name="Q4_ExpenseCostOfGoodsBought" vbProcedure="false">VitalTax!$F$7</definedName>
    <definedName function="false" hidden="false" name="Q4_ExpenseCostOfGoodsBoughtDisallowable" vbProcedure="false">VitalTax!$F$36</definedName>
    <definedName function="false" hidden="false" name="Q4_ExpenseDepreciation" vbProcedure="false">VitalTax!$F$26</definedName>
    <definedName function="false" hidden="false" name="Q4_ExpenseDepreciationDisallowable" vbProcedure="false">VitalTax!$F$49</definedName>
    <definedName function="false" hidden="false" name="Q4_ExpenseFinancialCharges" vbProcedure="false">VitalTax!$F$16</definedName>
    <definedName function="false" hidden="false" name="Q4_ExpenseFinancialChargesDisallowable" vbProcedure="false">VitalTax!$F$46</definedName>
    <definedName function="false" hidden="false" name="Q4_ExpenseInterest" vbProcedure="false">VitalTax!$F$21</definedName>
    <definedName function="false" hidden="false" name="Q4_ExpenseInterestDisallowable" vbProcedure="false">VitalTax!$F$45</definedName>
    <definedName function="false" hidden="false" name="Q4_ExpenseMaintenanceCosts" vbProcedure="false">VitalTax!$F$14</definedName>
    <definedName function="false" hidden="false" name="Q4_ExpenseMaintenanceCostsDisallowable" vbProcedure="false">VitalTax!$F$41</definedName>
    <definedName function="false" hidden="false" name="Q4_ExpenseOther" vbProcedure="false">VitalTax!$F$22</definedName>
    <definedName function="false" hidden="false" name="Q4_ExpenseOtherDisallowable" vbProcedure="false">VitalTax!$F$50</definedName>
    <definedName function="false" hidden="false" name="Q4_ExpensePremisesRunningCosts" vbProcedure="false">VitalTax!$F$13</definedName>
    <definedName function="false" hidden="false" name="Q4_ExpensePremisesRunningCostsDisallowable" vbProcedure="false">VitalTax!$F$40</definedName>
    <definedName function="false" hidden="false" name="Q4_ExpenseProfessionalFees" vbProcedure="false">VitalTax!$F$19</definedName>
    <definedName function="false" hidden="false" name="Q4_ExpenseProfessionalFeesDisallowable" vbProcedure="false">VitalTax!$F$48</definedName>
    <definedName function="false" hidden="false" name="Q4_ExpenseStaffCosts" vbProcedure="false">VitalTax!$F$12</definedName>
    <definedName function="false" hidden="false" name="Q4_ExpenseStaffCostsDisallowable" vbProcedure="false">VitalTax!$F$38</definedName>
    <definedName function="false" hidden="false" name="Q4_ExpenseTravelCosts" vbProcedure="false">VitalTax!$F$17</definedName>
    <definedName function="false" hidden="false" name="Q4_ExpenseTravelCostsDisallowable" vbProcedure="false">VitalTax!$F$39</definedName>
    <definedName function="false" hidden="false" name="Q4_IncomeOther" vbProcedure="false">VitalTax!$F$6</definedName>
    <definedName function="false" hidden="false" name="Q4_IncomeTurnover" vbProcedure="false">VitalTax!$F$5</definedName>
    <definedName function="false" hidden="false" localSheetId="3" name="_xlnm_Print_Titles" vbProcedure="false">'Profit &amp; Loss Account'!$2:$4</definedName>
    <definedName function="false" hidden="false" localSheetId="4" name="_xlnm_Print_Titles" vbProcedure="false">VitalTax!$2:$4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<sst xmlns="http://schemas.openxmlformats.org/spreadsheetml/2006/main" count="819" uniqueCount="439">
  <si>
    <r>
      <rPr>
        <b val="true"/>
        <sz val="9"/>
        <rFont val="Arial"/>
        <family val="2"/>
        <charset val="1"/>
      </rPr>
      <t xml:space="preserve">ENTER YOUR BUSINESS DETAILS </t>
    </r>
    <r>
      <rPr>
        <i val="true"/>
        <sz val="9"/>
        <rFont val="Arial"/>
        <family val="2"/>
        <charset val="1"/>
      </rPr>
      <t xml:space="preserve">- which are then transferred to the Self-employment Tax Return</t>
    </r>
  </si>
  <si>
    <t xml:space="preserve">Your name</t>
  </si>
  <si>
    <t xml:space="preserve">Your unique taxpayer reference (UTR)</t>
  </si>
  <si>
    <t xml:space="preserve">Business details</t>
  </si>
  <si>
    <r>
      <rPr>
        <sz val="8"/>
        <rFont val="Arial"/>
        <family val="2"/>
        <charset val="1"/>
      </rPr>
      <t xml:space="preserve">Business name - </t>
    </r>
    <r>
      <rPr>
        <i val="true"/>
        <sz val="8"/>
        <rFont val="Arial"/>
        <family val="2"/>
        <charset val="1"/>
      </rPr>
      <t xml:space="preserve">unless it is in your own name</t>
    </r>
  </si>
  <si>
    <t xml:space="preserve">If the details in boxes 1,2,3 or 4 have changed in the</t>
  </si>
  <si>
    <t xml:space="preserve">12 months put 'X' in the box and give details in the</t>
  </si>
  <si>
    <t xml:space="preserve"> 'Any other information' box</t>
  </si>
  <si>
    <t xml:space="preserve">Description of business</t>
  </si>
  <si>
    <t xml:space="preserve">If your business started after</t>
  </si>
  <si>
    <r>
      <rPr>
        <sz val="8"/>
        <rFont val="Arial"/>
        <family val="2"/>
        <charset val="1"/>
      </rPr>
      <t xml:space="preserve"> enter the start date </t>
    </r>
    <r>
      <rPr>
        <i val="true"/>
        <sz val="8"/>
        <rFont val="Arial"/>
        <family val="2"/>
        <charset val="1"/>
      </rPr>
      <t xml:space="preserve">DD/MM/YYYY</t>
    </r>
  </si>
  <si>
    <t xml:space="preserve">If your business ceased before </t>
  </si>
  <si>
    <t xml:space="preserve">enter the final date of trading</t>
  </si>
  <si>
    <r>
      <rPr>
        <sz val="8"/>
        <rFont val="Arial"/>
        <family val="2"/>
        <charset val="1"/>
      </rPr>
      <t xml:space="preserve">First line of your business address - </t>
    </r>
    <r>
      <rPr>
        <i val="true"/>
        <sz val="8"/>
        <rFont val="Arial"/>
        <family val="2"/>
        <charset val="1"/>
      </rPr>
      <t xml:space="preserve">unless you work</t>
    </r>
  </si>
  <si>
    <t xml:space="preserve">from home</t>
  </si>
  <si>
    <r>
      <rPr>
        <sz val="8"/>
        <rFont val="Arial"/>
        <family val="2"/>
        <charset val="1"/>
      </rPr>
      <t xml:space="preserve">Date your books or accounts start - </t>
    </r>
    <r>
      <rPr>
        <i val="true"/>
        <sz val="8"/>
        <rFont val="Arial"/>
        <family val="2"/>
        <charset val="1"/>
      </rPr>
      <t xml:space="preserve">the beginning of</t>
    </r>
  </si>
  <si>
    <t xml:space="preserve">your accounting period</t>
  </si>
  <si>
    <t xml:space="preserve">Postcode of your business</t>
  </si>
  <si>
    <t xml:space="preserve">Date your books or accounts are made up to or the end</t>
  </si>
  <si>
    <r>
      <rPr>
        <sz val="8"/>
        <rFont val="Arial"/>
        <family val="2"/>
        <charset val="1"/>
      </rPr>
      <t xml:space="preserve">of your accounting period - </t>
    </r>
    <r>
      <rPr>
        <i val="true"/>
        <sz val="8"/>
        <rFont val="Arial"/>
        <family val="2"/>
        <charset val="1"/>
      </rPr>
      <t xml:space="preserve">read page SEFN 3 of the</t>
    </r>
  </si>
  <si>
    <t xml:space="preserve">notes if you have filled in box 6 or 7</t>
  </si>
  <si>
    <t xml:space="preserve">Other information</t>
  </si>
  <si>
    <t xml:space="preserve">If your accounting period has changed permanently</t>
  </si>
  <si>
    <t xml:space="preserve">If special arrangements apply put 'X' in the box - read</t>
  </si>
  <si>
    <t xml:space="preserve">put 'X' in the box</t>
  </si>
  <si>
    <t xml:space="preserve">page SEFN 3 of the notes</t>
  </si>
  <si>
    <t xml:space="preserve">If your accounting period has changed more than once</t>
  </si>
  <si>
    <t xml:space="preserve">since 2002 put 'X' in the box</t>
  </si>
  <si>
    <r>
      <rPr>
        <sz val="8"/>
        <rFont val="Arial"/>
        <family val="2"/>
        <charset val="1"/>
      </rPr>
      <t xml:space="preserve">profit on last year's Tax Return put 'X' in the box -</t>
    </r>
    <r>
      <rPr>
        <i val="true"/>
        <sz val="8"/>
        <rFont val="Arial"/>
        <family val="2"/>
        <charset val="1"/>
      </rPr>
      <t xml:space="preserve"> read</t>
    </r>
  </si>
  <si>
    <r>
      <rPr>
        <b val="true"/>
        <sz val="8"/>
        <rFont val="Arial"/>
        <family val="2"/>
        <charset val="1"/>
      </rPr>
      <t xml:space="preserve">ENTER</t>
    </r>
    <r>
      <rPr>
        <sz val="8"/>
        <rFont val="Arial"/>
        <family val="2"/>
        <charset val="1"/>
      </rPr>
      <t xml:space="preserve">: Total losses brought forward from earlier years</t>
    </r>
  </si>
  <si>
    <r>
      <rPr>
        <b val="true"/>
        <sz val="8"/>
        <rFont val="Arial"/>
        <family val="2"/>
        <charset val="1"/>
      </rPr>
      <t xml:space="preserve">ENTER</t>
    </r>
    <r>
      <rPr>
        <sz val="8"/>
        <rFont val="Arial"/>
        <family val="2"/>
        <charset val="1"/>
      </rPr>
      <t xml:space="preserve">: Value of goods and services for your own use</t>
    </r>
  </si>
  <si>
    <t xml:space="preserve"> - read page SESN 7 of the notes</t>
  </si>
  <si>
    <t xml:space="preserve">£</t>
  </si>
  <si>
    <t xml:space="preserve">.</t>
  </si>
  <si>
    <t xml:space="preserve">Loss used this year</t>
  </si>
  <si>
    <t xml:space="preserve">Total loss carried forward to future years</t>
  </si>
  <si>
    <t xml:space="preserve">Calculated no entry required</t>
  </si>
  <si>
    <t xml:space="preserve">HM Revenue                  &amp; Customs</t>
  </si>
  <si>
    <t xml:space="preserve">COPY DETAILS TO HMRC FORM          Submit HMRC RETURN ONLINE                   by 31st January 2027</t>
  </si>
  <si>
    <t xml:space="preserve">Self-employment (short)</t>
  </si>
  <si>
    <t xml:space="preserve">Tax year </t>
  </si>
  <si>
    <t xml:space="preserve">to</t>
  </si>
  <si>
    <t xml:space="preserve">If you are a foster carer or adult placement carer, put 'X'</t>
  </si>
  <si>
    <r>
      <rPr>
        <sz val="8"/>
        <rFont val="Arial"/>
        <family val="2"/>
        <charset val="1"/>
      </rPr>
      <t xml:space="preserve">in the box - </t>
    </r>
    <r>
      <rPr>
        <i val="true"/>
        <sz val="8"/>
        <rFont val="Arial"/>
        <family val="2"/>
        <charset val="1"/>
      </rPr>
      <t xml:space="preserve">read page SESN 2 of the notes</t>
    </r>
  </si>
  <si>
    <t xml:space="preserve">If your business started after </t>
  </si>
  <si>
    <r>
      <rPr>
        <sz val="8"/>
        <rFont val="Arial"/>
        <family val="2"/>
        <charset val="1"/>
      </rPr>
      <t xml:space="preserve">enter the start date </t>
    </r>
    <r>
      <rPr>
        <i val="true"/>
        <sz val="8"/>
        <rFont val="Arial"/>
        <family val="2"/>
        <charset val="1"/>
      </rPr>
      <t xml:space="preserve">DD/MM/YYYY</t>
    </r>
  </si>
  <si>
    <t xml:space="preserve">If your business ceased before</t>
  </si>
  <si>
    <t xml:space="preserve">If your business name, description, address or postcode</t>
  </si>
  <si>
    <t xml:space="preserve">have changed in the last 12 months, put 'X' in the box</t>
  </si>
  <si>
    <t xml:space="preserve">and give details in the 'Any other information' box of</t>
  </si>
  <si>
    <t xml:space="preserve">of your Tax Return</t>
  </si>
  <si>
    <r>
      <rPr>
        <sz val="8"/>
        <rFont val="Arial"/>
        <family val="2"/>
        <charset val="1"/>
      </rPr>
      <t xml:space="preserve">Date your books or accounts are made up to -</t>
    </r>
    <r>
      <rPr>
        <i val="true"/>
        <sz val="8"/>
        <rFont val="Arial"/>
        <family val="2"/>
        <charset val="1"/>
      </rPr>
      <t xml:space="preserve"> read</t>
    </r>
  </si>
  <si>
    <t xml:space="preserve">page SESN 2 of the notes</t>
  </si>
  <si>
    <r>
      <rPr>
        <sz val="8"/>
        <rFont val="Arial"/>
        <family val="2"/>
        <charset val="1"/>
      </rPr>
      <t xml:space="preserve">Your turnover -</t>
    </r>
    <r>
      <rPr>
        <i val="true"/>
        <sz val="8"/>
        <rFont val="Arial"/>
        <family val="2"/>
        <charset val="1"/>
      </rPr>
      <t xml:space="preserve"> the takings, fees, sales or money earned</t>
    </r>
  </si>
  <si>
    <t xml:space="preserve">Any other business income not included in box 8</t>
  </si>
  <si>
    <t xml:space="preserve">by your business</t>
  </si>
  <si>
    <t xml:space="preserve"> - excluding Business Start-up Allowance</t>
  </si>
  <si>
    <t xml:space="preserve">Allowable business expenses</t>
  </si>
  <si>
    <r>
      <rPr>
        <sz val="8"/>
        <rFont val="Arial"/>
        <family val="2"/>
        <charset val="1"/>
      </rPr>
      <t xml:space="preserve">Read pages SESN 3 of the </t>
    </r>
    <r>
      <rPr>
        <i val="true"/>
        <sz val="8"/>
        <rFont val="Arial"/>
        <family val="2"/>
        <charset val="1"/>
      </rPr>
      <t xml:space="preserve">notes</t>
    </r>
    <r>
      <rPr>
        <sz val="8"/>
        <rFont val="Arial"/>
        <family val="2"/>
        <charset val="1"/>
      </rPr>
      <t xml:space="preserve"> to see which expenses are allowed for tax purposes. If your annual turnover was below £30,000</t>
    </r>
  </si>
  <si>
    <t xml:space="preserve">you may just put your total expenses in box 19, rather than filling in the whole section.</t>
  </si>
  <si>
    <t xml:space="preserve">Cost of goods bought for re-sale or goods used</t>
  </si>
  <si>
    <t xml:space="preserve">Accountancy, legal and other professional fees</t>
  </si>
  <si>
    <r>
      <rPr>
        <sz val="8"/>
        <rFont val="Arial"/>
        <family val="2"/>
        <charset val="1"/>
      </rPr>
      <t xml:space="preserve">Car, van and other travel expenses - </t>
    </r>
    <r>
      <rPr>
        <i val="true"/>
        <sz val="8"/>
        <rFont val="Arial"/>
        <family val="2"/>
        <charset val="1"/>
      </rPr>
      <t xml:space="preserve">after private</t>
    </r>
  </si>
  <si>
    <t xml:space="preserve">Interest and bank and credit card etc. financial charges</t>
  </si>
  <si>
    <t xml:space="preserve">use proportion</t>
  </si>
  <si>
    <t xml:space="preserve">Wages, salaries and other staff costs</t>
  </si>
  <si>
    <t xml:space="preserve">Telephone, fax, stationery and other office costs</t>
  </si>
  <si>
    <t xml:space="preserve">Rent, rates, power and insurance costs</t>
  </si>
  <si>
    <r>
      <rPr>
        <sz val="8"/>
        <rFont val="Arial"/>
        <family val="2"/>
        <charset val="1"/>
      </rPr>
      <t xml:space="preserve">Other allowable business expenses - </t>
    </r>
    <r>
      <rPr>
        <i val="true"/>
        <sz val="8"/>
        <rFont val="Arial"/>
        <family val="2"/>
        <charset val="1"/>
      </rPr>
      <t xml:space="preserve">client entertaining</t>
    </r>
  </si>
  <si>
    <t xml:space="preserve">costs are not an allowable expense</t>
  </si>
  <si>
    <t xml:space="preserve">Repairs and renewals of property and equipment</t>
  </si>
  <si>
    <r>
      <rPr>
        <sz val="8"/>
        <rFont val="Arial"/>
        <family val="2"/>
        <charset val="1"/>
      </rPr>
      <t xml:space="preserve">Total allowable expenses - </t>
    </r>
    <r>
      <rPr>
        <i val="true"/>
        <sz val="8"/>
        <rFont val="Arial"/>
        <family val="2"/>
        <charset val="1"/>
      </rPr>
      <t xml:space="preserve">total of boxes 10 to 18</t>
    </r>
  </si>
  <si>
    <t xml:space="preserve">Net profit or loss</t>
  </si>
  <si>
    <r>
      <rPr>
        <sz val="8"/>
        <rFont val="Arial"/>
        <family val="2"/>
        <charset val="1"/>
      </rPr>
      <t xml:space="preserve">Net profit -</t>
    </r>
    <r>
      <rPr>
        <i val="true"/>
        <sz val="8"/>
        <rFont val="Arial"/>
        <family val="2"/>
        <charset val="1"/>
      </rPr>
      <t xml:space="preserve"> if your business income is more then your</t>
    </r>
  </si>
  <si>
    <r>
      <rPr>
        <sz val="8"/>
        <rFont val="Arial"/>
        <family val="2"/>
        <charset val="1"/>
      </rPr>
      <t xml:space="preserve">Or, net loss -</t>
    </r>
    <r>
      <rPr>
        <i val="true"/>
        <sz val="8"/>
        <rFont val="Arial"/>
        <family val="2"/>
        <charset val="1"/>
      </rPr>
      <t xml:space="preserve"> if your expenses exceed your business</t>
    </r>
  </si>
  <si>
    <t xml:space="preserve">expenses (box 8 + box 9 minus box 19)</t>
  </si>
  <si>
    <t xml:space="preserve">income (box 8 + box 9 minus box 19 is negative)</t>
  </si>
  <si>
    <t xml:space="preserve">Tax allowances for vehicles and equipment (capital allowances)</t>
  </si>
  <si>
    <t xml:space="preserve">There are 'capital' tax allowances for vehicles and equipment used in your business (you should not have included the cost of</t>
  </si>
  <si>
    <r>
      <rPr>
        <sz val="8"/>
        <rFont val="Arial"/>
        <family val="2"/>
        <charset val="1"/>
      </rPr>
      <t xml:space="preserve">these in your business expenses)  Read pages SESN 3 to SEFN 6 of the </t>
    </r>
    <r>
      <rPr>
        <i val="true"/>
        <sz val="8"/>
        <rFont val="Arial"/>
        <family val="2"/>
        <charset val="1"/>
      </rPr>
      <t xml:space="preserve">notes</t>
    </r>
    <r>
      <rPr>
        <sz val="8"/>
        <rFont val="Arial"/>
        <family val="2"/>
        <charset val="1"/>
      </rPr>
      <t xml:space="preserve"> and use the example and Working Sheets to work out</t>
    </r>
  </si>
  <si>
    <t xml:space="preserve">your capital allowances.</t>
  </si>
  <si>
    <t xml:space="preserve">Annual Investment Allowance</t>
  </si>
  <si>
    <t xml:space="preserve">Other Capital Allowances</t>
  </si>
  <si>
    <t xml:space="preserve">Allowance of small balance of unrelieved</t>
  </si>
  <si>
    <t xml:space="preserve">Total balancing charges - where you have disposed of</t>
  </si>
  <si>
    <t xml:space="preserve">expenditure</t>
  </si>
  <si>
    <t xml:space="preserve">items for more than their value</t>
  </si>
  <si>
    <t xml:space="preserve">Calculating your taxable profits</t>
  </si>
  <si>
    <r>
      <rPr>
        <sz val="8"/>
        <rFont val="Arial"/>
        <family val="2"/>
        <charset val="1"/>
      </rPr>
      <t xml:space="preserve">Your taxable profit may not be the same as your net profit. Read page SESN 7 of the </t>
    </r>
    <r>
      <rPr>
        <i val="true"/>
        <sz val="8"/>
        <rFont val="Arial"/>
        <family val="2"/>
        <charset val="1"/>
      </rPr>
      <t xml:space="preserve">notes</t>
    </r>
    <r>
      <rPr>
        <sz val="8"/>
        <rFont val="Arial"/>
        <family val="2"/>
        <charset val="1"/>
      </rPr>
      <t xml:space="preserve"> to see if you need to make any</t>
    </r>
  </si>
  <si>
    <t xml:space="preserve">adjustments and fill in the boxes which apply to arrive at your taxable profit for the year.</t>
  </si>
  <si>
    <r>
      <rPr>
        <sz val="8"/>
        <rFont val="Arial"/>
        <family val="2"/>
        <charset val="1"/>
      </rPr>
      <t xml:space="preserve">Goods and services for your own use - </t>
    </r>
    <r>
      <rPr>
        <i val="true"/>
        <sz val="8"/>
        <rFont val="Arial"/>
        <family val="2"/>
        <charset val="1"/>
      </rPr>
      <t xml:space="preserve">read page</t>
    </r>
  </si>
  <si>
    <t xml:space="preserve">Loss brought forward from earlier years set-off against</t>
  </si>
  <si>
    <t xml:space="preserve">SESN 9 of the notes</t>
  </si>
  <si>
    <r>
      <rPr>
        <sz val="8"/>
        <rFont val="Arial"/>
        <family val="2"/>
        <charset val="1"/>
      </rPr>
      <t xml:space="preserve">this year's profits - </t>
    </r>
    <r>
      <rPr>
        <i val="true"/>
        <sz val="8"/>
        <rFont val="Arial"/>
        <family val="2"/>
        <charset val="1"/>
      </rPr>
      <t xml:space="preserve">up to the amount in box 27</t>
    </r>
  </si>
  <si>
    <t xml:space="preserve">Net business profit for tax purposes (if box 20 + box 25 +</t>
  </si>
  <si>
    <t xml:space="preserve">Any other business income not included in boxes 8 or 9</t>
  </si>
  <si>
    <t xml:space="preserve">box 26 minus boxes 21 to 24) is positive)</t>
  </si>
  <si>
    <t xml:space="preserve"> - for example, Business Start-up Allowance</t>
  </si>
  <si>
    <t xml:space="preserve">Total taxable profits or net business loss</t>
  </si>
  <si>
    <t xml:space="preserve">Total taxable profits from this business</t>
  </si>
  <si>
    <t xml:space="preserve">Net business loss for tax purposes (if boxes 21 to 24</t>
  </si>
  <si>
    <t xml:space="preserve">if box 27 + box 29 minus box 28 is positive</t>
  </si>
  <si>
    <t xml:space="preserve">minus (box 20 + box 25 + box 26) is positive)</t>
  </si>
  <si>
    <t xml:space="preserve">Losses, Class 4 NICs and deductions</t>
  </si>
  <si>
    <r>
      <rPr>
        <sz val="8"/>
        <rFont val="Arial"/>
        <family val="2"/>
        <charset val="1"/>
      </rPr>
      <t xml:space="preserve">If you have made a loss for tax purposes (box 29), read page SESN 7 of the </t>
    </r>
    <r>
      <rPr>
        <i val="true"/>
        <sz val="8"/>
        <rFont val="Arial"/>
        <family val="2"/>
        <charset val="1"/>
      </rPr>
      <t xml:space="preserve">notes</t>
    </r>
    <r>
      <rPr>
        <sz val="8"/>
        <rFont val="Arial"/>
        <family val="2"/>
        <charset val="1"/>
      </rPr>
      <t xml:space="preserve"> and fill in boxes 30 to 32 as appropriate.</t>
    </r>
  </si>
  <si>
    <t xml:space="preserve">Loss from this tax year set-off against other income</t>
  </si>
  <si>
    <t xml:space="preserve">If you are exempt from paying Class 4 NICs, put 'X' in the</t>
  </si>
  <si>
    <t xml:space="preserve">for </t>
  </si>
  <si>
    <r>
      <rPr>
        <sz val="8"/>
        <rFont val="Arial"/>
        <family val="2"/>
        <charset val="1"/>
      </rPr>
      <t xml:space="preserve">box - </t>
    </r>
    <r>
      <rPr>
        <i val="true"/>
        <sz val="8"/>
        <rFont val="Arial"/>
        <family val="2"/>
        <charset val="1"/>
      </rPr>
      <t xml:space="preserve">read page SESN 10 of the notes</t>
    </r>
  </si>
  <si>
    <t xml:space="preserve">Loss to be carried back to previous year(s) and set-off</t>
  </si>
  <si>
    <t xml:space="preserve">If you have been given a </t>
  </si>
  <si>
    <t xml:space="preserve">Class 4 NICs</t>
  </si>
  <si>
    <t xml:space="preserve">against income (or capital gains)</t>
  </si>
  <si>
    <r>
      <rPr>
        <sz val="8"/>
        <rFont val="Arial"/>
        <family val="2"/>
        <charset val="1"/>
      </rPr>
      <t xml:space="preserve">deferment certificate, put 'X' in the box - </t>
    </r>
    <r>
      <rPr>
        <i val="true"/>
        <sz val="8"/>
        <rFont val="Arial"/>
        <family val="2"/>
        <charset val="1"/>
      </rPr>
      <t xml:space="preserve">read page SESN 10</t>
    </r>
  </si>
  <si>
    <t xml:space="preserve">of the notes</t>
  </si>
  <si>
    <t xml:space="preserve">Total loss to carry forward after all other set-offs</t>
  </si>
  <si>
    <t xml:space="preserve">Deductions on payment and deduction statements from</t>
  </si>
  <si>
    <t xml:space="preserve"> - including unused losses brought forward</t>
  </si>
  <si>
    <r>
      <rPr>
        <sz val="8"/>
        <rFont val="Arial"/>
        <family val="2"/>
        <charset val="1"/>
      </rPr>
      <t xml:space="preserve">contractors -</t>
    </r>
    <r>
      <rPr>
        <i val="true"/>
        <sz val="8"/>
        <rFont val="Arial"/>
        <family val="2"/>
        <charset val="1"/>
      </rPr>
      <t xml:space="preserve"> construction industry subcontractors only</t>
    </r>
  </si>
  <si>
    <t xml:space="preserve">HM Revenue             &amp; Customs</t>
  </si>
  <si>
    <t xml:space="preserve">Self-employment (full)</t>
  </si>
  <si>
    <t xml:space="preserve">If you have provided the information about your 2007-08</t>
  </si>
  <si>
    <t xml:space="preserve">Business income</t>
  </si>
  <si>
    <t xml:space="preserve">Any other business income not included in box 14</t>
  </si>
  <si>
    <t xml:space="preserve">Business expenses</t>
  </si>
  <si>
    <r>
      <rPr>
        <sz val="8"/>
        <rFont val="Arial"/>
        <family val="2"/>
        <charset val="1"/>
      </rPr>
      <t xml:space="preserve">Read pages SEFN 5 to SEFN 7 of the </t>
    </r>
    <r>
      <rPr>
        <i val="true"/>
        <sz val="8"/>
        <rFont val="Arial"/>
        <family val="2"/>
        <charset val="1"/>
      </rPr>
      <t xml:space="preserve">notes</t>
    </r>
    <r>
      <rPr>
        <sz val="8"/>
        <rFont val="Arial"/>
        <family val="2"/>
        <charset val="1"/>
      </rPr>
      <t xml:space="preserve"> to see what expenses are allowed for tax purposes.</t>
    </r>
  </si>
  <si>
    <t xml:space="preserve">Total expenses</t>
  </si>
  <si>
    <t xml:space="preserve">Disallowable expenses</t>
  </si>
  <si>
    <t xml:space="preserve">If your annual turnover was below £30,000 you may</t>
  </si>
  <si>
    <t xml:space="preserve">Use this column if the figures in boxes 16 to 29</t>
  </si>
  <si>
    <t xml:space="preserve">just put your total expenses in box 30</t>
  </si>
  <si>
    <t xml:space="preserve">include disallowable amounts</t>
  </si>
  <si>
    <r>
      <rPr>
        <sz val="8"/>
        <rFont val="Arial"/>
        <family val="2"/>
        <charset val="1"/>
      </rPr>
      <t xml:space="preserve">Construction industry - </t>
    </r>
    <r>
      <rPr>
        <i val="true"/>
        <sz val="8"/>
        <rFont val="Arial"/>
        <family val="2"/>
        <charset val="1"/>
      </rPr>
      <t xml:space="preserve">payments to subcontractors</t>
    </r>
  </si>
  <si>
    <t xml:space="preserve">Car, van and other travel expenses</t>
  </si>
  <si>
    <t xml:space="preserve">Repairs and renewals pf property and equipment</t>
  </si>
  <si>
    <t xml:space="preserve">Advertising and business entertainment costs</t>
  </si>
  <si>
    <t xml:space="preserve">Interest on bank and other loans</t>
  </si>
  <si>
    <t xml:space="preserve">Bank, credit card and other financial charges</t>
  </si>
  <si>
    <t xml:space="preserve">Irrecoverable debts written off</t>
  </si>
  <si>
    <t xml:space="preserve">Depreciation and loss/profit on sale of assets</t>
  </si>
  <si>
    <t xml:space="preserve">Other business expenses</t>
  </si>
  <si>
    <t xml:space="preserve">Total expenses in boxes 16 to 29</t>
  </si>
  <si>
    <t xml:space="preserve">Total disallowable expenses in boxes 31 to 44</t>
  </si>
  <si>
    <t xml:space="preserve">expenses (box 14 + box 15 minus box 30)</t>
  </si>
  <si>
    <t xml:space="preserve">income (box 14 + box 15 minus box 30 is negative)</t>
  </si>
  <si>
    <t xml:space="preserve">There are 'capital' tax allowances for vehicles, equipment and certain buildings used in your business (you should not have</t>
  </si>
  <si>
    <t xml:space="preserve">included the cost of these in your business expenses)  Read pages SEFN 10 to SEFN 15 of the notes and use the example and</t>
  </si>
  <si>
    <t xml:space="preserve">Working Sheets to work out your capital allowances.</t>
  </si>
  <si>
    <t xml:space="preserve">Annual Invetsment Allowances at</t>
  </si>
  <si>
    <r>
      <rPr>
        <sz val="8"/>
        <rFont val="Arial"/>
        <family val="2"/>
        <charset val="1"/>
      </rPr>
      <t xml:space="preserve">Enhanced 100% and other capital allowances - </t>
    </r>
    <r>
      <rPr>
        <i val="true"/>
        <sz val="8"/>
        <rFont val="Arial"/>
        <family val="2"/>
        <charset val="1"/>
      </rPr>
      <t xml:space="preserve">read</t>
    </r>
  </si>
  <si>
    <t xml:space="preserve">page SEFN 12 of the notes</t>
  </si>
  <si>
    <t xml:space="preserve">Annual allowances at </t>
  </si>
  <si>
    <t xml:space="preserve">on cars costing £12,000</t>
  </si>
  <si>
    <t xml:space="preserve">Allowances on sale or cessation of business use (where</t>
  </si>
  <si>
    <t xml:space="preserve">or less, and equipment</t>
  </si>
  <si>
    <t xml:space="preserve">you have disposed of assets for less than their tax value)</t>
  </si>
  <si>
    <t xml:space="preserve">Annual Allowances at</t>
  </si>
  <si>
    <t xml:space="preserve">Total allowances (total of boxes 48 to 55)</t>
  </si>
  <si>
    <t xml:space="preserve">Restricted annual allowances for cars costing more</t>
  </si>
  <si>
    <t xml:space="preserve">than £12,000</t>
  </si>
  <si>
    <t xml:space="preserve">Charges on cessation of business use (only where Business</t>
  </si>
  <si>
    <t xml:space="preserve">Premises Renovation Allowance has been claimed before</t>
  </si>
  <si>
    <t xml:space="preserve">Agricultural or Industrial Buildings Allowance</t>
  </si>
  <si>
    <t xml:space="preserve">Balancing charge on sales of other assets or on the</t>
  </si>
  <si>
    <t xml:space="preserve">Business Premises Renovation Allowance (Assisted Areas</t>
  </si>
  <si>
    <t xml:space="preserve">cessation of business use (where you have disposed of</t>
  </si>
  <si>
    <r>
      <rPr>
        <sz val="8"/>
        <rFont val="Arial"/>
        <family val="2"/>
        <charset val="1"/>
      </rPr>
      <t xml:space="preserve">only) -</t>
    </r>
    <r>
      <rPr>
        <i val="true"/>
        <sz val="8"/>
        <rFont val="Arial"/>
        <family val="2"/>
        <charset val="1"/>
      </rPr>
      <t xml:space="preserve"> read page SEFN 12 of the notes</t>
    </r>
  </si>
  <si>
    <t xml:space="preserve"> assets for more than their tax value)</t>
  </si>
  <si>
    <t xml:space="preserve">Calculating your taxable profit or loss</t>
  </si>
  <si>
    <t xml:space="preserve">You may have to adjust your net profit or loss for disallowable expenses or capital allowances to arrive at your taxable profit or</t>
  </si>
  <si>
    <t xml:space="preserve">your loss for tax purposes. Read pages SEFN 15 and SEFN 16 of the notes and fill in the boxes below that apply.</t>
  </si>
  <si>
    <r>
      <rPr>
        <sz val="8"/>
        <rFont val="Arial"/>
        <family val="2"/>
        <charset val="1"/>
      </rPr>
      <t xml:space="preserve">Goods and services for your own use - </t>
    </r>
    <r>
      <rPr>
        <i val="true"/>
        <sz val="8"/>
        <rFont val="Arial"/>
        <family val="2"/>
        <charset val="1"/>
      </rPr>
      <t xml:space="preserve">read page SEFN 15</t>
    </r>
  </si>
  <si>
    <t xml:space="preserve">Total deductions from net profit or additions to</t>
  </si>
  <si>
    <t xml:space="preserve">net loss (box 56 + box 61)</t>
  </si>
  <si>
    <t xml:space="preserve">Total additions to net profit or deductions from net loss</t>
  </si>
  <si>
    <t xml:space="preserve">Net business profit for tax purposes (if box 46 + box 60</t>
  </si>
  <si>
    <t xml:space="preserve">(box 45 + box 57 + box 58 + box 59)</t>
  </si>
  <si>
    <t xml:space="preserve">minus (box 47 + box 62) is positive)</t>
  </si>
  <si>
    <t xml:space="preserve">Income, receipts and other profits included in business</t>
  </si>
  <si>
    <t xml:space="preserve">Net business loss for tax purposes (if box 47+ box 62</t>
  </si>
  <si>
    <t xml:space="preserve">income or expense but not taxable as business profits</t>
  </si>
  <si>
    <t xml:space="preserve">minus (box 46 + box 60) is negative)</t>
  </si>
  <si>
    <t xml:space="preserve">Calculating your taxable profit or loss (continued)</t>
  </si>
  <si>
    <t xml:space="preserve">If you start or finish self-employment and your accounting period is not the same as your basis period (or there are overlaps, or</t>
  </si>
  <si>
    <t xml:space="preserve">gaps in your basis periods), or in certain situations or trades or professions, you may need to make further adjustments</t>
  </si>
  <si>
    <t xml:space="preserve"> - read pages SEFN 13 to SEFN 15 of the notes.</t>
  </si>
  <si>
    <r>
      <rPr>
        <sz val="8"/>
        <rFont val="Arial"/>
        <family val="2"/>
        <charset val="1"/>
      </rPr>
      <t xml:space="preserve">Date your basis period began </t>
    </r>
    <r>
      <rPr>
        <i val="true"/>
        <sz val="8"/>
        <rFont val="Arial"/>
        <family val="2"/>
        <charset val="1"/>
      </rPr>
      <t xml:space="preserve">DD/MM/YYYY</t>
    </r>
  </si>
  <si>
    <t xml:space="preserve">Averaging adjustment (only for farmers, market gardeners</t>
  </si>
  <si>
    <r>
      <rPr>
        <sz val="8"/>
        <rFont val="Arial"/>
        <family val="2"/>
        <charset val="1"/>
      </rPr>
      <t xml:space="preserve">and creators of literary or artistic works) -</t>
    </r>
    <r>
      <rPr>
        <i val="true"/>
        <sz val="8"/>
        <rFont val="Arial"/>
        <family val="2"/>
        <charset val="1"/>
      </rPr>
      <t xml:space="preserve"> if the </t>
    </r>
  </si>
  <si>
    <t xml:space="preserve">adjustment needs to be taken off the profit figure put a</t>
  </si>
  <si>
    <t xml:space="preserve">Date your basis period ended</t>
  </si>
  <si>
    <t xml:space="preserve">minus sign (-) in the box</t>
  </si>
  <si>
    <t xml:space="preserve"> —</t>
  </si>
  <si>
    <t xml:space="preserve">If your basis period is not the same as your accounting</t>
  </si>
  <si>
    <t xml:space="preserve">Adjusted profit for </t>
  </si>
  <si>
    <t xml:space="preserve">(box 63 or 64 + box 67 minus</t>
  </si>
  <si>
    <t xml:space="preserve">period, enter the adjustment needed to arrive at the</t>
  </si>
  <si>
    <t xml:space="preserve">box 68 +box 70 +box 71) - if a loss, enter it in box 76</t>
  </si>
  <si>
    <r>
      <rPr>
        <sz val="8"/>
        <rFont val="Arial"/>
        <family val="2"/>
        <charset val="1"/>
      </rPr>
      <t xml:space="preserve">profit or loss for the basis period -</t>
    </r>
    <r>
      <rPr>
        <i val="true"/>
        <sz val="8"/>
        <rFont val="Arial"/>
        <family val="2"/>
        <charset val="1"/>
      </rPr>
      <t xml:space="preserve"> if the adjustment</t>
    </r>
  </si>
  <si>
    <t xml:space="preserve">needs to be taken off the profit figure put a minus</t>
  </si>
  <si>
    <t xml:space="preserve">sign (-) in the box</t>
  </si>
  <si>
    <r>
      <rPr>
        <sz val="8"/>
        <rFont val="Arial"/>
        <family val="2"/>
        <charset val="1"/>
      </rPr>
      <t xml:space="preserve">this year's profits - </t>
    </r>
    <r>
      <rPr>
        <i val="true"/>
        <sz val="8"/>
        <rFont val="Arial"/>
        <family val="2"/>
        <charset val="1"/>
      </rPr>
      <t xml:space="preserve">up to the amount in box 63 or box 72</t>
    </r>
  </si>
  <si>
    <t xml:space="preserve">whichever is greater</t>
  </si>
  <si>
    <r>
      <rPr>
        <sz val="8"/>
        <rFont val="Arial"/>
        <family val="2"/>
        <charset val="1"/>
      </rPr>
      <t xml:space="preserve">Overlap relief used this year - </t>
    </r>
    <r>
      <rPr>
        <i val="true"/>
        <sz val="8"/>
        <rFont val="Arial"/>
        <family val="2"/>
        <charset val="1"/>
      </rPr>
      <t xml:space="preserve">read page SEFN 17 of the notes</t>
    </r>
  </si>
  <si>
    <t xml:space="preserve">Any other business income not included in boxes 14, 15</t>
  </si>
  <si>
    <r>
      <rPr>
        <sz val="8"/>
        <rFont val="Arial"/>
        <family val="2"/>
        <charset val="1"/>
      </rPr>
      <t xml:space="preserve">or 59 -</t>
    </r>
    <r>
      <rPr>
        <i val="true"/>
        <sz val="8"/>
        <rFont val="Arial"/>
        <family val="2"/>
        <charset val="1"/>
      </rPr>
      <t xml:space="preserve"> for example, Business Start -up Allowance</t>
    </r>
  </si>
  <si>
    <t xml:space="preserve">Overlap profit carried forward</t>
  </si>
  <si>
    <t xml:space="preserve">Total taxable profits from this business (box 72 minus</t>
  </si>
  <si>
    <r>
      <rPr>
        <sz val="8"/>
        <rFont val="Arial"/>
        <family val="2"/>
        <charset val="1"/>
      </rPr>
      <t xml:space="preserve">box 73 + box 74 - </t>
    </r>
    <r>
      <rPr>
        <i val="true"/>
        <sz val="8"/>
        <rFont val="Arial"/>
        <family val="2"/>
        <charset val="1"/>
      </rPr>
      <t xml:space="preserve">or use the Working Sheet on</t>
    </r>
  </si>
  <si>
    <r>
      <rPr>
        <sz val="8"/>
        <rFont val="Arial"/>
        <family val="2"/>
        <charset val="1"/>
      </rPr>
      <t xml:space="preserve">Adjustment for change of accounting practise - </t>
    </r>
    <r>
      <rPr>
        <i val="true"/>
        <sz val="8"/>
        <rFont val="Arial"/>
        <family val="2"/>
        <charset val="1"/>
      </rPr>
      <t xml:space="preserve">read</t>
    </r>
  </si>
  <si>
    <t xml:space="preserve">page SEFN 18)</t>
  </si>
  <si>
    <t xml:space="preserve">page SEFN 17 of the notes</t>
  </si>
  <si>
    <t xml:space="preserve">Losses</t>
  </si>
  <si>
    <r>
      <rPr>
        <sz val="8"/>
        <rFont val="Arial"/>
        <family val="2"/>
        <charset val="1"/>
      </rPr>
      <t xml:space="preserve">If you have made a net loss for tax purposes (in box 63), or if you have losses from previous years, read page SEFN 15 of the </t>
    </r>
    <r>
      <rPr>
        <i val="true"/>
        <sz val="8"/>
        <rFont val="Arial"/>
        <family val="2"/>
        <charset val="1"/>
      </rPr>
      <t xml:space="preserve">notes</t>
    </r>
  </si>
  <si>
    <t xml:space="preserve">and fill in boxes 75 to 78 as appropriate.</t>
  </si>
  <si>
    <t xml:space="preserve">Adjusted loss</t>
  </si>
  <si>
    <t xml:space="preserve">(box 63 or 64 + box 67</t>
  </si>
  <si>
    <t xml:space="preserve">Loss to be carried back to previous year(s) and set off</t>
  </si>
  <si>
    <t xml:space="preserve">,minus box 68 + box 70 + box 71)</t>
  </si>
  <si>
    <t xml:space="preserve">Loss from this tax year set off against other income</t>
  </si>
  <si>
    <t xml:space="preserve">Deductions and tax taken off</t>
  </si>
  <si>
    <t xml:space="preserve">Other tax taken off trading income</t>
  </si>
  <si>
    <r>
      <rPr>
        <sz val="8"/>
        <rFont val="Arial"/>
        <family val="2"/>
        <charset val="1"/>
      </rPr>
      <t xml:space="preserve">contractors - </t>
    </r>
    <r>
      <rPr>
        <i val="true"/>
        <sz val="8"/>
        <rFont val="Arial"/>
        <family val="2"/>
        <charset val="1"/>
      </rPr>
      <t xml:space="preserve">construction industry subcontractors only</t>
    </r>
  </si>
  <si>
    <t xml:space="preserve">Balance Sheet Optional</t>
  </si>
  <si>
    <t xml:space="preserve">If your business accounts include a Balance Sheet showing the assets, liabilities, and capital of the business, fill in the relevant</t>
  </si>
  <si>
    <t xml:space="preserve">boxes below. If you do not have a Balance Sheet, go to box 99.</t>
  </si>
  <si>
    <t xml:space="preserve">Assets</t>
  </si>
  <si>
    <t xml:space="preserve">Liabilities</t>
  </si>
  <si>
    <t xml:space="preserve">Equipment, machinery and vehicles</t>
  </si>
  <si>
    <t xml:space="preserve">Trade creditors</t>
  </si>
  <si>
    <t xml:space="preserve">Other fixed assets</t>
  </si>
  <si>
    <t xml:space="preserve">Loans and overdrawn bank account balances</t>
  </si>
  <si>
    <t xml:space="preserve">Stock and work in progress</t>
  </si>
  <si>
    <t xml:space="preserve">Other liabilities and accruals</t>
  </si>
  <si>
    <t xml:space="preserve">Trade debtors</t>
  </si>
  <si>
    <t xml:space="preserve">Net business assets</t>
  </si>
  <si>
    <t xml:space="preserve">Net business assets (box 88 minus (boxes 89 to 91))</t>
  </si>
  <si>
    <t xml:space="preserve">Bank/building society balances</t>
  </si>
  <si>
    <t xml:space="preserve">Capital account</t>
  </si>
  <si>
    <t xml:space="preserve">Cash in hand</t>
  </si>
  <si>
    <t xml:space="preserve">Balance at start of period</t>
  </si>
  <si>
    <t xml:space="preserve">Other current assets and prepayments</t>
  </si>
  <si>
    <t xml:space="preserve">Net profit or loss (box 46 or box 47)</t>
  </si>
  <si>
    <t xml:space="preserve">Total assets (total of boxes 81 to 87)</t>
  </si>
  <si>
    <t xml:space="preserve">Capital introduced</t>
  </si>
  <si>
    <t xml:space="preserve">Drawings</t>
  </si>
  <si>
    <t xml:space="preserve">Balance at end of period</t>
  </si>
  <si>
    <t xml:space="preserve">Class 4 National Insurance contributions (NICs)</t>
  </si>
  <si>
    <t xml:space="preserve">If your self employed profits are more than £</t>
  </si>
  <si>
    <t xml:space="preserve">you must pay Class 4 NICs (unless you are exempt or your contributions</t>
  </si>
  <si>
    <r>
      <rPr>
        <sz val="8"/>
        <rFont val="Arial"/>
        <family val="2"/>
        <charset val="1"/>
      </rPr>
      <t xml:space="preserve">have been deferred) -</t>
    </r>
    <r>
      <rPr>
        <i val="true"/>
        <sz val="8"/>
        <rFont val="Arial"/>
        <family val="2"/>
        <charset val="1"/>
      </rPr>
      <t xml:space="preserve"> read page SEFN 20 of the notes.</t>
    </r>
  </si>
  <si>
    <t xml:space="preserve">If you are exempt from paying Class 4 NICs put 'X' in the</t>
  </si>
  <si>
    <r>
      <rPr>
        <sz val="8"/>
        <rFont val="Arial"/>
        <family val="2"/>
        <charset val="1"/>
      </rPr>
      <t xml:space="preserve">Adjustment to profits chargeable to Class 4 NICs -</t>
    </r>
    <r>
      <rPr>
        <i val="true"/>
        <sz val="8"/>
        <rFont val="Arial"/>
        <family val="2"/>
        <charset val="1"/>
      </rPr>
      <t xml:space="preserve"> this</t>
    </r>
  </si>
  <si>
    <r>
      <rPr>
        <sz val="8"/>
        <rFont val="Arial"/>
        <family val="2"/>
        <charset val="1"/>
      </rPr>
      <t xml:space="preserve">box - </t>
    </r>
    <r>
      <rPr>
        <i val="true"/>
        <sz val="8"/>
        <rFont val="Arial"/>
        <family val="2"/>
        <charset val="1"/>
      </rPr>
      <t xml:space="preserve">read page SEFN 20 of the notes</t>
    </r>
  </si>
  <si>
    <t xml:space="preserve">will not apply to most people</t>
  </si>
  <si>
    <t xml:space="preserve">Class 4 NICs deferment</t>
  </si>
  <si>
    <r>
      <rPr>
        <sz val="8"/>
        <rFont val="Arial"/>
        <family val="2"/>
        <charset val="1"/>
      </rPr>
      <t xml:space="preserve">certificate, put 'X' in the box - </t>
    </r>
    <r>
      <rPr>
        <i val="true"/>
        <sz val="8"/>
        <rFont val="Arial"/>
        <family val="2"/>
        <charset val="1"/>
      </rPr>
      <t xml:space="preserve">read page SEFN 20 of </t>
    </r>
  </si>
  <si>
    <t xml:space="preserve">the notes</t>
  </si>
  <si>
    <t xml:space="preserve">Any other information</t>
  </si>
  <si>
    <t xml:space="preserve">Please give any other information in this page</t>
  </si>
  <si>
    <t xml:space="preserve">Monthly Management Accounts Profit and Loss Account</t>
  </si>
  <si>
    <t xml:space="preserve">Total Year</t>
  </si>
  <si>
    <t xml:space="preserve">Sales Product A</t>
  </si>
  <si>
    <t xml:space="preserve">Sales Product B</t>
  </si>
  <si>
    <t xml:space="preserve">Sales Product C</t>
  </si>
  <si>
    <t xml:space="preserve">Other Income</t>
  </si>
  <si>
    <t xml:space="preserve">Sales Turnover</t>
  </si>
  <si>
    <t xml:space="preserve">Investment Grants received</t>
  </si>
  <si>
    <t xml:space="preserve">Direct Costs</t>
  </si>
  <si>
    <t xml:space="preserve">Purchases after stock adjustment</t>
  </si>
  <si>
    <t xml:space="preserve">Sub contractors</t>
  </si>
  <si>
    <t xml:space="preserve">Other Direct Cost of Sales</t>
  </si>
  <si>
    <t xml:space="preserve">Cost of Sales</t>
  </si>
  <si>
    <t xml:space="preserve">Gross Profit</t>
  </si>
  <si>
    <t xml:space="preserve">Administrative Expenses</t>
  </si>
  <si>
    <t xml:space="preserve">Wages and Salaries</t>
  </si>
  <si>
    <t xml:space="preserve">Premises Rent Rates Power</t>
  </si>
  <si>
    <t xml:space="preserve">Repairs &amp; Maintenance</t>
  </si>
  <si>
    <t xml:space="preserve">General Administrative Expenses</t>
  </si>
  <si>
    <t xml:space="preserve">Motor Expenses</t>
  </si>
  <si>
    <t xml:space="preserve">Travel Hotel &amp; Subsistence</t>
  </si>
  <si>
    <t xml:space="preserve">Advertising &amp; Promotion</t>
  </si>
  <si>
    <t xml:space="preserve">Legal &amp; Professional Fees</t>
  </si>
  <si>
    <t xml:space="preserve">Bad Debts written off</t>
  </si>
  <si>
    <t xml:space="preserve">Bank Interest Paid</t>
  </si>
  <si>
    <t xml:space="preserve">HP Interest Lease Bank Charges</t>
  </si>
  <si>
    <t xml:space="preserve">Other Expenses</t>
  </si>
  <si>
    <t xml:space="preserve">Loss (profit) disposal of assets</t>
  </si>
  <si>
    <t xml:space="preserve">Depreciation</t>
  </si>
  <si>
    <t xml:space="preserve">Operating Profit</t>
  </si>
  <si>
    <t xml:space="preserve">Interest received</t>
  </si>
  <si>
    <t xml:space="preserve">Profit (Loss) before Tax</t>
  </si>
  <si>
    <t xml:space="preserve">Financial Business Health Check</t>
  </si>
  <si>
    <t xml:space="preserve">Self Employed Drawings</t>
  </si>
  <si>
    <t xml:space="preserve">CIS Tax deducted</t>
  </si>
  <si>
    <t xml:space="preserve">Income Tax &amp; NI Liability</t>
  </si>
  <si>
    <t xml:space="preserve">Financial Health Check</t>
  </si>
  <si>
    <t xml:space="preserve">VitalTax summary</t>
  </si>
  <si>
    <t xml:space="preserve">Q1</t>
  </si>
  <si>
    <t xml:space="preserve">Q2</t>
  </si>
  <si>
    <t xml:space="preserve">Q3</t>
  </si>
  <si>
    <t xml:space="preserve">Q4</t>
  </si>
  <si>
    <t xml:space="preserve">Annual</t>
  </si>
  <si>
    <t xml:space="preserve">Notes</t>
  </si>
  <si>
    <t xml:space="preserve">Turnover</t>
  </si>
  <si>
    <t xml:space="preserve">Other income</t>
  </si>
  <si>
    <t xml:space="preserve">Cost of goods bought</t>
  </si>
  <si>
    <t xml:space="preserve">Allowable expenses</t>
  </si>
  <si>
    <t xml:space="preserve">Staff costs</t>
  </si>
  <si>
    <t xml:space="preserve">Premises running costs</t>
  </si>
  <si>
    <t xml:space="preserve">Maintenance</t>
  </si>
  <si>
    <t xml:space="preserve">Admin</t>
  </si>
  <si>
    <t xml:space="preserve">Financial charges</t>
  </si>
  <si>
    <t xml:space="preserve">Travel</t>
  </si>
  <si>
    <t xml:space="preserve">Advertising</t>
  </si>
  <si>
    <t xml:space="preserve">Professional</t>
  </si>
  <si>
    <t xml:space="preserve">Bad debt</t>
  </si>
  <si>
    <t xml:space="preserve">Interest</t>
  </si>
  <si>
    <t xml:space="preserve">Other</t>
  </si>
  <si>
    <t xml:space="preserve">CIS payment to subcontractors</t>
  </si>
  <si>
    <t xml:space="preserve">Business entertainment</t>
  </si>
  <si>
    <t xml:space="preserve">Not captured in DIY Accounting</t>
  </si>
  <si>
    <t xml:space="preserve">Total allowable expenses </t>
  </si>
  <si>
    <t xml:space="preserve">Travel </t>
  </si>
  <si>
    <t xml:space="preserve">Financial charges </t>
  </si>
  <si>
    <t xml:space="preserve">Bad debt </t>
  </si>
  <si>
    <t xml:space="preserve">TAXATION CALCULATION </t>
  </si>
  <si>
    <t xml:space="preserve">This section an indication and for your information only</t>
  </si>
  <si>
    <t xml:space="preserve">Profit from Self employment</t>
  </si>
  <si>
    <t xml:space="preserve">Minus Personal Allowance</t>
  </si>
  <si>
    <t xml:space="preserve">Total income on which tax is due</t>
  </si>
  <si>
    <t xml:space="preserve">Income Tax first band</t>
  </si>
  <si>
    <t xml:space="preserve">Income Tax second band</t>
  </si>
  <si>
    <t xml:space="preserve">Income Tax payable</t>
  </si>
  <si>
    <t xml:space="preserve">Deductions by contractors</t>
  </si>
  <si>
    <t xml:space="preserve">Amounts Payable by</t>
  </si>
  <si>
    <t xml:space="preserve">Class 4 NI Contribution Lower - Upper profits</t>
  </si>
  <si>
    <t xml:space="preserve">Class 4 NI Contribution Upper profits</t>
  </si>
  <si>
    <t xml:space="preserve">TOTAL Income Tax &amp; NI Liability</t>
  </si>
  <si>
    <t xml:space="preserve">FUTURE TAX LIABILITY (if over £500)</t>
  </si>
  <si>
    <t xml:space="preserve">This section for your information only</t>
  </si>
  <si>
    <t xml:space="preserve">Due Date</t>
  </si>
  <si>
    <t xml:space="preserve">Amount Payable</t>
  </si>
  <si>
    <t xml:space="preserve">Tax &amp; NI Assessment</t>
  </si>
  <si>
    <t xml:space="preserve">Previous Year</t>
  </si>
  <si>
    <t xml:space="preserve">50% Payable</t>
  </si>
  <si>
    <t xml:space="preserve">NOTES:</t>
  </si>
  <si>
    <t xml:space="preserve">Working Tax Credit</t>
  </si>
  <si>
    <t xml:space="preserve">Not taxable and not added to self employment income for tax purposes</t>
  </si>
  <si>
    <t xml:space="preserve">Pension Entitlement</t>
  </si>
  <si>
    <t xml:space="preserve">To receive Full Pension entitlement NI has to be paid 44 years out of 49 years (16 - 65)</t>
  </si>
  <si>
    <t xml:space="preserve">UK residents aged 60 - 65 get 5 years bonus.</t>
  </si>
  <si>
    <t xml:space="preserve">To confirm current NI / Pension entitlement years the helpline number is 0845 3000 168</t>
  </si>
  <si>
    <t xml:space="preserve">Month</t>
  </si>
  <si>
    <t xml:space="preserve">Gross Wages paid</t>
  </si>
  <si>
    <t xml:space="preserve">Income Tax deducted</t>
  </si>
  <si>
    <t xml:space="preserve">Employees National Insurance deducted</t>
  </si>
  <si>
    <t xml:space="preserve">Other Deductions</t>
  </si>
  <si>
    <t xml:space="preserve">Net Wages Paid</t>
  </si>
  <si>
    <t xml:space="preserve">Employers National Insurance</t>
  </si>
  <si>
    <t xml:space="preserve">Recoverable Statutory Payments</t>
  </si>
  <si>
    <t xml:space="preserve">WAGES INTERFACE</t>
  </si>
  <si>
    <t xml:space="preserve">EMPLOYEES</t>
  </si>
  <si>
    <t xml:space="preserve">1. If you are using a DIY Accounting payroll package then no action is required for the pay periods during which that payroll package is relevant April to March each year.</t>
  </si>
  <si>
    <t xml:space="preserve">2. Non DIY Accounting Payroll employers should overwrite the formulae with the actual monthly payroll totals</t>
  </si>
  <si>
    <t xml:space="preserve">Calculation Of Stock Sold</t>
  </si>
  <si>
    <t xml:space="preserve">Date</t>
  </si>
  <si>
    <t xml:space="preserve">Calculated Stock value</t>
  </si>
  <si>
    <t xml:space="preserve">Direct Material BOUGHT</t>
  </si>
  <si>
    <t xml:space="preserve">Stock % Prod A</t>
  </si>
  <si>
    <t xml:space="preserve">Net Sales Product A</t>
  </si>
  <si>
    <t xml:space="preserve">Direct Material SOLD</t>
  </si>
  <si>
    <t xml:space="preserve">Stock % Prod B</t>
  </si>
  <si>
    <t xml:space="preserve">Net Sales Product B</t>
  </si>
  <si>
    <t xml:space="preserve">Stock % Prod C</t>
  </si>
  <si>
    <t xml:space="preserve">Net Sales Product C</t>
  </si>
  <si>
    <t xml:space="preserve">Stock Loss Adjustment</t>
  </si>
  <si>
    <t xml:space="preserve">ACTUAL STOCK VALUE</t>
  </si>
  <si>
    <t xml:space="preserve">Stock Control User Notes</t>
  </si>
  <si>
    <t xml:space="preserve"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</si>
  <si>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 xml:space="preserve">Enter % to change % materials sold </t>
  </si>
  <si>
    <t xml:space="preserve">2. Optional: manually calculate the % of direct materials included in net sales value and enter this percentage in Column H against each month</t>
  </si>
  <si>
    <t xml:space="preserve">3. Column F automatically collects the value of direct material purchased from the monthly purchases worksheet</t>
  </si>
  <si>
    <t xml:space="preserve">4. Column L automatically calculates the value of direct materials sold by applying the stock sales % to the net sales value from the sales worksheet</t>
  </si>
  <si>
    <t xml:space="preserve">5. Optional: At the end of each month conduct a physical stock check and value the items counted at cost price. Enter this actual physical value in column P at the appropriate month end date</t>
  </si>
  <si>
    <r>
      <rPr>
        <sz val="9"/>
        <color rgb="FF003366"/>
        <rFont val="Times New Roman"/>
        <family val="1"/>
        <charset val="1"/>
      </rPr>
      <t xml:space="preserve">6. If the % of stock sold in net sales is correct then Column Z should be zero unless stock has been lost..                                    </t>
    </r>
    <r>
      <rPr>
        <b val="true"/>
        <sz val="9"/>
        <color rgb="FF003366"/>
        <rFont val="Times New Roman"/>
        <family val="1"/>
        <charset val="1"/>
      </rPr>
      <t xml:space="preserve">Investigate significant Stock Loss Adjustments</t>
    </r>
  </si>
  <si>
    <t xml:space="preserve">ACTUAL                        Profit and Loss Account</t>
  </si>
  <si>
    <t xml:space="preserve">Investment Grants</t>
  </si>
  <si>
    <t xml:space="preserve">General Expenses</t>
  </si>
  <si>
    <t xml:space="preserve">FORECAST                   Profit and Loss Account</t>
  </si>
  <si>
    <t xml:space="preserve">FORECAST TAX CALCULATION</t>
  </si>
  <si>
    <t xml:space="preserve">Add Depreciation</t>
  </si>
  <si>
    <t xml:space="preserve">Less Capital Allowances</t>
  </si>
  <si>
    <t xml:space="preserve">Profit before Tax</t>
  </si>
  <si>
    <t xml:space="preserve">Personal Allowance</t>
  </si>
  <si>
    <t xml:space="preserve">Profit after Allowance</t>
  </si>
  <si>
    <t xml:space="preserve">Tax at standard rate</t>
  </si>
  <si>
    <t xml:space="preserve">Tax at higher rate</t>
  </si>
  <si>
    <t xml:space="preserve">National Insurance</t>
  </si>
  <si>
    <t xml:space="preserve">TAX &amp; NI LIABILITY</t>
  </si>
  <si>
    <t xml:space="preserve">Dates</t>
  </si>
  <si>
    <t xml:space="preserve">Capital Tax Allowances </t>
  </si>
  <si>
    <t xml:space="preserve">Income Tax Rates</t>
  </si>
  <si>
    <t xml:space="preserve">Personal allowance</t>
  </si>
  <si>
    <t xml:space="preserve">Writing down allowance</t>
  </si>
  <si>
    <t xml:space="preserve">Basic rate applicable on taxable income up to higher rate</t>
  </si>
  <si>
    <t xml:space="preserve">%</t>
  </si>
  <si>
    <t xml:space="preserve">Allowances restricted on Motor vehicles</t>
  </si>
  <si>
    <t xml:space="preserve">Higher rate applicable on taxable income over higher rate</t>
  </si>
  <si>
    <t xml:space="preserve">Costing over </t>
  </si>
  <si>
    <t xml:space="preserve">Restricted to</t>
  </si>
  <si>
    <t xml:space="preserve">Taxable Bands Allowances</t>
  </si>
  <si>
    <t xml:space="preserve">Start Level</t>
  </si>
  <si>
    <t xml:space="preserve"> End Level</t>
  </si>
  <si>
    <t xml:space="preserve"> Tax Band </t>
  </si>
  <si>
    <t xml:space="preserve">Depreciation Rates Applied</t>
  </si>
  <si>
    <t xml:space="preserve">Basic rate</t>
  </si>
  <si>
    <t xml:space="preserve">Higher rate</t>
  </si>
  <si>
    <t xml:space="preserve">Land &amp; Property</t>
  </si>
  <si>
    <t xml:space="preserve">Plant &amp; Machinery</t>
  </si>
  <si>
    <t xml:space="preserve">National Insurance rates</t>
  </si>
  <si>
    <t xml:space="preserve">Fixtures &amp; Fittings</t>
  </si>
  <si>
    <t xml:space="preserve">Computer Equipment</t>
  </si>
  <si>
    <t xml:space="preserve">NI Class 2 rate</t>
  </si>
  <si>
    <t xml:space="preserve">Above Lower Profits Threshold (LPT)</t>
  </si>
  <si>
    <t xml:space="preserve">Motor Vehicles</t>
  </si>
  <si>
    <t xml:space="preserve">Mileage Allowances</t>
  </si>
  <si>
    <t xml:space="preserve">Miles</t>
  </si>
  <si>
    <t xml:space="preserve">p per mile</t>
  </si>
  <si>
    <t xml:space="preserve">NI Class 4 rate between lower profits and upper profits limit</t>
  </si>
  <si>
    <t xml:space="preserve">NIC class 4 lower limit</t>
  </si>
  <si>
    <t xml:space="preserve">Higher rate allowance up to</t>
  </si>
  <si>
    <t xml:space="preserve">Lower rate allowance over</t>
  </si>
  <si>
    <t xml:space="preserve">NI Class 4 rate above upper profits limit</t>
  </si>
  <si>
    <t xml:space="preserve">NIC class 4 upper limit</t>
  </si>
  <si>
    <t xml:space="preserve">2022-23</t>
  </si>
  <si>
    <t xml:space="preserve">2023-24</t>
  </si>
  <si>
    <t xml:space="preserve">VAT Threshold</t>
  </si>
  <si>
    <t xml:space="preserve">VAT Rate</t>
  </si>
</sst>
</file>

<file path=xl/styles.xml><?xml version="1.0" encoding="utf-8"?>
<styleSheet xmlns="http://schemas.openxmlformats.org/spreadsheetml/2006/main">
  <numFmts count="16">
    <numFmt numFmtId="164" formatCode="General"/>
    <numFmt numFmtId="165" formatCode="[$-F800]dddd&quot;, &quot;mmmm\ dd&quot;, &quot;yyyy"/>
    <numFmt numFmtId="166" formatCode="dd/mm/yyyy;@"/>
    <numFmt numFmtId="167" formatCode="#,##0"/>
    <numFmt numFmtId="168" formatCode="0"/>
    <numFmt numFmtId="169" formatCode="General"/>
    <numFmt numFmtId="170" formatCode="d\-mmm\-yy"/>
    <numFmt numFmtId="171" formatCode="0%"/>
    <numFmt numFmtId="172" formatCode="mmm\-yy"/>
    <numFmt numFmtId="173" formatCode="#,##0_ ;[RED]\-#,##0\ "/>
    <numFmt numFmtId="174" formatCode="#,##0.00"/>
    <numFmt numFmtId="175" formatCode="0.00"/>
    <numFmt numFmtId="176" formatCode="#,##0.00_ ;[RED]\-#,##0.00\ "/>
    <numFmt numFmtId="177" formatCode="0.00_ ;[RED]\-0.00\ "/>
    <numFmt numFmtId="178" formatCode="0_ ;[RED]\-0\ "/>
    <numFmt numFmtId="179" formatCode="0.00%"/>
  </numFmts>
  <fonts count="44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2"/>
      <charset val="1"/>
    </font>
    <font>
      <sz val="9"/>
      <name val="Arial"/>
      <family val="2"/>
      <charset val="1"/>
    </font>
    <font>
      <b val="true"/>
      <sz val="9"/>
      <name val="Arial"/>
      <family val="2"/>
      <charset val="1"/>
    </font>
    <font>
      <i val="true"/>
      <sz val="9"/>
      <name val="Arial"/>
      <family val="2"/>
      <charset val="1"/>
    </font>
    <font>
      <sz val="8"/>
      <name val="Arial"/>
      <family val="2"/>
      <charset val="1"/>
    </font>
    <font>
      <b val="true"/>
      <sz val="11"/>
      <name val="Arial"/>
      <family val="2"/>
      <charset val="1"/>
    </font>
    <font>
      <sz val="12"/>
      <color rgb="FF000000"/>
      <name val="Arial"/>
      <family val="2"/>
      <charset val="1"/>
    </font>
    <font>
      <i val="true"/>
      <sz val="8"/>
      <name val="Arial"/>
      <family val="2"/>
      <charset val="1"/>
    </font>
    <font>
      <b val="true"/>
      <sz val="14"/>
      <name val="Arial"/>
      <family val="2"/>
      <charset val="1"/>
    </font>
    <font>
      <sz val="11"/>
      <name val="Arial"/>
      <family val="2"/>
      <charset val="1"/>
    </font>
    <font>
      <sz val="12"/>
      <name val="Arial"/>
      <family val="2"/>
      <charset val="1"/>
    </font>
    <font>
      <b val="true"/>
      <sz val="8"/>
      <name val="Arial"/>
      <family val="2"/>
      <charset val="1"/>
    </font>
    <font>
      <sz val="10"/>
      <color rgb="FF3366FF"/>
      <name val="Arial"/>
      <family val="2"/>
      <charset val="1"/>
    </font>
    <font>
      <b val="true"/>
      <sz val="12"/>
      <name val="Arial"/>
      <family val="2"/>
      <charset val="1"/>
    </font>
    <font>
      <i val="true"/>
      <sz val="8"/>
      <color rgb="FF0000FF"/>
      <name val="Arial"/>
      <family val="2"/>
      <charset val="1"/>
    </font>
    <font>
      <b val="true"/>
      <sz val="14"/>
      <color rgb="FF333399"/>
      <name val="Arial"/>
      <family val="2"/>
      <charset val="1"/>
    </font>
    <font>
      <b val="true"/>
      <sz val="8"/>
      <color rgb="FFFF6600"/>
      <name val="Arial"/>
      <family val="2"/>
      <charset val="1"/>
    </font>
    <font>
      <b val="true"/>
      <sz val="16"/>
      <color rgb="FF333399"/>
      <name val="Arial"/>
      <family val="2"/>
      <charset val="1"/>
    </font>
    <font>
      <b val="true"/>
      <sz val="10"/>
      <color rgb="FF333399"/>
      <name val="Arial"/>
      <family val="2"/>
      <charset val="1"/>
    </font>
    <font>
      <sz val="11"/>
      <color rgb="FF3366FF"/>
      <name val="Arial"/>
      <family val="2"/>
      <charset val="1"/>
    </font>
    <font>
      <b val="true"/>
      <sz val="11"/>
      <color rgb="FF333399"/>
      <name val="Arial"/>
      <family val="2"/>
      <charset val="1"/>
    </font>
    <font>
      <sz val="8"/>
      <color rgb="FF000000"/>
      <name val="Arial"/>
      <family val="2"/>
      <charset val="1"/>
    </font>
    <font>
      <i val="true"/>
      <sz val="8"/>
      <color rgb="FFFF0000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sz val="13"/>
      <name val="Arial"/>
      <family val="2"/>
      <charset val="1"/>
    </font>
    <font>
      <sz val="9"/>
      <color rgb="FF3366FF"/>
      <name val="Arial"/>
      <family val="2"/>
      <charset val="1"/>
    </font>
    <font>
      <sz val="9"/>
      <name val="Times New Roman"/>
      <family val="1"/>
      <charset val="1"/>
    </font>
    <font>
      <b val="true"/>
      <sz val="9"/>
      <name val="Times New Roman"/>
      <family val="1"/>
      <charset val="1"/>
    </font>
    <font>
      <sz val="10"/>
      <name val="Times New Roman"/>
      <family val="1"/>
      <charset val="1"/>
    </font>
    <font>
      <b val="true"/>
      <sz val="10"/>
      <name val="Times New Roman"/>
      <family val="1"/>
      <charset val="1"/>
    </font>
    <font>
      <sz val="10"/>
      <color rgb="FFFF0000"/>
      <name val="Times New Roman"/>
      <family val="1"/>
      <charset val="1"/>
    </font>
    <font>
      <b val="true"/>
      <sz val="10"/>
      <name val="Arial"/>
      <family val="2"/>
      <charset val="1"/>
    </font>
    <font>
      <sz val="10"/>
      <color rgb="FF0000FF"/>
      <name val="Times New Roman"/>
      <family val="1"/>
      <charset val="1"/>
    </font>
    <font>
      <b val="true"/>
      <sz val="10"/>
      <color rgb="FF0000FF"/>
      <name val="Times New Roman"/>
      <family val="1"/>
      <charset val="1"/>
    </font>
    <font>
      <b val="true"/>
      <i val="true"/>
      <sz val="10"/>
      <name val="Times New Roman"/>
      <family val="1"/>
      <charset val="1"/>
    </font>
    <font>
      <b val="true"/>
      <i val="true"/>
      <sz val="9"/>
      <name val="Times New Roman"/>
      <family val="1"/>
      <charset val="1"/>
    </font>
    <font>
      <sz val="9"/>
      <color rgb="FF003366"/>
      <name val="Times New Roman"/>
      <family val="1"/>
      <charset val="1"/>
    </font>
    <font>
      <b val="true"/>
      <sz val="9"/>
      <color rgb="FF003366"/>
      <name val="Times New Roman"/>
      <family val="1"/>
      <charset val="1"/>
    </font>
    <font>
      <sz val="10"/>
      <color rgb="FF003366"/>
      <name val="Arial"/>
      <family val="2"/>
      <charset val="1"/>
    </font>
    <font>
      <sz val="9"/>
      <color rgb="FF0000FF"/>
      <name val="Times New Roman"/>
      <family val="1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FF9900"/>
        <bgColor rgb="FFFFCC00"/>
      </patternFill>
    </fill>
    <fill>
      <patternFill patternType="solid">
        <fgColor rgb="FFC0C0C0"/>
        <bgColor rgb="FFCCCCFF"/>
      </patternFill>
    </fill>
  </fills>
  <borders count="48">
    <border diagonalUp="false" diagonalDown="false">
      <left/>
      <right/>
      <top/>
      <bottom/>
      <diagonal/>
    </border>
    <border diagonalUp="false" diagonalDown="false">
      <left style="thin">
        <color rgb="FF00CCFF"/>
      </left>
      <right style="thin">
        <color rgb="FF00CCFF"/>
      </right>
      <top style="thin">
        <color rgb="FF00CCFF"/>
      </top>
      <bottom style="thin">
        <color rgb="FF00CCFF"/>
      </bottom>
      <diagonal/>
    </border>
    <border diagonalUp="false" diagonalDown="false">
      <left style="thin">
        <color rgb="FF00CCFF"/>
      </left>
      <right/>
      <top style="thin">
        <color rgb="FF00CCFF"/>
      </top>
      <bottom/>
      <diagonal/>
    </border>
    <border diagonalUp="false" diagonalDown="false">
      <left/>
      <right/>
      <top style="thin">
        <color rgb="FF00CCFF"/>
      </top>
      <bottom/>
      <diagonal/>
    </border>
    <border diagonalUp="false" diagonalDown="false">
      <left/>
      <right style="thin">
        <color rgb="FF00CCFF"/>
      </right>
      <top style="thin">
        <color rgb="FF00CCFF"/>
      </top>
      <bottom/>
      <diagonal/>
    </border>
    <border diagonalUp="false" diagonalDown="false">
      <left style="thin">
        <color rgb="FF00CCFF"/>
      </left>
      <right/>
      <top/>
      <bottom/>
      <diagonal/>
    </border>
    <border diagonalUp="false" diagonalDown="false">
      <left/>
      <right style="thin">
        <color rgb="FF00CCFF"/>
      </right>
      <top/>
      <bottom/>
      <diagonal/>
    </border>
    <border diagonalUp="false" diagonalDown="false">
      <left style="thin">
        <color rgb="FF99CCFF"/>
      </left>
      <right style="thin">
        <color rgb="FF99CCFF"/>
      </right>
      <top style="thin">
        <color rgb="FF99CCFF"/>
      </top>
      <bottom style="thin">
        <color rgb="FF99CCFF"/>
      </bottom>
      <diagonal/>
    </border>
    <border diagonalUp="false" diagonalDown="false">
      <left style="thin">
        <color rgb="FF99CCFF"/>
      </left>
      <right/>
      <top/>
      <bottom/>
      <diagonal/>
    </border>
    <border diagonalUp="false" diagonalDown="false">
      <left/>
      <right style="thin">
        <color rgb="FF99CCFF"/>
      </right>
      <top/>
      <bottom/>
      <diagonal/>
    </border>
    <border diagonalUp="false" diagonalDown="false">
      <left style="thin">
        <color rgb="FF00CCFF"/>
      </left>
      <right/>
      <top/>
      <bottom style="thin">
        <color rgb="FF00CCFF"/>
      </bottom>
      <diagonal/>
    </border>
    <border diagonalUp="false" diagonalDown="false">
      <left/>
      <right/>
      <top/>
      <bottom style="thin">
        <color rgb="FF00CCFF"/>
      </bottom>
      <diagonal/>
    </border>
    <border diagonalUp="false" diagonalDown="false">
      <left/>
      <right style="thin">
        <color rgb="FF00CCFF"/>
      </right>
      <top/>
      <bottom style="thin">
        <color rgb="FF00CCFF"/>
      </bottom>
      <diagonal/>
    </border>
    <border diagonalUp="false" diagonalDown="false">
      <left style="thin">
        <color rgb="FF99CCFF"/>
      </left>
      <right/>
      <top style="thin">
        <color rgb="FF99CCFF"/>
      </top>
      <bottom/>
      <diagonal/>
    </border>
    <border diagonalUp="false" diagonalDown="false">
      <left/>
      <right/>
      <top style="thin">
        <color rgb="FF99CCFF"/>
      </top>
      <bottom/>
      <diagonal/>
    </border>
    <border diagonalUp="false" diagonalDown="false">
      <left/>
      <right style="thin">
        <color rgb="FF99CCFF"/>
      </right>
      <top style="thin">
        <color rgb="FF99CCFF"/>
      </top>
      <bottom/>
      <diagonal/>
    </border>
    <border diagonalUp="false" diagonalDown="false">
      <left style="thin">
        <color rgb="FF99CCFF"/>
      </left>
      <right/>
      <top/>
      <bottom style="thin">
        <color rgb="FF99CCFF"/>
      </bottom>
      <diagonal/>
    </border>
    <border diagonalUp="false" diagonalDown="false">
      <left/>
      <right/>
      <top/>
      <bottom style="thin">
        <color rgb="FF99CCFF"/>
      </bottom>
      <diagonal/>
    </border>
    <border diagonalUp="false" diagonalDown="false">
      <left/>
      <right style="thin">
        <color rgb="FF99CCFF"/>
      </right>
      <top/>
      <bottom style="thin">
        <color rgb="FF99CCFF"/>
      </bottom>
      <diagonal/>
    </border>
    <border diagonalUp="false" diagonalDown="false">
      <left style="thin">
        <color rgb="FF99CCFF"/>
      </left>
      <right/>
      <top style="thin">
        <color rgb="FF99CCFF"/>
      </top>
      <bottom style="thin">
        <color rgb="FF99CCFF"/>
      </bottom>
      <diagonal/>
    </border>
    <border diagonalUp="false" diagonalDown="false">
      <left/>
      <right style="thin">
        <color rgb="FF99CCFF"/>
      </right>
      <top style="thin">
        <color rgb="FF99CCFF"/>
      </top>
      <bottom style="thin">
        <color rgb="FF99CCFF"/>
      </bottom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medium"/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/>
      <top style="thin"/>
      <bottom style="thin"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/>
      <top/>
      <bottom style="medium"/>
      <diagonal/>
    </border>
    <border diagonalUp="false" diagonalDown="false">
      <left/>
      <right style="thin"/>
      <top/>
      <bottom style="medium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medium"/>
      <top style="thin"/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36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2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2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2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2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2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6" fontId="9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2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8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3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1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2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9" fillId="0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7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16" fillId="2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9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8" fontId="16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8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7" fontId="9" fillId="2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19" fillId="0" borderId="0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20" fillId="0" borderId="0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21" fillId="0" borderId="0" xfId="0" applyFont="true" applyBorder="true" applyAlignment="true" applyProtection="true">
      <alignment horizontal="left" vertical="center" textRotation="0" wrapText="true" indent="1" shrinkToFit="false"/>
      <protection locked="true" hidden="true"/>
    </xf>
    <xf numFmtId="164" fontId="22" fillId="0" borderId="0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5" fontId="22" fillId="0" borderId="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22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5" fillId="3" borderId="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0" borderId="11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2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3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5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8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8" fillId="2" borderId="6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9" fontId="5" fillId="0" borderId="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5" fillId="2" borderId="6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1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2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14" fillId="0" borderId="3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5" fillId="2" borderId="13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5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8" fillId="0" borderId="7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5" fontId="8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0" fillId="2" borderId="0" xfId="0" applyFont="fals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8" fillId="2" borderId="9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8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8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5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5" fillId="2" borderId="9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9" fontId="9" fillId="0" borderId="7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65" fontId="8" fillId="2" borderId="0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64" fontId="8" fillId="2" borderId="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8" fillId="2" borderId="9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6" fontId="9" fillId="0" borderId="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9" fontId="5" fillId="0" borderId="7" xfId="0" applyFont="true" applyBorder="true" applyAlignment="true" applyProtection="true">
      <alignment horizontal="right" vertical="bottom" textRotation="0" wrapText="false" indent="0" shrinkToFit="false"/>
      <protection locked="true" hidden="true"/>
    </xf>
    <xf numFmtId="169" fontId="5" fillId="0" borderId="7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64" fontId="11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12" fillId="0" borderId="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11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5" fillId="2" borderId="16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7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8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9" fontId="17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2" borderId="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7" fontId="9" fillId="0" borderId="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8" fontId="16" fillId="2" borderId="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8" fontId="23" fillId="2" borderId="8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8" fontId="23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14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8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4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8" fillId="2" borderId="8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14" fillId="0" borderId="1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5" fillId="2" borderId="9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7" fontId="5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7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14" fillId="0" borderId="14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9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8" fillId="2" borderId="17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0" fontId="8" fillId="2" borderId="0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70" fontId="8" fillId="2" borderId="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23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23" fillId="2" borderId="1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9" fillId="2" borderId="1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2" borderId="1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8" fontId="23" fillId="2" borderId="1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21" fillId="0" borderId="0" xfId="0" applyFont="true" applyBorder="true" applyAlignment="true" applyProtection="true">
      <alignment horizontal="left" vertical="center" textRotation="0" wrapText="true" indent="4" shrinkToFit="false"/>
      <protection locked="true" hidden="true"/>
    </xf>
    <xf numFmtId="169" fontId="9" fillId="0" borderId="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9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10" fillId="0" borderId="3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9" fontId="9" fillId="0" borderId="7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8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5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9" fontId="9" fillId="0" borderId="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24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25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1" fontId="8" fillId="2" borderId="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26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11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6" fontId="9" fillId="0" borderId="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9" fillId="2" borderId="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27" fillId="4" borderId="19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9" fillId="0" borderId="2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70" fontId="8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17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8" fontId="13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8" fillId="2" borderId="1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23" fillId="2" borderId="14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9" fillId="2" borderId="14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2" borderId="14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8" fontId="23" fillId="2" borderId="14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0" fontId="8" fillId="2" borderId="0" xfId="0" applyFont="true" applyBorder="false" applyAlignment="true" applyProtection="true">
      <alignment horizontal="left" vertical="bottom" textRotation="0" wrapText="false" indent="0" shrinkToFit="false"/>
      <protection locked="true" hidden="true"/>
    </xf>
    <xf numFmtId="164" fontId="28" fillId="0" borderId="14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29" fillId="2" borderId="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27" fillId="4" borderId="19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8" fontId="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8" fillId="0" borderId="1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5" fillId="0" borderId="7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7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0" fillId="2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0" fillId="2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2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1" fillId="2" borderId="2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2" borderId="2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30" fillId="2" borderId="2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30" fillId="2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2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30" fillId="2" borderId="2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30" fillId="2" borderId="2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30" fillId="2" borderId="2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30" fillId="2" borderId="3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30" fillId="2" borderId="24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3" fontId="30" fillId="0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0" fillId="0" borderId="3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1" fillId="2" borderId="24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30" fillId="0" borderId="2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2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0" fillId="2" borderId="3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1" fillId="2" borderId="24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3" fontId="3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24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7" fontId="30" fillId="2" borderId="2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30" fillId="2" borderId="3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30" fillId="2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3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2" borderId="21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31" fillId="2" borderId="35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3" fontId="31" fillId="2" borderId="3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30" fillId="2" borderId="2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30" fillId="2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0" fillId="2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2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32" fillId="2" borderId="0" xfId="2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2" fontId="32" fillId="0" borderId="0" xfId="2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3" fillId="2" borderId="27" xfId="2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4" fillId="0" borderId="0" xfId="2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3" fontId="32" fillId="0" borderId="0" xfId="2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4" fontId="32" fillId="0" borderId="0" xfId="2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5" fontId="32" fillId="0" borderId="0" xfId="2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33" fillId="2" borderId="0" xfId="2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3" fontId="33" fillId="0" borderId="36" xfId="2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32" fillId="2" borderId="36" xfId="2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3" fontId="32" fillId="0" borderId="0" xfId="2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2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5" fontId="3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6" fontId="3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8" fontId="32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3" fontId="3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2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5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6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8" fontId="32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35" fillId="2" borderId="37" xfId="0" applyFont="true" applyBorder="true" applyAlignment="true" applyProtection="true">
      <alignment horizontal="left" vertical="center" textRotation="0" wrapText="true" indent="1" shrinkToFit="false"/>
      <protection locked="true" hidden="true"/>
    </xf>
    <xf numFmtId="169" fontId="35" fillId="2" borderId="38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75" fontId="32" fillId="2" borderId="26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73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0" fillId="2" borderId="0" xfId="0" applyFont="false" applyBorder="false" applyAlignment="true" applyProtection="false">
      <alignment horizontal="left" vertical="center" textRotation="0" wrapText="true" indent="1" shrinkToFit="false"/>
      <protection locked="true" hidden="false"/>
    </xf>
    <xf numFmtId="164" fontId="32" fillId="2" borderId="0" xfId="0" applyFont="true" applyBorder="false" applyAlignment="true" applyProtection="true">
      <alignment horizontal="left" vertical="bottom" textRotation="0" wrapText="false" indent="1" shrinkToFit="false"/>
      <protection locked="true" hidden="true"/>
    </xf>
    <xf numFmtId="177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2" fillId="2" borderId="27" xfId="0" applyFont="true" applyBorder="true" applyAlignment="true" applyProtection="true">
      <alignment horizontal="left" vertical="center" textRotation="0" wrapText="false" indent="1" shrinkToFit="false"/>
      <protection locked="true" hidden="true"/>
    </xf>
    <xf numFmtId="176" fontId="32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76" fontId="32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8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1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6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32" fillId="2" borderId="35" xfId="0" applyFont="true" applyBorder="true" applyAlignment="true" applyProtection="true">
      <alignment horizontal="left" vertical="center" textRotation="0" wrapText="false" indent="1" shrinkToFit="false"/>
      <protection locked="true" hidden="true"/>
    </xf>
    <xf numFmtId="164" fontId="32" fillId="2" borderId="0" xfId="0" applyFont="true" applyBorder="false" applyAlignment="true" applyProtection="true">
      <alignment horizontal="left" vertical="center" textRotation="0" wrapText="false" indent="1" shrinkToFit="false"/>
      <protection locked="true" hidden="true"/>
    </xf>
    <xf numFmtId="164" fontId="35" fillId="2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76" fontId="33" fillId="0" borderId="35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77" fontId="32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8" fontId="37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3" fontId="33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8" fillId="2" borderId="0" xfId="0" applyFont="true" applyBorder="false" applyAlignment="true" applyProtection="true">
      <alignment horizontal="right" vertical="bottom" textRotation="0" wrapText="false" indent="0" shrinkToFit="false"/>
      <protection locked="true" hidden="true"/>
    </xf>
    <xf numFmtId="165" fontId="38" fillId="2" borderId="0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70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6" fontId="33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2" fillId="2" borderId="35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76" fontId="32" fillId="2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33" fillId="2" borderId="35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64" fontId="33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2" fillId="2" borderId="37" xfId="0" applyFont="true" applyBorder="true" applyAlignment="true" applyProtection="true">
      <alignment horizontal="left" vertical="center" textRotation="0" wrapText="false" indent="1" shrinkToFit="false"/>
      <protection locked="true" hidden="true"/>
    </xf>
    <xf numFmtId="173" fontId="32" fillId="2" borderId="35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5" fontId="32" fillId="2" borderId="27" xfId="0" applyFont="true" applyBorder="true" applyAlignment="true" applyProtection="true">
      <alignment horizontal="center" vertical="bottom" textRotation="0" wrapText="true" indent="0" shrinkToFit="false"/>
      <protection locked="true" hidden="true"/>
    </xf>
    <xf numFmtId="176" fontId="32" fillId="2" borderId="27" xfId="0" applyFont="true" applyBorder="true" applyAlignment="true" applyProtection="true">
      <alignment horizontal="center" vertical="bottom" textRotation="0" wrapText="true" indent="0" shrinkToFit="false"/>
      <protection locked="true" hidden="true"/>
    </xf>
    <xf numFmtId="168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0" fontId="32" fillId="2" borderId="0" xfId="0" applyFont="true" applyBorder="false" applyAlignment="true" applyProtection="true">
      <alignment horizontal="left" vertical="bottom" textRotation="0" wrapText="false" indent="1" shrinkToFit="false"/>
      <protection locked="true" hidden="true"/>
    </xf>
    <xf numFmtId="175" fontId="32" fillId="2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70" fontId="32" fillId="2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30" fillId="2" borderId="27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64" fontId="30" fillId="2" borderId="0" xfId="0" applyFont="true" applyBorder="false" applyAlignment="true" applyProtection="true">
      <alignment horizontal="left" vertical="bottom" textRotation="0" wrapText="false" indent="1" shrinkToFit="false"/>
      <protection locked="true" hidden="true"/>
    </xf>
    <xf numFmtId="164" fontId="31" fillId="2" borderId="0" xfId="0" applyFont="true" applyBorder="false" applyAlignment="true" applyProtection="true">
      <alignment horizontal="left" vertical="bottom" textRotation="0" wrapText="false" indent="1" shrinkToFit="false"/>
      <protection locked="true" hidden="true"/>
    </xf>
    <xf numFmtId="176" fontId="33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3" fontId="32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0" fontId="30" fillId="2" borderId="0" xfId="0" applyFont="true" applyBorder="false" applyAlignment="true" applyProtection="true">
      <alignment horizontal="left" vertical="bottom" textRotation="0" wrapText="false" indent="1" shrinkToFit="false"/>
      <protection locked="true" hidden="true"/>
    </xf>
    <xf numFmtId="170" fontId="32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0" fontId="31" fillId="2" borderId="0" xfId="0" applyFont="true" applyBorder="false" applyAlignment="true" applyProtection="true">
      <alignment horizontal="left" vertical="bottom" textRotation="0" wrapText="false" indent="1" shrinkToFit="false"/>
      <protection locked="true" hidden="true"/>
    </xf>
    <xf numFmtId="176" fontId="32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3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6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6" fontId="30" fillId="2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2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30" fillId="2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6" fontId="30" fillId="2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30" fillId="2" borderId="28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3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39" fillId="2" borderId="39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76" fontId="3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3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30" fillId="2" borderId="2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3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0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30" fillId="2" borderId="3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3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6" fontId="30" fillId="2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3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30" fillId="0" borderId="4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0" fillId="2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30" fillId="2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30" fillId="2" borderId="4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30" fillId="2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0" fillId="2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0" fillId="2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2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30" fillId="2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3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3" fontId="30" fillId="2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3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1" fontId="30" fillId="2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30" fillId="2" borderId="3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30" fillId="2" borderId="2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2" borderId="2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1" fillId="2" borderId="2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0" fontId="30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3" fontId="30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3" fontId="30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71" fontId="30" fillId="2" borderId="4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3" fontId="30" fillId="2" borderId="3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73" fontId="30" fillId="2" borderId="2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40" fillId="2" borderId="42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70" fontId="30" fillId="2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71" fontId="30" fillId="0" borderId="2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0" fontId="3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30" fillId="2" borderId="4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30" fillId="2" borderId="2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30" fillId="2" borderId="27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0" fontId="30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1" fontId="30" fillId="2" borderId="2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2" fillId="2" borderId="24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42" fillId="2" borderId="0" xfId="0" applyFont="true" applyBorder="false" applyAlignment="true" applyProtection="false">
      <alignment horizontal="left" vertical="center" textRotation="0" wrapText="true" indent="1" shrinkToFit="false"/>
      <protection locked="true" hidden="false"/>
    </xf>
    <xf numFmtId="164" fontId="40" fillId="2" borderId="2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0" fillId="2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30" fillId="2" borderId="4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30" fillId="2" borderId="4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30" fillId="2" borderId="3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0" fillId="2" borderId="3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0" fillId="2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0" fillId="2" borderId="4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1" fillId="2" borderId="3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30" fillId="2" borderId="4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31" fillId="2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30" fillId="2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30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7" fontId="3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3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1" fillId="2" borderId="3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1" fillId="2" borderId="35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73" fontId="30" fillId="2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3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1" fillId="2" borderId="4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0" fontId="8" fillId="2" borderId="33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0" fontId="8" fillId="0" borderId="25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70" fontId="6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0" borderId="2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9" fontId="6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5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70" fontId="8" fillId="0" borderId="35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5" fillId="2" borderId="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1" fontId="5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8" fontId="5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5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5" fillId="2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64" fontId="5" fillId="2" borderId="0" xfId="0" applyFont="true" applyBorder="false" applyAlignment="true" applyProtection="true">
      <alignment horizontal="center" vertical="bottom" textRotation="0" wrapText="true" indent="0" shrinkToFit="false"/>
      <protection locked="true" hidden="true"/>
    </xf>
    <xf numFmtId="171" fontId="5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5" fontId="5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75" fontId="5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5" fillId="2" borderId="0" xfId="0" applyFont="true" applyBorder="true" applyAlignment="true" applyProtection="true">
      <alignment horizontal="general" vertical="bottom" textRotation="0" wrapText="true" indent="0" shrinkToFit="false"/>
      <protection locked="true" hidden="true"/>
    </xf>
    <xf numFmtId="164" fontId="5" fillId="2" borderId="0" xfId="0" applyFont="true" applyBorder="true" applyAlignment="true" applyProtection="true">
      <alignment horizontal="left" vertical="center" textRotation="0" wrapText="true" indent="1" shrinkToFit="false"/>
      <protection locked="true" hidden="true"/>
    </xf>
    <xf numFmtId="179" fontId="5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5" fillId="2" borderId="0" xfId="0" applyFont="true" applyBorder="false" applyAlignment="true" applyProtection="true">
      <alignment horizontal="general" vertical="bottom" textRotation="0" wrapText="true" indent="0" shrinkToFit="false"/>
      <protection locked="true" hidden="true"/>
    </xf>
    <xf numFmtId="170" fontId="8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externalLink" Target="externalLinks/externalLink1.xml"/><Relationship Id="rId14" Type="http://schemas.openxmlformats.org/officeDocument/2006/relationships/externalLink" Target="externalLinks/externalLink2.xml"/><Relationship Id="rId15" Type="http://schemas.openxmlformats.org/officeDocument/2006/relationships/externalLink" Target="externalLinks/externalLink3.xml"/><Relationship Id="rId16" Type="http://schemas.openxmlformats.org/officeDocument/2006/relationships/externalLink" Target="externalLinks/externalLink4.xml"/><Relationship Id="rId17" Type="http://schemas.openxmlformats.org/officeDocument/2006/relationships/externalLink" Target="externalLinks/externalLink5.xml"/><Relationship Id="rId18" Type="http://schemas.openxmlformats.org/officeDocument/2006/relationships/externalLink" Target="externalLinks/externalLink6.xml"/><Relationship Id="rId19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xedasset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Sales.xlsx" TargetMode="External"/>
</Relationships>
</file>

<file path=xl/externalLinks/_rels/externalLink3.xml.rels><?xml version="1.0" encoding="UTF-8"?>
<Relationships xmlns="http://schemas.openxmlformats.org/package/2006/relationships"><Relationship Id="rId1" Type="http://schemas.openxmlformats.org/officeDocument/2006/relationships/externalLinkPath" Target="Purchases.xlsx" TargetMode="External"/>
</Relationships>
</file>

<file path=xl/externalLinks/_rels/externalLink4.xml.rels><?xml version="1.0" encoding="UTF-8"?>
<Relationships xmlns="http://schemas.openxmlformats.org/package/2006/relationships"><Relationship Id="rId1" Type="http://schemas.openxmlformats.org/officeDocument/2006/relationships/externalLinkPath" Target="Bank.xlsx" TargetMode="External"/>
</Relationships>
</file>

<file path=xl/externalLinks/_rels/externalLink5.xml.rels><?xml version="1.0" encoding="UTF-8"?>
<Relationships xmlns="http://schemas.openxmlformats.org/package/2006/relationships"><Relationship Id="rId1" Type="http://schemas.openxmlformats.org/officeDocument/2006/relationships/externalLinkPath" Target="Cash.xlsx" TargetMode="External"/>
</Relationships>
</file>

<file path=xl/externalLinks/_rels/externalLink6.xml.rels><?xml version="1.0" encoding="UTF-8"?>
<Relationships xmlns="http://schemas.openxmlformats.org/package/2006/relationships"><Relationship Id="rId1" Type="http://schemas.openxmlformats.org/officeDocument/2006/relationships/externalLinkPath" Target="Payslip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</row>
        <row r="1">
          <cell r="Q1">
            <v>0</v>
          </cell>
          <cell r="R1">
            <v>0</v>
          </cell>
          <cell r="S1">
            <v>0</v>
          </cell>
        </row>
        <row r="1"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38">
          <cell r="R38" t="str">
            <v> </v>
          </cell>
        </row>
        <row r="39">
          <cell r="R39" t="str">
            <v> </v>
          </cell>
        </row>
        <row r="40">
          <cell r="R40" t="str">
            <v> </v>
          </cell>
        </row>
        <row r="41">
          <cell r="R41" t="str">
            <v> </v>
          </cell>
        </row>
        <row r="42">
          <cell r="R42" t="str">
            <v> </v>
          </cell>
        </row>
        <row r="91">
          <cell r="R91" t="str">
            <v> </v>
          </cell>
        </row>
        <row r="92">
          <cell r="R92" t="str">
            <v> </v>
          </cell>
        </row>
        <row r="93">
          <cell r="R93" t="str">
            <v> </v>
          </cell>
        </row>
        <row r="94">
          <cell r="R94" t="str">
            <v> </v>
          </cell>
        </row>
        <row r="95">
          <cell r="R95" t="str">
            <v> </v>
          </cell>
        </row>
      </sheetData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P1">
            <v>2500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2">
        <row r="1">
          <cell r="P1">
            <v>2500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3">
        <row r="1">
          <cell r="P1">
            <v>2500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4">
        <row r="1">
          <cell r="P1">
            <v>2500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5">
        <row r="1">
          <cell r="P1">
            <v>2500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6">
        <row r="1">
          <cell r="P1">
            <v>2500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7">
        <row r="1">
          <cell r="P1">
            <v>2500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8">
        <row r="1">
          <cell r="P1">
            <v>2500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9">
        <row r="1">
          <cell r="P1">
            <v>2500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10">
        <row r="1">
          <cell r="P1">
            <v>2500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11">
        <row r="1">
          <cell r="P1">
            <v>2500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12">
        <row r="1">
          <cell r="P1">
            <v>2500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</row>
        <row r="1">
          <cell r="W1">
            <v>0</v>
          </cell>
          <cell r="X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120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600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480</v>
          </cell>
          <cell r="AA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300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600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120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480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600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420</v>
          </cell>
          <cell r="W1">
            <v>0</v>
          </cell>
          <cell r="X1">
            <v>0</v>
          </cell>
          <cell r="Y1">
            <v>0</v>
          </cell>
          <cell r="Z1">
            <v>480</v>
          </cell>
          <cell r="AA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</row>
        <row r="1">
          <cell r="L1">
            <v>0</v>
          </cell>
        </row>
        <row r="1">
          <cell r="Y1">
            <v>0</v>
          </cell>
          <cell r="Z1">
            <v>0</v>
          </cell>
        </row>
        <row r="1">
          <cell r="AB1">
            <v>0</v>
          </cell>
        </row>
      </sheetData>
      <sheetData sheetId="1">
        <row r="1">
          <cell r="J1">
            <v>0</v>
          </cell>
        </row>
        <row r="1">
          <cell r="L1">
            <v>0</v>
          </cell>
        </row>
        <row r="1">
          <cell r="Y1">
            <v>0</v>
          </cell>
          <cell r="Z1">
            <v>0</v>
          </cell>
        </row>
        <row r="1">
          <cell r="AB1">
            <v>0</v>
          </cell>
        </row>
      </sheetData>
      <sheetData sheetId="2">
        <row r="1">
          <cell r="J1">
            <v>0</v>
          </cell>
        </row>
        <row r="1">
          <cell r="L1">
            <v>0</v>
          </cell>
        </row>
        <row r="1">
          <cell r="Y1">
            <v>0</v>
          </cell>
          <cell r="Z1">
            <v>0</v>
          </cell>
        </row>
        <row r="1">
          <cell r="AB1">
            <v>0</v>
          </cell>
        </row>
      </sheetData>
      <sheetData sheetId="3">
        <row r="1">
          <cell r="J1">
            <v>0</v>
          </cell>
        </row>
        <row r="1">
          <cell r="L1">
            <v>0</v>
          </cell>
        </row>
        <row r="1">
          <cell r="Y1">
            <v>0</v>
          </cell>
          <cell r="Z1">
            <v>0</v>
          </cell>
        </row>
        <row r="1">
          <cell r="AB1">
            <v>0</v>
          </cell>
        </row>
      </sheetData>
      <sheetData sheetId="4">
        <row r="1">
          <cell r="J1">
            <v>0</v>
          </cell>
        </row>
        <row r="1">
          <cell r="L1">
            <v>0</v>
          </cell>
        </row>
        <row r="1">
          <cell r="Y1">
            <v>0</v>
          </cell>
          <cell r="Z1">
            <v>0</v>
          </cell>
        </row>
        <row r="1">
          <cell r="AB1">
            <v>0</v>
          </cell>
        </row>
      </sheetData>
      <sheetData sheetId="5">
        <row r="1">
          <cell r="J1">
            <v>0</v>
          </cell>
        </row>
        <row r="1">
          <cell r="L1">
            <v>0</v>
          </cell>
        </row>
        <row r="1">
          <cell r="Y1">
            <v>0</v>
          </cell>
          <cell r="Z1">
            <v>0</v>
          </cell>
        </row>
        <row r="1">
          <cell r="AB1">
            <v>0</v>
          </cell>
        </row>
      </sheetData>
      <sheetData sheetId="6">
        <row r="1">
          <cell r="J1">
            <v>0</v>
          </cell>
        </row>
        <row r="1">
          <cell r="L1">
            <v>0</v>
          </cell>
        </row>
        <row r="1">
          <cell r="Y1">
            <v>0</v>
          </cell>
          <cell r="Z1">
            <v>0</v>
          </cell>
        </row>
        <row r="1">
          <cell r="AB1">
            <v>0</v>
          </cell>
        </row>
      </sheetData>
      <sheetData sheetId="7">
        <row r="1">
          <cell r="J1">
            <v>0</v>
          </cell>
        </row>
        <row r="1">
          <cell r="L1">
            <v>0</v>
          </cell>
        </row>
        <row r="1">
          <cell r="Y1">
            <v>0</v>
          </cell>
          <cell r="Z1">
            <v>0</v>
          </cell>
        </row>
        <row r="1">
          <cell r="AB1">
            <v>0</v>
          </cell>
        </row>
      </sheetData>
      <sheetData sheetId="8">
        <row r="1">
          <cell r="J1">
            <v>0</v>
          </cell>
        </row>
        <row r="1">
          <cell r="L1">
            <v>0</v>
          </cell>
        </row>
        <row r="1">
          <cell r="Y1">
            <v>0</v>
          </cell>
          <cell r="Z1">
            <v>0</v>
          </cell>
        </row>
        <row r="1">
          <cell r="AB1">
            <v>0</v>
          </cell>
        </row>
      </sheetData>
      <sheetData sheetId="9">
        <row r="1">
          <cell r="J1">
            <v>0</v>
          </cell>
        </row>
        <row r="1">
          <cell r="L1">
            <v>0</v>
          </cell>
        </row>
        <row r="1">
          <cell r="Y1">
            <v>0</v>
          </cell>
          <cell r="Z1">
            <v>0</v>
          </cell>
        </row>
        <row r="1">
          <cell r="AB1">
            <v>0</v>
          </cell>
        </row>
      </sheetData>
      <sheetData sheetId="10">
        <row r="1">
          <cell r="J1">
            <v>0</v>
          </cell>
        </row>
        <row r="1">
          <cell r="L1">
            <v>0</v>
          </cell>
        </row>
        <row r="1">
          <cell r="Y1">
            <v>0</v>
          </cell>
          <cell r="Z1">
            <v>0</v>
          </cell>
        </row>
        <row r="1">
          <cell r="AB1">
            <v>0</v>
          </cell>
        </row>
      </sheetData>
      <sheetData sheetId="11">
        <row r="1">
          <cell r="J1">
            <v>0</v>
          </cell>
        </row>
        <row r="1">
          <cell r="L1">
            <v>0</v>
          </cell>
        </row>
        <row r="1">
          <cell r="Y1">
            <v>0</v>
          </cell>
          <cell r="Z1">
            <v>0</v>
          </cell>
        </row>
        <row r="1">
          <cell r="AB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>
  <externalBook xmlns:r="http://schemas.openxmlformats.org/officeDocument/2006/relationships" r:id="rId1"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1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2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3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4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5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6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7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8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9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10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11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>
  <externalBook xmlns:r="http://schemas.openxmlformats.org/officeDocument/2006/relationships" r:id="rId1"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</sheetData>
      <sheetData sheetId="2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</sheetData>
      <sheetData sheetId="3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</sheetData>
      <sheetData sheetId="4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</sheetData>
      <sheetData sheetId="5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</sheetData>
      <sheetData sheetId="6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</sheetData>
      <sheetData sheetId="7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</sheetData>
      <sheetData sheetId="8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</sheetData>
      <sheetData sheetId="9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</sheetData>
      <sheetData sheetId="10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</sheetData>
      <sheetData sheetId="11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</sheetData>
      <sheetData sheetId="12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5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3.66"/>
    <col collapsed="false" customWidth="true" hidden="false" outlineLevel="0" max="2" min="2" style="1" width="0.82"/>
    <col collapsed="false" customWidth="true" hidden="false" outlineLevel="0" max="3" min="3" style="1" width="3.66"/>
    <col collapsed="false" customWidth="true" hidden="false" outlineLevel="0" max="4" min="4" style="1" width="4.66"/>
    <col collapsed="false" customWidth="true" hidden="false" outlineLevel="0" max="5" min="5" style="1" width="1.66"/>
    <col collapsed="false" customWidth="true" hidden="false" outlineLevel="0" max="6" min="6" style="1" width="10.66"/>
    <col collapsed="false" customWidth="true" hidden="false" outlineLevel="0" max="7" min="7" style="1" width="1.66"/>
    <col collapsed="false" customWidth="true" hidden="false" outlineLevel="0" max="9" min="8" style="1" width="2.5"/>
    <col collapsed="false" customWidth="true" hidden="false" outlineLevel="0" max="11" min="10" style="1" width="6.66"/>
    <col collapsed="false" customWidth="true" hidden="false" outlineLevel="0" max="12" min="12" style="1" width="3.66"/>
    <col collapsed="false" customWidth="true" hidden="false" outlineLevel="0" max="13" min="13" style="1" width="0.82"/>
    <col collapsed="false" customWidth="true" hidden="false" outlineLevel="0" max="15" min="14" style="1" width="3.66"/>
    <col collapsed="false" customWidth="true" hidden="false" outlineLevel="0" max="17" min="16" style="1" width="6.66"/>
    <col collapsed="false" customWidth="true" hidden="false" outlineLevel="0" max="18" min="18" style="1" width="1.66"/>
    <col collapsed="false" customWidth="true" hidden="false" outlineLevel="0" max="20" min="19" style="1" width="2.5"/>
    <col collapsed="false" customWidth="true" hidden="false" outlineLevel="0" max="21" min="21" style="1" width="2.66"/>
    <col collapsed="false" customWidth="true" hidden="false" outlineLevel="0" max="22" min="22" style="1" width="7.66"/>
    <col collapsed="false" customWidth="true" hidden="false" outlineLevel="0" max="23" min="23" style="1" width="4.66"/>
    <col collapsed="false" customWidth="false" hidden="false" outlineLevel="0" max="257" min="24" style="1" width="9.15"/>
  </cols>
  <sheetData>
    <row r="1" customFormat="false" ht="15.7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</row>
    <row r="2" customFormat="false" ht="6" hidden="false" customHeight="true" outlineLevel="0" collapsed="false">
      <c r="A2" s="3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5"/>
    </row>
    <row r="3" customFormat="false" ht="12" hidden="false" customHeight="false" outlineLevel="0" collapsed="false">
      <c r="A3" s="6"/>
      <c r="B3" s="7"/>
      <c r="C3" s="8" t="s">
        <v>1</v>
      </c>
      <c r="D3" s="8"/>
      <c r="E3" s="8"/>
      <c r="F3" s="7"/>
      <c r="G3" s="7"/>
      <c r="H3" s="7"/>
      <c r="I3" s="7"/>
      <c r="J3" s="7"/>
      <c r="K3" s="7"/>
      <c r="L3" s="7"/>
      <c r="M3" s="7"/>
      <c r="N3" s="8" t="s">
        <v>2</v>
      </c>
      <c r="O3" s="8"/>
      <c r="P3" s="8"/>
      <c r="Q3" s="8"/>
      <c r="R3" s="8"/>
      <c r="S3" s="8"/>
      <c r="T3" s="8"/>
      <c r="U3" s="8"/>
      <c r="V3" s="8"/>
      <c r="W3" s="9"/>
    </row>
    <row r="4" customFormat="false" ht="7.5" hidden="false" customHeight="true" outlineLevel="0" collapsed="false">
      <c r="A4" s="6"/>
      <c r="B4" s="7"/>
      <c r="C4" s="8"/>
      <c r="D4" s="8"/>
      <c r="E4" s="8"/>
      <c r="F4" s="7"/>
      <c r="G4" s="7"/>
      <c r="H4" s="7"/>
      <c r="I4" s="7"/>
      <c r="J4" s="7"/>
      <c r="K4" s="7"/>
      <c r="L4" s="7"/>
      <c r="M4" s="7"/>
      <c r="N4" s="8"/>
      <c r="O4" s="8"/>
      <c r="P4" s="8"/>
      <c r="Q4" s="8"/>
      <c r="R4" s="8"/>
      <c r="S4" s="8"/>
      <c r="T4" s="8"/>
      <c r="U4" s="8"/>
      <c r="V4" s="8"/>
      <c r="W4" s="9"/>
    </row>
    <row r="5" customFormat="false" ht="12" hidden="false" customHeight="true" outlineLevel="0" collapsed="false">
      <c r="A5" s="6"/>
      <c r="B5" s="7"/>
      <c r="C5" s="10"/>
      <c r="D5" s="10"/>
      <c r="E5" s="10"/>
      <c r="F5" s="10"/>
      <c r="G5" s="10"/>
      <c r="H5" s="10"/>
      <c r="I5" s="10"/>
      <c r="J5" s="10"/>
      <c r="K5" s="7"/>
      <c r="L5" s="7"/>
      <c r="M5" s="7"/>
      <c r="N5" s="7"/>
      <c r="O5" s="10"/>
      <c r="P5" s="10"/>
      <c r="Q5" s="7"/>
      <c r="R5" s="10"/>
      <c r="S5" s="10"/>
      <c r="T5" s="10"/>
      <c r="U5" s="10"/>
      <c r="V5" s="7"/>
      <c r="W5" s="11"/>
    </row>
    <row r="6" customFormat="false" ht="9.75" hidden="false" customHeight="true" outlineLevel="0" collapsed="false">
      <c r="A6" s="12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8"/>
      <c r="O6" s="8"/>
      <c r="P6" s="8"/>
      <c r="Q6" s="8"/>
      <c r="R6" s="8"/>
      <c r="S6" s="8"/>
      <c r="T6" s="8"/>
      <c r="U6" s="8"/>
      <c r="V6" s="8"/>
      <c r="W6" s="13"/>
    </row>
    <row r="7" customFormat="false" ht="12" hidden="false" customHeight="true" outlineLevel="0" collapsed="false">
      <c r="A7" s="12"/>
      <c r="B7" s="7"/>
      <c r="C7" s="10"/>
      <c r="D7" s="10"/>
      <c r="E7" s="10"/>
      <c r="F7" s="10"/>
      <c r="G7" s="10"/>
      <c r="H7" s="10"/>
      <c r="I7" s="10"/>
      <c r="J7" s="10"/>
      <c r="K7" s="7"/>
      <c r="L7" s="7"/>
      <c r="M7" s="7"/>
      <c r="N7" s="8"/>
      <c r="O7" s="8"/>
      <c r="P7" s="8"/>
      <c r="Q7" s="8"/>
      <c r="R7" s="8"/>
      <c r="S7" s="8"/>
      <c r="T7" s="8"/>
      <c r="U7" s="8"/>
      <c r="V7" s="8"/>
      <c r="W7" s="13"/>
    </row>
    <row r="8" customFormat="false" ht="6" hidden="false" customHeight="true" outlineLevel="0" collapsed="false">
      <c r="A8" s="14"/>
      <c r="B8" s="15"/>
      <c r="C8" s="15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6"/>
    </row>
    <row r="9" customFormat="false" ht="24.75" hidden="false" customHeight="true" outlineLevel="0" collapsed="false">
      <c r="A9" s="17" t="s">
        <v>3</v>
      </c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7"/>
      <c r="V9" s="17"/>
      <c r="W9" s="17"/>
    </row>
    <row r="10" customFormat="false" ht="7.5" hidden="false" customHeight="true" outlineLevel="0" collapsed="false">
      <c r="A10" s="18"/>
      <c r="B10" s="19"/>
      <c r="C10" s="19"/>
      <c r="D10" s="19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20"/>
    </row>
    <row r="11" customFormat="false" ht="12" hidden="false" customHeight="false" outlineLevel="0" collapsed="false">
      <c r="A11" s="21" t="n">
        <v>1</v>
      </c>
      <c r="B11" s="7"/>
      <c r="C11" s="8" t="s">
        <v>4</v>
      </c>
      <c r="D11" s="8"/>
      <c r="E11" s="8"/>
      <c r="F11" s="7"/>
      <c r="G11" s="7"/>
      <c r="H11" s="7"/>
      <c r="I11" s="7"/>
      <c r="J11" s="7"/>
      <c r="K11" s="7"/>
      <c r="L11" s="21" t="n">
        <v>5</v>
      </c>
      <c r="M11" s="7"/>
      <c r="N11" s="8" t="s">
        <v>5</v>
      </c>
      <c r="O11" s="8"/>
      <c r="P11" s="8"/>
      <c r="Q11" s="8"/>
      <c r="R11" s="8"/>
      <c r="S11" s="8"/>
      <c r="T11" s="8"/>
      <c r="U11" s="8"/>
      <c r="V11" s="8"/>
      <c r="W11" s="13"/>
    </row>
    <row r="12" customFormat="false" ht="12" hidden="false" customHeight="true" outlineLevel="0" collapsed="false">
      <c r="A12" s="12"/>
      <c r="B12" s="7"/>
      <c r="C12" s="10"/>
      <c r="D12" s="10"/>
      <c r="E12" s="10"/>
      <c r="F12" s="10"/>
      <c r="G12" s="10"/>
      <c r="H12" s="10"/>
      <c r="I12" s="10"/>
      <c r="J12" s="10"/>
      <c r="K12" s="7"/>
      <c r="L12" s="7"/>
      <c r="M12" s="7"/>
      <c r="N12" s="22" t="s">
        <v>6</v>
      </c>
      <c r="O12" s="8"/>
      <c r="P12" s="8"/>
      <c r="Q12" s="8"/>
      <c r="R12" s="8"/>
      <c r="S12" s="8"/>
      <c r="T12" s="8"/>
      <c r="U12" s="8"/>
      <c r="V12" s="8"/>
      <c r="W12" s="13"/>
    </row>
    <row r="13" customFormat="false" ht="9.75" hidden="false" customHeight="true" outlineLevel="0" collapsed="false">
      <c r="A13" s="12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8" t="s">
        <v>7</v>
      </c>
      <c r="O13" s="8"/>
      <c r="P13" s="8"/>
      <c r="Q13" s="8"/>
      <c r="R13" s="8"/>
      <c r="S13" s="8"/>
      <c r="T13" s="8"/>
      <c r="U13" s="8"/>
      <c r="V13" s="8"/>
      <c r="W13" s="13"/>
    </row>
    <row r="14" customFormat="false" ht="12" hidden="false" customHeight="true" outlineLevel="0" collapsed="false">
      <c r="A14" s="12"/>
      <c r="B14" s="7"/>
      <c r="C14" s="10"/>
      <c r="D14" s="10"/>
      <c r="E14" s="10"/>
      <c r="F14" s="10"/>
      <c r="G14" s="10"/>
      <c r="H14" s="10"/>
      <c r="I14" s="10"/>
      <c r="J14" s="10"/>
      <c r="K14" s="7"/>
      <c r="L14" s="7"/>
      <c r="M14" s="7"/>
      <c r="N14" s="23"/>
      <c r="O14" s="7"/>
      <c r="P14" s="7"/>
      <c r="Q14" s="7"/>
      <c r="R14" s="7"/>
      <c r="S14" s="7"/>
      <c r="T14" s="7"/>
      <c r="U14" s="7"/>
      <c r="V14" s="7"/>
      <c r="W14" s="24"/>
    </row>
    <row r="15" customFormat="false" ht="7.5" hidden="false" customHeight="true" outlineLevel="0" collapsed="false">
      <c r="A15" s="12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24"/>
    </row>
    <row r="16" customFormat="false" ht="12" hidden="false" customHeight="false" outlineLevel="0" collapsed="false">
      <c r="A16" s="21" t="n">
        <v>2</v>
      </c>
      <c r="B16" s="7"/>
      <c r="C16" s="8" t="s">
        <v>8</v>
      </c>
      <c r="D16" s="8"/>
      <c r="E16" s="8"/>
      <c r="F16" s="7"/>
      <c r="G16" s="7"/>
      <c r="H16" s="7"/>
      <c r="I16" s="7"/>
      <c r="J16" s="7"/>
      <c r="K16" s="7"/>
      <c r="L16" s="21" t="n">
        <v>6</v>
      </c>
      <c r="M16" s="7"/>
      <c r="N16" s="8" t="s">
        <v>9</v>
      </c>
      <c r="O16" s="8"/>
      <c r="P16" s="8"/>
      <c r="Q16" s="8"/>
      <c r="R16" s="7"/>
      <c r="S16" s="25" t="n">
        <f aca="false">Admin!B4</f>
        <v>44657</v>
      </c>
      <c r="T16" s="25"/>
      <c r="U16" s="25"/>
      <c r="V16" s="25"/>
      <c r="W16" s="13"/>
    </row>
    <row r="17" customFormat="false" ht="15" hidden="false" customHeight="true" outlineLevel="0" collapsed="false">
      <c r="A17" s="12"/>
      <c r="B17" s="7"/>
      <c r="C17" s="10"/>
      <c r="D17" s="10"/>
      <c r="E17" s="10"/>
      <c r="F17" s="10"/>
      <c r="G17" s="10"/>
      <c r="H17" s="10"/>
      <c r="I17" s="10"/>
      <c r="J17" s="10"/>
      <c r="K17" s="7"/>
      <c r="L17" s="7"/>
      <c r="M17" s="7"/>
      <c r="N17" s="8" t="s">
        <v>10</v>
      </c>
      <c r="O17" s="8"/>
      <c r="P17" s="8"/>
      <c r="Q17" s="8"/>
      <c r="R17" s="8"/>
      <c r="S17" s="8"/>
      <c r="T17" s="8"/>
      <c r="U17" s="8"/>
      <c r="V17" s="8"/>
      <c r="W17" s="13"/>
    </row>
    <row r="18" customFormat="false" ht="7.5" hidden="false" customHeight="true" outlineLevel="0" collapsed="false">
      <c r="A18" s="12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26"/>
      <c r="O18" s="26"/>
      <c r="P18" s="26"/>
      <c r="Q18" s="26"/>
      <c r="R18" s="7"/>
      <c r="S18" s="7"/>
      <c r="T18" s="7"/>
      <c r="U18" s="7"/>
      <c r="V18" s="7"/>
      <c r="W18" s="24"/>
    </row>
    <row r="19" customFormat="false" ht="13.5" hidden="false" customHeight="false" outlineLevel="0" collapsed="false">
      <c r="A19" s="12"/>
      <c r="B19" s="7"/>
      <c r="C19" s="10"/>
      <c r="D19" s="10"/>
      <c r="E19" s="10"/>
      <c r="F19" s="10"/>
      <c r="G19" s="10"/>
      <c r="H19" s="10"/>
      <c r="I19" s="10"/>
      <c r="J19" s="10"/>
      <c r="K19" s="7"/>
      <c r="L19" s="7"/>
      <c r="M19" s="7"/>
      <c r="N19" s="27"/>
      <c r="O19" s="27"/>
      <c r="P19" s="27"/>
      <c r="Q19" s="27"/>
      <c r="R19" s="7"/>
      <c r="S19" s="7"/>
      <c r="T19" s="7"/>
      <c r="U19" s="7"/>
      <c r="V19" s="7"/>
      <c r="W19" s="24"/>
    </row>
    <row r="20" customFormat="false" ht="7.5" hidden="false" customHeight="true" outlineLevel="0" collapsed="false">
      <c r="A20" s="12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24"/>
    </row>
    <row r="21" customFormat="false" ht="13.5" hidden="false" customHeight="false" outlineLevel="0" collapsed="false">
      <c r="A21" s="12"/>
      <c r="B21" s="7"/>
      <c r="C21" s="10"/>
      <c r="D21" s="10"/>
      <c r="E21" s="10"/>
      <c r="F21" s="10"/>
      <c r="G21" s="10"/>
      <c r="H21" s="10"/>
      <c r="I21" s="10"/>
      <c r="J21" s="10"/>
      <c r="K21" s="7"/>
      <c r="L21" s="21" t="n">
        <v>7</v>
      </c>
      <c r="M21" s="7"/>
      <c r="N21" s="8" t="s">
        <v>11</v>
      </c>
      <c r="O21" s="8"/>
      <c r="P21" s="8"/>
      <c r="Q21" s="8"/>
      <c r="R21" s="7"/>
      <c r="S21" s="25" t="n">
        <f aca="false">Admin!B17</f>
        <v>45021</v>
      </c>
      <c r="T21" s="25"/>
      <c r="U21" s="25"/>
      <c r="V21" s="25"/>
      <c r="W21" s="13"/>
    </row>
    <row r="22" customFormat="false" ht="7.5" hidden="false" customHeight="true" outlineLevel="0" collapsed="false">
      <c r="A22" s="12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28" t="s">
        <v>12</v>
      </c>
      <c r="O22" s="28"/>
      <c r="P22" s="28"/>
      <c r="Q22" s="28"/>
      <c r="R22" s="28"/>
      <c r="S22" s="28"/>
      <c r="T22" s="28"/>
      <c r="U22" s="28"/>
      <c r="V22" s="28"/>
      <c r="W22" s="29"/>
    </row>
    <row r="23" customFormat="false" ht="12" hidden="false" customHeight="false" outlineLevel="0" collapsed="false">
      <c r="A23" s="21" t="n">
        <v>3</v>
      </c>
      <c r="B23" s="7"/>
      <c r="C23" s="8" t="s">
        <v>13</v>
      </c>
      <c r="D23" s="8"/>
      <c r="E23" s="8"/>
      <c r="F23" s="7"/>
      <c r="G23" s="7"/>
      <c r="H23" s="7"/>
      <c r="I23" s="7"/>
      <c r="J23" s="7"/>
      <c r="K23" s="7"/>
      <c r="L23" s="7"/>
      <c r="M23" s="7"/>
      <c r="N23" s="28"/>
      <c r="O23" s="28"/>
      <c r="P23" s="28"/>
      <c r="Q23" s="28"/>
      <c r="R23" s="28"/>
      <c r="S23" s="28"/>
      <c r="T23" s="28"/>
      <c r="U23" s="28"/>
      <c r="V23" s="28"/>
      <c r="W23" s="29"/>
    </row>
    <row r="24" customFormat="false" ht="13.5" hidden="false" customHeight="false" outlineLevel="0" collapsed="false">
      <c r="A24" s="12"/>
      <c r="B24" s="7"/>
      <c r="C24" s="30" t="s">
        <v>14</v>
      </c>
      <c r="D24" s="31"/>
      <c r="E24" s="31"/>
      <c r="F24" s="7"/>
      <c r="G24" s="7"/>
      <c r="H24" s="7"/>
      <c r="I24" s="7"/>
      <c r="J24" s="7"/>
      <c r="K24" s="7"/>
      <c r="L24" s="7"/>
      <c r="M24" s="7"/>
      <c r="N24" s="27"/>
      <c r="O24" s="27"/>
      <c r="P24" s="27"/>
      <c r="Q24" s="27"/>
      <c r="R24" s="7"/>
      <c r="S24" s="7"/>
      <c r="T24" s="7"/>
      <c r="U24" s="7"/>
      <c r="V24" s="7"/>
      <c r="W24" s="24"/>
    </row>
    <row r="25" customFormat="false" ht="13.5" hidden="false" customHeight="false" outlineLevel="0" collapsed="false">
      <c r="A25" s="12"/>
      <c r="B25" s="7"/>
      <c r="C25" s="10"/>
      <c r="D25" s="10"/>
      <c r="E25" s="10"/>
      <c r="F25" s="10"/>
      <c r="G25" s="10"/>
      <c r="H25" s="10"/>
      <c r="I25" s="10"/>
      <c r="J25" s="10"/>
      <c r="K25" s="7"/>
      <c r="L25" s="21" t="n">
        <v>8</v>
      </c>
      <c r="M25" s="7"/>
      <c r="N25" s="8" t="s">
        <v>15</v>
      </c>
      <c r="O25" s="8"/>
      <c r="P25" s="8"/>
      <c r="Q25" s="8"/>
      <c r="R25" s="8"/>
      <c r="S25" s="8"/>
      <c r="T25" s="8"/>
      <c r="U25" s="8"/>
      <c r="V25" s="8"/>
      <c r="W25" s="13"/>
    </row>
    <row r="26" s="33" customFormat="true" ht="12" hidden="false" customHeight="true" outlineLevel="0" collapsed="false">
      <c r="A26" s="32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30" t="s">
        <v>16</v>
      </c>
      <c r="O26" s="22"/>
      <c r="P26" s="22"/>
      <c r="Q26" s="22"/>
      <c r="R26" s="22"/>
      <c r="S26" s="22"/>
      <c r="T26" s="22"/>
      <c r="U26" s="22"/>
      <c r="V26" s="22"/>
      <c r="W26" s="29"/>
    </row>
    <row r="27" customFormat="false" ht="13.5" hidden="false" customHeight="false" outlineLevel="0" collapsed="false">
      <c r="A27" s="12"/>
      <c r="B27" s="7"/>
      <c r="C27" s="10"/>
      <c r="D27" s="10"/>
      <c r="E27" s="10"/>
      <c r="F27" s="10"/>
      <c r="G27" s="10"/>
      <c r="H27" s="10"/>
      <c r="I27" s="10"/>
      <c r="J27" s="10"/>
      <c r="K27" s="7"/>
      <c r="L27" s="7"/>
      <c r="M27" s="7"/>
      <c r="N27" s="27"/>
      <c r="O27" s="27"/>
      <c r="P27" s="27"/>
      <c r="Q27" s="27"/>
      <c r="R27" s="7"/>
      <c r="S27" s="7"/>
      <c r="T27" s="7"/>
      <c r="U27" s="7"/>
      <c r="V27" s="7"/>
      <c r="W27" s="24"/>
    </row>
    <row r="28" customFormat="false" ht="7.5" hidden="false" customHeight="true" outlineLevel="0" collapsed="false">
      <c r="A28" s="12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24"/>
    </row>
    <row r="29" customFormat="false" ht="12" hidden="false" customHeight="false" outlineLevel="0" collapsed="false">
      <c r="A29" s="21" t="n">
        <v>4</v>
      </c>
      <c r="B29" s="7"/>
      <c r="C29" s="22" t="s">
        <v>17</v>
      </c>
      <c r="D29" s="8"/>
      <c r="E29" s="8"/>
      <c r="F29" s="7"/>
      <c r="G29" s="7"/>
      <c r="H29" s="7"/>
      <c r="I29" s="7"/>
      <c r="J29" s="7"/>
      <c r="K29" s="7"/>
      <c r="L29" s="21" t="n">
        <v>9</v>
      </c>
      <c r="M29" s="7"/>
      <c r="N29" s="8" t="s">
        <v>18</v>
      </c>
      <c r="O29" s="8"/>
      <c r="P29" s="8"/>
      <c r="Q29" s="8"/>
      <c r="R29" s="8"/>
      <c r="S29" s="8"/>
      <c r="T29" s="8"/>
      <c r="U29" s="8"/>
      <c r="V29" s="8"/>
      <c r="W29" s="13"/>
    </row>
    <row r="30" customFormat="false" ht="13.5" hidden="false" customHeight="false" outlineLevel="0" collapsed="false">
      <c r="A30" s="12"/>
      <c r="B30" s="7"/>
      <c r="C30" s="34"/>
      <c r="D30" s="34"/>
      <c r="E30" s="7"/>
      <c r="F30" s="34"/>
      <c r="G30" s="7"/>
      <c r="H30" s="7"/>
      <c r="I30" s="7"/>
      <c r="J30" s="7"/>
      <c r="K30" s="7"/>
      <c r="L30" s="7"/>
      <c r="M30" s="7"/>
      <c r="N30" s="8" t="s">
        <v>19</v>
      </c>
      <c r="O30" s="8"/>
      <c r="P30" s="8"/>
      <c r="Q30" s="8"/>
      <c r="R30" s="8"/>
      <c r="S30" s="8"/>
      <c r="T30" s="8"/>
      <c r="U30" s="8"/>
      <c r="V30" s="8"/>
      <c r="W30" s="13"/>
    </row>
    <row r="31" customFormat="false" ht="12" hidden="false" customHeight="false" outlineLevel="0" collapsed="false">
      <c r="A31" s="12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31" t="s">
        <v>20</v>
      </c>
      <c r="O31" s="31"/>
      <c r="P31" s="8"/>
      <c r="Q31" s="8"/>
      <c r="R31" s="8"/>
      <c r="S31" s="8"/>
      <c r="T31" s="8"/>
      <c r="U31" s="8"/>
      <c r="V31" s="8"/>
      <c r="W31" s="13"/>
    </row>
    <row r="32" customFormat="false" ht="15" hidden="false" customHeight="true" outlineLevel="0" collapsed="false">
      <c r="A32" s="12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27" t="n">
        <f aca="false">Admin!B17</f>
        <v>45021</v>
      </c>
      <c r="O32" s="27"/>
      <c r="P32" s="27"/>
      <c r="Q32" s="27"/>
      <c r="R32" s="7"/>
      <c r="S32" s="7"/>
      <c r="T32" s="7"/>
      <c r="U32" s="7"/>
      <c r="V32" s="7"/>
      <c r="W32" s="24"/>
    </row>
    <row r="33" customFormat="false" ht="7.5" hidden="false" customHeight="true" outlineLevel="0" collapsed="false">
      <c r="A33" s="35"/>
      <c r="B33" s="36"/>
      <c r="C33" s="36"/>
      <c r="D33" s="36"/>
      <c r="E33" s="36"/>
      <c r="F33" s="36"/>
      <c r="G33" s="36"/>
      <c r="H33" s="36"/>
      <c r="I33" s="36"/>
      <c r="J33" s="36"/>
      <c r="K33" s="36"/>
      <c r="L33" s="36"/>
      <c r="M33" s="36"/>
      <c r="N33" s="36"/>
      <c r="O33" s="36"/>
      <c r="P33" s="36"/>
      <c r="Q33" s="36"/>
      <c r="R33" s="36"/>
      <c r="S33" s="36"/>
      <c r="T33" s="36"/>
      <c r="U33" s="36"/>
      <c r="V33" s="36"/>
      <c r="W33" s="37"/>
    </row>
    <row r="34" customFormat="false" ht="24.75" hidden="false" customHeight="true" outlineLevel="0" collapsed="false">
      <c r="A34" s="38" t="s">
        <v>21</v>
      </c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/>
      <c r="M34" s="38"/>
      <c r="N34" s="38"/>
      <c r="O34" s="38"/>
      <c r="P34" s="38"/>
      <c r="Q34" s="38"/>
      <c r="R34" s="38"/>
      <c r="S34" s="38"/>
      <c r="T34" s="38"/>
      <c r="U34" s="38"/>
      <c r="V34" s="38"/>
      <c r="W34" s="38"/>
    </row>
    <row r="35" customFormat="false" ht="6" hidden="false" customHeight="true" outlineLevel="0" collapsed="false">
      <c r="A35" s="18"/>
      <c r="B35" s="19"/>
      <c r="C35" s="19"/>
      <c r="D35" s="19"/>
      <c r="E35" s="19"/>
      <c r="F35" s="19"/>
      <c r="G35" s="19"/>
      <c r="H35" s="19"/>
      <c r="I35" s="19"/>
      <c r="J35" s="19"/>
      <c r="K35" s="19"/>
      <c r="L35" s="19"/>
      <c r="M35" s="19"/>
      <c r="N35" s="19"/>
      <c r="O35" s="19"/>
      <c r="P35" s="19"/>
      <c r="Q35" s="19"/>
      <c r="R35" s="19"/>
      <c r="S35" s="19"/>
      <c r="T35" s="19"/>
      <c r="U35" s="19"/>
      <c r="V35" s="19"/>
      <c r="W35" s="20"/>
    </row>
    <row r="36" customFormat="false" ht="12" hidden="false" customHeight="false" outlineLevel="0" collapsed="false">
      <c r="A36" s="21" t="n">
        <v>10</v>
      </c>
      <c r="B36" s="7"/>
      <c r="C36" s="8" t="s">
        <v>22</v>
      </c>
      <c r="D36" s="8"/>
      <c r="E36" s="8"/>
      <c r="F36" s="8"/>
      <c r="G36" s="8"/>
      <c r="H36" s="8"/>
      <c r="I36" s="8"/>
      <c r="J36" s="8"/>
      <c r="K36" s="8"/>
      <c r="L36" s="21" t="n">
        <v>12</v>
      </c>
      <c r="M36" s="7"/>
      <c r="N36" s="8" t="s">
        <v>23</v>
      </c>
      <c r="O36" s="8"/>
      <c r="P36" s="8"/>
      <c r="Q36" s="8"/>
      <c r="R36" s="8"/>
      <c r="S36" s="8"/>
      <c r="T36" s="8"/>
      <c r="U36" s="8"/>
      <c r="V36" s="8"/>
      <c r="W36" s="13"/>
    </row>
    <row r="37" customFormat="false" ht="12" hidden="false" customHeight="false" outlineLevel="0" collapsed="false">
      <c r="A37" s="12"/>
      <c r="B37" s="7"/>
      <c r="C37" s="8" t="s">
        <v>24</v>
      </c>
      <c r="D37" s="8"/>
      <c r="E37" s="8"/>
      <c r="F37" s="8"/>
      <c r="G37" s="8"/>
      <c r="H37" s="8"/>
      <c r="I37" s="8"/>
      <c r="J37" s="8"/>
      <c r="K37" s="8"/>
      <c r="L37" s="7"/>
      <c r="M37" s="7"/>
      <c r="N37" s="8" t="s">
        <v>25</v>
      </c>
      <c r="O37" s="8"/>
      <c r="P37" s="8"/>
      <c r="Q37" s="8"/>
      <c r="R37" s="8"/>
      <c r="S37" s="8"/>
      <c r="T37" s="8"/>
      <c r="U37" s="8"/>
      <c r="V37" s="8"/>
      <c r="W37" s="13"/>
    </row>
    <row r="38" customFormat="false" ht="7.5" hidden="false" customHeight="true" outlineLevel="0" collapsed="false">
      <c r="A38" s="12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24"/>
    </row>
    <row r="39" customFormat="false" ht="17.35" hidden="false" customHeight="false" outlineLevel="0" collapsed="false">
      <c r="A39" s="12"/>
      <c r="B39" s="7"/>
      <c r="C39" s="23"/>
      <c r="D39" s="7"/>
      <c r="E39" s="7"/>
      <c r="F39" s="7"/>
      <c r="G39" s="7"/>
      <c r="H39" s="7"/>
      <c r="I39" s="7"/>
      <c r="J39" s="7"/>
      <c r="K39" s="7"/>
      <c r="L39" s="7"/>
      <c r="M39" s="7"/>
      <c r="N39" s="23"/>
      <c r="O39" s="7"/>
      <c r="P39" s="7"/>
      <c r="Q39" s="7"/>
      <c r="R39" s="7"/>
      <c r="S39" s="7"/>
      <c r="T39" s="7"/>
      <c r="U39" s="7"/>
      <c r="V39" s="7"/>
      <c r="W39" s="24"/>
    </row>
    <row r="40" customFormat="false" ht="7.5" hidden="false" customHeight="true" outlineLevel="0" collapsed="false">
      <c r="A40" s="12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24"/>
    </row>
    <row r="41" customFormat="false" ht="12" hidden="false" customHeight="false" outlineLevel="0" collapsed="false">
      <c r="A41" s="21" t="n">
        <v>11</v>
      </c>
      <c r="B41" s="7"/>
      <c r="C41" s="8" t="s">
        <v>26</v>
      </c>
      <c r="D41" s="8"/>
      <c r="E41" s="8"/>
      <c r="F41" s="8"/>
      <c r="G41" s="8"/>
      <c r="H41" s="8"/>
      <c r="I41" s="8"/>
      <c r="J41" s="8"/>
      <c r="K41" s="8"/>
      <c r="L41" s="21" t="n">
        <v>13</v>
      </c>
      <c r="M41" s="7"/>
      <c r="N41" s="8" t="str">
        <f aca="false">"If you have provided the information about your "&amp;Admin!G2</f>
        <v>If you have provided the information about your 2022-23</v>
      </c>
      <c r="O41" s="8"/>
      <c r="P41" s="8"/>
      <c r="Q41" s="8"/>
      <c r="R41" s="8"/>
      <c r="S41" s="8"/>
      <c r="T41" s="8"/>
      <c r="U41" s="8"/>
      <c r="V41" s="8"/>
      <c r="W41" s="13"/>
    </row>
    <row r="42" customFormat="false" ht="12" hidden="false" customHeight="false" outlineLevel="0" collapsed="false">
      <c r="A42" s="12"/>
      <c r="B42" s="7"/>
      <c r="C42" s="8" t="s">
        <v>27</v>
      </c>
      <c r="D42" s="8"/>
      <c r="E42" s="8"/>
      <c r="F42" s="8"/>
      <c r="G42" s="8"/>
      <c r="H42" s="8"/>
      <c r="I42" s="8"/>
      <c r="J42" s="8"/>
      <c r="K42" s="8"/>
      <c r="L42" s="7"/>
      <c r="M42" s="7"/>
      <c r="N42" s="8" t="s">
        <v>28</v>
      </c>
      <c r="O42" s="8"/>
      <c r="P42" s="8"/>
      <c r="Q42" s="8"/>
      <c r="R42" s="8"/>
      <c r="S42" s="8"/>
      <c r="T42" s="8"/>
      <c r="U42" s="8"/>
      <c r="V42" s="8"/>
      <c r="W42" s="13"/>
    </row>
    <row r="43" customFormat="false" ht="12" hidden="false" customHeight="false" outlineLevel="0" collapsed="false">
      <c r="A43" s="12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8" t="s">
        <v>25</v>
      </c>
      <c r="O43" s="8"/>
      <c r="P43" s="8"/>
      <c r="Q43" s="8"/>
      <c r="R43" s="8"/>
      <c r="S43" s="8"/>
      <c r="T43" s="8"/>
      <c r="U43" s="8"/>
      <c r="V43" s="8"/>
      <c r="W43" s="13"/>
    </row>
    <row r="44" customFormat="false" ht="7.5" hidden="false" customHeight="true" outlineLevel="0" collapsed="false">
      <c r="A44" s="12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24"/>
    </row>
    <row r="45" customFormat="false" ht="17.35" hidden="false" customHeight="false" outlineLevel="0" collapsed="false">
      <c r="A45" s="12"/>
      <c r="B45" s="7"/>
      <c r="C45" s="23"/>
      <c r="D45" s="7"/>
      <c r="E45" s="7"/>
      <c r="F45" s="7"/>
      <c r="G45" s="7"/>
      <c r="H45" s="7"/>
      <c r="I45" s="7"/>
      <c r="J45" s="7"/>
      <c r="K45" s="7"/>
      <c r="L45" s="7"/>
      <c r="M45" s="7"/>
      <c r="N45" s="23"/>
      <c r="O45" s="7"/>
      <c r="P45" s="7"/>
      <c r="Q45" s="7"/>
      <c r="R45" s="7"/>
      <c r="S45" s="7"/>
      <c r="T45" s="7"/>
      <c r="U45" s="7"/>
      <c r="V45" s="7"/>
      <c r="W45" s="24"/>
    </row>
    <row r="46" customFormat="false" ht="7.5" hidden="false" customHeight="true" outlineLevel="0" collapsed="false">
      <c r="A46" s="35"/>
      <c r="B46" s="36"/>
      <c r="C46" s="36"/>
      <c r="D46" s="36"/>
      <c r="E46" s="36"/>
      <c r="F46" s="36"/>
      <c r="G46" s="36"/>
      <c r="H46" s="36"/>
      <c r="I46" s="36"/>
      <c r="J46" s="36"/>
      <c r="K46" s="36"/>
      <c r="L46" s="36"/>
      <c r="M46" s="36"/>
      <c r="N46" s="36"/>
      <c r="O46" s="36"/>
      <c r="P46" s="36"/>
      <c r="Q46" s="36"/>
      <c r="R46" s="36"/>
      <c r="S46" s="36"/>
      <c r="T46" s="36"/>
      <c r="U46" s="36"/>
      <c r="V46" s="36"/>
      <c r="W46" s="37"/>
    </row>
    <row r="47" customFormat="false" ht="12" hidden="false" customHeight="true" outlineLevel="0" collapsed="false">
      <c r="A47" s="12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30"/>
      <c r="O47" s="26"/>
      <c r="P47" s="26"/>
      <c r="Q47" s="26"/>
      <c r="R47" s="7"/>
      <c r="S47" s="7"/>
      <c r="T47" s="7"/>
      <c r="U47" s="7"/>
      <c r="V47" s="7"/>
      <c r="W47" s="24"/>
    </row>
    <row r="48" customFormat="false" ht="12" hidden="false" customHeight="false" outlineLevel="0" collapsed="false">
      <c r="A48" s="21" t="n">
        <v>26</v>
      </c>
      <c r="B48" s="7"/>
      <c r="C48" s="39" t="s">
        <v>29</v>
      </c>
      <c r="D48" s="7"/>
      <c r="E48" s="7"/>
      <c r="F48" s="7"/>
      <c r="G48" s="7"/>
      <c r="H48" s="7"/>
      <c r="I48" s="7"/>
      <c r="J48" s="7"/>
      <c r="K48" s="7"/>
      <c r="L48" s="21" t="n">
        <v>24</v>
      </c>
      <c r="M48" s="7"/>
      <c r="N48" s="39" t="s">
        <v>30</v>
      </c>
      <c r="O48" s="8"/>
      <c r="P48" s="8"/>
      <c r="Q48" s="8"/>
      <c r="R48" s="8"/>
      <c r="S48" s="8"/>
      <c r="T48" s="8"/>
      <c r="U48" s="8"/>
      <c r="V48" s="8"/>
      <c r="W48" s="24"/>
    </row>
    <row r="49" customFormat="false" ht="12" hidden="false" customHeight="true" outlineLevel="0" collapsed="false">
      <c r="A49" s="8"/>
      <c r="B49" s="7"/>
      <c r="C49" s="7"/>
      <c r="D49" s="7"/>
      <c r="E49" s="7"/>
      <c r="F49" s="7"/>
      <c r="G49" s="7"/>
      <c r="H49" s="7"/>
      <c r="I49" s="7"/>
      <c r="J49" s="7"/>
      <c r="K49" s="7"/>
      <c r="L49" s="8"/>
      <c r="M49" s="7"/>
      <c r="N49" s="31" t="s">
        <v>31</v>
      </c>
      <c r="O49" s="8"/>
      <c r="P49" s="8"/>
      <c r="Q49" s="8"/>
      <c r="R49" s="8"/>
      <c r="S49" s="8"/>
      <c r="T49" s="8"/>
      <c r="U49" s="8"/>
      <c r="V49" s="8"/>
      <c r="W49" s="24"/>
    </row>
    <row r="50" customFormat="false" ht="15" hidden="false" customHeight="true" outlineLevel="0" collapsed="false">
      <c r="A50" s="7"/>
      <c r="B50" s="7"/>
      <c r="C50" s="40" t="s">
        <v>32</v>
      </c>
      <c r="D50" s="41" t="n">
        <v>0</v>
      </c>
      <c r="E50" s="41"/>
      <c r="F50" s="41"/>
      <c r="G50" s="42" t="s">
        <v>33</v>
      </c>
      <c r="H50" s="43" t="n">
        <v>0</v>
      </c>
      <c r="I50" s="43" t="n">
        <v>0</v>
      </c>
      <c r="J50" s="7"/>
      <c r="K50" s="7"/>
      <c r="L50" s="8"/>
      <c r="M50" s="7"/>
      <c r="N50" s="40" t="s">
        <v>32</v>
      </c>
      <c r="O50" s="41"/>
      <c r="P50" s="41"/>
      <c r="Q50" s="41"/>
      <c r="R50" s="42" t="s">
        <v>33</v>
      </c>
      <c r="S50" s="43" t="n">
        <v>0</v>
      </c>
      <c r="T50" s="43" t="n">
        <v>0</v>
      </c>
      <c r="U50" s="8"/>
      <c r="V50" s="8"/>
      <c r="W50" s="24"/>
    </row>
    <row r="51" customFormat="false" ht="7.5" hidden="false" customHeight="true" outlineLevel="0" collapsed="false">
      <c r="A51" s="7"/>
      <c r="B51" s="7"/>
      <c r="C51" s="44"/>
      <c r="D51" s="45"/>
      <c r="E51" s="45"/>
      <c r="F51" s="45"/>
      <c r="G51" s="42"/>
      <c r="H51" s="46"/>
      <c r="I51" s="46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24"/>
    </row>
    <row r="52" s="33" customFormat="true" ht="12" hidden="false" customHeight="true" outlineLevel="0" collapsed="false">
      <c r="A52" s="26"/>
      <c r="B52" s="26"/>
      <c r="C52" s="22" t="s">
        <v>34</v>
      </c>
      <c r="D52" s="45"/>
      <c r="E52" s="45"/>
      <c r="F52" s="45"/>
      <c r="G52" s="42"/>
      <c r="H52" s="46"/>
      <c r="I52" s="46"/>
      <c r="J52" s="26"/>
      <c r="K52" s="26"/>
      <c r="L52" s="26"/>
      <c r="M52" s="26"/>
      <c r="N52" s="22" t="s">
        <v>35</v>
      </c>
      <c r="O52" s="26"/>
      <c r="P52" s="26"/>
      <c r="Q52" s="26"/>
      <c r="R52" s="26"/>
      <c r="S52" s="26"/>
      <c r="T52" s="26"/>
      <c r="U52" s="26"/>
      <c r="V52" s="26"/>
      <c r="W52" s="47"/>
    </row>
    <row r="53" s="33" customFormat="true" ht="12" hidden="false" customHeight="true" outlineLevel="0" collapsed="false">
      <c r="A53" s="26"/>
      <c r="B53" s="26"/>
      <c r="C53" s="48" t="s">
        <v>36</v>
      </c>
      <c r="D53" s="45"/>
      <c r="E53" s="45"/>
      <c r="F53" s="45"/>
      <c r="G53" s="42"/>
      <c r="H53" s="46"/>
      <c r="I53" s="46"/>
      <c r="J53" s="26"/>
      <c r="K53" s="26"/>
      <c r="L53" s="26"/>
      <c r="M53" s="26"/>
      <c r="N53" s="48" t="s">
        <v>36</v>
      </c>
      <c r="O53" s="45"/>
      <c r="P53" s="45"/>
      <c r="Q53" s="45"/>
      <c r="R53" s="42"/>
      <c r="S53" s="46"/>
      <c r="T53" s="46"/>
      <c r="U53" s="26"/>
      <c r="V53" s="26"/>
      <c r="W53" s="47"/>
    </row>
    <row r="54" customFormat="false" ht="3.75" hidden="false" customHeight="true" outlineLevel="0" collapsed="false">
      <c r="A54" s="12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26"/>
      <c r="O54" s="26"/>
      <c r="P54" s="26"/>
      <c r="Q54" s="26"/>
      <c r="R54" s="7"/>
      <c r="S54" s="7"/>
      <c r="T54" s="7"/>
      <c r="U54" s="7"/>
      <c r="V54" s="7"/>
      <c r="W54" s="24"/>
    </row>
    <row r="55" customFormat="false" ht="15" hidden="false" customHeight="true" outlineLevel="0" collapsed="false">
      <c r="A55" s="7"/>
      <c r="B55" s="7"/>
      <c r="C55" s="40" t="s">
        <v>32</v>
      </c>
      <c r="D55" s="49" t="n">
        <f aca="false">'SE Short'!O94</f>
        <v>0</v>
      </c>
      <c r="E55" s="49"/>
      <c r="F55" s="49"/>
      <c r="G55" s="42" t="s">
        <v>33</v>
      </c>
      <c r="H55" s="43" t="n">
        <v>0</v>
      </c>
      <c r="I55" s="43" t="n">
        <v>0</v>
      </c>
      <c r="J55" s="7"/>
      <c r="K55" s="7"/>
      <c r="L55" s="7"/>
      <c r="M55" s="7"/>
      <c r="N55" s="40" t="s">
        <v>32</v>
      </c>
      <c r="O55" s="49" t="n">
        <f aca="false">D50-D55+'SE Short'!O106</f>
        <v>0</v>
      </c>
      <c r="P55" s="49"/>
      <c r="Q55" s="49"/>
      <c r="R55" s="42" t="s">
        <v>33</v>
      </c>
      <c r="S55" s="43" t="n">
        <v>0</v>
      </c>
      <c r="T55" s="43" t="n">
        <v>0</v>
      </c>
      <c r="U55" s="7"/>
      <c r="V55" s="7"/>
      <c r="W55" s="24"/>
    </row>
    <row r="56" customFormat="false" ht="7.5" hidden="false" customHeight="true" outlineLevel="0" collapsed="false">
      <c r="A56" s="35"/>
      <c r="B56" s="36"/>
      <c r="C56" s="36"/>
      <c r="D56" s="36"/>
      <c r="E56" s="36"/>
      <c r="F56" s="36"/>
      <c r="G56" s="36"/>
      <c r="H56" s="36"/>
      <c r="I56" s="36"/>
      <c r="J56" s="36"/>
      <c r="K56" s="36"/>
      <c r="L56" s="36"/>
      <c r="M56" s="36"/>
      <c r="N56" s="36"/>
      <c r="O56" s="36"/>
      <c r="P56" s="36"/>
      <c r="Q56" s="36"/>
      <c r="R56" s="36"/>
      <c r="S56" s="36"/>
      <c r="T56" s="36"/>
      <c r="U56" s="36"/>
      <c r="V56" s="36"/>
      <c r="W56" s="37"/>
    </row>
  </sheetData>
  <mergeCells count="26">
    <mergeCell ref="A1:W1"/>
    <mergeCell ref="C5:J5"/>
    <mergeCell ref="O5:P5"/>
    <mergeCell ref="R5:U5"/>
    <mergeCell ref="C7:J7"/>
    <mergeCell ref="A9:W9"/>
    <mergeCell ref="C12:J12"/>
    <mergeCell ref="C14:J14"/>
    <mergeCell ref="S16:V16"/>
    <mergeCell ref="C17:J17"/>
    <mergeCell ref="C19:J19"/>
    <mergeCell ref="N19:Q19"/>
    <mergeCell ref="C21:J21"/>
    <mergeCell ref="S21:V21"/>
    <mergeCell ref="N22:V23"/>
    <mergeCell ref="N24:Q24"/>
    <mergeCell ref="C25:J25"/>
    <mergeCell ref="C27:J27"/>
    <mergeCell ref="N27:Q27"/>
    <mergeCell ref="C30:D30"/>
    <mergeCell ref="N32:Q32"/>
    <mergeCell ref="A34:W34"/>
    <mergeCell ref="D50:F50"/>
    <mergeCell ref="O50:Q50"/>
    <mergeCell ref="D55:F55"/>
    <mergeCell ref="O55:Q55"/>
  </mergeCell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50" width="3.66"/>
    <col collapsed="false" customWidth="true" hidden="false" outlineLevel="0" max="2" min="2" style="50" width="0.82"/>
    <col collapsed="false" customWidth="true" hidden="false" outlineLevel="0" max="3" min="3" style="50" width="3.66"/>
    <col collapsed="false" customWidth="true" hidden="false" outlineLevel="0" max="4" min="4" style="50" width="4.66"/>
    <col collapsed="false" customWidth="true" hidden="false" outlineLevel="0" max="5" min="5" style="50" width="1.66"/>
    <col collapsed="false" customWidth="true" hidden="false" outlineLevel="0" max="6" min="6" style="50" width="10.66"/>
    <col collapsed="false" customWidth="true" hidden="false" outlineLevel="0" max="7" min="7" style="50" width="1.66"/>
    <col collapsed="false" customWidth="true" hidden="false" outlineLevel="0" max="9" min="8" style="50" width="2.5"/>
    <col collapsed="false" customWidth="true" hidden="false" outlineLevel="0" max="11" min="10" style="50" width="6.66"/>
    <col collapsed="false" customWidth="true" hidden="false" outlineLevel="0" max="12" min="12" style="50" width="3.66"/>
    <col collapsed="false" customWidth="true" hidden="false" outlineLevel="0" max="13" min="13" style="50" width="0.82"/>
    <col collapsed="false" customWidth="true" hidden="false" outlineLevel="0" max="15" min="14" style="50" width="3.66"/>
    <col collapsed="false" customWidth="true" hidden="false" outlineLevel="0" max="17" min="16" style="50" width="6.66"/>
    <col collapsed="false" customWidth="true" hidden="false" outlineLevel="0" max="18" min="18" style="50" width="1.66"/>
    <col collapsed="false" customWidth="true" hidden="false" outlineLevel="0" max="19" min="19" style="50" width="2.5"/>
    <col collapsed="false" customWidth="true" hidden="false" outlineLevel="0" max="20" min="20" style="50" width="12.15"/>
    <col collapsed="false" customWidth="true" hidden="false" outlineLevel="0" max="21" min="21" style="50" width="2.66"/>
    <col collapsed="false" customWidth="true" hidden="false" outlineLevel="0" max="22" min="22" style="50" width="7.66"/>
    <col collapsed="false" customWidth="true" hidden="false" outlineLevel="0" max="23" min="23" style="50" width="12.32"/>
    <col collapsed="false" customWidth="false" hidden="false" outlineLevel="0" max="257" min="24" style="50" width="9.15"/>
  </cols>
  <sheetData>
    <row r="1" customFormat="false" ht="30" hidden="false" customHeight="true" outlineLevel="0" collapsed="false">
      <c r="A1" s="51" t="s">
        <v>37</v>
      </c>
      <c r="B1" s="51"/>
      <c r="C1" s="51"/>
      <c r="D1" s="51"/>
      <c r="E1" s="51"/>
      <c r="F1" s="51"/>
      <c r="G1" s="52" t="s">
        <v>38</v>
      </c>
      <c r="H1" s="52"/>
      <c r="I1" s="52"/>
      <c r="J1" s="52"/>
      <c r="K1" s="52"/>
      <c r="L1" s="52"/>
      <c r="M1" s="52"/>
      <c r="N1" s="52"/>
      <c r="O1" s="53" t="s">
        <v>39</v>
      </c>
      <c r="P1" s="53"/>
      <c r="Q1" s="53"/>
      <c r="R1" s="53"/>
      <c r="S1" s="53"/>
      <c r="T1" s="53"/>
      <c r="U1" s="53"/>
      <c r="V1" s="53"/>
      <c r="W1" s="53"/>
    </row>
    <row r="2" customFormat="false" ht="30" hidden="false" customHeight="true" outlineLevel="0" collapsed="false">
      <c r="A2" s="51"/>
      <c r="B2" s="51"/>
      <c r="C2" s="51"/>
      <c r="D2" s="51"/>
      <c r="E2" s="51"/>
      <c r="F2" s="51"/>
      <c r="G2" s="52"/>
      <c r="H2" s="52"/>
      <c r="I2" s="52"/>
      <c r="J2" s="52"/>
      <c r="K2" s="52"/>
      <c r="L2" s="52"/>
      <c r="M2" s="52"/>
      <c r="N2" s="52"/>
      <c r="O2" s="54" t="s">
        <v>40</v>
      </c>
      <c r="P2" s="54"/>
      <c r="Q2" s="55" t="n">
        <f aca="false">Admin!B4</f>
        <v>44657</v>
      </c>
      <c r="R2" s="55"/>
      <c r="S2" s="55"/>
      <c r="T2" s="55"/>
      <c r="U2" s="56" t="s">
        <v>41</v>
      </c>
      <c r="V2" s="55" t="n">
        <f aca="false">Admin!B17</f>
        <v>45021</v>
      </c>
      <c r="W2" s="55"/>
    </row>
    <row r="3" customFormat="false" ht="8.25" hidden="false" customHeight="true" outlineLevel="0" collapsed="false">
      <c r="A3" s="57"/>
      <c r="B3" s="57"/>
      <c r="C3" s="57"/>
      <c r="D3" s="57"/>
      <c r="E3" s="57"/>
      <c r="F3" s="57"/>
      <c r="G3" s="57"/>
      <c r="H3" s="57"/>
      <c r="I3" s="57"/>
      <c r="J3" s="57"/>
      <c r="K3" s="57"/>
      <c r="L3" s="57"/>
      <c r="M3" s="57"/>
      <c r="N3" s="57"/>
      <c r="O3" s="57"/>
      <c r="P3" s="57"/>
      <c r="Q3" s="57"/>
      <c r="R3" s="57"/>
      <c r="S3" s="57"/>
      <c r="T3" s="57"/>
      <c r="U3" s="57"/>
      <c r="V3" s="57"/>
      <c r="W3" s="57"/>
    </row>
    <row r="4" customFormat="false" ht="9.75" hidden="false" customHeight="true" outlineLevel="0" collapsed="false">
      <c r="A4" s="58"/>
      <c r="B4" s="58"/>
      <c r="C4" s="58"/>
      <c r="D4" s="58"/>
      <c r="E4" s="58"/>
      <c r="F4" s="58"/>
      <c r="G4" s="58"/>
      <c r="H4" s="58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8"/>
    </row>
    <row r="5" customFormat="false" ht="6" hidden="false" customHeight="true" outlineLevel="0" collapsed="false">
      <c r="A5" s="59"/>
      <c r="B5" s="60"/>
      <c r="C5" s="60"/>
      <c r="D5" s="60"/>
      <c r="E5" s="60"/>
      <c r="F5" s="60"/>
      <c r="G5" s="60"/>
      <c r="H5" s="60"/>
      <c r="I5" s="60"/>
      <c r="J5" s="60"/>
      <c r="K5" s="60"/>
      <c r="L5" s="60"/>
      <c r="M5" s="60"/>
      <c r="N5" s="60"/>
      <c r="O5" s="60"/>
      <c r="P5" s="60"/>
      <c r="Q5" s="60"/>
      <c r="R5" s="60"/>
      <c r="S5" s="60"/>
      <c r="T5" s="60"/>
      <c r="U5" s="60"/>
      <c r="V5" s="60"/>
      <c r="W5" s="61"/>
    </row>
    <row r="6" customFormat="false" ht="12" hidden="false" customHeight="false" outlineLevel="0" collapsed="false">
      <c r="A6" s="62"/>
      <c r="B6" s="63"/>
      <c r="C6" s="64" t="s">
        <v>1</v>
      </c>
      <c r="D6" s="64"/>
      <c r="E6" s="64"/>
      <c r="F6" s="63"/>
      <c r="G6" s="63"/>
      <c r="H6" s="63"/>
      <c r="I6" s="63"/>
      <c r="J6" s="63"/>
      <c r="K6" s="63"/>
      <c r="L6" s="63"/>
      <c r="M6" s="63"/>
      <c r="N6" s="64" t="s">
        <v>2</v>
      </c>
      <c r="O6" s="64"/>
      <c r="P6" s="64"/>
      <c r="Q6" s="64"/>
      <c r="R6" s="64"/>
      <c r="S6" s="64"/>
      <c r="T6" s="64"/>
      <c r="U6" s="64"/>
      <c r="V6" s="64"/>
      <c r="W6" s="65"/>
    </row>
    <row r="7" customFormat="false" ht="7.5" hidden="false" customHeight="true" outlineLevel="0" collapsed="false">
      <c r="A7" s="62"/>
      <c r="B7" s="63"/>
      <c r="C7" s="64"/>
      <c r="D7" s="64"/>
      <c r="E7" s="64"/>
      <c r="F7" s="63"/>
      <c r="G7" s="63"/>
      <c r="H7" s="63"/>
      <c r="I7" s="63"/>
      <c r="J7" s="63"/>
      <c r="K7" s="63"/>
      <c r="L7" s="63"/>
      <c r="M7" s="63"/>
      <c r="N7" s="64"/>
      <c r="O7" s="64"/>
      <c r="P7" s="64"/>
      <c r="Q7" s="64"/>
      <c r="R7" s="64"/>
      <c r="S7" s="64"/>
      <c r="T7" s="64"/>
      <c r="U7" s="64"/>
      <c r="V7" s="64"/>
      <c r="W7" s="65"/>
    </row>
    <row r="8" customFormat="false" ht="15" hidden="false" customHeight="true" outlineLevel="0" collapsed="false">
      <c r="A8" s="62"/>
      <c r="B8" s="63"/>
      <c r="C8" s="66" t="str">
        <f aca="false">IF('Business Details'!C5&gt;0,'Business Details'!C5:J5," ")</f>
        <v> </v>
      </c>
      <c r="D8" s="66"/>
      <c r="E8" s="66"/>
      <c r="F8" s="66"/>
      <c r="G8" s="66"/>
      <c r="H8" s="66"/>
      <c r="I8" s="66"/>
      <c r="J8" s="66"/>
      <c r="K8" s="63"/>
      <c r="L8" s="63"/>
      <c r="M8" s="63"/>
      <c r="N8" s="63"/>
      <c r="O8" s="10" t="str">
        <f aca="false">IF('Business Details'!O5&gt;0,'Business Details'!O5," ")</f>
        <v> </v>
      </c>
      <c r="P8" s="10"/>
      <c r="Q8" s="7"/>
      <c r="R8" s="10" t="str">
        <f aca="false">IF('Business Details'!R5&gt;0,'Business Details'!R5," ")</f>
        <v> </v>
      </c>
      <c r="S8" s="10"/>
      <c r="T8" s="10"/>
      <c r="U8" s="10"/>
      <c r="V8" s="63"/>
      <c r="W8" s="67"/>
    </row>
    <row r="9" customFormat="false" ht="6" hidden="false" customHeight="true" outlineLevel="0" collapsed="false">
      <c r="A9" s="68"/>
      <c r="B9" s="69"/>
      <c r="C9" s="69"/>
      <c r="D9" s="69"/>
      <c r="E9" s="69"/>
      <c r="F9" s="69"/>
      <c r="G9" s="69"/>
      <c r="H9" s="69"/>
      <c r="I9" s="69"/>
      <c r="J9" s="69"/>
      <c r="K9" s="69"/>
      <c r="L9" s="69"/>
      <c r="M9" s="69"/>
      <c r="N9" s="69"/>
      <c r="O9" s="69"/>
      <c r="P9" s="69"/>
      <c r="Q9" s="69"/>
      <c r="R9" s="69"/>
      <c r="S9" s="69"/>
      <c r="T9" s="69"/>
      <c r="U9" s="69"/>
      <c r="V9" s="69"/>
      <c r="W9" s="70"/>
    </row>
    <row r="10" customFormat="false" ht="24.75" hidden="false" customHeight="true" outlineLevel="0" collapsed="false">
      <c r="A10" s="71" t="s">
        <v>3</v>
      </c>
      <c r="B10" s="71"/>
      <c r="C10" s="71"/>
      <c r="D10" s="71"/>
      <c r="E10" s="71"/>
      <c r="F10" s="71"/>
      <c r="G10" s="71"/>
      <c r="H10" s="71"/>
      <c r="I10" s="71"/>
      <c r="J10" s="71"/>
      <c r="K10" s="71"/>
      <c r="L10" s="71"/>
      <c r="M10" s="71"/>
      <c r="N10" s="71"/>
      <c r="O10" s="71"/>
      <c r="P10" s="71"/>
      <c r="Q10" s="71"/>
      <c r="R10" s="71"/>
      <c r="S10" s="71"/>
      <c r="T10" s="71"/>
      <c r="U10" s="71"/>
      <c r="V10" s="71"/>
      <c r="W10" s="71"/>
    </row>
    <row r="11" customFormat="false" ht="7.5" hidden="false" customHeight="true" outlineLevel="0" collapsed="false">
      <c r="A11" s="72"/>
      <c r="B11" s="73"/>
      <c r="C11" s="73"/>
      <c r="D11" s="73"/>
      <c r="E11" s="73"/>
      <c r="F11" s="73"/>
      <c r="G11" s="73"/>
      <c r="H11" s="73"/>
      <c r="I11" s="73"/>
      <c r="J11" s="73"/>
      <c r="K11" s="73"/>
      <c r="L11" s="73"/>
      <c r="M11" s="73"/>
      <c r="N11" s="73"/>
      <c r="O11" s="73"/>
      <c r="P11" s="73"/>
      <c r="Q11" s="73"/>
      <c r="R11" s="73"/>
      <c r="S11" s="73"/>
      <c r="T11" s="73"/>
      <c r="U11" s="73"/>
      <c r="V11" s="73"/>
      <c r="W11" s="74"/>
    </row>
    <row r="12" customFormat="false" ht="12.65" hidden="false" customHeight="false" outlineLevel="0" collapsed="false">
      <c r="A12" s="75" t="n">
        <v>1</v>
      </c>
      <c r="B12" s="63"/>
      <c r="C12" s="64" t="s">
        <v>8</v>
      </c>
      <c r="D12" s="64"/>
      <c r="E12" s="64"/>
      <c r="F12" s="63"/>
      <c r="G12" s="63"/>
      <c r="H12" s="63"/>
      <c r="I12" s="63"/>
      <c r="J12" s="63"/>
      <c r="K12" s="63"/>
      <c r="L12" s="75" t="n">
        <v>4</v>
      </c>
      <c r="M12" s="63"/>
      <c r="N12" s="64" t="s">
        <v>42</v>
      </c>
      <c r="O12" s="64"/>
      <c r="P12" s="64"/>
      <c r="Q12" s="64"/>
      <c r="R12" s="76"/>
      <c r="S12" s="77"/>
      <c r="T12" s="77"/>
      <c r="U12" s="77"/>
      <c r="V12" s="64"/>
      <c r="W12" s="78"/>
    </row>
    <row r="13" customFormat="false" ht="15" hidden="false" customHeight="true" outlineLevel="0" collapsed="false">
      <c r="A13" s="79"/>
      <c r="B13" s="63"/>
      <c r="C13" s="66" t="str">
        <f aca="false">IF('Business Details'!C17&gt;0,'Business Details'!C17," ")</f>
        <v> </v>
      </c>
      <c r="D13" s="66"/>
      <c r="E13" s="66"/>
      <c r="F13" s="66"/>
      <c r="G13" s="66"/>
      <c r="H13" s="66"/>
      <c r="I13" s="66"/>
      <c r="J13" s="66"/>
      <c r="K13" s="63"/>
      <c r="L13" s="63"/>
      <c r="M13" s="63"/>
      <c r="N13" s="80" t="s">
        <v>43</v>
      </c>
      <c r="O13" s="64"/>
      <c r="P13" s="64"/>
      <c r="Q13" s="64"/>
      <c r="R13" s="64"/>
      <c r="S13" s="64"/>
      <c r="T13" s="64"/>
      <c r="U13" s="64"/>
      <c r="V13" s="64"/>
      <c r="W13" s="78"/>
    </row>
    <row r="14" customFormat="false" ht="7.5" hidden="false" customHeight="true" outlineLevel="0" collapsed="false">
      <c r="A14" s="79"/>
      <c r="B14" s="63"/>
      <c r="C14" s="63"/>
      <c r="D14" s="63"/>
      <c r="E14" s="63"/>
      <c r="F14" s="63"/>
      <c r="G14" s="63"/>
      <c r="H14" s="63"/>
      <c r="I14" s="63"/>
      <c r="J14" s="63"/>
      <c r="K14" s="63"/>
      <c r="L14" s="63"/>
      <c r="M14" s="63"/>
      <c r="N14" s="81"/>
      <c r="O14" s="81"/>
      <c r="P14" s="81"/>
      <c r="Q14" s="81"/>
      <c r="R14" s="63"/>
      <c r="S14" s="63"/>
      <c r="T14" s="63"/>
      <c r="U14" s="63"/>
      <c r="V14" s="63"/>
      <c r="W14" s="82"/>
    </row>
    <row r="15" customFormat="false" ht="15" hidden="false" customHeight="true" outlineLevel="0" collapsed="false">
      <c r="A15" s="79"/>
      <c r="B15" s="63"/>
      <c r="C15" s="66" t="str">
        <f aca="false">IF('Business Details'!C19&gt;0,'Business Details'!C19," ")</f>
        <v> </v>
      </c>
      <c r="D15" s="66"/>
      <c r="E15" s="66"/>
      <c r="F15" s="66"/>
      <c r="G15" s="66"/>
      <c r="H15" s="66"/>
      <c r="I15" s="66"/>
      <c r="J15" s="66"/>
      <c r="K15" s="63"/>
      <c r="L15" s="63"/>
      <c r="M15" s="63"/>
      <c r="N15" s="83" t="str">
        <f aca="false">IF('Business Details'!N14="X","X"," ")</f>
        <v> </v>
      </c>
      <c r="O15" s="81"/>
      <c r="P15" s="81"/>
      <c r="Q15" s="81"/>
      <c r="R15" s="63"/>
      <c r="S15" s="63"/>
      <c r="T15" s="63"/>
      <c r="U15" s="63"/>
      <c r="V15" s="63"/>
      <c r="W15" s="82"/>
    </row>
    <row r="16" customFormat="false" ht="7.5" hidden="false" customHeight="true" outlineLevel="0" collapsed="false">
      <c r="A16" s="79"/>
      <c r="B16" s="63"/>
      <c r="C16" s="63"/>
      <c r="D16" s="63"/>
      <c r="E16" s="63"/>
      <c r="F16" s="63"/>
      <c r="G16" s="63"/>
      <c r="H16" s="63"/>
      <c r="I16" s="63"/>
      <c r="J16" s="63"/>
      <c r="K16" s="63"/>
      <c r="L16" s="63"/>
      <c r="M16" s="63"/>
      <c r="N16" s="63"/>
      <c r="O16" s="63"/>
      <c r="P16" s="63"/>
      <c r="Q16" s="63"/>
      <c r="R16" s="63"/>
      <c r="S16" s="63"/>
      <c r="T16" s="63"/>
      <c r="U16" s="63"/>
      <c r="V16" s="63"/>
      <c r="W16" s="82"/>
    </row>
    <row r="17" customFormat="false" ht="15" hidden="false" customHeight="true" outlineLevel="0" collapsed="false">
      <c r="A17" s="79"/>
      <c r="B17" s="63"/>
      <c r="C17" s="66" t="str">
        <f aca="false">IF('Business Details'!C21&gt;0,'Business Details'!C21," ")</f>
        <v> </v>
      </c>
      <c r="D17" s="66"/>
      <c r="E17" s="66"/>
      <c r="F17" s="66"/>
      <c r="G17" s="66"/>
      <c r="H17" s="66"/>
      <c r="I17" s="66"/>
      <c r="J17" s="66"/>
      <c r="K17" s="63"/>
      <c r="L17" s="75" t="n">
        <v>5</v>
      </c>
      <c r="M17" s="63"/>
      <c r="N17" s="64" t="s">
        <v>44</v>
      </c>
      <c r="O17" s="64"/>
      <c r="P17" s="64"/>
      <c r="Q17" s="64"/>
      <c r="R17" s="76"/>
      <c r="S17" s="84" t="n">
        <f aca="false">Q2</f>
        <v>44657</v>
      </c>
      <c r="T17" s="84"/>
      <c r="U17" s="84"/>
      <c r="V17" s="84"/>
      <c r="W17" s="78"/>
    </row>
    <row r="18" customFormat="false" ht="12" hidden="false" customHeight="true" outlineLevel="0" collapsed="false">
      <c r="A18" s="79"/>
      <c r="B18" s="63"/>
      <c r="C18" s="63"/>
      <c r="D18" s="63"/>
      <c r="E18" s="63"/>
      <c r="F18" s="63"/>
      <c r="G18" s="63"/>
      <c r="H18" s="63"/>
      <c r="I18" s="63"/>
      <c r="J18" s="63"/>
      <c r="K18" s="63"/>
      <c r="L18" s="63"/>
      <c r="M18" s="63"/>
      <c r="N18" s="85" t="s">
        <v>45</v>
      </c>
      <c r="O18" s="85"/>
      <c r="P18" s="85"/>
      <c r="Q18" s="85"/>
      <c r="R18" s="85"/>
      <c r="S18" s="85"/>
      <c r="T18" s="85"/>
      <c r="U18" s="85"/>
      <c r="V18" s="85"/>
      <c r="W18" s="86"/>
    </row>
    <row r="19" customFormat="false" ht="7.5" hidden="false" customHeight="true" outlineLevel="0" collapsed="false">
      <c r="A19" s="79"/>
      <c r="B19" s="63"/>
      <c r="C19" s="63"/>
      <c r="D19" s="63"/>
      <c r="E19" s="63"/>
      <c r="F19" s="63"/>
      <c r="G19" s="63"/>
      <c r="H19" s="63"/>
      <c r="I19" s="63"/>
      <c r="J19" s="63"/>
      <c r="K19" s="63"/>
      <c r="L19" s="63"/>
      <c r="M19" s="63"/>
      <c r="N19" s="63"/>
      <c r="O19" s="63"/>
      <c r="P19" s="63"/>
      <c r="Q19" s="63"/>
      <c r="R19" s="63"/>
      <c r="S19" s="63"/>
      <c r="T19" s="63"/>
      <c r="U19" s="63"/>
      <c r="V19" s="63"/>
      <c r="W19" s="82"/>
    </row>
    <row r="20" customFormat="false" ht="13.5" hidden="false" customHeight="false" outlineLevel="0" collapsed="false">
      <c r="A20" s="75" t="n">
        <v>2</v>
      </c>
      <c r="B20" s="63"/>
      <c r="C20" s="64" t="s">
        <v>17</v>
      </c>
      <c r="D20" s="64"/>
      <c r="E20" s="64"/>
      <c r="F20" s="63"/>
      <c r="G20" s="63"/>
      <c r="H20" s="63"/>
      <c r="I20" s="63"/>
      <c r="J20" s="63"/>
      <c r="K20" s="63"/>
      <c r="L20" s="63"/>
      <c r="M20" s="63"/>
      <c r="N20" s="87" t="str">
        <f aca="false">IF('Business Details'!N19&gt;0,'Business Details'!N19," ")</f>
        <v> </v>
      </c>
      <c r="O20" s="87"/>
      <c r="P20" s="87"/>
      <c r="Q20" s="87"/>
      <c r="R20" s="64"/>
      <c r="S20" s="64"/>
      <c r="T20" s="64"/>
      <c r="U20" s="64"/>
      <c r="V20" s="64"/>
      <c r="W20" s="78"/>
    </row>
    <row r="21" customFormat="false" ht="7.5" hidden="false" customHeight="true" outlineLevel="0" collapsed="false">
      <c r="A21" s="79"/>
      <c r="B21" s="63"/>
      <c r="C21" s="63"/>
      <c r="D21" s="63"/>
      <c r="E21" s="63"/>
      <c r="F21" s="63"/>
      <c r="G21" s="63"/>
      <c r="H21" s="63"/>
      <c r="I21" s="63"/>
      <c r="J21" s="63"/>
      <c r="K21" s="63"/>
      <c r="L21" s="63"/>
      <c r="M21" s="63"/>
      <c r="N21" s="63"/>
      <c r="O21" s="63"/>
      <c r="P21" s="63"/>
      <c r="Q21" s="63"/>
      <c r="R21" s="63"/>
      <c r="S21" s="63"/>
      <c r="T21" s="63"/>
      <c r="U21" s="63"/>
      <c r="V21" s="63"/>
      <c r="W21" s="82"/>
    </row>
    <row r="22" customFormat="false" ht="15" hidden="false" customHeight="true" outlineLevel="0" collapsed="false">
      <c r="A22" s="79"/>
      <c r="B22" s="63"/>
      <c r="C22" s="88" t="str">
        <f aca="false">IF('Business Details'!C30&gt;0,'Business Details'!C30," ")</f>
        <v> </v>
      </c>
      <c r="D22" s="88"/>
      <c r="E22" s="63"/>
      <c r="F22" s="89" t="str">
        <f aca="false">IF('Business Details'!F30&gt;0,'Business Details'!F30," ")</f>
        <v> </v>
      </c>
      <c r="G22" s="63"/>
      <c r="H22" s="63"/>
      <c r="I22" s="63"/>
      <c r="J22" s="63"/>
      <c r="K22" s="63"/>
      <c r="L22" s="63"/>
      <c r="M22" s="63"/>
      <c r="N22" s="64"/>
      <c r="O22" s="64"/>
      <c r="P22" s="64"/>
      <c r="Q22" s="64"/>
      <c r="R22" s="64"/>
      <c r="S22" s="64"/>
      <c r="T22" s="64"/>
      <c r="U22" s="64"/>
      <c r="V22" s="64"/>
      <c r="W22" s="78"/>
    </row>
    <row r="23" customFormat="false" ht="12" hidden="false" customHeight="false" outlineLevel="0" collapsed="false">
      <c r="A23" s="79"/>
      <c r="B23" s="63"/>
      <c r="C23" s="63"/>
      <c r="D23" s="63"/>
      <c r="E23" s="63"/>
      <c r="F23" s="63"/>
      <c r="G23" s="63"/>
      <c r="H23" s="63"/>
      <c r="I23" s="63"/>
      <c r="J23" s="63"/>
      <c r="K23" s="63"/>
      <c r="L23" s="75" t="n">
        <v>6</v>
      </c>
      <c r="M23" s="64"/>
      <c r="N23" s="64" t="s">
        <v>46</v>
      </c>
      <c r="O23" s="90"/>
      <c r="P23" s="64"/>
      <c r="Q23" s="64"/>
      <c r="R23" s="64"/>
      <c r="S23" s="84" t="n">
        <f aca="false">V2</f>
        <v>45021</v>
      </c>
      <c r="T23" s="84"/>
      <c r="U23" s="84"/>
      <c r="V23" s="84"/>
      <c r="W23" s="78"/>
    </row>
    <row r="24" customFormat="false" ht="12" hidden="false" customHeight="false" outlineLevel="0" collapsed="false">
      <c r="A24" s="75" t="n">
        <v>3</v>
      </c>
      <c r="B24" s="63"/>
      <c r="C24" s="64" t="s">
        <v>47</v>
      </c>
      <c r="D24" s="63"/>
      <c r="E24" s="63"/>
      <c r="F24" s="63"/>
      <c r="G24" s="63"/>
      <c r="H24" s="63"/>
      <c r="I24" s="63"/>
      <c r="J24" s="63"/>
      <c r="K24" s="63"/>
      <c r="L24" s="63"/>
      <c r="M24" s="64"/>
      <c r="N24" s="80" t="s">
        <v>12</v>
      </c>
      <c r="O24" s="81"/>
      <c r="P24" s="81"/>
      <c r="Q24" s="81"/>
      <c r="R24" s="63"/>
      <c r="S24" s="63"/>
      <c r="T24" s="63"/>
      <c r="U24" s="63"/>
      <c r="V24" s="63"/>
      <c r="W24" s="82"/>
    </row>
    <row r="25" customFormat="false" ht="12" hidden="false" customHeight="false" outlineLevel="0" collapsed="false">
      <c r="A25" s="79"/>
      <c r="B25" s="63"/>
      <c r="C25" s="64" t="s">
        <v>48</v>
      </c>
      <c r="D25" s="63"/>
      <c r="E25" s="63"/>
      <c r="F25" s="63"/>
      <c r="G25" s="63"/>
      <c r="H25" s="63"/>
      <c r="I25" s="63"/>
      <c r="J25" s="63"/>
      <c r="K25" s="63"/>
      <c r="L25" s="63"/>
      <c r="M25" s="63"/>
      <c r="N25" s="81"/>
      <c r="O25" s="81"/>
      <c r="P25" s="81"/>
      <c r="Q25" s="81"/>
      <c r="R25" s="63"/>
      <c r="S25" s="63"/>
      <c r="T25" s="63"/>
      <c r="U25" s="63"/>
      <c r="V25" s="63"/>
      <c r="W25" s="82"/>
    </row>
    <row r="26" customFormat="false" ht="13.5" hidden="false" customHeight="false" outlineLevel="0" collapsed="false">
      <c r="A26" s="79"/>
      <c r="B26" s="63"/>
      <c r="C26" s="80" t="s">
        <v>49</v>
      </c>
      <c r="D26" s="81"/>
      <c r="E26" s="81"/>
      <c r="F26" s="81"/>
      <c r="G26" s="81"/>
      <c r="H26" s="81"/>
      <c r="I26" s="81"/>
      <c r="J26" s="81"/>
      <c r="K26" s="81"/>
      <c r="L26" s="63"/>
      <c r="M26" s="63"/>
      <c r="N26" s="87" t="str">
        <f aca="false">IF('Business Details'!N24&gt;0,'Business Details'!N24," ")</f>
        <v> </v>
      </c>
      <c r="O26" s="87"/>
      <c r="P26" s="87"/>
      <c r="Q26" s="87"/>
      <c r="R26" s="63"/>
      <c r="S26" s="63"/>
      <c r="T26" s="63"/>
      <c r="U26" s="63"/>
      <c r="V26" s="63"/>
      <c r="W26" s="82"/>
    </row>
    <row r="27" customFormat="false" ht="12" hidden="false" customHeight="false" outlineLevel="0" collapsed="false">
      <c r="A27" s="79"/>
      <c r="B27" s="63"/>
      <c r="C27" s="80" t="s">
        <v>50</v>
      </c>
      <c r="D27" s="63"/>
      <c r="E27" s="63"/>
      <c r="F27" s="63"/>
      <c r="G27" s="63"/>
      <c r="H27" s="63"/>
      <c r="I27" s="63"/>
      <c r="J27" s="63"/>
      <c r="K27" s="63"/>
      <c r="L27" s="63"/>
      <c r="M27" s="63"/>
      <c r="N27" s="81"/>
      <c r="O27" s="81"/>
      <c r="P27" s="81"/>
      <c r="Q27" s="81"/>
      <c r="R27" s="63"/>
      <c r="S27" s="63"/>
      <c r="T27" s="63"/>
      <c r="U27" s="63"/>
      <c r="V27" s="63"/>
      <c r="W27" s="82"/>
    </row>
    <row r="28" customFormat="false" ht="12" hidden="false" customHeight="false" outlineLevel="0" collapsed="false">
      <c r="A28" s="79"/>
      <c r="B28" s="63"/>
      <c r="C28" s="81"/>
      <c r="D28" s="63"/>
      <c r="E28" s="63"/>
      <c r="F28" s="63"/>
      <c r="G28" s="63"/>
      <c r="H28" s="63"/>
      <c r="I28" s="63"/>
      <c r="J28" s="63"/>
      <c r="K28" s="63"/>
      <c r="L28" s="75" t="n">
        <v>7</v>
      </c>
      <c r="M28" s="63"/>
      <c r="N28" s="80" t="s">
        <v>51</v>
      </c>
      <c r="O28" s="81"/>
      <c r="P28" s="81"/>
      <c r="Q28" s="81"/>
      <c r="R28" s="63"/>
      <c r="S28" s="63"/>
      <c r="T28" s="63"/>
      <c r="U28" s="63"/>
      <c r="V28" s="63"/>
      <c r="W28" s="82"/>
    </row>
    <row r="29" customFormat="false" ht="15" hidden="false" customHeight="true" outlineLevel="0" collapsed="false">
      <c r="A29" s="79"/>
      <c r="B29" s="63"/>
      <c r="C29" s="91"/>
      <c r="D29" s="63"/>
      <c r="E29" s="63"/>
      <c r="F29" s="63"/>
      <c r="G29" s="63"/>
      <c r="H29" s="63"/>
      <c r="I29" s="63"/>
      <c r="J29" s="63"/>
      <c r="K29" s="63"/>
      <c r="L29" s="63"/>
      <c r="M29" s="63"/>
      <c r="N29" s="92" t="s">
        <v>52</v>
      </c>
      <c r="O29" s="81"/>
      <c r="P29" s="81"/>
      <c r="Q29" s="81"/>
      <c r="R29" s="63"/>
      <c r="S29" s="63"/>
      <c r="T29" s="63"/>
      <c r="U29" s="63"/>
      <c r="V29" s="63"/>
      <c r="W29" s="82"/>
    </row>
    <row r="30" customFormat="false" ht="7.5" hidden="false" customHeight="true" outlineLevel="0" collapsed="false">
      <c r="A30" s="79"/>
      <c r="B30" s="63"/>
      <c r="C30" s="63"/>
      <c r="D30" s="63"/>
      <c r="E30" s="63"/>
      <c r="F30" s="63"/>
      <c r="G30" s="63"/>
      <c r="H30" s="63"/>
      <c r="I30" s="63"/>
      <c r="J30" s="63"/>
      <c r="K30" s="63"/>
      <c r="L30" s="63"/>
      <c r="M30" s="63"/>
      <c r="N30" s="92"/>
      <c r="O30" s="81"/>
      <c r="P30" s="81"/>
      <c r="Q30" s="81"/>
      <c r="R30" s="63"/>
      <c r="S30" s="63"/>
      <c r="T30" s="63"/>
      <c r="U30" s="63"/>
      <c r="V30" s="63"/>
      <c r="W30" s="82"/>
    </row>
    <row r="31" customFormat="false" ht="13.5" hidden="false" customHeight="false" outlineLevel="0" collapsed="false">
      <c r="A31" s="79"/>
      <c r="B31" s="63"/>
      <c r="C31" s="63"/>
      <c r="D31" s="63"/>
      <c r="E31" s="63"/>
      <c r="F31" s="63"/>
      <c r="G31" s="63"/>
      <c r="H31" s="63"/>
      <c r="I31" s="63"/>
      <c r="J31" s="63"/>
      <c r="K31" s="63"/>
      <c r="L31" s="63"/>
      <c r="M31" s="63"/>
      <c r="N31" s="87" t="n">
        <f aca="false">Admin!B17</f>
        <v>45021</v>
      </c>
      <c r="O31" s="87"/>
      <c r="P31" s="87"/>
      <c r="Q31" s="87"/>
      <c r="R31" s="63"/>
      <c r="S31" s="63"/>
      <c r="T31" s="63"/>
      <c r="U31" s="63"/>
      <c r="V31" s="63"/>
      <c r="W31" s="82"/>
    </row>
    <row r="32" customFormat="false" ht="7.5" hidden="false" customHeight="true" outlineLevel="0" collapsed="false">
      <c r="A32" s="93"/>
      <c r="B32" s="94"/>
      <c r="C32" s="94"/>
      <c r="D32" s="94"/>
      <c r="E32" s="94"/>
      <c r="F32" s="94"/>
      <c r="G32" s="94"/>
      <c r="H32" s="94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5"/>
    </row>
    <row r="33" customFormat="false" ht="24.75" hidden="false" customHeight="true" outlineLevel="0" collapsed="false">
      <c r="A33" s="96" t="str">
        <f aca="false">IF(D38&gt;67000,"SELF-EMPLOYMENT FULL RETURN REQUIRED AS TURNOVER EXCEEDS £"&amp;Admin!F26&amp;" VAT threshold","Business income - if your annual turnover was below £"&amp;Admin!F26&amp;" VAT threshold")</f>
        <v>Business income - if your annual turnover was below £85000 VAT threshold</v>
      </c>
      <c r="B33" s="96"/>
      <c r="C33" s="96"/>
      <c r="D33" s="96"/>
      <c r="E33" s="96"/>
      <c r="F33" s="96"/>
      <c r="G33" s="96"/>
      <c r="H33" s="96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</row>
    <row r="34" customFormat="false" ht="7.5" hidden="false" customHeight="true" outlineLevel="0" collapsed="false">
      <c r="A34" s="72"/>
      <c r="B34" s="73"/>
      <c r="C34" s="73"/>
      <c r="D34" s="73"/>
      <c r="E34" s="73"/>
      <c r="F34" s="73"/>
      <c r="G34" s="73"/>
      <c r="H34" s="73"/>
      <c r="I34" s="73"/>
      <c r="J34" s="73"/>
      <c r="K34" s="73"/>
      <c r="L34" s="73"/>
      <c r="M34" s="73"/>
      <c r="N34" s="73"/>
      <c r="O34" s="73"/>
      <c r="P34" s="73"/>
      <c r="Q34" s="73"/>
      <c r="R34" s="73"/>
      <c r="S34" s="73"/>
      <c r="T34" s="73"/>
      <c r="U34" s="73"/>
      <c r="V34" s="73"/>
      <c r="W34" s="74"/>
    </row>
    <row r="35" customFormat="false" ht="12" hidden="false" customHeight="false" outlineLevel="0" collapsed="false">
      <c r="A35" s="75" t="n">
        <v>8</v>
      </c>
      <c r="B35" s="63"/>
      <c r="C35" s="64" t="s">
        <v>53</v>
      </c>
      <c r="D35" s="64"/>
      <c r="E35" s="64"/>
      <c r="F35" s="64"/>
      <c r="G35" s="64"/>
      <c r="H35" s="64"/>
      <c r="I35" s="64"/>
      <c r="J35" s="64"/>
      <c r="K35" s="64"/>
      <c r="L35" s="75" t="n">
        <v>9</v>
      </c>
      <c r="M35" s="63"/>
      <c r="N35" s="64" t="s">
        <v>54</v>
      </c>
      <c r="O35" s="64"/>
      <c r="P35" s="64"/>
      <c r="Q35" s="64"/>
      <c r="R35" s="64"/>
      <c r="S35" s="64"/>
      <c r="T35" s="64"/>
      <c r="U35" s="64"/>
      <c r="V35" s="64"/>
      <c r="W35" s="78"/>
    </row>
    <row r="36" customFormat="false" ht="12" hidden="false" customHeight="false" outlineLevel="0" collapsed="false">
      <c r="A36" s="79"/>
      <c r="B36" s="63"/>
      <c r="C36" s="90" t="s">
        <v>55</v>
      </c>
      <c r="D36" s="63"/>
      <c r="E36" s="63"/>
      <c r="F36" s="63"/>
      <c r="G36" s="63"/>
      <c r="H36" s="63"/>
      <c r="I36" s="63"/>
      <c r="J36" s="63"/>
      <c r="K36" s="63"/>
      <c r="L36" s="63"/>
      <c r="M36" s="63"/>
      <c r="N36" s="90" t="s">
        <v>56</v>
      </c>
      <c r="O36" s="63"/>
      <c r="P36" s="63"/>
      <c r="Q36" s="63"/>
      <c r="R36" s="63"/>
      <c r="S36" s="63"/>
      <c r="T36" s="63"/>
      <c r="U36" s="63"/>
      <c r="V36" s="63"/>
      <c r="W36" s="82"/>
    </row>
    <row r="37" customFormat="false" ht="6" hidden="false" customHeight="true" outlineLevel="0" collapsed="false">
      <c r="A37" s="79"/>
      <c r="B37" s="63"/>
      <c r="C37" s="63"/>
      <c r="D37" s="63"/>
      <c r="E37" s="63"/>
      <c r="F37" s="63"/>
      <c r="G37" s="63"/>
      <c r="H37" s="63"/>
      <c r="I37" s="63"/>
      <c r="J37" s="63"/>
      <c r="K37" s="63"/>
      <c r="L37" s="63"/>
      <c r="M37" s="63"/>
      <c r="N37" s="63"/>
      <c r="O37" s="63"/>
      <c r="P37" s="63"/>
      <c r="Q37" s="63"/>
      <c r="R37" s="63"/>
      <c r="S37" s="63"/>
      <c r="T37" s="63"/>
      <c r="U37" s="63"/>
      <c r="V37" s="63"/>
      <c r="W37" s="82"/>
    </row>
    <row r="38" customFormat="false" ht="15" hidden="false" customHeight="false" outlineLevel="0" collapsed="false">
      <c r="A38" s="79"/>
      <c r="B38" s="63"/>
      <c r="C38" s="97" t="s">
        <v>32</v>
      </c>
      <c r="D38" s="98" t="n">
        <f aca="false">'Profit &amp; Loss Account'!B9</f>
        <v>30000</v>
      </c>
      <c r="E38" s="98"/>
      <c r="F38" s="98"/>
      <c r="G38" s="99" t="s">
        <v>33</v>
      </c>
      <c r="H38" s="100" t="n">
        <v>0</v>
      </c>
      <c r="I38" s="100" t="n">
        <v>0</v>
      </c>
      <c r="J38" s="63"/>
      <c r="K38" s="63"/>
      <c r="L38" s="63"/>
      <c r="M38" s="63"/>
      <c r="N38" s="97" t="s">
        <v>32</v>
      </c>
      <c r="O38" s="98" t="n">
        <f aca="false">'Profit &amp; Loss Account'!B38</f>
        <v>0</v>
      </c>
      <c r="P38" s="98"/>
      <c r="Q38" s="98"/>
      <c r="R38" s="99" t="s">
        <v>33</v>
      </c>
      <c r="S38" s="100" t="n">
        <v>0</v>
      </c>
      <c r="T38" s="100" t="n">
        <v>0</v>
      </c>
      <c r="U38" s="101"/>
      <c r="V38" s="102"/>
      <c r="W38" s="82"/>
    </row>
    <row r="39" customFormat="false" ht="7.5" hidden="false" customHeight="true" outlineLevel="0" collapsed="false">
      <c r="A39" s="93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5"/>
    </row>
    <row r="40" customFormat="false" ht="24.75" hidden="false" customHeight="true" outlineLevel="0" collapsed="false">
      <c r="A40" s="103" t="s">
        <v>57</v>
      </c>
      <c r="B40" s="103"/>
      <c r="C40" s="103"/>
      <c r="D40" s="103"/>
      <c r="E40" s="103"/>
      <c r="F40" s="103"/>
      <c r="G40" s="103"/>
      <c r="H40" s="103"/>
      <c r="I40" s="103"/>
      <c r="J40" s="103"/>
      <c r="K40" s="103"/>
      <c r="L40" s="103"/>
      <c r="M40" s="103"/>
      <c r="N40" s="103"/>
      <c r="O40" s="103"/>
      <c r="P40" s="103"/>
      <c r="Q40" s="103"/>
      <c r="R40" s="103"/>
      <c r="S40" s="103"/>
      <c r="T40" s="103"/>
      <c r="U40" s="103"/>
      <c r="V40" s="103"/>
      <c r="W40" s="103"/>
    </row>
    <row r="41" s="105" customFormat="true" ht="13.5" hidden="false" customHeight="true" outlineLevel="0" collapsed="false">
      <c r="A41" s="104" t="s">
        <v>58</v>
      </c>
      <c r="B41" s="104"/>
      <c r="C41" s="104"/>
      <c r="D41" s="104"/>
      <c r="E41" s="104"/>
      <c r="F41" s="104"/>
      <c r="G41" s="104"/>
      <c r="H41" s="104"/>
      <c r="I41" s="104"/>
      <c r="J41" s="104"/>
      <c r="K41" s="104"/>
      <c r="L41" s="104"/>
      <c r="M41" s="104"/>
      <c r="N41" s="104"/>
      <c r="O41" s="104"/>
      <c r="P41" s="104"/>
      <c r="Q41" s="104"/>
      <c r="R41" s="104"/>
      <c r="S41" s="104"/>
      <c r="T41" s="104"/>
      <c r="U41" s="104"/>
      <c r="V41" s="104"/>
      <c r="W41" s="104"/>
    </row>
    <row r="42" s="105" customFormat="true" ht="13.5" hidden="false" customHeight="true" outlineLevel="0" collapsed="false">
      <c r="A42" s="104" t="s">
        <v>59</v>
      </c>
      <c r="B42" s="104"/>
      <c r="C42" s="104"/>
      <c r="D42" s="104"/>
      <c r="E42" s="104"/>
      <c r="F42" s="104"/>
      <c r="G42" s="104"/>
      <c r="H42" s="104"/>
      <c r="I42" s="104"/>
      <c r="J42" s="104"/>
      <c r="K42" s="104"/>
      <c r="L42" s="104"/>
      <c r="M42" s="104"/>
      <c r="N42" s="104"/>
      <c r="O42" s="104"/>
      <c r="P42" s="104"/>
      <c r="Q42" s="104"/>
      <c r="R42" s="104"/>
      <c r="S42" s="104"/>
      <c r="T42" s="104"/>
      <c r="U42" s="104"/>
      <c r="V42" s="104"/>
      <c r="W42" s="104"/>
    </row>
    <row r="43" customFormat="false" ht="7.5" hidden="false" customHeight="true" outlineLevel="0" collapsed="false">
      <c r="A43" s="72"/>
      <c r="B43" s="73"/>
      <c r="C43" s="73"/>
      <c r="D43" s="73"/>
      <c r="E43" s="73"/>
      <c r="F43" s="73"/>
      <c r="G43" s="73"/>
      <c r="H43" s="73"/>
      <c r="I43" s="73"/>
      <c r="J43" s="73"/>
      <c r="K43" s="73"/>
      <c r="L43" s="73"/>
      <c r="M43" s="73"/>
      <c r="N43" s="73"/>
      <c r="O43" s="73"/>
      <c r="P43" s="73"/>
      <c r="Q43" s="73"/>
      <c r="R43" s="73"/>
      <c r="S43" s="73"/>
      <c r="T43" s="73"/>
      <c r="U43" s="73"/>
      <c r="V43" s="73"/>
      <c r="W43" s="74"/>
    </row>
    <row r="44" customFormat="false" ht="12" hidden="false" customHeight="false" outlineLevel="0" collapsed="false">
      <c r="A44" s="75" t="n">
        <v>10</v>
      </c>
      <c r="B44" s="63"/>
      <c r="C44" s="64" t="s">
        <v>60</v>
      </c>
      <c r="D44" s="64"/>
      <c r="E44" s="64"/>
      <c r="F44" s="64"/>
      <c r="G44" s="64"/>
      <c r="H44" s="64"/>
      <c r="I44" s="64"/>
      <c r="J44" s="64"/>
      <c r="K44" s="64"/>
      <c r="L44" s="75" t="n">
        <v>15</v>
      </c>
      <c r="M44" s="63"/>
      <c r="N44" s="64" t="s">
        <v>61</v>
      </c>
      <c r="O44" s="63"/>
      <c r="P44" s="63"/>
      <c r="Q44" s="63"/>
      <c r="R44" s="63"/>
      <c r="S44" s="63"/>
      <c r="T44" s="63"/>
      <c r="U44" s="63"/>
      <c r="V44" s="63"/>
      <c r="W44" s="82"/>
    </row>
    <row r="45" customFormat="false" ht="6" hidden="false" customHeight="true" outlineLevel="0" collapsed="false">
      <c r="A45" s="106"/>
      <c r="B45" s="63"/>
      <c r="C45" s="64"/>
      <c r="D45" s="64"/>
      <c r="E45" s="64"/>
      <c r="F45" s="64"/>
      <c r="G45" s="64"/>
      <c r="H45" s="64"/>
      <c r="I45" s="64"/>
      <c r="J45" s="64"/>
      <c r="K45" s="64"/>
      <c r="L45" s="64"/>
      <c r="M45" s="63"/>
      <c r="N45" s="63"/>
      <c r="O45" s="63"/>
      <c r="P45" s="63"/>
      <c r="Q45" s="63"/>
      <c r="R45" s="63"/>
      <c r="S45" s="63"/>
      <c r="T45" s="63"/>
      <c r="U45" s="63"/>
      <c r="V45" s="63"/>
      <c r="W45" s="82"/>
    </row>
    <row r="46" customFormat="false" ht="15" hidden="false" customHeight="false" outlineLevel="0" collapsed="false">
      <c r="A46" s="79"/>
      <c r="B46" s="63"/>
      <c r="C46" s="97" t="s">
        <v>32</v>
      </c>
      <c r="D46" s="98" t="str">
        <f aca="false">IF('Profit &amp; Loss Account'!B9&gt;30000,'Profit &amp; Loss Account'!B17," ")</f>
        <v> </v>
      </c>
      <c r="E46" s="98"/>
      <c r="F46" s="98"/>
      <c r="G46" s="99" t="s">
        <v>33</v>
      </c>
      <c r="H46" s="100" t="n">
        <v>0</v>
      </c>
      <c r="I46" s="100" t="n">
        <v>0</v>
      </c>
      <c r="J46" s="63"/>
      <c r="K46" s="63"/>
      <c r="L46" s="63"/>
      <c r="M46" s="63"/>
      <c r="N46" s="97" t="s">
        <v>32</v>
      </c>
      <c r="O46" s="98" t="str">
        <f aca="false">IF('Profit &amp; Loss Account'!B9&gt;30000,'Profit &amp; Loss Account'!B28," ")</f>
        <v> </v>
      </c>
      <c r="P46" s="98"/>
      <c r="Q46" s="98"/>
      <c r="R46" s="99" t="s">
        <v>33</v>
      </c>
      <c r="S46" s="100" t="n">
        <v>0</v>
      </c>
      <c r="T46" s="100" t="n">
        <v>0</v>
      </c>
      <c r="U46" s="63"/>
      <c r="V46" s="63"/>
      <c r="W46" s="82"/>
    </row>
    <row r="47" customFormat="false" ht="12" hidden="false" customHeight="false" outlineLevel="0" collapsed="false">
      <c r="A47" s="79"/>
      <c r="B47" s="63"/>
      <c r="C47" s="63"/>
      <c r="D47" s="63"/>
      <c r="E47" s="63"/>
      <c r="F47" s="63"/>
      <c r="G47" s="63"/>
      <c r="H47" s="63"/>
      <c r="I47" s="63"/>
      <c r="J47" s="63"/>
      <c r="K47" s="63"/>
      <c r="L47" s="63"/>
      <c r="M47" s="63"/>
      <c r="N47" s="63"/>
      <c r="O47" s="63"/>
      <c r="P47" s="63"/>
      <c r="Q47" s="63"/>
      <c r="R47" s="63"/>
      <c r="S47" s="63"/>
      <c r="T47" s="63"/>
      <c r="U47" s="63"/>
      <c r="V47" s="63"/>
      <c r="W47" s="82"/>
    </row>
    <row r="48" customFormat="false" ht="12" hidden="false" customHeight="false" outlineLevel="0" collapsed="false">
      <c r="A48" s="75" t="n">
        <v>11</v>
      </c>
      <c r="B48" s="63"/>
      <c r="C48" s="64" t="s">
        <v>62</v>
      </c>
      <c r="D48" s="64"/>
      <c r="E48" s="64"/>
      <c r="F48" s="64"/>
      <c r="G48" s="64"/>
      <c r="H48" s="64"/>
      <c r="I48" s="64"/>
      <c r="J48" s="64"/>
      <c r="K48" s="64"/>
      <c r="L48" s="75" t="n">
        <v>16</v>
      </c>
      <c r="M48" s="63"/>
      <c r="N48" s="64" t="s">
        <v>63</v>
      </c>
      <c r="O48" s="63"/>
      <c r="P48" s="63"/>
      <c r="Q48" s="63"/>
      <c r="R48" s="63"/>
      <c r="S48" s="63"/>
      <c r="T48" s="63"/>
      <c r="U48" s="63"/>
      <c r="V48" s="63"/>
      <c r="W48" s="82"/>
    </row>
    <row r="49" customFormat="false" ht="12.75" hidden="false" customHeight="true" outlineLevel="0" collapsed="false">
      <c r="A49" s="79"/>
      <c r="B49" s="63"/>
      <c r="C49" s="90" t="s">
        <v>64</v>
      </c>
      <c r="D49" s="63"/>
      <c r="E49" s="63"/>
      <c r="F49" s="63"/>
      <c r="G49" s="63"/>
      <c r="H49" s="63"/>
      <c r="I49" s="63"/>
      <c r="J49" s="63"/>
      <c r="K49" s="63"/>
      <c r="L49" s="63"/>
      <c r="M49" s="63"/>
      <c r="N49" s="63"/>
      <c r="O49" s="63"/>
      <c r="P49" s="63"/>
      <c r="Q49" s="63"/>
      <c r="R49" s="63"/>
      <c r="S49" s="63"/>
      <c r="T49" s="63"/>
      <c r="U49" s="63"/>
      <c r="V49" s="63"/>
      <c r="W49" s="82"/>
    </row>
    <row r="50" customFormat="false" ht="6" hidden="false" customHeight="true" outlineLevel="0" collapsed="false">
      <c r="A50" s="106"/>
      <c r="B50" s="63"/>
      <c r="C50" s="64"/>
      <c r="D50" s="64"/>
      <c r="E50" s="64"/>
      <c r="F50" s="64"/>
      <c r="G50" s="64"/>
      <c r="H50" s="64"/>
      <c r="I50" s="64"/>
      <c r="J50" s="64"/>
      <c r="K50" s="64"/>
      <c r="L50" s="64"/>
      <c r="M50" s="63"/>
      <c r="N50" s="63"/>
      <c r="O50" s="63"/>
      <c r="P50" s="63"/>
      <c r="Q50" s="63"/>
      <c r="R50" s="63"/>
      <c r="S50" s="63"/>
      <c r="T50" s="63"/>
      <c r="U50" s="63"/>
      <c r="V50" s="63"/>
      <c r="W50" s="82"/>
    </row>
    <row r="51" customFormat="false" ht="15" hidden="false" customHeight="false" outlineLevel="0" collapsed="false">
      <c r="A51" s="79"/>
      <c r="B51" s="63"/>
      <c r="C51" s="97" t="s">
        <v>32</v>
      </c>
      <c r="D51" s="98" t="str">
        <f aca="false">IF('Profit &amp; Loss Account'!B9&gt;30000,'Profit &amp; Loss Account'!B25+'Profit &amp; Loss Account'!B26," ")</f>
        <v> </v>
      </c>
      <c r="E51" s="98"/>
      <c r="F51" s="98"/>
      <c r="G51" s="99" t="s">
        <v>33</v>
      </c>
      <c r="H51" s="100" t="n">
        <v>0</v>
      </c>
      <c r="I51" s="100" t="n">
        <v>0</v>
      </c>
      <c r="J51" s="63"/>
      <c r="K51" s="63"/>
      <c r="L51" s="63"/>
      <c r="M51" s="63"/>
      <c r="N51" s="97" t="s">
        <v>32</v>
      </c>
      <c r="O51" s="98" t="str">
        <f aca="false">IF('Profit &amp; Loss Account'!B9&gt;30000,'Profit &amp; Loss Account'!B30+'Profit &amp; Loss Account'!B31," ")</f>
        <v> </v>
      </c>
      <c r="P51" s="98"/>
      <c r="Q51" s="98"/>
      <c r="R51" s="99" t="s">
        <v>33</v>
      </c>
      <c r="S51" s="100" t="n">
        <v>0</v>
      </c>
      <c r="T51" s="100" t="n">
        <v>0</v>
      </c>
      <c r="U51" s="63"/>
      <c r="V51" s="63"/>
      <c r="W51" s="82"/>
    </row>
    <row r="52" customFormat="false" ht="12.75" hidden="false" customHeight="true" outlineLevel="0" collapsed="false">
      <c r="A52" s="79"/>
      <c r="B52" s="63"/>
      <c r="C52" s="63"/>
      <c r="D52" s="63"/>
      <c r="E52" s="63"/>
      <c r="F52" s="63"/>
      <c r="G52" s="63"/>
      <c r="H52" s="63"/>
      <c r="I52" s="63"/>
      <c r="J52" s="63"/>
      <c r="K52" s="63"/>
      <c r="L52" s="63"/>
      <c r="M52" s="63"/>
      <c r="N52" s="63"/>
      <c r="O52" s="63"/>
      <c r="P52" s="63"/>
      <c r="Q52" s="63"/>
      <c r="R52" s="63"/>
      <c r="S52" s="63"/>
      <c r="T52" s="63"/>
      <c r="U52" s="63"/>
      <c r="V52" s="63"/>
      <c r="W52" s="82"/>
    </row>
    <row r="53" customFormat="false" ht="12" hidden="false" customHeight="false" outlineLevel="0" collapsed="false">
      <c r="A53" s="75" t="n">
        <v>12</v>
      </c>
      <c r="B53" s="63"/>
      <c r="C53" s="64" t="s">
        <v>65</v>
      </c>
      <c r="D53" s="64"/>
      <c r="E53" s="64"/>
      <c r="F53" s="64"/>
      <c r="G53" s="64"/>
      <c r="H53" s="64"/>
      <c r="I53" s="64"/>
      <c r="J53" s="64"/>
      <c r="K53" s="64"/>
      <c r="L53" s="75" t="n">
        <v>17</v>
      </c>
      <c r="M53" s="63"/>
      <c r="N53" s="64" t="s">
        <v>66</v>
      </c>
      <c r="O53" s="63"/>
      <c r="P53" s="63"/>
      <c r="Q53" s="63"/>
      <c r="R53" s="63"/>
      <c r="S53" s="63"/>
      <c r="T53" s="63"/>
      <c r="U53" s="63"/>
      <c r="V53" s="63"/>
      <c r="W53" s="82"/>
    </row>
    <row r="54" customFormat="false" ht="6" hidden="false" customHeight="true" outlineLevel="0" collapsed="false">
      <c r="A54" s="106"/>
      <c r="B54" s="63"/>
      <c r="C54" s="64"/>
      <c r="D54" s="64"/>
      <c r="E54" s="64"/>
      <c r="F54" s="64"/>
      <c r="G54" s="64"/>
      <c r="H54" s="64"/>
      <c r="I54" s="64"/>
      <c r="J54" s="64"/>
      <c r="K54" s="64"/>
      <c r="L54" s="64"/>
      <c r="M54" s="63"/>
      <c r="N54" s="63"/>
      <c r="O54" s="63"/>
      <c r="P54" s="63"/>
      <c r="Q54" s="63"/>
      <c r="R54" s="63"/>
      <c r="S54" s="63"/>
      <c r="T54" s="63"/>
      <c r="U54" s="63"/>
      <c r="V54" s="63"/>
      <c r="W54" s="82"/>
    </row>
    <row r="55" customFormat="false" ht="15" hidden="false" customHeight="false" outlineLevel="0" collapsed="false">
      <c r="A55" s="79"/>
      <c r="B55" s="63"/>
      <c r="C55" s="97" t="s">
        <v>32</v>
      </c>
      <c r="D55" s="98" t="str">
        <f aca="false">IF('Profit &amp; Loss Account'!B9&gt;30000,'Profit &amp; Loss Account'!B21," ")</f>
        <v> </v>
      </c>
      <c r="E55" s="98"/>
      <c r="F55" s="98"/>
      <c r="G55" s="99" t="s">
        <v>33</v>
      </c>
      <c r="H55" s="100" t="n">
        <v>0</v>
      </c>
      <c r="I55" s="100" t="n">
        <v>0</v>
      </c>
      <c r="J55" s="63"/>
      <c r="K55" s="63"/>
      <c r="L55" s="63"/>
      <c r="M55" s="63"/>
      <c r="N55" s="97" t="s">
        <v>32</v>
      </c>
      <c r="O55" s="98" t="str">
        <f aca="false">IF('Profit &amp; Loss Account'!B9&gt;30000,'Profit &amp; Loss Account'!B24," ")</f>
        <v> </v>
      </c>
      <c r="P55" s="98"/>
      <c r="Q55" s="98"/>
      <c r="R55" s="99" t="s">
        <v>33</v>
      </c>
      <c r="S55" s="100" t="n">
        <v>0</v>
      </c>
      <c r="T55" s="100" t="n">
        <v>0</v>
      </c>
      <c r="U55" s="63"/>
      <c r="V55" s="63"/>
      <c r="W55" s="82"/>
    </row>
    <row r="56" customFormat="false" ht="12" hidden="false" customHeight="false" outlineLevel="0" collapsed="false">
      <c r="A56" s="79"/>
      <c r="B56" s="63"/>
      <c r="C56" s="63"/>
      <c r="D56" s="63"/>
      <c r="E56" s="63"/>
      <c r="F56" s="63"/>
      <c r="G56" s="63"/>
      <c r="H56" s="63"/>
      <c r="I56" s="63"/>
      <c r="J56" s="63"/>
      <c r="K56" s="63"/>
      <c r="L56" s="63"/>
      <c r="M56" s="63"/>
      <c r="N56" s="63"/>
      <c r="O56" s="63"/>
      <c r="P56" s="63"/>
      <c r="Q56" s="63"/>
      <c r="R56" s="63"/>
      <c r="S56" s="63"/>
      <c r="T56" s="63"/>
      <c r="U56" s="63"/>
      <c r="V56" s="63"/>
      <c r="W56" s="82"/>
    </row>
    <row r="57" customFormat="false" ht="12" hidden="false" customHeight="false" outlineLevel="0" collapsed="false">
      <c r="A57" s="75" t="n">
        <v>13</v>
      </c>
      <c r="B57" s="63"/>
      <c r="C57" s="64" t="s">
        <v>67</v>
      </c>
      <c r="D57" s="64"/>
      <c r="E57" s="64"/>
      <c r="F57" s="64"/>
      <c r="G57" s="64"/>
      <c r="H57" s="64"/>
      <c r="I57" s="64"/>
      <c r="J57" s="64"/>
      <c r="K57" s="64"/>
      <c r="L57" s="75" t="n">
        <v>18</v>
      </c>
      <c r="M57" s="63"/>
      <c r="N57" s="64" t="s">
        <v>68</v>
      </c>
      <c r="O57" s="63"/>
      <c r="P57" s="63"/>
      <c r="Q57" s="63"/>
      <c r="R57" s="63"/>
      <c r="S57" s="63"/>
      <c r="T57" s="63"/>
      <c r="U57" s="63"/>
      <c r="V57" s="63"/>
      <c r="W57" s="82"/>
    </row>
    <row r="58" customFormat="false" ht="12" hidden="false" customHeight="false" outlineLevel="0" collapsed="false">
      <c r="A58" s="79"/>
      <c r="B58" s="63"/>
      <c r="C58" s="63"/>
      <c r="D58" s="63"/>
      <c r="E58" s="63"/>
      <c r="F58" s="63"/>
      <c r="G58" s="63"/>
      <c r="H58" s="63"/>
      <c r="I58" s="63"/>
      <c r="J58" s="63"/>
      <c r="K58" s="63"/>
      <c r="L58" s="63"/>
      <c r="M58" s="63"/>
      <c r="N58" s="90" t="s">
        <v>69</v>
      </c>
      <c r="O58" s="63"/>
      <c r="P58" s="63"/>
      <c r="Q58" s="63"/>
      <c r="R58" s="63"/>
      <c r="S58" s="63"/>
      <c r="T58" s="63"/>
      <c r="U58" s="63"/>
      <c r="V58" s="63"/>
      <c r="W58" s="82"/>
    </row>
    <row r="59" customFormat="false" ht="6" hidden="false" customHeight="true" outlineLevel="0" collapsed="false">
      <c r="A59" s="106"/>
      <c r="B59" s="63"/>
      <c r="C59" s="64"/>
      <c r="D59" s="64"/>
      <c r="E59" s="64"/>
      <c r="F59" s="64"/>
      <c r="G59" s="64"/>
      <c r="H59" s="64"/>
      <c r="I59" s="64"/>
      <c r="J59" s="64"/>
      <c r="K59" s="64"/>
      <c r="L59" s="64"/>
      <c r="M59" s="63"/>
      <c r="N59" s="63"/>
      <c r="O59" s="63"/>
      <c r="P59" s="63"/>
      <c r="Q59" s="63"/>
      <c r="R59" s="63"/>
      <c r="S59" s="63"/>
      <c r="T59" s="63"/>
      <c r="U59" s="63"/>
      <c r="V59" s="63"/>
      <c r="W59" s="82"/>
    </row>
    <row r="60" customFormat="false" ht="15" hidden="false" customHeight="false" outlineLevel="0" collapsed="false">
      <c r="A60" s="79"/>
      <c r="B60" s="63"/>
      <c r="C60" s="97" t="s">
        <v>32</v>
      </c>
      <c r="D60" s="98" t="str">
        <f aca="false">IF('Profit &amp; Loss Account'!B9&gt;30000,'Profit &amp; Loss Account'!B22," ")</f>
        <v> </v>
      </c>
      <c r="E60" s="98"/>
      <c r="F60" s="98"/>
      <c r="G60" s="99" t="s">
        <v>33</v>
      </c>
      <c r="H60" s="100" t="n">
        <v>0</v>
      </c>
      <c r="I60" s="100" t="n">
        <v>0</v>
      </c>
      <c r="J60" s="63"/>
      <c r="K60" s="63"/>
      <c r="L60" s="63"/>
      <c r="M60" s="63"/>
      <c r="N60" s="97" t="s">
        <v>32</v>
      </c>
      <c r="O60" s="98" t="str">
        <f aca="false">IF('Profit &amp; Loss Account'!B9&gt;30000,'Profit &amp; Loss Account'!B27+'Profit &amp; Loss Account'!B29+'Profit &amp; Loss Account'!B32+'Profit &amp; Loss Account'!B33," ")</f>
        <v> </v>
      </c>
      <c r="P60" s="98"/>
      <c r="Q60" s="98"/>
      <c r="R60" s="99" t="s">
        <v>33</v>
      </c>
      <c r="S60" s="100" t="n">
        <v>0</v>
      </c>
      <c r="T60" s="100" t="n">
        <v>0</v>
      </c>
      <c r="U60" s="63"/>
      <c r="V60" s="63"/>
      <c r="W60" s="82"/>
    </row>
    <row r="61" customFormat="false" ht="12" hidden="false" customHeight="false" outlineLevel="0" collapsed="false">
      <c r="A61" s="79"/>
      <c r="B61" s="63"/>
      <c r="C61" s="63"/>
      <c r="D61" s="63"/>
      <c r="E61" s="63"/>
      <c r="F61" s="63"/>
      <c r="G61" s="63"/>
      <c r="H61" s="63"/>
      <c r="I61" s="63"/>
      <c r="J61" s="63"/>
      <c r="K61" s="63"/>
      <c r="L61" s="63"/>
      <c r="M61" s="63"/>
      <c r="N61" s="63"/>
      <c r="O61" s="63"/>
      <c r="P61" s="63"/>
      <c r="Q61" s="63"/>
      <c r="R61" s="63"/>
      <c r="S61" s="63"/>
      <c r="T61" s="63"/>
      <c r="U61" s="63"/>
      <c r="V61" s="63"/>
      <c r="W61" s="82"/>
    </row>
    <row r="62" customFormat="false" ht="12" hidden="false" customHeight="false" outlineLevel="0" collapsed="false">
      <c r="A62" s="75" t="n">
        <v>14</v>
      </c>
      <c r="B62" s="63"/>
      <c r="C62" s="64" t="s">
        <v>70</v>
      </c>
      <c r="D62" s="64"/>
      <c r="E62" s="64"/>
      <c r="F62" s="64"/>
      <c r="G62" s="64"/>
      <c r="H62" s="64"/>
      <c r="I62" s="64"/>
      <c r="J62" s="64"/>
      <c r="K62" s="64"/>
      <c r="L62" s="75" t="n">
        <v>19</v>
      </c>
      <c r="M62" s="63"/>
      <c r="N62" s="64" t="s">
        <v>71</v>
      </c>
      <c r="O62" s="63"/>
      <c r="P62" s="63"/>
      <c r="Q62" s="63"/>
      <c r="R62" s="63"/>
      <c r="S62" s="63"/>
      <c r="T62" s="63"/>
      <c r="U62" s="63"/>
      <c r="V62" s="63"/>
      <c r="W62" s="82"/>
    </row>
    <row r="63" customFormat="false" ht="6" hidden="false" customHeight="true" outlineLevel="0" collapsed="false">
      <c r="A63" s="106"/>
      <c r="B63" s="63"/>
      <c r="C63" s="64"/>
      <c r="D63" s="64"/>
      <c r="E63" s="64"/>
      <c r="F63" s="64"/>
      <c r="G63" s="64"/>
      <c r="H63" s="64"/>
      <c r="I63" s="64"/>
      <c r="J63" s="64"/>
      <c r="K63" s="64"/>
      <c r="L63" s="64"/>
      <c r="M63" s="63"/>
      <c r="N63" s="63"/>
      <c r="O63" s="63"/>
      <c r="P63" s="63"/>
      <c r="Q63" s="63"/>
      <c r="R63" s="63"/>
      <c r="S63" s="63"/>
      <c r="T63" s="63"/>
      <c r="U63" s="63"/>
      <c r="V63" s="63"/>
      <c r="W63" s="82"/>
    </row>
    <row r="64" customFormat="false" ht="15" hidden="false" customHeight="false" outlineLevel="0" collapsed="false">
      <c r="A64" s="79"/>
      <c r="B64" s="63"/>
      <c r="C64" s="97" t="s">
        <v>32</v>
      </c>
      <c r="D64" s="98" t="str">
        <f aca="false">IF('Profit &amp; Loss Account'!B9&gt;30000,'Profit &amp; Loss Account'!B23," ")</f>
        <v> </v>
      </c>
      <c r="E64" s="98"/>
      <c r="F64" s="98"/>
      <c r="G64" s="99" t="s">
        <v>33</v>
      </c>
      <c r="H64" s="100" t="n">
        <v>0</v>
      </c>
      <c r="I64" s="100" t="n">
        <v>0</v>
      </c>
      <c r="J64" s="63"/>
      <c r="K64" s="63"/>
      <c r="L64" s="63"/>
      <c r="M64" s="63"/>
      <c r="N64" s="97" t="s">
        <v>32</v>
      </c>
      <c r="O64" s="98" t="n">
        <f aca="false">'Profit &amp; Loss Account'!B17+'Profit &amp; Loss Account'!B35-'Profit &amp; Loss Account'!B34</f>
        <v>4200</v>
      </c>
      <c r="P64" s="98"/>
      <c r="Q64" s="98"/>
      <c r="R64" s="99" t="s">
        <v>33</v>
      </c>
      <c r="S64" s="100" t="n">
        <v>0</v>
      </c>
      <c r="T64" s="100" t="n">
        <v>0</v>
      </c>
      <c r="U64" s="63"/>
      <c r="V64" s="63"/>
      <c r="W64" s="82"/>
    </row>
    <row r="65" customFormat="false" ht="7.5" hidden="false" customHeight="true" outlineLevel="0" collapsed="false">
      <c r="A65" s="93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5"/>
    </row>
    <row r="66" customFormat="false" ht="24.75" hidden="false" customHeight="true" outlineLevel="0" collapsed="false">
      <c r="A66" s="107" t="s">
        <v>72</v>
      </c>
      <c r="B66" s="107"/>
      <c r="C66" s="107"/>
      <c r="D66" s="107"/>
      <c r="E66" s="107"/>
      <c r="F66" s="107"/>
      <c r="G66" s="107"/>
      <c r="H66" s="107"/>
      <c r="I66" s="107"/>
      <c r="J66" s="107"/>
      <c r="K66" s="107"/>
      <c r="L66" s="107"/>
      <c r="M66" s="107"/>
      <c r="N66" s="107"/>
      <c r="O66" s="107"/>
      <c r="P66" s="107"/>
      <c r="Q66" s="107"/>
      <c r="R66" s="107"/>
      <c r="S66" s="107"/>
      <c r="T66" s="107"/>
      <c r="U66" s="107"/>
      <c r="V66" s="107"/>
      <c r="W66" s="107"/>
    </row>
    <row r="67" customFormat="false" ht="7.5" hidden="false" customHeight="true" outlineLevel="0" collapsed="false">
      <c r="A67" s="72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73"/>
      <c r="S67" s="73"/>
      <c r="T67" s="73"/>
      <c r="U67" s="73"/>
      <c r="V67" s="73"/>
      <c r="W67" s="74"/>
    </row>
    <row r="68" customFormat="false" ht="12" hidden="false" customHeight="false" outlineLevel="0" collapsed="false">
      <c r="A68" s="75" t="n">
        <v>20</v>
      </c>
      <c r="B68" s="63"/>
      <c r="C68" s="64" t="s">
        <v>73</v>
      </c>
      <c r="D68" s="64"/>
      <c r="E68" s="64"/>
      <c r="F68" s="64"/>
      <c r="G68" s="64"/>
      <c r="H68" s="64"/>
      <c r="I68" s="64"/>
      <c r="J68" s="64"/>
      <c r="K68" s="64"/>
      <c r="L68" s="75" t="n">
        <v>21</v>
      </c>
      <c r="M68" s="63"/>
      <c r="N68" s="64" t="s">
        <v>74</v>
      </c>
      <c r="O68" s="63"/>
      <c r="P68" s="63"/>
      <c r="Q68" s="63"/>
      <c r="R68" s="63"/>
      <c r="S68" s="63"/>
      <c r="T68" s="63"/>
      <c r="U68" s="63"/>
      <c r="V68" s="63"/>
      <c r="W68" s="82"/>
    </row>
    <row r="69" customFormat="false" ht="12" hidden="false" customHeight="false" outlineLevel="0" collapsed="false">
      <c r="A69" s="79"/>
      <c r="B69" s="63"/>
      <c r="C69" s="90" t="s">
        <v>75</v>
      </c>
      <c r="D69" s="64"/>
      <c r="E69" s="64"/>
      <c r="F69" s="64"/>
      <c r="G69" s="64"/>
      <c r="H69" s="64"/>
      <c r="I69" s="64"/>
      <c r="J69" s="64"/>
      <c r="K69" s="64"/>
      <c r="L69" s="63"/>
      <c r="M69" s="63"/>
      <c r="N69" s="90" t="s">
        <v>76</v>
      </c>
      <c r="O69" s="63"/>
      <c r="P69" s="63"/>
      <c r="Q69" s="63"/>
      <c r="R69" s="63"/>
      <c r="S69" s="63"/>
      <c r="T69" s="63"/>
      <c r="U69" s="63"/>
      <c r="V69" s="63"/>
      <c r="W69" s="82"/>
    </row>
    <row r="70" customFormat="false" ht="6" hidden="false" customHeight="true" outlineLevel="0" collapsed="false">
      <c r="A70" s="106"/>
      <c r="B70" s="63"/>
      <c r="C70" s="64"/>
      <c r="D70" s="64"/>
      <c r="E70" s="64"/>
      <c r="F70" s="64"/>
      <c r="G70" s="64"/>
      <c r="H70" s="64"/>
      <c r="I70" s="64"/>
      <c r="J70" s="64"/>
      <c r="K70" s="64"/>
      <c r="L70" s="64"/>
      <c r="M70" s="63"/>
      <c r="N70" s="63"/>
      <c r="O70" s="63"/>
      <c r="P70" s="63"/>
      <c r="Q70" s="63"/>
      <c r="R70" s="63"/>
      <c r="S70" s="63"/>
      <c r="T70" s="63"/>
      <c r="U70" s="63"/>
      <c r="V70" s="63"/>
      <c r="W70" s="82"/>
    </row>
    <row r="71" customFormat="false" ht="15" hidden="false" customHeight="false" outlineLevel="0" collapsed="false">
      <c r="A71" s="79"/>
      <c r="B71" s="63"/>
      <c r="C71" s="97" t="s">
        <v>32</v>
      </c>
      <c r="D71" s="98" t="n">
        <f aca="false">IF((D38+O38-O64)&gt;=0,D38+O38-O64,0)</f>
        <v>25800</v>
      </c>
      <c r="E71" s="98"/>
      <c r="F71" s="98"/>
      <c r="G71" s="99" t="s">
        <v>33</v>
      </c>
      <c r="H71" s="100" t="n">
        <v>0</v>
      </c>
      <c r="I71" s="100" t="n">
        <v>0</v>
      </c>
      <c r="J71" s="63"/>
      <c r="K71" s="63"/>
      <c r="L71" s="63"/>
      <c r="M71" s="63"/>
      <c r="N71" s="97" t="s">
        <v>32</v>
      </c>
      <c r="O71" s="98" t="n">
        <f aca="false">IF((D38+O38-O64)&lt;0,O64-D38-O38,0)</f>
        <v>0</v>
      </c>
      <c r="P71" s="98"/>
      <c r="Q71" s="98"/>
      <c r="R71" s="99" t="s">
        <v>33</v>
      </c>
      <c r="S71" s="100" t="n">
        <v>0</v>
      </c>
      <c r="T71" s="100" t="n">
        <v>0</v>
      </c>
      <c r="U71" s="63"/>
      <c r="V71" s="63"/>
      <c r="W71" s="108"/>
      <c r="Y71" s="109"/>
      <c r="Z71" s="109"/>
    </row>
    <row r="72" customFormat="false" ht="7.5" hidden="false" customHeight="true" outlineLevel="0" collapsed="false">
      <c r="A72" s="93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5"/>
    </row>
    <row r="73" customFormat="false" ht="24.75" hidden="false" customHeight="true" outlineLevel="0" collapsed="false">
      <c r="A73" s="103" t="s">
        <v>77</v>
      </c>
      <c r="B73" s="103"/>
      <c r="C73" s="103"/>
      <c r="D73" s="103"/>
      <c r="E73" s="103"/>
      <c r="F73" s="103"/>
      <c r="G73" s="103"/>
      <c r="H73" s="103"/>
      <c r="I73" s="103"/>
      <c r="J73" s="103"/>
      <c r="K73" s="103"/>
      <c r="L73" s="103"/>
      <c r="M73" s="103"/>
      <c r="N73" s="103"/>
      <c r="O73" s="103"/>
      <c r="P73" s="103"/>
      <c r="Q73" s="103"/>
      <c r="R73" s="103"/>
      <c r="S73" s="103"/>
      <c r="T73" s="103"/>
      <c r="U73" s="103"/>
      <c r="V73" s="103"/>
      <c r="W73" s="103"/>
      <c r="Y73" s="109"/>
      <c r="Z73" s="109"/>
    </row>
    <row r="74" customFormat="false" ht="13.5" hidden="false" customHeight="true" outlineLevel="0" collapsed="false">
      <c r="A74" s="104" t="s">
        <v>78</v>
      </c>
      <c r="B74" s="104"/>
      <c r="C74" s="104"/>
      <c r="D74" s="104"/>
      <c r="E74" s="104"/>
      <c r="F74" s="104"/>
      <c r="G74" s="104"/>
      <c r="H74" s="104"/>
      <c r="I74" s="104"/>
      <c r="J74" s="104"/>
      <c r="K74" s="104"/>
      <c r="L74" s="104"/>
      <c r="M74" s="104"/>
      <c r="N74" s="104"/>
      <c r="O74" s="104"/>
      <c r="P74" s="104"/>
      <c r="Q74" s="104"/>
      <c r="R74" s="104"/>
      <c r="S74" s="104"/>
      <c r="T74" s="104"/>
      <c r="U74" s="104"/>
      <c r="V74" s="104"/>
      <c r="W74" s="104"/>
    </row>
    <row r="75" customFormat="false" ht="13.5" hidden="false" customHeight="true" outlineLevel="0" collapsed="false">
      <c r="A75" s="104" t="s">
        <v>79</v>
      </c>
      <c r="B75" s="104"/>
      <c r="C75" s="104"/>
      <c r="D75" s="104"/>
      <c r="E75" s="104"/>
      <c r="F75" s="104"/>
      <c r="G75" s="104"/>
      <c r="H75" s="104"/>
      <c r="I75" s="104"/>
      <c r="J75" s="104"/>
      <c r="K75" s="104"/>
      <c r="L75" s="104"/>
      <c r="M75" s="104"/>
      <c r="N75" s="104"/>
      <c r="O75" s="104"/>
      <c r="P75" s="104"/>
      <c r="Q75" s="104"/>
      <c r="R75" s="104"/>
      <c r="S75" s="104"/>
      <c r="T75" s="104"/>
      <c r="U75" s="104"/>
      <c r="V75" s="104"/>
      <c r="W75" s="104"/>
      <c r="Y75" s="109"/>
      <c r="Z75" s="109"/>
    </row>
    <row r="76" customFormat="false" ht="13.5" hidden="false" customHeight="true" outlineLevel="0" collapsed="false">
      <c r="A76" s="104" t="s">
        <v>80</v>
      </c>
      <c r="B76" s="104"/>
      <c r="C76" s="104"/>
      <c r="D76" s="104"/>
      <c r="E76" s="104"/>
      <c r="F76" s="104"/>
      <c r="G76" s="104"/>
      <c r="H76" s="104"/>
      <c r="I76" s="104"/>
      <c r="J76" s="104"/>
      <c r="K76" s="104"/>
      <c r="L76" s="104"/>
      <c r="M76" s="104"/>
      <c r="N76" s="104"/>
      <c r="O76" s="104"/>
      <c r="P76" s="104"/>
      <c r="Q76" s="104"/>
      <c r="R76" s="104"/>
      <c r="S76" s="104"/>
      <c r="T76" s="104"/>
      <c r="U76" s="104"/>
      <c r="V76" s="104"/>
      <c r="W76" s="104"/>
    </row>
    <row r="77" customFormat="false" ht="7.5" hidden="false" customHeight="true" outlineLevel="0" collapsed="false">
      <c r="A77" s="72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73"/>
      <c r="S77" s="73"/>
      <c r="T77" s="73"/>
      <c r="U77" s="73"/>
      <c r="V77" s="73"/>
      <c r="W77" s="74"/>
    </row>
    <row r="78" customFormat="false" ht="12" hidden="false" customHeight="false" outlineLevel="0" collapsed="false">
      <c r="A78" s="75" t="n">
        <v>22</v>
      </c>
      <c r="B78" s="63"/>
      <c r="C78" s="64" t="s">
        <v>81</v>
      </c>
      <c r="D78" s="64"/>
      <c r="E78" s="64"/>
      <c r="F78" s="64"/>
      <c r="G78" s="64"/>
      <c r="H78" s="64"/>
      <c r="I78" s="64"/>
      <c r="J78" s="64"/>
      <c r="K78" s="64"/>
      <c r="L78" s="75" t="n">
        <v>24</v>
      </c>
      <c r="M78" s="63"/>
      <c r="N78" s="64" t="s">
        <v>82</v>
      </c>
      <c r="O78" s="63"/>
      <c r="P78" s="63"/>
      <c r="Q78" s="63"/>
      <c r="R78" s="63"/>
      <c r="S78" s="63"/>
      <c r="T78" s="63"/>
      <c r="U78" s="63"/>
      <c r="V78" s="63"/>
      <c r="W78" s="82"/>
    </row>
    <row r="79" customFormat="false" ht="12" hidden="false" customHeight="false" outlineLevel="0" collapsed="false">
      <c r="A79" s="106"/>
      <c r="B79" s="63"/>
      <c r="C79" s="64"/>
      <c r="D79" s="64"/>
      <c r="E79" s="64"/>
      <c r="F79" s="64"/>
      <c r="G79" s="64"/>
      <c r="H79" s="64"/>
      <c r="I79" s="64"/>
      <c r="J79" s="64"/>
      <c r="K79" s="64"/>
      <c r="L79" s="63"/>
      <c r="M79" s="63"/>
      <c r="N79" s="63"/>
      <c r="O79" s="63"/>
      <c r="P79" s="63"/>
      <c r="Q79" s="63"/>
      <c r="R79" s="63"/>
      <c r="S79" s="110"/>
      <c r="T79" s="110"/>
      <c r="U79" s="110"/>
      <c r="V79" s="110"/>
      <c r="W79" s="82"/>
    </row>
    <row r="80" customFormat="false" ht="15" hidden="false" customHeight="true" outlineLevel="0" collapsed="false">
      <c r="A80" s="106"/>
      <c r="B80" s="63"/>
      <c r="C80" s="97" t="s">
        <v>32</v>
      </c>
      <c r="D80" s="98" t="n">
        <f aca="false">IF(([1]Schedule!$Q$1)&gt;0,[1]Schedule!$Q$1,0)</f>
        <v>0</v>
      </c>
      <c r="E80" s="98"/>
      <c r="F80" s="98"/>
      <c r="G80" s="99" t="s">
        <v>33</v>
      </c>
      <c r="H80" s="100" t="n">
        <v>0</v>
      </c>
      <c r="I80" s="100" t="n">
        <v>0</v>
      </c>
      <c r="J80" s="64"/>
      <c r="K80" s="64"/>
      <c r="L80" s="64"/>
      <c r="M80" s="63"/>
      <c r="N80" s="97" t="s">
        <v>32</v>
      </c>
      <c r="O80" s="98" t="n">
        <f aca="false">IF(([1]Schedule!$R$1+[1]Schedule!$Y$1)&gt;0,[1]Schedule!$R$1+[1]Schedule!$Y$1,0)</f>
        <v>0</v>
      </c>
      <c r="P80" s="98"/>
      <c r="Q80" s="98"/>
      <c r="R80" s="99" t="s">
        <v>33</v>
      </c>
      <c r="S80" s="100" t="n">
        <v>0</v>
      </c>
      <c r="T80" s="100" t="n">
        <v>0</v>
      </c>
      <c r="U80" s="63"/>
      <c r="V80" s="63"/>
      <c r="W80" s="82"/>
    </row>
    <row r="81" customFormat="false" ht="6" hidden="false" customHeight="true" outlineLevel="0" collapsed="false">
      <c r="A81" s="106"/>
      <c r="B81" s="63"/>
      <c r="C81" s="64"/>
      <c r="D81" s="64"/>
      <c r="E81" s="64"/>
      <c r="F81" s="64"/>
      <c r="G81" s="64"/>
      <c r="H81" s="64"/>
      <c r="I81" s="64"/>
      <c r="J81" s="64"/>
      <c r="K81" s="64"/>
      <c r="L81" s="64"/>
      <c r="M81" s="63"/>
      <c r="N81" s="63"/>
      <c r="O81" s="63"/>
      <c r="P81" s="63"/>
      <c r="Q81" s="63"/>
      <c r="R81" s="63"/>
      <c r="S81" s="63"/>
      <c r="T81" s="63"/>
      <c r="U81" s="63"/>
      <c r="V81" s="63"/>
      <c r="W81" s="82"/>
    </row>
    <row r="82" customFormat="false" ht="12" hidden="false" customHeight="false" outlineLevel="0" collapsed="false">
      <c r="A82" s="75" t="n">
        <v>23</v>
      </c>
      <c r="B82" s="63"/>
      <c r="C82" s="64" t="s">
        <v>83</v>
      </c>
      <c r="D82" s="63"/>
      <c r="E82" s="63"/>
      <c r="F82" s="63"/>
      <c r="G82" s="63"/>
      <c r="H82" s="63"/>
      <c r="I82" s="63"/>
      <c r="J82" s="63"/>
      <c r="K82" s="63"/>
      <c r="L82" s="75" t="n">
        <v>25</v>
      </c>
      <c r="M82" s="63"/>
      <c r="N82" s="64" t="s">
        <v>84</v>
      </c>
      <c r="O82" s="63"/>
      <c r="P82" s="63"/>
      <c r="Q82" s="63"/>
      <c r="R82" s="63"/>
      <c r="S82" s="63"/>
      <c r="T82" s="63"/>
      <c r="U82" s="63"/>
      <c r="V82" s="63"/>
      <c r="W82" s="82"/>
    </row>
    <row r="83" customFormat="false" ht="11.25" hidden="false" customHeight="true" outlineLevel="0" collapsed="false">
      <c r="A83" s="79"/>
      <c r="B83" s="63"/>
      <c r="C83" s="64" t="s">
        <v>85</v>
      </c>
      <c r="D83" s="63"/>
      <c r="E83" s="63"/>
      <c r="F83" s="63"/>
      <c r="G83" s="63"/>
      <c r="H83" s="63"/>
      <c r="I83" s="63"/>
      <c r="J83" s="63"/>
      <c r="K83" s="63"/>
      <c r="L83" s="64"/>
      <c r="M83" s="63"/>
      <c r="N83" s="64" t="s">
        <v>86</v>
      </c>
      <c r="O83" s="110"/>
      <c r="P83" s="110"/>
      <c r="Q83" s="110"/>
      <c r="R83" s="110"/>
      <c r="S83" s="94"/>
      <c r="T83" s="94"/>
      <c r="U83" s="94"/>
      <c r="V83" s="94"/>
      <c r="W83" s="95"/>
    </row>
    <row r="84" customFormat="false" ht="6" hidden="false" customHeight="true" outlineLevel="0" collapsed="false">
      <c r="A84" s="106"/>
      <c r="B84" s="63"/>
      <c r="C84" s="64"/>
      <c r="D84" s="64"/>
      <c r="E84" s="64"/>
      <c r="F84" s="64"/>
      <c r="G84" s="64"/>
      <c r="H84" s="64"/>
      <c r="I84" s="64"/>
      <c r="J84" s="64"/>
      <c r="K84" s="64"/>
      <c r="L84" s="64"/>
      <c r="M84" s="63"/>
      <c r="N84" s="63"/>
      <c r="O84" s="63"/>
      <c r="P84" s="63"/>
      <c r="Q84" s="63"/>
      <c r="R84" s="63"/>
      <c r="S84" s="63"/>
      <c r="T84" s="63"/>
      <c r="U84" s="63"/>
      <c r="V84" s="63"/>
      <c r="W84" s="82"/>
    </row>
    <row r="85" customFormat="false" ht="15" hidden="false" customHeight="false" outlineLevel="0" collapsed="false">
      <c r="A85" s="106"/>
      <c r="B85" s="63"/>
      <c r="C85" s="97" t="s">
        <v>32</v>
      </c>
      <c r="D85" s="98" t="n">
        <f aca="false">IF(([1]Schedule!$R$1+[1]Schedule!$S$1)&lt;1000,[1]Schedule!$S$1,0)</f>
        <v>0</v>
      </c>
      <c r="E85" s="98"/>
      <c r="F85" s="98"/>
      <c r="G85" s="99" t="s">
        <v>33</v>
      </c>
      <c r="H85" s="100" t="n">
        <v>0</v>
      </c>
      <c r="I85" s="100" t="n">
        <v>0</v>
      </c>
      <c r="J85" s="64"/>
      <c r="K85" s="64"/>
      <c r="L85" s="63"/>
      <c r="M85" s="63"/>
      <c r="N85" s="97" t="s">
        <v>32</v>
      </c>
      <c r="O85" s="98" t="n">
        <f aca="false">IF([1]Schedule!$Z$1&gt;0,[1]Schedule!$Z$1,0)</f>
        <v>0</v>
      </c>
      <c r="P85" s="98"/>
      <c r="Q85" s="98"/>
      <c r="R85" s="99" t="s">
        <v>33</v>
      </c>
      <c r="S85" s="100" t="n">
        <v>0</v>
      </c>
      <c r="T85" s="100" t="n">
        <v>0</v>
      </c>
      <c r="U85" s="63"/>
      <c r="V85" s="63"/>
      <c r="W85" s="82"/>
    </row>
    <row r="86" customFormat="false" ht="7.5" hidden="false" customHeight="true" outlineLevel="0" collapsed="false">
      <c r="A86" s="93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5"/>
    </row>
    <row r="87" customFormat="false" ht="24.75" hidden="false" customHeight="true" outlineLevel="0" collapsed="false">
      <c r="A87" s="111" t="s">
        <v>87</v>
      </c>
      <c r="B87" s="111"/>
      <c r="C87" s="111"/>
      <c r="D87" s="111"/>
      <c r="E87" s="111"/>
      <c r="F87" s="111"/>
      <c r="G87" s="111"/>
      <c r="H87" s="111"/>
      <c r="I87" s="111"/>
      <c r="J87" s="111"/>
      <c r="K87" s="111"/>
      <c r="L87" s="111"/>
      <c r="M87" s="111"/>
      <c r="N87" s="111"/>
      <c r="O87" s="111"/>
      <c r="P87" s="111"/>
      <c r="Q87" s="111"/>
      <c r="R87" s="111"/>
      <c r="S87" s="111"/>
      <c r="T87" s="111"/>
      <c r="U87" s="111"/>
      <c r="V87" s="111"/>
      <c r="W87" s="111"/>
    </row>
    <row r="88" customFormat="false" ht="15.75" hidden="false" customHeight="true" outlineLevel="0" collapsed="false">
      <c r="A88" s="104" t="s">
        <v>88</v>
      </c>
      <c r="B88" s="104"/>
      <c r="C88" s="104"/>
      <c r="D88" s="104"/>
      <c r="E88" s="104"/>
      <c r="F88" s="104"/>
      <c r="G88" s="104"/>
      <c r="H88" s="104"/>
      <c r="I88" s="104"/>
      <c r="J88" s="104"/>
      <c r="K88" s="104"/>
      <c r="L88" s="104"/>
      <c r="M88" s="104"/>
      <c r="N88" s="104"/>
      <c r="O88" s="104"/>
      <c r="P88" s="104"/>
      <c r="Q88" s="104"/>
      <c r="R88" s="104"/>
      <c r="S88" s="104"/>
      <c r="T88" s="104"/>
      <c r="U88" s="104"/>
      <c r="V88" s="104"/>
      <c r="W88" s="104"/>
    </row>
    <row r="89" customFormat="false" ht="15.75" hidden="false" customHeight="true" outlineLevel="0" collapsed="false">
      <c r="A89" s="104" t="s">
        <v>89</v>
      </c>
      <c r="B89" s="104"/>
      <c r="C89" s="104"/>
      <c r="D89" s="104"/>
      <c r="E89" s="104"/>
      <c r="F89" s="104"/>
      <c r="G89" s="104"/>
      <c r="H89" s="104"/>
      <c r="I89" s="104"/>
      <c r="J89" s="104"/>
      <c r="K89" s="104"/>
      <c r="L89" s="104"/>
      <c r="M89" s="104"/>
      <c r="N89" s="104"/>
      <c r="O89" s="104"/>
      <c r="P89" s="104"/>
      <c r="Q89" s="104"/>
      <c r="R89" s="104"/>
      <c r="S89" s="104"/>
      <c r="T89" s="104"/>
      <c r="U89" s="104"/>
      <c r="V89" s="104"/>
      <c r="W89" s="104"/>
    </row>
    <row r="90" customFormat="false" ht="7.5" hidden="false" customHeight="true" outlineLevel="0" collapsed="false">
      <c r="A90" s="72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73"/>
      <c r="S90" s="73"/>
      <c r="T90" s="73"/>
      <c r="U90" s="73"/>
      <c r="V90" s="73"/>
      <c r="W90" s="74"/>
    </row>
    <row r="91" customFormat="false" ht="12" hidden="false" customHeight="false" outlineLevel="0" collapsed="false">
      <c r="A91" s="75" t="n">
        <v>26</v>
      </c>
      <c r="B91" s="63"/>
      <c r="C91" s="64" t="s">
        <v>90</v>
      </c>
      <c r="D91" s="64"/>
      <c r="E91" s="64"/>
      <c r="F91" s="64"/>
      <c r="G91" s="64"/>
      <c r="H91" s="64"/>
      <c r="I91" s="64"/>
      <c r="J91" s="64"/>
      <c r="K91" s="64"/>
      <c r="L91" s="75" t="n">
        <v>28</v>
      </c>
      <c r="M91" s="63"/>
      <c r="N91" s="64" t="s">
        <v>91</v>
      </c>
      <c r="O91" s="63"/>
      <c r="P91" s="63"/>
      <c r="Q91" s="63"/>
      <c r="R91" s="63"/>
      <c r="S91" s="63"/>
      <c r="T91" s="63"/>
      <c r="U91" s="63"/>
      <c r="V91" s="63"/>
      <c r="W91" s="82"/>
    </row>
    <row r="92" customFormat="false" ht="12" hidden="false" customHeight="false" outlineLevel="0" collapsed="false">
      <c r="A92" s="64"/>
      <c r="B92" s="63"/>
      <c r="C92" s="90" t="s">
        <v>92</v>
      </c>
      <c r="D92" s="64"/>
      <c r="E92" s="64"/>
      <c r="F92" s="64"/>
      <c r="G92" s="64"/>
      <c r="H92" s="64"/>
      <c r="I92" s="64"/>
      <c r="J92" s="64"/>
      <c r="K92" s="64"/>
      <c r="L92" s="64"/>
      <c r="M92" s="63"/>
      <c r="N92" s="64" t="s">
        <v>93</v>
      </c>
      <c r="O92" s="110"/>
      <c r="P92" s="110"/>
      <c r="Q92" s="110"/>
      <c r="R92" s="110"/>
      <c r="S92" s="110"/>
      <c r="T92" s="110"/>
      <c r="U92" s="110"/>
      <c r="V92" s="110"/>
      <c r="W92" s="82"/>
    </row>
    <row r="93" customFormat="false" ht="6" hidden="false" customHeight="true" outlineLevel="0" collapsed="false">
      <c r="A93" s="64"/>
      <c r="B93" s="63"/>
      <c r="C93" s="64"/>
      <c r="D93" s="64"/>
      <c r="E93" s="64"/>
      <c r="F93" s="64"/>
      <c r="G93" s="64"/>
      <c r="H93" s="64"/>
      <c r="I93" s="64"/>
      <c r="J93" s="64"/>
      <c r="K93" s="64"/>
      <c r="L93" s="64"/>
      <c r="M93" s="63"/>
      <c r="N93" s="63"/>
      <c r="O93" s="63"/>
      <c r="P93" s="63"/>
      <c r="Q93" s="63"/>
      <c r="R93" s="63"/>
      <c r="S93" s="63"/>
      <c r="T93" s="63"/>
      <c r="U93" s="63"/>
      <c r="V93" s="63"/>
      <c r="W93" s="82"/>
    </row>
    <row r="94" customFormat="false" ht="15" hidden="false" customHeight="false" outlineLevel="0" collapsed="false">
      <c r="A94" s="63"/>
      <c r="B94" s="63"/>
      <c r="C94" s="97" t="s">
        <v>32</v>
      </c>
      <c r="D94" s="98" t="n">
        <f aca="false">'Business Details'!O50</f>
        <v>0</v>
      </c>
      <c r="E94" s="98"/>
      <c r="F94" s="98"/>
      <c r="G94" s="99" t="s">
        <v>33</v>
      </c>
      <c r="H94" s="100" t="n">
        <v>0</v>
      </c>
      <c r="I94" s="100" t="n">
        <v>0</v>
      </c>
      <c r="J94" s="63"/>
      <c r="K94" s="63"/>
      <c r="L94" s="63"/>
      <c r="M94" s="63"/>
      <c r="N94" s="97" t="s">
        <v>32</v>
      </c>
      <c r="O94" s="98" t="n">
        <f aca="false">IF(O106&gt;0,0,IF('Business Details'!D50=0,0,IF(D99&gt;'Business Details'!D50,'Business Details'!D50,D99)))</f>
        <v>0</v>
      </c>
      <c r="P94" s="98"/>
      <c r="Q94" s="98"/>
      <c r="R94" s="99" t="s">
        <v>33</v>
      </c>
      <c r="S94" s="100" t="n">
        <v>0</v>
      </c>
      <c r="T94" s="100" t="n">
        <v>0</v>
      </c>
      <c r="U94" s="63"/>
      <c r="V94" s="63"/>
      <c r="W94" s="82"/>
    </row>
    <row r="95" customFormat="false" ht="12" hidden="false" customHeight="false" outlineLevel="0" collapsed="false">
      <c r="A95" s="63"/>
      <c r="B95" s="63"/>
      <c r="C95" s="63"/>
      <c r="D95" s="63"/>
      <c r="E95" s="63"/>
      <c r="F95" s="63"/>
      <c r="G95" s="63"/>
      <c r="H95" s="63"/>
      <c r="I95" s="63"/>
      <c r="J95" s="63"/>
      <c r="K95" s="63"/>
      <c r="L95" s="63"/>
      <c r="M95" s="63"/>
      <c r="N95" s="63"/>
      <c r="O95" s="63"/>
      <c r="P95" s="63"/>
      <c r="Q95" s="63"/>
      <c r="R95" s="63"/>
      <c r="S95" s="63"/>
      <c r="T95" s="63"/>
      <c r="U95" s="63"/>
      <c r="V95" s="63"/>
      <c r="W95" s="82"/>
    </row>
    <row r="96" customFormat="false" ht="12" hidden="false" customHeight="false" outlineLevel="0" collapsed="false">
      <c r="A96" s="75" t="n">
        <v>27</v>
      </c>
      <c r="B96" s="63"/>
      <c r="C96" s="64" t="s">
        <v>94</v>
      </c>
      <c r="D96" s="64"/>
      <c r="E96" s="64"/>
      <c r="F96" s="64"/>
      <c r="G96" s="64"/>
      <c r="H96" s="64"/>
      <c r="I96" s="64"/>
      <c r="J96" s="64"/>
      <c r="K96" s="64"/>
      <c r="L96" s="75" t="n">
        <v>29</v>
      </c>
      <c r="M96" s="63"/>
      <c r="N96" s="64" t="s">
        <v>95</v>
      </c>
      <c r="O96" s="63"/>
      <c r="P96" s="63"/>
      <c r="Q96" s="63"/>
      <c r="R96" s="63"/>
      <c r="S96" s="63"/>
      <c r="T96" s="63"/>
      <c r="U96" s="63"/>
      <c r="V96" s="63"/>
      <c r="W96" s="82"/>
    </row>
    <row r="97" customFormat="false" ht="12" hidden="false" customHeight="true" outlineLevel="0" collapsed="false">
      <c r="A97" s="106"/>
      <c r="B97" s="63"/>
      <c r="C97" s="64" t="s">
        <v>96</v>
      </c>
      <c r="D97" s="64"/>
      <c r="E97" s="64"/>
      <c r="F97" s="64"/>
      <c r="G97" s="64"/>
      <c r="H97" s="64"/>
      <c r="I97" s="64"/>
      <c r="J97" s="64"/>
      <c r="K97" s="64"/>
      <c r="L97" s="64"/>
      <c r="M97" s="63"/>
      <c r="N97" s="90" t="s">
        <v>97</v>
      </c>
      <c r="O97" s="63"/>
      <c r="P97" s="63"/>
      <c r="Q97" s="63"/>
      <c r="R97" s="63"/>
      <c r="S97" s="63"/>
      <c r="T97" s="63"/>
      <c r="U97" s="63"/>
      <c r="V97" s="63"/>
      <c r="W97" s="82"/>
    </row>
    <row r="98" customFormat="false" ht="6" hidden="false" customHeight="true" outlineLevel="0" collapsed="false">
      <c r="A98" s="106"/>
      <c r="B98" s="63"/>
      <c r="C98" s="64"/>
      <c r="D98" s="64"/>
      <c r="E98" s="64"/>
      <c r="F98" s="64"/>
      <c r="G98" s="64"/>
      <c r="H98" s="64"/>
      <c r="I98" s="64"/>
      <c r="J98" s="64"/>
      <c r="K98" s="64"/>
      <c r="L98" s="64"/>
      <c r="M98" s="63"/>
      <c r="N98" s="63"/>
      <c r="O98" s="63"/>
      <c r="P98" s="63"/>
      <c r="Q98" s="63"/>
      <c r="R98" s="63"/>
      <c r="S98" s="63"/>
      <c r="T98" s="63"/>
      <c r="U98" s="63"/>
      <c r="V98" s="63"/>
      <c r="W98" s="82"/>
    </row>
    <row r="99" customFormat="false" ht="15" hidden="false" customHeight="false" outlineLevel="0" collapsed="false">
      <c r="A99" s="79"/>
      <c r="B99" s="63"/>
      <c r="C99" s="97" t="s">
        <v>32</v>
      </c>
      <c r="D99" s="98" t="n">
        <f aca="false">IF((D71+O85+D94-O71-D80-D85-O80)&gt;0,D71+O85+D94-O71-D80-D85-O80,0)</f>
        <v>25800</v>
      </c>
      <c r="E99" s="98"/>
      <c r="F99" s="98"/>
      <c r="G99" s="99" t="s">
        <v>33</v>
      </c>
      <c r="H99" s="100" t="n">
        <v>0</v>
      </c>
      <c r="I99" s="100" t="n">
        <v>0</v>
      </c>
      <c r="J99" s="63"/>
      <c r="K99" s="63"/>
      <c r="L99" s="64"/>
      <c r="M99" s="63"/>
      <c r="N99" s="97" t="s">
        <v>32</v>
      </c>
      <c r="O99" s="98" t="n">
        <f aca="false">'Profit &amp; Loss Account'!B11</f>
        <v>0</v>
      </c>
      <c r="P99" s="98"/>
      <c r="Q99" s="98"/>
      <c r="R99" s="99" t="s">
        <v>33</v>
      </c>
      <c r="S99" s="100" t="n">
        <v>0</v>
      </c>
      <c r="T99" s="100" t="n">
        <v>0</v>
      </c>
      <c r="U99" s="63"/>
      <c r="V99" s="63"/>
      <c r="W99" s="82"/>
      <c r="Y99" s="109"/>
      <c r="Z99" s="109"/>
    </row>
    <row r="100" customFormat="false" ht="12" hidden="false" customHeight="true" outlineLevel="0" collapsed="false">
      <c r="A100" s="93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5"/>
    </row>
    <row r="101" customFormat="false" ht="24.75" hidden="false" customHeight="true" outlineLevel="0" collapsed="false">
      <c r="A101" s="103" t="s">
        <v>98</v>
      </c>
      <c r="B101" s="103"/>
      <c r="C101" s="103"/>
      <c r="D101" s="103"/>
      <c r="E101" s="103"/>
      <c r="F101" s="103"/>
      <c r="G101" s="103"/>
      <c r="H101" s="103"/>
      <c r="I101" s="103"/>
      <c r="J101" s="103"/>
      <c r="K101" s="103"/>
      <c r="L101" s="103"/>
      <c r="M101" s="103"/>
      <c r="N101" s="103"/>
      <c r="O101" s="103"/>
      <c r="P101" s="103"/>
      <c r="Q101" s="103"/>
      <c r="R101" s="103"/>
      <c r="S101" s="103"/>
      <c r="T101" s="103"/>
      <c r="U101" s="103"/>
      <c r="V101" s="103"/>
      <c r="W101" s="103"/>
    </row>
    <row r="102" customFormat="false" ht="7.5" hidden="false" customHeight="true" outlineLevel="0" collapsed="false">
      <c r="A102" s="72"/>
      <c r="B102" s="73"/>
      <c r="C102" s="73"/>
      <c r="D102" s="73"/>
      <c r="E102" s="73"/>
      <c r="F102" s="73"/>
      <c r="G102" s="73"/>
      <c r="H102" s="73"/>
      <c r="I102" s="73"/>
      <c r="J102" s="73"/>
      <c r="K102" s="73"/>
      <c r="L102" s="73"/>
      <c r="M102" s="73"/>
      <c r="N102" s="73"/>
      <c r="O102" s="73"/>
      <c r="P102" s="73"/>
      <c r="Q102" s="73"/>
      <c r="R102" s="73"/>
      <c r="S102" s="73"/>
      <c r="T102" s="73"/>
      <c r="U102" s="73"/>
      <c r="V102" s="73"/>
      <c r="W102" s="74"/>
    </row>
    <row r="103" customFormat="false" ht="12" hidden="false" customHeight="false" outlineLevel="0" collapsed="false">
      <c r="A103" s="75" t="n">
        <v>30</v>
      </c>
      <c r="B103" s="63"/>
      <c r="C103" s="64" t="s">
        <v>99</v>
      </c>
      <c r="D103" s="64"/>
      <c r="E103" s="64"/>
      <c r="F103" s="64"/>
      <c r="G103" s="64"/>
      <c r="H103" s="64"/>
      <c r="I103" s="64"/>
      <c r="J103" s="64"/>
      <c r="K103" s="64"/>
      <c r="L103" s="75" t="n">
        <v>31</v>
      </c>
      <c r="M103" s="63"/>
      <c r="N103" s="64" t="s">
        <v>100</v>
      </c>
      <c r="O103" s="63"/>
      <c r="P103" s="63"/>
      <c r="Q103" s="63"/>
      <c r="R103" s="63"/>
      <c r="S103" s="63"/>
      <c r="T103" s="63"/>
      <c r="U103" s="63"/>
      <c r="V103" s="63"/>
      <c r="W103" s="82"/>
    </row>
    <row r="104" customFormat="false" ht="12" hidden="false" customHeight="true" outlineLevel="0" collapsed="false">
      <c r="A104" s="79"/>
      <c r="B104" s="63"/>
      <c r="C104" s="80" t="s">
        <v>101</v>
      </c>
      <c r="D104" s="112"/>
      <c r="E104" s="112"/>
      <c r="F104" s="112"/>
      <c r="G104" s="99"/>
      <c r="H104" s="102"/>
      <c r="I104" s="102"/>
      <c r="J104" s="63"/>
      <c r="K104" s="63"/>
      <c r="L104" s="64"/>
      <c r="M104" s="63"/>
      <c r="N104" s="64" t="s">
        <v>102</v>
      </c>
      <c r="O104" s="63"/>
      <c r="P104" s="63"/>
      <c r="Q104" s="63"/>
      <c r="R104" s="63"/>
      <c r="S104" s="63"/>
      <c r="T104" s="63"/>
      <c r="U104" s="63"/>
      <c r="V104" s="63"/>
      <c r="W104" s="82"/>
    </row>
    <row r="105" customFormat="false" ht="6" hidden="false" customHeight="true" outlineLevel="0" collapsed="false">
      <c r="A105" s="106"/>
      <c r="B105" s="63"/>
      <c r="C105" s="64"/>
      <c r="D105" s="64"/>
      <c r="E105" s="64"/>
      <c r="F105" s="64"/>
      <c r="G105" s="64"/>
      <c r="H105" s="64"/>
      <c r="I105" s="64"/>
      <c r="J105" s="64"/>
      <c r="K105" s="64"/>
      <c r="L105" s="64"/>
      <c r="M105" s="63"/>
      <c r="N105" s="63"/>
      <c r="O105" s="63"/>
      <c r="P105" s="63"/>
      <c r="Q105" s="63"/>
      <c r="R105" s="63"/>
      <c r="S105" s="63"/>
      <c r="T105" s="63"/>
      <c r="U105" s="63"/>
      <c r="V105" s="63"/>
      <c r="W105" s="82"/>
    </row>
    <row r="106" customFormat="false" ht="15" hidden="false" customHeight="false" outlineLevel="0" collapsed="false">
      <c r="A106" s="106"/>
      <c r="B106" s="63"/>
      <c r="C106" s="97" t="s">
        <v>32</v>
      </c>
      <c r="D106" s="98" t="n">
        <f aca="false">IF((D99+O99-O94)&gt;0,D99+O99-O94,0)</f>
        <v>25800</v>
      </c>
      <c r="E106" s="98"/>
      <c r="F106" s="98"/>
      <c r="G106" s="99" t="s">
        <v>33</v>
      </c>
      <c r="H106" s="100" t="n">
        <v>0</v>
      </c>
      <c r="I106" s="100" t="n">
        <v>0</v>
      </c>
      <c r="J106" s="64"/>
      <c r="K106" s="64"/>
      <c r="L106" s="64"/>
      <c r="M106" s="63"/>
      <c r="N106" s="97" t="s">
        <v>32</v>
      </c>
      <c r="O106" s="98" t="n">
        <f aca="false">IF((O71+D80+D85+O80-D71-O85-D94)&gt;=0,O71+D80+D85+O80-D71-O85-D94,0)</f>
        <v>0</v>
      </c>
      <c r="P106" s="98"/>
      <c r="Q106" s="98"/>
      <c r="R106" s="99" t="s">
        <v>33</v>
      </c>
      <c r="S106" s="100" t="n">
        <v>0</v>
      </c>
      <c r="T106" s="100" t="n">
        <v>0</v>
      </c>
      <c r="U106" s="63"/>
      <c r="V106" s="63"/>
      <c r="W106" s="82"/>
    </row>
    <row r="107" customFormat="false" ht="6" hidden="false" customHeight="true" outlineLevel="0" collapsed="false">
      <c r="A107" s="93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113"/>
      <c r="O107" s="94"/>
      <c r="P107" s="94"/>
      <c r="Q107" s="94"/>
      <c r="R107" s="94"/>
      <c r="S107" s="94"/>
      <c r="T107" s="94"/>
      <c r="U107" s="94"/>
      <c r="V107" s="94"/>
      <c r="W107" s="95"/>
    </row>
    <row r="108" customFormat="false" ht="24.75" hidden="false" customHeight="true" outlineLevel="0" collapsed="false">
      <c r="A108" s="111" t="s">
        <v>103</v>
      </c>
      <c r="B108" s="111"/>
      <c r="C108" s="111"/>
      <c r="D108" s="111"/>
      <c r="E108" s="111"/>
      <c r="F108" s="111"/>
      <c r="G108" s="111"/>
      <c r="H108" s="111"/>
      <c r="I108" s="111"/>
      <c r="J108" s="111"/>
      <c r="K108" s="111"/>
      <c r="L108" s="111"/>
      <c r="M108" s="111"/>
      <c r="N108" s="111"/>
      <c r="O108" s="111"/>
      <c r="P108" s="111"/>
      <c r="Q108" s="111"/>
      <c r="R108" s="111"/>
      <c r="S108" s="111"/>
      <c r="T108" s="111"/>
      <c r="U108" s="111"/>
      <c r="V108" s="111"/>
      <c r="W108" s="111"/>
    </row>
    <row r="109" customFormat="false" ht="15.75" hidden="false" customHeight="true" outlineLevel="0" collapsed="false">
      <c r="A109" s="104" t="s">
        <v>104</v>
      </c>
      <c r="B109" s="104"/>
      <c r="C109" s="104"/>
      <c r="D109" s="104"/>
      <c r="E109" s="104"/>
      <c r="F109" s="104"/>
      <c r="G109" s="104"/>
      <c r="H109" s="104"/>
      <c r="I109" s="104"/>
      <c r="J109" s="104"/>
      <c r="K109" s="104"/>
      <c r="L109" s="104"/>
      <c r="M109" s="104"/>
      <c r="N109" s="104"/>
      <c r="O109" s="104"/>
      <c r="P109" s="104"/>
      <c r="Q109" s="104"/>
      <c r="R109" s="104"/>
      <c r="S109" s="104"/>
      <c r="T109" s="104"/>
      <c r="U109" s="104"/>
      <c r="V109" s="104"/>
      <c r="W109" s="104"/>
    </row>
    <row r="110" customFormat="false" ht="7.5" hidden="false" customHeight="true" outlineLevel="0" collapsed="false">
      <c r="A110" s="72"/>
      <c r="B110" s="73"/>
      <c r="C110" s="73"/>
      <c r="D110" s="73"/>
      <c r="E110" s="73"/>
      <c r="F110" s="73"/>
      <c r="G110" s="73"/>
      <c r="H110" s="73"/>
      <c r="I110" s="73"/>
      <c r="J110" s="73"/>
      <c r="K110" s="73"/>
      <c r="L110" s="73"/>
      <c r="M110" s="73"/>
      <c r="N110" s="73"/>
      <c r="O110" s="73"/>
      <c r="P110" s="73"/>
      <c r="Q110" s="73"/>
      <c r="R110" s="73"/>
      <c r="S110" s="73"/>
      <c r="T110" s="73"/>
      <c r="U110" s="73"/>
      <c r="V110" s="73"/>
      <c r="W110" s="74"/>
    </row>
    <row r="111" customFormat="false" ht="12" hidden="false" customHeight="false" outlineLevel="0" collapsed="false">
      <c r="A111" s="75" t="n">
        <v>32</v>
      </c>
      <c r="B111" s="63"/>
      <c r="C111" s="64" t="s">
        <v>105</v>
      </c>
      <c r="D111" s="64"/>
      <c r="E111" s="64"/>
      <c r="F111" s="64"/>
      <c r="G111" s="64"/>
      <c r="H111" s="64"/>
      <c r="I111" s="64"/>
      <c r="J111" s="64"/>
      <c r="K111" s="64"/>
      <c r="L111" s="75" t="n">
        <v>35</v>
      </c>
      <c r="M111" s="63"/>
      <c r="N111" s="64" t="s">
        <v>106</v>
      </c>
      <c r="O111" s="63"/>
      <c r="P111" s="63"/>
      <c r="Q111" s="63"/>
      <c r="R111" s="63"/>
      <c r="S111" s="63"/>
      <c r="T111" s="63"/>
      <c r="U111" s="63"/>
      <c r="V111" s="63"/>
      <c r="W111" s="82"/>
    </row>
    <row r="112" customFormat="false" ht="12" hidden="false" customHeight="false" outlineLevel="0" collapsed="false">
      <c r="A112" s="106"/>
      <c r="B112" s="63"/>
      <c r="C112" s="64" t="s">
        <v>107</v>
      </c>
      <c r="D112" s="114" t="str">
        <f aca="false">Admin!G2</f>
        <v>2022-23</v>
      </c>
      <c r="E112" s="114"/>
      <c r="F112" s="114"/>
      <c r="G112" s="64"/>
      <c r="H112" s="64"/>
      <c r="I112" s="64"/>
      <c r="J112" s="64"/>
      <c r="K112" s="64"/>
      <c r="L112" s="64"/>
      <c r="M112" s="63"/>
      <c r="N112" s="64" t="s">
        <v>108</v>
      </c>
      <c r="O112" s="110"/>
      <c r="P112" s="110"/>
      <c r="Q112" s="110"/>
      <c r="R112" s="110"/>
      <c r="S112" s="110"/>
      <c r="T112" s="110"/>
      <c r="U112" s="110"/>
      <c r="V112" s="110"/>
      <c r="W112" s="82"/>
    </row>
    <row r="113" customFormat="false" ht="6" hidden="false" customHeight="true" outlineLevel="0" collapsed="false">
      <c r="A113" s="106"/>
      <c r="B113" s="63"/>
      <c r="C113" s="64"/>
      <c r="D113" s="64"/>
      <c r="E113" s="64"/>
      <c r="F113" s="64"/>
      <c r="G113" s="64"/>
      <c r="H113" s="64"/>
      <c r="I113" s="64"/>
      <c r="J113" s="64"/>
      <c r="K113" s="64"/>
      <c r="L113" s="64"/>
      <c r="M113" s="63"/>
      <c r="N113" s="63"/>
      <c r="O113" s="63"/>
      <c r="P113" s="63"/>
      <c r="Q113" s="63"/>
      <c r="R113" s="63"/>
      <c r="S113" s="63"/>
      <c r="T113" s="63"/>
      <c r="U113" s="63"/>
      <c r="V113" s="63"/>
      <c r="W113" s="82"/>
    </row>
    <row r="114" customFormat="false" ht="15" hidden="false" customHeight="false" outlineLevel="0" collapsed="false">
      <c r="A114" s="79"/>
      <c r="B114" s="63"/>
      <c r="C114" s="97" t="s">
        <v>32</v>
      </c>
      <c r="D114" s="98"/>
      <c r="E114" s="98"/>
      <c r="F114" s="98"/>
      <c r="G114" s="99" t="s">
        <v>33</v>
      </c>
      <c r="H114" s="100" t="n">
        <v>0</v>
      </c>
      <c r="I114" s="100" t="n">
        <v>0</v>
      </c>
      <c r="J114" s="63"/>
      <c r="K114" s="63"/>
      <c r="L114" s="63"/>
      <c r="M114" s="63"/>
      <c r="N114" s="75"/>
      <c r="O114" s="112"/>
      <c r="P114" s="112"/>
      <c r="Q114" s="112"/>
      <c r="R114" s="99"/>
      <c r="S114" s="102"/>
      <c r="T114" s="102"/>
      <c r="U114" s="63"/>
      <c r="V114" s="63"/>
      <c r="W114" s="82"/>
    </row>
    <row r="115" customFormat="false" ht="12" hidden="false" customHeight="false" outlineLevel="0" collapsed="false">
      <c r="A115" s="79"/>
      <c r="B115" s="63"/>
      <c r="C115" s="63"/>
      <c r="D115" s="63"/>
      <c r="E115" s="63"/>
      <c r="F115" s="63"/>
      <c r="G115" s="63"/>
      <c r="H115" s="63"/>
      <c r="I115" s="63"/>
      <c r="J115" s="63"/>
      <c r="K115" s="63"/>
      <c r="L115" s="63"/>
      <c r="M115" s="63"/>
      <c r="N115" s="63"/>
      <c r="O115" s="63"/>
      <c r="P115" s="63"/>
      <c r="Q115" s="63"/>
      <c r="R115" s="63"/>
      <c r="S115" s="63"/>
      <c r="T115" s="63"/>
      <c r="U115" s="63"/>
      <c r="V115" s="63"/>
      <c r="W115" s="82"/>
    </row>
    <row r="116" customFormat="false" ht="12" hidden="false" customHeight="false" outlineLevel="0" collapsed="false">
      <c r="A116" s="75" t="n">
        <v>33</v>
      </c>
      <c r="B116" s="63"/>
      <c r="C116" s="64" t="s">
        <v>109</v>
      </c>
      <c r="D116" s="64"/>
      <c r="E116" s="64"/>
      <c r="F116" s="64"/>
      <c r="G116" s="64"/>
      <c r="H116" s="64"/>
      <c r="I116" s="64"/>
      <c r="J116" s="64"/>
      <c r="K116" s="64"/>
      <c r="L116" s="75" t="n">
        <v>36</v>
      </c>
      <c r="M116" s="63"/>
      <c r="N116" s="64" t="s">
        <v>110</v>
      </c>
      <c r="O116" s="63"/>
      <c r="P116" s="63"/>
      <c r="Q116" s="63"/>
      <c r="R116" s="115" t="str">
        <f aca="false">Admin!G2</f>
        <v>2022-23</v>
      </c>
      <c r="S116" s="115"/>
      <c r="T116" s="115"/>
      <c r="U116" s="64" t="s">
        <v>111</v>
      </c>
      <c r="V116" s="63"/>
      <c r="W116" s="82"/>
    </row>
    <row r="117" customFormat="false" ht="12" hidden="false" customHeight="true" outlineLevel="0" collapsed="false">
      <c r="A117" s="106"/>
      <c r="B117" s="63"/>
      <c r="C117" s="64" t="s">
        <v>112</v>
      </c>
      <c r="D117" s="64"/>
      <c r="E117" s="64"/>
      <c r="F117" s="64"/>
      <c r="G117" s="64"/>
      <c r="H117" s="64"/>
      <c r="I117" s="64"/>
      <c r="J117" s="64"/>
      <c r="K117" s="64"/>
      <c r="L117" s="64"/>
      <c r="M117" s="63"/>
      <c r="N117" s="64" t="s">
        <v>113</v>
      </c>
      <c r="O117" s="63"/>
      <c r="P117" s="63"/>
      <c r="Q117" s="63"/>
      <c r="R117" s="63"/>
      <c r="S117" s="63"/>
      <c r="T117" s="63"/>
      <c r="U117" s="63"/>
      <c r="V117" s="63"/>
      <c r="W117" s="82"/>
    </row>
    <row r="118" customFormat="false" ht="12" hidden="false" customHeight="true" outlineLevel="0" collapsed="false">
      <c r="A118" s="106"/>
      <c r="B118" s="63"/>
      <c r="C118" s="64"/>
      <c r="D118" s="64"/>
      <c r="E118" s="64"/>
      <c r="F118" s="64"/>
      <c r="G118" s="64"/>
      <c r="H118" s="64"/>
      <c r="I118" s="64"/>
      <c r="J118" s="64"/>
      <c r="K118" s="64"/>
      <c r="L118" s="64"/>
      <c r="M118" s="63"/>
      <c r="N118" s="92" t="s">
        <v>114</v>
      </c>
      <c r="O118" s="63"/>
      <c r="P118" s="63"/>
      <c r="Q118" s="63"/>
      <c r="R118" s="63"/>
      <c r="S118" s="63"/>
      <c r="T118" s="63"/>
      <c r="U118" s="63"/>
      <c r="V118" s="63"/>
      <c r="W118" s="82"/>
    </row>
    <row r="119" customFormat="false" ht="15" hidden="false" customHeight="false" outlineLevel="0" collapsed="false">
      <c r="A119" s="79"/>
      <c r="B119" s="63"/>
      <c r="C119" s="97" t="s">
        <v>32</v>
      </c>
      <c r="D119" s="98"/>
      <c r="E119" s="98"/>
      <c r="F119" s="98"/>
      <c r="G119" s="99" t="s">
        <v>33</v>
      </c>
      <c r="H119" s="100" t="n">
        <v>0</v>
      </c>
      <c r="I119" s="100" t="n">
        <v>0</v>
      </c>
      <c r="J119" s="63"/>
      <c r="K119" s="63"/>
      <c r="L119" s="64"/>
      <c r="M119" s="63"/>
      <c r="N119" s="75"/>
      <c r="O119" s="63"/>
      <c r="P119" s="63"/>
      <c r="Q119" s="63"/>
      <c r="R119" s="63"/>
      <c r="S119" s="63"/>
      <c r="T119" s="63"/>
      <c r="U119" s="63"/>
      <c r="V119" s="63"/>
      <c r="W119" s="82"/>
    </row>
    <row r="120" customFormat="false" ht="12" hidden="false" customHeight="true" outlineLevel="0" collapsed="false">
      <c r="A120" s="79"/>
      <c r="B120" s="63"/>
      <c r="C120" s="64"/>
      <c r="D120" s="63"/>
      <c r="E120" s="63"/>
      <c r="F120" s="63"/>
      <c r="G120" s="63"/>
      <c r="H120" s="63"/>
      <c r="I120" s="63"/>
      <c r="J120" s="63"/>
      <c r="K120" s="63"/>
      <c r="L120" s="64"/>
      <c r="M120" s="63"/>
      <c r="N120" s="116"/>
      <c r="O120" s="112"/>
      <c r="P120" s="112"/>
      <c r="Q120" s="112"/>
      <c r="R120" s="99"/>
      <c r="S120" s="102"/>
      <c r="T120" s="102"/>
      <c r="U120" s="63"/>
      <c r="V120" s="63"/>
      <c r="W120" s="82"/>
    </row>
    <row r="121" customFormat="false" ht="12" hidden="false" customHeight="false" outlineLevel="0" collapsed="false">
      <c r="A121" s="75" t="n">
        <v>34</v>
      </c>
      <c r="B121" s="63"/>
      <c r="C121" s="64" t="s">
        <v>115</v>
      </c>
      <c r="D121" s="64"/>
      <c r="E121" s="64"/>
      <c r="F121" s="64"/>
      <c r="G121" s="64"/>
      <c r="H121" s="64"/>
      <c r="I121" s="64"/>
      <c r="J121" s="64"/>
      <c r="K121" s="64"/>
      <c r="L121" s="75" t="n">
        <v>37</v>
      </c>
      <c r="M121" s="63"/>
      <c r="N121" s="64" t="s">
        <v>116</v>
      </c>
      <c r="O121" s="63"/>
      <c r="P121" s="63"/>
      <c r="Q121" s="63"/>
      <c r="R121" s="63"/>
      <c r="S121" s="63"/>
      <c r="T121" s="63"/>
      <c r="U121" s="63"/>
      <c r="V121" s="63"/>
      <c r="W121" s="82"/>
    </row>
    <row r="122" customFormat="false" ht="12" hidden="false" customHeight="true" outlineLevel="0" collapsed="false">
      <c r="A122" s="106"/>
      <c r="B122" s="63"/>
      <c r="C122" s="90" t="s">
        <v>117</v>
      </c>
      <c r="D122" s="64"/>
      <c r="E122" s="64"/>
      <c r="F122" s="64"/>
      <c r="G122" s="64"/>
      <c r="H122" s="64"/>
      <c r="I122" s="64"/>
      <c r="J122" s="64"/>
      <c r="K122" s="64"/>
      <c r="L122" s="64"/>
      <c r="M122" s="63"/>
      <c r="N122" s="64" t="s">
        <v>118</v>
      </c>
      <c r="O122" s="63"/>
      <c r="P122" s="63"/>
      <c r="Q122" s="63"/>
      <c r="R122" s="63"/>
      <c r="S122" s="63"/>
      <c r="T122" s="63"/>
      <c r="U122" s="63"/>
      <c r="V122" s="63"/>
      <c r="W122" s="82"/>
    </row>
    <row r="123" customFormat="false" ht="6" hidden="false" customHeight="true" outlineLevel="0" collapsed="false">
      <c r="A123" s="106"/>
      <c r="B123" s="63"/>
      <c r="C123" s="64"/>
      <c r="D123" s="64"/>
      <c r="E123" s="64"/>
      <c r="F123" s="64"/>
      <c r="G123" s="64"/>
      <c r="H123" s="64"/>
      <c r="I123" s="64"/>
      <c r="J123" s="64"/>
      <c r="K123" s="64"/>
      <c r="L123" s="64"/>
      <c r="M123" s="63"/>
      <c r="N123" s="63"/>
      <c r="O123" s="63"/>
      <c r="P123" s="63"/>
      <c r="Q123" s="63"/>
      <c r="R123" s="63"/>
      <c r="S123" s="63"/>
      <c r="T123" s="63"/>
      <c r="U123" s="63"/>
      <c r="V123" s="63"/>
      <c r="W123" s="82"/>
    </row>
    <row r="124" customFormat="false" ht="15" hidden="false" customHeight="false" outlineLevel="0" collapsed="false">
      <c r="A124" s="79"/>
      <c r="B124" s="63"/>
      <c r="C124" s="97" t="s">
        <v>32</v>
      </c>
      <c r="D124" s="98" t="n">
        <f aca="false">'Business Details'!O55</f>
        <v>0</v>
      </c>
      <c r="E124" s="98"/>
      <c r="F124" s="98"/>
      <c r="G124" s="99" t="s">
        <v>33</v>
      </c>
      <c r="H124" s="100" t="n">
        <v>0</v>
      </c>
      <c r="I124" s="100" t="n">
        <v>0</v>
      </c>
      <c r="J124" s="63"/>
      <c r="K124" s="63"/>
      <c r="L124" s="64"/>
      <c r="M124" s="63"/>
      <c r="N124" s="97" t="s">
        <v>32</v>
      </c>
      <c r="O124" s="98" t="n">
        <f aca="false">[2]Mar!$X$1</f>
        <v>0</v>
      </c>
      <c r="P124" s="98"/>
      <c r="Q124" s="98"/>
      <c r="R124" s="99" t="s">
        <v>33</v>
      </c>
      <c r="S124" s="100" t="n">
        <v>0</v>
      </c>
      <c r="T124" s="100" t="n">
        <v>0</v>
      </c>
      <c r="U124" s="63"/>
      <c r="V124" s="63"/>
      <c r="W124" s="82"/>
    </row>
    <row r="125" customFormat="false" ht="12" hidden="false" customHeight="true" outlineLevel="0" collapsed="false">
      <c r="A125" s="93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113"/>
      <c r="M125" s="94"/>
      <c r="N125" s="117"/>
      <c r="O125" s="118"/>
      <c r="P125" s="118"/>
      <c r="Q125" s="118"/>
      <c r="R125" s="119"/>
      <c r="S125" s="120"/>
      <c r="T125" s="120"/>
      <c r="U125" s="94"/>
      <c r="V125" s="94"/>
      <c r="W125" s="95"/>
    </row>
  </sheetData>
  <mergeCells count="67">
    <mergeCell ref="A1:F2"/>
    <mergeCell ref="G1:N2"/>
    <mergeCell ref="O1:W1"/>
    <mergeCell ref="O2:P2"/>
    <mergeCell ref="Q2:T2"/>
    <mergeCell ref="V2:W2"/>
    <mergeCell ref="A3:W3"/>
    <mergeCell ref="A4:W4"/>
    <mergeCell ref="C8:J8"/>
    <mergeCell ref="O8:P8"/>
    <mergeCell ref="R8:U8"/>
    <mergeCell ref="A10:W10"/>
    <mergeCell ref="C13:J13"/>
    <mergeCell ref="C15:J15"/>
    <mergeCell ref="C17:J17"/>
    <mergeCell ref="S17:V17"/>
    <mergeCell ref="N18:V18"/>
    <mergeCell ref="N20:Q20"/>
    <mergeCell ref="C22:D22"/>
    <mergeCell ref="S23:V23"/>
    <mergeCell ref="N26:Q26"/>
    <mergeCell ref="N31:Q31"/>
    <mergeCell ref="A33:W33"/>
    <mergeCell ref="D38:F38"/>
    <mergeCell ref="O38:Q38"/>
    <mergeCell ref="A40:W40"/>
    <mergeCell ref="A41:W41"/>
    <mergeCell ref="A42:W42"/>
    <mergeCell ref="D46:F46"/>
    <mergeCell ref="O46:Q46"/>
    <mergeCell ref="D51:F51"/>
    <mergeCell ref="O51:Q51"/>
    <mergeCell ref="D55:F55"/>
    <mergeCell ref="O55:Q55"/>
    <mergeCell ref="D60:F60"/>
    <mergeCell ref="O60:Q60"/>
    <mergeCell ref="D64:F64"/>
    <mergeCell ref="O64:Q64"/>
    <mergeCell ref="A66:W66"/>
    <mergeCell ref="D71:F71"/>
    <mergeCell ref="O71:Q71"/>
    <mergeCell ref="A73:W73"/>
    <mergeCell ref="A74:W74"/>
    <mergeCell ref="A75:W75"/>
    <mergeCell ref="A76:W76"/>
    <mergeCell ref="D80:F80"/>
    <mergeCell ref="O80:Q80"/>
    <mergeCell ref="D85:F85"/>
    <mergeCell ref="O85:Q85"/>
    <mergeCell ref="A87:W87"/>
    <mergeCell ref="A88:W88"/>
    <mergeCell ref="A89:W89"/>
    <mergeCell ref="D94:F94"/>
    <mergeCell ref="O94:Q94"/>
    <mergeCell ref="D99:F99"/>
    <mergeCell ref="O99:Q99"/>
    <mergeCell ref="A101:W101"/>
    <mergeCell ref="D106:F106"/>
    <mergeCell ref="O106:Q106"/>
    <mergeCell ref="A108:W108"/>
    <mergeCell ref="A109:W109"/>
    <mergeCell ref="D112:F112"/>
    <mergeCell ref="D114:F114"/>
    <mergeCell ref="R116:T116"/>
    <mergeCell ref="D119:F119"/>
    <mergeCell ref="D124:F124"/>
    <mergeCell ref="O124:Q124"/>
  </mergeCells>
  <printOptions headings="false" gridLines="false" gridLinesSet="true" horizontalCentered="true" verticalCentered="true"/>
  <pageMargins left="0.433333333333333" right="0.354166666666667" top="0.157638888888889" bottom="0.157638888888889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50" width="3.66"/>
    <col collapsed="false" customWidth="true" hidden="false" outlineLevel="0" max="2" min="2" style="50" width="0.82"/>
    <col collapsed="false" customWidth="true" hidden="false" outlineLevel="0" max="3" min="3" style="50" width="3.66"/>
    <col collapsed="false" customWidth="true" hidden="false" outlineLevel="0" max="4" min="4" style="50" width="4.15"/>
    <col collapsed="false" customWidth="true" hidden="false" outlineLevel="0" max="5" min="5" style="50" width="1.66"/>
    <col collapsed="false" customWidth="true" hidden="false" outlineLevel="0" max="6" min="6" style="50" width="10.66"/>
    <col collapsed="false" customWidth="true" hidden="false" outlineLevel="0" max="7" min="7" style="50" width="1.66"/>
    <col collapsed="false" customWidth="true" hidden="false" outlineLevel="0" max="9" min="8" style="50" width="2.5"/>
    <col collapsed="false" customWidth="true" hidden="false" outlineLevel="0" max="10" min="10" style="50" width="6.66"/>
    <col collapsed="false" customWidth="true" hidden="false" outlineLevel="0" max="11" min="11" style="50" width="9.66"/>
    <col collapsed="false" customWidth="true" hidden="false" outlineLevel="0" max="12" min="12" style="50" width="3.66"/>
    <col collapsed="false" customWidth="true" hidden="false" outlineLevel="0" max="13" min="13" style="50" width="0.82"/>
    <col collapsed="false" customWidth="true" hidden="false" outlineLevel="0" max="14" min="14" style="50" width="3.66"/>
    <col collapsed="false" customWidth="true" hidden="false" outlineLevel="0" max="15" min="15" style="50" width="3.49"/>
    <col collapsed="false" customWidth="true" hidden="false" outlineLevel="0" max="17" min="16" style="50" width="6.66"/>
    <col collapsed="false" customWidth="true" hidden="false" outlineLevel="0" max="18" min="18" style="50" width="1.66"/>
    <col collapsed="false" customWidth="true" hidden="false" outlineLevel="0" max="19" min="19" style="50" width="2.5"/>
    <col collapsed="false" customWidth="true" hidden="false" outlineLevel="0" max="20" min="20" style="50" width="11.32"/>
    <col collapsed="false" customWidth="true" hidden="false" outlineLevel="0" max="21" min="21" style="50" width="2.66"/>
    <col collapsed="false" customWidth="true" hidden="false" outlineLevel="0" max="22" min="22" style="50" width="5.5"/>
    <col collapsed="false" customWidth="true" hidden="false" outlineLevel="0" max="23" min="23" style="50" width="13.82"/>
    <col collapsed="false" customWidth="false" hidden="false" outlineLevel="0" max="257" min="24" style="50" width="9.15"/>
  </cols>
  <sheetData>
    <row r="1" customFormat="false" ht="30" hidden="false" customHeight="true" outlineLevel="0" collapsed="false">
      <c r="A1" s="51" t="s">
        <v>119</v>
      </c>
      <c r="B1" s="51"/>
      <c r="C1" s="51"/>
      <c r="D1" s="51"/>
      <c r="E1" s="51"/>
      <c r="F1" s="51"/>
      <c r="G1" s="52" t="s">
        <v>38</v>
      </c>
      <c r="H1" s="52"/>
      <c r="I1" s="52"/>
      <c r="J1" s="52"/>
      <c r="K1" s="52"/>
      <c r="L1" s="52"/>
      <c r="M1" s="52"/>
      <c r="N1" s="121" t="s">
        <v>120</v>
      </c>
      <c r="O1" s="121"/>
      <c r="P1" s="121"/>
      <c r="Q1" s="121"/>
      <c r="R1" s="121"/>
      <c r="S1" s="121"/>
      <c r="T1" s="121"/>
      <c r="U1" s="121"/>
      <c r="V1" s="121"/>
      <c r="W1" s="121"/>
    </row>
    <row r="2" customFormat="false" ht="30" hidden="false" customHeight="true" outlineLevel="0" collapsed="false">
      <c r="A2" s="51"/>
      <c r="B2" s="51"/>
      <c r="C2" s="51"/>
      <c r="D2" s="51"/>
      <c r="E2" s="51"/>
      <c r="F2" s="51"/>
      <c r="G2" s="52"/>
      <c r="H2" s="52"/>
      <c r="I2" s="52"/>
      <c r="J2" s="52"/>
      <c r="K2" s="52"/>
      <c r="L2" s="52"/>
      <c r="M2" s="52"/>
      <c r="N2" s="54" t="s">
        <v>40</v>
      </c>
      <c r="O2" s="54"/>
      <c r="P2" s="54"/>
      <c r="Q2" s="55" t="n">
        <f aca="false">Admin!B4</f>
        <v>44657</v>
      </c>
      <c r="R2" s="55"/>
      <c r="S2" s="55"/>
      <c r="T2" s="55"/>
      <c r="U2" s="56" t="s">
        <v>41</v>
      </c>
      <c r="V2" s="55" t="n">
        <f aca="false">Admin!B17</f>
        <v>45021</v>
      </c>
      <c r="W2" s="55"/>
    </row>
    <row r="3" customFormat="false" ht="8.25" hidden="false" customHeight="true" outlineLevel="0" collapsed="false">
      <c r="A3" s="57"/>
      <c r="B3" s="57"/>
      <c r="C3" s="57"/>
      <c r="D3" s="57"/>
      <c r="E3" s="57"/>
      <c r="F3" s="57"/>
      <c r="G3" s="57"/>
      <c r="H3" s="57"/>
      <c r="I3" s="57"/>
      <c r="J3" s="57"/>
      <c r="K3" s="57"/>
      <c r="L3" s="57"/>
      <c r="M3" s="57"/>
      <c r="N3" s="57"/>
      <c r="O3" s="57"/>
      <c r="P3" s="57"/>
      <c r="Q3" s="57"/>
      <c r="R3" s="57"/>
      <c r="S3" s="57"/>
      <c r="T3" s="57"/>
      <c r="U3" s="57"/>
      <c r="V3" s="57"/>
      <c r="W3" s="57"/>
    </row>
    <row r="4" customFormat="false" ht="9.75" hidden="false" customHeight="true" outlineLevel="0" collapsed="false">
      <c r="A4" s="58"/>
      <c r="B4" s="58"/>
      <c r="C4" s="58"/>
      <c r="D4" s="58"/>
      <c r="E4" s="58"/>
      <c r="F4" s="58"/>
      <c r="G4" s="58"/>
      <c r="H4" s="58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8"/>
    </row>
    <row r="5" customFormat="false" ht="6" hidden="false" customHeight="true" outlineLevel="0" collapsed="false">
      <c r="A5" s="59"/>
      <c r="B5" s="60"/>
      <c r="C5" s="60"/>
      <c r="D5" s="60"/>
      <c r="E5" s="60"/>
      <c r="F5" s="60"/>
      <c r="G5" s="60"/>
      <c r="H5" s="60"/>
      <c r="I5" s="60"/>
      <c r="J5" s="60"/>
      <c r="K5" s="60"/>
      <c r="L5" s="60"/>
      <c r="M5" s="60"/>
      <c r="N5" s="60"/>
      <c r="O5" s="60"/>
      <c r="P5" s="60"/>
      <c r="Q5" s="60"/>
      <c r="R5" s="60"/>
      <c r="S5" s="60"/>
      <c r="T5" s="60"/>
      <c r="U5" s="60"/>
      <c r="V5" s="60"/>
      <c r="W5" s="61"/>
    </row>
    <row r="6" customFormat="false" ht="12" hidden="false" customHeight="false" outlineLevel="0" collapsed="false">
      <c r="A6" s="62"/>
      <c r="B6" s="63"/>
      <c r="C6" s="64" t="s">
        <v>1</v>
      </c>
      <c r="D6" s="64"/>
      <c r="E6" s="64"/>
      <c r="F6" s="63"/>
      <c r="G6" s="63"/>
      <c r="H6" s="63"/>
      <c r="I6" s="63"/>
      <c r="J6" s="63"/>
      <c r="K6" s="63"/>
      <c r="L6" s="63"/>
      <c r="M6" s="63"/>
      <c r="N6" s="64" t="s">
        <v>2</v>
      </c>
      <c r="O6" s="64"/>
      <c r="P6" s="64"/>
      <c r="Q6" s="64"/>
      <c r="R6" s="64"/>
      <c r="S6" s="64"/>
      <c r="T6" s="64"/>
      <c r="U6" s="64"/>
      <c r="V6" s="64"/>
      <c r="W6" s="65"/>
    </row>
    <row r="7" customFormat="false" ht="4.5" hidden="false" customHeight="true" outlineLevel="0" collapsed="false">
      <c r="A7" s="62"/>
      <c r="B7" s="63"/>
      <c r="C7" s="64"/>
      <c r="D7" s="64"/>
      <c r="E7" s="64"/>
      <c r="F7" s="63"/>
      <c r="G7" s="63"/>
      <c r="H7" s="63"/>
      <c r="I7" s="63"/>
      <c r="J7" s="63"/>
      <c r="K7" s="63"/>
      <c r="L7" s="63"/>
      <c r="M7" s="63"/>
      <c r="N7" s="64"/>
      <c r="O7" s="64"/>
      <c r="P7" s="64"/>
      <c r="Q7" s="64"/>
      <c r="R7" s="64"/>
      <c r="S7" s="64"/>
      <c r="T7" s="64"/>
      <c r="U7" s="64"/>
      <c r="V7" s="64"/>
      <c r="W7" s="65"/>
    </row>
    <row r="8" customFormat="false" ht="15" hidden="false" customHeight="true" outlineLevel="0" collapsed="false">
      <c r="A8" s="62"/>
      <c r="B8" s="63"/>
      <c r="C8" s="122" t="str">
        <f aca="false">IF('Business Details'!C5&gt;0,'Business Details'!C5," ")</f>
        <v> </v>
      </c>
      <c r="D8" s="122"/>
      <c r="E8" s="122"/>
      <c r="F8" s="122"/>
      <c r="G8" s="122"/>
      <c r="H8" s="122"/>
      <c r="I8" s="122"/>
      <c r="J8" s="122"/>
      <c r="K8" s="63"/>
      <c r="L8" s="63"/>
      <c r="M8" s="63"/>
      <c r="N8" s="63"/>
      <c r="O8" s="122" t="str">
        <f aca="false">IF('Business Details'!O5&gt;0,'Business Details'!O5," ")</f>
        <v> </v>
      </c>
      <c r="P8" s="122"/>
      <c r="Q8" s="63"/>
      <c r="R8" s="122" t="str">
        <f aca="false">IF('Business Details'!R5&gt;0,'Business Details'!R5," ")</f>
        <v> </v>
      </c>
      <c r="S8" s="122"/>
      <c r="T8" s="122"/>
      <c r="U8" s="122"/>
      <c r="V8" s="63"/>
      <c r="W8" s="67"/>
    </row>
    <row r="9" customFormat="false" ht="9.75" hidden="false" customHeight="true" outlineLevel="0" collapsed="false">
      <c r="A9" s="79"/>
      <c r="B9" s="63"/>
      <c r="C9" s="123"/>
      <c r="D9" s="123"/>
      <c r="E9" s="123"/>
      <c r="F9" s="123"/>
      <c r="G9" s="123"/>
      <c r="H9" s="123"/>
      <c r="I9" s="123"/>
      <c r="J9" s="123"/>
      <c r="K9" s="63"/>
      <c r="L9" s="63"/>
      <c r="M9" s="63"/>
      <c r="N9" s="64"/>
      <c r="O9" s="64"/>
      <c r="P9" s="64"/>
      <c r="Q9" s="64"/>
      <c r="R9" s="64"/>
      <c r="S9" s="64"/>
      <c r="T9" s="64"/>
      <c r="U9" s="64"/>
      <c r="V9" s="64"/>
      <c r="W9" s="78"/>
    </row>
    <row r="10" customFormat="false" ht="15" hidden="false" customHeight="true" outlineLevel="0" collapsed="false">
      <c r="A10" s="79"/>
      <c r="B10" s="63"/>
      <c r="C10" s="122" t="str">
        <f aca="false">IF('Business Details'!C7&gt;0,'Business Details'!C7," ")</f>
        <v> </v>
      </c>
      <c r="D10" s="122"/>
      <c r="E10" s="122"/>
      <c r="F10" s="122"/>
      <c r="G10" s="122"/>
      <c r="H10" s="122"/>
      <c r="I10" s="122"/>
      <c r="J10" s="122"/>
      <c r="K10" s="63"/>
      <c r="L10" s="63"/>
      <c r="M10" s="63"/>
      <c r="N10" s="64"/>
      <c r="O10" s="64"/>
      <c r="P10" s="64"/>
      <c r="Q10" s="64"/>
      <c r="R10" s="64"/>
      <c r="S10" s="64"/>
      <c r="T10" s="64"/>
      <c r="U10" s="64"/>
      <c r="V10" s="64"/>
      <c r="W10" s="78"/>
    </row>
    <row r="11" customFormat="false" ht="6" hidden="false" customHeight="true" outlineLevel="0" collapsed="false">
      <c r="A11" s="68"/>
      <c r="B11" s="69"/>
      <c r="C11" s="69"/>
      <c r="D11" s="69"/>
      <c r="E11" s="69"/>
      <c r="F11" s="69"/>
      <c r="G11" s="69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70"/>
    </row>
    <row r="12" customFormat="false" ht="24.75" hidden="false" customHeight="true" outlineLevel="0" collapsed="false">
      <c r="A12" s="124" t="s">
        <v>3</v>
      </c>
      <c r="B12" s="124"/>
      <c r="C12" s="124"/>
      <c r="D12" s="124"/>
      <c r="E12" s="124"/>
      <c r="F12" s="124"/>
      <c r="G12" s="124"/>
      <c r="H12" s="124"/>
      <c r="I12" s="124"/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</row>
    <row r="13" customFormat="false" ht="7.5" hidden="false" customHeight="true" outlineLevel="0" collapsed="false">
      <c r="A13" s="72"/>
      <c r="B13" s="73"/>
      <c r="C13" s="73"/>
      <c r="D13" s="73"/>
      <c r="E13" s="73"/>
      <c r="F13" s="73"/>
      <c r="G13" s="73"/>
      <c r="H13" s="73"/>
      <c r="I13" s="73"/>
      <c r="J13" s="73"/>
      <c r="K13" s="73"/>
      <c r="L13" s="73"/>
      <c r="M13" s="73"/>
      <c r="N13" s="73"/>
      <c r="O13" s="73"/>
      <c r="P13" s="73"/>
      <c r="Q13" s="73"/>
      <c r="R13" s="73"/>
      <c r="S13" s="73"/>
      <c r="T13" s="73"/>
      <c r="U13" s="73"/>
      <c r="V13" s="73"/>
      <c r="W13" s="74"/>
    </row>
    <row r="14" customFormat="false" ht="12" hidden="false" customHeight="false" outlineLevel="0" collapsed="false">
      <c r="A14" s="75" t="n">
        <v>1</v>
      </c>
      <c r="B14" s="63"/>
      <c r="C14" s="64" t="s">
        <v>4</v>
      </c>
      <c r="D14" s="64"/>
      <c r="E14" s="64"/>
      <c r="F14" s="63"/>
      <c r="G14" s="63"/>
      <c r="H14" s="63"/>
      <c r="I14" s="63"/>
      <c r="J14" s="63"/>
      <c r="K14" s="63"/>
      <c r="L14" s="75" t="n">
        <v>5</v>
      </c>
      <c r="M14" s="63"/>
      <c r="N14" s="64" t="s">
        <v>5</v>
      </c>
      <c r="O14" s="64"/>
      <c r="P14" s="64"/>
      <c r="Q14" s="64"/>
      <c r="R14" s="64"/>
      <c r="S14" s="64"/>
      <c r="T14" s="64"/>
      <c r="U14" s="64"/>
      <c r="V14" s="64"/>
      <c r="W14" s="78"/>
    </row>
    <row r="15" customFormat="false" ht="15" hidden="false" customHeight="true" outlineLevel="0" collapsed="false">
      <c r="A15" s="79"/>
      <c r="B15" s="63"/>
      <c r="C15" s="122" t="str">
        <f aca="false">IF('Business Details'!C12&gt;0,'Business Details'!C12," ")</f>
        <v> </v>
      </c>
      <c r="D15" s="122"/>
      <c r="E15" s="122"/>
      <c r="F15" s="122"/>
      <c r="G15" s="122"/>
      <c r="H15" s="122"/>
      <c r="I15" s="122"/>
      <c r="J15" s="122"/>
      <c r="K15" s="63"/>
      <c r="L15" s="63"/>
      <c r="M15" s="63"/>
      <c r="N15" s="80" t="s">
        <v>6</v>
      </c>
      <c r="O15" s="64"/>
      <c r="P15" s="64"/>
      <c r="Q15" s="64"/>
      <c r="R15" s="64"/>
      <c r="S15" s="64"/>
      <c r="T15" s="64"/>
      <c r="U15" s="64"/>
      <c r="V15" s="64"/>
      <c r="W15" s="78"/>
    </row>
    <row r="16" customFormat="false" ht="9.75" hidden="false" customHeight="true" outlineLevel="0" collapsed="false">
      <c r="A16" s="79"/>
      <c r="B16" s="63"/>
      <c r="C16" s="123"/>
      <c r="D16" s="123"/>
      <c r="E16" s="123"/>
      <c r="F16" s="123"/>
      <c r="G16" s="123"/>
      <c r="H16" s="123"/>
      <c r="I16" s="123"/>
      <c r="J16" s="123"/>
      <c r="K16" s="63"/>
      <c r="L16" s="63"/>
      <c r="M16" s="63"/>
      <c r="N16" s="64" t="s">
        <v>7</v>
      </c>
      <c r="O16" s="64"/>
      <c r="P16" s="64"/>
      <c r="Q16" s="64"/>
      <c r="R16" s="64"/>
      <c r="S16" s="64"/>
      <c r="T16" s="64"/>
      <c r="U16" s="64"/>
      <c r="V16" s="64"/>
      <c r="W16" s="78"/>
    </row>
    <row r="17" customFormat="false" ht="15" hidden="false" customHeight="true" outlineLevel="0" collapsed="false">
      <c r="A17" s="79"/>
      <c r="B17" s="63"/>
      <c r="C17" s="122" t="str">
        <f aca="false">IF('Business Details'!C14&gt;0,'Business Details'!C14," ")</f>
        <v> </v>
      </c>
      <c r="D17" s="122"/>
      <c r="E17" s="122"/>
      <c r="F17" s="122"/>
      <c r="G17" s="122"/>
      <c r="H17" s="122"/>
      <c r="I17" s="122"/>
      <c r="J17" s="122"/>
      <c r="K17" s="63"/>
      <c r="L17" s="63"/>
      <c r="M17" s="63"/>
      <c r="N17" s="125" t="str">
        <f aca="false">IF('Business Details'!N14="X","X"," ")</f>
        <v> </v>
      </c>
      <c r="O17" s="63"/>
      <c r="P17" s="63"/>
      <c r="Q17" s="63"/>
      <c r="R17" s="63"/>
      <c r="S17" s="63"/>
      <c r="T17" s="63"/>
      <c r="U17" s="63"/>
      <c r="V17" s="63"/>
      <c r="W17" s="82"/>
    </row>
    <row r="18" customFormat="false" ht="7.5" hidden="false" customHeight="true" outlineLevel="0" collapsed="false">
      <c r="A18" s="79"/>
      <c r="B18" s="63"/>
      <c r="C18" s="63"/>
      <c r="D18" s="63"/>
      <c r="E18" s="63"/>
      <c r="F18" s="63"/>
      <c r="G18" s="63"/>
      <c r="H18" s="63"/>
      <c r="I18" s="63"/>
      <c r="J18" s="63"/>
      <c r="K18" s="63"/>
      <c r="L18" s="63"/>
      <c r="M18" s="63"/>
      <c r="N18" s="63"/>
      <c r="O18" s="63"/>
      <c r="P18" s="63"/>
      <c r="Q18" s="63"/>
      <c r="R18" s="63"/>
      <c r="S18" s="63"/>
      <c r="T18" s="63"/>
      <c r="U18" s="63"/>
      <c r="V18" s="63"/>
      <c r="W18" s="82"/>
    </row>
    <row r="19" customFormat="false" ht="12" hidden="false" customHeight="false" outlineLevel="0" collapsed="false">
      <c r="A19" s="75" t="n">
        <v>2</v>
      </c>
      <c r="B19" s="63"/>
      <c r="C19" s="64" t="s">
        <v>8</v>
      </c>
      <c r="D19" s="64"/>
      <c r="E19" s="64"/>
      <c r="F19" s="63"/>
      <c r="G19" s="63"/>
      <c r="H19" s="63"/>
      <c r="I19" s="63"/>
      <c r="J19" s="63"/>
      <c r="K19" s="63"/>
      <c r="L19" s="75" t="n">
        <v>6</v>
      </c>
      <c r="M19" s="63"/>
      <c r="N19" s="64" t="s">
        <v>9</v>
      </c>
      <c r="O19" s="64"/>
      <c r="P19" s="64"/>
      <c r="Q19" s="64"/>
      <c r="R19" s="63"/>
      <c r="S19" s="84" t="n">
        <f aca="false">Admin!B4</f>
        <v>44657</v>
      </c>
      <c r="T19" s="84"/>
      <c r="U19" s="84"/>
      <c r="V19" s="84"/>
      <c r="W19" s="78"/>
    </row>
    <row r="20" customFormat="false" ht="15" hidden="false" customHeight="true" outlineLevel="0" collapsed="false">
      <c r="A20" s="79"/>
      <c r="B20" s="63"/>
      <c r="C20" s="122" t="str">
        <f aca="false">IF('Business Details'!C17&gt;0,'Business Details'!C17," ")</f>
        <v> </v>
      </c>
      <c r="D20" s="122"/>
      <c r="E20" s="122"/>
      <c r="F20" s="122"/>
      <c r="G20" s="122"/>
      <c r="H20" s="122"/>
      <c r="I20" s="122"/>
      <c r="J20" s="122"/>
      <c r="K20" s="63"/>
      <c r="L20" s="63"/>
      <c r="M20" s="63"/>
      <c r="N20" s="64" t="s">
        <v>10</v>
      </c>
      <c r="O20" s="64"/>
      <c r="P20" s="64"/>
      <c r="Q20" s="64"/>
      <c r="R20" s="64"/>
      <c r="S20" s="64"/>
      <c r="T20" s="64"/>
      <c r="U20" s="64"/>
      <c r="V20" s="64"/>
      <c r="W20" s="78"/>
    </row>
    <row r="21" customFormat="false" ht="7.5" hidden="false" customHeight="true" outlineLevel="0" collapsed="false">
      <c r="A21" s="79"/>
      <c r="B21" s="63"/>
      <c r="C21" s="123"/>
      <c r="D21" s="123"/>
      <c r="E21" s="123"/>
      <c r="F21" s="123"/>
      <c r="G21" s="123"/>
      <c r="H21" s="123"/>
      <c r="I21" s="123"/>
      <c r="J21" s="123"/>
      <c r="K21" s="63"/>
      <c r="L21" s="63"/>
      <c r="M21" s="63"/>
      <c r="N21" s="81"/>
      <c r="O21" s="81"/>
      <c r="P21" s="81"/>
      <c r="Q21" s="81"/>
      <c r="R21" s="63"/>
      <c r="S21" s="63"/>
      <c r="T21" s="63"/>
      <c r="U21" s="63"/>
      <c r="V21" s="63"/>
      <c r="W21" s="82"/>
    </row>
    <row r="22" customFormat="false" ht="13.5" hidden="false" customHeight="false" outlineLevel="0" collapsed="false">
      <c r="A22" s="79"/>
      <c r="B22" s="63"/>
      <c r="C22" s="122" t="str">
        <f aca="false">IF('Business Details'!C19&gt;0,'Business Details'!C19," ")</f>
        <v> </v>
      </c>
      <c r="D22" s="122"/>
      <c r="E22" s="122"/>
      <c r="F22" s="122"/>
      <c r="G22" s="122"/>
      <c r="H22" s="122"/>
      <c r="I22" s="122"/>
      <c r="J22" s="122"/>
      <c r="K22" s="63"/>
      <c r="L22" s="63"/>
      <c r="M22" s="63"/>
      <c r="N22" s="87" t="str">
        <f aca="false">IF('Business Details'!N10&gt;0,'Business Details'!N19," ")</f>
        <v> </v>
      </c>
      <c r="O22" s="87"/>
      <c r="P22" s="87"/>
      <c r="Q22" s="87"/>
      <c r="R22" s="63"/>
      <c r="S22" s="63"/>
      <c r="T22" s="63"/>
      <c r="U22" s="63"/>
      <c r="V22" s="63"/>
      <c r="W22" s="82"/>
    </row>
    <row r="23" customFormat="false" ht="7.5" hidden="false" customHeight="true" outlineLevel="0" collapsed="false">
      <c r="A23" s="79"/>
      <c r="B23" s="63"/>
      <c r="C23" s="123"/>
      <c r="D23" s="123"/>
      <c r="E23" s="123"/>
      <c r="F23" s="123"/>
      <c r="G23" s="123"/>
      <c r="H23" s="123"/>
      <c r="I23" s="123"/>
      <c r="J23" s="123"/>
      <c r="K23" s="63"/>
      <c r="L23" s="63"/>
      <c r="M23" s="63"/>
      <c r="N23" s="63"/>
      <c r="O23" s="63"/>
      <c r="P23" s="63"/>
      <c r="Q23" s="63"/>
      <c r="R23" s="63"/>
      <c r="S23" s="63"/>
      <c r="T23" s="63"/>
      <c r="U23" s="63"/>
      <c r="V23" s="63"/>
      <c r="W23" s="82"/>
    </row>
    <row r="24" customFormat="false" ht="13.5" hidden="false" customHeight="false" outlineLevel="0" collapsed="false">
      <c r="A24" s="79"/>
      <c r="B24" s="63"/>
      <c r="C24" s="122" t="str">
        <f aca="false">IF('Business Details'!C21&gt;0,'Business Details'!C21," ")</f>
        <v> </v>
      </c>
      <c r="D24" s="122"/>
      <c r="E24" s="122"/>
      <c r="F24" s="122"/>
      <c r="G24" s="122"/>
      <c r="H24" s="122"/>
      <c r="I24" s="122"/>
      <c r="J24" s="122"/>
      <c r="K24" s="63"/>
      <c r="L24" s="75" t="n">
        <v>7</v>
      </c>
      <c r="M24" s="63"/>
      <c r="N24" s="64" t="s">
        <v>11</v>
      </c>
      <c r="O24" s="64"/>
      <c r="P24" s="64"/>
      <c r="Q24" s="64"/>
      <c r="R24" s="63"/>
      <c r="S24" s="84" t="n">
        <f aca="false">Admin!B17</f>
        <v>45021</v>
      </c>
      <c r="T24" s="84"/>
      <c r="U24" s="84"/>
      <c r="V24" s="84"/>
      <c r="W24" s="78"/>
    </row>
    <row r="25" customFormat="false" ht="7.5" hidden="false" customHeight="true" outlineLevel="0" collapsed="false">
      <c r="A25" s="79"/>
      <c r="B25" s="63"/>
      <c r="C25" s="63"/>
      <c r="D25" s="63"/>
      <c r="E25" s="63"/>
      <c r="F25" s="63"/>
      <c r="G25" s="63"/>
      <c r="H25" s="63"/>
      <c r="I25" s="63"/>
      <c r="J25" s="63"/>
      <c r="K25" s="63"/>
      <c r="L25" s="63"/>
      <c r="M25" s="63"/>
      <c r="N25" s="85" t="s">
        <v>12</v>
      </c>
      <c r="O25" s="85"/>
      <c r="P25" s="85"/>
      <c r="Q25" s="85"/>
      <c r="R25" s="85"/>
      <c r="S25" s="85"/>
      <c r="T25" s="85"/>
      <c r="U25" s="85"/>
      <c r="V25" s="85"/>
      <c r="W25" s="86"/>
    </row>
    <row r="26" customFormat="false" ht="12" hidden="false" customHeight="false" outlineLevel="0" collapsed="false">
      <c r="A26" s="75" t="n">
        <v>3</v>
      </c>
      <c r="B26" s="63"/>
      <c r="C26" s="64" t="s">
        <v>13</v>
      </c>
      <c r="D26" s="64"/>
      <c r="E26" s="64"/>
      <c r="F26" s="63"/>
      <c r="G26" s="63"/>
      <c r="H26" s="63"/>
      <c r="I26" s="63"/>
      <c r="J26" s="63"/>
      <c r="K26" s="63"/>
      <c r="L26" s="63"/>
      <c r="M26" s="63"/>
      <c r="N26" s="85"/>
      <c r="O26" s="85"/>
      <c r="P26" s="85"/>
      <c r="Q26" s="85"/>
      <c r="R26" s="85"/>
      <c r="S26" s="85"/>
      <c r="T26" s="85"/>
      <c r="U26" s="85"/>
      <c r="V26" s="85"/>
      <c r="W26" s="86"/>
    </row>
    <row r="27" customFormat="false" ht="15" hidden="false" customHeight="true" outlineLevel="0" collapsed="false">
      <c r="A27" s="79"/>
      <c r="B27" s="63"/>
      <c r="C27" s="92" t="s">
        <v>14</v>
      </c>
      <c r="D27" s="90"/>
      <c r="E27" s="90"/>
      <c r="F27" s="63"/>
      <c r="G27" s="63"/>
      <c r="H27" s="63"/>
      <c r="I27" s="63"/>
      <c r="J27" s="63"/>
      <c r="K27" s="63"/>
      <c r="L27" s="63"/>
      <c r="M27" s="63"/>
      <c r="N27" s="87" t="str">
        <f aca="false">IF('Business Details'!N24&gt;0,'Business Details'!N24," ")</f>
        <v> </v>
      </c>
      <c r="O27" s="87"/>
      <c r="P27" s="87"/>
      <c r="Q27" s="87"/>
      <c r="R27" s="63"/>
      <c r="S27" s="63"/>
      <c r="T27" s="63"/>
      <c r="U27" s="63"/>
      <c r="V27" s="63"/>
      <c r="W27" s="82"/>
    </row>
    <row r="28" customFormat="false" ht="13.5" hidden="false" customHeight="false" outlineLevel="0" collapsed="false">
      <c r="A28" s="79"/>
      <c r="B28" s="63"/>
      <c r="C28" s="122" t="str">
        <f aca="false">IF('Business Details'!C25&gt;0,'Business Details'!C25," ")</f>
        <v> </v>
      </c>
      <c r="D28" s="122"/>
      <c r="E28" s="122"/>
      <c r="F28" s="122"/>
      <c r="G28" s="122"/>
      <c r="H28" s="122"/>
      <c r="I28" s="122"/>
      <c r="J28" s="122"/>
      <c r="K28" s="63"/>
      <c r="L28" s="75" t="n">
        <v>8</v>
      </c>
      <c r="M28" s="63"/>
      <c r="N28" s="64" t="s">
        <v>15</v>
      </c>
      <c r="O28" s="64"/>
      <c r="P28" s="64"/>
      <c r="Q28" s="64"/>
      <c r="R28" s="64"/>
      <c r="S28" s="64"/>
      <c r="T28" s="64"/>
      <c r="U28" s="64"/>
      <c r="V28" s="64"/>
      <c r="W28" s="78"/>
    </row>
    <row r="29" s="127" customFormat="true" ht="12" hidden="false" customHeight="true" outlineLevel="0" collapsed="false">
      <c r="A29" s="126"/>
      <c r="B29" s="81"/>
      <c r="C29" s="112"/>
      <c r="D29" s="112"/>
      <c r="E29" s="112"/>
      <c r="F29" s="112"/>
      <c r="G29" s="112"/>
      <c r="H29" s="112"/>
      <c r="I29" s="112"/>
      <c r="J29" s="112"/>
      <c r="K29" s="81"/>
      <c r="L29" s="81"/>
      <c r="M29" s="81"/>
      <c r="N29" s="92" t="s">
        <v>16</v>
      </c>
      <c r="O29" s="80"/>
      <c r="P29" s="80"/>
      <c r="Q29" s="80"/>
      <c r="R29" s="80"/>
      <c r="S29" s="80"/>
      <c r="T29" s="80"/>
      <c r="U29" s="80"/>
      <c r="V29" s="80"/>
      <c r="W29" s="86"/>
    </row>
    <row r="30" customFormat="false" ht="13.5" hidden="false" customHeight="false" outlineLevel="0" collapsed="false">
      <c r="A30" s="79"/>
      <c r="B30" s="63"/>
      <c r="C30" s="122" t="str">
        <f aca="false">IF('Business Details'!C27&gt;0,'Business Details'!C27," ")</f>
        <v> </v>
      </c>
      <c r="D30" s="122"/>
      <c r="E30" s="122"/>
      <c r="F30" s="122"/>
      <c r="G30" s="122"/>
      <c r="H30" s="122"/>
      <c r="I30" s="122"/>
      <c r="J30" s="122"/>
      <c r="K30" s="63"/>
      <c r="L30" s="63"/>
      <c r="M30" s="63"/>
      <c r="N30" s="87" t="str">
        <f aca="false">IF('Business Details'!N27&gt;0,'Business Details'!N27," ")</f>
        <v> </v>
      </c>
      <c r="O30" s="87"/>
      <c r="P30" s="87"/>
      <c r="Q30" s="87"/>
      <c r="R30" s="63"/>
      <c r="S30" s="63"/>
      <c r="T30" s="63"/>
      <c r="U30" s="63"/>
      <c r="V30" s="63"/>
      <c r="W30" s="82"/>
    </row>
    <row r="31" customFormat="false" ht="7.5" hidden="false" customHeight="true" outlineLevel="0" collapsed="false">
      <c r="A31" s="79"/>
      <c r="B31" s="63"/>
      <c r="C31" s="63"/>
      <c r="D31" s="63"/>
      <c r="E31" s="63"/>
      <c r="F31" s="63"/>
      <c r="G31" s="63"/>
      <c r="H31" s="63"/>
      <c r="I31" s="63"/>
      <c r="J31" s="63"/>
      <c r="K31" s="63"/>
      <c r="L31" s="63"/>
      <c r="M31" s="63"/>
      <c r="N31" s="63"/>
      <c r="O31" s="63"/>
      <c r="P31" s="63"/>
      <c r="Q31" s="63"/>
      <c r="R31" s="63"/>
      <c r="S31" s="63"/>
      <c r="T31" s="63"/>
      <c r="U31" s="63"/>
      <c r="V31" s="63"/>
      <c r="W31" s="82"/>
    </row>
    <row r="32" customFormat="false" ht="12" hidden="false" customHeight="false" outlineLevel="0" collapsed="false">
      <c r="A32" s="75" t="n">
        <v>4</v>
      </c>
      <c r="B32" s="63"/>
      <c r="C32" s="80" t="s">
        <v>17</v>
      </c>
      <c r="D32" s="64"/>
      <c r="E32" s="64"/>
      <c r="F32" s="63"/>
      <c r="G32" s="63"/>
      <c r="H32" s="63"/>
      <c r="I32" s="63"/>
      <c r="J32" s="63"/>
      <c r="K32" s="63"/>
      <c r="L32" s="75" t="n">
        <v>9</v>
      </c>
      <c r="M32" s="63"/>
      <c r="N32" s="64" t="s">
        <v>18</v>
      </c>
      <c r="O32" s="64"/>
      <c r="P32" s="64"/>
      <c r="Q32" s="64"/>
      <c r="R32" s="64"/>
      <c r="S32" s="64"/>
      <c r="T32" s="64"/>
      <c r="U32" s="64"/>
      <c r="V32" s="64"/>
      <c r="W32" s="78"/>
    </row>
    <row r="33" customFormat="false" ht="13.5" hidden="false" customHeight="false" outlineLevel="0" collapsed="false">
      <c r="A33" s="79"/>
      <c r="B33" s="63"/>
      <c r="C33" s="125" t="str">
        <f aca="false">IF('Business Details'!C30&gt;0,'Business Details'!C30," ")</f>
        <v> </v>
      </c>
      <c r="D33" s="125"/>
      <c r="E33" s="123"/>
      <c r="F33" s="125" t="str">
        <f aca="false">IF('Business Details'!F30&gt;0,'Business Details'!F30," ")</f>
        <v> </v>
      </c>
      <c r="G33" s="63"/>
      <c r="H33" s="63"/>
      <c r="I33" s="63"/>
      <c r="J33" s="63"/>
      <c r="K33" s="63"/>
      <c r="L33" s="63"/>
      <c r="M33" s="63"/>
      <c r="N33" s="64" t="s">
        <v>19</v>
      </c>
      <c r="O33" s="64"/>
      <c r="P33" s="64"/>
      <c r="Q33" s="64"/>
      <c r="R33" s="64"/>
      <c r="S33" s="64"/>
      <c r="T33" s="64"/>
      <c r="U33" s="64"/>
      <c r="V33" s="64"/>
      <c r="W33" s="78"/>
    </row>
    <row r="34" customFormat="false" ht="12" hidden="false" customHeight="false" outlineLevel="0" collapsed="false">
      <c r="A34" s="79"/>
      <c r="B34" s="63"/>
      <c r="C34" s="63"/>
      <c r="D34" s="63"/>
      <c r="E34" s="63"/>
      <c r="F34" s="63"/>
      <c r="G34" s="63"/>
      <c r="H34" s="63"/>
      <c r="I34" s="63"/>
      <c r="J34" s="63"/>
      <c r="K34" s="63"/>
      <c r="L34" s="63"/>
      <c r="M34" s="63"/>
      <c r="N34" s="90" t="s">
        <v>20</v>
      </c>
      <c r="O34" s="90"/>
      <c r="P34" s="64"/>
      <c r="Q34" s="64"/>
      <c r="R34" s="64"/>
      <c r="S34" s="64"/>
      <c r="T34" s="64"/>
      <c r="U34" s="64"/>
      <c r="V34" s="64"/>
      <c r="W34" s="78"/>
    </row>
    <row r="35" customFormat="false" ht="15" hidden="false" customHeight="true" outlineLevel="0" collapsed="false">
      <c r="A35" s="79"/>
      <c r="B35" s="63"/>
      <c r="C35" s="63"/>
      <c r="D35" s="63"/>
      <c r="E35" s="63"/>
      <c r="F35" s="63"/>
      <c r="G35" s="63"/>
      <c r="H35" s="63"/>
      <c r="I35" s="63"/>
      <c r="J35" s="63"/>
      <c r="K35" s="63"/>
      <c r="L35" s="63"/>
      <c r="M35" s="63"/>
      <c r="N35" s="87" t="n">
        <f aca="false">Admin!B17</f>
        <v>45021</v>
      </c>
      <c r="O35" s="87"/>
      <c r="P35" s="87"/>
      <c r="Q35" s="87"/>
      <c r="R35" s="63"/>
      <c r="S35" s="63"/>
      <c r="T35" s="63"/>
      <c r="U35" s="63"/>
      <c r="V35" s="63"/>
      <c r="W35" s="82"/>
    </row>
    <row r="36" customFormat="false" ht="7.5" hidden="false" customHeight="true" outlineLevel="0" collapsed="false">
      <c r="A36" s="93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5"/>
    </row>
    <row r="37" customFormat="false" ht="24.75" hidden="false" customHeight="true" outlineLevel="0" collapsed="false">
      <c r="A37" s="111" t="s">
        <v>21</v>
      </c>
      <c r="B37" s="111"/>
      <c r="C37" s="111"/>
      <c r="D37" s="111"/>
      <c r="E37" s="111"/>
      <c r="F37" s="111"/>
      <c r="G37" s="111"/>
      <c r="H37" s="111"/>
      <c r="I37" s="111"/>
      <c r="J37" s="111"/>
      <c r="K37" s="111"/>
      <c r="L37" s="111"/>
      <c r="M37" s="111"/>
      <c r="N37" s="111"/>
      <c r="O37" s="111"/>
      <c r="P37" s="111"/>
      <c r="Q37" s="111"/>
      <c r="R37" s="111"/>
      <c r="S37" s="111"/>
      <c r="T37" s="111"/>
      <c r="U37" s="111"/>
      <c r="V37" s="111"/>
      <c r="W37" s="111"/>
    </row>
    <row r="38" customFormat="false" ht="6" hidden="false" customHeight="true" outlineLevel="0" collapsed="false">
      <c r="A38" s="72"/>
      <c r="B38" s="73"/>
      <c r="C38" s="73"/>
      <c r="D38" s="73"/>
      <c r="E38" s="73"/>
      <c r="F38" s="73"/>
      <c r="G38" s="73"/>
      <c r="H38" s="73"/>
      <c r="I38" s="73"/>
      <c r="J38" s="73"/>
      <c r="K38" s="73"/>
      <c r="L38" s="73"/>
      <c r="M38" s="73"/>
      <c r="N38" s="73"/>
      <c r="O38" s="73"/>
      <c r="P38" s="73"/>
      <c r="Q38" s="73"/>
      <c r="R38" s="73"/>
      <c r="S38" s="73"/>
      <c r="T38" s="73"/>
      <c r="U38" s="73"/>
      <c r="V38" s="73"/>
      <c r="W38" s="74"/>
    </row>
    <row r="39" customFormat="false" ht="12" hidden="false" customHeight="false" outlineLevel="0" collapsed="false">
      <c r="A39" s="75" t="n">
        <v>10</v>
      </c>
      <c r="B39" s="63"/>
      <c r="C39" s="64" t="s">
        <v>22</v>
      </c>
      <c r="D39" s="64"/>
      <c r="E39" s="64"/>
      <c r="F39" s="64"/>
      <c r="G39" s="64"/>
      <c r="H39" s="64"/>
      <c r="I39" s="64"/>
      <c r="J39" s="64"/>
      <c r="K39" s="64"/>
      <c r="L39" s="75" t="n">
        <v>12</v>
      </c>
      <c r="M39" s="63"/>
      <c r="N39" s="64" t="s">
        <v>23</v>
      </c>
      <c r="O39" s="64"/>
      <c r="P39" s="64"/>
      <c r="Q39" s="64"/>
      <c r="R39" s="64"/>
      <c r="S39" s="64"/>
      <c r="T39" s="64"/>
      <c r="U39" s="64"/>
      <c r="V39" s="64"/>
      <c r="W39" s="78"/>
    </row>
    <row r="40" customFormat="false" ht="12" hidden="false" customHeight="false" outlineLevel="0" collapsed="false">
      <c r="A40" s="79"/>
      <c r="B40" s="63"/>
      <c r="C40" s="64" t="s">
        <v>24</v>
      </c>
      <c r="D40" s="64"/>
      <c r="E40" s="64"/>
      <c r="F40" s="64"/>
      <c r="G40" s="64"/>
      <c r="H40" s="64"/>
      <c r="I40" s="64"/>
      <c r="J40" s="64"/>
      <c r="K40" s="64"/>
      <c r="L40" s="63"/>
      <c r="M40" s="63"/>
      <c r="N40" s="64" t="s">
        <v>25</v>
      </c>
      <c r="O40" s="64"/>
      <c r="P40" s="64"/>
      <c r="Q40" s="64"/>
      <c r="R40" s="64"/>
      <c r="S40" s="64"/>
      <c r="T40" s="64"/>
      <c r="U40" s="64"/>
      <c r="V40" s="64"/>
      <c r="W40" s="78"/>
    </row>
    <row r="41" customFormat="false" ht="7.5" hidden="false" customHeight="true" outlineLevel="0" collapsed="false">
      <c r="A41" s="79"/>
      <c r="B41" s="63"/>
      <c r="C41" s="63"/>
      <c r="D41" s="63"/>
      <c r="E41" s="63"/>
      <c r="F41" s="63"/>
      <c r="G41" s="63"/>
      <c r="H41" s="63"/>
      <c r="I41" s="63"/>
      <c r="J41" s="63"/>
      <c r="K41" s="63"/>
      <c r="L41" s="63"/>
      <c r="M41" s="63"/>
      <c r="N41" s="63"/>
      <c r="O41" s="63"/>
      <c r="P41" s="63"/>
      <c r="Q41" s="63"/>
      <c r="R41" s="63"/>
      <c r="S41" s="63"/>
      <c r="T41" s="63"/>
      <c r="U41" s="63"/>
      <c r="V41" s="63"/>
      <c r="W41" s="82"/>
    </row>
    <row r="42" customFormat="false" ht="13.5" hidden="false" customHeight="false" outlineLevel="0" collapsed="false">
      <c r="A42" s="79"/>
      <c r="B42" s="63"/>
      <c r="C42" s="128" t="str">
        <f aca="false">IF('Business Details'!C39="x","x"," ")</f>
        <v> </v>
      </c>
      <c r="D42" s="63"/>
      <c r="E42" s="63"/>
      <c r="F42" s="63"/>
      <c r="G42" s="63"/>
      <c r="H42" s="63"/>
      <c r="I42" s="63"/>
      <c r="J42" s="63"/>
      <c r="K42" s="63"/>
      <c r="L42" s="63"/>
      <c r="M42" s="63"/>
      <c r="N42" s="128" t="str">
        <f aca="false">IF('Business Details'!N39="x","x"," ")</f>
        <v> </v>
      </c>
      <c r="O42" s="63"/>
      <c r="P42" s="63"/>
      <c r="Q42" s="63"/>
      <c r="R42" s="63"/>
      <c r="S42" s="63"/>
      <c r="T42" s="63"/>
      <c r="U42" s="63"/>
      <c r="V42" s="63"/>
      <c r="W42" s="82"/>
    </row>
    <row r="43" customFormat="false" ht="7.5" hidden="false" customHeight="true" outlineLevel="0" collapsed="false">
      <c r="A43" s="79"/>
      <c r="B43" s="63"/>
      <c r="C43" s="63"/>
      <c r="D43" s="63"/>
      <c r="E43" s="63"/>
      <c r="F43" s="63"/>
      <c r="G43" s="63"/>
      <c r="H43" s="63"/>
      <c r="I43" s="63"/>
      <c r="J43" s="63"/>
      <c r="K43" s="63"/>
      <c r="L43" s="63"/>
      <c r="M43" s="63"/>
      <c r="N43" s="63"/>
      <c r="O43" s="63"/>
      <c r="P43" s="63"/>
      <c r="Q43" s="63"/>
      <c r="R43" s="63"/>
      <c r="S43" s="63"/>
      <c r="T43" s="63"/>
      <c r="U43" s="63"/>
      <c r="V43" s="63"/>
      <c r="W43" s="82"/>
    </row>
    <row r="44" customFormat="false" ht="12" hidden="false" customHeight="false" outlineLevel="0" collapsed="false">
      <c r="A44" s="75" t="n">
        <v>11</v>
      </c>
      <c r="B44" s="63"/>
      <c r="C44" s="64" t="s">
        <v>26</v>
      </c>
      <c r="D44" s="64"/>
      <c r="E44" s="64"/>
      <c r="F44" s="64"/>
      <c r="G44" s="64"/>
      <c r="H44" s="64"/>
      <c r="I44" s="64"/>
      <c r="J44" s="64"/>
      <c r="K44" s="64"/>
      <c r="L44" s="75" t="n">
        <v>13</v>
      </c>
      <c r="M44" s="63"/>
      <c r="N44" s="64" t="s">
        <v>121</v>
      </c>
      <c r="O44" s="64"/>
      <c r="P44" s="64"/>
      <c r="Q44" s="64"/>
      <c r="R44" s="64"/>
      <c r="S44" s="64"/>
      <c r="T44" s="64"/>
      <c r="U44" s="64"/>
      <c r="V44" s="64"/>
      <c r="W44" s="78"/>
    </row>
    <row r="45" customFormat="false" ht="12" hidden="false" customHeight="false" outlineLevel="0" collapsed="false">
      <c r="A45" s="79"/>
      <c r="B45" s="63"/>
      <c r="C45" s="64" t="s">
        <v>27</v>
      </c>
      <c r="D45" s="64"/>
      <c r="E45" s="64"/>
      <c r="F45" s="64"/>
      <c r="G45" s="64"/>
      <c r="H45" s="64"/>
      <c r="I45" s="64"/>
      <c r="J45" s="64"/>
      <c r="K45" s="64"/>
      <c r="L45" s="63"/>
      <c r="M45" s="63"/>
      <c r="N45" s="64" t="s">
        <v>28</v>
      </c>
      <c r="O45" s="64"/>
      <c r="P45" s="64"/>
      <c r="Q45" s="64"/>
      <c r="R45" s="64"/>
      <c r="S45" s="64"/>
      <c r="T45" s="64"/>
      <c r="U45" s="64"/>
      <c r="V45" s="64"/>
      <c r="W45" s="78"/>
    </row>
    <row r="46" customFormat="false" ht="12" hidden="false" customHeight="false" outlineLevel="0" collapsed="false">
      <c r="A46" s="79"/>
      <c r="B46" s="63"/>
      <c r="C46" s="63"/>
      <c r="D46" s="63"/>
      <c r="E46" s="63"/>
      <c r="F46" s="63"/>
      <c r="G46" s="63"/>
      <c r="H46" s="63"/>
      <c r="I46" s="63"/>
      <c r="J46" s="63"/>
      <c r="K46" s="63"/>
      <c r="L46" s="63"/>
      <c r="M46" s="63"/>
      <c r="N46" s="64" t="s">
        <v>25</v>
      </c>
      <c r="O46" s="64"/>
      <c r="P46" s="64"/>
      <c r="Q46" s="64"/>
      <c r="R46" s="64"/>
      <c r="S46" s="64"/>
      <c r="T46" s="64"/>
      <c r="U46" s="64"/>
      <c r="V46" s="64"/>
      <c r="W46" s="78"/>
    </row>
    <row r="47" customFormat="false" ht="7.5" hidden="false" customHeight="true" outlineLevel="0" collapsed="false">
      <c r="A47" s="79"/>
      <c r="B47" s="63"/>
      <c r="C47" s="63"/>
      <c r="D47" s="63"/>
      <c r="E47" s="63"/>
      <c r="F47" s="63"/>
      <c r="G47" s="63"/>
      <c r="H47" s="63"/>
      <c r="I47" s="63"/>
      <c r="J47" s="63"/>
      <c r="K47" s="63"/>
      <c r="L47" s="63"/>
      <c r="M47" s="63"/>
      <c r="N47" s="63"/>
      <c r="O47" s="63"/>
      <c r="P47" s="63"/>
      <c r="Q47" s="63"/>
      <c r="R47" s="63"/>
      <c r="S47" s="63"/>
      <c r="T47" s="63"/>
      <c r="U47" s="63"/>
      <c r="V47" s="63"/>
      <c r="W47" s="82"/>
    </row>
    <row r="48" customFormat="false" ht="13.5" hidden="false" customHeight="false" outlineLevel="0" collapsed="false">
      <c r="A48" s="79"/>
      <c r="B48" s="63"/>
      <c r="C48" s="128" t="str">
        <f aca="false">IF('Business Details'!C45="x","x"," ")</f>
        <v> </v>
      </c>
      <c r="D48" s="63"/>
      <c r="E48" s="63"/>
      <c r="F48" s="63"/>
      <c r="G48" s="63"/>
      <c r="H48" s="63"/>
      <c r="I48" s="63"/>
      <c r="J48" s="63"/>
      <c r="K48" s="63"/>
      <c r="L48" s="63"/>
      <c r="M48" s="63"/>
      <c r="N48" s="128" t="str">
        <f aca="false">IF('Business Details'!N45="x","x"," ")</f>
        <v> </v>
      </c>
      <c r="O48" s="63"/>
      <c r="P48" s="63"/>
      <c r="Q48" s="63"/>
      <c r="R48" s="63"/>
      <c r="S48" s="63"/>
      <c r="T48" s="63"/>
      <c r="U48" s="63"/>
      <c r="V48" s="63"/>
      <c r="W48" s="82"/>
    </row>
    <row r="49" customFormat="false" ht="7.5" hidden="false" customHeight="true" outlineLevel="0" collapsed="false">
      <c r="A49" s="93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5"/>
    </row>
    <row r="50" customFormat="false" ht="24.75" hidden="false" customHeight="true" outlineLevel="0" collapsed="false">
      <c r="A50" s="103" t="s">
        <v>122</v>
      </c>
      <c r="B50" s="103"/>
      <c r="C50" s="103"/>
      <c r="D50" s="103"/>
      <c r="E50" s="103"/>
      <c r="F50" s="103"/>
      <c r="G50" s="103"/>
      <c r="H50" s="103"/>
      <c r="I50" s="103"/>
      <c r="J50" s="103"/>
      <c r="K50" s="103"/>
      <c r="L50" s="103"/>
      <c r="M50" s="103"/>
      <c r="N50" s="103"/>
      <c r="O50" s="103"/>
      <c r="P50" s="103"/>
      <c r="Q50" s="103"/>
      <c r="R50" s="103"/>
      <c r="S50" s="103"/>
      <c r="T50" s="103"/>
      <c r="U50" s="103"/>
      <c r="V50" s="103"/>
      <c r="W50" s="103"/>
    </row>
    <row r="51" customFormat="false" ht="7.5" hidden="false" customHeight="true" outlineLevel="0" collapsed="false">
      <c r="A51" s="72"/>
      <c r="B51" s="73"/>
      <c r="C51" s="73"/>
      <c r="D51" s="73"/>
      <c r="E51" s="73"/>
      <c r="F51" s="73"/>
      <c r="G51" s="73"/>
      <c r="H51" s="73"/>
      <c r="I51" s="73"/>
      <c r="J51" s="73"/>
      <c r="K51" s="73"/>
      <c r="L51" s="73"/>
      <c r="M51" s="73"/>
      <c r="N51" s="73"/>
      <c r="O51" s="73"/>
      <c r="P51" s="73"/>
      <c r="Q51" s="73"/>
      <c r="R51" s="73"/>
      <c r="S51" s="73"/>
      <c r="T51" s="73"/>
      <c r="U51" s="73"/>
      <c r="V51" s="73"/>
      <c r="W51" s="74"/>
    </row>
    <row r="52" customFormat="false" ht="12" hidden="false" customHeight="false" outlineLevel="0" collapsed="false">
      <c r="A52" s="75" t="n">
        <v>14</v>
      </c>
      <c r="B52" s="63"/>
      <c r="C52" s="64" t="s">
        <v>53</v>
      </c>
      <c r="D52" s="64"/>
      <c r="E52" s="64"/>
      <c r="F52" s="64"/>
      <c r="G52" s="64"/>
      <c r="H52" s="64"/>
      <c r="I52" s="64"/>
      <c r="J52" s="64"/>
      <c r="K52" s="64"/>
      <c r="L52" s="75" t="n">
        <v>15</v>
      </c>
      <c r="M52" s="63"/>
      <c r="N52" s="64" t="s">
        <v>123</v>
      </c>
      <c r="O52" s="64"/>
      <c r="P52" s="64"/>
      <c r="Q52" s="64"/>
      <c r="R52" s="64"/>
      <c r="S52" s="64"/>
      <c r="T52" s="64"/>
      <c r="U52" s="64"/>
      <c r="V52" s="64"/>
      <c r="W52" s="78"/>
    </row>
    <row r="53" customFormat="false" ht="12" hidden="false" customHeight="false" outlineLevel="0" collapsed="false">
      <c r="A53" s="79"/>
      <c r="B53" s="63"/>
      <c r="C53" s="64" t="s">
        <v>55</v>
      </c>
      <c r="D53" s="63"/>
      <c r="E53" s="63"/>
      <c r="F53" s="63"/>
      <c r="G53" s="63"/>
      <c r="H53" s="63"/>
      <c r="I53" s="63"/>
      <c r="J53" s="63"/>
      <c r="K53" s="63"/>
      <c r="L53" s="63"/>
      <c r="M53" s="63"/>
      <c r="N53" s="90" t="s">
        <v>56</v>
      </c>
      <c r="O53" s="63"/>
      <c r="P53" s="63"/>
      <c r="Q53" s="63"/>
      <c r="R53" s="63"/>
      <c r="S53" s="63"/>
      <c r="T53" s="63"/>
      <c r="U53" s="63"/>
      <c r="V53" s="63"/>
      <c r="W53" s="82"/>
    </row>
    <row r="54" customFormat="false" ht="6" hidden="false" customHeight="true" outlineLevel="0" collapsed="false">
      <c r="A54" s="79"/>
      <c r="B54" s="63"/>
      <c r="C54" s="63"/>
      <c r="D54" s="63"/>
      <c r="E54" s="63"/>
      <c r="F54" s="63"/>
      <c r="G54" s="63"/>
      <c r="H54" s="63"/>
      <c r="I54" s="63"/>
      <c r="J54" s="63"/>
      <c r="K54" s="63"/>
      <c r="L54" s="63"/>
      <c r="M54" s="63"/>
      <c r="N54" s="63"/>
      <c r="O54" s="63"/>
      <c r="P54" s="63"/>
      <c r="Q54" s="63"/>
      <c r="R54" s="63"/>
      <c r="S54" s="63"/>
      <c r="T54" s="63"/>
      <c r="U54" s="63"/>
      <c r="V54" s="63"/>
      <c r="W54" s="82"/>
    </row>
    <row r="55" customFormat="false" ht="15" hidden="false" customHeight="false" outlineLevel="0" collapsed="false">
      <c r="A55" s="79"/>
      <c r="B55" s="63"/>
      <c r="C55" s="97" t="s">
        <v>32</v>
      </c>
      <c r="D55" s="98" t="n">
        <f aca="false">'Profit &amp; Loss Account'!B9</f>
        <v>30000</v>
      </c>
      <c r="E55" s="98"/>
      <c r="F55" s="98"/>
      <c r="G55" s="99" t="s">
        <v>33</v>
      </c>
      <c r="H55" s="100" t="n">
        <v>0</v>
      </c>
      <c r="I55" s="100" t="n">
        <v>0</v>
      </c>
      <c r="J55" s="63"/>
      <c r="K55" s="63"/>
      <c r="L55" s="63"/>
      <c r="M55" s="63"/>
      <c r="N55" s="97" t="s">
        <v>32</v>
      </c>
      <c r="O55" s="98" t="n">
        <f aca="false">'Profit &amp; Loss Account'!B38</f>
        <v>0</v>
      </c>
      <c r="P55" s="98"/>
      <c r="Q55" s="98"/>
      <c r="R55" s="99" t="s">
        <v>33</v>
      </c>
      <c r="S55" s="100" t="n">
        <v>0</v>
      </c>
      <c r="T55" s="100" t="n">
        <v>0</v>
      </c>
      <c r="U55" s="101"/>
      <c r="V55" s="102"/>
      <c r="W55" s="82"/>
    </row>
    <row r="56" customFormat="false" ht="7.5" hidden="false" customHeight="true" outlineLevel="0" collapsed="false">
      <c r="A56" s="93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5"/>
    </row>
    <row r="57" customFormat="false" ht="24.75" hidden="false" customHeight="true" outlineLevel="0" collapsed="false">
      <c r="A57" s="103" t="s">
        <v>124</v>
      </c>
      <c r="B57" s="103"/>
      <c r="C57" s="103"/>
      <c r="D57" s="103"/>
      <c r="E57" s="103"/>
      <c r="F57" s="103"/>
      <c r="G57" s="103"/>
      <c r="H57" s="103"/>
      <c r="I57" s="103"/>
      <c r="J57" s="103"/>
      <c r="K57" s="103"/>
      <c r="L57" s="103"/>
      <c r="M57" s="103"/>
      <c r="N57" s="103"/>
      <c r="O57" s="103"/>
      <c r="P57" s="103"/>
      <c r="Q57" s="103"/>
      <c r="R57" s="103"/>
      <c r="S57" s="103"/>
      <c r="T57" s="103"/>
      <c r="U57" s="103"/>
      <c r="V57" s="103"/>
      <c r="W57" s="103"/>
    </row>
    <row r="58" s="105" customFormat="true" ht="15.75" hidden="false" customHeight="true" outlineLevel="0" collapsed="false">
      <c r="A58" s="104" t="s">
        <v>125</v>
      </c>
      <c r="B58" s="104"/>
      <c r="C58" s="104"/>
      <c r="D58" s="104"/>
      <c r="E58" s="104"/>
      <c r="F58" s="104"/>
      <c r="G58" s="104"/>
      <c r="H58" s="104"/>
      <c r="I58" s="104"/>
      <c r="J58" s="104"/>
      <c r="K58" s="104"/>
      <c r="L58" s="104"/>
      <c r="M58" s="104"/>
      <c r="N58" s="104"/>
      <c r="O58" s="104"/>
      <c r="P58" s="104"/>
      <c r="Q58" s="104"/>
      <c r="R58" s="104"/>
      <c r="S58" s="104"/>
      <c r="T58" s="104"/>
      <c r="U58" s="104"/>
      <c r="V58" s="104"/>
      <c r="W58" s="104"/>
    </row>
    <row r="59" customFormat="false" ht="6" hidden="false" customHeight="true" outlineLevel="0" collapsed="false">
      <c r="A59" s="72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73"/>
      <c r="M59" s="73"/>
      <c r="N59" s="73"/>
      <c r="O59" s="73"/>
      <c r="P59" s="73"/>
      <c r="Q59" s="73"/>
      <c r="R59" s="73"/>
      <c r="S59" s="73"/>
      <c r="T59" s="73"/>
      <c r="U59" s="73"/>
      <c r="V59" s="73"/>
      <c r="W59" s="74"/>
    </row>
    <row r="60" customFormat="false" ht="13.5" hidden="false" customHeight="false" outlineLevel="0" collapsed="false">
      <c r="A60" s="79"/>
      <c r="B60" s="63"/>
      <c r="C60" s="129" t="s">
        <v>126</v>
      </c>
      <c r="D60" s="63"/>
      <c r="E60" s="63"/>
      <c r="F60" s="63"/>
      <c r="G60" s="63"/>
      <c r="H60" s="63"/>
      <c r="I60" s="63"/>
      <c r="J60" s="63"/>
      <c r="K60" s="63"/>
      <c r="L60" s="63"/>
      <c r="M60" s="63"/>
      <c r="N60" s="129" t="s">
        <v>127</v>
      </c>
      <c r="O60" s="63"/>
      <c r="P60" s="63"/>
      <c r="Q60" s="63"/>
      <c r="R60" s="63"/>
      <c r="S60" s="63"/>
      <c r="T60" s="63"/>
      <c r="U60" s="63"/>
      <c r="V60" s="63"/>
      <c r="W60" s="82"/>
    </row>
    <row r="61" customFormat="false" ht="12" hidden="false" customHeight="false" outlineLevel="0" collapsed="false">
      <c r="A61" s="79"/>
      <c r="B61" s="63"/>
      <c r="C61" s="64" t="s">
        <v>128</v>
      </c>
      <c r="D61" s="64"/>
      <c r="E61" s="64"/>
      <c r="F61" s="64"/>
      <c r="G61" s="64"/>
      <c r="H61" s="64"/>
      <c r="I61" s="64"/>
      <c r="J61" s="64"/>
      <c r="K61" s="64"/>
      <c r="L61" s="64"/>
      <c r="M61" s="64"/>
      <c r="N61" s="64" t="s">
        <v>129</v>
      </c>
      <c r="O61" s="64"/>
      <c r="P61" s="64"/>
      <c r="Q61" s="64"/>
      <c r="R61" s="64"/>
      <c r="S61" s="64"/>
      <c r="T61" s="64"/>
      <c r="U61" s="64"/>
      <c r="V61" s="64"/>
      <c r="W61" s="82"/>
    </row>
    <row r="62" customFormat="false" ht="12" hidden="false" customHeight="false" outlineLevel="0" collapsed="false">
      <c r="A62" s="79"/>
      <c r="B62" s="63"/>
      <c r="C62" s="64" t="s">
        <v>130</v>
      </c>
      <c r="D62" s="64"/>
      <c r="E62" s="64"/>
      <c r="F62" s="64"/>
      <c r="G62" s="64"/>
      <c r="H62" s="64"/>
      <c r="I62" s="64"/>
      <c r="J62" s="64"/>
      <c r="K62" s="64"/>
      <c r="L62" s="64"/>
      <c r="M62" s="64"/>
      <c r="N62" s="64" t="s">
        <v>131</v>
      </c>
      <c r="O62" s="64"/>
      <c r="P62" s="64"/>
      <c r="Q62" s="64"/>
      <c r="R62" s="64"/>
      <c r="S62" s="64"/>
      <c r="T62" s="64"/>
      <c r="U62" s="64"/>
      <c r="V62" s="64"/>
      <c r="W62" s="82"/>
    </row>
    <row r="63" customFormat="false" ht="12" hidden="false" customHeight="false" outlineLevel="0" collapsed="false">
      <c r="A63" s="79"/>
      <c r="B63" s="63"/>
      <c r="C63" s="63"/>
      <c r="D63" s="63"/>
      <c r="E63" s="63"/>
      <c r="F63" s="63"/>
      <c r="G63" s="63"/>
      <c r="H63" s="63"/>
      <c r="I63" s="63"/>
      <c r="J63" s="63"/>
      <c r="K63" s="63"/>
      <c r="L63" s="63"/>
      <c r="M63" s="63"/>
      <c r="N63" s="63"/>
      <c r="O63" s="63"/>
      <c r="P63" s="63"/>
      <c r="Q63" s="63"/>
      <c r="R63" s="63"/>
      <c r="S63" s="63"/>
      <c r="T63" s="63"/>
      <c r="U63" s="63"/>
      <c r="V63" s="63"/>
      <c r="W63" s="82"/>
    </row>
    <row r="64" customFormat="false" ht="12" hidden="false" customHeight="false" outlineLevel="0" collapsed="false">
      <c r="A64" s="75" t="n">
        <v>16</v>
      </c>
      <c r="B64" s="63"/>
      <c r="C64" s="64" t="s">
        <v>60</v>
      </c>
      <c r="D64" s="64"/>
      <c r="E64" s="64"/>
      <c r="F64" s="64"/>
      <c r="G64" s="64"/>
      <c r="H64" s="64"/>
      <c r="I64" s="64"/>
      <c r="J64" s="64"/>
      <c r="K64" s="64"/>
      <c r="L64" s="75" t="n">
        <v>31</v>
      </c>
      <c r="M64" s="63"/>
      <c r="N64" s="63"/>
      <c r="O64" s="63"/>
      <c r="P64" s="63"/>
      <c r="Q64" s="63"/>
      <c r="R64" s="63"/>
      <c r="S64" s="63"/>
      <c r="T64" s="63"/>
      <c r="U64" s="63"/>
      <c r="V64" s="63"/>
      <c r="W64" s="82"/>
    </row>
    <row r="65" customFormat="false" ht="6" hidden="false" customHeight="true" outlineLevel="0" collapsed="false">
      <c r="A65" s="106"/>
      <c r="B65" s="63"/>
      <c r="C65" s="64"/>
      <c r="D65" s="64"/>
      <c r="E65" s="64"/>
      <c r="F65" s="64"/>
      <c r="G65" s="64"/>
      <c r="H65" s="64"/>
      <c r="I65" s="64"/>
      <c r="J65" s="64"/>
      <c r="K65" s="64"/>
      <c r="L65" s="64"/>
      <c r="M65" s="63"/>
      <c r="N65" s="63"/>
      <c r="O65" s="63"/>
      <c r="P65" s="63"/>
      <c r="Q65" s="63"/>
      <c r="R65" s="63"/>
      <c r="S65" s="63"/>
      <c r="T65" s="63"/>
      <c r="U65" s="63"/>
      <c r="V65" s="63"/>
      <c r="W65" s="82"/>
    </row>
    <row r="66" customFormat="false" ht="15" hidden="false" customHeight="false" outlineLevel="0" collapsed="false">
      <c r="A66" s="79"/>
      <c r="B66" s="63"/>
      <c r="C66" s="97" t="s">
        <v>32</v>
      </c>
      <c r="D66" s="98" t="n">
        <f aca="false">'Profit &amp; Loss Account'!B14+'Profit &amp; Loss Account'!B16</f>
        <v>0</v>
      </c>
      <c r="E66" s="98"/>
      <c r="F66" s="98"/>
      <c r="G66" s="99" t="s">
        <v>33</v>
      </c>
      <c r="H66" s="100" t="n">
        <v>0</v>
      </c>
      <c r="I66" s="100" t="n">
        <v>0</v>
      </c>
      <c r="J66" s="63"/>
      <c r="K66" s="63"/>
      <c r="L66" s="63"/>
      <c r="M66" s="63"/>
      <c r="N66" s="97" t="s">
        <v>32</v>
      </c>
      <c r="O66" s="98"/>
      <c r="P66" s="98"/>
      <c r="Q66" s="98"/>
      <c r="R66" s="99" t="s">
        <v>33</v>
      </c>
      <c r="S66" s="100" t="n">
        <v>0</v>
      </c>
      <c r="T66" s="100" t="n">
        <v>0</v>
      </c>
      <c r="U66" s="63"/>
      <c r="V66" s="63"/>
      <c r="W66" s="82"/>
    </row>
    <row r="67" customFormat="false" ht="9.75" hidden="false" customHeight="true" outlineLevel="0" collapsed="false">
      <c r="A67" s="79"/>
      <c r="B67" s="63"/>
      <c r="C67" s="63"/>
      <c r="D67" s="63"/>
      <c r="E67" s="63"/>
      <c r="F67" s="63"/>
      <c r="G67" s="63"/>
      <c r="H67" s="63"/>
      <c r="I67" s="63"/>
      <c r="J67" s="63"/>
      <c r="K67" s="63"/>
      <c r="L67" s="63"/>
      <c r="M67" s="63"/>
      <c r="N67" s="63"/>
      <c r="O67" s="63"/>
      <c r="P67" s="63"/>
      <c r="Q67" s="63"/>
      <c r="R67" s="63"/>
      <c r="S67" s="63"/>
      <c r="T67" s="63"/>
      <c r="U67" s="63"/>
      <c r="V67" s="63"/>
      <c r="W67" s="82"/>
    </row>
    <row r="68" customFormat="false" ht="12" hidden="false" customHeight="false" outlineLevel="0" collapsed="false">
      <c r="A68" s="75" t="n">
        <v>17</v>
      </c>
      <c r="B68" s="63"/>
      <c r="C68" s="64" t="s">
        <v>132</v>
      </c>
      <c r="D68" s="64"/>
      <c r="E68" s="64"/>
      <c r="F68" s="64"/>
      <c r="G68" s="64"/>
      <c r="H68" s="64"/>
      <c r="I68" s="64"/>
      <c r="J68" s="64"/>
      <c r="K68" s="64"/>
      <c r="L68" s="75" t="n">
        <v>32</v>
      </c>
      <c r="M68" s="63"/>
      <c r="N68" s="63"/>
      <c r="O68" s="63"/>
      <c r="P68" s="63"/>
      <c r="Q68" s="63"/>
      <c r="R68" s="63"/>
      <c r="S68" s="63"/>
      <c r="T68" s="63"/>
      <c r="U68" s="63"/>
      <c r="V68" s="63"/>
      <c r="W68" s="82"/>
    </row>
    <row r="69" customFormat="false" ht="6" hidden="false" customHeight="true" outlineLevel="0" collapsed="false">
      <c r="A69" s="106"/>
      <c r="B69" s="63"/>
      <c r="C69" s="64"/>
      <c r="D69" s="64"/>
      <c r="E69" s="64"/>
      <c r="F69" s="64"/>
      <c r="G69" s="64"/>
      <c r="H69" s="64"/>
      <c r="I69" s="64"/>
      <c r="J69" s="64"/>
      <c r="K69" s="64"/>
      <c r="L69" s="64"/>
      <c r="M69" s="63"/>
      <c r="N69" s="63"/>
      <c r="O69" s="63"/>
      <c r="P69" s="63"/>
      <c r="Q69" s="63"/>
      <c r="R69" s="63"/>
      <c r="S69" s="63"/>
      <c r="T69" s="63"/>
      <c r="U69" s="63"/>
      <c r="V69" s="63"/>
      <c r="W69" s="82"/>
    </row>
    <row r="70" customFormat="false" ht="15" hidden="false" customHeight="false" outlineLevel="0" collapsed="false">
      <c r="A70" s="79"/>
      <c r="B70" s="63"/>
      <c r="C70" s="97" t="s">
        <v>32</v>
      </c>
      <c r="D70" s="98" t="n">
        <f aca="false">'Profit &amp; Loss Account'!B15</f>
        <v>0</v>
      </c>
      <c r="E70" s="98"/>
      <c r="F70" s="98"/>
      <c r="G70" s="99" t="s">
        <v>33</v>
      </c>
      <c r="H70" s="100" t="n">
        <v>0</v>
      </c>
      <c r="I70" s="100" t="n">
        <v>0</v>
      </c>
      <c r="J70" s="63"/>
      <c r="K70" s="63"/>
      <c r="L70" s="63"/>
      <c r="M70" s="63"/>
      <c r="N70" s="97" t="s">
        <v>32</v>
      </c>
      <c r="O70" s="98"/>
      <c r="P70" s="98"/>
      <c r="Q70" s="98"/>
      <c r="R70" s="99" t="s">
        <v>33</v>
      </c>
      <c r="S70" s="100" t="n">
        <v>0</v>
      </c>
      <c r="T70" s="100" t="n">
        <v>0</v>
      </c>
      <c r="U70" s="63"/>
      <c r="V70" s="63"/>
      <c r="W70" s="82"/>
    </row>
    <row r="71" customFormat="false" ht="9.75" hidden="false" customHeight="true" outlineLevel="0" collapsed="false">
      <c r="A71" s="79"/>
      <c r="B71" s="63"/>
      <c r="C71" s="63"/>
      <c r="D71" s="63"/>
      <c r="E71" s="63"/>
      <c r="F71" s="63"/>
      <c r="G71" s="63"/>
      <c r="H71" s="63"/>
      <c r="I71" s="63"/>
      <c r="J71" s="63"/>
      <c r="K71" s="63"/>
      <c r="L71" s="63"/>
      <c r="M71" s="63"/>
      <c r="N71" s="63"/>
      <c r="O71" s="63"/>
      <c r="P71" s="63"/>
      <c r="Q71" s="63"/>
      <c r="R71" s="63"/>
      <c r="S71" s="63"/>
      <c r="T71" s="63"/>
      <c r="U71" s="63"/>
      <c r="V71" s="63"/>
      <c r="W71" s="82"/>
    </row>
    <row r="72" customFormat="false" ht="12" hidden="false" customHeight="false" outlineLevel="0" collapsed="false">
      <c r="A72" s="75" t="n">
        <v>18</v>
      </c>
      <c r="B72" s="63"/>
      <c r="C72" s="64" t="s">
        <v>65</v>
      </c>
      <c r="D72" s="64"/>
      <c r="E72" s="64"/>
      <c r="F72" s="64"/>
      <c r="G72" s="64"/>
      <c r="H72" s="64"/>
      <c r="I72" s="64"/>
      <c r="J72" s="64"/>
      <c r="K72" s="64"/>
      <c r="L72" s="75" t="n">
        <v>33</v>
      </c>
      <c r="M72" s="63"/>
      <c r="N72" s="63"/>
      <c r="O72" s="63"/>
      <c r="P72" s="63"/>
      <c r="Q72" s="63"/>
      <c r="R72" s="63"/>
      <c r="S72" s="63"/>
      <c r="T72" s="63"/>
      <c r="U72" s="63"/>
      <c r="V72" s="63"/>
      <c r="W72" s="82"/>
    </row>
    <row r="73" customFormat="false" ht="6" hidden="false" customHeight="true" outlineLevel="0" collapsed="false">
      <c r="A73" s="106"/>
      <c r="B73" s="63"/>
      <c r="C73" s="64"/>
      <c r="D73" s="64"/>
      <c r="E73" s="64"/>
      <c r="F73" s="64"/>
      <c r="G73" s="64"/>
      <c r="H73" s="64"/>
      <c r="I73" s="64"/>
      <c r="J73" s="64"/>
      <c r="K73" s="64"/>
      <c r="L73" s="64"/>
      <c r="M73" s="63"/>
      <c r="N73" s="63"/>
      <c r="O73" s="63"/>
      <c r="P73" s="63"/>
      <c r="Q73" s="63"/>
      <c r="R73" s="63"/>
      <c r="S73" s="63"/>
      <c r="T73" s="63"/>
      <c r="U73" s="63"/>
      <c r="V73" s="63"/>
      <c r="W73" s="82"/>
    </row>
    <row r="74" customFormat="false" ht="15" hidden="false" customHeight="false" outlineLevel="0" collapsed="false">
      <c r="A74" s="79"/>
      <c r="B74" s="63"/>
      <c r="C74" s="97" t="s">
        <v>32</v>
      </c>
      <c r="D74" s="98" t="n">
        <f aca="false">'Profit &amp; Loss Account'!B21</f>
        <v>0</v>
      </c>
      <c r="E74" s="98"/>
      <c r="F74" s="98"/>
      <c r="G74" s="99" t="s">
        <v>33</v>
      </c>
      <c r="H74" s="100" t="n">
        <v>0</v>
      </c>
      <c r="I74" s="100" t="n">
        <v>0</v>
      </c>
      <c r="J74" s="63"/>
      <c r="K74" s="63"/>
      <c r="L74" s="63"/>
      <c r="M74" s="63"/>
      <c r="N74" s="97" t="s">
        <v>32</v>
      </c>
      <c r="O74" s="98"/>
      <c r="P74" s="98"/>
      <c r="Q74" s="98"/>
      <c r="R74" s="99" t="s">
        <v>33</v>
      </c>
      <c r="S74" s="100" t="n">
        <v>0</v>
      </c>
      <c r="T74" s="100" t="n">
        <v>0</v>
      </c>
      <c r="U74" s="63"/>
      <c r="V74" s="63"/>
      <c r="W74" s="82"/>
    </row>
    <row r="75" customFormat="false" ht="9.75" hidden="false" customHeight="true" outlineLevel="0" collapsed="false">
      <c r="A75" s="79"/>
      <c r="B75" s="63"/>
      <c r="C75" s="63"/>
      <c r="D75" s="63"/>
      <c r="E75" s="63"/>
      <c r="F75" s="63"/>
      <c r="G75" s="63"/>
      <c r="H75" s="63"/>
      <c r="I75" s="63"/>
      <c r="J75" s="63"/>
      <c r="K75" s="63"/>
      <c r="L75" s="63"/>
      <c r="M75" s="63"/>
      <c r="N75" s="63"/>
      <c r="O75" s="63"/>
      <c r="P75" s="63"/>
      <c r="Q75" s="63"/>
      <c r="R75" s="63"/>
      <c r="S75" s="63"/>
      <c r="T75" s="63"/>
      <c r="U75" s="63"/>
      <c r="V75" s="63"/>
      <c r="W75" s="82"/>
    </row>
    <row r="76" customFormat="false" ht="12" hidden="false" customHeight="false" outlineLevel="0" collapsed="false">
      <c r="A76" s="75" t="n">
        <v>19</v>
      </c>
      <c r="B76" s="63"/>
      <c r="C76" s="64" t="s">
        <v>133</v>
      </c>
      <c r="D76" s="64"/>
      <c r="E76" s="64"/>
      <c r="F76" s="64"/>
      <c r="G76" s="64"/>
      <c r="H76" s="64"/>
      <c r="I76" s="64"/>
      <c r="J76" s="64"/>
      <c r="K76" s="64"/>
      <c r="L76" s="75" t="n">
        <v>34</v>
      </c>
      <c r="M76" s="63"/>
      <c r="N76" s="63"/>
      <c r="O76" s="63"/>
      <c r="P76" s="63"/>
      <c r="Q76" s="63"/>
      <c r="R76" s="63"/>
      <c r="S76" s="63"/>
      <c r="T76" s="63"/>
      <c r="U76" s="63"/>
      <c r="V76" s="63"/>
      <c r="W76" s="82"/>
    </row>
    <row r="77" customFormat="false" ht="6" hidden="false" customHeight="true" outlineLevel="0" collapsed="false">
      <c r="A77" s="106"/>
      <c r="B77" s="63"/>
      <c r="C77" s="64"/>
      <c r="D77" s="64"/>
      <c r="E77" s="64"/>
      <c r="F77" s="64"/>
      <c r="G77" s="64"/>
      <c r="H77" s="64"/>
      <c r="I77" s="64"/>
      <c r="J77" s="64"/>
      <c r="K77" s="64"/>
      <c r="L77" s="64"/>
      <c r="M77" s="63"/>
      <c r="N77" s="63"/>
      <c r="O77" s="63"/>
      <c r="P77" s="63"/>
      <c r="Q77" s="63"/>
      <c r="R77" s="63"/>
      <c r="S77" s="63"/>
      <c r="T77" s="63"/>
      <c r="U77" s="63"/>
      <c r="V77" s="63"/>
      <c r="W77" s="82"/>
    </row>
    <row r="78" customFormat="false" ht="15" hidden="false" customHeight="false" outlineLevel="0" collapsed="false">
      <c r="A78" s="79"/>
      <c r="B78" s="63"/>
      <c r="C78" s="97" t="s">
        <v>32</v>
      </c>
      <c r="D78" s="98" t="n">
        <f aca="false">'Profit &amp; Loss Account'!B25+'Profit &amp; Loss Account'!B26</f>
        <v>300</v>
      </c>
      <c r="E78" s="98"/>
      <c r="F78" s="98"/>
      <c r="G78" s="99" t="s">
        <v>33</v>
      </c>
      <c r="H78" s="100" t="n">
        <v>0</v>
      </c>
      <c r="I78" s="100" t="n">
        <v>0</v>
      </c>
      <c r="J78" s="63"/>
      <c r="K78" s="63"/>
      <c r="L78" s="63"/>
      <c r="M78" s="63"/>
      <c r="N78" s="97" t="s">
        <v>32</v>
      </c>
      <c r="O78" s="98"/>
      <c r="P78" s="98"/>
      <c r="Q78" s="98"/>
      <c r="R78" s="99" t="s">
        <v>33</v>
      </c>
      <c r="S78" s="100" t="n">
        <v>0</v>
      </c>
      <c r="T78" s="100" t="n">
        <v>0</v>
      </c>
      <c r="U78" s="63"/>
      <c r="V78" s="63"/>
      <c r="W78" s="82"/>
    </row>
    <row r="79" customFormat="false" ht="9.75" hidden="false" customHeight="true" outlineLevel="0" collapsed="false">
      <c r="A79" s="79"/>
      <c r="B79" s="63"/>
      <c r="C79" s="63"/>
      <c r="D79" s="63"/>
      <c r="E79" s="63"/>
      <c r="F79" s="63"/>
      <c r="G79" s="63"/>
      <c r="H79" s="63"/>
      <c r="I79" s="63"/>
      <c r="J79" s="63"/>
      <c r="K79" s="63"/>
      <c r="L79" s="63"/>
      <c r="M79" s="63"/>
      <c r="N79" s="63"/>
      <c r="O79" s="63"/>
      <c r="P79" s="63"/>
      <c r="Q79" s="63"/>
      <c r="R79" s="63"/>
      <c r="S79" s="63"/>
      <c r="T79" s="63"/>
      <c r="U79" s="63"/>
      <c r="V79" s="63"/>
      <c r="W79" s="82"/>
    </row>
    <row r="80" customFormat="false" ht="12" hidden="false" customHeight="false" outlineLevel="0" collapsed="false">
      <c r="A80" s="75" t="n">
        <v>20</v>
      </c>
      <c r="B80" s="63"/>
      <c r="C80" s="64" t="s">
        <v>67</v>
      </c>
      <c r="D80" s="64"/>
      <c r="E80" s="64"/>
      <c r="F80" s="64"/>
      <c r="G80" s="64"/>
      <c r="H80" s="64"/>
      <c r="I80" s="64"/>
      <c r="J80" s="64"/>
      <c r="K80" s="64"/>
      <c r="L80" s="75" t="n">
        <v>35</v>
      </c>
      <c r="M80" s="63"/>
      <c r="N80" s="63"/>
      <c r="O80" s="63"/>
      <c r="P80" s="63"/>
      <c r="Q80" s="63"/>
      <c r="R80" s="63"/>
      <c r="S80" s="63"/>
      <c r="T80" s="63"/>
      <c r="U80" s="63"/>
      <c r="V80" s="63"/>
      <c r="W80" s="82"/>
    </row>
    <row r="81" customFormat="false" ht="6" hidden="false" customHeight="true" outlineLevel="0" collapsed="false">
      <c r="A81" s="106"/>
      <c r="B81" s="63"/>
      <c r="C81" s="64"/>
      <c r="D81" s="64"/>
      <c r="E81" s="64"/>
      <c r="F81" s="64"/>
      <c r="G81" s="64"/>
      <c r="H81" s="64"/>
      <c r="I81" s="64"/>
      <c r="J81" s="64"/>
      <c r="K81" s="64"/>
      <c r="L81" s="64"/>
      <c r="M81" s="63"/>
      <c r="N81" s="63"/>
      <c r="O81" s="63"/>
      <c r="P81" s="63"/>
      <c r="Q81" s="63"/>
      <c r="R81" s="63"/>
      <c r="S81" s="63"/>
      <c r="T81" s="63"/>
      <c r="U81" s="63"/>
      <c r="V81" s="63"/>
      <c r="W81" s="82"/>
    </row>
    <row r="82" customFormat="false" ht="15" hidden="false" customHeight="false" outlineLevel="0" collapsed="false">
      <c r="A82" s="79"/>
      <c r="B82" s="63"/>
      <c r="C82" s="97" t="s">
        <v>32</v>
      </c>
      <c r="D82" s="98" t="n">
        <f aca="false">'Profit &amp; Loss Account'!B22</f>
        <v>1800</v>
      </c>
      <c r="E82" s="98"/>
      <c r="F82" s="98"/>
      <c r="G82" s="99" t="s">
        <v>33</v>
      </c>
      <c r="H82" s="100" t="n">
        <v>0</v>
      </c>
      <c r="I82" s="100" t="n">
        <v>0</v>
      </c>
      <c r="J82" s="63"/>
      <c r="K82" s="63"/>
      <c r="L82" s="63"/>
      <c r="M82" s="63"/>
      <c r="N82" s="97" t="s">
        <v>32</v>
      </c>
      <c r="O82" s="98"/>
      <c r="P82" s="98"/>
      <c r="Q82" s="98"/>
      <c r="R82" s="99" t="s">
        <v>33</v>
      </c>
      <c r="S82" s="100" t="n">
        <v>0</v>
      </c>
      <c r="T82" s="100" t="n">
        <v>0</v>
      </c>
      <c r="U82" s="63"/>
      <c r="V82" s="63"/>
      <c r="W82" s="82"/>
    </row>
    <row r="83" customFormat="false" ht="9.75" hidden="false" customHeight="true" outlineLevel="0" collapsed="false">
      <c r="A83" s="79"/>
      <c r="B83" s="63"/>
      <c r="C83" s="63"/>
      <c r="D83" s="63"/>
      <c r="E83" s="63"/>
      <c r="F83" s="63"/>
      <c r="G83" s="63"/>
      <c r="H83" s="63"/>
      <c r="I83" s="63"/>
      <c r="J83" s="63"/>
      <c r="K83" s="63"/>
      <c r="L83" s="63"/>
      <c r="M83" s="63"/>
      <c r="N83" s="63"/>
      <c r="O83" s="63"/>
      <c r="P83" s="63"/>
      <c r="Q83" s="63"/>
      <c r="R83" s="63"/>
      <c r="S83" s="63"/>
      <c r="T83" s="63"/>
      <c r="U83" s="63"/>
      <c r="V83" s="63"/>
      <c r="W83" s="82"/>
    </row>
    <row r="84" customFormat="false" ht="12" hidden="false" customHeight="false" outlineLevel="0" collapsed="false">
      <c r="A84" s="75" t="n">
        <v>21</v>
      </c>
      <c r="B84" s="63"/>
      <c r="C84" s="64" t="s">
        <v>134</v>
      </c>
      <c r="D84" s="64"/>
      <c r="E84" s="64"/>
      <c r="F84" s="64"/>
      <c r="G84" s="64"/>
      <c r="H84" s="64"/>
      <c r="I84" s="64"/>
      <c r="J84" s="64"/>
      <c r="K84" s="64"/>
      <c r="L84" s="75" t="n">
        <v>36</v>
      </c>
      <c r="M84" s="63"/>
      <c r="N84" s="63"/>
      <c r="O84" s="63"/>
      <c r="P84" s="63"/>
      <c r="Q84" s="63"/>
      <c r="R84" s="63"/>
      <c r="S84" s="63"/>
      <c r="T84" s="63"/>
      <c r="U84" s="63"/>
      <c r="V84" s="63"/>
      <c r="W84" s="82"/>
    </row>
    <row r="85" customFormat="false" ht="6" hidden="false" customHeight="true" outlineLevel="0" collapsed="false">
      <c r="A85" s="106"/>
      <c r="B85" s="63"/>
      <c r="C85" s="64"/>
      <c r="D85" s="64"/>
      <c r="E85" s="64"/>
      <c r="F85" s="64"/>
      <c r="G85" s="64"/>
      <c r="H85" s="64"/>
      <c r="I85" s="64"/>
      <c r="J85" s="64"/>
      <c r="K85" s="64"/>
      <c r="L85" s="64"/>
      <c r="M85" s="63"/>
      <c r="N85" s="63"/>
      <c r="O85" s="63"/>
      <c r="P85" s="63"/>
      <c r="Q85" s="63"/>
      <c r="R85" s="63"/>
      <c r="S85" s="63"/>
      <c r="T85" s="63"/>
      <c r="U85" s="63"/>
      <c r="V85" s="63"/>
      <c r="W85" s="82"/>
    </row>
    <row r="86" customFormat="false" ht="15" hidden="false" customHeight="false" outlineLevel="0" collapsed="false">
      <c r="A86" s="79"/>
      <c r="B86" s="63"/>
      <c r="C86" s="97" t="s">
        <v>32</v>
      </c>
      <c r="D86" s="98" t="n">
        <f aca="false">'Profit &amp; Loss Account'!B23</f>
        <v>480</v>
      </c>
      <c r="E86" s="98"/>
      <c r="F86" s="98"/>
      <c r="G86" s="99" t="s">
        <v>33</v>
      </c>
      <c r="H86" s="100" t="n">
        <v>0</v>
      </c>
      <c r="I86" s="100" t="n">
        <v>0</v>
      </c>
      <c r="J86" s="63"/>
      <c r="K86" s="63"/>
      <c r="L86" s="63"/>
      <c r="M86" s="63"/>
      <c r="N86" s="97" t="s">
        <v>32</v>
      </c>
      <c r="O86" s="98"/>
      <c r="P86" s="98"/>
      <c r="Q86" s="98"/>
      <c r="R86" s="99" t="s">
        <v>33</v>
      </c>
      <c r="S86" s="100" t="n">
        <v>0</v>
      </c>
      <c r="T86" s="100" t="n">
        <v>0</v>
      </c>
      <c r="U86" s="63"/>
      <c r="V86" s="63"/>
      <c r="W86" s="82"/>
    </row>
    <row r="87" customFormat="false" ht="9.75" hidden="false" customHeight="true" outlineLevel="0" collapsed="false">
      <c r="A87" s="79"/>
      <c r="B87" s="63"/>
      <c r="C87" s="63"/>
      <c r="D87" s="63"/>
      <c r="E87" s="63"/>
      <c r="F87" s="63"/>
      <c r="G87" s="63"/>
      <c r="H87" s="63"/>
      <c r="I87" s="63"/>
      <c r="J87" s="63"/>
      <c r="K87" s="63"/>
      <c r="L87" s="63"/>
      <c r="M87" s="63"/>
      <c r="N87" s="63"/>
      <c r="O87" s="63"/>
      <c r="P87" s="63"/>
      <c r="Q87" s="63"/>
      <c r="R87" s="63"/>
      <c r="S87" s="63"/>
      <c r="T87" s="63"/>
      <c r="U87" s="63"/>
      <c r="V87" s="63"/>
      <c r="W87" s="82"/>
    </row>
    <row r="88" customFormat="false" ht="12" hidden="false" customHeight="false" outlineLevel="0" collapsed="false">
      <c r="A88" s="75" t="n">
        <v>22</v>
      </c>
      <c r="B88" s="63"/>
      <c r="C88" s="64" t="s">
        <v>66</v>
      </c>
      <c r="D88" s="64"/>
      <c r="E88" s="64"/>
      <c r="F88" s="64"/>
      <c r="G88" s="64"/>
      <c r="H88" s="64"/>
      <c r="I88" s="64"/>
      <c r="J88" s="64"/>
      <c r="K88" s="64"/>
      <c r="L88" s="75" t="n">
        <v>37</v>
      </c>
      <c r="M88" s="63"/>
      <c r="N88" s="63"/>
      <c r="O88" s="63"/>
      <c r="P88" s="63"/>
      <c r="Q88" s="63"/>
      <c r="R88" s="63"/>
      <c r="S88" s="63"/>
      <c r="T88" s="63"/>
      <c r="U88" s="63"/>
      <c r="V88" s="63"/>
      <c r="W88" s="82"/>
    </row>
    <row r="89" customFormat="false" ht="6" hidden="false" customHeight="true" outlineLevel="0" collapsed="false">
      <c r="A89" s="106"/>
      <c r="B89" s="63"/>
      <c r="C89" s="64"/>
      <c r="D89" s="64"/>
      <c r="E89" s="64"/>
      <c r="F89" s="64"/>
      <c r="G89" s="64"/>
      <c r="H89" s="64"/>
      <c r="I89" s="64"/>
      <c r="J89" s="64"/>
      <c r="K89" s="64"/>
      <c r="L89" s="64"/>
      <c r="M89" s="63"/>
      <c r="N89" s="63"/>
      <c r="O89" s="63"/>
      <c r="P89" s="63"/>
      <c r="Q89" s="63"/>
      <c r="R89" s="63"/>
      <c r="S89" s="63"/>
      <c r="T89" s="63"/>
      <c r="U89" s="63"/>
      <c r="V89" s="63"/>
      <c r="W89" s="82"/>
    </row>
    <row r="90" customFormat="false" ht="15" hidden="false" customHeight="false" outlineLevel="0" collapsed="false">
      <c r="A90" s="79"/>
      <c r="B90" s="63"/>
      <c r="C90" s="97" t="s">
        <v>32</v>
      </c>
      <c r="D90" s="98" t="n">
        <f aca="false">'Profit &amp; Loss Account'!B24</f>
        <v>660</v>
      </c>
      <c r="E90" s="98"/>
      <c r="F90" s="98"/>
      <c r="G90" s="99" t="s">
        <v>33</v>
      </c>
      <c r="H90" s="100" t="n">
        <v>0</v>
      </c>
      <c r="I90" s="100" t="n">
        <v>0</v>
      </c>
      <c r="J90" s="63"/>
      <c r="K90" s="63"/>
      <c r="L90" s="63"/>
      <c r="M90" s="63"/>
      <c r="N90" s="97" t="s">
        <v>32</v>
      </c>
      <c r="O90" s="98"/>
      <c r="P90" s="98"/>
      <c r="Q90" s="98"/>
      <c r="R90" s="99" t="s">
        <v>33</v>
      </c>
      <c r="S90" s="100" t="n">
        <v>0</v>
      </c>
      <c r="T90" s="100" t="n">
        <v>0</v>
      </c>
      <c r="U90" s="63"/>
      <c r="V90" s="63"/>
      <c r="W90" s="82"/>
    </row>
    <row r="91" customFormat="false" ht="9.75" hidden="false" customHeight="true" outlineLevel="0" collapsed="false">
      <c r="A91" s="79"/>
      <c r="B91" s="63"/>
      <c r="C91" s="63"/>
      <c r="D91" s="63"/>
      <c r="E91" s="63"/>
      <c r="F91" s="63"/>
      <c r="G91" s="63"/>
      <c r="H91" s="63"/>
      <c r="I91" s="63"/>
      <c r="J91" s="63"/>
      <c r="K91" s="63"/>
      <c r="L91" s="63"/>
      <c r="M91" s="63"/>
      <c r="N91" s="63"/>
      <c r="O91" s="63"/>
      <c r="P91" s="63"/>
      <c r="Q91" s="63"/>
      <c r="R91" s="63"/>
      <c r="S91" s="63"/>
      <c r="T91" s="63"/>
      <c r="U91" s="63"/>
      <c r="V91" s="63"/>
      <c r="W91" s="82"/>
    </row>
    <row r="92" customFormat="false" ht="12" hidden="false" customHeight="false" outlineLevel="0" collapsed="false">
      <c r="A92" s="75" t="n">
        <v>23</v>
      </c>
      <c r="B92" s="63"/>
      <c r="C92" s="64" t="s">
        <v>135</v>
      </c>
      <c r="D92" s="64"/>
      <c r="E92" s="64"/>
      <c r="F92" s="64"/>
      <c r="G92" s="64"/>
      <c r="H92" s="64"/>
      <c r="I92" s="64"/>
      <c r="J92" s="64"/>
      <c r="K92" s="64"/>
      <c r="L92" s="75" t="n">
        <v>38</v>
      </c>
      <c r="M92" s="63"/>
      <c r="N92" s="63"/>
      <c r="O92" s="63"/>
      <c r="P92" s="63"/>
      <c r="Q92" s="63"/>
      <c r="R92" s="63"/>
      <c r="S92" s="63"/>
      <c r="T92" s="63"/>
      <c r="U92" s="63"/>
      <c r="V92" s="63"/>
      <c r="W92" s="82"/>
    </row>
    <row r="93" customFormat="false" ht="6" hidden="false" customHeight="true" outlineLevel="0" collapsed="false">
      <c r="A93" s="106"/>
      <c r="B93" s="63"/>
      <c r="C93" s="64"/>
      <c r="D93" s="64"/>
      <c r="E93" s="64"/>
      <c r="F93" s="64"/>
      <c r="G93" s="64"/>
      <c r="H93" s="64"/>
      <c r="I93" s="64"/>
      <c r="J93" s="64"/>
      <c r="K93" s="64"/>
      <c r="L93" s="64"/>
      <c r="M93" s="63"/>
      <c r="N93" s="63"/>
      <c r="O93" s="63"/>
      <c r="P93" s="63"/>
      <c r="Q93" s="63"/>
      <c r="R93" s="63"/>
      <c r="S93" s="63"/>
      <c r="T93" s="63"/>
      <c r="U93" s="63"/>
      <c r="V93" s="63"/>
      <c r="W93" s="82"/>
    </row>
    <row r="94" customFormat="false" ht="15" hidden="false" customHeight="false" outlineLevel="0" collapsed="false">
      <c r="A94" s="79"/>
      <c r="B94" s="63"/>
      <c r="C94" s="97" t="s">
        <v>32</v>
      </c>
      <c r="D94" s="98" t="n">
        <f aca="false">'Profit &amp; Loss Account'!B27</f>
        <v>0</v>
      </c>
      <c r="E94" s="98"/>
      <c r="F94" s="98"/>
      <c r="G94" s="99" t="s">
        <v>33</v>
      </c>
      <c r="H94" s="100" t="n">
        <v>0</v>
      </c>
      <c r="I94" s="100" t="n">
        <v>0</v>
      </c>
      <c r="J94" s="63"/>
      <c r="K94" s="63"/>
      <c r="L94" s="63"/>
      <c r="M94" s="63"/>
      <c r="N94" s="97" t="s">
        <v>32</v>
      </c>
      <c r="O94" s="98"/>
      <c r="P94" s="98"/>
      <c r="Q94" s="98"/>
      <c r="R94" s="99" t="s">
        <v>33</v>
      </c>
      <c r="S94" s="100" t="n">
        <v>0</v>
      </c>
      <c r="T94" s="100" t="n">
        <v>0</v>
      </c>
      <c r="U94" s="63"/>
      <c r="V94" s="63"/>
      <c r="W94" s="82"/>
    </row>
    <row r="95" customFormat="false" ht="9.75" hidden="false" customHeight="true" outlineLevel="0" collapsed="false">
      <c r="A95" s="79"/>
      <c r="B95" s="63"/>
      <c r="C95" s="63"/>
      <c r="D95" s="63"/>
      <c r="E95" s="63"/>
      <c r="F95" s="63"/>
      <c r="G95" s="63"/>
      <c r="H95" s="63"/>
      <c r="I95" s="63"/>
      <c r="J95" s="63"/>
      <c r="K95" s="63"/>
      <c r="L95" s="63"/>
      <c r="M95" s="63"/>
      <c r="N95" s="63"/>
      <c r="O95" s="63"/>
      <c r="P95" s="63"/>
      <c r="Q95" s="63"/>
      <c r="R95" s="63"/>
      <c r="S95" s="63"/>
      <c r="T95" s="63"/>
      <c r="U95" s="63"/>
      <c r="V95" s="63"/>
      <c r="W95" s="82"/>
    </row>
    <row r="96" customFormat="false" ht="12" hidden="false" customHeight="false" outlineLevel="0" collapsed="false">
      <c r="A96" s="75" t="n">
        <v>24</v>
      </c>
      <c r="B96" s="63"/>
      <c r="C96" s="64" t="s">
        <v>136</v>
      </c>
      <c r="D96" s="64"/>
      <c r="E96" s="64"/>
      <c r="F96" s="64"/>
      <c r="G96" s="64"/>
      <c r="H96" s="64"/>
      <c r="I96" s="64"/>
      <c r="J96" s="64"/>
      <c r="K96" s="64"/>
      <c r="L96" s="75" t="n">
        <v>39</v>
      </c>
      <c r="M96" s="63"/>
      <c r="N96" s="63"/>
      <c r="O96" s="63"/>
      <c r="P96" s="63"/>
      <c r="Q96" s="63"/>
      <c r="R96" s="63"/>
      <c r="S96" s="63"/>
      <c r="T96" s="63"/>
      <c r="U96" s="63"/>
      <c r="V96" s="63"/>
      <c r="W96" s="82"/>
    </row>
    <row r="97" customFormat="false" ht="6" hidden="false" customHeight="true" outlineLevel="0" collapsed="false">
      <c r="A97" s="106"/>
      <c r="B97" s="63"/>
      <c r="C97" s="64"/>
      <c r="D97" s="64"/>
      <c r="E97" s="64"/>
      <c r="F97" s="64"/>
      <c r="G97" s="64"/>
      <c r="H97" s="64"/>
      <c r="I97" s="64"/>
      <c r="J97" s="64"/>
      <c r="K97" s="64"/>
      <c r="L97" s="64"/>
      <c r="M97" s="63"/>
      <c r="N97" s="63"/>
      <c r="O97" s="63"/>
      <c r="P97" s="63"/>
      <c r="Q97" s="63"/>
      <c r="R97" s="63"/>
      <c r="S97" s="63"/>
      <c r="T97" s="63"/>
      <c r="U97" s="63"/>
      <c r="V97" s="63"/>
      <c r="W97" s="82"/>
    </row>
    <row r="98" customFormat="false" ht="15" hidden="false" customHeight="false" outlineLevel="0" collapsed="false">
      <c r="A98" s="79"/>
      <c r="B98" s="63"/>
      <c r="C98" s="97" t="s">
        <v>32</v>
      </c>
      <c r="D98" s="98" t="n">
        <f aca="false">'Profit &amp; Loss Account'!B30</f>
        <v>0</v>
      </c>
      <c r="E98" s="98"/>
      <c r="F98" s="98"/>
      <c r="G98" s="99" t="s">
        <v>33</v>
      </c>
      <c r="H98" s="100" t="n">
        <v>0</v>
      </c>
      <c r="I98" s="100" t="n">
        <v>0</v>
      </c>
      <c r="J98" s="63"/>
      <c r="K98" s="63"/>
      <c r="L98" s="63"/>
      <c r="M98" s="63"/>
      <c r="N98" s="97" t="s">
        <v>32</v>
      </c>
      <c r="O98" s="98"/>
      <c r="P98" s="98"/>
      <c r="Q98" s="98"/>
      <c r="R98" s="99" t="s">
        <v>33</v>
      </c>
      <c r="S98" s="100" t="n">
        <v>0</v>
      </c>
      <c r="T98" s="100" t="n">
        <v>0</v>
      </c>
      <c r="U98" s="63"/>
      <c r="V98" s="63"/>
      <c r="W98" s="82"/>
    </row>
    <row r="99" customFormat="false" ht="9.75" hidden="false" customHeight="true" outlineLevel="0" collapsed="false">
      <c r="A99" s="79"/>
      <c r="B99" s="63"/>
      <c r="C99" s="63"/>
      <c r="D99" s="63"/>
      <c r="E99" s="63"/>
      <c r="F99" s="63"/>
      <c r="G99" s="63"/>
      <c r="H99" s="63"/>
      <c r="I99" s="63"/>
      <c r="J99" s="63"/>
      <c r="K99" s="63"/>
      <c r="L99" s="63"/>
      <c r="M99" s="63"/>
      <c r="N99" s="63"/>
      <c r="O99" s="63"/>
      <c r="P99" s="63"/>
      <c r="Q99" s="63"/>
      <c r="R99" s="63"/>
      <c r="S99" s="63"/>
      <c r="T99" s="63"/>
      <c r="U99" s="63"/>
      <c r="V99" s="63"/>
      <c r="W99" s="82"/>
    </row>
    <row r="100" customFormat="false" ht="12" hidden="false" customHeight="false" outlineLevel="0" collapsed="false">
      <c r="A100" s="75" t="n">
        <v>25</v>
      </c>
      <c r="B100" s="63"/>
      <c r="C100" s="64" t="s">
        <v>137</v>
      </c>
      <c r="D100" s="64"/>
      <c r="E100" s="64"/>
      <c r="F100" s="64"/>
      <c r="G100" s="64"/>
      <c r="H100" s="64"/>
      <c r="I100" s="64"/>
      <c r="J100" s="64"/>
      <c r="K100" s="64"/>
      <c r="L100" s="75" t="n">
        <v>40</v>
      </c>
      <c r="M100" s="63"/>
      <c r="N100" s="63"/>
      <c r="O100" s="63"/>
      <c r="P100" s="63"/>
      <c r="Q100" s="63"/>
      <c r="R100" s="63"/>
      <c r="S100" s="63"/>
      <c r="T100" s="63"/>
      <c r="U100" s="63"/>
      <c r="V100" s="63"/>
      <c r="W100" s="82"/>
    </row>
    <row r="101" customFormat="false" ht="6" hidden="false" customHeight="true" outlineLevel="0" collapsed="false">
      <c r="A101" s="106"/>
      <c r="B101" s="63"/>
      <c r="C101" s="64"/>
      <c r="D101" s="64"/>
      <c r="E101" s="64"/>
      <c r="F101" s="64"/>
      <c r="G101" s="64"/>
      <c r="H101" s="64"/>
      <c r="I101" s="64"/>
      <c r="J101" s="64"/>
      <c r="K101" s="64"/>
      <c r="L101" s="64"/>
      <c r="M101" s="63"/>
      <c r="N101" s="63"/>
      <c r="O101" s="63"/>
      <c r="P101" s="63"/>
      <c r="Q101" s="63"/>
      <c r="R101" s="63"/>
      <c r="S101" s="63"/>
      <c r="T101" s="63"/>
      <c r="U101" s="63"/>
      <c r="V101" s="63"/>
      <c r="W101" s="82"/>
    </row>
    <row r="102" customFormat="false" ht="15" hidden="false" customHeight="false" outlineLevel="0" collapsed="false">
      <c r="A102" s="79"/>
      <c r="B102" s="63"/>
      <c r="C102" s="97" t="s">
        <v>32</v>
      </c>
      <c r="D102" s="98" t="n">
        <f aca="false">'Profit &amp; Loss Account'!B31</f>
        <v>0</v>
      </c>
      <c r="E102" s="98"/>
      <c r="F102" s="98"/>
      <c r="G102" s="99" t="s">
        <v>33</v>
      </c>
      <c r="H102" s="100" t="n">
        <v>0</v>
      </c>
      <c r="I102" s="100" t="n">
        <v>0</v>
      </c>
      <c r="J102" s="63"/>
      <c r="K102" s="63"/>
      <c r="L102" s="63"/>
      <c r="M102" s="63"/>
      <c r="N102" s="97" t="s">
        <v>32</v>
      </c>
      <c r="O102" s="98"/>
      <c r="P102" s="98"/>
      <c r="Q102" s="98"/>
      <c r="R102" s="99" t="s">
        <v>33</v>
      </c>
      <c r="S102" s="100" t="n">
        <v>0</v>
      </c>
      <c r="T102" s="100" t="n">
        <v>0</v>
      </c>
      <c r="U102" s="63"/>
      <c r="V102" s="63"/>
      <c r="W102" s="82"/>
    </row>
    <row r="103" customFormat="false" ht="9.75" hidden="false" customHeight="true" outlineLevel="0" collapsed="false">
      <c r="A103" s="79"/>
      <c r="B103" s="63"/>
      <c r="C103" s="63"/>
      <c r="D103" s="63"/>
      <c r="E103" s="63"/>
      <c r="F103" s="63"/>
      <c r="G103" s="63"/>
      <c r="H103" s="63"/>
      <c r="I103" s="63"/>
      <c r="J103" s="63"/>
      <c r="K103" s="63"/>
      <c r="L103" s="63"/>
      <c r="M103" s="63"/>
      <c r="N103" s="63"/>
      <c r="O103" s="63"/>
      <c r="P103" s="63"/>
      <c r="Q103" s="63"/>
      <c r="R103" s="63"/>
      <c r="S103" s="63"/>
      <c r="T103" s="63"/>
      <c r="U103" s="63"/>
      <c r="V103" s="63"/>
      <c r="W103" s="82"/>
    </row>
    <row r="104" customFormat="false" ht="12" hidden="false" customHeight="false" outlineLevel="0" collapsed="false">
      <c r="A104" s="75" t="n">
        <v>26</v>
      </c>
      <c r="B104" s="63"/>
      <c r="C104" s="64" t="s">
        <v>138</v>
      </c>
      <c r="D104" s="64"/>
      <c r="E104" s="64"/>
      <c r="F104" s="64"/>
      <c r="G104" s="64"/>
      <c r="H104" s="64"/>
      <c r="I104" s="64"/>
      <c r="J104" s="64"/>
      <c r="K104" s="64"/>
      <c r="L104" s="75" t="n">
        <v>41</v>
      </c>
      <c r="M104" s="63"/>
      <c r="N104" s="63"/>
      <c r="O104" s="63"/>
      <c r="P104" s="63"/>
      <c r="Q104" s="63"/>
      <c r="R104" s="63"/>
      <c r="S104" s="63"/>
      <c r="T104" s="63"/>
      <c r="U104" s="63"/>
      <c r="V104" s="63"/>
      <c r="W104" s="82"/>
    </row>
    <row r="105" customFormat="false" ht="6" hidden="false" customHeight="true" outlineLevel="0" collapsed="false">
      <c r="A105" s="106"/>
      <c r="B105" s="63"/>
      <c r="C105" s="64"/>
      <c r="D105" s="64"/>
      <c r="E105" s="64"/>
      <c r="F105" s="64"/>
      <c r="G105" s="64"/>
      <c r="H105" s="64"/>
      <c r="I105" s="64"/>
      <c r="J105" s="64"/>
      <c r="K105" s="64"/>
      <c r="L105" s="64"/>
      <c r="M105" s="63"/>
      <c r="N105" s="63"/>
      <c r="O105" s="63"/>
      <c r="P105" s="63"/>
      <c r="Q105" s="63"/>
      <c r="R105" s="63"/>
      <c r="S105" s="63"/>
      <c r="T105" s="63"/>
      <c r="U105" s="63"/>
      <c r="V105" s="63"/>
      <c r="W105" s="82"/>
    </row>
    <row r="106" customFormat="false" ht="15" hidden="false" customHeight="false" outlineLevel="0" collapsed="false">
      <c r="A106" s="79"/>
      <c r="B106" s="63"/>
      <c r="C106" s="97" t="s">
        <v>32</v>
      </c>
      <c r="D106" s="98" t="n">
        <f aca="false">'Profit &amp; Loss Account'!B29</f>
        <v>0</v>
      </c>
      <c r="E106" s="98"/>
      <c r="F106" s="98"/>
      <c r="G106" s="99" t="s">
        <v>33</v>
      </c>
      <c r="H106" s="100" t="n">
        <v>0</v>
      </c>
      <c r="I106" s="100" t="n">
        <v>0</v>
      </c>
      <c r="J106" s="63"/>
      <c r="K106" s="63"/>
      <c r="L106" s="63"/>
      <c r="M106" s="63"/>
      <c r="N106" s="97" t="s">
        <v>32</v>
      </c>
      <c r="O106" s="98"/>
      <c r="P106" s="98"/>
      <c r="Q106" s="98"/>
      <c r="R106" s="99" t="s">
        <v>33</v>
      </c>
      <c r="S106" s="100" t="n">
        <v>0</v>
      </c>
      <c r="T106" s="100" t="n">
        <v>0</v>
      </c>
      <c r="U106" s="63"/>
      <c r="V106" s="63"/>
      <c r="W106" s="82"/>
    </row>
    <row r="107" customFormat="false" ht="9.75" hidden="false" customHeight="true" outlineLevel="0" collapsed="false">
      <c r="A107" s="79"/>
      <c r="B107" s="63"/>
      <c r="C107" s="63"/>
      <c r="D107" s="63"/>
      <c r="E107" s="63"/>
      <c r="F107" s="63"/>
      <c r="G107" s="63"/>
      <c r="H107" s="63"/>
      <c r="I107" s="63"/>
      <c r="J107" s="63"/>
      <c r="K107" s="63"/>
      <c r="L107" s="63"/>
      <c r="M107" s="63"/>
      <c r="N107" s="63"/>
      <c r="O107" s="63"/>
      <c r="P107" s="63"/>
      <c r="Q107" s="63"/>
      <c r="R107" s="63"/>
      <c r="S107" s="63"/>
      <c r="T107" s="63"/>
      <c r="U107" s="63"/>
      <c r="V107" s="63"/>
      <c r="W107" s="82"/>
    </row>
    <row r="108" customFormat="false" ht="12" hidden="false" customHeight="false" outlineLevel="0" collapsed="false">
      <c r="A108" s="75" t="n">
        <v>27</v>
      </c>
      <c r="B108" s="63"/>
      <c r="C108" s="64" t="s">
        <v>61</v>
      </c>
      <c r="D108" s="64"/>
      <c r="E108" s="64"/>
      <c r="F108" s="64"/>
      <c r="G108" s="64"/>
      <c r="H108" s="64"/>
      <c r="I108" s="64"/>
      <c r="J108" s="64"/>
      <c r="K108" s="64"/>
      <c r="L108" s="75" t="n">
        <v>42</v>
      </c>
      <c r="M108" s="63"/>
      <c r="N108" s="63"/>
      <c r="O108" s="63"/>
      <c r="P108" s="63"/>
      <c r="Q108" s="63"/>
      <c r="R108" s="63"/>
      <c r="S108" s="63"/>
      <c r="T108" s="63"/>
      <c r="U108" s="63"/>
      <c r="V108" s="63"/>
      <c r="W108" s="82"/>
    </row>
    <row r="109" customFormat="false" ht="6" hidden="false" customHeight="true" outlineLevel="0" collapsed="false">
      <c r="A109" s="106"/>
      <c r="B109" s="63"/>
      <c r="C109" s="64"/>
      <c r="D109" s="64"/>
      <c r="E109" s="64"/>
      <c r="F109" s="64"/>
      <c r="G109" s="64"/>
      <c r="H109" s="64"/>
      <c r="I109" s="64"/>
      <c r="J109" s="64"/>
      <c r="K109" s="64"/>
      <c r="L109" s="64"/>
      <c r="M109" s="63"/>
      <c r="N109" s="63"/>
      <c r="O109" s="63"/>
      <c r="P109" s="63"/>
      <c r="Q109" s="63"/>
      <c r="R109" s="63"/>
      <c r="S109" s="63"/>
      <c r="T109" s="63"/>
      <c r="U109" s="63"/>
      <c r="V109" s="63"/>
      <c r="W109" s="82"/>
    </row>
    <row r="110" customFormat="false" ht="15" hidden="false" customHeight="false" outlineLevel="0" collapsed="false">
      <c r="A110" s="79"/>
      <c r="B110" s="63"/>
      <c r="C110" s="97" t="s">
        <v>32</v>
      </c>
      <c r="D110" s="98" t="n">
        <f aca="false">'Profit &amp; Loss Account'!B28</f>
        <v>960</v>
      </c>
      <c r="E110" s="98"/>
      <c r="F110" s="98"/>
      <c r="G110" s="99" t="s">
        <v>33</v>
      </c>
      <c r="H110" s="100" t="n">
        <v>0</v>
      </c>
      <c r="I110" s="100" t="n">
        <v>0</v>
      </c>
      <c r="J110" s="63"/>
      <c r="K110" s="63"/>
      <c r="L110" s="63"/>
      <c r="M110" s="63"/>
      <c r="N110" s="97" t="s">
        <v>32</v>
      </c>
      <c r="O110" s="98"/>
      <c r="P110" s="98"/>
      <c r="Q110" s="98"/>
      <c r="R110" s="99" t="s">
        <v>33</v>
      </c>
      <c r="S110" s="100" t="n">
        <v>0</v>
      </c>
      <c r="T110" s="100" t="n">
        <v>0</v>
      </c>
      <c r="U110" s="63"/>
      <c r="V110" s="63"/>
      <c r="W110" s="82"/>
    </row>
    <row r="111" customFormat="false" ht="9.75" hidden="false" customHeight="true" outlineLevel="0" collapsed="false">
      <c r="A111" s="79"/>
      <c r="B111" s="63"/>
      <c r="C111" s="63"/>
      <c r="D111" s="63"/>
      <c r="E111" s="63"/>
      <c r="F111" s="63"/>
      <c r="G111" s="63"/>
      <c r="H111" s="63"/>
      <c r="I111" s="63"/>
      <c r="J111" s="63"/>
      <c r="K111" s="63"/>
      <c r="L111" s="63"/>
      <c r="M111" s="63"/>
      <c r="N111" s="63"/>
      <c r="O111" s="63"/>
      <c r="P111" s="63"/>
      <c r="Q111" s="63"/>
      <c r="R111" s="63"/>
      <c r="S111" s="63"/>
      <c r="T111" s="63"/>
      <c r="U111" s="63"/>
      <c r="V111" s="63"/>
      <c r="W111" s="82"/>
    </row>
    <row r="112" customFormat="false" ht="12" hidden="false" customHeight="false" outlineLevel="0" collapsed="false">
      <c r="A112" s="75" t="n">
        <v>28</v>
      </c>
      <c r="B112" s="63"/>
      <c r="C112" s="64" t="s">
        <v>139</v>
      </c>
      <c r="D112" s="64"/>
      <c r="E112" s="64"/>
      <c r="F112" s="64"/>
      <c r="G112" s="64"/>
      <c r="H112" s="64"/>
      <c r="I112" s="64"/>
      <c r="J112" s="64"/>
      <c r="K112" s="64"/>
      <c r="L112" s="75" t="n">
        <v>43</v>
      </c>
      <c r="M112" s="63"/>
      <c r="N112" s="63"/>
      <c r="O112" s="63"/>
      <c r="P112" s="63"/>
      <c r="Q112" s="63"/>
      <c r="R112" s="63"/>
      <c r="S112" s="63"/>
      <c r="T112" s="63"/>
      <c r="U112" s="63"/>
      <c r="V112" s="63"/>
      <c r="W112" s="82"/>
    </row>
    <row r="113" customFormat="false" ht="6" hidden="false" customHeight="true" outlineLevel="0" collapsed="false">
      <c r="A113" s="106"/>
      <c r="B113" s="63"/>
      <c r="C113" s="64"/>
      <c r="D113" s="64"/>
      <c r="E113" s="64"/>
      <c r="F113" s="64"/>
      <c r="G113" s="64"/>
      <c r="H113" s="64"/>
      <c r="I113" s="64"/>
      <c r="J113" s="64"/>
      <c r="K113" s="64"/>
      <c r="L113" s="64"/>
      <c r="M113" s="63"/>
      <c r="N113" s="63"/>
      <c r="O113" s="63"/>
      <c r="P113" s="63"/>
      <c r="Q113" s="63"/>
      <c r="R113" s="63"/>
      <c r="S113" s="63"/>
      <c r="T113" s="63"/>
      <c r="U113" s="63"/>
      <c r="V113" s="63"/>
      <c r="W113" s="82"/>
    </row>
    <row r="114" customFormat="false" ht="15" hidden="false" customHeight="false" outlineLevel="0" collapsed="false">
      <c r="A114" s="79"/>
      <c r="B114" s="63"/>
      <c r="C114" s="97" t="s">
        <v>32</v>
      </c>
      <c r="D114" s="98" t="n">
        <f aca="false">'Profit &amp; Loss Account'!B33+'Profit &amp; Loss Account'!B34</f>
        <v>0</v>
      </c>
      <c r="E114" s="98"/>
      <c r="F114" s="98"/>
      <c r="G114" s="99" t="s">
        <v>33</v>
      </c>
      <c r="H114" s="100" t="n">
        <v>0</v>
      </c>
      <c r="I114" s="100" t="n">
        <v>0</v>
      </c>
      <c r="J114" s="63"/>
      <c r="K114" s="63"/>
      <c r="L114" s="63"/>
      <c r="M114" s="63"/>
      <c r="N114" s="97" t="s">
        <v>32</v>
      </c>
      <c r="O114" s="98" t="n">
        <f aca="false">'Profit &amp; Loss Account'!B34</f>
        <v>0</v>
      </c>
      <c r="P114" s="98"/>
      <c r="Q114" s="98"/>
      <c r="R114" s="99" t="s">
        <v>33</v>
      </c>
      <c r="S114" s="100" t="n">
        <v>0</v>
      </c>
      <c r="T114" s="100" t="n">
        <v>0</v>
      </c>
      <c r="U114" s="63"/>
      <c r="V114" s="63"/>
      <c r="W114" s="82"/>
    </row>
    <row r="115" customFormat="false" ht="9.75" hidden="false" customHeight="true" outlineLevel="0" collapsed="false">
      <c r="A115" s="79"/>
      <c r="B115" s="63"/>
      <c r="C115" s="63"/>
      <c r="D115" s="63"/>
      <c r="E115" s="63"/>
      <c r="F115" s="63"/>
      <c r="G115" s="63"/>
      <c r="H115" s="63"/>
      <c r="I115" s="63"/>
      <c r="J115" s="63"/>
      <c r="K115" s="63"/>
      <c r="L115" s="63"/>
      <c r="M115" s="63"/>
      <c r="N115" s="63"/>
      <c r="O115" s="63"/>
      <c r="P115" s="63"/>
      <c r="Q115" s="63"/>
      <c r="R115" s="63"/>
      <c r="S115" s="63"/>
      <c r="T115" s="63"/>
      <c r="U115" s="63"/>
      <c r="V115" s="63"/>
      <c r="W115" s="82"/>
    </row>
    <row r="116" customFormat="false" ht="12" hidden="false" customHeight="false" outlineLevel="0" collapsed="false">
      <c r="A116" s="75" t="n">
        <v>29</v>
      </c>
      <c r="B116" s="63"/>
      <c r="C116" s="64" t="s">
        <v>140</v>
      </c>
      <c r="D116" s="64"/>
      <c r="E116" s="64"/>
      <c r="F116" s="64"/>
      <c r="G116" s="64"/>
      <c r="H116" s="64"/>
      <c r="I116" s="64"/>
      <c r="J116" s="64"/>
      <c r="K116" s="64"/>
      <c r="L116" s="75" t="n">
        <v>44</v>
      </c>
      <c r="M116" s="63"/>
      <c r="N116" s="63"/>
      <c r="O116" s="63"/>
      <c r="P116" s="63"/>
      <c r="Q116" s="63"/>
      <c r="R116" s="63"/>
      <c r="S116" s="63"/>
      <c r="T116" s="63"/>
      <c r="U116" s="63"/>
      <c r="V116" s="63"/>
      <c r="W116" s="82"/>
    </row>
    <row r="117" customFormat="false" ht="6" hidden="false" customHeight="true" outlineLevel="0" collapsed="false">
      <c r="A117" s="106"/>
      <c r="B117" s="63"/>
      <c r="C117" s="64"/>
      <c r="D117" s="64"/>
      <c r="E117" s="64"/>
      <c r="F117" s="64"/>
      <c r="G117" s="64"/>
      <c r="H117" s="64"/>
      <c r="I117" s="64"/>
      <c r="J117" s="64"/>
      <c r="K117" s="64"/>
      <c r="L117" s="64"/>
      <c r="M117" s="63"/>
      <c r="N117" s="63"/>
      <c r="O117" s="63"/>
      <c r="P117" s="63"/>
      <c r="Q117" s="63"/>
      <c r="R117" s="63"/>
      <c r="S117" s="63"/>
      <c r="T117" s="63"/>
      <c r="U117" s="63"/>
      <c r="V117" s="63"/>
      <c r="W117" s="82"/>
    </row>
    <row r="118" customFormat="false" ht="15" hidden="false" customHeight="false" outlineLevel="0" collapsed="false">
      <c r="A118" s="79"/>
      <c r="B118" s="63"/>
      <c r="C118" s="97" t="s">
        <v>32</v>
      </c>
      <c r="D118" s="98" t="n">
        <f aca="false">'Profit &amp; Loss Account'!B32</f>
        <v>0</v>
      </c>
      <c r="E118" s="98"/>
      <c r="F118" s="98"/>
      <c r="G118" s="99" t="s">
        <v>33</v>
      </c>
      <c r="H118" s="100" t="n">
        <v>0</v>
      </c>
      <c r="I118" s="100" t="n">
        <v>0</v>
      </c>
      <c r="J118" s="63"/>
      <c r="K118" s="63"/>
      <c r="L118" s="63"/>
      <c r="M118" s="63"/>
      <c r="N118" s="97" t="s">
        <v>32</v>
      </c>
      <c r="O118" s="98"/>
      <c r="P118" s="98"/>
      <c r="Q118" s="98"/>
      <c r="R118" s="99" t="s">
        <v>33</v>
      </c>
      <c r="S118" s="100" t="n">
        <v>0</v>
      </c>
      <c r="T118" s="100" t="n">
        <v>0</v>
      </c>
      <c r="U118" s="63"/>
      <c r="V118" s="63"/>
      <c r="W118" s="82"/>
    </row>
    <row r="119" customFormat="false" ht="9.75" hidden="false" customHeight="true" outlineLevel="0" collapsed="false">
      <c r="A119" s="79"/>
      <c r="B119" s="63"/>
      <c r="C119" s="63"/>
      <c r="D119" s="63"/>
      <c r="E119" s="63"/>
      <c r="F119" s="63"/>
      <c r="G119" s="63"/>
      <c r="H119" s="63"/>
      <c r="I119" s="63"/>
      <c r="J119" s="63"/>
      <c r="K119" s="63"/>
      <c r="L119" s="63"/>
      <c r="M119" s="63"/>
      <c r="N119" s="63"/>
      <c r="O119" s="63"/>
      <c r="P119" s="63"/>
      <c r="Q119" s="63"/>
      <c r="R119" s="63"/>
      <c r="S119" s="63"/>
      <c r="T119" s="63"/>
      <c r="U119" s="63"/>
      <c r="V119" s="63"/>
      <c r="W119" s="82"/>
    </row>
    <row r="120" customFormat="false" ht="12" hidden="false" customHeight="false" outlineLevel="0" collapsed="false">
      <c r="A120" s="75" t="n">
        <v>30</v>
      </c>
      <c r="B120" s="63"/>
      <c r="C120" s="64" t="s">
        <v>141</v>
      </c>
      <c r="D120" s="64"/>
      <c r="E120" s="64"/>
      <c r="F120" s="64"/>
      <c r="G120" s="64"/>
      <c r="H120" s="64"/>
      <c r="I120" s="64"/>
      <c r="J120" s="64"/>
      <c r="K120" s="64"/>
      <c r="L120" s="75" t="n">
        <v>45</v>
      </c>
      <c r="M120" s="63"/>
      <c r="N120" s="64" t="s">
        <v>142</v>
      </c>
      <c r="O120" s="63"/>
      <c r="P120" s="63"/>
      <c r="Q120" s="63"/>
      <c r="R120" s="63"/>
      <c r="S120" s="63"/>
      <c r="T120" s="63"/>
      <c r="U120" s="63"/>
      <c r="V120" s="63"/>
      <c r="W120" s="82"/>
    </row>
    <row r="121" customFormat="false" ht="6" hidden="false" customHeight="true" outlineLevel="0" collapsed="false">
      <c r="A121" s="106"/>
      <c r="B121" s="63"/>
      <c r="C121" s="64"/>
      <c r="D121" s="64"/>
      <c r="E121" s="64"/>
      <c r="F121" s="64"/>
      <c r="G121" s="64"/>
      <c r="H121" s="64"/>
      <c r="I121" s="64"/>
      <c r="J121" s="64"/>
      <c r="K121" s="64"/>
      <c r="L121" s="64"/>
      <c r="M121" s="63"/>
      <c r="N121" s="63"/>
      <c r="O121" s="63"/>
      <c r="P121" s="63"/>
      <c r="Q121" s="63"/>
      <c r="R121" s="63"/>
      <c r="S121" s="63"/>
      <c r="T121" s="63"/>
      <c r="U121" s="63"/>
      <c r="V121" s="63"/>
      <c r="W121" s="82"/>
    </row>
    <row r="122" customFormat="false" ht="15" hidden="false" customHeight="false" outlineLevel="0" collapsed="false">
      <c r="A122" s="79"/>
      <c r="B122" s="63"/>
      <c r="C122" s="97" t="s">
        <v>32</v>
      </c>
      <c r="D122" s="98" t="n">
        <f aca="false">'Profit &amp; Loss Account'!B17+'Profit &amp; Loss Account'!B35</f>
        <v>4200</v>
      </c>
      <c r="E122" s="98"/>
      <c r="F122" s="98"/>
      <c r="G122" s="99" t="s">
        <v>33</v>
      </c>
      <c r="H122" s="100" t="n">
        <v>0</v>
      </c>
      <c r="I122" s="100" t="n">
        <v>0</v>
      </c>
      <c r="J122" s="63"/>
      <c r="K122" s="63"/>
      <c r="L122" s="63"/>
      <c r="M122" s="63"/>
      <c r="N122" s="97" t="s">
        <v>32</v>
      </c>
      <c r="O122" s="98" t="n">
        <f aca="false">'Profit &amp; Loss Account'!B34</f>
        <v>0</v>
      </c>
      <c r="P122" s="98"/>
      <c r="Q122" s="98"/>
      <c r="R122" s="99" t="s">
        <v>33</v>
      </c>
      <c r="S122" s="100" t="n">
        <v>0</v>
      </c>
      <c r="T122" s="100" t="n">
        <v>0</v>
      </c>
      <c r="U122" s="63"/>
      <c r="V122" s="63"/>
      <c r="W122" s="82"/>
    </row>
    <row r="123" customFormat="false" ht="7.5" hidden="false" customHeight="true" outlineLevel="0" collapsed="false">
      <c r="A123" s="93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5"/>
    </row>
    <row r="124" customFormat="false" ht="24.75" hidden="false" customHeight="true" outlineLevel="0" collapsed="false">
      <c r="A124" s="107" t="s">
        <v>72</v>
      </c>
      <c r="B124" s="107"/>
      <c r="C124" s="107"/>
      <c r="D124" s="107"/>
      <c r="E124" s="107"/>
      <c r="F124" s="107"/>
      <c r="G124" s="107"/>
      <c r="H124" s="107"/>
      <c r="I124" s="107"/>
      <c r="J124" s="107"/>
      <c r="K124" s="107"/>
      <c r="L124" s="107"/>
      <c r="M124" s="107"/>
      <c r="N124" s="107"/>
      <c r="O124" s="107"/>
      <c r="P124" s="107"/>
      <c r="Q124" s="107"/>
      <c r="R124" s="107"/>
      <c r="S124" s="107"/>
      <c r="T124" s="107"/>
      <c r="U124" s="107"/>
      <c r="V124" s="107"/>
      <c r="W124" s="107"/>
    </row>
    <row r="125" customFormat="false" ht="7.5" hidden="false" customHeight="true" outlineLevel="0" collapsed="false">
      <c r="A125" s="72"/>
      <c r="B125" s="73"/>
      <c r="C125" s="73"/>
      <c r="D125" s="73"/>
      <c r="E125" s="73"/>
      <c r="F125" s="73"/>
      <c r="G125" s="73"/>
      <c r="H125" s="73"/>
      <c r="I125" s="73"/>
      <c r="J125" s="73"/>
      <c r="K125" s="73"/>
      <c r="L125" s="73"/>
      <c r="M125" s="73"/>
      <c r="N125" s="73"/>
      <c r="O125" s="73"/>
      <c r="P125" s="73"/>
      <c r="Q125" s="73"/>
      <c r="R125" s="73"/>
      <c r="S125" s="73"/>
      <c r="T125" s="73"/>
      <c r="U125" s="73"/>
      <c r="V125" s="73"/>
      <c r="W125" s="74"/>
    </row>
    <row r="126" customFormat="false" ht="12" hidden="false" customHeight="false" outlineLevel="0" collapsed="false">
      <c r="A126" s="75" t="n">
        <v>46</v>
      </c>
      <c r="B126" s="63"/>
      <c r="C126" s="64" t="s">
        <v>73</v>
      </c>
      <c r="D126" s="64"/>
      <c r="E126" s="64"/>
      <c r="F126" s="64"/>
      <c r="G126" s="64"/>
      <c r="H126" s="64"/>
      <c r="I126" s="64"/>
      <c r="J126" s="64"/>
      <c r="K126" s="64"/>
      <c r="L126" s="75" t="n">
        <v>47</v>
      </c>
      <c r="M126" s="63"/>
      <c r="N126" s="64" t="s">
        <v>74</v>
      </c>
      <c r="O126" s="63"/>
      <c r="P126" s="63"/>
      <c r="Q126" s="63"/>
      <c r="R126" s="63"/>
      <c r="S126" s="63"/>
      <c r="T126" s="63"/>
      <c r="U126" s="63"/>
      <c r="V126" s="63"/>
      <c r="W126" s="82"/>
    </row>
    <row r="127" customFormat="false" ht="12" hidden="false" customHeight="false" outlineLevel="0" collapsed="false">
      <c r="A127" s="79"/>
      <c r="B127" s="63"/>
      <c r="C127" s="90" t="s">
        <v>143</v>
      </c>
      <c r="D127" s="64"/>
      <c r="E127" s="64"/>
      <c r="F127" s="64"/>
      <c r="G127" s="64"/>
      <c r="H127" s="64"/>
      <c r="I127" s="64"/>
      <c r="J127" s="64"/>
      <c r="K127" s="64"/>
      <c r="L127" s="63"/>
      <c r="M127" s="63"/>
      <c r="N127" s="64" t="s">
        <v>144</v>
      </c>
      <c r="O127" s="63"/>
      <c r="P127" s="63"/>
      <c r="Q127" s="63"/>
      <c r="R127" s="63"/>
      <c r="S127" s="63"/>
      <c r="T127" s="63"/>
      <c r="U127" s="63"/>
      <c r="V127" s="63"/>
      <c r="W127" s="82"/>
    </row>
    <row r="128" customFormat="false" ht="6" hidden="false" customHeight="true" outlineLevel="0" collapsed="false">
      <c r="A128" s="106"/>
      <c r="B128" s="63"/>
      <c r="C128" s="64"/>
      <c r="D128" s="64"/>
      <c r="E128" s="64"/>
      <c r="F128" s="64"/>
      <c r="G128" s="64"/>
      <c r="H128" s="64"/>
      <c r="I128" s="64"/>
      <c r="J128" s="64"/>
      <c r="K128" s="64"/>
      <c r="L128" s="64"/>
      <c r="M128" s="63"/>
      <c r="N128" s="63"/>
      <c r="O128" s="63"/>
      <c r="P128" s="63"/>
      <c r="Q128" s="63"/>
      <c r="R128" s="63"/>
      <c r="S128" s="63"/>
      <c r="T128" s="63"/>
      <c r="U128" s="63"/>
      <c r="V128" s="63"/>
      <c r="W128" s="82"/>
    </row>
    <row r="129" customFormat="false" ht="15" hidden="false" customHeight="false" outlineLevel="0" collapsed="false">
      <c r="A129" s="79"/>
      <c r="B129" s="63"/>
      <c r="C129" s="97" t="s">
        <v>32</v>
      </c>
      <c r="D129" s="98" t="n">
        <f aca="false">IF((D55+O55-D122)&gt;=0,D55+O55-D122,0)</f>
        <v>25800</v>
      </c>
      <c r="E129" s="98"/>
      <c r="F129" s="98"/>
      <c r="G129" s="99" t="s">
        <v>33</v>
      </c>
      <c r="H129" s="100" t="n">
        <v>0</v>
      </c>
      <c r="I129" s="100" t="n">
        <v>0</v>
      </c>
      <c r="J129" s="63"/>
      <c r="K129" s="63"/>
      <c r="L129" s="63"/>
      <c r="M129" s="63"/>
      <c r="N129" s="97" t="s">
        <v>32</v>
      </c>
      <c r="O129" s="98" t="n">
        <f aca="false">IF((D55+O55-D122)&lt;0,D122-D55-O55,0)</f>
        <v>0</v>
      </c>
      <c r="P129" s="98"/>
      <c r="Q129" s="98"/>
      <c r="R129" s="99" t="s">
        <v>33</v>
      </c>
      <c r="S129" s="100" t="n">
        <v>0</v>
      </c>
      <c r="T129" s="100" t="n">
        <v>0</v>
      </c>
      <c r="U129" s="63"/>
      <c r="V129" s="63"/>
      <c r="W129" s="82"/>
    </row>
    <row r="130" customFormat="false" ht="7.5" hidden="false" customHeight="true" outlineLevel="0" collapsed="false">
      <c r="A130" s="93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5"/>
    </row>
    <row r="131" customFormat="false" ht="24.75" hidden="false" customHeight="true" outlineLevel="0" collapsed="false">
      <c r="A131" s="103" t="s">
        <v>77</v>
      </c>
      <c r="B131" s="103"/>
      <c r="C131" s="103"/>
      <c r="D131" s="103"/>
      <c r="E131" s="103"/>
      <c r="F131" s="103"/>
      <c r="G131" s="103"/>
      <c r="H131" s="103"/>
      <c r="I131" s="103"/>
      <c r="J131" s="103"/>
      <c r="K131" s="103"/>
      <c r="L131" s="103"/>
      <c r="M131" s="103"/>
      <c r="N131" s="103"/>
      <c r="O131" s="103"/>
      <c r="P131" s="103"/>
      <c r="Q131" s="103"/>
      <c r="R131" s="103"/>
      <c r="S131" s="103"/>
      <c r="T131" s="103"/>
      <c r="U131" s="103"/>
      <c r="V131" s="103"/>
      <c r="W131" s="103"/>
    </row>
    <row r="132" customFormat="false" ht="15.75" hidden="false" customHeight="true" outlineLevel="0" collapsed="false">
      <c r="A132" s="104" t="s">
        <v>145</v>
      </c>
      <c r="B132" s="104"/>
      <c r="C132" s="104"/>
      <c r="D132" s="104"/>
      <c r="E132" s="104"/>
      <c r="F132" s="104"/>
      <c r="G132" s="104"/>
      <c r="H132" s="104"/>
      <c r="I132" s="104"/>
      <c r="J132" s="104"/>
      <c r="K132" s="104"/>
      <c r="L132" s="104"/>
      <c r="M132" s="104"/>
      <c r="N132" s="104"/>
      <c r="O132" s="104"/>
      <c r="P132" s="104"/>
      <c r="Q132" s="104"/>
      <c r="R132" s="104"/>
      <c r="S132" s="104"/>
      <c r="T132" s="104"/>
      <c r="U132" s="104"/>
      <c r="V132" s="104"/>
      <c r="W132" s="104"/>
    </row>
    <row r="133" customFormat="false" ht="15.75" hidden="false" customHeight="true" outlineLevel="0" collapsed="false">
      <c r="A133" s="104" t="s">
        <v>146</v>
      </c>
      <c r="B133" s="104"/>
      <c r="C133" s="104"/>
      <c r="D133" s="104"/>
      <c r="E133" s="104"/>
      <c r="F133" s="104"/>
      <c r="G133" s="104"/>
      <c r="H133" s="104"/>
      <c r="I133" s="104"/>
      <c r="J133" s="104"/>
      <c r="K133" s="104"/>
      <c r="L133" s="104"/>
      <c r="M133" s="104"/>
      <c r="N133" s="104"/>
      <c r="O133" s="104"/>
      <c r="P133" s="104"/>
      <c r="Q133" s="104"/>
      <c r="R133" s="104"/>
      <c r="S133" s="104"/>
      <c r="T133" s="104"/>
      <c r="U133" s="104"/>
      <c r="V133" s="104"/>
      <c r="W133" s="104"/>
    </row>
    <row r="134" customFormat="false" ht="15.75" hidden="false" customHeight="true" outlineLevel="0" collapsed="false">
      <c r="A134" s="104" t="s">
        <v>147</v>
      </c>
      <c r="B134" s="104"/>
      <c r="C134" s="104"/>
      <c r="D134" s="104"/>
      <c r="E134" s="104"/>
      <c r="F134" s="104"/>
      <c r="G134" s="104"/>
      <c r="H134" s="104"/>
      <c r="I134" s="104"/>
      <c r="J134" s="104"/>
      <c r="K134" s="104"/>
      <c r="L134" s="104"/>
      <c r="M134" s="104"/>
      <c r="N134" s="104"/>
      <c r="O134" s="104"/>
      <c r="P134" s="104"/>
      <c r="Q134" s="104"/>
      <c r="R134" s="104"/>
      <c r="S134" s="104"/>
      <c r="T134" s="104"/>
      <c r="U134" s="104"/>
      <c r="V134" s="104"/>
      <c r="W134" s="104"/>
    </row>
    <row r="135" customFormat="false" ht="7.5" hidden="false" customHeight="true" outlineLevel="0" collapsed="false">
      <c r="A135" s="72"/>
      <c r="B135" s="73"/>
      <c r="C135" s="73"/>
      <c r="D135" s="73"/>
      <c r="E135" s="73"/>
      <c r="F135" s="73"/>
      <c r="G135" s="73"/>
      <c r="H135" s="73"/>
      <c r="I135" s="73"/>
      <c r="J135" s="73"/>
      <c r="K135" s="73"/>
      <c r="L135" s="73"/>
      <c r="M135" s="73"/>
      <c r="N135" s="73"/>
      <c r="O135" s="73"/>
      <c r="P135" s="73"/>
      <c r="Q135" s="73"/>
      <c r="R135" s="73"/>
      <c r="S135" s="73"/>
      <c r="T135" s="73"/>
      <c r="U135" s="73"/>
      <c r="V135" s="73"/>
      <c r="W135" s="74"/>
    </row>
    <row r="136" customFormat="false" ht="12" hidden="false" customHeight="false" outlineLevel="0" collapsed="false">
      <c r="A136" s="75" t="n">
        <v>48</v>
      </c>
      <c r="B136" s="63"/>
      <c r="C136" s="130" t="s">
        <v>148</v>
      </c>
      <c r="D136" s="64"/>
      <c r="E136" s="64"/>
      <c r="F136" s="64"/>
      <c r="G136" s="64"/>
      <c r="H136" s="131" t="n">
        <f aca="false">Admin!G4</f>
        <v>1</v>
      </c>
      <c r="I136" s="131"/>
      <c r="J136" s="64"/>
      <c r="K136" s="64"/>
      <c r="L136" s="75" t="n">
        <v>54</v>
      </c>
      <c r="M136" s="63"/>
      <c r="N136" s="64" t="s">
        <v>149</v>
      </c>
      <c r="O136" s="63"/>
      <c r="P136" s="63"/>
      <c r="Q136" s="63"/>
      <c r="R136" s="63"/>
      <c r="S136" s="63"/>
      <c r="T136" s="63"/>
      <c r="U136" s="63"/>
      <c r="V136" s="63"/>
      <c r="W136" s="82"/>
    </row>
    <row r="137" customFormat="false" ht="12" hidden="false" customHeight="false" outlineLevel="0" collapsed="false">
      <c r="A137" s="106"/>
      <c r="B137" s="63"/>
      <c r="C137" s="132"/>
      <c r="D137" s="64"/>
      <c r="E137" s="64"/>
      <c r="F137" s="64"/>
      <c r="G137" s="64"/>
      <c r="H137" s="64"/>
      <c r="I137" s="64"/>
      <c r="J137" s="64"/>
      <c r="K137" s="64"/>
      <c r="L137" s="64"/>
      <c r="M137" s="63"/>
      <c r="N137" s="90" t="s">
        <v>150</v>
      </c>
      <c r="O137" s="110"/>
      <c r="P137" s="110"/>
      <c r="Q137" s="110"/>
      <c r="R137" s="110"/>
      <c r="S137" s="110"/>
      <c r="T137" s="110"/>
      <c r="U137" s="110"/>
      <c r="V137" s="110"/>
      <c r="W137" s="82"/>
    </row>
    <row r="138" customFormat="false" ht="6" hidden="false" customHeight="true" outlineLevel="0" collapsed="false">
      <c r="A138" s="106"/>
      <c r="B138" s="63"/>
      <c r="C138" s="64"/>
      <c r="D138" s="64"/>
      <c r="E138" s="64"/>
      <c r="F138" s="64"/>
      <c r="G138" s="64"/>
      <c r="H138" s="64"/>
      <c r="I138" s="64"/>
      <c r="J138" s="64"/>
      <c r="K138" s="64"/>
      <c r="L138" s="64"/>
      <c r="M138" s="63"/>
      <c r="N138" s="63"/>
      <c r="O138" s="63"/>
      <c r="P138" s="63"/>
      <c r="Q138" s="63"/>
      <c r="R138" s="63"/>
      <c r="S138" s="63"/>
      <c r="T138" s="63"/>
      <c r="U138" s="63"/>
      <c r="V138" s="63"/>
      <c r="W138" s="82"/>
    </row>
    <row r="139" customFormat="false" ht="15" hidden="false" customHeight="false" outlineLevel="0" collapsed="false">
      <c r="A139" s="79"/>
      <c r="B139" s="63"/>
      <c r="C139" s="97" t="s">
        <v>32</v>
      </c>
      <c r="D139" s="98" t="n">
        <f aca="false">IF([1]Schedule!$Q$1&gt;0,[1]Schedule!$Q$1,0)</f>
        <v>0</v>
      </c>
      <c r="E139" s="98"/>
      <c r="F139" s="98"/>
      <c r="G139" s="99" t="s">
        <v>33</v>
      </c>
      <c r="H139" s="100" t="n">
        <v>0</v>
      </c>
      <c r="I139" s="100" t="n">
        <v>0</v>
      </c>
      <c r="J139" s="63"/>
      <c r="K139" s="63"/>
      <c r="L139" s="63"/>
      <c r="M139" s="63"/>
      <c r="N139" s="97" t="s">
        <v>32</v>
      </c>
      <c r="O139" s="98" t="n">
        <f aca="false">IF(([1]Schedule!$R$1+[1]Schedule!$S$1)&lt;1000,[1]Schedule!$S$1,0)</f>
        <v>0</v>
      </c>
      <c r="P139" s="98"/>
      <c r="Q139" s="98"/>
      <c r="R139" s="99" t="s">
        <v>33</v>
      </c>
      <c r="S139" s="100" t="n">
        <v>0</v>
      </c>
      <c r="T139" s="100" t="n">
        <v>0</v>
      </c>
      <c r="U139" s="63"/>
      <c r="V139" s="63"/>
      <c r="W139" s="82"/>
    </row>
    <row r="140" customFormat="false" ht="12" hidden="false" customHeight="false" outlineLevel="0" collapsed="false">
      <c r="A140" s="79"/>
      <c r="B140" s="63"/>
      <c r="C140" s="63"/>
      <c r="D140" s="63"/>
      <c r="E140" s="63"/>
      <c r="F140" s="63"/>
      <c r="G140" s="63"/>
      <c r="H140" s="63"/>
      <c r="I140" s="63"/>
      <c r="J140" s="63"/>
      <c r="K140" s="63"/>
      <c r="L140" s="63"/>
      <c r="M140" s="63"/>
      <c r="N140" s="63"/>
      <c r="O140" s="63"/>
      <c r="P140" s="63"/>
      <c r="Q140" s="63"/>
      <c r="R140" s="63"/>
      <c r="S140" s="63"/>
      <c r="T140" s="63"/>
      <c r="U140" s="63"/>
      <c r="V140" s="63"/>
      <c r="W140" s="82"/>
    </row>
    <row r="141" customFormat="false" ht="12" hidden="false" customHeight="false" outlineLevel="0" collapsed="false">
      <c r="A141" s="75" t="n">
        <v>49</v>
      </c>
      <c r="B141" s="63"/>
      <c r="C141" s="64" t="s">
        <v>151</v>
      </c>
      <c r="D141" s="64"/>
      <c r="E141" s="64"/>
      <c r="F141" s="64"/>
      <c r="G141" s="131" t="n">
        <f aca="false">Admin!G5</f>
        <v>0.18</v>
      </c>
      <c r="H141" s="131"/>
      <c r="I141" s="64" t="s">
        <v>152</v>
      </c>
      <c r="J141" s="64"/>
      <c r="K141" s="64"/>
      <c r="L141" s="75" t="n">
        <v>55</v>
      </c>
      <c r="M141" s="63"/>
      <c r="N141" s="64" t="s">
        <v>153</v>
      </c>
      <c r="O141" s="63"/>
      <c r="P141" s="63"/>
      <c r="Q141" s="63"/>
      <c r="R141" s="63"/>
      <c r="S141" s="63"/>
      <c r="T141" s="63"/>
      <c r="U141" s="63"/>
      <c r="V141" s="63"/>
      <c r="W141" s="82"/>
    </row>
    <row r="142" customFormat="false" ht="12" hidden="false" customHeight="true" outlineLevel="0" collapsed="false">
      <c r="A142" s="106"/>
      <c r="B142" s="63"/>
      <c r="C142" s="64" t="s">
        <v>154</v>
      </c>
      <c r="D142" s="64"/>
      <c r="E142" s="64"/>
      <c r="F142" s="64"/>
      <c r="G142" s="64"/>
      <c r="H142" s="64"/>
      <c r="I142" s="64"/>
      <c r="J142" s="64"/>
      <c r="K142" s="64"/>
      <c r="L142" s="64"/>
      <c r="M142" s="63"/>
      <c r="N142" s="64" t="s">
        <v>155</v>
      </c>
      <c r="O142" s="63"/>
      <c r="P142" s="63"/>
      <c r="Q142" s="63"/>
      <c r="R142" s="63"/>
      <c r="S142" s="63"/>
      <c r="T142" s="63"/>
      <c r="U142" s="63"/>
      <c r="V142" s="63"/>
      <c r="W142" s="82"/>
    </row>
    <row r="143" customFormat="false" ht="6" hidden="false" customHeight="true" outlineLevel="0" collapsed="false">
      <c r="A143" s="106"/>
      <c r="B143" s="63"/>
      <c r="C143" s="64"/>
      <c r="D143" s="64"/>
      <c r="E143" s="64"/>
      <c r="F143" s="64"/>
      <c r="G143" s="64"/>
      <c r="H143" s="64"/>
      <c r="I143" s="64"/>
      <c r="J143" s="64"/>
      <c r="K143" s="64"/>
      <c r="L143" s="64"/>
      <c r="M143" s="63"/>
      <c r="N143" s="63"/>
      <c r="O143" s="63"/>
      <c r="P143" s="63"/>
      <c r="Q143" s="63"/>
      <c r="R143" s="63"/>
      <c r="S143" s="63"/>
      <c r="T143" s="63"/>
      <c r="U143" s="63"/>
      <c r="V143" s="63"/>
      <c r="W143" s="82"/>
    </row>
    <row r="144" customFormat="false" ht="15" hidden="false" customHeight="false" outlineLevel="0" collapsed="false">
      <c r="A144" s="79"/>
      <c r="B144" s="63"/>
      <c r="C144" s="97" t="s">
        <v>32</v>
      </c>
      <c r="D144" s="98" t="n">
        <f aca="false">[1]Schedule!$R$1-D152</f>
        <v>0</v>
      </c>
      <c r="E144" s="98"/>
      <c r="F144" s="98"/>
      <c r="G144" s="99" t="s">
        <v>33</v>
      </c>
      <c r="H144" s="100" t="n">
        <v>0</v>
      </c>
      <c r="I144" s="100" t="n">
        <v>0</v>
      </c>
      <c r="J144" s="63"/>
      <c r="K144" s="63"/>
      <c r="L144" s="64"/>
      <c r="M144" s="63"/>
      <c r="N144" s="97" t="s">
        <v>32</v>
      </c>
      <c r="O144" s="98" t="n">
        <f aca="false">[1]Schedule!$Y$1</f>
        <v>0</v>
      </c>
      <c r="P144" s="98"/>
      <c r="Q144" s="98"/>
      <c r="R144" s="99" t="s">
        <v>33</v>
      </c>
      <c r="S144" s="100" t="n">
        <v>0</v>
      </c>
      <c r="T144" s="100" t="n">
        <v>0</v>
      </c>
      <c r="U144" s="63"/>
      <c r="V144" s="63"/>
      <c r="W144" s="82"/>
    </row>
    <row r="145" customFormat="false" ht="5.25" hidden="false" customHeight="true" outlineLevel="0" collapsed="false">
      <c r="A145" s="79"/>
      <c r="B145" s="63"/>
      <c r="C145" s="63"/>
      <c r="D145" s="63"/>
      <c r="E145" s="63"/>
      <c r="F145" s="63"/>
      <c r="G145" s="63"/>
      <c r="H145" s="63"/>
      <c r="I145" s="63"/>
      <c r="J145" s="63"/>
      <c r="K145" s="63"/>
      <c r="L145" s="63"/>
      <c r="M145" s="63"/>
      <c r="N145" s="63"/>
      <c r="O145" s="63"/>
      <c r="P145" s="63"/>
      <c r="Q145" s="63"/>
      <c r="R145" s="63"/>
      <c r="S145" s="63"/>
      <c r="T145" s="63"/>
      <c r="U145" s="63"/>
      <c r="V145" s="63"/>
      <c r="W145" s="82"/>
    </row>
    <row r="146" customFormat="false" ht="12" hidden="false" customHeight="false" outlineLevel="0" collapsed="false">
      <c r="A146" s="75" t="n">
        <v>50</v>
      </c>
      <c r="B146" s="63"/>
      <c r="C146" s="130" t="s">
        <v>156</v>
      </c>
      <c r="D146" s="64"/>
      <c r="E146" s="64"/>
      <c r="F146" s="64"/>
      <c r="G146" s="64"/>
      <c r="H146" s="131" t="n">
        <v>0.1</v>
      </c>
      <c r="I146" s="131"/>
      <c r="J146" s="63"/>
      <c r="K146" s="63"/>
      <c r="L146" s="63"/>
      <c r="M146" s="63"/>
      <c r="N146" s="63"/>
      <c r="O146" s="63"/>
      <c r="P146" s="63"/>
      <c r="Q146" s="63"/>
      <c r="R146" s="63"/>
      <c r="S146" s="63"/>
      <c r="T146" s="63"/>
      <c r="U146" s="63"/>
      <c r="V146" s="63"/>
      <c r="W146" s="63"/>
    </row>
    <row r="147" customFormat="false" ht="15" hidden="false" customHeight="false" outlineLevel="0" collapsed="false">
      <c r="A147" s="79"/>
      <c r="B147" s="63"/>
      <c r="C147" s="97" t="s">
        <v>32</v>
      </c>
      <c r="D147" s="98"/>
      <c r="E147" s="98"/>
      <c r="F147" s="98"/>
      <c r="G147" s="99" t="s">
        <v>33</v>
      </c>
      <c r="H147" s="100" t="n">
        <v>0</v>
      </c>
      <c r="I147" s="100" t="n">
        <v>0</v>
      </c>
      <c r="J147" s="63"/>
      <c r="K147" s="63"/>
      <c r="L147" s="75" t="n">
        <v>56</v>
      </c>
      <c r="M147" s="63"/>
      <c r="N147" s="64" t="s">
        <v>157</v>
      </c>
      <c r="O147" s="63"/>
      <c r="P147" s="63"/>
      <c r="Q147" s="63"/>
      <c r="R147" s="63"/>
      <c r="S147" s="63"/>
      <c r="T147" s="63"/>
      <c r="U147" s="63"/>
      <c r="V147" s="63"/>
      <c r="W147" s="82"/>
    </row>
    <row r="148" customFormat="false" ht="6" hidden="false" customHeight="true" outlineLevel="0" collapsed="false">
      <c r="A148" s="63"/>
      <c r="B148" s="63"/>
      <c r="C148" s="63"/>
      <c r="D148" s="63"/>
      <c r="E148" s="63"/>
      <c r="F148" s="63"/>
      <c r="G148" s="63"/>
      <c r="H148" s="63"/>
      <c r="I148" s="63"/>
      <c r="J148" s="63"/>
      <c r="K148" s="63"/>
      <c r="L148" s="64"/>
      <c r="M148" s="63"/>
      <c r="N148" s="63"/>
      <c r="O148" s="63"/>
      <c r="P148" s="63"/>
      <c r="Q148" s="63"/>
      <c r="R148" s="63"/>
      <c r="S148" s="63"/>
      <c r="T148" s="63"/>
      <c r="U148" s="63"/>
      <c r="V148" s="63"/>
      <c r="W148" s="82"/>
    </row>
    <row r="149" customFormat="false" ht="15" hidden="false" customHeight="false" outlineLevel="0" collapsed="false">
      <c r="A149" s="75" t="n">
        <v>51</v>
      </c>
      <c r="B149" s="63"/>
      <c r="C149" s="64" t="s">
        <v>158</v>
      </c>
      <c r="D149" s="64"/>
      <c r="E149" s="64"/>
      <c r="F149" s="64"/>
      <c r="G149" s="64"/>
      <c r="H149" s="64"/>
      <c r="I149" s="64"/>
      <c r="J149" s="64"/>
      <c r="K149" s="64"/>
      <c r="L149" s="63"/>
      <c r="M149" s="63"/>
      <c r="N149" s="97" t="s">
        <v>32</v>
      </c>
      <c r="O149" s="98" t="n">
        <f aca="false">D139+D144+D147+D152+D156+D160+O139+O144</f>
        <v>0</v>
      </c>
      <c r="P149" s="98"/>
      <c r="Q149" s="98"/>
      <c r="R149" s="99" t="s">
        <v>33</v>
      </c>
      <c r="S149" s="100" t="n">
        <v>0</v>
      </c>
      <c r="T149" s="100" t="n">
        <v>0</v>
      </c>
      <c r="U149" s="63"/>
      <c r="V149" s="63"/>
      <c r="W149" s="82"/>
    </row>
    <row r="150" customFormat="false" ht="12" hidden="false" customHeight="true" outlineLevel="0" collapsed="false">
      <c r="A150" s="79"/>
      <c r="B150" s="63"/>
      <c r="C150" s="64" t="s">
        <v>159</v>
      </c>
      <c r="D150" s="63"/>
      <c r="E150" s="63"/>
      <c r="F150" s="63"/>
      <c r="G150" s="63"/>
      <c r="H150" s="63"/>
      <c r="I150" s="63"/>
      <c r="J150" s="63"/>
      <c r="K150" s="63"/>
      <c r="L150" s="63"/>
      <c r="M150" s="63"/>
      <c r="N150" s="116"/>
      <c r="O150" s="112"/>
      <c r="P150" s="112"/>
      <c r="Q150" s="112"/>
      <c r="R150" s="99"/>
      <c r="S150" s="102"/>
      <c r="T150" s="102"/>
      <c r="U150" s="63"/>
      <c r="V150" s="63"/>
      <c r="W150" s="82"/>
    </row>
    <row r="151" customFormat="false" ht="12" hidden="false" customHeight="false" outlineLevel="0" collapsed="false">
      <c r="A151" s="106"/>
      <c r="B151" s="63"/>
      <c r="C151" s="64"/>
      <c r="D151" s="64"/>
      <c r="E151" s="64"/>
      <c r="F151" s="64"/>
      <c r="G151" s="64"/>
      <c r="H151" s="64"/>
      <c r="I151" s="64"/>
      <c r="J151" s="64"/>
      <c r="K151" s="64"/>
      <c r="L151" s="75" t="n">
        <v>57</v>
      </c>
      <c r="M151" s="63"/>
      <c r="N151" s="64" t="s">
        <v>160</v>
      </c>
      <c r="O151" s="63"/>
      <c r="P151" s="63"/>
      <c r="Q151" s="63"/>
      <c r="R151" s="63"/>
      <c r="S151" s="63"/>
      <c r="T151" s="63"/>
      <c r="U151" s="63"/>
      <c r="V151" s="63"/>
      <c r="W151" s="82"/>
    </row>
    <row r="152" customFormat="false" ht="15" hidden="false" customHeight="false" outlineLevel="0" collapsed="false">
      <c r="A152" s="79"/>
      <c r="B152" s="63"/>
      <c r="C152" s="97" t="s">
        <v>32</v>
      </c>
      <c r="D152" s="98" t="n">
        <f aca="false">SUM([1]Schedule!$R$38:$R$42)+SUM([1]Schedule!$R$91:$R$95)</f>
        <v>0</v>
      </c>
      <c r="E152" s="98"/>
      <c r="F152" s="98"/>
      <c r="G152" s="99" t="s">
        <v>33</v>
      </c>
      <c r="H152" s="100" t="n">
        <v>0</v>
      </c>
      <c r="I152" s="100" t="n">
        <v>0</v>
      </c>
      <c r="J152" s="63"/>
      <c r="K152" s="63"/>
      <c r="L152" s="63"/>
      <c r="M152" s="63"/>
      <c r="N152" s="64" t="s">
        <v>161</v>
      </c>
      <c r="O152" s="63"/>
      <c r="P152" s="63"/>
      <c r="Q152" s="63"/>
      <c r="R152" s="63"/>
      <c r="S152" s="63"/>
      <c r="T152" s="63"/>
      <c r="U152" s="63"/>
      <c r="V152" s="63"/>
      <c r="W152" s="82"/>
    </row>
    <row r="153" customFormat="false" ht="6" hidden="false" customHeight="true" outlineLevel="0" collapsed="false">
      <c r="A153" s="63"/>
      <c r="B153" s="63"/>
      <c r="C153" s="63"/>
      <c r="D153" s="63"/>
      <c r="E153" s="63"/>
      <c r="F153" s="63"/>
      <c r="G153" s="63"/>
      <c r="H153" s="63"/>
      <c r="I153" s="63"/>
      <c r="J153" s="63"/>
      <c r="K153" s="63"/>
      <c r="L153" s="64"/>
      <c r="M153" s="63"/>
      <c r="N153" s="63"/>
      <c r="O153" s="63"/>
      <c r="P153" s="63"/>
      <c r="Q153" s="63"/>
      <c r="R153" s="63"/>
      <c r="S153" s="63"/>
      <c r="T153" s="63"/>
      <c r="U153" s="63"/>
      <c r="V153" s="63"/>
      <c r="W153" s="82"/>
    </row>
    <row r="154" customFormat="false" ht="15" hidden="false" customHeight="false" outlineLevel="0" collapsed="false">
      <c r="A154" s="75" t="n">
        <v>52</v>
      </c>
      <c r="B154" s="63"/>
      <c r="C154" s="64" t="s">
        <v>162</v>
      </c>
      <c r="D154" s="64"/>
      <c r="E154" s="64"/>
      <c r="F154" s="64"/>
      <c r="G154" s="64"/>
      <c r="H154" s="64"/>
      <c r="I154" s="64"/>
      <c r="J154" s="64"/>
      <c r="K154" s="64"/>
      <c r="L154" s="63"/>
      <c r="M154" s="63"/>
      <c r="N154" s="97" t="s">
        <v>32</v>
      </c>
      <c r="O154" s="98"/>
      <c r="P154" s="98"/>
      <c r="Q154" s="98"/>
      <c r="R154" s="99" t="s">
        <v>33</v>
      </c>
      <c r="S154" s="100" t="n">
        <v>0</v>
      </c>
      <c r="T154" s="100" t="n">
        <v>0</v>
      </c>
      <c r="U154" s="63"/>
      <c r="V154" s="63"/>
      <c r="W154" s="82"/>
    </row>
    <row r="155" customFormat="false" ht="6" hidden="false" customHeight="true" outlineLevel="0" collapsed="false">
      <c r="A155" s="106"/>
      <c r="B155" s="63"/>
      <c r="C155" s="64"/>
      <c r="D155" s="64"/>
      <c r="E155" s="64"/>
      <c r="F155" s="64"/>
      <c r="G155" s="64"/>
      <c r="H155" s="64"/>
      <c r="I155" s="64"/>
      <c r="J155" s="64"/>
      <c r="K155" s="64"/>
      <c r="L155" s="63"/>
      <c r="M155" s="63"/>
      <c r="N155" s="63"/>
      <c r="O155" s="63"/>
      <c r="P155" s="63"/>
      <c r="Q155" s="63"/>
      <c r="R155" s="63"/>
      <c r="S155" s="63"/>
      <c r="T155" s="63"/>
      <c r="U155" s="63"/>
      <c r="V155" s="63"/>
      <c r="W155" s="82"/>
    </row>
    <row r="156" customFormat="false" ht="15" hidden="false" customHeight="false" outlineLevel="0" collapsed="false">
      <c r="A156" s="79"/>
      <c r="B156" s="63"/>
      <c r="C156" s="97" t="s">
        <v>32</v>
      </c>
      <c r="D156" s="98"/>
      <c r="E156" s="98"/>
      <c r="F156" s="98"/>
      <c r="G156" s="99" t="s">
        <v>33</v>
      </c>
      <c r="H156" s="100" t="n">
        <v>0</v>
      </c>
      <c r="I156" s="100" t="n">
        <v>0</v>
      </c>
      <c r="J156" s="63"/>
      <c r="K156" s="63"/>
      <c r="L156" s="75" t="n">
        <v>58</v>
      </c>
      <c r="M156" s="63"/>
      <c r="N156" s="64" t="s">
        <v>163</v>
      </c>
      <c r="O156" s="63"/>
      <c r="P156" s="63"/>
      <c r="Q156" s="63"/>
      <c r="R156" s="63"/>
      <c r="S156" s="63"/>
      <c r="T156" s="63"/>
      <c r="U156" s="63"/>
      <c r="V156" s="63"/>
      <c r="W156" s="82"/>
    </row>
    <row r="157" customFormat="false" ht="12" hidden="false" customHeight="false" outlineLevel="0" collapsed="false">
      <c r="A157" s="75" t="n">
        <v>53</v>
      </c>
      <c r="B157" s="63"/>
      <c r="C157" s="64" t="s">
        <v>164</v>
      </c>
      <c r="D157" s="64"/>
      <c r="E157" s="64"/>
      <c r="F157" s="64"/>
      <c r="G157" s="64"/>
      <c r="H157" s="64"/>
      <c r="I157" s="64"/>
      <c r="J157" s="64"/>
      <c r="K157" s="64"/>
      <c r="L157" s="63"/>
      <c r="M157" s="63"/>
      <c r="N157" s="64" t="s">
        <v>165</v>
      </c>
      <c r="O157" s="63"/>
      <c r="P157" s="63"/>
      <c r="Q157" s="63"/>
      <c r="R157" s="63"/>
      <c r="S157" s="63"/>
      <c r="T157" s="63"/>
      <c r="U157" s="63"/>
      <c r="V157" s="63"/>
      <c r="W157" s="82"/>
    </row>
    <row r="158" customFormat="false" ht="12" hidden="false" customHeight="false" outlineLevel="0" collapsed="false">
      <c r="A158" s="79"/>
      <c r="B158" s="63"/>
      <c r="C158" s="64" t="s">
        <v>166</v>
      </c>
      <c r="D158" s="63"/>
      <c r="E158" s="63"/>
      <c r="F158" s="63"/>
      <c r="G158" s="63"/>
      <c r="H158" s="63"/>
      <c r="I158" s="63"/>
      <c r="J158" s="63"/>
      <c r="K158" s="63"/>
      <c r="L158" s="63"/>
      <c r="M158" s="63"/>
      <c r="N158" s="64" t="s">
        <v>167</v>
      </c>
      <c r="O158" s="63"/>
      <c r="P158" s="63"/>
      <c r="Q158" s="63"/>
      <c r="R158" s="63"/>
      <c r="S158" s="63"/>
      <c r="T158" s="63"/>
      <c r="U158" s="63"/>
      <c r="V158" s="63"/>
      <c r="W158" s="82"/>
    </row>
    <row r="159" customFormat="false" ht="6" hidden="false" customHeight="true" outlineLevel="0" collapsed="false">
      <c r="A159" s="106"/>
      <c r="B159" s="63"/>
      <c r="C159" s="64"/>
      <c r="D159" s="64"/>
      <c r="E159" s="64"/>
      <c r="F159" s="64"/>
      <c r="G159" s="64"/>
      <c r="H159" s="64"/>
      <c r="I159" s="64"/>
      <c r="J159" s="64"/>
      <c r="K159" s="64"/>
      <c r="L159" s="64"/>
      <c r="M159" s="63"/>
      <c r="N159" s="63"/>
      <c r="O159" s="63"/>
      <c r="P159" s="63"/>
      <c r="Q159" s="63"/>
      <c r="R159" s="63"/>
      <c r="S159" s="63"/>
      <c r="T159" s="63"/>
      <c r="U159" s="63"/>
      <c r="V159" s="63"/>
      <c r="W159" s="82"/>
    </row>
    <row r="160" customFormat="false" ht="15" hidden="false" customHeight="false" outlineLevel="0" collapsed="false">
      <c r="A160" s="79"/>
      <c r="B160" s="63"/>
      <c r="C160" s="97" t="s">
        <v>32</v>
      </c>
      <c r="D160" s="98"/>
      <c r="E160" s="98"/>
      <c r="F160" s="98"/>
      <c r="G160" s="99" t="s">
        <v>33</v>
      </c>
      <c r="H160" s="100" t="n">
        <v>0</v>
      </c>
      <c r="I160" s="100" t="n">
        <v>0</v>
      </c>
      <c r="J160" s="63"/>
      <c r="K160" s="63"/>
      <c r="L160" s="63"/>
      <c r="M160" s="63"/>
      <c r="N160" s="97" t="s">
        <v>32</v>
      </c>
      <c r="O160" s="98" t="n">
        <f aca="false">[1]Schedule!$Z$1</f>
        <v>0</v>
      </c>
      <c r="P160" s="98"/>
      <c r="Q160" s="98"/>
      <c r="R160" s="99" t="s">
        <v>33</v>
      </c>
      <c r="S160" s="100" t="n">
        <v>0</v>
      </c>
      <c r="T160" s="100" t="n">
        <v>0</v>
      </c>
      <c r="U160" s="63"/>
      <c r="V160" s="63"/>
      <c r="W160" s="82"/>
    </row>
    <row r="161" customFormat="false" ht="7.5" hidden="false" customHeight="true" outlineLevel="0" collapsed="false">
      <c r="A161" s="93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5"/>
    </row>
    <row r="162" customFormat="false" ht="24.75" hidden="false" customHeight="true" outlineLevel="0" collapsed="false">
      <c r="A162" s="103" t="s">
        <v>168</v>
      </c>
      <c r="B162" s="103"/>
      <c r="C162" s="103"/>
      <c r="D162" s="103"/>
      <c r="E162" s="103"/>
      <c r="F162" s="103"/>
      <c r="G162" s="103"/>
      <c r="H162" s="103"/>
      <c r="I162" s="103"/>
      <c r="J162" s="103"/>
      <c r="K162" s="103"/>
      <c r="L162" s="103"/>
      <c r="M162" s="103"/>
      <c r="N162" s="103"/>
      <c r="O162" s="103"/>
      <c r="P162" s="103"/>
      <c r="Q162" s="103"/>
      <c r="R162" s="103"/>
      <c r="S162" s="103"/>
      <c r="T162" s="103"/>
      <c r="U162" s="103"/>
      <c r="V162" s="103"/>
      <c r="W162" s="103"/>
    </row>
    <row r="163" customFormat="false" ht="15.75" hidden="false" customHeight="true" outlineLevel="0" collapsed="false">
      <c r="A163" s="104" t="s">
        <v>169</v>
      </c>
      <c r="B163" s="104"/>
      <c r="C163" s="104"/>
      <c r="D163" s="104"/>
      <c r="E163" s="104"/>
      <c r="F163" s="104"/>
      <c r="G163" s="104"/>
      <c r="H163" s="104"/>
      <c r="I163" s="104"/>
      <c r="J163" s="104"/>
      <c r="K163" s="104"/>
      <c r="L163" s="104"/>
      <c r="M163" s="104"/>
      <c r="N163" s="104"/>
      <c r="O163" s="104"/>
      <c r="P163" s="104"/>
      <c r="Q163" s="104"/>
      <c r="R163" s="104"/>
      <c r="S163" s="104"/>
      <c r="T163" s="104"/>
      <c r="U163" s="104"/>
      <c r="V163" s="104"/>
      <c r="W163" s="104"/>
    </row>
    <row r="164" customFormat="false" ht="15.75" hidden="false" customHeight="true" outlineLevel="0" collapsed="false">
      <c r="A164" s="104" t="s">
        <v>170</v>
      </c>
      <c r="B164" s="104"/>
      <c r="C164" s="104"/>
      <c r="D164" s="104"/>
      <c r="E164" s="104"/>
      <c r="F164" s="104"/>
      <c r="G164" s="104"/>
      <c r="H164" s="104"/>
      <c r="I164" s="104"/>
      <c r="J164" s="104"/>
      <c r="K164" s="104"/>
      <c r="L164" s="104"/>
      <c r="M164" s="104"/>
      <c r="N164" s="104"/>
      <c r="O164" s="104"/>
      <c r="P164" s="104"/>
      <c r="Q164" s="104"/>
      <c r="R164" s="104"/>
      <c r="S164" s="104"/>
      <c r="T164" s="104"/>
      <c r="U164" s="104"/>
      <c r="V164" s="104"/>
      <c r="W164" s="104"/>
    </row>
    <row r="165" customFormat="false" ht="7.5" hidden="false" customHeight="true" outlineLevel="0" collapsed="false">
      <c r="A165" s="72"/>
      <c r="B165" s="73"/>
      <c r="C165" s="73"/>
      <c r="D165" s="73"/>
      <c r="E165" s="73"/>
      <c r="F165" s="73"/>
      <c r="G165" s="73"/>
      <c r="H165" s="73"/>
      <c r="I165" s="73"/>
      <c r="J165" s="73"/>
      <c r="K165" s="73"/>
      <c r="L165" s="73"/>
      <c r="M165" s="73"/>
      <c r="N165" s="73"/>
      <c r="O165" s="73"/>
      <c r="P165" s="73"/>
      <c r="Q165" s="73"/>
      <c r="R165" s="73"/>
      <c r="S165" s="73"/>
      <c r="T165" s="73"/>
      <c r="U165" s="73"/>
      <c r="V165" s="73"/>
      <c r="W165" s="74"/>
    </row>
    <row r="166" customFormat="false" ht="12" hidden="false" customHeight="false" outlineLevel="0" collapsed="false">
      <c r="A166" s="75" t="n">
        <v>59</v>
      </c>
      <c r="B166" s="63"/>
      <c r="C166" s="64" t="s">
        <v>171</v>
      </c>
      <c r="D166" s="64"/>
      <c r="E166" s="64"/>
      <c r="F166" s="64"/>
      <c r="G166" s="64"/>
      <c r="H166" s="64"/>
      <c r="I166" s="64"/>
      <c r="J166" s="64"/>
      <c r="K166" s="64"/>
      <c r="L166" s="75" t="n">
        <v>62</v>
      </c>
      <c r="M166" s="63"/>
      <c r="N166" s="64" t="s">
        <v>172</v>
      </c>
      <c r="O166" s="63"/>
      <c r="P166" s="63"/>
      <c r="Q166" s="63"/>
      <c r="R166" s="63"/>
      <c r="S166" s="63"/>
      <c r="T166" s="63"/>
      <c r="U166" s="63"/>
      <c r="V166" s="63"/>
      <c r="W166" s="82"/>
    </row>
    <row r="167" customFormat="false" ht="12" hidden="false" customHeight="false" outlineLevel="0" collapsed="false">
      <c r="A167" s="106"/>
      <c r="B167" s="63"/>
      <c r="C167" s="64" t="s">
        <v>114</v>
      </c>
      <c r="D167" s="64"/>
      <c r="E167" s="64"/>
      <c r="F167" s="64"/>
      <c r="G167" s="64"/>
      <c r="H167" s="64"/>
      <c r="I167" s="64"/>
      <c r="J167" s="64"/>
      <c r="K167" s="64"/>
      <c r="L167" s="64"/>
      <c r="M167" s="63"/>
      <c r="N167" s="64" t="s">
        <v>173</v>
      </c>
      <c r="O167" s="110"/>
      <c r="P167" s="110"/>
      <c r="Q167" s="110"/>
      <c r="R167" s="110"/>
      <c r="S167" s="110"/>
      <c r="T167" s="110"/>
      <c r="U167" s="110"/>
      <c r="V167" s="110"/>
      <c r="W167" s="82"/>
    </row>
    <row r="168" customFormat="false" ht="6" hidden="false" customHeight="true" outlineLevel="0" collapsed="false">
      <c r="A168" s="106"/>
      <c r="B168" s="63"/>
      <c r="C168" s="64"/>
      <c r="D168" s="64"/>
      <c r="E168" s="64"/>
      <c r="F168" s="64"/>
      <c r="G168" s="64"/>
      <c r="H168" s="64"/>
      <c r="I168" s="64"/>
      <c r="J168" s="64"/>
      <c r="K168" s="64"/>
      <c r="L168" s="64"/>
      <c r="M168" s="63"/>
      <c r="N168" s="63"/>
      <c r="O168" s="63"/>
      <c r="P168" s="63"/>
      <c r="Q168" s="63"/>
      <c r="R168" s="63"/>
      <c r="S168" s="63"/>
      <c r="T168" s="63"/>
      <c r="U168" s="63"/>
      <c r="V168" s="63"/>
      <c r="W168" s="82"/>
    </row>
    <row r="169" customFormat="false" ht="15" hidden="false" customHeight="false" outlineLevel="0" collapsed="false">
      <c r="A169" s="79"/>
      <c r="B169" s="63"/>
      <c r="C169" s="97" t="s">
        <v>32</v>
      </c>
      <c r="D169" s="98" t="n">
        <f aca="false">'Business Details'!O50</f>
        <v>0</v>
      </c>
      <c r="E169" s="98"/>
      <c r="F169" s="98"/>
      <c r="G169" s="99" t="s">
        <v>33</v>
      </c>
      <c r="H169" s="100" t="n">
        <v>0</v>
      </c>
      <c r="I169" s="100" t="n">
        <v>0</v>
      </c>
      <c r="J169" s="63"/>
      <c r="K169" s="63"/>
      <c r="L169" s="63"/>
      <c r="M169" s="63"/>
      <c r="N169" s="97" t="s">
        <v>32</v>
      </c>
      <c r="O169" s="98" t="n">
        <f aca="false">O149+D179</f>
        <v>0</v>
      </c>
      <c r="P169" s="98"/>
      <c r="Q169" s="98"/>
      <c r="R169" s="99" t="s">
        <v>33</v>
      </c>
      <c r="S169" s="100" t="n">
        <v>0</v>
      </c>
      <c r="T169" s="100" t="n">
        <v>0</v>
      </c>
      <c r="U169" s="63"/>
      <c r="V169" s="63"/>
      <c r="W169" s="82"/>
    </row>
    <row r="170" customFormat="false" ht="12" hidden="false" customHeight="false" outlineLevel="0" collapsed="false">
      <c r="A170" s="79"/>
      <c r="B170" s="63"/>
      <c r="C170" s="63"/>
      <c r="D170" s="63"/>
      <c r="E170" s="63"/>
      <c r="F170" s="63"/>
      <c r="G170" s="63"/>
      <c r="H170" s="63"/>
      <c r="I170" s="63"/>
      <c r="J170" s="63"/>
      <c r="K170" s="63"/>
      <c r="L170" s="63"/>
      <c r="M170" s="63"/>
      <c r="N170" s="63"/>
      <c r="O170" s="63"/>
      <c r="P170" s="63"/>
      <c r="Q170" s="63"/>
      <c r="R170" s="63"/>
      <c r="S170" s="63"/>
      <c r="T170" s="63"/>
      <c r="U170" s="63"/>
      <c r="V170" s="63"/>
      <c r="W170" s="82"/>
    </row>
    <row r="171" customFormat="false" ht="12" hidden="false" customHeight="false" outlineLevel="0" collapsed="false">
      <c r="A171" s="75" t="n">
        <v>60</v>
      </c>
      <c r="B171" s="63"/>
      <c r="C171" s="64" t="s">
        <v>174</v>
      </c>
      <c r="D171" s="64"/>
      <c r="E171" s="64"/>
      <c r="F171" s="64"/>
      <c r="G171" s="64"/>
      <c r="H171" s="64"/>
      <c r="I171" s="64"/>
      <c r="J171" s="64"/>
      <c r="K171" s="64"/>
      <c r="L171" s="75" t="n">
        <v>63</v>
      </c>
      <c r="M171" s="63"/>
      <c r="N171" s="64" t="s">
        <v>175</v>
      </c>
      <c r="O171" s="63"/>
      <c r="P171" s="63"/>
      <c r="Q171" s="63"/>
      <c r="R171" s="63"/>
      <c r="S171" s="63"/>
      <c r="T171" s="63"/>
      <c r="U171" s="63"/>
      <c r="V171" s="63"/>
      <c r="W171" s="82"/>
    </row>
    <row r="172" customFormat="false" ht="12" hidden="false" customHeight="true" outlineLevel="0" collapsed="false">
      <c r="A172" s="106"/>
      <c r="B172" s="63"/>
      <c r="C172" s="64" t="s">
        <v>176</v>
      </c>
      <c r="D172" s="64"/>
      <c r="E172" s="64"/>
      <c r="F172" s="64"/>
      <c r="G172" s="64"/>
      <c r="H172" s="64"/>
      <c r="I172" s="64"/>
      <c r="J172" s="64"/>
      <c r="K172" s="64"/>
      <c r="L172" s="64"/>
      <c r="M172" s="63"/>
      <c r="N172" s="64" t="s">
        <v>177</v>
      </c>
      <c r="O172" s="63"/>
      <c r="P172" s="63"/>
      <c r="Q172" s="63"/>
      <c r="R172" s="63"/>
      <c r="S172" s="63"/>
      <c r="T172" s="63"/>
      <c r="U172" s="63"/>
      <c r="V172" s="63"/>
      <c r="W172" s="82"/>
    </row>
    <row r="173" customFormat="false" ht="6" hidden="false" customHeight="true" outlineLevel="0" collapsed="false">
      <c r="A173" s="106"/>
      <c r="B173" s="63"/>
      <c r="C173" s="64"/>
      <c r="D173" s="64"/>
      <c r="E173" s="64"/>
      <c r="F173" s="64"/>
      <c r="G173" s="64"/>
      <c r="H173" s="64"/>
      <c r="I173" s="64"/>
      <c r="J173" s="64"/>
      <c r="K173" s="64"/>
      <c r="L173" s="64"/>
      <c r="M173" s="63"/>
      <c r="N173" s="63"/>
      <c r="O173" s="63"/>
      <c r="P173" s="63"/>
      <c r="Q173" s="63"/>
      <c r="R173" s="63"/>
      <c r="S173" s="63"/>
      <c r="T173" s="63"/>
      <c r="U173" s="63"/>
      <c r="V173" s="63"/>
      <c r="W173" s="82"/>
    </row>
    <row r="174" customFormat="false" ht="15" hidden="false" customHeight="false" outlineLevel="0" collapsed="false">
      <c r="A174" s="79"/>
      <c r="B174" s="63"/>
      <c r="C174" s="97" t="s">
        <v>32</v>
      </c>
      <c r="D174" s="98" t="n">
        <f aca="false">O122+O154+O160+D169</f>
        <v>0</v>
      </c>
      <c r="E174" s="98"/>
      <c r="F174" s="98"/>
      <c r="G174" s="99" t="s">
        <v>33</v>
      </c>
      <c r="H174" s="100" t="n">
        <v>0</v>
      </c>
      <c r="I174" s="100" t="n">
        <v>0</v>
      </c>
      <c r="J174" s="63"/>
      <c r="K174" s="63"/>
      <c r="L174" s="64"/>
      <c r="M174" s="63"/>
      <c r="N174" s="97" t="s">
        <v>32</v>
      </c>
      <c r="O174" s="98" t="n">
        <f aca="false">IF((D129+D174-O169)&gt;0,(D129+D174-O169),IF((-O129+D174-O169)&gt;0,(-O129+D174-O169),0))</f>
        <v>25800</v>
      </c>
      <c r="P174" s="98"/>
      <c r="Q174" s="98"/>
      <c r="R174" s="99" t="s">
        <v>33</v>
      </c>
      <c r="S174" s="100" t="n">
        <v>0</v>
      </c>
      <c r="T174" s="100" t="n">
        <v>0</v>
      </c>
      <c r="U174" s="63"/>
      <c r="V174" s="63"/>
      <c r="W174" s="82"/>
    </row>
    <row r="175" customFormat="false" ht="12" hidden="false" customHeight="true" outlineLevel="0" collapsed="false">
      <c r="A175" s="79"/>
      <c r="B175" s="63"/>
      <c r="C175" s="63"/>
      <c r="D175" s="63"/>
      <c r="E175" s="63"/>
      <c r="F175" s="63"/>
      <c r="G175" s="63"/>
      <c r="H175" s="63"/>
      <c r="I175" s="63"/>
      <c r="J175" s="63"/>
      <c r="K175" s="63"/>
      <c r="L175" s="63"/>
      <c r="M175" s="63"/>
      <c r="N175" s="63"/>
      <c r="O175" s="63"/>
      <c r="P175" s="63"/>
      <c r="Q175" s="63"/>
      <c r="R175" s="63"/>
      <c r="S175" s="63"/>
      <c r="T175" s="63"/>
      <c r="U175" s="63"/>
      <c r="V175" s="63"/>
      <c r="W175" s="82"/>
    </row>
    <row r="176" customFormat="false" ht="12" hidden="false" customHeight="false" outlineLevel="0" collapsed="false">
      <c r="A176" s="75" t="n">
        <v>61</v>
      </c>
      <c r="B176" s="63"/>
      <c r="C176" s="64" t="s">
        <v>178</v>
      </c>
      <c r="D176" s="64"/>
      <c r="E176" s="64"/>
      <c r="F176" s="64"/>
      <c r="G176" s="64"/>
      <c r="H176" s="64"/>
      <c r="I176" s="64"/>
      <c r="J176" s="64"/>
      <c r="K176" s="64"/>
      <c r="L176" s="75" t="n">
        <v>64</v>
      </c>
      <c r="M176" s="63"/>
      <c r="N176" s="64" t="s">
        <v>179</v>
      </c>
      <c r="O176" s="63"/>
      <c r="P176" s="63"/>
      <c r="Q176" s="63"/>
      <c r="R176" s="63"/>
      <c r="S176" s="63"/>
      <c r="T176" s="63"/>
      <c r="U176" s="63"/>
      <c r="V176" s="63"/>
      <c r="W176" s="82"/>
    </row>
    <row r="177" customFormat="false" ht="12" hidden="false" customHeight="false" outlineLevel="0" collapsed="false">
      <c r="A177" s="79"/>
      <c r="B177" s="63"/>
      <c r="C177" s="64" t="s">
        <v>180</v>
      </c>
      <c r="D177" s="63"/>
      <c r="E177" s="63"/>
      <c r="F177" s="63"/>
      <c r="G177" s="63"/>
      <c r="H177" s="63"/>
      <c r="I177" s="63"/>
      <c r="J177" s="63"/>
      <c r="K177" s="63"/>
      <c r="L177" s="63"/>
      <c r="M177" s="63"/>
      <c r="N177" s="64" t="s">
        <v>181</v>
      </c>
      <c r="O177" s="63"/>
      <c r="P177" s="63"/>
      <c r="Q177" s="63"/>
      <c r="R177" s="63"/>
      <c r="S177" s="63"/>
      <c r="T177" s="63"/>
      <c r="U177" s="63"/>
      <c r="V177" s="63"/>
      <c r="W177" s="82"/>
    </row>
    <row r="178" customFormat="false" ht="6" hidden="false" customHeight="true" outlineLevel="0" collapsed="false">
      <c r="A178" s="106"/>
      <c r="B178" s="63"/>
      <c r="C178" s="64"/>
      <c r="D178" s="64"/>
      <c r="E178" s="64"/>
      <c r="F178" s="64"/>
      <c r="G178" s="64"/>
      <c r="H178" s="64"/>
      <c r="I178" s="64"/>
      <c r="J178" s="64"/>
      <c r="K178" s="64"/>
      <c r="L178" s="64"/>
      <c r="M178" s="63"/>
      <c r="N178" s="63"/>
      <c r="O178" s="63"/>
      <c r="P178" s="63"/>
      <c r="Q178" s="63"/>
      <c r="R178" s="63"/>
      <c r="S178" s="63"/>
      <c r="T178" s="63"/>
      <c r="U178" s="63"/>
      <c r="V178" s="63"/>
      <c r="W178" s="82"/>
    </row>
    <row r="179" customFormat="false" ht="15" hidden="false" customHeight="false" outlineLevel="0" collapsed="false">
      <c r="A179" s="79"/>
      <c r="B179" s="63"/>
      <c r="C179" s="97" t="s">
        <v>32</v>
      </c>
      <c r="D179" s="98"/>
      <c r="E179" s="98"/>
      <c r="F179" s="98"/>
      <c r="G179" s="99" t="s">
        <v>33</v>
      </c>
      <c r="H179" s="100" t="n">
        <v>0</v>
      </c>
      <c r="I179" s="100" t="n">
        <v>0</v>
      </c>
      <c r="J179" s="63"/>
      <c r="K179" s="63"/>
      <c r="L179" s="63"/>
      <c r="M179" s="63"/>
      <c r="N179" s="97" t="s">
        <v>32</v>
      </c>
      <c r="O179" s="98" t="n">
        <f aca="false">IF(O174&gt;0,0,IF((D129+D174-O169)&lt;0,-(D129+D174-O169),IF((-O129+D174-O169)&lt;0,-(-O129+D174-O169),0)))</f>
        <v>0</v>
      </c>
      <c r="P179" s="98"/>
      <c r="Q179" s="98"/>
      <c r="R179" s="99" t="s">
        <v>33</v>
      </c>
      <c r="S179" s="100" t="n">
        <v>0</v>
      </c>
      <c r="T179" s="100" t="n">
        <v>0</v>
      </c>
      <c r="U179" s="63"/>
      <c r="V179" s="63"/>
      <c r="W179" s="82"/>
    </row>
    <row r="180" customFormat="false" ht="7.5" hidden="false" customHeight="true" outlineLevel="0" collapsed="false">
      <c r="A180" s="93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5"/>
    </row>
    <row r="181" customFormat="false" ht="24.75" hidden="false" customHeight="true" outlineLevel="0" collapsed="false">
      <c r="A181" s="103" t="s">
        <v>182</v>
      </c>
      <c r="B181" s="103"/>
      <c r="C181" s="103"/>
      <c r="D181" s="103"/>
      <c r="E181" s="103"/>
      <c r="F181" s="103"/>
      <c r="G181" s="103"/>
      <c r="H181" s="103"/>
      <c r="I181" s="103"/>
      <c r="J181" s="103"/>
      <c r="K181" s="103"/>
      <c r="L181" s="103"/>
      <c r="M181" s="103"/>
      <c r="N181" s="103"/>
      <c r="O181" s="103"/>
      <c r="P181" s="103"/>
      <c r="Q181" s="103"/>
      <c r="R181" s="103"/>
      <c r="S181" s="103"/>
      <c r="T181" s="103"/>
      <c r="U181" s="103"/>
      <c r="V181" s="103"/>
      <c r="W181" s="103"/>
    </row>
    <row r="182" customFormat="false" ht="15.75" hidden="false" customHeight="true" outlineLevel="0" collapsed="false">
      <c r="A182" s="104" t="s">
        <v>183</v>
      </c>
      <c r="B182" s="104"/>
      <c r="C182" s="104"/>
      <c r="D182" s="104"/>
      <c r="E182" s="104"/>
      <c r="F182" s="104"/>
      <c r="G182" s="104"/>
      <c r="H182" s="104"/>
      <c r="I182" s="104"/>
      <c r="J182" s="104"/>
      <c r="K182" s="104"/>
      <c r="L182" s="104"/>
      <c r="M182" s="104"/>
      <c r="N182" s="104"/>
      <c r="O182" s="104"/>
      <c r="P182" s="104"/>
      <c r="Q182" s="104"/>
      <c r="R182" s="104"/>
      <c r="S182" s="104"/>
      <c r="T182" s="104"/>
      <c r="U182" s="104"/>
      <c r="V182" s="104"/>
      <c r="W182" s="104"/>
    </row>
    <row r="183" customFormat="false" ht="15.75" hidden="false" customHeight="true" outlineLevel="0" collapsed="false">
      <c r="A183" s="104" t="s">
        <v>184</v>
      </c>
      <c r="B183" s="104"/>
      <c r="C183" s="104"/>
      <c r="D183" s="104"/>
      <c r="E183" s="104"/>
      <c r="F183" s="104"/>
      <c r="G183" s="104"/>
      <c r="H183" s="104"/>
      <c r="I183" s="104"/>
      <c r="J183" s="104"/>
      <c r="K183" s="104"/>
      <c r="L183" s="104"/>
      <c r="M183" s="104"/>
      <c r="N183" s="104"/>
      <c r="O183" s="104"/>
      <c r="P183" s="104"/>
      <c r="Q183" s="104"/>
      <c r="R183" s="104"/>
      <c r="S183" s="104"/>
      <c r="T183" s="104"/>
      <c r="U183" s="104"/>
      <c r="V183" s="104"/>
      <c r="W183" s="104"/>
    </row>
    <row r="184" customFormat="false" ht="15.75" hidden="false" customHeight="true" outlineLevel="0" collapsed="false">
      <c r="A184" s="133" t="s">
        <v>185</v>
      </c>
      <c r="B184" s="133"/>
      <c r="C184" s="133"/>
      <c r="D184" s="133"/>
      <c r="E184" s="133"/>
      <c r="F184" s="133"/>
      <c r="G184" s="133"/>
      <c r="H184" s="133"/>
      <c r="I184" s="133"/>
      <c r="J184" s="133"/>
      <c r="K184" s="133"/>
      <c r="L184" s="133"/>
      <c r="M184" s="133"/>
      <c r="N184" s="133"/>
      <c r="O184" s="133"/>
      <c r="P184" s="133"/>
      <c r="Q184" s="133"/>
      <c r="R184" s="133"/>
      <c r="S184" s="133"/>
      <c r="T184" s="133"/>
      <c r="U184" s="133"/>
      <c r="V184" s="133"/>
      <c r="W184" s="133"/>
    </row>
    <row r="185" customFormat="false" ht="7.5" hidden="false" customHeight="true" outlineLevel="0" collapsed="false">
      <c r="A185" s="72"/>
      <c r="B185" s="73"/>
      <c r="C185" s="73"/>
      <c r="D185" s="73"/>
      <c r="E185" s="73"/>
      <c r="F185" s="73"/>
      <c r="G185" s="73"/>
      <c r="H185" s="73"/>
      <c r="I185" s="73"/>
      <c r="J185" s="73"/>
      <c r="K185" s="73"/>
      <c r="L185" s="73"/>
      <c r="M185" s="73"/>
      <c r="N185" s="73"/>
      <c r="O185" s="73"/>
      <c r="P185" s="73"/>
      <c r="Q185" s="73"/>
      <c r="R185" s="73"/>
      <c r="S185" s="73"/>
      <c r="T185" s="73"/>
      <c r="U185" s="73"/>
      <c r="V185" s="73"/>
      <c r="W185" s="74"/>
    </row>
    <row r="186" customFormat="false" ht="12" hidden="false" customHeight="false" outlineLevel="0" collapsed="false">
      <c r="A186" s="75" t="n">
        <v>65</v>
      </c>
      <c r="B186" s="63"/>
      <c r="C186" s="64" t="s">
        <v>186</v>
      </c>
      <c r="D186" s="64"/>
      <c r="E186" s="64"/>
      <c r="F186" s="64"/>
      <c r="G186" s="64"/>
      <c r="H186" s="64"/>
      <c r="I186" s="64"/>
      <c r="J186" s="64"/>
      <c r="K186" s="64"/>
      <c r="L186" s="75" t="n">
        <v>71</v>
      </c>
      <c r="M186" s="63"/>
      <c r="N186" s="64" t="s">
        <v>187</v>
      </c>
      <c r="O186" s="63"/>
      <c r="P186" s="63"/>
      <c r="Q186" s="63"/>
      <c r="R186" s="63"/>
      <c r="S186" s="63"/>
      <c r="T186" s="63"/>
      <c r="U186" s="63"/>
      <c r="V186" s="63"/>
      <c r="W186" s="82"/>
    </row>
    <row r="187" customFormat="false" ht="13.5" hidden="false" customHeight="false" outlineLevel="0" collapsed="false">
      <c r="A187" s="106"/>
      <c r="B187" s="63"/>
      <c r="C187" s="134"/>
      <c r="D187" s="134"/>
      <c r="E187" s="134"/>
      <c r="F187" s="134"/>
      <c r="G187" s="64"/>
      <c r="H187" s="64"/>
      <c r="I187" s="64"/>
      <c r="J187" s="64"/>
      <c r="K187" s="64"/>
      <c r="L187" s="64"/>
      <c r="M187" s="63"/>
      <c r="N187" s="80" t="s">
        <v>188</v>
      </c>
      <c r="O187" s="63"/>
      <c r="P187" s="63"/>
      <c r="Q187" s="63"/>
      <c r="R187" s="63"/>
      <c r="S187" s="63"/>
      <c r="T187" s="63"/>
      <c r="U187" s="63"/>
      <c r="V187" s="63"/>
      <c r="W187" s="82"/>
    </row>
    <row r="188" customFormat="false" ht="12" hidden="false" customHeight="true" outlineLevel="0" collapsed="false">
      <c r="A188" s="79"/>
      <c r="B188" s="63"/>
      <c r="C188" s="116"/>
      <c r="D188" s="135"/>
      <c r="E188" s="135"/>
      <c r="F188" s="135"/>
      <c r="G188" s="99"/>
      <c r="H188" s="102"/>
      <c r="I188" s="102"/>
      <c r="J188" s="63"/>
      <c r="K188" s="63"/>
      <c r="L188" s="64"/>
      <c r="M188" s="63"/>
      <c r="N188" s="92" t="s">
        <v>189</v>
      </c>
      <c r="O188" s="63"/>
      <c r="P188" s="63"/>
      <c r="Q188" s="63"/>
      <c r="R188" s="63"/>
      <c r="S188" s="63"/>
      <c r="T188" s="63"/>
      <c r="U188" s="63"/>
      <c r="V188" s="63"/>
      <c r="W188" s="82"/>
    </row>
    <row r="189" customFormat="false" ht="12" hidden="false" customHeight="true" outlineLevel="0" collapsed="false">
      <c r="A189" s="75" t="n">
        <v>66</v>
      </c>
      <c r="B189" s="63"/>
      <c r="C189" s="64" t="s">
        <v>190</v>
      </c>
      <c r="D189" s="63"/>
      <c r="E189" s="63"/>
      <c r="F189" s="63"/>
      <c r="G189" s="63"/>
      <c r="H189" s="63"/>
      <c r="I189" s="63"/>
      <c r="J189" s="63"/>
      <c r="K189" s="63"/>
      <c r="L189" s="64"/>
      <c r="M189" s="63"/>
      <c r="N189" s="92" t="s">
        <v>191</v>
      </c>
      <c r="O189" s="110"/>
      <c r="P189" s="110"/>
      <c r="Q189" s="110"/>
      <c r="R189" s="110"/>
      <c r="S189" s="110"/>
      <c r="T189" s="110"/>
      <c r="U189" s="110"/>
      <c r="V189" s="110"/>
      <c r="W189" s="82"/>
    </row>
    <row r="190" customFormat="false" ht="15" hidden="false" customHeight="false" outlineLevel="0" collapsed="false">
      <c r="A190" s="106"/>
      <c r="B190" s="63"/>
      <c r="C190" s="134"/>
      <c r="D190" s="134"/>
      <c r="E190" s="134"/>
      <c r="F190" s="134"/>
      <c r="G190" s="64"/>
      <c r="H190" s="64"/>
      <c r="I190" s="64"/>
      <c r="J190" s="64"/>
      <c r="K190" s="64"/>
      <c r="L190" s="64"/>
      <c r="M190" s="63"/>
      <c r="N190" s="97" t="s">
        <v>32</v>
      </c>
      <c r="O190" s="136" t="s">
        <v>192</v>
      </c>
      <c r="P190" s="137"/>
      <c r="Q190" s="137"/>
      <c r="R190" s="99" t="s">
        <v>33</v>
      </c>
      <c r="S190" s="100" t="n">
        <v>0</v>
      </c>
      <c r="T190" s="100" t="n">
        <v>0</v>
      </c>
      <c r="U190" s="63"/>
      <c r="V190" s="63"/>
      <c r="W190" s="82"/>
    </row>
    <row r="191" customFormat="false" ht="12" hidden="false" customHeight="false" outlineLevel="0" collapsed="false">
      <c r="A191" s="106"/>
      <c r="B191" s="63"/>
      <c r="C191" s="64"/>
      <c r="D191" s="64"/>
      <c r="E191" s="64"/>
      <c r="F191" s="64"/>
      <c r="G191" s="64"/>
      <c r="H191" s="64"/>
      <c r="I191" s="64"/>
      <c r="J191" s="64"/>
      <c r="K191" s="64"/>
      <c r="L191" s="63"/>
      <c r="M191" s="63"/>
      <c r="N191" s="63"/>
      <c r="O191" s="63"/>
      <c r="P191" s="63"/>
      <c r="Q191" s="63"/>
      <c r="R191" s="63"/>
      <c r="S191" s="63"/>
      <c r="T191" s="63"/>
      <c r="U191" s="63"/>
      <c r="V191" s="63"/>
      <c r="W191" s="82"/>
    </row>
    <row r="192" customFormat="false" ht="15" hidden="false" customHeight="true" outlineLevel="0" collapsed="false">
      <c r="A192" s="75" t="n">
        <v>67</v>
      </c>
      <c r="B192" s="63"/>
      <c r="C192" s="64" t="s">
        <v>193</v>
      </c>
      <c r="D192" s="112"/>
      <c r="E192" s="112"/>
      <c r="F192" s="112"/>
      <c r="G192" s="99"/>
      <c r="H192" s="102"/>
      <c r="I192" s="102"/>
      <c r="J192" s="63"/>
      <c r="K192" s="63"/>
      <c r="L192" s="75" t="n">
        <v>72</v>
      </c>
      <c r="M192" s="63"/>
      <c r="N192" s="64" t="s">
        <v>194</v>
      </c>
      <c r="O192" s="63"/>
      <c r="P192" s="63"/>
      <c r="Q192" s="138" t="str">
        <f aca="false">Admin!G2</f>
        <v>2022-23</v>
      </c>
      <c r="R192" s="64" t="s">
        <v>195</v>
      </c>
      <c r="S192" s="63"/>
      <c r="T192" s="63"/>
      <c r="U192" s="63"/>
      <c r="V192" s="63"/>
      <c r="W192" s="82"/>
    </row>
    <row r="193" customFormat="false" ht="12" hidden="false" customHeight="true" outlineLevel="0" collapsed="false">
      <c r="A193" s="79"/>
      <c r="B193" s="63"/>
      <c r="C193" s="64" t="s">
        <v>196</v>
      </c>
      <c r="D193" s="64"/>
      <c r="E193" s="64"/>
      <c r="F193" s="64"/>
      <c r="G193" s="64"/>
      <c r="H193" s="64"/>
      <c r="I193" s="64"/>
      <c r="J193" s="64"/>
      <c r="K193" s="64"/>
      <c r="L193" s="64"/>
      <c r="M193" s="64"/>
      <c r="N193" s="80" t="s">
        <v>197</v>
      </c>
      <c r="O193" s="112"/>
      <c r="P193" s="112"/>
      <c r="Q193" s="112"/>
      <c r="R193" s="139"/>
      <c r="S193" s="140"/>
      <c r="T193" s="140"/>
      <c r="U193" s="63"/>
      <c r="V193" s="63"/>
      <c r="W193" s="82"/>
    </row>
    <row r="194" customFormat="false" ht="15" hidden="false" customHeight="false" outlineLevel="0" collapsed="false">
      <c r="A194" s="79"/>
      <c r="B194" s="63"/>
      <c r="C194" s="80" t="s">
        <v>198</v>
      </c>
      <c r="D194" s="64"/>
      <c r="E194" s="64"/>
      <c r="F194" s="64"/>
      <c r="G194" s="64"/>
      <c r="H194" s="64"/>
      <c r="I194" s="64"/>
      <c r="J194" s="64"/>
      <c r="K194" s="64"/>
      <c r="L194" s="64"/>
      <c r="M194" s="63"/>
      <c r="N194" s="97" t="s">
        <v>32</v>
      </c>
      <c r="O194" s="98" t="n">
        <f aca="false">O174</f>
        <v>25800</v>
      </c>
      <c r="P194" s="98"/>
      <c r="Q194" s="98"/>
      <c r="R194" s="99" t="s">
        <v>33</v>
      </c>
      <c r="S194" s="100" t="n">
        <v>0</v>
      </c>
      <c r="T194" s="100" t="n">
        <v>0</v>
      </c>
      <c r="U194" s="63"/>
      <c r="V194" s="63"/>
      <c r="W194" s="82"/>
    </row>
    <row r="195" customFormat="false" ht="12" hidden="false" customHeight="true" outlineLevel="0" collapsed="false">
      <c r="A195" s="79"/>
      <c r="B195" s="63"/>
      <c r="C195" s="64" t="s">
        <v>199</v>
      </c>
      <c r="D195" s="63"/>
      <c r="E195" s="63"/>
      <c r="F195" s="63"/>
      <c r="G195" s="63"/>
      <c r="H195" s="63"/>
      <c r="I195" s="63"/>
      <c r="J195" s="63"/>
      <c r="K195" s="63"/>
      <c r="L195" s="63"/>
      <c r="M195" s="63"/>
      <c r="N195" s="63"/>
      <c r="O195" s="63"/>
      <c r="P195" s="63"/>
      <c r="Q195" s="63"/>
      <c r="R195" s="63"/>
      <c r="S195" s="63"/>
      <c r="T195" s="63"/>
      <c r="U195" s="63"/>
      <c r="V195" s="63"/>
      <c r="W195" s="82"/>
    </row>
    <row r="196" customFormat="false" ht="12" hidden="false" customHeight="false" outlineLevel="0" collapsed="false">
      <c r="A196" s="106"/>
      <c r="B196" s="63"/>
      <c r="C196" s="64" t="s">
        <v>200</v>
      </c>
      <c r="D196" s="64"/>
      <c r="E196" s="64"/>
      <c r="F196" s="64"/>
      <c r="G196" s="64"/>
      <c r="H196" s="64"/>
      <c r="I196" s="64"/>
      <c r="J196" s="64"/>
      <c r="K196" s="64"/>
      <c r="L196" s="75" t="n">
        <v>73</v>
      </c>
      <c r="M196" s="63"/>
      <c r="N196" s="64" t="s">
        <v>91</v>
      </c>
      <c r="O196" s="63"/>
      <c r="P196" s="63"/>
      <c r="Q196" s="63"/>
      <c r="R196" s="63"/>
      <c r="S196" s="63"/>
      <c r="T196" s="63"/>
      <c r="U196" s="63"/>
      <c r="V196" s="63"/>
      <c r="W196" s="82"/>
    </row>
    <row r="197" customFormat="false" ht="15" hidden="false" customHeight="false" outlineLevel="0" collapsed="false">
      <c r="A197" s="79"/>
      <c r="B197" s="63"/>
      <c r="C197" s="97" t="s">
        <v>32</v>
      </c>
      <c r="D197" s="136" t="s">
        <v>192</v>
      </c>
      <c r="E197" s="137"/>
      <c r="F197" s="137"/>
      <c r="G197" s="99" t="s">
        <v>33</v>
      </c>
      <c r="H197" s="100" t="n">
        <v>0</v>
      </c>
      <c r="I197" s="100" t="n">
        <v>0</v>
      </c>
      <c r="J197" s="63"/>
      <c r="K197" s="63"/>
      <c r="L197" s="63"/>
      <c r="M197" s="63"/>
      <c r="N197" s="80" t="s">
        <v>201</v>
      </c>
      <c r="O197" s="63"/>
      <c r="P197" s="63"/>
      <c r="Q197" s="63"/>
      <c r="R197" s="63"/>
      <c r="S197" s="63"/>
      <c r="T197" s="63"/>
      <c r="U197" s="63"/>
      <c r="V197" s="63"/>
      <c r="W197" s="82"/>
    </row>
    <row r="198" customFormat="false" ht="9.75" hidden="false" customHeight="true" outlineLevel="0" collapsed="false">
      <c r="A198" s="79"/>
      <c r="B198" s="63"/>
      <c r="C198" s="116"/>
      <c r="D198" s="112"/>
      <c r="E198" s="112"/>
      <c r="F198" s="112"/>
      <c r="G198" s="99"/>
      <c r="H198" s="102"/>
      <c r="I198" s="102"/>
      <c r="J198" s="63"/>
      <c r="K198" s="63"/>
      <c r="L198" s="63"/>
      <c r="M198" s="63"/>
      <c r="N198" s="90" t="s">
        <v>202</v>
      </c>
      <c r="O198" s="63"/>
      <c r="P198" s="63"/>
      <c r="Q198" s="63"/>
      <c r="R198" s="63"/>
      <c r="S198" s="63"/>
      <c r="T198" s="63"/>
      <c r="U198" s="63"/>
      <c r="V198" s="63"/>
      <c r="W198" s="82"/>
    </row>
    <row r="199" customFormat="false" ht="15" hidden="false" customHeight="true" outlineLevel="0" collapsed="false">
      <c r="A199" s="75" t="n">
        <v>68</v>
      </c>
      <c r="B199" s="63"/>
      <c r="C199" s="64" t="s">
        <v>203</v>
      </c>
      <c r="D199" s="63"/>
      <c r="E199" s="63"/>
      <c r="F199" s="63"/>
      <c r="G199" s="63"/>
      <c r="H199" s="63"/>
      <c r="I199" s="63"/>
      <c r="J199" s="63"/>
      <c r="K199" s="63"/>
      <c r="L199" s="64"/>
      <c r="M199" s="63"/>
      <c r="N199" s="97" t="s">
        <v>32</v>
      </c>
      <c r="O199" s="98" t="n">
        <f aca="false">IF(D179&gt;0,0,IF((O194+O204)&gt;'Business Details'!D50,'Business Details'!D50,(O194+O204)))</f>
        <v>0</v>
      </c>
      <c r="P199" s="98"/>
      <c r="Q199" s="98"/>
      <c r="R199" s="99" t="s">
        <v>33</v>
      </c>
      <c r="S199" s="100" t="n">
        <v>0</v>
      </c>
      <c r="T199" s="100" t="n">
        <v>0</v>
      </c>
      <c r="U199" s="63"/>
      <c r="V199" s="63"/>
      <c r="W199" s="82"/>
    </row>
    <row r="200" customFormat="false" ht="12" hidden="false" customHeight="true" outlineLevel="0" collapsed="false">
      <c r="A200" s="106"/>
      <c r="B200" s="63"/>
      <c r="C200" s="64"/>
      <c r="D200" s="64"/>
      <c r="E200" s="64"/>
      <c r="F200" s="64"/>
      <c r="G200" s="64"/>
      <c r="H200" s="64"/>
      <c r="I200" s="64"/>
      <c r="J200" s="64"/>
      <c r="K200" s="64"/>
      <c r="L200" s="63"/>
      <c r="M200" s="63"/>
      <c r="N200" s="116"/>
      <c r="O200" s="112"/>
      <c r="P200" s="112"/>
      <c r="Q200" s="112"/>
      <c r="R200" s="99"/>
      <c r="S200" s="102"/>
      <c r="T200" s="102"/>
      <c r="U200" s="63"/>
      <c r="V200" s="63"/>
      <c r="W200" s="82"/>
    </row>
    <row r="201" customFormat="false" ht="15" hidden="false" customHeight="false" outlineLevel="0" collapsed="false">
      <c r="A201" s="79"/>
      <c r="B201" s="63"/>
      <c r="C201" s="97" t="s">
        <v>32</v>
      </c>
      <c r="D201" s="98"/>
      <c r="E201" s="98"/>
      <c r="F201" s="98"/>
      <c r="G201" s="99" t="s">
        <v>33</v>
      </c>
      <c r="H201" s="100" t="n">
        <v>0</v>
      </c>
      <c r="I201" s="100" t="n">
        <v>0</v>
      </c>
      <c r="J201" s="63"/>
      <c r="K201" s="63"/>
      <c r="L201" s="75" t="n">
        <v>74</v>
      </c>
      <c r="M201" s="63"/>
      <c r="N201" s="64" t="s">
        <v>204</v>
      </c>
      <c r="O201" s="63"/>
      <c r="P201" s="63"/>
      <c r="Q201" s="63"/>
      <c r="R201" s="63"/>
      <c r="S201" s="63"/>
      <c r="T201" s="63"/>
      <c r="U201" s="63"/>
      <c r="V201" s="63"/>
      <c r="W201" s="82"/>
    </row>
    <row r="202" customFormat="false" ht="12" hidden="false" customHeight="true" outlineLevel="0" collapsed="false">
      <c r="A202" s="79"/>
      <c r="B202" s="63"/>
      <c r="C202" s="63"/>
      <c r="D202" s="63"/>
      <c r="E202" s="63"/>
      <c r="F202" s="63"/>
      <c r="G202" s="63"/>
      <c r="H202" s="63"/>
      <c r="I202" s="63"/>
      <c r="J202" s="63"/>
      <c r="K202" s="63"/>
      <c r="L202" s="63"/>
      <c r="M202" s="63"/>
      <c r="N202" s="64" t="s">
        <v>205</v>
      </c>
      <c r="O202" s="63"/>
      <c r="P202" s="63"/>
      <c r="Q202" s="63"/>
      <c r="R202" s="63"/>
      <c r="S202" s="63"/>
      <c r="T202" s="63"/>
      <c r="U202" s="63"/>
      <c r="V202" s="63"/>
      <c r="W202" s="82"/>
    </row>
    <row r="203" customFormat="false" ht="12" hidden="false" customHeight="false" outlineLevel="0" collapsed="false">
      <c r="A203" s="75" t="n">
        <v>69</v>
      </c>
      <c r="B203" s="63"/>
      <c r="C203" s="64" t="s">
        <v>206</v>
      </c>
      <c r="D203" s="64"/>
      <c r="E203" s="64"/>
      <c r="F203" s="64"/>
      <c r="G203" s="64"/>
      <c r="H203" s="64"/>
      <c r="I203" s="64"/>
      <c r="J203" s="64"/>
      <c r="K203" s="64"/>
      <c r="L203" s="63"/>
      <c r="M203" s="63"/>
      <c r="N203" s="63"/>
      <c r="O203" s="63"/>
      <c r="P203" s="63"/>
      <c r="Q203" s="63"/>
      <c r="R203" s="63"/>
      <c r="S203" s="63"/>
      <c r="T203" s="63"/>
      <c r="U203" s="63"/>
      <c r="V203" s="63"/>
      <c r="W203" s="82"/>
    </row>
    <row r="204" customFormat="false" ht="15" hidden="false" customHeight="true" outlineLevel="0" collapsed="false">
      <c r="A204" s="79"/>
      <c r="B204" s="63"/>
      <c r="C204" s="80"/>
      <c r="D204" s="63"/>
      <c r="E204" s="63"/>
      <c r="F204" s="63"/>
      <c r="G204" s="63"/>
      <c r="H204" s="63"/>
      <c r="I204" s="63"/>
      <c r="J204" s="63"/>
      <c r="K204" s="63"/>
      <c r="L204" s="64"/>
      <c r="M204" s="63"/>
      <c r="N204" s="97" t="s">
        <v>32</v>
      </c>
      <c r="O204" s="98" t="n">
        <f aca="false">'Profit &amp; Loss Account'!B11</f>
        <v>0</v>
      </c>
      <c r="P204" s="98"/>
      <c r="Q204" s="98"/>
      <c r="R204" s="99" t="s">
        <v>33</v>
      </c>
      <c r="S204" s="100" t="n">
        <v>0</v>
      </c>
      <c r="T204" s="100" t="n">
        <v>0</v>
      </c>
      <c r="U204" s="63"/>
      <c r="V204" s="63"/>
      <c r="W204" s="82"/>
    </row>
    <row r="205" customFormat="false" ht="9.75" hidden="false" customHeight="true" outlineLevel="0" collapsed="false">
      <c r="A205" s="106"/>
      <c r="B205" s="63"/>
      <c r="C205" s="64"/>
      <c r="D205" s="64"/>
      <c r="E205" s="64"/>
      <c r="F205" s="64"/>
      <c r="G205" s="64"/>
      <c r="H205" s="64"/>
      <c r="I205" s="64"/>
      <c r="J205" s="64"/>
      <c r="K205" s="64"/>
      <c r="L205" s="63"/>
      <c r="M205" s="63"/>
      <c r="N205" s="64"/>
      <c r="O205" s="63"/>
      <c r="P205" s="63"/>
      <c r="Q205" s="63"/>
      <c r="R205" s="63"/>
      <c r="S205" s="63"/>
      <c r="T205" s="63"/>
      <c r="U205" s="63"/>
      <c r="V205" s="63"/>
      <c r="W205" s="82"/>
    </row>
    <row r="206" customFormat="false" ht="15" hidden="false" customHeight="false" outlineLevel="0" collapsed="false">
      <c r="A206" s="79"/>
      <c r="B206" s="63"/>
      <c r="C206" s="97" t="s">
        <v>32</v>
      </c>
      <c r="D206" s="98"/>
      <c r="E206" s="98"/>
      <c r="F206" s="98"/>
      <c r="G206" s="99" t="s">
        <v>33</v>
      </c>
      <c r="H206" s="100" t="n">
        <v>0</v>
      </c>
      <c r="I206" s="100" t="n">
        <v>0</v>
      </c>
      <c r="J206" s="63"/>
      <c r="K206" s="63"/>
      <c r="L206" s="75" t="n">
        <v>75</v>
      </c>
      <c r="M206" s="63"/>
      <c r="N206" s="64" t="s">
        <v>207</v>
      </c>
      <c r="O206" s="63"/>
      <c r="P206" s="63"/>
      <c r="Q206" s="63"/>
      <c r="R206" s="63"/>
      <c r="S206" s="63"/>
      <c r="T206" s="63"/>
      <c r="U206" s="63"/>
      <c r="V206" s="63"/>
      <c r="W206" s="82"/>
    </row>
    <row r="207" customFormat="false" ht="12" hidden="false" customHeight="true" outlineLevel="0" collapsed="false">
      <c r="A207" s="79"/>
      <c r="B207" s="63"/>
      <c r="C207" s="63"/>
      <c r="D207" s="63"/>
      <c r="E207" s="63"/>
      <c r="F207" s="63"/>
      <c r="G207" s="63"/>
      <c r="H207" s="63"/>
      <c r="I207" s="63"/>
      <c r="J207" s="63"/>
      <c r="K207" s="63"/>
      <c r="L207" s="63"/>
      <c r="M207" s="63"/>
      <c r="N207" s="64" t="s">
        <v>208</v>
      </c>
      <c r="O207" s="63"/>
      <c r="P207" s="63"/>
      <c r="Q207" s="63"/>
      <c r="R207" s="63"/>
      <c r="S207" s="63"/>
      <c r="T207" s="63"/>
      <c r="U207" s="63"/>
      <c r="V207" s="63"/>
      <c r="W207" s="82"/>
    </row>
    <row r="208" customFormat="false" ht="12" hidden="false" customHeight="false" outlineLevel="0" collapsed="false">
      <c r="A208" s="75" t="n">
        <v>70</v>
      </c>
      <c r="B208" s="63"/>
      <c r="C208" s="64" t="s">
        <v>209</v>
      </c>
      <c r="D208" s="64"/>
      <c r="E208" s="64"/>
      <c r="F208" s="64"/>
      <c r="G208" s="64"/>
      <c r="H208" s="64"/>
      <c r="I208" s="64"/>
      <c r="J208" s="64"/>
      <c r="K208" s="64"/>
      <c r="L208" s="63"/>
      <c r="M208" s="63"/>
      <c r="N208" s="90" t="s">
        <v>210</v>
      </c>
      <c r="O208" s="63"/>
      <c r="P208" s="63"/>
      <c r="Q208" s="63"/>
      <c r="R208" s="63"/>
      <c r="S208" s="63"/>
      <c r="T208" s="63"/>
      <c r="U208" s="63"/>
      <c r="V208" s="63"/>
      <c r="W208" s="82"/>
    </row>
    <row r="209" customFormat="false" ht="12" hidden="false" customHeight="false" outlineLevel="0" collapsed="false">
      <c r="A209" s="79"/>
      <c r="B209" s="63"/>
      <c r="C209" s="92" t="s">
        <v>211</v>
      </c>
      <c r="D209" s="63"/>
      <c r="E209" s="63"/>
      <c r="F209" s="63"/>
      <c r="G209" s="63"/>
      <c r="H209" s="63"/>
      <c r="I209" s="63"/>
      <c r="J209" s="63"/>
      <c r="K209" s="63"/>
      <c r="L209" s="63"/>
      <c r="M209" s="63"/>
      <c r="N209" s="63"/>
      <c r="O209" s="63"/>
      <c r="P209" s="63"/>
      <c r="Q209" s="63"/>
      <c r="R209" s="63"/>
      <c r="S209" s="63"/>
      <c r="T209" s="63"/>
      <c r="U209" s="63"/>
      <c r="V209" s="63"/>
      <c r="W209" s="82"/>
    </row>
    <row r="210" customFormat="false" ht="15" hidden="false" customHeight="false" outlineLevel="0" collapsed="false">
      <c r="A210" s="79"/>
      <c r="B210" s="63"/>
      <c r="C210" s="97" t="s">
        <v>32</v>
      </c>
      <c r="D210" s="98"/>
      <c r="E210" s="98"/>
      <c r="F210" s="98"/>
      <c r="G210" s="99" t="s">
        <v>33</v>
      </c>
      <c r="H210" s="100" t="n">
        <v>0</v>
      </c>
      <c r="I210" s="100" t="n">
        <v>0</v>
      </c>
      <c r="J210" s="63"/>
      <c r="K210" s="63"/>
      <c r="L210" s="64"/>
      <c r="M210" s="63"/>
      <c r="N210" s="97" t="s">
        <v>32</v>
      </c>
      <c r="O210" s="98" t="n">
        <f aca="false">O194-O199+O204</f>
        <v>25800</v>
      </c>
      <c r="P210" s="98"/>
      <c r="Q210" s="98"/>
      <c r="R210" s="99" t="s">
        <v>33</v>
      </c>
      <c r="S210" s="100" t="n">
        <v>0</v>
      </c>
      <c r="T210" s="100" t="n">
        <v>0</v>
      </c>
      <c r="U210" s="63"/>
      <c r="V210" s="63"/>
      <c r="W210" s="82"/>
    </row>
    <row r="211" customFormat="false" ht="6" hidden="false" customHeight="true" outlineLevel="0" collapsed="false">
      <c r="A211" s="93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113"/>
      <c r="O211" s="94"/>
      <c r="P211" s="94"/>
      <c r="Q211" s="94"/>
      <c r="R211" s="94"/>
      <c r="S211" s="94"/>
      <c r="T211" s="94"/>
      <c r="U211" s="94"/>
      <c r="V211" s="94"/>
      <c r="W211" s="95"/>
    </row>
    <row r="212" customFormat="false" ht="24.75" hidden="false" customHeight="true" outlineLevel="0" collapsed="false">
      <c r="A212" s="111" t="s">
        <v>212</v>
      </c>
      <c r="B212" s="111"/>
      <c r="C212" s="111"/>
      <c r="D212" s="111"/>
      <c r="E212" s="111"/>
      <c r="F212" s="111"/>
      <c r="G212" s="111"/>
      <c r="H212" s="111"/>
      <c r="I212" s="111"/>
      <c r="J212" s="111"/>
      <c r="K212" s="111"/>
      <c r="L212" s="111"/>
      <c r="M212" s="111"/>
      <c r="N212" s="111"/>
      <c r="O212" s="111"/>
      <c r="P212" s="111"/>
      <c r="Q212" s="111"/>
      <c r="R212" s="111"/>
      <c r="S212" s="111"/>
      <c r="T212" s="111"/>
      <c r="U212" s="111"/>
      <c r="V212" s="111"/>
      <c r="W212" s="111"/>
    </row>
    <row r="213" customFormat="false" ht="15.75" hidden="false" customHeight="true" outlineLevel="0" collapsed="false">
      <c r="A213" s="104" t="s">
        <v>213</v>
      </c>
      <c r="B213" s="104"/>
      <c r="C213" s="104"/>
      <c r="D213" s="104"/>
      <c r="E213" s="104"/>
      <c r="F213" s="104"/>
      <c r="G213" s="104"/>
      <c r="H213" s="104"/>
      <c r="I213" s="104"/>
      <c r="J213" s="104"/>
      <c r="K213" s="104"/>
      <c r="L213" s="104"/>
      <c r="M213" s="104"/>
      <c r="N213" s="104"/>
      <c r="O213" s="104"/>
      <c r="P213" s="104"/>
      <c r="Q213" s="104"/>
      <c r="R213" s="104"/>
      <c r="S213" s="104"/>
      <c r="T213" s="104"/>
      <c r="U213" s="104"/>
      <c r="V213" s="104"/>
      <c r="W213" s="104"/>
    </row>
    <row r="214" customFormat="false" ht="15.75" hidden="false" customHeight="true" outlineLevel="0" collapsed="false">
      <c r="A214" s="104" t="s">
        <v>214</v>
      </c>
      <c r="B214" s="104"/>
      <c r="C214" s="104"/>
      <c r="D214" s="104"/>
      <c r="E214" s="104"/>
      <c r="F214" s="104"/>
      <c r="G214" s="104"/>
      <c r="H214" s="104"/>
      <c r="I214" s="104"/>
      <c r="J214" s="104"/>
      <c r="K214" s="104"/>
      <c r="L214" s="104"/>
      <c r="M214" s="104"/>
      <c r="N214" s="104"/>
      <c r="O214" s="104"/>
      <c r="P214" s="104"/>
      <c r="Q214" s="104"/>
      <c r="R214" s="104"/>
      <c r="S214" s="104"/>
      <c r="T214" s="104"/>
      <c r="U214" s="104"/>
      <c r="V214" s="104"/>
      <c r="W214" s="104"/>
    </row>
    <row r="215" customFormat="false" ht="7.5" hidden="false" customHeight="true" outlineLevel="0" collapsed="false">
      <c r="A215" s="72"/>
      <c r="B215" s="73"/>
      <c r="C215" s="73"/>
      <c r="D215" s="73"/>
      <c r="E215" s="73"/>
      <c r="F215" s="73"/>
      <c r="G215" s="73"/>
      <c r="H215" s="73"/>
      <c r="I215" s="73"/>
      <c r="J215" s="73"/>
      <c r="K215" s="73"/>
      <c r="L215" s="141"/>
      <c r="M215" s="73"/>
      <c r="N215" s="142"/>
      <c r="O215" s="143"/>
      <c r="P215" s="143"/>
      <c r="Q215" s="143"/>
      <c r="R215" s="144"/>
      <c r="S215" s="145"/>
      <c r="T215" s="145"/>
      <c r="U215" s="73"/>
      <c r="V215" s="73"/>
      <c r="W215" s="74"/>
    </row>
    <row r="216" customFormat="false" ht="12" hidden="false" customHeight="false" outlineLevel="0" collapsed="false">
      <c r="A216" s="75" t="n">
        <v>76</v>
      </c>
      <c r="B216" s="63"/>
      <c r="C216" s="64" t="s">
        <v>215</v>
      </c>
      <c r="D216" s="64"/>
      <c r="E216" s="64"/>
      <c r="F216" s="146" t="str">
        <f aca="false">Admin!G2</f>
        <v>2022-23</v>
      </c>
      <c r="G216" s="64" t="s">
        <v>216</v>
      </c>
      <c r="H216" s="64"/>
      <c r="I216" s="64"/>
      <c r="J216" s="63"/>
      <c r="K216" s="64"/>
      <c r="L216" s="75" t="n">
        <v>78</v>
      </c>
      <c r="M216" s="63"/>
      <c r="N216" s="64" t="s">
        <v>217</v>
      </c>
      <c r="O216" s="63"/>
      <c r="P216" s="63"/>
      <c r="Q216" s="63"/>
      <c r="R216" s="63"/>
      <c r="S216" s="63"/>
      <c r="T216" s="63"/>
      <c r="U216" s="63"/>
      <c r="V216" s="63"/>
      <c r="W216" s="82"/>
    </row>
    <row r="217" customFormat="false" ht="12" hidden="false" customHeight="true" outlineLevel="0" collapsed="false">
      <c r="A217" s="106"/>
      <c r="B217" s="63"/>
      <c r="C217" s="64" t="s">
        <v>218</v>
      </c>
      <c r="D217" s="64"/>
      <c r="E217" s="64"/>
      <c r="F217" s="64"/>
      <c r="G217" s="64"/>
      <c r="H217" s="64"/>
      <c r="I217" s="64"/>
      <c r="J217" s="64"/>
      <c r="K217" s="64"/>
      <c r="L217" s="64"/>
      <c r="M217" s="63"/>
      <c r="N217" s="64" t="s">
        <v>112</v>
      </c>
      <c r="O217" s="63"/>
      <c r="P217" s="63"/>
      <c r="Q217" s="63"/>
      <c r="R217" s="63"/>
      <c r="S217" s="63"/>
      <c r="T217" s="63"/>
      <c r="U217" s="63"/>
      <c r="V217" s="63"/>
      <c r="W217" s="82"/>
    </row>
    <row r="218" customFormat="false" ht="6" hidden="false" customHeight="true" outlineLevel="0" collapsed="false">
      <c r="A218" s="106"/>
      <c r="B218" s="63"/>
      <c r="C218" s="64"/>
      <c r="D218" s="64"/>
      <c r="E218" s="64"/>
      <c r="F218" s="64"/>
      <c r="G218" s="64"/>
      <c r="H218" s="64"/>
      <c r="I218" s="64"/>
      <c r="J218" s="64"/>
      <c r="K218" s="64"/>
      <c r="L218" s="64"/>
      <c r="M218" s="63"/>
      <c r="N218" s="63"/>
      <c r="O218" s="63"/>
      <c r="P218" s="63"/>
      <c r="Q218" s="63"/>
      <c r="R218" s="63"/>
      <c r="S218" s="63"/>
      <c r="T218" s="63"/>
      <c r="U218" s="63"/>
      <c r="V218" s="63"/>
      <c r="W218" s="82"/>
    </row>
    <row r="219" customFormat="false" ht="15" hidden="false" customHeight="false" outlineLevel="0" collapsed="false">
      <c r="A219" s="79"/>
      <c r="B219" s="63"/>
      <c r="C219" s="97" t="s">
        <v>32</v>
      </c>
      <c r="D219" s="98" t="n">
        <f aca="false">O179+E197-D201+D210+P190</f>
        <v>0</v>
      </c>
      <c r="E219" s="98"/>
      <c r="F219" s="98"/>
      <c r="G219" s="99" t="s">
        <v>33</v>
      </c>
      <c r="H219" s="100" t="n">
        <v>0</v>
      </c>
      <c r="I219" s="100" t="n">
        <v>0</v>
      </c>
      <c r="J219" s="63"/>
      <c r="K219" s="63"/>
      <c r="L219" s="64"/>
      <c r="M219" s="63"/>
      <c r="N219" s="97" t="s">
        <v>32</v>
      </c>
      <c r="O219" s="98"/>
      <c r="P219" s="98"/>
      <c r="Q219" s="98"/>
      <c r="R219" s="99" t="s">
        <v>33</v>
      </c>
      <c r="S219" s="100" t="n">
        <v>0</v>
      </c>
      <c r="T219" s="100" t="n">
        <v>0</v>
      </c>
      <c r="U219" s="63"/>
      <c r="V219" s="63"/>
      <c r="W219" s="82"/>
    </row>
    <row r="220" customFormat="false" ht="12" hidden="false" customHeight="true" outlineLevel="0" collapsed="false">
      <c r="A220" s="79"/>
      <c r="B220" s="63"/>
      <c r="C220" s="63"/>
      <c r="D220" s="63"/>
      <c r="E220" s="63"/>
      <c r="F220" s="63"/>
      <c r="G220" s="63"/>
      <c r="H220" s="63"/>
      <c r="I220" s="63"/>
      <c r="J220" s="63"/>
      <c r="K220" s="63"/>
      <c r="L220" s="63"/>
      <c r="M220" s="63"/>
      <c r="N220" s="63"/>
      <c r="O220" s="63"/>
      <c r="P220" s="63"/>
      <c r="Q220" s="63"/>
      <c r="R220" s="63"/>
      <c r="S220" s="63"/>
      <c r="T220" s="63"/>
      <c r="U220" s="63"/>
      <c r="V220" s="63"/>
      <c r="W220" s="82"/>
    </row>
    <row r="221" customFormat="false" ht="12" hidden="false" customHeight="false" outlineLevel="0" collapsed="false">
      <c r="A221" s="75" t="n">
        <v>77</v>
      </c>
      <c r="B221" s="63"/>
      <c r="C221" s="64" t="s">
        <v>219</v>
      </c>
      <c r="D221" s="64"/>
      <c r="E221" s="64"/>
      <c r="F221" s="64"/>
      <c r="G221" s="64"/>
      <c r="H221" s="64"/>
      <c r="I221" s="64"/>
      <c r="J221" s="64"/>
      <c r="K221" s="64"/>
      <c r="L221" s="75" t="n">
        <v>79</v>
      </c>
      <c r="M221" s="63"/>
      <c r="N221" s="64" t="s">
        <v>115</v>
      </c>
      <c r="O221" s="63"/>
      <c r="P221" s="63"/>
      <c r="Q221" s="63"/>
      <c r="R221" s="63"/>
      <c r="S221" s="63"/>
      <c r="T221" s="63"/>
      <c r="U221" s="63"/>
      <c r="V221" s="63"/>
      <c r="W221" s="82"/>
    </row>
    <row r="222" customFormat="false" ht="12" hidden="false" customHeight="false" outlineLevel="0" collapsed="false">
      <c r="A222" s="79"/>
      <c r="B222" s="63"/>
      <c r="C222" s="64" t="s">
        <v>107</v>
      </c>
      <c r="D222" s="114" t="str">
        <f aca="false">Admin!G2</f>
        <v>2022-23</v>
      </c>
      <c r="E222" s="114"/>
      <c r="F222" s="114"/>
      <c r="G222" s="63"/>
      <c r="H222" s="63"/>
      <c r="I222" s="63"/>
      <c r="J222" s="63"/>
      <c r="K222" s="63"/>
      <c r="L222" s="63"/>
      <c r="M222" s="63"/>
      <c r="N222" s="90" t="s">
        <v>117</v>
      </c>
      <c r="O222" s="63"/>
      <c r="P222" s="63"/>
      <c r="Q222" s="63"/>
      <c r="R222" s="63"/>
      <c r="S222" s="63"/>
      <c r="T222" s="63"/>
      <c r="U222" s="63"/>
      <c r="V222" s="63"/>
      <c r="W222" s="82"/>
    </row>
    <row r="223" customFormat="false" ht="6" hidden="false" customHeight="true" outlineLevel="0" collapsed="false">
      <c r="A223" s="106"/>
      <c r="B223" s="63"/>
      <c r="C223" s="64"/>
      <c r="D223" s="64"/>
      <c r="E223" s="64"/>
      <c r="F223" s="64"/>
      <c r="G223" s="64"/>
      <c r="H223" s="64"/>
      <c r="I223" s="64"/>
      <c r="J223" s="64"/>
      <c r="K223" s="64"/>
      <c r="L223" s="64"/>
      <c r="M223" s="63"/>
      <c r="N223" s="63"/>
      <c r="O223" s="63"/>
      <c r="P223" s="63"/>
      <c r="Q223" s="63"/>
      <c r="R223" s="63"/>
      <c r="S223" s="63"/>
      <c r="T223" s="63"/>
      <c r="U223" s="63"/>
      <c r="V223" s="63"/>
      <c r="W223" s="82"/>
    </row>
    <row r="224" customFormat="false" ht="15" hidden="false" customHeight="false" outlineLevel="0" collapsed="false">
      <c r="A224" s="79"/>
      <c r="B224" s="63"/>
      <c r="C224" s="97" t="s">
        <v>32</v>
      </c>
      <c r="D224" s="98"/>
      <c r="E224" s="98"/>
      <c r="F224" s="98"/>
      <c r="G224" s="99" t="s">
        <v>33</v>
      </c>
      <c r="H224" s="100" t="n">
        <v>0</v>
      </c>
      <c r="I224" s="100" t="n">
        <v>0</v>
      </c>
      <c r="J224" s="63"/>
      <c r="K224" s="63"/>
      <c r="L224" s="63"/>
      <c r="M224" s="63"/>
      <c r="N224" s="97" t="s">
        <v>32</v>
      </c>
      <c r="O224" s="98" t="n">
        <f aca="false">D219</f>
        <v>0</v>
      </c>
      <c r="P224" s="98"/>
      <c r="Q224" s="98"/>
      <c r="R224" s="99" t="s">
        <v>33</v>
      </c>
      <c r="S224" s="100" t="n">
        <v>0</v>
      </c>
      <c r="T224" s="100" t="n">
        <v>0</v>
      </c>
      <c r="U224" s="63"/>
      <c r="V224" s="63"/>
      <c r="W224" s="82"/>
    </row>
    <row r="225" customFormat="false" ht="7.5" hidden="false" customHeight="true" outlineLevel="0" collapsed="false">
      <c r="A225" s="93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5"/>
    </row>
    <row r="226" customFormat="false" ht="24.75" hidden="false" customHeight="true" outlineLevel="0" collapsed="false">
      <c r="A226" s="147" t="s">
        <v>220</v>
      </c>
      <c r="B226" s="147"/>
      <c r="C226" s="147"/>
      <c r="D226" s="147"/>
      <c r="E226" s="147"/>
      <c r="F226" s="147"/>
      <c r="G226" s="147"/>
      <c r="H226" s="147"/>
      <c r="I226" s="147"/>
      <c r="J226" s="147"/>
      <c r="K226" s="147"/>
      <c r="L226" s="147"/>
      <c r="M226" s="147"/>
      <c r="N226" s="147"/>
      <c r="O226" s="147"/>
      <c r="P226" s="147"/>
      <c r="Q226" s="147"/>
      <c r="R226" s="147"/>
      <c r="S226" s="147"/>
      <c r="T226" s="147"/>
      <c r="U226" s="147"/>
      <c r="V226" s="147"/>
      <c r="W226" s="147"/>
    </row>
    <row r="227" customFormat="false" ht="7.5" hidden="false" customHeight="true" outlineLevel="0" collapsed="false">
      <c r="A227" s="72"/>
      <c r="B227" s="73"/>
      <c r="C227" s="73"/>
      <c r="D227" s="73"/>
      <c r="E227" s="73"/>
      <c r="F227" s="73"/>
      <c r="G227" s="73"/>
      <c r="H227" s="73"/>
      <c r="I227" s="73"/>
      <c r="J227" s="73"/>
      <c r="K227" s="73"/>
      <c r="L227" s="141"/>
      <c r="M227" s="73"/>
      <c r="N227" s="142"/>
      <c r="O227" s="143"/>
      <c r="P227" s="143"/>
      <c r="Q227" s="143"/>
      <c r="R227" s="144"/>
      <c r="S227" s="145"/>
      <c r="T227" s="145"/>
      <c r="U227" s="73"/>
      <c r="V227" s="73"/>
      <c r="W227" s="74"/>
    </row>
    <row r="228" customFormat="false" ht="12" hidden="false" customHeight="false" outlineLevel="0" collapsed="false">
      <c r="A228" s="75" t="n">
        <v>80</v>
      </c>
      <c r="B228" s="63"/>
      <c r="C228" s="64" t="s">
        <v>116</v>
      </c>
      <c r="D228" s="64"/>
      <c r="E228" s="64"/>
      <c r="F228" s="64"/>
      <c r="G228" s="64"/>
      <c r="H228" s="64"/>
      <c r="I228" s="64"/>
      <c r="J228" s="64"/>
      <c r="K228" s="64"/>
      <c r="L228" s="75" t="n">
        <v>81</v>
      </c>
      <c r="M228" s="63"/>
      <c r="N228" s="64" t="s">
        <v>221</v>
      </c>
      <c r="O228" s="63"/>
      <c r="P228" s="63"/>
      <c r="Q228" s="63"/>
      <c r="R228" s="63"/>
      <c r="S228" s="63"/>
      <c r="T228" s="63"/>
      <c r="U228" s="63"/>
      <c r="V228" s="63"/>
      <c r="W228" s="82"/>
    </row>
    <row r="229" customFormat="false" ht="12" hidden="false" customHeight="true" outlineLevel="0" collapsed="false">
      <c r="A229" s="106"/>
      <c r="B229" s="63"/>
      <c r="C229" s="64" t="s">
        <v>222</v>
      </c>
      <c r="D229" s="64"/>
      <c r="E229" s="64"/>
      <c r="F229" s="64"/>
      <c r="G229" s="64"/>
      <c r="H229" s="64"/>
      <c r="I229" s="64"/>
      <c r="J229" s="64"/>
      <c r="K229" s="64"/>
      <c r="L229" s="64"/>
      <c r="M229" s="63"/>
      <c r="N229" s="64"/>
      <c r="O229" s="63"/>
      <c r="P229" s="63"/>
      <c r="Q229" s="63"/>
      <c r="R229" s="63"/>
      <c r="S229" s="63"/>
      <c r="T229" s="63"/>
      <c r="U229" s="63"/>
      <c r="V229" s="63"/>
      <c r="W229" s="82"/>
    </row>
    <row r="230" customFormat="false" ht="6" hidden="false" customHeight="true" outlineLevel="0" collapsed="false">
      <c r="A230" s="106"/>
      <c r="B230" s="63"/>
      <c r="C230" s="64"/>
      <c r="D230" s="64"/>
      <c r="E230" s="64"/>
      <c r="F230" s="64"/>
      <c r="G230" s="64"/>
      <c r="H230" s="64"/>
      <c r="I230" s="64"/>
      <c r="J230" s="64"/>
      <c r="K230" s="64"/>
      <c r="L230" s="64"/>
      <c r="M230" s="63"/>
      <c r="N230" s="63"/>
      <c r="O230" s="63"/>
      <c r="P230" s="63"/>
      <c r="Q230" s="63"/>
      <c r="R230" s="63"/>
      <c r="S230" s="63"/>
      <c r="T230" s="63"/>
      <c r="U230" s="63"/>
      <c r="V230" s="63"/>
      <c r="W230" s="82"/>
    </row>
    <row r="231" customFormat="false" ht="15" hidden="false" customHeight="false" outlineLevel="0" collapsed="false">
      <c r="A231" s="79"/>
      <c r="B231" s="63"/>
      <c r="C231" s="97" t="s">
        <v>32</v>
      </c>
      <c r="D231" s="98" t="n">
        <f aca="false">[2]Mar!$X$1</f>
        <v>0</v>
      </c>
      <c r="E231" s="98"/>
      <c r="F231" s="98"/>
      <c r="G231" s="99" t="s">
        <v>33</v>
      </c>
      <c r="H231" s="100" t="n">
        <v>0</v>
      </c>
      <c r="I231" s="100" t="n">
        <v>0</v>
      </c>
      <c r="J231" s="63"/>
      <c r="K231" s="63"/>
      <c r="L231" s="64"/>
      <c r="M231" s="63"/>
      <c r="N231" s="97" t="s">
        <v>32</v>
      </c>
      <c r="O231" s="98"/>
      <c r="P231" s="98"/>
      <c r="Q231" s="98"/>
      <c r="R231" s="99" t="s">
        <v>33</v>
      </c>
      <c r="S231" s="100" t="n">
        <v>0</v>
      </c>
      <c r="T231" s="100" t="n">
        <v>0</v>
      </c>
      <c r="U231" s="63"/>
      <c r="V231" s="63"/>
      <c r="W231" s="82"/>
    </row>
    <row r="232" customFormat="false" ht="7.5" hidden="false" customHeight="true" outlineLevel="0" collapsed="false">
      <c r="A232" s="93"/>
      <c r="B232" s="94"/>
      <c r="C232" s="94"/>
      <c r="D232" s="94"/>
      <c r="E232" s="94"/>
      <c r="F232" s="94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5"/>
    </row>
    <row r="233" customFormat="false" ht="24.75" hidden="false" customHeight="true" outlineLevel="0" collapsed="false">
      <c r="A233" s="103" t="s">
        <v>223</v>
      </c>
      <c r="B233" s="103"/>
      <c r="C233" s="103"/>
      <c r="D233" s="103"/>
      <c r="E233" s="103"/>
      <c r="F233" s="103"/>
      <c r="G233" s="103"/>
      <c r="H233" s="103"/>
      <c r="I233" s="103"/>
      <c r="J233" s="103"/>
      <c r="K233" s="103"/>
      <c r="L233" s="103"/>
      <c r="M233" s="103"/>
      <c r="N233" s="103"/>
      <c r="O233" s="103"/>
      <c r="P233" s="103"/>
      <c r="Q233" s="103"/>
      <c r="R233" s="103"/>
      <c r="S233" s="103"/>
      <c r="T233" s="103"/>
      <c r="U233" s="103"/>
      <c r="V233" s="103"/>
      <c r="W233" s="103"/>
    </row>
    <row r="234" customFormat="false" ht="15.75" hidden="false" customHeight="true" outlineLevel="0" collapsed="false">
      <c r="A234" s="104" t="s">
        <v>224</v>
      </c>
      <c r="B234" s="104"/>
      <c r="C234" s="104"/>
      <c r="D234" s="104"/>
      <c r="E234" s="104"/>
      <c r="F234" s="104"/>
      <c r="G234" s="104"/>
      <c r="H234" s="104"/>
      <c r="I234" s="104"/>
      <c r="J234" s="104"/>
      <c r="K234" s="104"/>
      <c r="L234" s="104"/>
      <c r="M234" s="104"/>
      <c r="N234" s="104"/>
      <c r="O234" s="104"/>
      <c r="P234" s="104"/>
      <c r="Q234" s="104"/>
      <c r="R234" s="104"/>
      <c r="S234" s="104"/>
      <c r="T234" s="104"/>
      <c r="U234" s="104"/>
      <c r="V234" s="104"/>
      <c r="W234" s="104"/>
    </row>
    <row r="235" customFormat="false" ht="15.75" hidden="false" customHeight="true" outlineLevel="0" collapsed="false">
      <c r="A235" s="104" t="s">
        <v>225</v>
      </c>
      <c r="B235" s="104"/>
      <c r="C235" s="104"/>
      <c r="D235" s="104"/>
      <c r="E235" s="104"/>
      <c r="F235" s="104"/>
      <c r="G235" s="104"/>
      <c r="H235" s="104"/>
      <c r="I235" s="104"/>
      <c r="J235" s="104"/>
      <c r="K235" s="104"/>
      <c r="L235" s="104"/>
      <c r="M235" s="104"/>
      <c r="N235" s="104"/>
      <c r="O235" s="104"/>
      <c r="P235" s="104"/>
      <c r="Q235" s="104"/>
      <c r="R235" s="104"/>
      <c r="S235" s="104"/>
      <c r="T235" s="104"/>
      <c r="U235" s="104"/>
      <c r="V235" s="104"/>
      <c r="W235" s="104"/>
    </row>
    <row r="236" customFormat="false" ht="12" hidden="false" customHeight="false" outlineLevel="0" collapsed="false">
      <c r="A236" s="72"/>
      <c r="B236" s="73"/>
      <c r="C236" s="73"/>
      <c r="D236" s="73"/>
      <c r="E236" s="73"/>
      <c r="F236" s="73"/>
      <c r="G236" s="73"/>
      <c r="H236" s="73"/>
      <c r="I236" s="73"/>
      <c r="J236" s="73"/>
      <c r="K236" s="73"/>
      <c r="L236" s="73"/>
      <c r="M236" s="73"/>
      <c r="N236" s="73"/>
      <c r="O236" s="73"/>
      <c r="P236" s="73"/>
      <c r="Q236" s="73"/>
      <c r="R236" s="73"/>
      <c r="S236" s="73"/>
      <c r="T236" s="73"/>
      <c r="U236" s="73"/>
      <c r="V236" s="73"/>
      <c r="W236" s="74"/>
    </row>
    <row r="237" customFormat="false" ht="13.5" hidden="false" customHeight="false" outlineLevel="0" collapsed="false">
      <c r="A237" s="79"/>
      <c r="B237" s="63"/>
      <c r="C237" s="129" t="s">
        <v>226</v>
      </c>
      <c r="D237" s="63"/>
      <c r="E237" s="63"/>
      <c r="F237" s="63"/>
      <c r="G237" s="63"/>
      <c r="H237" s="63"/>
      <c r="I237" s="63"/>
      <c r="J237" s="63"/>
      <c r="K237" s="63"/>
      <c r="L237" s="63"/>
      <c r="M237" s="63"/>
      <c r="N237" s="129" t="s">
        <v>227</v>
      </c>
      <c r="O237" s="63"/>
      <c r="P237" s="63"/>
      <c r="Q237" s="63"/>
      <c r="R237" s="63"/>
      <c r="S237" s="63"/>
      <c r="T237" s="63"/>
      <c r="U237" s="63"/>
      <c r="V237" s="63"/>
      <c r="W237" s="82"/>
    </row>
    <row r="238" customFormat="false" ht="9.75" hidden="false" customHeight="true" outlineLevel="0" collapsed="false">
      <c r="A238" s="79"/>
      <c r="B238" s="63"/>
      <c r="C238" s="63"/>
      <c r="D238" s="63"/>
      <c r="E238" s="63"/>
      <c r="F238" s="63"/>
      <c r="G238" s="63"/>
      <c r="H238" s="63"/>
      <c r="I238" s="63"/>
      <c r="J238" s="63"/>
      <c r="K238" s="63"/>
      <c r="L238" s="63"/>
      <c r="M238" s="63"/>
      <c r="N238" s="63"/>
      <c r="O238" s="63"/>
      <c r="P238" s="63"/>
      <c r="Q238" s="63"/>
      <c r="R238" s="63"/>
      <c r="S238" s="63"/>
      <c r="T238" s="63"/>
      <c r="U238" s="63"/>
      <c r="V238" s="63"/>
      <c r="W238" s="82"/>
    </row>
    <row r="239" customFormat="false" ht="12" hidden="false" customHeight="false" outlineLevel="0" collapsed="false">
      <c r="A239" s="75" t="n">
        <v>82</v>
      </c>
      <c r="B239" s="63"/>
      <c r="C239" s="64" t="s">
        <v>228</v>
      </c>
      <c r="D239" s="64"/>
      <c r="E239" s="64"/>
      <c r="F239" s="64"/>
      <c r="G239" s="64"/>
      <c r="H239" s="64"/>
      <c r="I239" s="64"/>
      <c r="J239" s="64"/>
      <c r="K239" s="64"/>
      <c r="L239" s="75" t="n">
        <v>90</v>
      </c>
      <c r="M239" s="63"/>
      <c r="N239" s="64" t="s">
        <v>229</v>
      </c>
      <c r="O239" s="63"/>
      <c r="P239" s="63"/>
      <c r="Q239" s="63"/>
      <c r="R239" s="63"/>
      <c r="S239" s="63"/>
      <c r="T239" s="63"/>
      <c r="U239" s="63"/>
      <c r="V239" s="63"/>
      <c r="W239" s="82"/>
    </row>
    <row r="240" customFormat="false" ht="6" hidden="false" customHeight="true" outlineLevel="0" collapsed="false">
      <c r="A240" s="106"/>
      <c r="B240" s="63"/>
      <c r="C240" s="64"/>
      <c r="D240" s="64"/>
      <c r="E240" s="64"/>
      <c r="F240" s="64"/>
      <c r="G240" s="64"/>
      <c r="H240" s="64"/>
      <c r="I240" s="64"/>
      <c r="J240" s="64"/>
      <c r="K240" s="64"/>
      <c r="L240" s="64"/>
      <c r="M240" s="63"/>
      <c r="N240" s="63"/>
      <c r="O240" s="63"/>
      <c r="P240" s="63"/>
      <c r="Q240" s="63"/>
      <c r="R240" s="63"/>
      <c r="S240" s="63"/>
      <c r="T240" s="63"/>
      <c r="U240" s="63"/>
      <c r="V240" s="63"/>
      <c r="W240" s="82"/>
    </row>
    <row r="241" customFormat="false" ht="15" hidden="false" customHeight="false" outlineLevel="0" collapsed="false">
      <c r="A241" s="79"/>
      <c r="B241" s="63"/>
      <c r="C241" s="97" t="s">
        <v>32</v>
      </c>
      <c r="D241" s="98"/>
      <c r="E241" s="98"/>
      <c r="F241" s="98"/>
      <c r="G241" s="99" t="s">
        <v>33</v>
      </c>
      <c r="H241" s="100" t="n">
        <v>0</v>
      </c>
      <c r="I241" s="100" t="n">
        <v>0</v>
      </c>
      <c r="J241" s="63"/>
      <c r="K241" s="63"/>
      <c r="L241" s="63"/>
      <c r="M241" s="63"/>
      <c r="N241" s="97" t="s">
        <v>32</v>
      </c>
      <c r="O241" s="98"/>
      <c r="P241" s="98"/>
      <c r="Q241" s="98"/>
      <c r="R241" s="99" t="s">
        <v>33</v>
      </c>
      <c r="S241" s="100" t="n">
        <v>0</v>
      </c>
      <c r="T241" s="100" t="n">
        <v>0</v>
      </c>
      <c r="U241" s="63"/>
      <c r="V241" s="63"/>
      <c r="W241" s="82"/>
    </row>
    <row r="242" customFormat="false" ht="12" hidden="false" customHeight="false" outlineLevel="0" collapsed="false">
      <c r="A242" s="79"/>
      <c r="B242" s="63"/>
      <c r="C242" s="63"/>
      <c r="D242" s="63"/>
      <c r="E242" s="63"/>
      <c r="F242" s="63"/>
      <c r="G242" s="63"/>
      <c r="H242" s="63"/>
      <c r="I242" s="63"/>
      <c r="J242" s="63"/>
      <c r="K242" s="63"/>
      <c r="L242" s="63"/>
      <c r="M242" s="63"/>
      <c r="N242" s="63"/>
      <c r="O242" s="63"/>
      <c r="P242" s="63"/>
      <c r="Q242" s="63"/>
      <c r="R242" s="63"/>
      <c r="S242" s="63"/>
      <c r="T242" s="63"/>
      <c r="U242" s="63"/>
      <c r="V242" s="63"/>
      <c r="W242" s="82"/>
    </row>
    <row r="243" customFormat="false" ht="12" hidden="false" customHeight="false" outlineLevel="0" collapsed="false">
      <c r="A243" s="75" t="n">
        <v>83</v>
      </c>
      <c r="B243" s="63"/>
      <c r="C243" s="64" t="s">
        <v>230</v>
      </c>
      <c r="D243" s="64"/>
      <c r="E243" s="64"/>
      <c r="F243" s="64"/>
      <c r="G243" s="64"/>
      <c r="H243" s="64"/>
      <c r="I243" s="64"/>
      <c r="J243" s="64"/>
      <c r="K243" s="64"/>
      <c r="L243" s="75" t="n">
        <v>91</v>
      </c>
      <c r="M243" s="63"/>
      <c r="N243" s="64" t="s">
        <v>231</v>
      </c>
      <c r="O243" s="63"/>
      <c r="P243" s="63"/>
      <c r="Q243" s="63"/>
      <c r="R243" s="63"/>
      <c r="S243" s="63"/>
      <c r="T243" s="63"/>
      <c r="U243" s="63"/>
      <c r="V243" s="63"/>
      <c r="W243" s="82"/>
    </row>
    <row r="244" customFormat="false" ht="6" hidden="false" customHeight="true" outlineLevel="0" collapsed="false">
      <c r="A244" s="106"/>
      <c r="B244" s="63"/>
      <c r="C244" s="64"/>
      <c r="D244" s="64"/>
      <c r="E244" s="64"/>
      <c r="F244" s="64"/>
      <c r="G244" s="64"/>
      <c r="H244" s="64"/>
      <c r="I244" s="64"/>
      <c r="J244" s="64"/>
      <c r="K244" s="64"/>
      <c r="L244" s="64"/>
      <c r="M244" s="63"/>
      <c r="N244" s="63"/>
      <c r="O244" s="63"/>
      <c r="P244" s="63"/>
      <c r="Q244" s="63"/>
      <c r="R244" s="63"/>
      <c r="S244" s="63"/>
      <c r="T244" s="63"/>
      <c r="U244" s="63"/>
      <c r="V244" s="63"/>
      <c r="W244" s="82"/>
    </row>
    <row r="245" customFormat="false" ht="15" hidden="false" customHeight="false" outlineLevel="0" collapsed="false">
      <c r="A245" s="79"/>
      <c r="B245" s="63"/>
      <c r="C245" s="97" t="s">
        <v>32</v>
      </c>
      <c r="D245" s="98"/>
      <c r="E245" s="98"/>
      <c r="F245" s="98"/>
      <c r="G245" s="99" t="s">
        <v>33</v>
      </c>
      <c r="H245" s="100" t="n">
        <v>0</v>
      </c>
      <c r="I245" s="100" t="n">
        <v>0</v>
      </c>
      <c r="J245" s="63"/>
      <c r="K245" s="63"/>
      <c r="L245" s="63"/>
      <c r="M245" s="63"/>
      <c r="N245" s="97" t="s">
        <v>32</v>
      </c>
      <c r="O245" s="98"/>
      <c r="P245" s="98"/>
      <c r="Q245" s="98"/>
      <c r="R245" s="99" t="s">
        <v>33</v>
      </c>
      <c r="S245" s="100" t="n">
        <v>0</v>
      </c>
      <c r="T245" s="100" t="n">
        <v>0</v>
      </c>
      <c r="U245" s="63"/>
      <c r="V245" s="63"/>
      <c r="W245" s="82"/>
    </row>
    <row r="246" customFormat="false" ht="12" hidden="false" customHeight="false" outlineLevel="0" collapsed="false">
      <c r="A246" s="79"/>
      <c r="B246" s="63"/>
      <c r="C246" s="63"/>
      <c r="D246" s="63"/>
      <c r="E246" s="63"/>
      <c r="F246" s="63"/>
      <c r="G246" s="63"/>
      <c r="H246" s="63"/>
      <c r="I246" s="63"/>
      <c r="J246" s="63"/>
      <c r="K246" s="63"/>
      <c r="L246" s="63"/>
      <c r="M246" s="63"/>
      <c r="N246" s="63"/>
      <c r="O246" s="63"/>
      <c r="P246" s="63"/>
      <c r="Q246" s="63"/>
      <c r="R246" s="63"/>
      <c r="S246" s="63"/>
      <c r="T246" s="63"/>
      <c r="U246" s="63"/>
      <c r="V246" s="63"/>
      <c r="W246" s="82"/>
    </row>
    <row r="247" customFormat="false" ht="12" hidden="false" customHeight="false" outlineLevel="0" collapsed="false">
      <c r="A247" s="75" t="n">
        <v>84</v>
      </c>
      <c r="B247" s="63"/>
      <c r="C247" s="64" t="s">
        <v>232</v>
      </c>
      <c r="D247" s="64"/>
      <c r="E247" s="64"/>
      <c r="F247" s="64"/>
      <c r="G247" s="64"/>
      <c r="H247" s="64"/>
      <c r="I247" s="64"/>
      <c r="J247" s="64"/>
      <c r="K247" s="64"/>
      <c r="L247" s="75" t="n">
        <v>92</v>
      </c>
      <c r="M247" s="63"/>
      <c r="N247" s="64" t="s">
        <v>233</v>
      </c>
      <c r="O247" s="63"/>
      <c r="P247" s="63"/>
      <c r="Q247" s="63"/>
      <c r="R247" s="63"/>
      <c r="S247" s="63"/>
      <c r="T247" s="63"/>
      <c r="U247" s="63"/>
      <c r="V247" s="63"/>
      <c r="W247" s="82"/>
    </row>
    <row r="248" customFormat="false" ht="6" hidden="false" customHeight="true" outlineLevel="0" collapsed="false">
      <c r="A248" s="106"/>
      <c r="B248" s="63"/>
      <c r="C248" s="64"/>
      <c r="D248" s="64"/>
      <c r="E248" s="64"/>
      <c r="F248" s="64"/>
      <c r="G248" s="64"/>
      <c r="H248" s="64"/>
      <c r="I248" s="64"/>
      <c r="J248" s="64"/>
      <c r="K248" s="64"/>
      <c r="L248" s="64"/>
      <c r="M248" s="63"/>
      <c r="N248" s="63"/>
      <c r="O248" s="63"/>
      <c r="P248" s="63"/>
      <c r="Q248" s="63"/>
      <c r="R248" s="63"/>
      <c r="S248" s="63"/>
      <c r="T248" s="63"/>
      <c r="U248" s="63"/>
      <c r="V248" s="63"/>
      <c r="W248" s="82"/>
    </row>
    <row r="249" customFormat="false" ht="15" hidden="false" customHeight="false" outlineLevel="0" collapsed="false">
      <c r="A249" s="79"/>
      <c r="B249" s="63"/>
      <c r="C249" s="97" t="s">
        <v>32</v>
      </c>
      <c r="D249" s="98"/>
      <c r="E249" s="98"/>
      <c r="F249" s="98"/>
      <c r="G249" s="99" t="s">
        <v>33</v>
      </c>
      <c r="H249" s="100" t="n">
        <v>0</v>
      </c>
      <c r="I249" s="100" t="n">
        <v>0</v>
      </c>
      <c r="J249" s="63"/>
      <c r="K249" s="63"/>
      <c r="L249" s="63"/>
      <c r="M249" s="63"/>
      <c r="N249" s="97" t="s">
        <v>32</v>
      </c>
      <c r="O249" s="98"/>
      <c r="P249" s="98"/>
      <c r="Q249" s="98"/>
      <c r="R249" s="99" t="s">
        <v>33</v>
      </c>
      <c r="S249" s="100" t="n">
        <v>0</v>
      </c>
      <c r="T249" s="100" t="n">
        <v>0</v>
      </c>
      <c r="U249" s="63"/>
      <c r="V249" s="63"/>
      <c r="W249" s="82"/>
    </row>
    <row r="250" customFormat="false" ht="12" hidden="false" customHeight="true" outlineLevel="0" collapsed="false">
      <c r="A250" s="79"/>
      <c r="B250" s="63"/>
      <c r="C250" s="63"/>
      <c r="D250" s="63"/>
      <c r="E250" s="63"/>
      <c r="F250" s="63"/>
      <c r="G250" s="63"/>
      <c r="H250" s="63"/>
      <c r="I250" s="63"/>
      <c r="J250" s="63"/>
      <c r="K250" s="63"/>
      <c r="L250" s="63"/>
      <c r="M250" s="63"/>
      <c r="N250" s="116"/>
      <c r="O250" s="112"/>
      <c r="P250" s="112"/>
      <c r="Q250" s="112"/>
      <c r="R250" s="99"/>
      <c r="S250" s="102"/>
      <c r="T250" s="102"/>
      <c r="U250" s="63"/>
      <c r="V250" s="63"/>
      <c r="W250" s="82"/>
    </row>
    <row r="251" customFormat="false" ht="15" hidden="false" customHeight="false" outlineLevel="0" collapsed="false">
      <c r="A251" s="75" t="n">
        <v>85</v>
      </c>
      <c r="B251" s="63"/>
      <c r="C251" s="64" t="s">
        <v>234</v>
      </c>
      <c r="D251" s="64"/>
      <c r="E251" s="64"/>
      <c r="F251" s="64"/>
      <c r="G251" s="64"/>
      <c r="H251" s="64"/>
      <c r="I251" s="64"/>
      <c r="J251" s="64"/>
      <c r="K251" s="64"/>
      <c r="L251" s="63"/>
      <c r="M251" s="63"/>
      <c r="N251" s="129" t="s">
        <v>235</v>
      </c>
      <c r="O251" s="112"/>
      <c r="P251" s="112"/>
      <c r="Q251" s="112"/>
      <c r="R251" s="99"/>
      <c r="S251" s="102"/>
      <c r="T251" s="102"/>
      <c r="U251" s="63"/>
      <c r="V251" s="63"/>
      <c r="W251" s="82"/>
    </row>
    <row r="252" customFormat="false" ht="6" hidden="false" customHeight="true" outlineLevel="0" collapsed="false">
      <c r="A252" s="106"/>
      <c r="B252" s="63"/>
      <c r="C252" s="64"/>
      <c r="D252" s="64"/>
      <c r="E252" s="64"/>
      <c r="F252" s="64"/>
      <c r="G252" s="64"/>
      <c r="H252" s="64"/>
      <c r="I252" s="64"/>
      <c r="J252" s="64"/>
      <c r="K252" s="64"/>
      <c r="L252" s="63"/>
      <c r="M252" s="63"/>
      <c r="N252" s="63"/>
      <c r="O252" s="63"/>
      <c r="P252" s="63"/>
      <c r="Q252" s="63"/>
      <c r="R252" s="63"/>
      <c r="S252" s="63"/>
      <c r="T252" s="63"/>
      <c r="U252" s="63"/>
      <c r="V252" s="63"/>
      <c r="W252" s="82"/>
    </row>
    <row r="253" customFormat="false" ht="15" hidden="false" customHeight="false" outlineLevel="0" collapsed="false">
      <c r="A253" s="79"/>
      <c r="B253" s="63"/>
      <c r="C253" s="97" t="s">
        <v>32</v>
      </c>
      <c r="D253" s="98"/>
      <c r="E253" s="98"/>
      <c r="F253" s="98"/>
      <c r="G253" s="99" t="s">
        <v>33</v>
      </c>
      <c r="H253" s="100" t="n">
        <v>0</v>
      </c>
      <c r="I253" s="100" t="n">
        <v>0</v>
      </c>
      <c r="J253" s="63"/>
      <c r="K253" s="63"/>
      <c r="L253" s="75" t="n">
        <v>93</v>
      </c>
      <c r="M253" s="63"/>
      <c r="N253" s="64" t="s">
        <v>236</v>
      </c>
      <c r="O253" s="63"/>
      <c r="P253" s="63"/>
      <c r="Q253" s="63"/>
      <c r="R253" s="63"/>
      <c r="S253" s="63"/>
      <c r="T253" s="63"/>
      <c r="U253" s="63"/>
      <c r="V253" s="63"/>
      <c r="W253" s="82"/>
    </row>
    <row r="254" customFormat="false" ht="12" hidden="false" customHeight="false" outlineLevel="0" collapsed="false">
      <c r="A254" s="79"/>
      <c r="B254" s="63"/>
      <c r="C254" s="63"/>
      <c r="D254" s="63"/>
      <c r="E254" s="63"/>
      <c r="F254" s="63"/>
      <c r="G254" s="63"/>
      <c r="H254" s="63"/>
      <c r="I254" s="63"/>
      <c r="J254" s="63"/>
      <c r="K254" s="63"/>
      <c r="L254" s="64"/>
      <c r="M254" s="63"/>
      <c r="N254" s="63"/>
      <c r="O254" s="63"/>
      <c r="P254" s="63"/>
      <c r="Q254" s="63"/>
      <c r="R254" s="63"/>
      <c r="S254" s="63"/>
      <c r="T254" s="63"/>
      <c r="U254" s="63"/>
      <c r="V254" s="63"/>
      <c r="W254" s="82"/>
    </row>
    <row r="255" customFormat="false" ht="15" hidden="false" customHeight="false" outlineLevel="0" collapsed="false">
      <c r="A255" s="75" t="n">
        <v>86</v>
      </c>
      <c r="B255" s="63"/>
      <c r="C255" s="64" t="s">
        <v>237</v>
      </c>
      <c r="D255" s="64"/>
      <c r="E255" s="64"/>
      <c r="F255" s="64"/>
      <c r="G255" s="64"/>
      <c r="H255" s="64"/>
      <c r="I255" s="64"/>
      <c r="J255" s="64"/>
      <c r="K255" s="64"/>
      <c r="L255" s="63"/>
      <c r="M255" s="63"/>
      <c r="N255" s="148" t="s">
        <v>32</v>
      </c>
      <c r="O255" s="149" t="s">
        <v>192</v>
      </c>
      <c r="P255" s="98"/>
      <c r="Q255" s="98"/>
      <c r="R255" s="98"/>
      <c r="S255" s="99" t="s">
        <v>33</v>
      </c>
      <c r="T255" s="100" t="n">
        <v>0</v>
      </c>
      <c r="U255" s="100" t="n">
        <v>0</v>
      </c>
      <c r="V255" s="63"/>
      <c r="W255" s="82"/>
    </row>
    <row r="256" customFormat="false" ht="6" hidden="false" customHeight="true" outlineLevel="0" collapsed="false">
      <c r="A256" s="106"/>
      <c r="B256" s="63"/>
      <c r="C256" s="64"/>
      <c r="D256" s="64"/>
      <c r="E256" s="64"/>
      <c r="F256" s="64"/>
      <c r="G256" s="64"/>
      <c r="H256" s="64"/>
      <c r="I256" s="64"/>
      <c r="J256" s="64"/>
      <c r="K256" s="64"/>
      <c r="L256" s="64"/>
      <c r="M256" s="63"/>
      <c r="N256" s="63"/>
      <c r="O256" s="63"/>
      <c r="P256" s="63"/>
      <c r="Q256" s="63"/>
      <c r="R256" s="63"/>
      <c r="S256" s="63"/>
      <c r="T256" s="63"/>
      <c r="U256" s="63"/>
      <c r="V256" s="63"/>
      <c r="W256" s="82"/>
    </row>
    <row r="257" customFormat="false" ht="15" hidden="false" customHeight="false" outlineLevel="0" collapsed="false">
      <c r="A257" s="79"/>
      <c r="B257" s="63"/>
      <c r="C257" s="97" t="s">
        <v>32</v>
      </c>
      <c r="D257" s="98"/>
      <c r="E257" s="98"/>
      <c r="F257" s="98"/>
      <c r="G257" s="99" t="s">
        <v>33</v>
      </c>
      <c r="H257" s="100" t="n">
        <v>0</v>
      </c>
      <c r="I257" s="100" t="n">
        <v>0</v>
      </c>
      <c r="J257" s="63"/>
      <c r="K257" s="63"/>
      <c r="L257" s="63"/>
      <c r="M257" s="63"/>
      <c r="N257" s="129" t="s">
        <v>238</v>
      </c>
      <c r="O257" s="63"/>
      <c r="P257" s="63"/>
      <c r="Q257" s="63"/>
      <c r="R257" s="63"/>
      <c r="S257" s="63"/>
      <c r="T257" s="63"/>
      <c r="U257" s="63"/>
      <c r="V257" s="63"/>
      <c r="W257" s="82"/>
    </row>
    <row r="258" customFormat="false" ht="12" hidden="false" customHeight="false" outlineLevel="0" collapsed="false">
      <c r="A258" s="79"/>
      <c r="B258" s="63"/>
      <c r="C258" s="63"/>
      <c r="D258" s="63"/>
      <c r="E258" s="63"/>
      <c r="F258" s="63"/>
      <c r="G258" s="63"/>
      <c r="H258" s="63"/>
      <c r="I258" s="63"/>
      <c r="J258" s="63"/>
      <c r="K258" s="63"/>
      <c r="L258" s="63"/>
      <c r="M258" s="63"/>
      <c r="N258" s="63"/>
      <c r="O258" s="63"/>
      <c r="P258" s="63"/>
      <c r="Q258" s="63"/>
      <c r="R258" s="63"/>
      <c r="S258" s="63"/>
      <c r="T258" s="63"/>
      <c r="U258" s="63"/>
      <c r="V258" s="63"/>
      <c r="W258" s="82"/>
    </row>
    <row r="259" customFormat="false" ht="12" hidden="false" customHeight="false" outlineLevel="0" collapsed="false">
      <c r="A259" s="75" t="n">
        <v>87</v>
      </c>
      <c r="B259" s="63"/>
      <c r="C259" s="64" t="s">
        <v>239</v>
      </c>
      <c r="D259" s="64"/>
      <c r="E259" s="64"/>
      <c r="F259" s="64"/>
      <c r="G259" s="64"/>
      <c r="H259" s="64"/>
      <c r="I259" s="64"/>
      <c r="J259" s="64"/>
      <c r="K259" s="64"/>
      <c r="L259" s="75" t="n">
        <v>94</v>
      </c>
      <c r="M259" s="63"/>
      <c r="N259" s="64" t="s">
        <v>240</v>
      </c>
      <c r="O259" s="63"/>
      <c r="P259" s="63"/>
      <c r="Q259" s="63"/>
      <c r="R259" s="63"/>
      <c r="S259" s="63"/>
      <c r="T259" s="63"/>
      <c r="U259" s="63"/>
      <c r="V259" s="63"/>
      <c r="W259" s="82"/>
    </row>
    <row r="260" customFormat="false" ht="6" hidden="false" customHeight="true" outlineLevel="0" collapsed="false">
      <c r="A260" s="106"/>
      <c r="B260" s="63"/>
      <c r="C260" s="64"/>
      <c r="D260" s="64"/>
      <c r="E260" s="64"/>
      <c r="F260" s="64"/>
      <c r="G260" s="64"/>
      <c r="H260" s="64"/>
      <c r="I260" s="64"/>
      <c r="J260" s="64"/>
      <c r="K260" s="64"/>
      <c r="L260" s="64"/>
      <c r="M260" s="63"/>
      <c r="N260" s="63"/>
      <c r="O260" s="63"/>
      <c r="P260" s="63"/>
      <c r="Q260" s="63"/>
      <c r="R260" s="63"/>
      <c r="S260" s="63"/>
      <c r="T260" s="63"/>
      <c r="U260" s="63"/>
      <c r="V260" s="63"/>
      <c r="W260" s="82"/>
    </row>
    <row r="261" customFormat="false" ht="15" hidden="false" customHeight="false" outlineLevel="0" collapsed="false">
      <c r="A261" s="79"/>
      <c r="B261" s="63"/>
      <c r="C261" s="97" t="s">
        <v>32</v>
      </c>
      <c r="D261" s="98"/>
      <c r="E261" s="98"/>
      <c r="F261" s="98"/>
      <c r="G261" s="99" t="s">
        <v>33</v>
      </c>
      <c r="H261" s="100" t="n">
        <v>0</v>
      </c>
      <c r="I261" s="100" t="n">
        <v>0</v>
      </c>
      <c r="J261" s="63"/>
      <c r="K261" s="63"/>
      <c r="L261" s="63"/>
      <c r="M261" s="63"/>
      <c r="N261" s="148" t="s">
        <v>32</v>
      </c>
      <c r="O261" s="136" t="s">
        <v>192</v>
      </c>
      <c r="P261" s="98"/>
      <c r="Q261" s="98"/>
      <c r="R261" s="98"/>
      <c r="S261" s="99" t="s">
        <v>33</v>
      </c>
      <c r="T261" s="100" t="n">
        <v>0</v>
      </c>
      <c r="U261" s="100" t="n">
        <v>0</v>
      </c>
      <c r="V261" s="63"/>
      <c r="W261" s="82"/>
    </row>
    <row r="262" customFormat="false" ht="12" hidden="false" customHeight="false" outlineLevel="0" collapsed="false">
      <c r="A262" s="79"/>
      <c r="B262" s="63"/>
      <c r="C262" s="63"/>
      <c r="D262" s="63"/>
      <c r="E262" s="63"/>
      <c r="F262" s="63"/>
      <c r="G262" s="63"/>
      <c r="H262" s="63"/>
      <c r="I262" s="63"/>
      <c r="J262" s="63"/>
      <c r="K262" s="63"/>
      <c r="L262" s="63"/>
      <c r="M262" s="63"/>
      <c r="N262" s="63"/>
      <c r="O262" s="63"/>
      <c r="P262" s="63"/>
      <c r="Q262" s="63"/>
      <c r="R262" s="63"/>
      <c r="S262" s="63"/>
      <c r="T262" s="63"/>
      <c r="U262" s="63"/>
      <c r="V262" s="63"/>
      <c r="W262" s="82"/>
    </row>
    <row r="263" customFormat="false" ht="12" hidden="false" customHeight="false" outlineLevel="0" collapsed="false">
      <c r="A263" s="75" t="n">
        <v>88</v>
      </c>
      <c r="B263" s="63"/>
      <c r="C263" s="64" t="s">
        <v>241</v>
      </c>
      <c r="D263" s="64"/>
      <c r="E263" s="64"/>
      <c r="F263" s="64"/>
      <c r="G263" s="64"/>
      <c r="H263" s="64"/>
      <c r="I263" s="64"/>
      <c r="J263" s="64"/>
      <c r="K263" s="64"/>
      <c r="L263" s="75" t="n">
        <v>95</v>
      </c>
      <c r="M263" s="63"/>
      <c r="N263" s="64" t="s">
        <v>242</v>
      </c>
      <c r="O263" s="63"/>
      <c r="P263" s="63"/>
      <c r="Q263" s="63"/>
      <c r="R263" s="63"/>
      <c r="S263" s="63"/>
      <c r="T263" s="63"/>
      <c r="U263" s="63"/>
      <c r="V263" s="63"/>
      <c r="W263" s="82"/>
    </row>
    <row r="264" customFormat="false" ht="6" hidden="false" customHeight="true" outlineLevel="0" collapsed="false">
      <c r="A264" s="106"/>
      <c r="B264" s="63"/>
      <c r="C264" s="64"/>
      <c r="D264" s="64"/>
      <c r="E264" s="64"/>
      <c r="F264" s="64"/>
      <c r="G264" s="64"/>
      <c r="H264" s="64"/>
      <c r="I264" s="64"/>
      <c r="J264" s="64"/>
      <c r="K264" s="64"/>
      <c r="L264" s="64"/>
      <c r="M264" s="63"/>
      <c r="N264" s="63"/>
      <c r="O264" s="63"/>
      <c r="P264" s="63"/>
      <c r="Q264" s="63"/>
      <c r="R264" s="63"/>
      <c r="S264" s="63"/>
      <c r="T264" s="63"/>
      <c r="U264" s="63"/>
      <c r="V264" s="63"/>
      <c r="W264" s="82"/>
    </row>
    <row r="265" customFormat="false" ht="15" hidden="false" customHeight="false" outlineLevel="0" collapsed="false">
      <c r="A265" s="79"/>
      <c r="B265" s="63"/>
      <c r="C265" s="97" t="s">
        <v>32</v>
      </c>
      <c r="D265" s="98"/>
      <c r="E265" s="98"/>
      <c r="F265" s="98"/>
      <c r="G265" s="99" t="s">
        <v>33</v>
      </c>
      <c r="H265" s="100" t="n">
        <v>0</v>
      </c>
      <c r="I265" s="100" t="n">
        <v>0</v>
      </c>
      <c r="J265" s="63"/>
      <c r="K265" s="63"/>
      <c r="L265" s="63"/>
      <c r="M265" s="63"/>
      <c r="N265" s="148" t="s">
        <v>32</v>
      </c>
      <c r="O265" s="136" t="s">
        <v>192</v>
      </c>
      <c r="P265" s="98"/>
      <c r="Q265" s="98"/>
      <c r="R265" s="98"/>
      <c r="S265" s="99" t="s">
        <v>33</v>
      </c>
      <c r="T265" s="100" t="n">
        <v>0</v>
      </c>
      <c r="U265" s="100" t="n">
        <v>0</v>
      </c>
      <c r="V265" s="63"/>
      <c r="W265" s="82"/>
    </row>
    <row r="266" customFormat="false" ht="12" hidden="false" customHeight="false" outlineLevel="0" collapsed="false">
      <c r="A266" s="79"/>
      <c r="B266" s="63"/>
      <c r="C266" s="63"/>
      <c r="D266" s="63"/>
      <c r="E266" s="63"/>
      <c r="F266" s="63"/>
      <c r="G266" s="63"/>
      <c r="H266" s="63"/>
      <c r="I266" s="63"/>
      <c r="J266" s="63"/>
      <c r="K266" s="63"/>
      <c r="L266" s="63"/>
      <c r="M266" s="63"/>
      <c r="N266" s="63"/>
      <c r="O266" s="63"/>
      <c r="P266" s="63"/>
      <c r="Q266" s="63"/>
      <c r="R266" s="63"/>
      <c r="S266" s="63"/>
      <c r="T266" s="63"/>
      <c r="U266" s="63"/>
      <c r="V266" s="63"/>
      <c r="W266" s="82"/>
    </row>
    <row r="267" customFormat="false" ht="12" hidden="false" customHeight="false" outlineLevel="0" collapsed="false">
      <c r="A267" s="75" t="n">
        <v>89</v>
      </c>
      <c r="B267" s="63"/>
      <c r="C267" s="64" t="s">
        <v>243</v>
      </c>
      <c r="D267" s="64"/>
      <c r="E267" s="64"/>
      <c r="F267" s="64"/>
      <c r="G267" s="64"/>
      <c r="H267" s="64"/>
      <c r="I267" s="64"/>
      <c r="J267" s="64"/>
      <c r="K267" s="64"/>
      <c r="L267" s="75" t="n">
        <v>96</v>
      </c>
      <c r="M267" s="63"/>
      <c r="N267" s="64" t="s">
        <v>244</v>
      </c>
      <c r="O267" s="63"/>
      <c r="P267" s="63"/>
      <c r="Q267" s="63"/>
      <c r="R267" s="63"/>
      <c r="S267" s="63"/>
      <c r="T267" s="63"/>
      <c r="U267" s="63"/>
      <c r="V267" s="63"/>
      <c r="W267" s="82"/>
    </row>
    <row r="268" customFormat="false" ht="6" hidden="false" customHeight="true" outlineLevel="0" collapsed="false">
      <c r="A268" s="106"/>
      <c r="B268" s="63"/>
      <c r="C268" s="64"/>
      <c r="D268" s="64"/>
      <c r="E268" s="64"/>
      <c r="F268" s="64"/>
      <c r="G268" s="64"/>
      <c r="H268" s="64"/>
      <c r="I268" s="64"/>
      <c r="J268" s="64"/>
      <c r="K268" s="64"/>
      <c r="L268" s="64"/>
      <c r="M268" s="63"/>
      <c r="N268" s="63"/>
      <c r="O268" s="63"/>
      <c r="P268" s="63"/>
      <c r="Q268" s="63"/>
      <c r="R268" s="63"/>
      <c r="S268" s="63"/>
      <c r="T268" s="63"/>
      <c r="U268" s="63"/>
      <c r="V268" s="63"/>
      <c r="W268" s="82"/>
    </row>
    <row r="269" customFormat="false" ht="15" hidden="false" customHeight="false" outlineLevel="0" collapsed="false">
      <c r="A269" s="79"/>
      <c r="B269" s="63"/>
      <c r="C269" s="97" t="s">
        <v>32</v>
      </c>
      <c r="D269" s="98"/>
      <c r="E269" s="98"/>
      <c r="F269" s="98"/>
      <c r="G269" s="99" t="s">
        <v>33</v>
      </c>
      <c r="H269" s="100" t="n">
        <v>0</v>
      </c>
      <c r="I269" s="100" t="n">
        <v>0</v>
      </c>
      <c r="J269" s="63"/>
      <c r="K269" s="63"/>
      <c r="L269" s="63"/>
      <c r="M269" s="63"/>
      <c r="N269" s="97" t="s">
        <v>32</v>
      </c>
      <c r="O269" s="98"/>
      <c r="P269" s="98"/>
      <c r="Q269" s="98"/>
      <c r="R269" s="99" t="s">
        <v>33</v>
      </c>
      <c r="S269" s="100" t="n">
        <v>0</v>
      </c>
      <c r="T269" s="100" t="n">
        <v>0</v>
      </c>
      <c r="U269" s="63"/>
      <c r="V269" s="63"/>
      <c r="W269" s="82"/>
    </row>
    <row r="270" customFormat="false" ht="12" hidden="false" customHeight="false" outlineLevel="0" collapsed="false">
      <c r="A270" s="79"/>
      <c r="B270" s="63"/>
      <c r="C270" s="63"/>
      <c r="D270" s="63"/>
      <c r="E270" s="63"/>
      <c r="F270" s="63"/>
      <c r="G270" s="63"/>
      <c r="H270" s="63"/>
      <c r="I270" s="63"/>
      <c r="J270" s="63"/>
      <c r="K270" s="63"/>
      <c r="L270" s="63"/>
      <c r="M270" s="63"/>
      <c r="N270" s="63"/>
      <c r="O270" s="63"/>
      <c r="P270" s="63"/>
      <c r="Q270" s="63"/>
      <c r="R270" s="63"/>
      <c r="S270" s="63"/>
      <c r="T270" s="63"/>
      <c r="U270" s="63"/>
      <c r="V270" s="63"/>
      <c r="W270" s="82"/>
    </row>
    <row r="271" customFormat="false" ht="12" hidden="false" customHeight="false" outlineLevel="0" collapsed="false">
      <c r="A271" s="106"/>
      <c r="B271" s="63"/>
      <c r="C271" s="64"/>
      <c r="D271" s="64"/>
      <c r="E271" s="64"/>
      <c r="F271" s="64"/>
      <c r="G271" s="64"/>
      <c r="H271" s="64"/>
      <c r="I271" s="64"/>
      <c r="J271" s="64"/>
      <c r="K271" s="64"/>
      <c r="L271" s="75" t="n">
        <v>97</v>
      </c>
      <c r="M271" s="63"/>
      <c r="N271" s="64" t="s">
        <v>245</v>
      </c>
      <c r="O271" s="63"/>
      <c r="P271" s="63"/>
      <c r="Q271" s="63"/>
      <c r="R271" s="63"/>
      <c r="S271" s="63"/>
      <c r="T271" s="63"/>
      <c r="U271" s="63"/>
      <c r="V271" s="63"/>
      <c r="W271" s="82"/>
    </row>
    <row r="272" customFormat="false" ht="6" hidden="false" customHeight="true" outlineLevel="0" collapsed="false">
      <c r="A272" s="106"/>
      <c r="B272" s="63"/>
      <c r="C272" s="64"/>
      <c r="D272" s="64"/>
      <c r="E272" s="64"/>
      <c r="F272" s="64"/>
      <c r="G272" s="64"/>
      <c r="H272" s="64"/>
      <c r="I272" s="64"/>
      <c r="J272" s="64"/>
      <c r="K272" s="64"/>
      <c r="L272" s="64"/>
      <c r="M272" s="63"/>
      <c r="N272" s="63"/>
      <c r="O272" s="63"/>
      <c r="P272" s="63"/>
      <c r="Q272" s="63"/>
      <c r="R272" s="63"/>
      <c r="S272" s="63"/>
      <c r="T272" s="63"/>
      <c r="U272" s="63"/>
      <c r="V272" s="63"/>
      <c r="W272" s="82"/>
    </row>
    <row r="273" customFormat="false" ht="15" hidden="false" customHeight="false" outlineLevel="0" collapsed="false">
      <c r="A273" s="106"/>
      <c r="B273" s="63"/>
      <c r="C273" s="64"/>
      <c r="D273" s="64"/>
      <c r="E273" s="64"/>
      <c r="F273" s="64"/>
      <c r="G273" s="64"/>
      <c r="H273" s="64"/>
      <c r="I273" s="64"/>
      <c r="J273" s="64"/>
      <c r="K273" s="64"/>
      <c r="L273" s="63"/>
      <c r="M273" s="63"/>
      <c r="N273" s="97" t="s">
        <v>32</v>
      </c>
      <c r="O273" s="98"/>
      <c r="P273" s="98"/>
      <c r="Q273" s="98"/>
      <c r="R273" s="99" t="s">
        <v>33</v>
      </c>
      <c r="S273" s="100" t="n">
        <v>0</v>
      </c>
      <c r="T273" s="100" t="n">
        <v>0</v>
      </c>
      <c r="U273" s="63"/>
      <c r="V273" s="63"/>
      <c r="W273" s="82"/>
    </row>
    <row r="274" customFormat="false" ht="7.5" hidden="false" customHeight="true" outlineLevel="0" collapsed="false">
      <c r="A274" s="106"/>
      <c r="B274" s="63"/>
      <c r="C274" s="64"/>
      <c r="D274" s="64"/>
      <c r="E274" s="64"/>
      <c r="F274" s="64"/>
      <c r="G274" s="64"/>
      <c r="H274" s="64"/>
      <c r="I274" s="64"/>
      <c r="J274" s="64"/>
      <c r="K274" s="64"/>
      <c r="L274" s="63"/>
      <c r="M274" s="63"/>
      <c r="N274" s="63"/>
      <c r="O274" s="63"/>
      <c r="P274" s="63"/>
      <c r="Q274" s="63"/>
      <c r="R274" s="63"/>
      <c r="S274" s="63"/>
      <c r="T274" s="63"/>
      <c r="U274" s="63"/>
      <c r="V274" s="63"/>
      <c r="W274" s="82"/>
    </row>
    <row r="275" customFormat="false" ht="12" hidden="false" customHeight="true" outlineLevel="0" collapsed="false">
      <c r="A275" s="106"/>
      <c r="B275" s="63"/>
      <c r="C275" s="64"/>
      <c r="D275" s="64"/>
      <c r="E275" s="64"/>
      <c r="F275" s="64"/>
      <c r="G275" s="64"/>
      <c r="H275" s="64"/>
      <c r="I275" s="64"/>
      <c r="J275" s="64"/>
      <c r="K275" s="64"/>
      <c r="L275" s="75" t="n">
        <v>98</v>
      </c>
      <c r="M275" s="63"/>
      <c r="N275" s="64" t="s">
        <v>246</v>
      </c>
      <c r="O275" s="63"/>
      <c r="P275" s="63"/>
      <c r="Q275" s="63"/>
      <c r="R275" s="63"/>
      <c r="S275" s="63"/>
      <c r="T275" s="63"/>
      <c r="U275" s="63"/>
      <c r="V275" s="63"/>
      <c r="W275" s="82"/>
    </row>
    <row r="276" customFormat="false" ht="12" hidden="false" customHeight="false" outlineLevel="0" collapsed="false">
      <c r="A276" s="106"/>
      <c r="B276" s="63"/>
      <c r="C276" s="64"/>
      <c r="D276" s="64"/>
      <c r="E276" s="64"/>
      <c r="F276" s="64"/>
      <c r="G276" s="64"/>
      <c r="H276" s="64"/>
      <c r="I276" s="64"/>
      <c r="J276" s="64"/>
      <c r="K276" s="64"/>
      <c r="L276" s="64"/>
      <c r="M276" s="63"/>
      <c r="N276" s="63"/>
      <c r="O276" s="63"/>
      <c r="P276" s="63"/>
      <c r="Q276" s="63"/>
      <c r="R276" s="63"/>
      <c r="S276" s="63"/>
      <c r="T276" s="63"/>
      <c r="U276" s="63"/>
      <c r="V276" s="63"/>
      <c r="W276" s="82"/>
    </row>
    <row r="277" customFormat="false" ht="15" hidden="false" customHeight="false" outlineLevel="0" collapsed="false">
      <c r="A277" s="79"/>
      <c r="B277" s="63"/>
      <c r="C277" s="116"/>
      <c r="D277" s="112"/>
      <c r="E277" s="112"/>
      <c r="F277" s="112"/>
      <c r="G277" s="99"/>
      <c r="H277" s="102"/>
      <c r="I277" s="102"/>
      <c r="J277" s="63"/>
      <c r="K277" s="63"/>
      <c r="L277" s="63"/>
      <c r="M277" s="63"/>
      <c r="N277" s="97" t="s">
        <v>32</v>
      </c>
      <c r="O277" s="136" t="s">
        <v>192</v>
      </c>
      <c r="P277" s="98"/>
      <c r="Q277" s="98"/>
      <c r="R277" s="98"/>
      <c r="S277" s="99" t="s">
        <v>33</v>
      </c>
      <c r="T277" s="100" t="n">
        <v>0</v>
      </c>
      <c r="U277" s="100" t="n">
        <v>0</v>
      </c>
      <c r="V277" s="63"/>
      <c r="W277" s="82"/>
    </row>
    <row r="278" customFormat="false" ht="12" hidden="false" customHeight="false" outlineLevel="0" collapsed="false">
      <c r="A278" s="93"/>
      <c r="B278" s="94"/>
      <c r="C278" s="94"/>
      <c r="D278" s="94"/>
      <c r="E278" s="94"/>
      <c r="F278" s="94"/>
      <c r="G278" s="94"/>
      <c r="H278" s="94"/>
      <c r="I278" s="94"/>
      <c r="J278" s="94"/>
      <c r="K278" s="94"/>
      <c r="L278" s="94"/>
      <c r="M278" s="94"/>
      <c r="N278" s="94"/>
      <c r="O278" s="94"/>
      <c r="P278" s="94"/>
      <c r="Q278" s="94"/>
      <c r="R278" s="94"/>
      <c r="S278" s="94"/>
      <c r="T278" s="94"/>
      <c r="U278" s="94"/>
      <c r="V278" s="94"/>
      <c r="W278" s="95"/>
    </row>
    <row r="279" customFormat="false" ht="24.75" hidden="false" customHeight="true" outlineLevel="0" collapsed="false">
      <c r="A279" s="111" t="s">
        <v>247</v>
      </c>
      <c r="B279" s="111"/>
      <c r="C279" s="111"/>
      <c r="D279" s="111"/>
      <c r="E279" s="111"/>
      <c r="F279" s="111"/>
      <c r="G279" s="111"/>
      <c r="H279" s="111"/>
      <c r="I279" s="111"/>
      <c r="J279" s="111"/>
      <c r="K279" s="111"/>
      <c r="L279" s="111"/>
      <c r="M279" s="111"/>
      <c r="N279" s="111"/>
      <c r="O279" s="111"/>
      <c r="P279" s="111"/>
      <c r="Q279" s="111"/>
      <c r="R279" s="111"/>
      <c r="S279" s="111"/>
      <c r="T279" s="111"/>
      <c r="U279" s="111"/>
      <c r="V279" s="111"/>
      <c r="W279" s="111"/>
    </row>
    <row r="280" customFormat="false" ht="15.75" hidden="false" customHeight="true" outlineLevel="0" collapsed="false">
      <c r="A280" s="104" t="s">
        <v>248</v>
      </c>
      <c r="B280" s="104"/>
      <c r="C280" s="104"/>
      <c r="D280" s="104"/>
      <c r="E280" s="104"/>
      <c r="F280" s="104"/>
      <c r="G280" s="104"/>
      <c r="H280" s="104"/>
      <c r="I280" s="104"/>
      <c r="J280" s="150" t="n">
        <f aca="false">Admin!N4</f>
        <v>12570</v>
      </c>
      <c r="K280" s="104" t="s">
        <v>249</v>
      </c>
      <c r="L280" s="104"/>
      <c r="M280" s="104"/>
      <c r="N280" s="104"/>
      <c r="O280" s="104"/>
      <c r="P280" s="104"/>
      <c r="Q280" s="104"/>
      <c r="R280" s="104"/>
      <c r="S280" s="104"/>
      <c r="T280" s="104"/>
      <c r="U280" s="104"/>
      <c r="V280" s="104"/>
      <c r="W280" s="104"/>
    </row>
    <row r="281" customFormat="false" ht="15.75" hidden="false" customHeight="true" outlineLevel="0" collapsed="false">
      <c r="A281" s="151" t="s">
        <v>250</v>
      </c>
      <c r="B281" s="151"/>
      <c r="C281" s="151"/>
      <c r="D281" s="151"/>
      <c r="E281" s="151"/>
      <c r="F281" s="151"/>
      <c r="G281" s="151"/>
      <c r="H281" s="151"/>
      <c r="I281" s="151"/>
      <c r="J281" s="151"/>
      <c r="K281" s="151"/>
      <c r="L281" s="151"/>
      <c r="M281" s="151"/>
      <c r="N281" s="151"/>
      <c r="O281" s="151"/>
      <c r="P281" s="151"/>
      <c r="Q281" s="151"/>
      <c r="R281" s="151"/>
      <c r="S281" s="151"/>
      <c r="T281" s="151"/>
      <c r="U281" s="151"/>
      <c r="V281" s="151"/>
      <c r="W281" s="151"/>
    </row>
    <row r="282" customFormat="false" ht="7.5" hidden="false" customHeight="true" outlineLevel="0" collapsed="false">
      <c r="A282" s="72"/>
      <c r="B282" s="73"/>
      <c r="C282" s="73"/>
      <c r="D282" s="73"/>
      <c r="E282" s="73"/>
      <c r="F282" s="73"/>
      <c r="G282" s="73"/>
      <c r="H282" s="73"/>
      <c r="I282" s="73"/>
      <c r="J282" s="73"/>
      <c r="K282" s="73"/>
      <c r="L282" s="73"/>
      <c r="M282" s="73"/>
      <c r="N282" s="73"/>
      <c r="O282" s="73"/>
      <c r="P282" s="73"/>
      <c r="Q282" s="73"/>
      <c r="R282" s="73"/>
      <c r="S282" s="73"/>
      <c r="T282" s="73"/>
      <c r="U282" s="73"/>
      <c r="V282" s="73"/>
      <c r="W282" s="74"/>
    </row>
    <row r="283" customFormat="false" ht="12" hidden="false" customHeight="false" outlineLevel="0" collapsed="false">
      <c r="A283" s="75" t="n">
        <v>99</v>
      </c>
      <c r="B283" s="63"/>
      <c r="C283" s="64" t="s">
        <v>251</v>
      </c>
      <c r="D283" s="63"/>
      <c r="E283" s="63"/>
      <c r="F283" s="63"/>
      <c r="G283" s="63"/>
      <c r="H283" s="63"/>
      <c r="I283" s="63"/>
      <c r="J283" s="63"/>
      <c r="K283" s="63"/>
      <c r="L283" s="75" t="n">
        <v>101</v>
      </c>
      <c r="M283" s="63"/>
      <c r="N283" s="64" t="s">
        <v>252</v>
      </c>
      <c r="O283" s="63"/>
      <c r="P283" s="63"/>
      <c r="Q283" s="63"/>
      <c r="R283" s="63"/>
      <c r="S283" s="63"/>
      <c r="T283" s="63"/>
      <c r="U283" s="63"/>
      <c r="V283" s="63"/>
      <c r="W283" s="82"/>
    </row>
    <row r="284" customFormat="false" ht="12" hidden="false" customHeight="false" outlineLevel="0" collapsed="false">
      <c r="A284" s="79"/>
      <c r="B284" s="63"/>
      <c r="C284" s="64" t="s">
        <v>253</v>
      </c>
      <c r="D284" s="63"/>
      <c r="E284" s="63"/>
      <c r="F284" s="63"/>
      <c r="G284" s="63"/>
      <c r="H284" s="63"/>
      <c r="I284" s="63"/>
      <c r="J284" s="63"/>
      <c r="K284" s="63"/>
      <c r="L284" s="63"/>
      <c r="M284" s="63"/>
      <c r="N284" s="90" t="s">
        <v>254</v>
      </c>
      <c r="O284" s="63"/>
      <c r="P284" s="63"/>
      <c r="Q284" s="63"/>
      <c r="R284" s="63"/>
      <c r="S284" s="63"/>
      <c r="T284" s="63"/>
      <c r="U284" s="63"/>
      <c r="V284" s="63"/>
      <c r="W284" s="82"/>
    </row>
    <row r="285" customFormat="false" ht="7.5" hidden="false" customHeight="true" outlineLevel="0" collapsed="false">
      <c r="A285" s="79"/>
      <c r="B285" s="63"/>
      <c r="C285" s="63"/>
      <c r="D285" s="63"/>
      <c r="E285" s="63"/>
      <c r="F285" s="63"/>
      <c r="G285" s="63"/>
      <c r="H285" s="63"/>
      <c r="I285" s="63"/>
      <c r="J285" s="63"/>
      <c r="K285" s="63"/>
      <c r="L285" s="63"/>
      <c r="M285" s="63"/>
      <c r="N285" s="63"/>
      <c r="O285" s="63"/>
      <c r="P285" s="63"/>
      <c r="Q285" s="63"/>
      <c r="R285" s="63"/>
      <c r="S285" s="63"/>
      <c r="T285" s="63"/>
      <c r="U285" s="63"/>
      <c r="V285" s="63"/>
      <c r="W285" s="82"/>
    </row>
    <row r="286" customFormat="false" ht="15.75" hidden="false" customHeight="true" outlineLevel="0" collapsed="false">
      <c r="A286" s="79"/>
      <c r="B286" s="63"/>
      <c r="C286" s="152"/>
      <c r="D286" s="63"/>
      <c r="E286" s="63"/>
      <c r="F286" s="63"/>
      <c r="G286" s="63"/>
      <c r="H286" s="63"/>
      <c r="I286" s="63"/>
      <c r="J286" s="63"/>
      <c r="K286" s="63"/>
      <c r="L286" s="63"/>
      <c r="M286" s="63"/>
      <c r="N286" s="97" t="s">
        <v>32</v>
      </c>
      <c r="O286" s="98"/>
      <c r="P286" s="98"/>
      <c r="Q286" s="98"/>
      <c r="R286" s="99" t="s">
        <v>33</v>
      </c>
      <c r="S286" s="100" t="n">
        <v>0</v>
      </c>
      <c r="T286" s="100" t="n">
        <v>0</v>
      </c>
      <c r="U286" s="63"/>
      <c r="V286" s="63"/>
      <c r="W286" s="82"/>
    </row>
    <row r="287" customFormat="false" ht="12" hidden="false" customHeight="false" outlineLevel="0" collapsed="false">
      <c r="A287" s="79"/>
      <c r="B287" s="63"/>
      <c r="C287" s="63"/>
      <c r="D287" s="63"/>
      <c r="E287" s="63"/>
      <c r="F287" s="63"/>
      <c r="G287" s="63"/>
      <c r="H287" s="63"/>
      <c r="I287" s="63"/>
      <c r="J287" s="63"/>
      <c r="K287" s="63"/>
      <c r="L287" s="63"/>
      <c r="M287" s="63"/>
      <c r="N287" s="63"/>
      <c r="O287" s="63"/>
      <c r="P287" s="63"/>
      <c r="Q287" s="63"/>
      <c r="R287" s="63"/>
      <c r="S287" s="63"/>
      <c r="T287" s="63"/>
      <c r="U287" s="63"/>
      <c r="V287" s="63"/>
      <c r="W287" s="82"/>
    </row>
    <row r="288" customFormat="false" ht="12" hidden="false" customHeight="false" outlineLevel="0" collapsed="false">
      <c r="A288" s="75" t="n">
        <v>100</v>
      </c>
      <c r="B288" s="63"/>
      <c r="C288" s="64" t="s">
        <v>110</v>
      </c>
      <c r="D288" s="63"/>
      <c r="E288" s="63"/>
      <c r="F288" s="63"/>
      <c r="G288" s="115" t="str">
        <f aca="false">Admin!G2</f>
        <v>2022-23</v>
      </c>
      <c r="H288" s="115"/>
      <c r="I288" s="115"/>
      <c r="J288" s="63" t="s">
        <v>255</v>
      </c>
      <c r="K288" s="63"/>
      <c r="L288" s="63"/>
      <c r="M288" s="63"/>
      <c r="N288" s="63"/>
      <c r="O288" s="63"/>
      <c r="P288" s="63"/>
      <c r="Q288" s="63"/>
      <c r="R288" s="63"/>
      <c r="S288" s="63"/>
      <c r="T288" s="63"/>
      <c r="U288" s="63"/>
      <c r="V288" s="63"/>
      <c r="W288" s="82"/>
    </row>
    <row r="289" customFormat="false" ht="12" hidden="false" customHeight="false" outlineLevel="0" collapsed="false">
      <c r="A289" s="79"/>
      <c r="B289" s="63"/>
      <c r="C289" s="64" t="s">
        <v>256</v>
      </c>
      <c r="D289" s="63"/>
      <c r="E289" s="63"/>
      <c r="F289" s="63"/>
      <c r="G289" s="63"/>
      <c r="H289" s="63"/>
      <c r="I289" s="63"/>
      <c r="J289" s="63"/>
      <c r="K289" s="63"/>
      <c r="L289" s="63"/>
      <c r="M289" s="63"/>
      <c r="N289" s="63"/>
      <c r="O289" s="63"/>
      <c r="P289" s="63"/>
      <c r="Q289" s="63"/>
      <c r="R289" s="63"/>
      <c r="S289" s="63"/>
      <c r="T289" s="63"/>
      <c r="U289" s="63"/>
      <c r="V289" s="63"/>
      <c r="W289" s="82"/>
    </row>
    <row r="290" customFormat="false" ht="12" hidden="false" customHeight="false" outlineLevel="0" collapsed="false">
      <c r="A290" s="79"/>
      <c r="B290" s="63"/>
      <c r="C290" s="63" t="s">
        <v>257</v>
      </c>
      <c r="D290" s="63"/>
      <c r="E290" s="63"/>
      <c r="F290" s="63"/>
      <c r="G290" s="63"/>
      <c r="H290" s="63"/>
      <c r="I290" s="63"/>
      <c r="J290" s="63"/>
      <c r="K290" s="63"/>
      <c r="L290" s="63"/>
      <c r="M290" s="63"/>
      <c r="N290" s="63"/>
      <c r="O290" s="63"/>
      <c r="P290" s="63"/>
      <c r="Q290" s="63"/>
      <c r="R290" s="63"/>
      <c r="S290" s="63"/>
      <c r="T290" s="63"/>
      <c r="U290" s="63"/>
      <c r="V290" s="63"/>
      <c r="W290" s="82"/>
    </row>
    <row r="291" customFormat="false" ht="7.5" hidden="false" customHeight="true" outlineLevel="0" collapsed="false">
      <c r="A291" s="79"/>
      <c r="B291" s="63"/>
      <c r="C291" s="63"/>
      <c r="D291" s="63"/>
      <c r="E291" s="63"/>
      <c r="F291" s="63"/>
      <c r="G291" s="63"/>
      <c r="H291" s="63"/>
      <c r="I291" s="63"/>
      <c r="J291" s="63"/>
      <c r="K291" s="63"/>
      <c r="L291" s="63"/>
      <c r="M291" s="63"/>
      <c r="N291" s="63"/>
      <c r="O291" s="63"/>
      <c r="P291" s="63"/>
      <c r="Q291" s="63"/>
      <c r="R291" s="63"/>
      <c r="S291" s="63"/>
      <c r="T291" s="63"/>
      <c r="U291" s="63"/>
      <c r="V291" s="63"/>
      <c r="W291" s="82"/>
    </row>
    <row r="292" customFormat="false" ht="15.75" hidden="false" customHeight="true" outlineLevel="0" collapsed="false">
      <c r="A292" s="79"/>
      <c r="B292" s="63"/>
      <c r="C292" s="152"/>
      <c r="D292" s="63"/>
      <c r="E292" s="63"/>
      <c r="F292" s="63"/>
      <c r="G292" s="63"/>
      <c r="H292" s="63"/>
      <c r="I292" s="63"/>
      <c r="J292" s="63"/>
      <c r="K292" s="63"/>
      <c r="L292" s="63"/>
      <c r="M292" s="63"/>
      <c r="N292" s="63"/>
      <c r="O292" s="63"/>
      <c r="P292" s="63"/>
      <c r="Q292" s="63"/>
      <c r="R292" s="63"/>
      <c r="S292" s="63"/>
      <c r="T292" s="63"/>
      <c r="U292" s="63"/>
      <c r="V292" s="63"/>
      <c r="W292" s="82"/>
    </row>
    <row r="293" customFormat="false" ht="7.5" hidden="false" customHeight="true" outlineLevel="0" collapsed="false">
      <c r="A293" s="93"/>
      <c r="B293" s="94"/>
      <c r="C293" s="94"/>
      <c r="D293" s="94"/>
      <c r="E293" s="94"/>
      <c r="F293" s="94"/>
      <c r="G293" s="94"/>
      <c r="H293" s="94"/>
      <c r="I293" s="94"/>
      <c r="J293" s="94"/>
      <c r="K293" s="94"/>
      <c r="L293" s="94"/>
      <c r="M293" s="94"/>
      <c r="N293" s="94"/>
      <c r="O293" s="94"/>
      <c r="P293" s="94"/>
      <c r="Q293" s="94"/>
      <c r="R293" s="94"/>
      <c r="S293" s="94"/>
      <c r="T293" s="94"/>
      <c r="U293" s="94"/>
      <c r="V293" s="94"/>
      <c r="W293" s="95"/>
    </row>
    <row r="294" customFormat="false" ht="24.75" hidden="false" customHeight="true" outlineLevel="0" collapsed="false">
      <c r="A294" s="103" t="s">
        <v>258</v>
      </c>
      <c r="B294" s="103"/>
      <c r="C294" s="103"/>
      <c r="D294" s="103"/>
      <c r="E294" s="103"/>
      <c r="F294" s="103"/>
      <c r="G294" s="103"/>
      <c r="H294" s="103"/>
      <c r="I294" s="103"/>
      <c r="J294" s="103"/>
      <c r="K294" s="103"/>
      <c r="L294" s="103"/>
      <c r="M294" s="103"/>
      <c r="N294" s="103"/>
      <c r="O294" s="103"/>
      <c r="P294" s="103"/>
      <c r="Q294" s="103"/>
      <c r="R294" s="103"/>
      <c r="S294" s="103"/>
      <c r="T294" s="103"/>
      <c r="U294" s="103"/>
      <c r="V294" s="103"/>
      <c r="W294" s="103"/>
    </row>
    <row r="295" customFormat="false" ht="7.5" hidden="false" customHeight="true" outlineLevel="0" collapsed="false">
      <c r="A295" s="72"/>
      <c r="B295" s="73"/>
      <c r="C295" s="73"/>
      <c r="D295" s="73"/>
      <c r="E295" s="73"/>
      <c r="F295" s="73"/>
      <c r="G295" s="73"/>
      <c r="H295" s="73"/>
      <c r="I295" s="73"/>
      <c r="J295" s="73"/>
      <c r="K295" s="73"/>
      <c r="L295" s="73"/>
      <c r="M295" s="73"/>
      <c r="N295" s="73"/>
      <c r="O295" s="73"/>
      <c r="P295" s="73"/>
      <c r="Q295" s="73"/>
      <c r="R295" s="73"/>
      <c r="S295" s="73"/>
      <c r="T295" s="73"/>
      <c r="U295" s="73"/>
      <c r="V295" s="73"/>
      <c r="W295" s="74"/>
    </row>
    <row r="296" customFormat="false" ht="12" hidden="false" customHeight="false" outlineLevel="0" collapsed="false">
      <c r="A296" s="75" t="n">
        <v>102</v>
      </c>
      <c r="B296" s="63"/>
      <c r="C296" s="64" t="s">
        <v>259</v>
      </c>
      <c r="D296" s="63"/>
      <c r="E296" s="63"/>
      <c r="F296" s="63"/>
      <c r="G296" s="63"/>
      <c r="H296" s="63"/>
      <c r="I296" s="63"/>
      <c r="J296" s="63"/>
      <c r="K296" s="63"/>
      <c r="L296" s="63"/>
      <c r="M296" s="63"/>
      <c r="N296" s="63"/>
      <c r="O296" s="63"/>
      <c r="P296" s="63"/>
      <c r="Q296" s="63"/>
      <c r="R296" s="63"/>
      <c r="S296" s="63"/>
      <c r="T296" s="63"/>
      <c r="U296" s="63"/>
      <c r="V296" s="63"/>
      <c r="W296" s="82"/>
    </row>
    <row r="297" customFormat="false" ht="7.5" hidden="false" customHeight="true" outlineLevel="0" collapsed="false">
      <c r="A297" s="79"/>
      <c r="B297" s="63"/>
      <c r="C297" s="63"/>
      <c r="D297" s="63"/>
      <c r="E297" s="63"/>
      <c r="F297" s="63"/>
      <c r="G297" s="63"/>
      <c r="H297" s="63"/>
      <c r="I297" s="63"/>
      <c r="J297" s="63"/>
      <c r="K297" s="63"/>
      <c r="L297" s="63"/>
      <c r="M297" s="63"/>
      <c r="N297" s="63"/>
      <c r="O297" s="63"/>
      <c r="P297" s="63"/>
      <c r="Q297" s="63"/>
      <c r="R297" s="63"/>
      <c r="S297" s="63"/>
      <c r="T297" s="63"/>
      <c r="U297" s="63"/>
      <c r="V297" s="63"/>
      <c r="W297" s="82"/>
    </row>
    <row r="298" customFormat="false" ht="12" hidden="false" customHeight="false" outlineLevel="0" collapsed="false">
      <c r="A298" s="79"/>
      <c r="B298" s="63"/>
      <c r="C298" s="152"/>
      <c r="D298" s="152"/>
      <c r="E298" s="152"/>
      <c r="F298" s="152"/>
      <c r="G298" s="152"/>
      <c r="H298" s="152"/>
      <c r="I298" s="152"/>
      <c r="J298" s="152"/>
      <c r="K298" s="152"/>
      <c r="L298" s="152"/>
      <c r="M298" s="152"/>
      <c r="N298" s="152"/>
      <c r="O298" s="152"/>
      <c r="P298" s="152"/>
      <c r="Q298" s="152"/>
      <c r="R298" s="152"/>
      <c r="S298" s="152"/>
      <c r="T298" s="152"/>
      <c r="U298" s="152"/>
      <c r="V298" s="152"/>
      <c r="W298" s="82"/>
    </row>
    <row r="299" customFormat="false" ht="12" hidden="false" customHeight="false" outlineLevel="0" collapsed="false">
      <c r="A299" s="79"/>
      <c r="B299" s="63"/>
      <c r="C299" s="152"/>
      <c r="D299" s="152"/>
      <c r="E299" s="152"/>
      <c r="F299" s="152"/>
      <c r="G299" s="152"/>
      <c r="H299" s="152"/>
      <c r="I299" s="152"/>
      <c r="J299" s="152"/>
      <c r="K299" s="152"/>
      <c r="L299" s="152"/>
      <c r="M299" s="152"/>
      <c r="N299" s="152"/>
      <c r="O299" s="152"/>
      <c r="P299" s="152"/>
      <c r="Q299" s="152"/>
      <c r="R299" s="152"/>
      <c r="S299" s="152"/>
      <c r="T299" s="152"/>
      <c r="U299" s="152"/>
      <c r="V299" s="152"/>
      <c r="W299" s="82"/>
    </row>
    <row r="300" customFormat="false" ht="12" hidden="false" customHeight="false" outlineLevel="0" collapsed="false">
      <c r="A300" s="79"/>
      <c r="B300" s="63"/>
      <c r="C300" s="152"/>
      <c r="D300" s="152"/>
      <c r="E300" s="152"/>
      <c r="F300" s="152"/>
      <c r="G300" s="152"/>
      <c r="H300" s="152"/>
      <c r="I300" s="152"/>
      <c r="J300" s="152"/>
      <c r="K300" s="152"/>
      <c r="L300" s="152"/>
      <c r="M300" s="152"/>
      <c r="N300" s="152"/>
      <c r="O300" s="152"/>
      <c r="P300" s="152"/>
      <c r="Q300" s="152"/>
      <c r="R300" s="152"/>
      <c r="S300" s="152"/>
      <c r="T300" s="152"/>
      <c r="U300" s="152"/>
      <c r="V300" s="152"/>
      <c r="W300" s="82"/>
    </row>
    <row r="301" customFormat="false" ht="12" hidden="false" customHeight="false" outlineLevel="0" collapsed="false">
      <c r="A301" s="79"/>
      <c r="B301" s="63"/>
      <c r="C301" s="152"/>
      <c r="D301" s="152"/>
      <c r="E301" s="152"/>
      <c r="F301" s="152"/>
      <c r="G301" s="152"/>
      <c r="H301" s="152"/>
      <c r="I301" s="152"/>
      <c r="J301" s="152"/>
      <c r="K301" s="152"/>
      <c r="L301" s="152"/>
      <c r="M301" s="152"/>
      <c r="N301" s="152"/>
      <c r="O301" s="152"/>
      <c r="P301" s="152"/>
      <c r="Q301" s="152"/>
      <c r="R301" s="152"/>
      <c r="S301" s="152"/>
      <c r="T301" s="152"/>
      <c r="U301" s="152"/>
      <c r="V301" s="152"/>
      <c r="W301" s="82"/>
    </row>
    <row r="302" customFormat="false" ht="12" hidden="false" customHeight="false" outlineLevel="0" collapsed="false">
      <c r="A302" s="79"/>
      <c r="B302" s="63"/>
      <c r="C302" s="152"/>
      <c r="D302" s="152"/>
      <c r="E302" s="152"/>
      <c r="F302" s="152"/>
      <c r="G302" s="152"/>
      <c r="H302" s="152"/>
      <c r="I302" s="152"/>
      <c r="J302" s="152"/>
      <c r="K302" s="152"/>
      <c r="L302" s="152"/>
      <c r="M302" s="152"/>
      <c r="N302" s="152"/>
      <c r="O302" s="152"/>
      <c r="P302" s="152"/>
      <c r="Q302" s="152"/>
      <c r="R302" s="152"/>
      <c r="S302" s="152"/>
      <c r="T302" s="152"/>
      <c r="U302" s="152"/>
      <c r="V302" s="152"/>
      <c r="W302" s="82"/>
    </row>
    <row r="303" customFormat="false" ht="12" hidden="false" customHeight="false" outlineLevel="0" collapsed="false">
      <c r="A303" s="79"/>
      <c r="B303" s="63"/>
      <c r="C303" s="152"/>
      <c r="D303" s="152"/>
      <c r="E303" s="152"/>
      <c r="F303" s="152"/>
      <c r="G303" s="152"/>
      <c r="H303" s="152"/>
      <c r="I303" s="152"/>
      <c r="J303" s="152"/>
      <c r="K303" s="152"/>
      <c r="L303" s="152"/>
      <c r="M303" s="152"/>
      <c r="N303" s="152"/>
      <c r="O303" s="152"/>
      <c r="P303" s="152"/>
      <c r="Q303" s="152"/>
      <c r="R303" s="152"/>
      <c r="S303" s="152"/>
      <c r="T303" s="152"/>
      <c r="U303" s="152"/>
      <c r="V303" s="152"/>
      <c r="W303" s="82"/>
    </row>
    <row r="304" customFormat="false" ht="12" hidden="false" customHeight="false" outlineLevel="0" collapsed="false">
      <c r="A304" s="79"/>
      <c r="B304" s="63"/>
      <c r="C304" s="152"/>
      <c r="D304" s="152"/>
      <c r="E304" s="152"/>
      <c r="F304" s="152"/>
      <c r="G304" s="152"/>
      <c r="H304" s="152"/>
      <c r="I304" s="152"/>
      <c r="J304" s="152"/>
      <c r="K304" s="152"/>
      <c r="L304" s="152"/>
      <c r="M304" s="152"/>
      <c r="N304" s="152"/>
      <c r="O304" s="152"/>
      <c r="P304" s="152"/>
      <c r="Q304" s="152"/>
      <c r="R304" s="152"/>
      <c r="S304" s="152"/>
      <c r="T304" s="152"/>
      <c r="U304" s="152"/>
      <c r="V304" s="152"/>
      <c r="W304" s="82"/>
    </row>
    <row r="305" customFormat="false" ht="12" hidden="false" customHeight="false" outlineLevel="0" collapsed="false">
      <c r="A305" s="79"/>
      <c r="B305" s="63"/>
      <c r="C305" s="152"/>
      <c r="D305" s="152"/>
      <c r="E305" s="152"/>
      <c r="F305" s="152"/>
      <c r="G305" s="152"/>
      <c r="H305" s="152"/>
      <c r="I305" s="152"/>
      <c r="J305" s="152"/>
      <c r="K305" s="152"/>
      <c r="L305" s="152"/>
      <c r="M305" s="152"/>
      <c r="N305" s="152"/>
      <c r="O305" s="152"/>
      <c r="P305" s="152"/>
      <c r="Q305" s="152"/>
      <c r="R305" s="152"/>
      <c r="S305" s="152"/>
      <c r="T305" s="152"/>
      <c r="U305" s="152"/>
      <c r="V305" s="152"/>
      <c r="W305" s="82"/>
    </row>
    <row r="306" customFormat="false" ht="12" hidden="false" customHeight="false" outlineLevel="0" collapsed="false">
      <c r="A306" s="79"/>
      <c r="B306" s="63"/>
      <c r="C306" s="152"/>
      <c r="D306" s="152"/>
      <c r="E306" s="152"/>
      <c r="F306" s="152"/>
      <c r="G306" s="152"/>
      <c r="H306" s="152"/>
      <c r="I306" s="152"/>
      <c r="J306" s="152"/>
      <c r="K306" s="152"/>
      <c r="L306" s="152"/>
      <c r="M306" s="152"/>
      <c r="N306" s="152"/>
      <c r="O306" s="152"/>
      <c r="P306" s="152"/>
      <c r="Q306" s="152"/>
      <c r="R306" s="152"/>
      <c r="S306" s="152"/>
      <c r="T306" s="152"/>
      <c r="U306" s="152"/>
      <c r="V306" s="152"/>
      <c r="W306" s="82"/>
    </row>
    <row r="307" customFormat="false" ht="12" hidden="false" customHeight="false" outlineLevel="0" collapsed="false">
      <c r="A307" s="79"/>
      <c r="B307" s="63"/>
      <c r="C307" s="152"/>
      <c r="D307" s="152"/>
      <c r="E307" s="152"/>
      <c r="F307" s="152"/>
      <c r="G307" s="152"/>
      <c r="H307" s="152"/>
      <c r="I307" s="152"/>
      <c r="J307" s="152"/>
      <c r="K307" s="152"/>
      <c r="L307" s="152"/>
      <c r="M307" s="152"/>
      <c r="N307" s="152"/>
      <c r="O307" s="152"/>
      <c r="P307" s="152"/>
      <c r="Q307" s="152"/>
      <c r="R307" s="152"/>
      <c r="S307" s="152"/>
      <c r="T307" s="152"/>
      <c r="U307" s="152"/>
      <c r="V307" s="152"/>
      <c r="W307" s="82"/>
    </row>
    <row r="308" customFormat="false" ht="12" hidden="false" customHeight="false" outlineLevel="0" collapsed="false">
      <c r="A308" s="79"/>
      <c r="B308" s="63"/>
      <c r="C308" s="152"/>
      <c r="D308" s="152"/>
      <c r="E308" s="152"/>
      <c r="F308" s="152"/>
      <c r="G308" s="152"/>
      <c r="H308" s="152"/>
      <c r="I308" s="152"/>
      <c r="J308" s="152"/>
      <c r="K308" s="152"/>
      <c r="L308" s="152"/>
      <c r="M308" s="152"/>
      <c r="N308" s="152"/>
      <c r="O308" s="152"/>
      <c r="P308" s="152"/>
      <c r="Q308" s="152"/>
      <c r="R308" s="152"/>
      <c r="S308" s="152"/>
      <c r="T308" s="152"/>
      <c r="U308" s="152"/>
      <c r="V308" s="152"/>
      <c r="W308" s="82"/>
    </row>
    <row r="309" customFormat="false" ht="12" hidden="false" customHeight="false" outlineLevel="0" collapsed="false">
      <c r="A309" s="79"/>
      <c r="B309" s="63"/>
      <c r="C309" s="152"/>
      <c r="D309" s="152"/>
      <c r="E309" s="152"/>
      <c r="F309" s="152"/>
      <c r="G309" s="152"/>
      <c r="H309" s="152"/>
      <c r="I309" s="152"/>
      <c r="J309" s="152"/>
      <c r="K309" s="152"/>
      <c r="L309" s="152"/>
      <c r="M309" s="152"/>
      <c r="N309" s="152"/>
      <c r="O309" s="152"/>
      <c r="P309" s="152"/>
      <c r="Q309" s="152"/>
      <c r="R309" s="152"/>
      <c r="S309" s="152"/>
      <c r="T309" s="152"/>
      <c r="U309" s="152"/>
      <c r="V309" s="152"/>
      <c r="W309" s="82"/>
    </row>
    <row r="310" customFormat="false" ht="12" hidden="false" customHeight="false" outlineLevel="0" collapsed="false">
      <c r="A310" s="79"/>
      <c r="B310" s="63"/>
      <c r="C310" s="152"/>
      <c r="D310" s="152"/>
      <c r="E310" s="152"/>
      <c r="F310" s="152"/>
      <c r="G310" s="152"/>
      <c r="H310" s="152"/>
      <c r="I310" s="152"/>
      <c r="J310" s="152"/>
      <c r="K310" s="152"/>
      <c r="L310" s="152"/>
      <c r="M310" s="152"/>
      <c r="N310" s="152"/>
      <c r="O310" s="152"/>
      <c r="P310" s="152"/>
      <c r="Q310" s="152"/>
      <c r="R310" s="152"/>
      <c r="S310" s="152"/>
      <c r="T310" s="152"/>
      <c r="U310" s="152"/>
      <c r="V310" s="152"/>
      <c r="W310" s="82"/>
    </row>
    <row r="311" customFormat="false" ht="12" hidden="false" customHeight="false" outlineLevel="0" collapsed="false">
      <c r="A311" s="79"/>
      <c r="B311" s="63"/>
      <c r="C311" s="152"/>
      <c r="D311" s="152"/>
      <c r="E311" s="152"/>
      <c r="F311" s="152"/>
      <c r="G311" s="152"/>
      <c r="H311" s="152"/>
      <c r="I311" s="152"/>
      <c r="J311" s="152"/>
      <c r="K311" s="152"/>
      <c r="L311" s="152"/>
      <c r="M311" s="152"/>
      <c r="N311" s="152"/>
      <c r="O311" s="152"/>
      <c r="P311" s="152"/>
      <c r="Q311" s="152"/>
      <c r="R311" s="152"/>
      <c r="S311" s="152"/>
      <c r="T311" s="152"/>
      <c r="U311" s="152"/>
      <c r="V311" s="152"/>
      <c r="W311" s="82"/>
    </row>
    <row r="312" customFormat="false" ht="12" hidden="false" customHeight="false" outlineLevel="0" collapsed="false">
      <c r="A312" s="79"/>
      <c r="B312" s="63"/>
      <c r="C312" s="152"/>
      <c r="D312" s="152"/>
      <c r="E312" s="152"/>
      <c r="F312" s="152"/>
      <c r="G312" s="152"/>
      <c r="H312" s="152"/>
      <c r="I312" s="152"/>
      <c r="J312" s="152"/>
      <c r="K312" s="152"/>
      <c r="L312" s="152"/>
      <c r="M312" s="152"/>
      <c r="N312" s="152"/>
      <c r="O312" s="152"/>
      <c r="P312" s="152"/>
      <c r="Q312" s="152"/>
      <c r="R312" s="152"/>
      <c r="S312" s="152"/>
      <c r="T312" s="152"/>
      <c r="U312" s="152"/>
      <c r="V312" s="152"/>
      <c r="W312" s="82"/>
    </row>
    <row r="313" customFormat="false" ht="12" hidden="false" customHeight="false" outlineLevel="0" collapsed="false">
      <c r="A313" s="79"/>
      <c r="B313" s="63"/>
      <c r="C313" s="152"/>
      <c r="D313" s="152"/>
      <c r="E313" s="152"/>
      <c r="F313" s="152"/>
      <c r="G313" s="152"/>
      <c r="H313" s="152"/>
      <c r="I313" s="152"/>
      <c r="J313" s="152"/>
      <c r="K313" s="152"/>
      <c r="L313" s="152"/>
      <c r="M313" s="152"/>
      <c r="N313" s="152"/>
      <c r="O313" s="152"/>
      <c r="P313" s="152"/>
      <c r="Q313" s="152"/>
      <c r="R313" s="152"/>
      <c r="S313" s="152"/>
      <c r="T313" s="152"/>
      <c r="U313" s="152"/>
      <c r="V313" s="152"/>
      <c r="W313" s="82"/>
    </row>
    <row r="314" customFormat="false" ht="12" hidden="false" customHeight="false" outlineLevel="0" collapsed="false">
      <c r="A314" s="79"/>
      <c r="B314" s="63"/>
      <c r="C314" s="152"/>
      <c r="D314" s="152"/>
      <c r="E314" s="152"/>
      <c r="F314" s="152"/>
      <c r="G314" s="152"/>
      <c r="H314" s="152"/>
      <c r="I314" s="152"/>
      <c r="J314" s="152"/>
      <c r="K314" s="152"/>
      <c r="L314" s="152"/>
      <c r="M314" s="152"/>
      <c r="N314" s="152"/>
      <c r="O314" s="152"/>
      <c r="P314" s="152"/>
      <c r="Q314" s="152"/>
      <c r="R314" s="152"/>
      <c r="S314" s="152"/>
      <c r="T314" s="152"/>
      <c r="U314" s="152"/>
      <c r="V314" s="152"/>
      <c r="W314" s="82"/>
    </row>
    <row r="315" customFormat="false" ht="12" hidden="false" customHeight="false" outlineLevel="0" collapsed="false">
      <c r="A315" s="79"/>
      <c r="B315" s="63"/>
      <c r="C315" s="152"/>
      <c r="D315" s="152"/>
      <c r="E315" s="152"/>
      <c r="F315" s="152"/>
      <c r="G315" s="152"/>
      <c r="H315" s="152"/>
      <c r="I315" s="152"/>
      <c r="J315" s="152"/>
      <c r="K315" s="152"/>
      <c r="L315" s="152"/>
      <c r="M315" s="152"/>
      <c r="N315" s="152"/>
      <c r="O315" s="152"/>
      <c r="P315" s="152"/>
      <c r="Q315" s="152"/>
      <c r="R315" s="152"/>
      <c r="S315" s="152"/>
      <c r="T315" s="152"/>
      <c r="U315" s="152"/>
      <c r="V315" s="152"/>
      <c r="W315" s="82"/>
    </row>
    <row r="316" customFormat="false" ht="12" hidden="false" customHeight="false" outlineLevel="0" collapsed="false">
      <c r="A316" s="79"/>
      <c r="B316" s="63"/>
      <c r="C316" s="152"/>
      <c r="D316" s="152"/>
      <c r="E316" s="152"/>
      <c r="F316" s="152"/>
      <c r="G316" s="152"/>
      <c r="H316" s="152"/>
      <c r="I316" s="152"/>
      <c r="J316" s="152"/>
      <c r="K316" s="152"/>
      <c r="L316" s="152"/>
      <c r="M316" s="152"/>
      <c r="N316" s="152"/>
      <c r="O316" s="152"/>
      <c r="P316" s="152"/>
      <c r="Q316" s="152"/>
      <c r="R316" s="152"/>
      <c r="S316" s="152"/>
      <c r="T316" s="152"/>
      <c r="U316" s="152"/>
      <c r="V316" s="152"/>
      <c r="W316" s="82"/>
    </row>
    <row r="317" customFormat="false" ht="12" hidden="false" customHeight="false" outlineLevel="0" collapsed="false">
      <c r="A317" s="79"/>
      <c r="B317" s="63"/>
      <c r="C317" s="152"/>
      <c r="D317" s="152"/>
      <c r="E317" s="152"/>
      <c r="F317" s="152"/>
      <c r="G317" s="152"/>
      <c r="H317" s="152"/>
      <c r="I317" s="152"/>
      <c r="J317" s="152"/>
      <c r="K317" s="152"/>
      <c r="L317" s="152"/>
      <c r="M317" s="152"/>
      <c r="N317" s="152"/>
      <c r="O317" s="152"/>
      <c r="P317" s="152"/>
      <c r="Q317" s="152"/>
      <c r="R317" s="152"/>
      <c r="S317" s="152"/>
      <c r="T317" s="152"/>
      <c r="U317" s="152"/>
      <c r="V317" s="152"/>
      <c r="W317" s="82"/>
    </row>
    <row r="318" customFormat="false" ht="12" hidden="false" customHeight="false" outlineLevel="0" collapsed="false">
      <c r="A318" s="79"/>
      <c r="B318" s="63"/>
      <c r="C318" s="152"/>
      <c r="D318" s="152"/>
      <c r="E318" s="152"/>
      <c r="F318" s="152"/>
      <c r="G318" s="152"/>
      <c r="H318" s="152"/>
      <c r="I318" s="152"/>
      <c r="J318" s="152"/>
      <c r="K318" s="152"/>
      <c r="L318" s="152"/>
      <c r="M318" s="152"/>
      <c r="N318" s="152"/>
      <c r="O318" s="152"/>
      <c r="P318" s="152"/>
      <c r="Q318" s="152"/>
      <c r="R318" s="152"/>
      <c r="S318" s="152"/>
      <c r="T318" s="152"/>
      <c r="U318" s="152"/>
      <c r="V318" s="152"/>
      <c r="W318" s="82"/>
    </row>
    <row r="319" customFormat="false" ht="12" hidden="false" customHeight="false" outlineLevel="0" collapsed="false">
      <c r="A319" s="79"/>
      <c r="B319" s="63"/>
      <c r="C319" s="152"/>
      <c r="D319" s="152"/>
      <c r="E319" s="152"/>
      <c r="F319" s="152"/>
      <c r="G319" s="152"/>
      <c r="H319" s="152"/>
      <c r="I319" s="152"/>
      <c r="J319" s="152"/>
      <c r="K319" s="152"/>
      <c r="L319" s="152"/>
      <c r="M319" s="152"/>
      <c r="N319" s="152"/>
      <c r="O319" s="152"/>
      <c r="P319" s="152"/>
      <c r="Q319" s="152"/>
      <c r="R319" s="152"/>
      <c r="S319" s="152"/>
      <c r="T319" s="152"/>
      <c r="U319" s="152"/>
      <c r="V319" s="152"/>
      <c r="W319" s="82"/>
    </row>
    <row r="320" customFormat="false" ht="12" hidden="false" customHeight="false" outlineLevel="0" collapsed="false">
      <c r="A320" s="79"/>
      <c r="B320" s="63"/>
      <c r="C320" s="152"/>
      <c r="D320" s="152"/>
      <c r="E320" s="152"/>
      <c r="F320" s="152"/>
      <c r="G320" s="152"/>
      <c r="H320" s="152"/>
      <c r="I320" s="152"/>
      <c r="J320" s="152"/>
      <c r="K320" s="152"/>
      <c r="L320" s="152"/>
      <c r="M320" s="152"/>
      <c r="N320" s="152"/>
      <c r="O320" s="152"/>
      <c r="P320" s="152"/>
      <c r="Q320" s="152"/>
      <c r="R320" s="152"/>
      <c r="S320" s="152"/>
      <c r="T320" s="152"/>
      <c r="U320" s="152"/>
      <c r="V320" s="152"/>
      <c r="W320" s="82"/>
    </row>
    <row r="321" customFormat="false" ht="12" hidden="false" customHeight="false" outlineLevel="0" collapsed="false">
      <c r="A321" s="79"/>
      <c r="B321" s="63"/>
      <c r="C321" s="152"/>
      <c r="D321" s="152"/>
      <c r="E321" s="152"/>
      <c r="F321" s="152"/>
      <c r="G321" s="152"/>
      <c r="H321" s="152"/>
      <c r="I321" s="152"/>
      <c r="J321" s="152"/>
      <c r="K321" s="152"/>
      <c r="L321" s="152"/>
      <c r="M321" s="152"/>
      <c r="N321" s="152"/>
      <c r="O321" s="152"/>
      <c r="P321" s="152"/>
      <c r="Q321" s="152"/>
      <c r="R321" s="152"/>
      <c r="S321" s="152"/>
      <c r="T321" s="152"/>
      <c r="U321" s="152"/>
      <c r="V321" s="152"/>
      <c r="W321" s="82"/>
    </row>
    <row r="322" customFormat="false" ht="12" hidden="false" customHeight="false" outlineLevel="0" collapsed="false">
      <c r="A322" s="79"/>
      <c r="B322" s="63"/>
      <c r="C322" s="152"/>
      <c r="D322" s="152"/>
      <c r="E322" s="152"/>
      <c r="F322" s="152"/>
      <c r="G322" s="152"/>
      <c r="H322" s="152"/>
      <c r="I322" s="152"/>
      <c r="J322" s="152"/>
      <c r="K322" s="152"/>
      <c r="L322" s="152"/>
      <c r="M322" s="152"/>
      <c r="N322" s="152"/>
      <c r="O322" s="152"/>
      <c r="P322" s="152"/>
      <c r="Q322" s="152"/>
      <c r="R322" s="152"/>
      <c r="S322" s="152"/>
      <c r="T322" s="152"/>
      <c r="U322" s="152"/>
      <c r="V322" s="152"/>
      <c r="W322" s="82"/>
    </row>
    <row r="323" customFormat="false" ht="12" hidden="false" customHeight="false" outlineLevel="0" collapsed="false">
      <c r="A323" s="79"/>
      <c r="B323" s="63"/>
      <c r="C323" s="152"/>
      <c r="D323" s="152"/>
      <c r="E323" s="152"/>
      <c r="F323" s="152"/>
      <c r="G323" s="152"/>
      <c r="H323" s="152"/>
      <c r="I323" s="152"/>
      <c r="J323" s="152"/>
      <c r="K323" s="152"/>
      <c r="L323" s="152"/>
      <c r="M323" s="152"/>
      <c r="N323" s="152"/>
      <c r="O323" s="152"/>
      <c r="P323" s="152"/>
      <c r="Q323" s="152"/>
      <c r="R323" s="152"/>
      <c r="S323" s="152"/>
      <c r="T323" s="152"/>
      <c r="U323" s="152"/>
      <c r="V323" s="152"/>
      <c r="W323" s="82"/>
    </row>
    <row r="324" customFormat="false" ht="7.5" hidden="false" customHeight="true" outlineLevel="0" collapsed="false">
      <c r="A324" s="93"/>
      <c r="B324" s="94"/>
      <c r="C324" s="94"/>
      <c r="D324" s="94"/>
      <c r="E324" s="94"/>
      <c r="F324" s="94"/>
      <c r="G324" s="94"/>
      <c r="H324" s="94"/>
      <c r="I324" s="94"/>
      <c r="J324" s="94"/>
      <c r="K324" s="94"/>
      <c r="L324" s="94"/>
      <c r="M324" s="94"/>
      <c r="N324" s="94"/>
      <c r="O324" s="94"/>
      <c r="P324" s="94"/>
      <c r="Q324" s="94"/>
      <c r="R324" s="94"/>
      <c r="S324" s="94"/>
      <c r="T324" s="94"/>
      <c r="U324" s="94"/>
      <c r="V324" s="94"/>
      <c r="W324" s="95"/>
    </row>
  </sheetData>
  <mergeCells count="149">
    <mergeCell ref="A1:F2"/>
    <mergeCell ref="G1:M2"/>
    <mergeCell ref="N1:W1"/>
    <mergeCell ref="N2:P2"/>
    <mergeCell ref="Q2:T2"/>
    <mergeCell ref="V2:W2"/>
    <mergeCell ref="A3:W3"/>
    <mergeCell ref="A4:W4"/>
    <mergeCell ref="C8:J8"/>
    <mergeCell ref="O8:P8"/>
    <mergeCell ref="R8:U8"/>
    <mergeCell ref="C10:J10"/>
    <mergeCell ref="A12:W12"/>
    <mergeCell ref="C15:J15"/>
    <mergeCell ref="C17:J17"/>
    <mergeCell ref="S19:V19"/>
    <mergeCell ref="C20:J20"/>
    <mergeCell ref="C22:J22"/>
    <mergeCell ref="N22:Q22"/>
    <mergeCell ref="C24:J24"/>
    <mergeCell ref="S24:V24"/>
    <mergeCell ref="N25:V26"/>
    <mergeCell ref="N27:Q27"/>
    <mergeCell ref="C28:J28"/>
    <mergeCell ref="C30:J30"/>
    <mergeCell ref="N30:Q30"/>
    <mergeCell ref="C33:D33"/>
    <mergeCell ref="N35:Q35"/>
    <mergeCell ref="A37:W37"/>
    <mergeCell ref="A50:W50"/>
    <mergeCell ref="D55:F55"/>
    <mergeCell ref="O55:Q55"/>
    <mergeCell ref="A57:W57"/>
    <mergeCell ref="A58:W58"/>
    <mergeCell ref="D66:F66"/>
    <mergeCell ref="O66:Q66"/>
    <mergeCell ref="D70:F70"/>
    <mergeCell ref="O70:Q70"/>
    <mergeCell ref="D74:F74"/>
    <mergeCell ref="O74:Q74"/>
    <mergeCell ref="D78:F78"/>
    <mergeCell ref="O78:Q78"/>
    <mergeCell ref="D82:F82"/>
    <mergeCell ref="O82:Q82"/>
    <mergeCell ref="D86:F86"/>
    <mergeCell ref="O86:Q86"/>
    <mergeCell ref="D90:F90"/>
    <mergeCell ref="O90:Q90"/>
    <mergeCell ref="D94:F94"/>
    <mergeCell ref="O94:Q94"/>
    <mergeCell ref="D98:F98"/>
    <mergeCell ref="O98:Q98"/>
    <mergeCell ref="D102:F102"/>
    <mergeCell ref="O102:Q102"/>
    <mergeCell ref="D106:F106"/>
    <mergeCell ref="O106:Q106"/>
    <mergeCell ref="D110:F110"/>
    <mergeCell ref="O110:Q110"/>
    <mergeCell ref="D114:F114"/>
    <mergeCell ref="O114:Q114"/>
    <mergeCell ref="D118:F118"/>
    <mergeCell ref="O118:Q118"/>
    <mergeCell ref="D122:F122"/>
    <mergeCell ref="O122:Q122"/>
    <mergeCell ref="A124:W124"/>
    <mergeCell ref="D129:F129"/>
    <mergeCell ref="O129:Q129"/>
    <mergeCell ref="A131:W131"/>
    <mergeCell ref="A132:W132"/>
    <mergeCell ref="A133:W133"/>
    <mergeCell ref="A134:W134"/>
    <mergeCell ref="H136:I136"/>
    <mergeCell ref="D139:F139"/>
    <mergeCell ref="O139:Q139"/>
    <mergeCell ref="G141:H141"/>
    <mergeCell ref="D144:F144"/>
    <mergeCell ref="O144:Q144"/>
    <mergeCell ref="H146:I146"/>
    <mergeCell ref="D147:F147"/>
    <mergeCell ref="O149:Q149"/>
    <mergeCell ref="D152:F152"/>
    <mergeCell ref="O154:Q154"/>
    <mergeCell ref="D156:F156"/>
    <mergeCell ref="D160:F160"/>
    <mergeCell ref="O160:Q160"/>
    <mergeCell ref="A162:W162"/>
    <mergeCell ref="A163:W163"/>
    <mergeCell ref="A164:W164"/>
    <mergeCell ref="D169:F169"/>
    <mergeCell ref="O169:Q169"/>
    <mergeCell ref="D174:F174"/>
    <mergeCell ref="O174:Q174"/>
    <mergeCell ref="D179:F179"/>
    <mergeCell ref="O179:Q179"/>
    <mergeCell ref="A181:W181"/>
    <mergeCell ref="A182:W182"/>
    <mergeCell ref="A183:W183"/>
    <mergeCell ref="A184:W184"/>
    <mergeCell ref="C187:F187"/>
    <mergeCell ref="D188:F188"/>
    <mergeCell ref="C190:F190"/>
    <mergeCell ref="P190:Q190"/>
    <mergeCell ref="O194:Q194"/>
    <mergeCell ref="E197:F197"/>
    <mergeCell ref="O199:Q199"/>
    <mergeCell ref="D201:F201"/>
    <mergeCell ref="O204:Q204"/>
    <mergeCell ref="D206:F206"/>
    <mergeCell ref="D210:F210"/>
    <mergeCell ref="O210:Q210"/>
    <mergeCell ref="A212:W212"/>
    <mergeCell ref="A213:W213"/>
    <mergeCell ref="A214:W214"/>
    <mergeCell ref="D219:F219"/>
    <mergeCell ref="O219:Q219"/>
    <mergeCell ref="D222:F222"/>
    <mergeCell ref="D224:F224"/>
    <mergeCell ref="O224:Q224"/>
    <mergeCell ref="A226:W226"/>
    <mergeCell ref="D231:F231"/>
    <mergeCell ref="O231:Q231"/>
    <mergeCell ref="A233:W233"/>
    <mergeCell ref="A234:W234"/>
    <mergeCell ref="A235:W235"/>
    <mergeCell ref="D241:F241"/>
    <mergeCell ref="O241:Q241"/>
    <mergeCell ref="D245:F245"/>
    <mergeCell ref="O245:Q245"/>
    <mergeCell ref="D249:F249"/>
    <mergeCell ref="O249:Q249"/>
    <mergeCell ref="D253:F253"/>
    <mergeCell ref="P255:R255"/>
    <mergeCell ref="D257:F257"/>
    <mergeCell ref="D261:F261"/>
    <mergeCell ref="P261:R261"/>
    <mergeCell ref="D265:F265"/>
    <mergeCell ref="P265:R265"/>
    <mergeCell ref="D269:F269"/>
    <mergeCell ref="O269:Q269"/>
    <mergeCell ref="O273:Q273"/>
    <mergeCell ref="P277:R277"/>
    <mergeCell ref="A279:W279"/>
    <mergeCell ref="A280:I280"/>
    <mergeCell ref="K280:W280"/>
    <mergeCell ref="A281:W281"/>
    <mergeCell ref="O286:Q286"/>
    <mergeCell ref="G288:I288"/>
    <mergeCell ref="A294:W294"/>
    <mergeCell ref="C298:V323"/>
  </mergeCells>
  <printOptions headings="false" gridLines="false" gridLinesSet="true" horizontalCentered="true" verticalCentered="false"/>
  <pageMargins left="0.433333333333333" right="0.354166666666667" top="0.39375" bottom="0.393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rowBreaks count="5" manualBreakCount="5">
    <brk id="56" man="true" max="16383" min="0"/>
    <brk id="123" man="true" max="16383" min="0"/>
    <brk id="180" man="true" max="16383" min="0"/>
    <brk id="232" man="true" max="16383" min="0"/>
    <brk id="293" man="true" max="16383" min="0"/>
  </row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53" width="25.82"/>
    <col collapsed="false" customWidth="true" hidden="false" outlineLevel="0" max="2" min="2" style="153" width="9.66"/>
    <col collapsed="false" customWidth="true" hidden="false" outlineLevel="0" max="14" min="3" style="154" width="8.49"/>
    <col collapsed="false" customWidth="true" hidden="false" outlineLevel="0" max="15" min="15" style="154" width="0.82"/>
    <col collapsed="false" customWidth="false" hidden="false" outlineLevel="0" max="257" min="16" style="154" width="9.15"/>
  </cols>
  <sheetData>
    <row r="1" customFormat="false" ht="6" hidden="false" customHeight="true" outlineLevel="0" collapsed="false">
      <c r="A1" s="155"/>
      <c r="B1" s="156"/>
      <c r="C1" s="157"/>
      <c r="D1" s="157"/>
      <c r="E1" s="157"/>
      <c r="F1" s="157"/>
      <c r="G1" s="157"/>
      <c r="H1" s="157"/>
      <c r="I1" s="157"/>
      <c r="J1" s="157"/>
      <c r="K1" s="157"/>
      <c r="L1" s="157"/>
      <c r="M1" s="157"/>
      <c r="N1" s="158"/>
      <c r="O1" s="159"/>
    </row>
    <row r="2" customFormat="false" ht="12" hidden="false" customHeight="true" outlineLevel="0" collapsed="false">
      <c r="A2" s="160" t="s">
        <v>260</v>
      </c>
      <c r="B2" s="161" t="s">
        <v>261</v>
      </c>
      <c r="C2" s="162" t="n">
        <f aca="false">Admin!B5</f>
        <v>44681</v>
      </c>
      <c r="D2" s="163" t="n">
        <f aca="false">Admin!B6</f>
        <v>44712</v>
      </c>
      <c r="E2" s="163" t="n">
        <f aca="false">Admin!B7</f>
        <v>44742</v>
      </c>
      <c r="F2" s="162" t="n">
        <f aca="false">Admin!B8</f>
        <v>44773</v>
      </c>
      <c r="G2" s="163" t="n">
        <f aca="false">Admin!B9</f>
        <v>44804</v>
      </c>
      <c r="H2" s="163" t="n">
        <f aca="false">Admin!B10</f>
        <v>44834</v>
      </c>
      <c r="I2" s="162" t="n">
        <f aca="false">Admin!B11</f>
        <v>44865</v>
      </c>
      <c r="J2" s="163" t="n">
        <f aca="false">Admin!B12</f>
        <v>44895</v>
      </c>
      <c r="K2" s="163" t="n">
        <f aca="false">Admin!B13</f>
        <v>44926</v>
      </c>
      <c r="L2" s="162" t="n">
        <f aca="false">Admin!B14</f>
        <v>44957</v>
      </c>
      <c r="M2" s="163" t="n">
        <f aca="false">Admin!B15</f>
        <v>44985</v>
      </c>
      <c r="N2" s="163" t="n">
        <f aca="false">Admin!B16</f>
        <v>45016</v>
      </c>
      <c r="O2" s="164"/>
    </row>
    <row r="3" customFormat="false" ht="12" hidden="false" customHeight="true" outlineLevel="0" collapsed="false">
      <c r="A3" s="160"/>
      <c r="B3" s="165" t="n">
        <f aca="false">Admin!B$17</f>
        <v>45021</v>
      </c>
      <c r="C3" s="162"/>
      <c r="D3" s="163"/>
      <c r="E3" s="163"/>
      <c r="F3" s="162"/>
      <c r="G3" s="163"/>
      <c r="H3" s="163"/>
      <c r="I3" s="162"/>
      <c r="J3" s="163"/>
      <c r="K3" s="163"/>
      <c r="L3" s="162"/>
      <c r="M3" s="163"/>
      <c r="N3" s="163"/>
      <c r="O3" s="164"/>
    </row>
    <row r="4" customFormat="false" ht="12" hidden="false" customHeight="false" outlineLevel="0" collapsed="false">
      <c r="A4" s="160"/>
      <c r="B4" s="166" t="s">
        <v>32</v>
      </c>
      <c r="C4" s="166" t="s">
        <v>32</v>
      </c>
      <c r="D4" s="166" t="s">
        <v>32</v>
      </c>
      <c r="E4" s="166" t="s">
        <v>32</v>
      </c>
      <c r="F4" s="167" t="s">
        <v>32</v>
      </c>
      <c r="G4" s="166" t="s">
        <v>32</v>
      </c>
      <c r="H4" s="166" t="s">
        <v>32</v>
      </c>
      <c r="I4" s="167" t="s">
        <v>32</v>
      </c>
      <c r="J4" s="166" t="s">
        <v>32</v>
      </c>
      <c r="K4" s="166" t="s">
        <v>32</v>
      </c>
      <c r="L4" s="167" t="s">
        <v>32</v>
      </c>
      <c r="M4" s="168" t="s">
        <v>32</v>
      </c>
      <c r="N4" s="166" t="s">
        <v>32</v>
      </c>
      <c r="O4" s="164"/>
    </row>
    <row r="5" customFormat="false" ht="12" hidden="false" customHeight="false" outlineLevel="0" collapsed="false">
      <c r="A5" s="169" t="s">
        <v>262</v>
      </c>
      <c r="B5" s="170" t="n">
        <f aca="false">SUM(C5:N5)</f>
        <v>30000</v>
      </c>
      <c r="C5" s="171" t="n">
        <f aca="false">[2]Apr!$P$1</f>
        <v>2500</v>
      </c>
      <c r="D5" s="171" t="n">
        <f aca="false">[2]May!$P$1</f>
        <v>2500</v>
      </c>
      <c r="E5" s="172" t="n">
        <f aca="false">[2]Jun!$P$1</f>
        <v>2500</v>
      </c>
      <c r="F5" s="171" t="n">
        <f aca="false">[2]Jul!$P$1</f>
        <v>2500</v>
      </c>
      <c r="G5" s="171" t="n">
        <f aca="false">[2]Aug!$P$1</f>
        <v>2500</v>
      </c>
      <c r="H5" s="172" t="n">
        <f aca="false">[2]Sep!$P$1</f>
        <v>2500</v>
      </c>
      <c r="I5" s="171" t="n">
        <f aca="false">[2]Oct!$P$1</f>
        <v>2500</v>
      </c>
      <c r="J5" s="171" t="n">
        <f aca="false">[2]Nov!$P$1</f>
        <v>2500</v>
      </c>
      <c r="K5" s="172" t="n">
        <f aca="false">[2]Dec!$P$1</f>
        <v>2500</v>
      </c>
      <c r="L5" s="171" t="n">
        <f aca="false">[2]Jan!$P$1</f>
        <v>2500</v>
      </c>
      <c r="M5" s="171" t="n">
        <f aca="false">[2]Feb!$P$1</f>
        <v>2500</v>
      </c>
      <c r="N5" s="171" t="n">
        <f aca="false">[2]Mar!$P$1</f>
        <v>2500</v>
      </c>
      <c r="O5" s="164"/>
    </row>
    <row r="6" customFormat="false" ht="12" hidden="false" customHeight="false" outlineLevel="0" collapsed="false">
      <c r="A6" s="169" t="s">
        <v>263</v>
      </c>
      <c r="B6" s="170" t="n">
        <f aca="false">SUM(C6:N6)</f>
        <v>0</v>
      </c>
      <c r="C6" s="171" t="n">
        <f aca="false">[2]Apr!$Q$1</f>
        <v>0</v>
      </c>
      <c r="D6" s="171" t="n">
        <f aca="false">[2]May!$Q$1</f>
        <v>0</v>
      </c>
      <c r="E6" s="172" t="n">
        <f aca="false">[2]Jun!$Q$1</f>
        <v>0</v>
      </c>
      <c r="F6" s="171" t="n">
        <f aca="false">[2]Jul!$Q$1</f>
        <v>0</v>
      </c>
      <c r="G6" s="171" t="n">
        <f aca="false">[2]Aug!$Q$1</f>
        <v>0</v>
      </c>
      <c r="H6" s="172" t="n">
        <f aca="false">[2]Sep!$Q$1</f>
        <v>0</v>
      </c>
      <c r="I6" s="171" t="n">
        <f aca="false">[2]Oct!$Q$1</f>
        <v>0</v>
      </c>
      <c r="J6" s="171" t="n">
        <f aca="false">[2]Nov!$Q$1</f>
        <v>0</v>
      </c>
      <c r="K6" s="172" t="n">
        <f aca="false">[2]Dec!$Q$1</f>
        <v>0</v>
      </c>
      <c r="L6" s="171" t="n">
        <f aca="false">[2]Jan!$Q$1</f>
        <v>0</v>
      </c>
      <c r="M6" s="171" t="n">
        <f aca="false">[2]Feb!$Q$1</f>
        <v>0</v>
      </c>
      <c r="N6" s="171" t="n">
        <f aca="false">[2]Mar!$Q$1</f>
        <v>0</v>
      </c>
      <c r="O6" s="164"/>
    </row>
    <row r="7" customFormat="false" ht="12" hidden="false" customHeight="false" outlineLevel="0" collapsed="false">
      <c r="A7" s="169" t="s">
        <v>264</v>
      </c>
      <c r="B7" s="170" t="n">
        <f aca="false">SUM(C7:N7)</f>
        <v>0</v>
      </c>
      <c r="C7" s="171" t="n">
        <f aca="false">[2]Apr!$R$1</f>
        <v>0</v>
      </c>
      <c r="D7" s="171" t="n">
        <f aca="false">[2]May!$R$1</f>
        <v>0</v>
      </c>
      <c r="E7" s="172" t="n">
        <f aca="false">[2]Jun!$R$1</f>
        <v>0</v>
      </c>
      <c r="F7" s="171" t="n">
        <f aca="false">[2]Jul!$R$1</f>
        <v>0</v>
      </c>
      <c r="G7" s="171" t="n">
        <f aca="false">[2]Aug!$R$1</f>
        <v>0</v>
      </c>
      <c r="H7" s="172" t="n">
        <f aca="false">[2]Sep!$R$1</f>
        <v>0</v>
      </c>
      <c r="I7" s="171" t="n">
        <f aca="false">[2]Oct!$R$1</f>
        <v>0</v>
      </c>
      <c r="J7" s="171" t="n">
        <f aca="false">[2]Nov!$R$1</f>
        <v>0</v>
      </c>
      <c r="K7" s="172" t="n">
        <f aca="false">[2]Dec!$R$1</f>
        <v>0</v>
      </c>
      <c r="L7" s="171" t="n">
        <f aca="false">[2]Jan!$R$1</f>
        <v>0</v>
      </c>
      <c r="M7" s="171" t="n">
        <f aca="false">[2]Feb!$R$1</f>
        <v>0</v>
      </c>
      <c r="N7" s="171" t="n">
        <f aca="false">[2]Mar!$R$1</f>
        <v>0</v>
      </c>
      <c r="O7" s="164"/>
    </row>
    <row r="8" customFormat="false" ht="12" hidden="false" customHeight="false" outlineLevel="0" collapsed="false">
      <c r="A8" s="169" t="s">
        <v>265</v>
      </c>
      <c r="B8" s="170" t="n">
        <f aca="false">SUM(C8:N8)</f>
        <v>0</v>
      </c>
      <c r="C8" s="171" t="n">
        <f aca="false">[2]Apr!$S$1</f>
        <v>0</v>
      </c>
      <c r="D8" s="171" t="n">
        <f aca="false">[2]May!$S$1</f>
        <v>0</v>
      </c>
      <c r="E8" s="172" t="n">
        <f aca="false">[2]Jun!$S$1</f>
        <v>0</v>
      </c>
      <c r="F8" s="171" t="n">
        <f aca="false">[2]Jul!$S$1</f>
        <v>0</v>
      </c>
      <c r="G8" s="171" t="n">
        <f aca="false">[2]Aug!$S$1</f>
        <v>0</v>
      </c>
      <c r="H8" s="172" t="n">
        <f aca="false">[2]Sep!$S$1</f>
        <v>0</v>
      </c>
      <c r="I8" s="171" t="n">
        <f aca="false">[2]Oct!$S$1</f>
        <v>0</v>
      </c>
      <c r="J8" s="171" t="n">
        <f aca="false">[2]Nov!$S$1</f>
        <v>0</v>
      </c>
      <c r="K8" s="172" t="n">
        <f aca="false">[2]Dec!$S$1</f>
        <v>0</v>
      </c>
      <c r="L8" s="171" t="n">
        <f aca="false">[2]Jan!$S$1</f>
        <v>0</v>
      </c>
      <c r="M8" s="171" t="n">
        <f aca="false">[2]Feb!$S$1</f>
        <v>0</v>
      </c>
      <c r="N8" s="171" t="n">
        <f aca="false">[2]Mar!$S$1</f>
        <v>0</v>
      </c>
      <c r="O8" s="164"/>
    </row>
    <row r="9" s="176" customFormat="true" ht="12" hidden="false" customHeight="false" outlineLevel="0" collapsed="false">
      <c r="A9" s="173" t="s">
        <v>266</v>
      </c>
      <c r="B9" s="170" t="n">
        <f aca="false">SUM(B5:B8)</f>
        <v>30000</v>
      </c>
      <c r="C9" s="170" t="n">
        <f aca="false">SUM(C5:C8)</f>
        <v>2500</v>
      </c>
      <c r="D9" s="170" t="n">
        <f aca="false">SUM(D5:D8)</f>
        <v>2500</v>
      </c>
      <c r="E9" s="170" t="n">
        <f aca="false">SUM(E5:E8)</f>
        <v>2500</v>
      </c>
      <c r="F9" s="174" t="n">
        <f aca="false">SUM(F5:F8)</f>
        <v>2500</v>
      </c>
      <c r="G9" s="170" t="n">
        <f aca="false">SUM(G5:G8)</f>
        <v>2500</v>
      </c>
      <c r="H9" s="170" t="n">
        <f aca="false">SUM(H5:H8)</f>
        <v>2500</v>
      </c>
      <c r="I9" s="174" t="n">
        <f aca="false">SUM(I5:I8)</f>
        <v>2500</v>
      </c>
      <c r="J9" s="170" t="n">
        <f aca="false">SUM(J5:J8)</f>
        <v>2500</v>
      </c>
      <c r="K9" s="170" t="n">
        <f aca="false">SUM(K5:K8)</f>
        <v>2500</v>
      </c>
      <c r="L9" s="174" t="n">
        <f aca="false">SUM(L5:L8)</f>
        <v>2500</v>
      </c>
      <c r="M9" s="170" t="n">
        <f aca="false">SUM(M5:M8)</f>
        <v>2500</v>
      </c>
      <c r="N9" s="170" t="n">
        <f aca="false">SUM(N5:N8)</f>
        <v>2500</v>
      </c>
      <c r="O9" s="175"/>
    </row>
    <row r="10" s="178" customFormat="true" ht="6" hidden="false" customHeight="true" outlineLevel="0" collapsed="false">
      <c r="A10" s="173"/>
      <c r="B10" s="177"/>
      <c r="C10" s="177"/>
      <c r="D10" s="177"/>
      <c r="E10" s="177"/>
      <c r="F10" s="177"/>
      <c r="G10" s="177"/>
      <c r="H10" s="177"/>
      <c r="I10" s="177"/>
      <c r="J10" s="177"/>
      <c r="K10" s="177"/>
      <c r="L10" s="177"/>
      <c r="M10" s="177"/>
      <c r="N10" s="177"/>
      <c r="O10" s="175"/>
    </row>
    <row r="11" customFormat="false" ht="12" hidden="false" customHeight="false" outlineLevel="0" collapsed="false">
      <c r="A11" s="169" t="s">
        <v>267</v>
      </c>
      <c r="B11" s="170" t="n">
        <f aca="false">SUM(C11:N11)</f>
        <v>0</v>
      </c>
      <c r="C11" s="171" t="n">
        <f aca="false">[2]Apr!$T$1</f>
        <v>0</v>
      </c>
      <c r="D11" s="171" t="n">
        <f aca="false">[2]May!$T$1</f>
        <v>0</v>
      </c>
      <c r="E11" s="172" t="n">
        <f aca="false">[2]Jun!$T$1</f>
        <v>0</v>
      </c>
      <c r="F11" s="171" t="n">
        <f aca="false">[2]Jul!$T$1</f>
        <v>0</v>
      </c>
      <c r="G11" s="171" t="n">
        <f aca="false">[2]Aug!$T$1</f>
        <v>0</v>
      </c>
      <c r="H11" s="172" t="n">
        <f aca="false">[2]Sep!$T$1</f>
        <v>0</v>
      </c>
      <c r="I11" s="171" t="n">
        <f aca="false">[2]Oct!$T$1</f>
        <v>0</v>
      </c>
      <c r="J11" s="171" t="n">
        <f aca="false">[2]Nov!$T$1</f>
        <v>0</v>
      </c>
      <c r="K11" s="172" t="n">
        <f aca="false">[2]Dec!$T$1</f>
        <v>0</v>
      </c>
      <c r="L11" s="171" t="n">
        <f aca="false">[2]Jan!$T$1</f>
        <v>0</v>
      </c>
      <c r="M11" s="171" t="n">
        <f aca="false">[2]Feb!$T$1</f>
        <v>0</v>
      </c>
      <c r="N11" s="171" t="n">
        <f aca="false">[2]Mar!$T$1</f>
        <v>0</v>
      </c>
      <c r="O11" s="164"/>
    </row>
    <row r="12" s="158" customFormat="true" ht="6" hidden="false" customHeight="true" outlineLevel="0" collapsed="false">
      <c r="A12" s="169"/>
      <c r="B12" s="177"/>
      <c r="C12" s="177"/>
      <c r="D12" s="177"/>
      <c r="E12" s="179"/>
      <c r="F12" s="177"/>
      <c r="G12" s="177"/>
      <c r="H12" s="177"/>
      <c r="I12" s="177"/>
      <c r="J12" s="177"/>
      <c r="K12" s="177"/>
      <c r="L12" s="177"/>
      <c r="M12" s="177"/>
      <c r="N12" s="177"/>
      <c r="O12" s="164"/>
    </row>
    <row r="13" s="176" customFormat="true" ht="10.5" hidden="false" customHeight="true" outlineLevel="0" collapsed="false">
      <c r="A13" s="180" t="s">
        <v>268</v>
      </c>
      <c r="B13" s="177"/>
      <c r="C13" s="177"/>
      <c r="D13" s="177"/>
      <c r="E13" s="179"/>
      <c r="F13" s="177"/>
      <c r="G13" s="177"/>
      <c r="H13" s="177"/>
      <c r="I13" s="177"/>
      <c r="J13" s="177"/>
      <c r="K13" s="177"/>
      <c r="L13" s="177"/>
      <c r="M13" s="177"/>
      <c r="N13" s="177"/>
      <c r="O13" s="175"/>
    </row>
    <row r="14" customFormat="false" ht="12" hidden="false" customHeight="false" outlineLevel="0" collapsed="false">
      <c r="A14" s="169" t="s">
        <v>269</v>
      </c>
      <c r="B14" s="170" t="n">
        <f aca="false">SUM(C14:N14)</f>
        <v>0</v>
      </c>
      <c r="C14" s="171" t="n">
        <f aca="false">[3]Apr!$P$1+StockControl!AB6-StockControl!AB8</f>
        <v>0</v>
      </c>
      <c r="D14" s="171" t="n">
        <f aca="false">[3]May!$P$1+StockControl!AB8-StockControl!AB10</f>
        <v>0</v>
      </c>
      <c r="E14" s="172" t="n">
        <f aca="false">[3]Jun!$P$1+StockControl!AB10-StockControl!AB12</f>
        <v>0</v>
      </c>
      <c r="F14" s="171" t="n">
        <f aca="false">[3]Jul!$P$1+StockControl!AB12-StockControl!AB14</f>
        <v>0</v>
      </c>
      <c r="G14" s="171" t="n">
        <f aca="false">[3]Aug!$P$1+StockControl!AB14-StockControl!AB16</f>
        <v>0</v>
      </c>
      <c r="H14" s="172" t="n">
        <f aca="false">[3]Sep!$P$1+StockControl!AB16-StockControl!AB18</f>
        <v>0</v>
      </c>
      <c r="I14" s="171" t="n">
        <f aca="false">[3]Oct!$P$1+StockControl!AB18-StockControl!AB20</f>
        <v>0</v>
      </c>
      <c r="J14" s="171" t="n">
        <f aca="false">[3]Nov!$P$1+StockControl!AB20-StockControl!AB22</f>
        <v>0</v>
      </c>
      <c r="K14" s="172" t="n">
        <f aca="false">[3]Dec!$P$1+StockControl!AB22-StockControl!AB24</f>
        <v>0</v>
      </c>
      <c r="L14" s="171" t="n">
        <f aca="false">[3]Jan!$P$1+StockControl!AB24-StockControl!AB26</f>
        <v>0</v>
      </c>
      <c r="M14" s="171" t="n">
        <f aca="false">[3]Feb!$P$1+StockControl!AB26-StockControl!AB28</f>
        <v>0</v>
      </c>
      <c r="N14" s="171" t="n">
        <f aca="false">[3]Mar!$P$1+StockControl!AB28-StockControl!AB30</f>
        <v>0</v>
      </c>
      <c r="O14" s="164"/>
    </row>
    <row r="15" customFormat="false" ht="12" hidden="false" customHeight="false" outlineLevel="0" collapsed="false">
      <c r="A15" s="169" t="s">
        <v>270</v>
      </c>
      <c r="B15" s="170" t="n">
        <f aca="false">SUM(C15:N15)</f>
        <v>0</v>
      </c>
      <c r="C15" s="171" t="n">
        <f aca="false">[3]Apr!$Q$1</f>
        <v>0</v>
      </c>
      <c r="D15" s="171" t="n">
        <f aca="false">[3]May!$Q$1</f>
        <v>0</v>
      </c>
      <c r="E15" s="172" t="n">
        <f aca="false">[3]Jun!$Q$1</f>
        <v>0</v>
      </c>
      <c r="F15" s="171" t="n">
        <f aca="false">[3]Jul!$Q$1</f>
        <v>0</v>
      </c>
      <c r="G15" s="171" t="n">
        <f aca="false">[3]Aug!$Q$1</f>
        <v>0</v>
      </c>
      <c r="H15" s="172" t="n">
        <f aca="false">[3]Sep!$Q$1</f>
        <v>0</v>
      </c>
      <c r="I15" s="171" t="n">
        <f aca="false">[3]Oct!$Q$1</f>
        <v>0</v>
      </c>
      <c r="J15" s="171" t="n">
        <f aca="false">[3]Nov!$Q$1</f>
        <v>0</v>
      </c>
      <c r="K15" s="172" t="n">
        <f aca="false">[3]Dec!$Q$1</f>
        <v>0</v>
      </c>
      <c r="L15" s="171" t="n">
        <f aca="false">[3]Jan!$Q$1</f>
        <v>0</v>
      </c>
      <c r="M15" s="171" t="n">
        <f aca="false">[3]Feb!$Q$1</f>
        <v>0</v>
      </c>
      <c r="N15" s="171" t="n">
        <f aca="false">[3]Mar!$Q$1</f>
        <v>0</v>
      </c>
      <c r="O15" s="164"/>
    </row>
    <row r="16" customFormat="false" ht="12" hidden="false" customHeight="false" outlineLevel="0" collapsed="false">
      <c r="A16" s="169" t="s">
        <v>271</v>
      </c>
      <c r="B16" s="170" t="n">
        <f aca="false">SUM(C16:N16)</f>
        <v>0</v>
      </c>
      <c r="C16" s="171" t="n">
        <f aca="false">[3]Apr!$R$1</f>
        <v>0</v>
      </c>
      <c r="D16" s="171" t="n">
        <f aca="false">[3]May!$R$1</f>
        <v>0</v>
      </c>
      <c r="E16" s="172" t="n">
        <f aca="false">[3]Jun!$R$1</f>
        <v>0</v>
      </c>
      <c r="F16" s="171" t="n">
        <f aca="false">[3]Jul!$R$1</f>
        <v>0</v>
      </c>
      <c r="G16" s="171" t="n">
        <f aca="false">[3]Aug!$R$1</f>
        <v>0</v>
      </c>
      <c r="H16" s="172" t="n">
        <f aca="false">[3]Sep!$R$1</f>
        <v>0</v>
      </c>
      <c r="I16" s="171" t="n">
        <f aca="false">[3]Oct!$R$1</f>
        <v>0</v>
      </c>
      <c r="J16" s="171" t="n">
        <f aca="false">[3]Nov!$R$1</f>
        <v>0</v>
      </c>
      <c r="K16" s="172" t="n">
        <f aca="false">[3]Dec!$R$1</f>
        <v>0</v>
      </c>
      <c r="L16" s="171" t="n">
        <f aca="false">[3]Jan!$R$1</f>
        <v>0</v>
      </c>
      <c r="M16" s="171" t="n">
        <f aca="false">[3]Feb!$R$1</f>
        <v>0</v>
      </c>
      <c r="N16" s="171" t="n">
        <f aca="false">[3]Mar!$R$1</f>
        <v>0</v>
      </c>
      <c r="O16" s="164"/>
    </row>
    <row r="17" s="176" customFormat="true" ht="12" hidden="false" customHeight="false" outlineLevel="0" collapsed="false">
      <c r="A17" s="173" t="s">
        <v>272</v>
      </c>
      <c r="B17" s="170" t="n">
        <f aca="false">SUM(B14:B16)</f>
        <v>0</v>
      </c>
      <c r="C17" s="170" t="n">
        <f aca="false">SUM(C14:C16)</f>
        <v>0</v>
      </c>
      <c r="D17" s="170" t="n">
        <f aca="false">SUM(D14:D16)</f>
        <v>0</v>
      </c>
      <c r="E17" s="170" t="n">
        <f aca="false">SUM(E14:E16)</f>
        <v>0</v>
      </c>
      <c r="F17" s="174" t="n">
        <f aca="false">SUM(F14:F16)</f>
        <v>0</v>
      </c>
      <c r="G17" s="170" t="n">
        <f aca="false">SUM(G14:G16)</f>
        <v>0</v>
      </c>
      <c r="H17" s="170" t="n">
        <f aca="false">SUM(H14:H16)</f>
        <v>0</v>
      </c>
      <c r="I17" s="174" t="n">
        <f aca="false">SUM(I14:I16)</f>
        <v>0</v>
      </c>
      <c r="J17" s="170" t="n">
        <f aca="false">SUM(J14:J16)</f>
        <v>0</v>
      </c>
      <c r="K17" s="170" t="n">
        <f aca="false">SUM(K14:K16)</f>
        <v>0</v>
      </c>
      <c r="L17" s="174" t="n">
        <f aca="false">SUM(L14:L16)</f>
        <v>0</v>
      </c>
      <c r="M17" s="170" t="n">
        <f aca="false">SUM(M14:M16)</f>
        <v>0</v>
      </c>
      <c r="N17" s="170" t="n">
        <f aca="false">SUM(N14:N16)</f>
        <v>0</v>
      </c>
      <c r="O17" s="175"/>
    </row>
    <row r="18" s="176" customFormat="true" ht="7.5" hidden="false" customHeight="true" outlineLevel="0" collapsed="false">
      <c r="A18" s="173"/>
      <c r="B18" s="177"/>
      <c r="C18" s="177"/>
      <c r="D18" s="177"/>
      <c r="E18" s="177"/>
      <c r="F18" s="177"/>
      <c r="G18" s="177"/>
      <c r="H18" s="177"/>
      <c r="I18" s="177"/>
      <c r="J18" s="177"/>
      <c r="K18" s="177"/>
      <c r="L18" s="177"/>
      <c r="M18" s="177"/>
      <c r="N18" s="177"/>
      <c r="O18" s="175"/>
    </row>
    <row r="19" s="176" customFormat="true" ht="12" hidden="false" customHeight="false" outlineLevel="0" collapsed="false">
      <c r="A19" s="173" t="s">
        <v>273</v>
      </c>
      <c r="B19" s="170" t="n">
        <f aca="false">B9+B11-B17</f>
        <v>30000</v>
      </c>
      <c r="C19" s="170" t="n">
        <f aca="false">C9+C11-C17</f>
        <v>2500</v>
      </c>
      <c r="D19" s="170" t="n">
        <f aca="false">D9+D11-D17</f>
        <v>2500</v>
      </c>
      <c r="E19" s="170" t="n">
        <f aca="false">E9+E11-E17</f>
        <v>2500</v>
      </c>
      <c r="F19" s="174" t="n">
        <f aca="false">F9+F11-F17</f>
        <v>2500</v>
      </c>
      <c r="G19" s="170" t="n">
        <f aca="false">G9+G11-G17</f>
        <v>2500</v>
      </c>
      <c r="H19" s="170" t="n">
        <f aca="false">H9+H11-H17</f>
        <v>2500</v>
      </c>
      <c r="I19" s="174" t="n">
        <f aca="false">I9+I11-I17</f>
        <v>2500</v>
      </c>
      <c r="J19" s="170" t="n">
        <f aca="false">J9+J11-J17</f>
        <v>2500</v>
      </c>
      <c r="K19" s="170" t="n">
        <f aca="false">K9+K11-K17</f>
        <v>2500</v>
      </c>
      <c r="L19" s="174" t="n">
        <f aca="false">L9+L11-L17</f>
        <v>2500</v>
      </c>
      <c r="M19" s="170" t="n">
        <f aca="false">M9+M11-M17</f>
        <v>2500</v>
      </c>
      <c r="N19" s="170" t="n">
        <f aca="false">N9+N11-N17</f>
        <v>2500</v>
      </c>
      <c r="O19" s="175"/>
    </row>
    <row r="20" s="176" customFormat="true" ht="10.5" hidden="false" customHeight="true" outlineLevel="0" collapsed="false">
      <c r="A20" s="180" t="s">
        <v>274</v>
      </c>
      <c r="B20" s="177"/>
      <c r="C20" s="181"/>
      <c r="D20" s="181"/>
      <c r="E20" s="181"/>
      <c r="F20" s="181"/>
      <c r="G20" s="181"/>
      <c r="H20" s="181"/>
      <c r="I20" s="181"/>
      <c r="J20" s="181"/>
      <c r="K20" s="181"/>
      <c r="L20" s="181"/>
      <c r="M20" s="181"/>
      <c r="N20" s="181"/>
      <c r="O20" s="175"/>
    </row>
    <row r="21" customFormat="false" ht="12" hidden="false" customHeight="false" outlineLevel="0" collapsed="false">
      <c r="A21" s="169" t="s">
        <v>275</v>
      </c>
      <c r="B21" s="170" t="n">
        <f aca="false">SUM(C21:N21)</f>
        <v>0</v>
      </c>
      <c r="C21" s="171" t="n">
        <f aca="false">[3]Apr!$S$1+Wagesinterface!C4+Wagesinterface!H4-Wagesinterface!I4</f>
        <v>0</v>
      </c>
      <c r="D21" s="171" t="n">
        <f aca="false">[3]May!$S$1+Wagesinterface!C5+Wagesinterface!H5-Wagesinterface!I5</f>
        <v>0</v>
      </c>
      <c r="E21" s="172" t="n">
        <f aca="false">[3]Jun!$S$1+Wagesinterface!C6+Wagesinterface!H6-Wagesinterface!I6</f>
        <v>0</v>
      </c>
      <c r="F21" s="171" t="n">
        <f aca="false">[3]Jul!$S$1+Wagesinterface!C7+Wagesinterface!H7-Wagesinterface!I7</f>
        <v>0</v>
      </c>
      <c r="G21" s="171" t="n">
        <f aca="false">[3]Aug!$S$1+Wagesinterface!C8+Wagesinterface!H8-Wagesinterface!I8</f>
        <v>0</v>
      </c>
      <c r="H21" s="172" t="n">
        <f aca="false">[3]Sep!$S$1+Wagesinterface!C9+Wagesinterface!H9-Wagesinterface!I9</f>
        <v>0</v>
      </c>
      <c r="I21" s="171" t="n">
        <f aca="false">[3]Oct!$S$1+Wagesinterface!C10+Wagesinterface!H10-Wagesinterface!I10</f>
        <v>0</v>
      </c>
      <c r="J21" s="171" t="n">
        <f aca="false">[3]Nov!$S$1+Wagesinterface!C11+Wagesinterface!H11-Wagesinterface!I11</f>
        <v>0</v>
      </c>
      <c r="K21" s="172" t="n">
        <f aca="false">[3]Dec!$S$1+Wagesinterface!C12+Wagesinterface!H12-Wagesinterface!I12</f>
        <v>0</v>
      </c>
      <c r="L21" s="171" t="n">
        <f aca="false">[3]Jan!$S$1+Wagesinterface!C13+Wagesinterface!H13-Wagesinterface!I13</f>
        <v>0</v>
      </c>
      <c r="M21" s="171" t="n">
        <f aca="false">[3]Feb!$S$1+Wagesinterface!C14+Wagesinterface!H14-Wagesinterface!I14</f>
        <v>0</v>
      </c>
      <c r="N21" s="171" t="n">
        <f aca="false">[3]Mar!$S$1+Wagesinterface!C15+Wagesinterface!H15-Wagesinterface!I15</f>
        <v>0</v>
      </c>
      <c r="O21" s="164"/>
    </row>
    <row r="22" customFormat="false" ht="12" hidden="false" customHeight="false" outlineLevel="0" collapsed="false">
      <c r="A22" s="182" t="s">
        <v>276</v>
      </c>
      <c r="B22" s="170" t="n">
        <f aca="false">SUM(C22:N22)</f>
        <v>1800</v>
      </c>
      <c r="C22" s="171" t="n">
        <f aca="false">[3]Apr!$T$1</f>
        <v>0</v>
      </c>
      <c r="D22" s="171" t="n">
        <f aca="false">[3]May!$T$1</f>
        <v>600</v>
      </c>
      <c r="E22" s="172" t="n">
        <f aca="false">[3]Jun!$T$1</f>
        <v>0</v>
      </c>
      <c r="F22" s="171" t="n">
        <f aca="false">[3]Jul!$T$1</f>
        <v>0</v>
      </c>
      <c r="G22" s="171" t="n">
        <f aca="false">[3]Aug!$T$1</f>
        <v>0</v>
      </c>
      <c r="H22" s="172" t="n">
        <f aca="false">[3]Sep!$T$1</f>
        <v>0</v>
      </c>
      <c r="I22" s="171" t="n">
        <f aca="false">[3]Oct!$T$1</f>
        <v>600</v>
      </c>
      <c r="J22" s="171" t="n">
        <f aca="false">[3]Nov!$T$1</f>
        <v>0</v>
      </c>
      <c r="K22" s="172" t="n">
        <f aca="false">[3]Dec!$T$1</f>
        <v>0</v>
      </c>
      <c r="L22" s="171" t="n">
        <f aca="false">[3]Jan!$T$1</f>
        <v>0</v>
      </c>
      <c r="M22" s="171" t="n">
        <f aca="false">[3]Feb!$T$1</f>
        <v>600</v>
      </c>
      <c r="N22" s="171" t="n">
        <f aca="false">[3]Mar!$T$1</f>
        <v>0</v>
      </c>
      <c r="O22" s="164"/>
    </row>
    <row r="23" customFormat="false" ht="12" hidden="false" customHeight="false" outlineLevel="0" collapsed="false">
      <c r="A23" s="182" t="s">
        <v>277</v>
      </c>
      <c r="B23" s="170" t="n">
        <f aca="false">SUM(C23:N23)</f>
        <v>480</v>
      </c>
      <c r="C23" s="171" t="n">
        <f aca="false">[3]Apr!$U$1</f>
        <v>0</v>
      </c>
      <c r="D23" s="171" t="n">
        <f aca="false">[3]May!$U$1</f>
        <v>0</v>
      </c>
      <c r="E23" s="172" t="n">
        <f aca="false">[3]Jun!$U$1</f>
        <v>0</v>
      </c>
      <c r="F23" s="171" t="n">
        <f aca="false">[3]Jul!$U$1</f>
        <v>0</v>
      </c>
      <c r="G23" s="171" t="n">
        <f aca="false">[3]Aug!$U$1</f>
        <v>0</v>
      </c>
      <c r="H23" s="172" t="n">
        <f aca="false">[3]Sep!$U$1</f>
        <v>0</v>
      </c>
      <c r="I23" s="171" t="n">
        <f aca="false">[3]Oct!$U$1</f>
        <v>0</v>
      </c>
      <c r="J23" s="171" t="n">
        <f aca="false">[3]Nov!$U$1</f>
        <v>0</v>
      </c>
      <c r="K23" s="172" t="n">
        <f aca="false">[3]Dec!$U$1</f>
        <v>0</v>
      </c>
      <c r="L23" s="171" t="n">
        <f aca="false">[3]Jan!$U$1</f>
        <v>480</v>
      </c>
      <c r="M23" s="171" t="n">
        <f aca="false">[3]Feb!$U$1</f>
        <v>0</v>
      </c>
      <c r="N23" s="171" t="n">
        <f aca="false">[3]Mar!$U$1</f>
        <v>0</v>
      </c>
      <c r="O23" s="164"/>
    </row>
    <row r="24" customFormat="false" ht="12" hidden="false" customHeight="false" outlineLevel="0" collapsed="false">
      <c r="A24" s="182" t="s">
        <v>278</v>
      </c>
      <c r="B24" s="170" t="n">
        <f aca="false">SUM(C24:N24)</f>
        <v>660</v>
      </c>
      <c r="C24" s="171" t="n">
        <f aca="false">[3]Apr!$V$1</f>
        <v>120</v>
      </c>
      <c r="D24" s="171" t="n">
        <f aca="false">[3]May!$V$1</f>
        <v>0</v>
      </c>
      <c r="E24" s="172" t="n">
        <f aca="false">[3]Jun!$V$1</f>
        <v>0</v>
      </c>
      <c r="F24" s="171" t="n">
        <f aca="false">[3]Jul!$V$1</f>
        <v>0</v>
      </c>
      <c r="G24" s="171" t="n">
        <f aca="false">[3]Aug!$V$1</f>
        <v>0</v>
      </c>
      <c r="H24" s="172" t="n">
        <f aca="false">[3]Sep!$V$1</f>
        <v>0</v>
      </c>
      <c r="I24" s="171" t="n">
        <f aca="false">[3]Oct!$V$1</f>
        <v>0</v>
      </c>
      <c r="J24" s="171" t="n">
        <f aca="false">[3]Nov!$V$1</f>
        <v>120</v>
      </c>
      <c r="K24" s="172" t="n">
        <f aca="false">[3]Dec!$V$1</f>
        <v>0</v>
      </c>
      <c r="L24" s="171" t="n">
        <f aca="false">[3]Jan!$V$1</f>
        <v>0</v>
      </c>
      <c r="M24" s="171" t="n">
        <f aca="false">[3]Feb!$V$1</f>
        <v>0</v>
      </c>
      <c r="N24" s="171" t="n">
        <f aca="false">[3]Mar!$V$1</f>
        <v>420</v>
      </c>
      <c r="O24" s="164"/>
    </row>
    <row r="25" customFormat="false" ht="12" hidden="false" customHeight="false" outlineLevel="0" collapsed="false">
      <c r="A25" s="182" t="s">
        <v>279</v>
      </c>
      <c r="B25" s="170" t="n">
        <f aca="false">SUM(C25:N25)</f>
        <v>300</v>
      </c>
      <c r="C25" s="171" t="n">
        <f aca="false">[3]Apr!$W$1</f>
        <v>0</v>
      </c>
      <c r="D25" s="171" t="n">
        <f aca="false">[3]May!$W$1</f>
        <v>0</v>
      </c>
      <c r="E25" s="172" t="n">
        <f aca="false">[3]Jun!$W$1</f>
        <v>0</v>
      </c>
      <c r="F25" s="171" t="n">
        <f aca="false">[3]Jul!$W$1</f>
        <v>0</v>
      </c>
      <c r="G25" s="171" t="n">
        <f aca="false">[3]Aug!$W$1</f>
        <v>300</v>
      </c>
      <c r="H25" s="172" t="n">
        <f aca="false">[3]Sep!$W$1</f>
        <v>0</v>
      </c>
      <c r="I25" s="171" t="n">
        <f aca="false">[3]Oct!$W$1</f>
        <v>0</v>
      </c>
      <c r="J25" s="171" t="n">
        <f aca="false">[3]Nov!$W$1</f>
        <v>0</v>
      </c>
      <c r="K25" s="172" t="n">
        <f aca="false">[3]Dec!$W$1</f>
        <v>0</v>
      </c>
      <c r="L25" s="171" t="n">
        <f aca="false">[3]Jan!$W$1</f>
        <v>0</v>
      </c>
      <c r="M25" s="171" t="n">
        <f aca="false">[3]Feb!$W$1</f>
        <v>0</v>
      </c>
      <c r="N25" s="171" t="n">
        <f aca="false">[3]Mar!$W$1</f>
        <v>0</v>
      </c>
      <c r="O25" s="164"/>
    </row>
    <row r="26" customFormat="false" ht="12" hidden="false" customHeight="false" outlineLevel="0" collapsed="false">
      <c r="A26" s="182" t="s">
        <v>280</v>
      </c>
      <c r="B26" s="170" t="n">
        <f aca="false">SUM(C26:N26)</f>
        <v>0</v>
      </c>
      <c r="C26" s="171" t="n">
        <f aca="false">[3]Apr!$X$1</f>
        <v>0</v>
      </c>
      <c r="D26" s="171" t="n">
        <f aca="false">[3]May!$X$1</f>
        <v>0</v>
      </c>
      <c r="E26" s="172" t="n">
        <f aca="false">[3]Jun!$X$1</f>
        <v>0</v>
      </c>
      <c r="F26" s="171" t="n">
        <f aca="false">[3]Jul!$X$1</f>
        <v>0</v>
      </c>
      <c r="G26" s="171" t="n">
        <f aca="false">[3]Aug!$X$1</f>
        <v>0</v>
      </c>
      <c r="H26" s="172" t="n">
        <f aca="false">[3]Sep!$X$1</f>
        <v>0</v>
      </c>
      <c r="I26" s="171" t="n">
        <f aca="false">[3]Oct!$X$1</f>
        <v>0</v>
      </c>
      <c r="J26" s="171" t="n">
        <f aca="false">[3]Nov!$X$1</f>
        <v>0</v>
      </c>
      <c r="K26" s="172" t="n">
        <f aca="false">[3]Dec!$X$1</f>
        <v>0</v>
      </c>
      <c r="L26" s="171" t="n">
        <f aca="false">[3]Jan!$X$1</f>
        <v>0</v>
      </c>
      <c r="M26" s="171" t="n">
        <f aca="false">[3]Feb!$X$1</f>
        <v>0</v>
      </c>
      <c r="N26" s="171" t="n">
        <f aca="false">[3]Mar!$X$1</f>
        <v>0</v>
      </c>
      <c r="O26" s="164"/>
    </row>
    <row r="27" customFormat="false" ht="12" hidden="false" customHeight="false" outlineLevel="0" collapsed="false">
      <c r="A27" s="182" t="s">
        <v>281</v>
      </c>
      <c r="B27" s="170" t="n">
        <f aca="false">SUM(C27:N27)</f>
        <v>0</v>
      </c>
      <c r="C27" s="171" t="n">
        <f aca="false">[3]Apr!$Y$1</f>
        <v>0</v>
      </c>
      <c r="D27" s="171" t="n">
        <f aca="false">[3]May!$Y$1</f>
        <v>0</v>
      </c>
      <c r="E27" s="172" t="n">
        <f aca="false">[3]Jun!$Y$1</f>
        <v>0</v>
      </c>
      <c r="F27" s="171" t="n">
        <f aca="false">[3]Jul!$Y$1</f>
        <v>0</v>
      </c>
      <c r="G27" s="171" t="n">
        <f aca="false">[3]Aug!$Y$1</f>
        <v>0</v>
      </c>
      <c r="H27" s="172" t="n">
        <f aca="false">[3]Sep!$Y$1</f>
        <v>0</v>
      </c>
      <c r="I27" s="171" t="n">
        <f aca="false">[3]Oct!$Y$1</f>
        <v>0</v>
      </c>
      <c r="J27" s="171" t="n">
        <f aca="false">[3]Nov!$Y$1</f>
        <v>0</v>
      </c>
      <c r="K27" s="172" t="n">
        <f aca="false">[3]Dec!$Y$1</f>
        <v>0</v>
      </c>
      <c r="L27" s="171" t="n">
        <f aca="false">[3]Jan!$Y$1</f>
        <v>0</v>
      </c>
      <c r="M27" s="171" t="n">
        <f aca="false">[3]Feb!$Y$1</f>
        <v>0</v>
      </c>
      <c r="N27" s="171" t="n">
        <f aca="false">[3]Mar!$Y$1</f>
        <v>0</v>
      </c>
      <c r="O27" s="164"/>
    </row>
    <row r="28" customFormat="false" ht="12" hidden="false" customHeight="false" outlineLevel="0" collapsed="false">
      <c r="A28" s="182" t="s">
        <v>282</v>
      </c>
      <c r="B28" s="170" t="n">
        <f aca="false">SUM(C28:N28)</f>
        <v>960</v>
      </c>
      <c r="C28" s="171" t="n">
        <f aca="false">[3]Apr!$Z$1</f>
        <v>0</v>
      </c>
      <c r="D28" s="171" t="n">
        <f aca="false">[3]May!$Z$1</f>
        <v>0</v>
      </c>
      <c r="E28" s="172" t="n">
        <f aca="false">[3]Jun!$Z$1</f>
        <v>0</v>
      </c>
      <c r="F28" s="171" t="n">
        <f aca="false">[3]Jul!$Z$1</f>
        <v>480</v>
      </c>
      <c r="G28" s="171" t="n">
        <f aca="false">[3]Aug!$Z$1</f>
        <v>0</v>
      </c>
      <c r="H28" s="172" t="n">
        <f aca="false">[3]Sep!$Z$1</f>
        <v>0</v>
      </c>
      <c r="I28" s="171" t="n">
        <f aca="false">[3]Oct!$Z$1</f>
        <v>0</v>
      </c>
      <c r="J28" s="171" t="n">
        <f aca="false">[3]Nov!$Z$1</f>
        <v>0</v>
      </c>
      <c r="K28" s="172" t="n">
        <f aca="false">[3]Dec!$Z$1</f>
        <v>0</v>
      </c>
      <c r="L28" s="171" t="n">
        <f aca="false">[3]Jan!$Z$1</f>
        <v>0</v>
      </c>
      <c r="M28" s="171" t="n">
        <f aca="false">[3]Feb!$Z$1</f>
        <v>0</v>
      </c>
      <c r="N28" s="171" t="n">
        <f aca="false">[3]Mar!$Z$1</f>
        <v>480</v>
      </c>
      <c r="O28" s="164"/>
    </row>
    <row r="29" customFormat="false" ht="12" hidden="false" customHeight="false" outlineLevel="0" collapsed="false">
      <c r="A29" s="182" t="s">
        <v>283</v>
      </c>
      <c r="B29" s="170" t="n">
        <f aca="false">SUM(C29:N29)</f>
        <v>0</v>
      </c>
      <c r="C29" s="171" t="n">
        <f aca="false">-[2]Apr!$U$1</f>
        <v>-0</v>
      </c>
      <c r="D29" s="171" t="n">
        <f aca="false">-[2]May!$U$1</f>
        <v>-0</v>
      </c>
      <c r="E29" s="172" t="n">
        <f aca="false">-[2]Jun!$U$1</f>
        <v>-0</v>
      </c>
      <c r="F29" s="171" t="n">
        <f aca="false">-[2]Jul!$U$1</f>
        <v>-0</v>
      </c>
      <c r="G29" s="171" t="n">
        <f aca="false">-[2]Aug!$U$1</f>
        <v>-0</v>
      </c>
      <c r="H29" s="172" t="n">
        <f aca="false">-[2]Sep!$U$1</f>
        <v>-0</v>
      </c>
      <c r="I29" s="171" t="n">
        <f aca="false">-[2]Oct!$U$1</f>
        <v>-0</v>
      </c>
      <c r="J29" s="171" t="n">
        <f aca="false">-[2]Nov!$U$1</f>
        <v>-0</v>
      </c>
      <c r="K29" s="172" t="n">
        <f aca="false">-[2]Dec!$U$1</f>
        <v>-0</v>
      </c>
      <c r="L29" s="171" t="n">
        <f aca="false">-[2]Jan!$U$1</f>
        <v>-0</v>
      </c>
      <c r="M29" s="171" t="n">
        <f aca="false">-[2]Feb!$U$1</f>
        <v>-0</v>
      </c>
      <c r="N29" s="171" t="n">
        <f aca="false">-[2]Mar!$U$1</f>
        <v>-0</v>
      </c>
      <c r="O29" s="164"/>
    </row>
    <row r="30" customFormat="false" ht="12" hidden="false" customHeight="false" outlineLevel="0" collapsed="false">
      <c r="A30" s="182" t="s">
        <v>284</v>
      </c>
      <c r="B30" s="170" t="n">
        <f aca="false">SUM(C30:N30)</f>
        <v>0</v>
      </c>
      <c r="C30" s="171" t="n">
        <f aca="false">[4]Apr!$Z$1</f>
        <v>0</v>
      </c>
      <c r="D30" s="171" t="n">
        <f aca="false">[4]May!$Z$1</f>
        <v>0</v>
      </c>
      <c r="E30" s="172" t="n">
        <f aca="false">[4]Jun!$Z$1</f>
        <v>0</v>
      </c>
      <c r="F30" s="171" t="n">
        <f aca="false">[4]Jul!$Z$1</f>
        <v>0</v>
      </c>
      <c r="G30" s="171" t="n">
        <f aca="false">[4]Aug!$Z$1</f>
        <v>0</v>
      </c>
      <c r="H30" s="172" t="n">
        <f aca="false">[4]Sep!$Z$1</f>
        <v>0</v>
      </c>
      <c r="I30" s="171" t="n">
        <f aca="false">[4]Oct!$Z$1</f>
        <v>0</v>
      </c>
      <c r="J30" s="171" t="n">
        <f aca="false">[4]Nov!$Z$1</f>
        <v>0</v>
      </c>
      <c r="K30" s="172" t="n">
        <f aca="false">[4]Dec!$Z$1</f>
        <v>0</v>
      </c>
      <c r="L30" s="171" t="n">
        <f aca="false">[4]Jan!$Z$1</f>
        <v>0</v>
      </c>
      <c r="M30" s="171" t="n">
        <f aca="false">[4]Feb!$Z$1</f>
        <v>0</v>
      </c>
      <c r="N30" s="171" t="n">
        <f aca="false">[4]Mar!$Z$1</f>
        <v>0</v>
      </c>
      <c r="O30" s="164"/>
    </row>
    <row r="31" customFormat="false" ht="12" hidden="false" customHeight="false" outlineLevel="0" collapsed="false">
      <c r="A31" s="182" t="s">
        <v>285</v>
      </c>
      <c r="B31" s="170" t="n">
        <f aca="false">SUM(C31:N31)</f>
        <v>0</v>
      </c>
      <c r="C31" s="171" t="n">
        <f aca="false">[5]Apr!$V$1+[4]Apr!$Y$1</f>
        <v>0</v>
      </c>
      <c r="D31" s="171" t="n">
        <f aca="false">[5]May!$V$1+[4]May!$Y$1</f>
        <v>0</v>
      </c>
      <c r="E31" s="172" t="n">
        <f aca="false">[5]Jun!$V$1+[4]Jun!$Y$1</f>
        <v>0</v>
      </c>
      <c r="F31" s="171" t="n">
        <f aca="false">[5]Jul!$V$1+[4]Jul!$Y$1</f>
        <v>0</v>
      </c>
      <c r="G31" s="171" t="n">
        <f aca="false">[5]Aug!$V$1+[4]Aug!$Y$1</f>
        <v>0</v>
      </c>
      <c r="H31" s="172" t="n">
        <f aca="false">[5]Sep!$V$1+[4]Sep!$Y$1</f>
        <v>0</v>
      </c>
      <c r="I31" s="171" t="n">
        <f aca="false">[5]Oct!$V$1+[4]Oct!$Y$1</f>
        <v>0</v>
      </c>
      <c r="J31" s="171" t="n">
        <f aca="false">[5]Nov!$V$1+[4]Nov!$Y$1</f>
        <v>0</v>
      </c>
      <c r="K31" s="172" t="n">
        <f aca="false">[5]Dec!$V$1+[4]Dec!$Y$1</f>
        <v>0</v>
      </c>
      <c r="L31" s="171" t="n">
        <f aca="false">[5]Jan!$V$1+[4]Jan!$Y$1</f>
        <v>0</v>
      </c>
      <c r="M31" s="171" t="n">
        <f aca="false">[5]Feb!$V$1+[4]Feb!$Y$1</f>
        <v>0</v>
      </c>
      <c r="N31" s="171" t="n">
        <f aca="false">[5]Mar!$V$1+[4]Mar!$Y$1</f>
        <v>0</v>
      </c>
      <c r="O31" s="164"/>
    </row>
    <row r="32" customFormat="false" ht="12" hidden="false" customHeight="false" outlineLevel="0" collapsed="false">
      <c r="A32" s="182" t="s">
        <v>286</v>
      </c>
      <c r="B32" s="170" t="n">
        <f aca="false">SUM(C32:N32)</f>
        <v>0</v>
      </c>
      <c r="C32" s="171" t="n">
        <f aca="false">[3]Apr!$AA$1</f>
        <v>0</v>
      </c>
      <c r="D32" s="171" t="n">
        <f aca="false">[3]May!$AA$1</f>
        <v>0</v>
      </c>
      <c r="E32" s="172" t="n">
        <f aca="false">[3]Jun!$AA$1</f>
        <v>0</v>
      </c>
      <c r="F32" s="171" t="n">
        <f aca="false">[3]Jul!$AA$1</f>
        <v>0</v>
      </c>
      <c r="G32" s="171" t="n">
        <f aca="false">[3]Aug!$AA$1</f>
        <v>0</v>
      </c>
      <c r="H32" s="172" t="n">
        <f aca="false">[3]Sep!$AA$1</f>
        <v>0</v>
      </c>
      <c r="I32" s="171" t="n">
        <f aca="false">[3]Oct!$AA$1</f>
        <v>0</v>
      </c>
      <c r="J32" s="171" t="n">
        <f aca="false">[3]Nov!$AA$1</f>
        <v>0</v>
      </c>
      <c r="K32" s="172" t="n">
        <f aca="false">[3]Dec!$AA$1</f>
        <v>0</v>
      </c>
      <c r="L32" s="171" t="n">
        <f aca="false">[3]Jan!$AA$1</f>
        <v>0</v>
      </c>
      <c r="M32" s="171" t="n">
        <f aca="false">[3]Feb!$AA$1</f>
        <v>0</v>
      </c>
      <c r="N32" s="171" t="n">
        <f aca="false">[3]Mar!$AA$1</f>
        <v>0</v>
      </c>
      <c r="O32" s="164"/>
    </row>
    <row r="33" customFormat="false" ht="12" hidden="false" customHeight="false" outlineLevel="0" collapsed="false">
      <c r="A33" s="169" t="s">
        <v>287</v>
      </c>
      <c r="B33" s="170" t="n">
        <f aca="false">SUM(C33:N33)</f>
        <v>0</v>
      </c>
      <c r="C33" s="171" t="n">
        <f aca="false">-([1]Schedule!$V$1-[1]Schedule!$W$1+[1]Schedule!$X$1)/12</f>
        <v>-0</v>
      </c>
      <c r="D33" s="171" t="n">
        <f aca="false">-([1]Schedule!$V$1-[1]Schedule!$W$1+[1]Schedule!$X$1)/12</f>
        <v>-0</v>
      </c>
      <c r="E33" s="172" t="n">
        <f aca="false">-([1]Schedule!$V$1-[1]Schedule!$W$1+[1]Schedule!$X$1)/12</f>
        <v>-0</v>
      </c>
      <c r="F33" s="171" t="n">
        <f aca="false">-([1]Schedule!$V$1-[1]Schedule!$W$1+[1]Schedule!$X$1)/12</f>
        <v>-0</v>
      </c>
      <c r="G33" s="171" t="n">
        <f aca="false">-([1]Schedule!$V$1-[1]Schedule!$W$1+[1]Schedule!$X$1)/12</f>
        <v>-0</v>
      </c>
      <c r="H33" s="172" t="n">
        <f aca="false">-([1]Schedule!$V$1-[1]Schedule!$W$1+[1]Schedule!$X$1)/12</f>
        <v>-0</v>
      </c>
      <c r="I33" s="171" t="n">
        <f aca="false">-([1]Schedule!$V$1-[1]Schedule!$W$1+[1]Schedule!$X$1)/12</f>
        <v>-0</v>
      </c>
      <c r="J33" s="171" t="n">
        <f aca="false">-([1]Schedule!$V$1-[1]Schedule!$W$1+[1]Schedule!$X$1)/12</f>
        <v>-0</v>
      </c>
      <c r="K33" s="172" t="n">
        <f aca="false">-([1]Schedule!$V$1-[1]Schedule!$W$1+[1]Schedule!$X$1)/12</f>
        <v>-0</v>
      </c>
      <c r="L33" s="171" t="n">
        <f aca="false">-([1]Schedule!$V$1-[1]Schedule!$W$1+[1]Schedule!$X$1)/12</f>
        <v>-0</v>
      </c>
      <c r="M33" s="171" t="n">
        <f aca="false">-([1]Schedule!$V$1-[1]Schedule!$W$1+[1]Schedule!$X$1)/12</f>
        <v>-0</v>
      </c>
      <c r="N33" s="171" t="n">
        <f aca="false">-([1]Schedule!$V$1-[1]Schedule!$W$1+[1]Schedule!$X$1)/12</f>
        <v>-0</v>
      </c>
      <c r="O33" s="164"/>
    </row>
    <row r="34" customFormat="false" ht="12" hidden="false" customHeight="false" outlineLevel="0" collapsed="false">
      <c r="A34" s="169" t="s">
        <v>288</v>
      </c>
      <c r="B34" s="170" t="n">
        <f aca="false">SUM(C34:N34)</f>
        <v>0</v>
      </c>
      <c r="C34" s="171" t="n">
        <f aca="false">([1]Schedule!$I$1)/12</f>
        <v>0</v>
      </c>
      <c r="D34" s="171" t="n">
        <f aca="false">([1]Schedule!$I$1)/12</f>
        <v>0</v>
      </c>
      <c r="E34" s="172" t="n">
        <f aca="false">([1]Schedule!$I$1)/12</f>
        <v>0</v>
      </c>
      <c r="F34" s="171" t="n">
        <f aca="false">([1]Schedule!$I$1)/12</f>
        <v>0</v>
      </c>
      <c r="G34" s="171" t="n">
        <f aca="false">([1]Schedule!$I$1)/12</f>
        <v>0</v>
      </c>
      <c r="H34" s="172" t="n">
        <f aca="false">([1]Schedule!$I$1)/12</f>
        <v>0</v>
      </c>
      <c r="I34" s="171" t="n">
        <f aca="false">([1]Schedule!$I$1)/12</f>
        <v>0</v>
      </c>
      <c r="J34" s="171" t="n">
        <f aca="false">([1]Schedule!$I$1)/12</f>
        <v>0</v>
      </c>
      <c r="K34" s="172" t="n">
        <f aca="false">([1]Schedule!$I$1)/12</f>
        <v>0</v>
      </c>
      <c r="L34" s="171" t="n">
        <f aca="false">([1]Schedule!$I$1)/12</f>
        <v>0</v>
      </c>
      <c r="M34" s="171" t="n">
        <f aca="false">([1]Schedule!$I$1)/12</f>
        <v>0</v>
      </c>
      <c r="N34" s="171" t="n">
        <f aca="false">([1]Schedule!$I$1)/12</f>
        <v>0</v>
      </c>
      <c r="O34" s="164"/>
    </row>
    <row r="35" customFormat="false" ht="12" hidden="false" customHeight="false" outlineLevel="0" collapsed="false">
      <c r="A35" s="173" t="s">
        <v>274</v>
      </c>
      <c r="B35" s="170" t="n">
        <f aca="false">SUM(B21:B34)</f>
        <v>4200</v>
      </c>
      <c r="C35" s="170" t="n">
        <f aca="false">SUM(C21:C34)</f>
        <v>120</v>
      </c>
      <c r="D35" s="170" t="n">
        <f aca="false">SUM(D21:D34)</f>
        <v>600</v>
      </c>
      <c r="E35" s="170" t="n">
        <f aca="false">SUM(E21:E34)</f>
        <v>0</v>
      </c>
      <c r="F35" s="174" t="n">
        <f aca="false">SUM(F21:F34)</f>
        <v>480</v>
      </c>
      <c r="G35" s="170" t="n">
        <f aca="false">SUM(G21:G34)</f>
        <v>300</v>
      </c>
      <c r="H35" s="170" t="n">
        <f aca="false">SUM(H21:H34)</f>
        <v>0</v>
      </c>
      <c r="I35" s="174" t="n">
        <f aca="false">SUM(I21:I34)</f>
        <v>600</v>
      </c>
      <c r="J35" s="170" t="n">
        <f aca="false">SUM(J21:J34)</f>
        <v>120</v>
      </c>
      <c r="K35" s="170" t="n">
        <f aca="false">SUM(K21:K34)</f>
        <v>0</v>
      </c>
      <c r="L35" s="174" t="n">
        <f aca="false">SUM(L21:L34)</f>
        <v>480</v>
      </c>
      <c r="M35" s="170" t="n">
        <f aca="false">SUM(M21:M34)</f>
        <v>600</v>
      </c>
      <c r="N35" s="170" t="n">
        <f aca="false">SUM(N21:N34)</f>
        <v>900</v>
      </c>
      <c r="O35" s="164"/>
    </row>
    <row r="36" customFormat="false" ht="7.5" hidden="false" customHeight="true" outlineLevel="0" collapsed="false">
      <c r="A36" s="183"/>
      <c r="B36" s="177"/>
      <c r="C36" s="177"/>
      <c r="D36" s="177"/>
      <c r="E36" s="177"/>
      <c r="F36" s="177"/>
      <c r="G36" s="177"/>
      <c r="H36" s="177"/>
      <c r="I36" s="177"/>
      <c r="J36" s="177"/>
      <c r="K36" s="177"/>
      <c r="L36" s="177"/>
      <c r="M36" s="177"/>
      <c r="N36" s="177"/>
      <c r="O36" s="164"/>
    </row>
    <row r="37" customFormat="false" ht="12" hidden="false" customHeight="false" outlineLevel="0" collapsed="false">
      <c r="A37" s="173" t="s">
        <v>289</v>
      </c>
      <c r="B37" s="170" t="n">
        <f aca="false">B19-B35</f>
        <v>25800</v>
      </c>
      <c r="C37" s="170" t="n">
        <f aca="false">C19-C35</f>
        <v>2380</v>
      </c>
      <c r="D37" s="170" t="n">
        <f aca="false">D19-D35</f>
        <v>1900</v>
      </c>
      <c r="E37" s="170" t="n">
        <f aca="false">E19-E35</f>
        <v>2500</v>
      </c>
      <c r="F37" s="174" t="n">
        <f aca="false">F19-F35</f>
        <v>2020</v>
      </c>
      <c r="G37" s="170" t="n">
        <f aca="false">G19-G35</f>
        <v>2200</v>
      </c>
      <c r="H37" s="170" t="n">
        <f aca="false">H19-H35</f>
        <v>2500</v>
      </c>
      <c r="I37" s="174" t="n">
        <f aca="false">I19-I35</f>
        <v>1900</v>
      </c>
      <c r="J37" s="170" t="n">
        <f aca="false">J19-J35</f>
        <v>2380</v>
      </c>
      <c r="K37" s="170" t="n">
        <f aca="false">K19-K35</f>
        <v>2500</v>
      </c>
      <c r="L37" s="174" t="n">
        <f aca="false">L19-L35</f>
        <v>2020</v>
      </c>
      <c r="M37" s="170" t="n">
        <f aca="false">M19-M35</f>
        <v>1900</v>
      </c>
      <c r="N37" s="170" t="n">
        <f aca="false">N19-N35</f>
        <v>1600</v>
      </c>
      <c r="O37" s="164"/>
    </row>
    <row r="38" customFormat="false" ht="12" hidden="false" customHeight="false" outlineLevel="0" collapsed="false">
      <c r="A38" s="169" t="s">
        <v>290</v>
      </c>
      <c r="B38" s="170" t="n">
        <f aca="false">SUM(C38:N38)</f>
        <v>0</v>
      </c>
      <c r="C38" s="171" t="n">
        <f aca="false">[4]Apr!$J$1</f>
        <v>0</v>
      </c>
      <c r="D38" s="171" t="n">
        <f aca="false">[4]May!$J$1</f>
        <v>0</v>
      </c>
      <c r="E38" s="172" t="n">
        <f aca="false">[4]Jun!$J$1</f>
        <v>0</v>
      </c>
      <c r="F38" s="171" t="n">
        <f aca="false">[4]Jul!$J$1</f>
        <v>0</v>
      </c>
      <c r="G38" s="171" t="n">
        <f aca="false">[4]Aug!$J$1</f>
        <v>0</v>
      </c>
      <c r="H38" s="172" t="n">
        <f aca="false">[4]Sep!$J$1</f>
        <v>0</v>
      </c>
      <c r="I38" s="171" t="n">
        <f aca="false">[4]Oct!$J$1</f>
        <v>0</v>
      </c>
      <c r="J38" s="171" t="n">
        <f aca="false">[4]Nov!$J$1</f>
        <v>0</v>
      </c>
      <c r="K38" s="172" t="n">
        <f aca="false">[4]Dec!$J$1</f>
        <v>0</v>
      </c>
      <c r="L38" s="171" t="n">
        <f aca="false">[4]Jan!$J$1</f>
        <v>0</v>
      </c>
      <c r="M38" s="171" t="n">
        <f aca="false">[4]Feb!$J$1</f>
        <v>0</v>
      </c>
      <c r="N38" s="171" t="n">
        <f aca="false">[4]Mar!$J$1</f>
        <v>0</v>
      </c>
      <c r="O38" s="164"/>
    </row>
    <row r="39" customFormat="false" ht="12" hidden="false" customHeight="false" outlineLevel="0" collapsed="false">
      <c r="A39" s="173" t="s">
        <v>291</v>
      </c>
      <c r="B39" s="170" t="n">
        <f aca="false">B37+B38</f>
        <v>25800</v>
      </c>
      <c r="C39" s="170" t="n">
        <f aca="false">C37+C38</f>
        <v>2380</v>
      </c>
      <c r="D39" s="170" t="n">
        <f aca="false">D37+D38</f>
        <v>1900</v>
      </c>
      <c r="E39" s="170" t="n">
        <f aca="false">E37+E38</f>
        <v>2500</v>
      </c>
      <c r="F39" s="174" t="n">
        <f aca="false">F37+F38</f>
        <v>2020</v>
      </c>
      <c r="G39" s="170" t="n">
        <f aca="false">G37+G38</f>
        <v>2200</v>
      </c>
      <c r="H39" s="170" t="n">
        <f aca="false">H37+H38</f>
        <v>2500</v>
      </c>
      <c r="I39" s="174" t="n">
        <f aca="false">I37+I38</f>
        <v>1900</v>
      </c>
      <c r="J39" s="170" t="n">
        <f aca="false">J37+J38</f>
        <v>2380</v>
      </c>
      <c r="K39" s="170" t="n">
        <f aca="false">K37+K38</f>
        <v>2500</v>
      </c>
      <c r="L39" s="174" t="n">
        <f aca="false">L37+L38</f>
        <v>2020</v>
      </c>
      <c r="M39" s="170" t="n">
        <f aca="false">M37+M38</f>
        <v>1900</v>
      </c>
      <c r="N39" s="170" t="n">
        <f aca="false">N37+N38</f>
        <v>1600</v>
      </c>
      <c r="O39" s="164"/>
    </row>
    <row r="40" customFormat="false" ht="7.5" hidden="false" customHeight="true" outlineLevel="0" collapsed="false">
      <c r="A40" s="184"/>
      <c r="B40" s="185"/>
      <c r="C40" s="185"/>
      <c r="D40" s="185"/>
      <c r="E40" s="185"/>
      <c r="F40" s="185"/>
      <c r="G40" s="185"/>
      <c r="H40" s="185"/>
      <c r="I40" s="185"/>
      <c r="J40" s="185"/>
      <c r="K40" s="185"/>
      <c r="L40" s="185"/>
      <c r="M40" s="185"/>
      <c r="N40" s="185"/>
      <c r="O40" s="186"/>
    </row>
    <row r="41" customFormat="false" ht="12" hidden="false" customHeight="false" outlineLevel="0" collapsed="false">
      <c r="A41" s="187" t="s">
        <v>292</v>
      </c>
      <c r="B41" s="156"/>
      <c r="C41" s="157"/>
      <c r="D41" s="157"/>
      <c r="E41" s="157"/>
      <c r="F41" s="157"/>
      <c r="G41" s="157"/>
      <c r="H41" s="157"/>
      <c r="I41" s="157"/>
      <c r="J41" s="157"/>
      <c r="K41" s="157"/>
      <c r="L41" s="157"/>
      <c r="M41" s="157"/>
      <c r="N41" s="157"/>
      <c r="O41" s="159"/>
    </row>
    <row r="42" customFormat="false" ht="12" hidden="false" customHeight="false" outlineLevel="0" collapsed="false">
      <c r="A42" s="182" t="s">
        <v>293</v>
      </c>
      <c r="B42" s="177" t="n">
        <f aca="false">SUM(C42:N42)</f>
        <v>0</v>
      </c>
      <c r="C42" s="177" t="n">
        <f aca="false">[5]Apr!$X$1+[4]Apr!$AB$1</f>
        <v>0</v>
      </c>
      <c r="D42" s="177" t="n">
        <f aca="false">[5]May!$X$1+[4]May!$AB$1</f>
        <v>0</v>
      </c>
      <c r="E42" s="177" t="n">
        <f aca="false">[5]Jun!$X$1+[4]Jun!$AB$1</f>
        <v>0</v>
      </c>
      <c r="F42" s="177" t="n">
        <f aca="false">[5]Jul!$X$1+[4]Jul!$AB$1</f>
        <v>0</v>
      </c>
      <c r="G42" s="177" t="n">
        <f aca="false">[5]Aug!$X$1+[4]Aug!$AB$1</f>
        <v>0</v>
      </c>
      <c r="H42" s="177" t="n">
        <f aca="false">[5]Sep!$X$1+[4]Sep!$AB$1</f>
        <v>0</v>
      </c>
      <c r="I42" s="177" t="n">
        <f aca="false">[5]Oct!$X$1+[4]Oct!$AB$1</f>
        <v>0</v>
      </c>
      <c r="J42" s="177" t="n">
        <f aca="false">[5]Nov!$X$1+[4]Nov!$AB$1</f>
        <v>0</v>
      </c>
      <c r="K42" s="177" t="n">
        <f aca="false">[5]Dec!$X$1+[4]Dec!$AB$1</f>
        <v>0</v>
      </c>
      <c r="L42" s="177" t="n">
        <f aca="false">[5]Jan!$X$1+[4]Jan!$AB$1</f>
        <v>0</v>
      </c>
      <c r="M42" s="177" t="n">
        <f aca="false">[5]Feb!$X$1+[4]Feb!$AB$1</f>
        <v>0</v>
      </c>
      <c r="N42" s="177" t="n">
        <f aca="false">[5]Mar!$X$1+[4]Mar!$AB$1</f>
        <v>0</v>
      </c>
      <c r="O42" s="164"/>
    </row>
    <row r="43" customFormat="false" ht="12" hidden="false" customHeight="false" outlineLevel="0" collapsed="false">
      <c r="A43" s="182" t="s">
        <v>294</v>
      </c>
      <c r="B43" s="177" t="n">
        <f aca="false">SUM(C43:N43)</f>
        <v>0</v>
      </c>
      <c r="C43" s="177" t="n">
        <f aca="false">-[2]Apr!$W$1</f>
        <v>-0</v>
      </c>
      <c r="D43" s="177" t="n">
        <f aca="false">-[2]May!$W$1</f>
        <v>-0</v>
      </c>
      <c r="E43" s="177" t="n">
        <f aca="false">-[2]Jun!$W$1</f>
        <v>-0</v>
      </c>
      <c r="F43" s="177" t="n">
        <f aca="false">-[2]Jul!$W$1</f>
        <v>-0</v>
      </c>
      <c r="G43" s="177" t="n">
        <f aca="false">-[2]Aug!$W$1</f>
        <v>-0</v>
      </c>
      <c r="H43" s="177" t="n">
        <f aca="false">-[2]Sep!$W$1</f>
        <v>-0</v>
      </c>
      <c r="I43" s="177" t="n">
        <f aca="false">-[2]Oct!$W$1</f>
        <v>-0</v>
      </c>
      <c r="J43" s="177" t="n">
        <f aca="false">-[2]Nov!$W$1</f>
        <v>-0</v>
      </c>
      <c r="K43" s="177" t="n">
        <f aca="false">-[2]Dec!$W$1</f>
        <v>-0</v>
      </c>
      <c r="L43" s="177" t="n">
        <f aca="false">-[2]Jan!$W$1</f>
        <v>-0</v>
      </c>
      <c r="M43" s="177" t="n">
        <f aca="false">-[2]Feb!$W$1</f>
        <v>-0</v>
      </c>
      <c r="N43" s="177" t="n">
        <f aca="false">-[2]Mar!$W$1</f>
        <v>-0</v>
      </c>
      <c r="O43" s="164"/>
    </row>
    <row r="44" customFormat="false" ht="12" hidden="false" customHeight="false" outlineLevel="0" collapsed="false">
      <c r="A44" s="182" t="s">
        <v>295</v>
      </c>
      <c r="B44" s="177" t="n">
        <f aca="false">SUM(C44:N44)</f>
        <v>3933.279</v>
      </c>
      <c r="C44" s="177" t="n">
        <f aca="false">IF(C9&gt;0,'Profit Forecast'!C$46/12,0)</f>
        <v>327.77325</v>
      </c>
      <c r="D44" s="177" t="n">
        <f aca="false">IF(D9&gt;0,'Profit Forecast'!C$46/12,0)</f>
        <v>327.77325</v>
      </c>
      <c r="E44" s="177" t="n">
        <f aca="false">IF(E9&gt;0,'Profit Forecast'!C$46/12,0)</f>
        <v>327.77325</v>
      </c>
      <c r="F44" s="177" t="n">
        <f aca="false">IF(F9&gt;0,'Profit Forecast'!C$46/12,0)</f>
        <v>327.77325</v>
      </c>
      <c r="G44" s="177" t="n">
        <f aca="false">IF(G9&gt;0,'Profit Forecast'!C$46/12,0)</f>
        <v>327.77325</v>
      </c>
      <c r="H44" s="177" t="n">
        <f aca="false">IF(H9&gt;0,'Profit Forecast'!C$46/12,0)</f>
        <v>327.77325</v>
      </c>
      <c r="I44" s="177" t="n">
        <f aca="false">IF(I9&gt;0,'Profit Forecast'!C$46/12,0)</f>
        <v>327.77325</v>
      </c>
      <c r="J44" s="177" t="n">
        <f aca="false">IF(J9&gt;0,'Profit Forecast'!C$46/12,0)</f>
        <v>327.77325</v>
      </c>
      <c r="K44" s="177" t="n">
        <f aca="false">IF(K9&gt;0,'Profit Forecast'!C$46/12,0)</f>
        <v>327.77325</v>
      </c>
      <c r="L44" s="177" t="n">
        <f aca="false">IF(L9&gt;0,'Profit Forecast'!C$46/12,0)</f>
        <v>327.77325</v>
      </c>
      <c r="M44" s="177" t="n">
        <f aca="false">IF(M9&gt;0,'Profit Forecast'!C$46/12,0)</f>
        <v>327.77325</v>
      </c>
      <c r="N44" s="177" t="n">
        <f aca="false">IF(N9&gt;0,'Profit Forecast'!C$46/12,0)</f>
        <v>327.77325</v>
      </c>
      <c r="O44" s="164"/>
    </row>
    <row r="45" customFormat="false" ht="12" hidden="false" customHeight="false" outlineLevel="0" collapsed="false">
      <c r="A45" s="188" t="s">
        <v>296</v>
      </c>
      <c r="B45" s="189" t="n">
        <f aca="false">SUM(C45:N45)</f>
        <v>21866.721</v>
      </c>
      <c r="C45" s="190" t="n">
        <f aca="false">C39-C42-C44</f>
        <v>2052.22675</v>
      </c>
      <c r="D45" s="191" t="n">
        <f aca="false">D39-D42-D44</f>
        <v>1572.22675</v>
      </c>
      <c r="E45" s="191" t="n">
        <f aca="false">E39-E42-E44</f>
        <v>2172.22675</v>
      </c>
      <c r="F45" s="191" t="n">
        <f aca="false">F39-F42-F44</f>
        <v>1692.22675</v>
      </c>
      <c r="G45" s="191" t="n">
        <f aca="false">G39-G42-G44</f>
        <v>1872.22675</v>
      </c>
      <c r="H45" s="191" t="n">
        <f aca="false">H39-H42-H44</f>
        <v>2172.22675</v>
      </c>
      <c r="I45" s="191" t="n">
        <f aca="false">I39-I42-I44</f>
        <v>1572.22675</v>
      </c>
      <c r="J45" s="191" t="n">
        <f aca="false">J39-J42-J44</f>
        <v>2052.22675</v>
      </c>
      <c r="K45" s="191" t="n">
        <f aca="false">K39-K42-K44</f>
        <v>2172.22675</v>
      </c>
      <c r="L45" s="191" t="n">
        <f aca="false">L39-L42-L44</f>
        <v>1692.22675</v>
      </c>
      <c r="M45" s="191" t="n">
        <f aca="false">M39-M42-M44</f>
        <v>1572.22675</v>
      </c>
      <c r="N45" s="191" t="n">
        <f aca="false">N39-N42-N44</f>
        <v>1272.22675</v>
      </c>
      <c r="O45" s="164"/>
    </row>
    <row r="46" customFormat="false" ht="12" hidden="false" customHeight="false" outlineLevel="0" collapsed="false">
      <c r="A46" s="182" t="s">
        <v>244</v>
      </c>
      <c r="B46" s="177" t="n">
        <f aca="false">SUM(C46:N46)</f>
        <v>0</v>
      </c>
      <c r="C46" s="177" t="n">
        <f aca="false">[5]Apr!$J$1+[4]Apr!$L$1</f>
        <v>0</v>
      </c>
      <c r="D46" s="177" t="n">
        <f aca="false">[5]May!$J$1+[4]May!$L$1</f>
        <v>0</v>
      </c>
      <c r="E46" s="177" t="n">
        <f aca="false">[5]Jun!$J$1+[4]Jun!$L$1</f>
        <v>0</v>
      </c>
      <c r="F46" s="177" t="n">
        <f aca="false">[5]Jul!$J$1+[4]Jul!$L$1</f>
        <v>0</v>
      </c>
      <c r="G46" s="177" t="n">
        <f aca="false">[5]Aug!$J$1+[4]Aug!$L$1</f>
        <v>0</v>
      </c>
      <c r="H46" s="177" t="n">
        <f aca="false">[5]Sep!$J$1+[4]Sep!$L$1</f>
        <v>0</v>
      </c>
      <c r="I46" s="177" t="n">
        <f aca="false">[5]Oct!$J$1+[4]Oct!$L$1</f>
        <v>0</v>
      </c>
      <c r="J46" s="177" t="n">
        <f aca="false">[5]Nov!$J$1+[4]Nov!$L$1</f>
        <v>0</v>
      </c>
      <c r="K46" s="177" t="n">
        <f aca="false">[5]Dec!$J$1+[4]Dec!$L$1</f>
        <v>0</v>
      </c>
      <c r="L46" s="177" t="n">
        <f aca="false">[5]Jan!$J$1+[4]Jan!$L$1</f>
        <v>0</v>
      </c>
      <c r="M46" s="177" t="n">
        <f aca="false">[5]Feb!$J$1+[4]Feb!$L$1</f>
        <v>0</v>
      </c>
      <c r="N46" s="177" t="n">
        <f aca="false">[5]Mar!$J$1+[4]Mar!$L$1</f>
        <v>0</v>
      </c>
      <c r="O46" s="164"/>
    </row>
    <row r="47" customFormat="false" ht="6" hidden="false" customHeight="true" outlineLevel="0" collapsed="false">
      <c r="A47" s="184"/>
      <c r="B47" s="192"/>
      <c r="C47" s="193"/>
      <c r="D47" s="193"/>
      <c r="E47" s="193"/>
      <c r="F47" s="193"/>
      <c r="G47" s="193"/>
      <c r="H47" s="193"/>
      <c r="I47" s="193"/>
      <c r="J47" s="193"/>
      <c r="K47" s="193"/>
      <c r="L47" s="193"/>
      <c r="M47" s="193"/>
      <c r="N47" s="193"/>
      <c r="O47" s="186"/>
    </row>
  </sheetData>
  <mergeCells count="13">
    <mergeCell ref="A2:A4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</mergeCells>
  <printOptions headings="false" gridLines="true" gridLinesSet="true" horizontalCentered="false" verticalCentered="false"/>
  <pageMargins left="0.275694444444444" right="0.472222222222222" top="0.273611111111111" bottom="0.39375" header="0.511811023622047" footer="0.157638888888889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194" width="1.66"/>
    <col collapsed="false" customWidth="true" hidden="false" outlineLevel="0" max="2" min="2" style="194" width="22.32"/>
    <col collapsed="false" customWidth="false" hidden="false" outlineLevel="0" max="3" min="3" style="194" width="9.15"/>
    <col collapsed="false" customWidth="true" hidden="false" outlineLevel="0" max="4" min="4" style="194" width="10.15"/>
    <col collapsed="false" customWidth="false" hidden="false" outlineLevel="0" max="7" min="5" style="194" width="9.15"/>
    <col collapsed="false" customWidth="true" hidden="false" outlineLevel="0" max="8" min="8" style="194" width="23.66"/>
    <col collapsed="false" customWidth="true" hidden="false" outlineLevel="0" max="9" min="9" style="194" width="1.66"/>
    <col collapsed="false" customWidth="false" hidden="false" outlineLevel="0" max="257" min="10" style="194" width="9.15"/>
  </cols>
  <sheetData>
    <row r="1" customFormat="false" ht="6" hidden="false" customHeight="true" outlineLevel="0" collapsed="false">
      <c r="A1" s="195"/>
      <c r="B1" s="195"/>
      <c r="C1" s="195"/>
      <c r="D1" s="195"/>
      <c r="E1" s="195"/>
      <c r="F1" s="195"/>
      <c r="G1" s="195"/>
      <c r="H1" s="195"/>
      <c r="I1" s="195"/>
      <c r="J1" s="196"/>
    </row>
    <row r="2" s="196" customFormat="true" ht="12" hidden="false" customHeight="true" outlineLevel="0" collapsed="false">
      <c r="A2" s="195"/>
      <c r="B2" s="197" t="s">
        <v>297</v>
      </c>
      <c r="C2" s="197" t="s">
        <v>298</v>
      </c>
      <c r="D2" s="197" t="s">
        <v>299</v>
      </c>
      <c r="E2" s="197" t="s">
        <v>300</v>
      </c>
      <c r="F2" s="197" t="s">
        <v>301</v>
      </c>
      <c r="G2" s="197" t="s">
        <v>302</v>
      </c>
      <c r="H2" s="197" t="s">
        <v>303</v>
      </c>
      <c r="I2" s="195"/>
    </row>
    <row r="3" customFormat="false" ht="12" hidden="false" customHeight="true" outlineLevel="0" collapsed="false">
      <c r="A3" s="195"/>
      <c r="B3" s="197"/>
      <c r="C3" s="197"/>
      <c r="D3" s="197"/>
      <c r="E3" s="197"/>
      <c r="F3" s="197"/>
      <c r="G3" s="197"/>
      <c r="H3" s="197"/>
      <c r="I3" s="195"/>
    </row>
    <row r="4" s="198" customFormat="true" ht="6" hidden="false" customHeight="true" outlineLevel="0" collapsed="false">
      <c r="A4" s="195"/>
      <c r="B4" s="195"/>
      <c r="C4" s="195"/>
      <c r="D4" s="195"/>
      <c r="E4" s="195"/>
      <c r="F4" s="195"/>
      <c r="G4" s="195"/>
      <c r="H4" s="195"/>
      <c r="I4" s="195"/>
    </row>
    <row r="5" customFormat="false" ht="12.75" hidden="false" customHeight="false" outlineLevel="0" collapsed="false">
      <c r="A5" s="195"/>
      <c r="B5" s="195" t="s">
        <v>304</v>
      </c>
      <c r="C5" s="199" t="n">
        <f aca="false">SUM('Profit &amp; Loss Account'!C5:E7)</f>
        <v>7500</v>
      </c>
      <c r="D5" s="199" t="n">
        <f aca="false">SUM('Profit &amp; Loss Account'!F5:H7)</f>
        <v>7500</v>
      </c>
      <c r="E5" s="199" t="n">
        <f aca="false">SUM('Profit &amp; Loss Account'!I5:K7)</f>
        <v>7500</v>
      </c>
      <c r="F5" s="199" t="n">
        <f aca="false">SUM('Profit &amp; Loss Account'!L5:N7)</f>
        <v>7500</v>
      </c>
      <c r="G5" s="200" t="n">
        <f aca="false">SUM(C5:F5)</f>
        <v>30000</v>
      </c>
      <c r="H5" s="195"/>
      <c r="I5" s="195"/>
    </row>
    <row r="6" customFormat="false" ht="13.5" hidden="false" customHeight="true" outlineLevel="0" collapsed="false">
      <c r="A6" s="195"/>
      <c r="B6" s="195" t="s">
        <v>305</v>
      </c>
      <c r="C6" s="199" t="n">
        <f aca="false">SUM('Profit &amp; Loss Account'!C8:E8)+SUM('Profit &amp; Loss Account'!C11:E11)+SUM('Profit &amp; Loss Account'!C38:E38)</f>
        <v>0</v>
      </c>
      <c r="D6" s="199" t="n">
        <f aca="false">SUM('Profit &amp; Loss Account'!F8:H8)+SUM('Profit &amp; Loss Account'!F11:H11)+SUM('Profit &amp; Loss Account'!F38:H38)</f>
        <v>0</v>
      </c>
      <c r="E6" s="199" t="n">
        <f aca="false">SUM('Profit &amp; Loss Account'!I8:K8)+SUM('Profit &amp; Loss Account'!I11:K11)+SUM('Profit &amp; Loss Account'!I38:K38)</f>
        <v>0</v>
      </c>
      <c r="F6" s="199" t="n">
        <f aca="false">SUM('Profit &amp; Loss Account'!L8:N8)+SUM('Profit &amp; Loss Account'!L11:N11)+SUM('Profit &amp; Loss Account'!L38:N38)</f>
        <v>0</v>
      </c>
      <c r="G6" s="200" t="n">
        <f aca="false">SUM(C6:F6)</f>
        <v>0</v>
      </c>
      <c r="H6" s="195"/>
      <c r="I6" s="195"/>
    </row>
    <row r="7" customFormat="false" ht="12.75" hidden="false" customHeight="false" outlineLevel="0" collapsed="false">
      <c r="A7" s="195"/>
      <c r="B7" s="195" t="s">
        <v>306</v>
      </c>
      <c r="C7" s="199" t="n">
        <f aca="false">SUM('Profit &amp; Loss Account'!C14:E14)+SUM('Profit &amp; Loss Account'!C16:E16)</f>
        <v>0</v>
      </c>
      <c r="D7" s="199" t="n">
        <f aca="false">SUM('Profit &amp; Loss Account'!F14:H14)+SUM('Profit &amp; Loss Account'!F16:H16)</f>
        <v>0</v>
      </c>
      <c r="E7" s="199" t="n">
        <f aca="false">SUM('Profit &amp; Loss Account'!I14:K14)+SUM('Profit &amp; Loss Account'!I16:K16)</f>
        <v>0</v>
      </c>
      <c r="F7" s="199" t="n">
        <f aca="false">SUM('Profit &amp; Loss Account'!L14:N14)+SUM('Profit &amp; Loss Account'!L16:N16)</f>
        <v>0</v>
      </c>
      <c r="G7" s="200" t="n">
        <f aca="false">SUM(C7:F7)</f>
        <v>0</v>
      </c>
      <c r="H7" s="195"/>
      <c r="I7" s="195"/>
    </row>
    <row r="8" s="201" customFormat="true" ht="12.75" hidden="false" customHeight="false" outlineLevel="0" collapsed="false">
      <c r="A8" s="195"/>
      <c r="B8" s="195"/>
      <c r="C8" s="195"/>
      <c r="D8" s="195"/>
      <c r="E8" s="195"/>
      <c r="F8" s="195"/>
      <c r="G8" s="195"/>
      <c r="H8" s="195"/>
      <c r="I8" s="195"/>
    </row>
    <row r="9" customFormat="false" ht="6" hidden="false" customHeight="true" outlineLevel="0" collapsed="false">
      <c r="A9" s="195"/>
      <c r="B9" s="195"/>
      <c r="C9" s="195"/>
      <c r="D9" s="195"/>
      <c r="E9" s="195"/>
      <c r="F9" s="195"/>
      <c r="G9" s="195"/>
      <c r="H9" s="195"/>
      <c r="I9" s="195"/>
    </row>
    <row r="10" customFormat="false" ht="12.75" hidden="false" customHeight="false" outlineLevel="0" collapsed="false">
      <c r="A10" s="195"/>
      <c r="B10" s="202" t="s">
        <v>307</v>
      </c>
      <c r="C10" s="195"/>
      <c r="D10" s="195"/>
      <c r="E10" s="195"/>
      <c r="F10" s="195"/>
      <c r="G10" s="195"/>
      <c r="H10" s="195"/>
      <c r="I10" s="195"/>
    </row>
    <row r="11" customFormat="false" ht="6" hidden="false" customHeight="true" outlineLevel="0" collapsed="false">
      <c r="A11" s="195"/>
      <c r="B11" s="195"/>
      <c r="C11" s="195"/>
      <c r="D11" s="195"/>
      <c r="E11" s="195"/>
      <c r="F11" s="195"/>
      <c r="G11" s="195"/>
      <c r="H11" s="195"/>
      <c r="I11" s="195"/>
    </row>
    <row r="12" customFormat="false" ht="12.75" hidden="false" customHeight="false" outlineLevel="0" collapsed="false">
      <c r="A12" s="195"/>
      <c r="B12" s="195" t="s">
        <v>308</v>
      </c>
      <c r="C12" s="200" t="n">
        <f aca="false">SUM('Profit &amp; Loss Account'!C21:E21)</f>
        <v>0</v>
      </c>
      <c r="D12" s="200" t="n">
        <f aca="false">SUM('Profit &amp; Loss Account'!F21:H21)</f>
        <v>0</v>
      </c>
      <c r="E12" s="200" t="n">
        <f aca="false">SUM('Profit &amp; Loss Account'!I21:K21)</f>
        <v>0</v>
      </c>
      <c r="F12" s="200" t="n">
        <f aca="false">SUM('Profit &amp; Loss Account'!L21:N21)</f>
        <v>0</v>
      </c>
      <c r="G12" s="200" t="n">
        <f aca="false">SUM(C12:F12)</f>
        <v>0</v>
      </c>
      <c r="H12" s="195"/>
      <c r="I12" s="195"/>
    </row>
    <row r="13" customFormat="false" ht="12.75" hidden="false" customHeight="false" outlineLevel="0" collapsed="false">
      <c r="A13" s="195"/>
      <c r="B13" s="195" t="s">
        <v>309</v>
      </c>
      <c r="C13" s="200" t="n">
        <f aca="false">SUM('Profit &amp; Loss Account'!C22:E22)</f>
        <v>600</v>
      </c>
      <c r="D13" s="200" t="n">
        <f aca="false">SUM('Profit &amp; Loss Account'!F22:H22)</f>
        <v>0</v>
      </c>
      <c r="E13" s="200" t="n">
        <f aca="false">SUM('Profit &amp; Loss Account'!I22:K22)</f>
        <v>600</v>
      </c>
      <c r="F13" s="200" t="n">
        <f aca="false">SUM('Profit &amp; Loss Account'!L22:N22)</f>
        <v>600</v>
      </c>
      <c r="G13" s="200" t="n">
        <f aca="false">SUM(C13:F13)</f>
        <v>1800</v>
      </c>
      <c r="H13" s="195"/>
      <c r="I13" s="195"/>
    </row>
    <row r="14" customFormat="false" ht="12.75" hidden="false" customHeight="false" outlineLevel="0" collapsed="false">
      <c r="A14" s="195"/>
      <c r="B14" s="195" t="s">
        <v>310</v>
      </c>
      <c r="C14" s="200" t="n">
        <f aca="false">SUM('Profit &amp; Loss Account'!C23:E23)</f>
        <v>0</v>
      </c>
      <c r="D14" s="200" t="n">
        <f aca="false">SUM('Profit &amp; Loss Account'!F23:H23)</f>
        <v>0</v>
      </c>
      <c r="E14" s="200" t="n">
        <f aca="false">SUM('Profit &amp; Loss Account'!I23:K23)</f>
        <v>0</v>
      </c>
      <c r="F14" s="200" t="n">
        <f aca="false">SUM('Profit &amp; Loss Account'!L23:N23)</f>
        <v>480</v>
      </c>
      <c r="G14" s="200" t="n">
        <f aca="false">SUM(C14:F14)</f>
        <v>480</v>
      </c>
      <c r="H14" s="195"/>
      <c r="I14" s="195"/>
    </row>
    <row r="15" customFormat="false" ht="12.75" hidden="false" customHeight="false" outlineLevel="0" collapsed="false">
      <c r="A15" s="195"/>
      <c r="B15" s="195" t="s">
        <v>311</v>
      </c>
      <c r="C15" s="200" t="n">
        <f aca="false">SUM('Profit &amp; Loss Account'!C24:E24)</f>
        <v>120</v>
      </c>
      <c r="D15" s="200" t="n">
        <f aca="false">SUM('Profit &amp; Loss Account'!F24:H24)</f>
        <v>0</v>
      </c>
      <c r="E15" s="200" t="n">
        <f aca="false">SUM('Profit &amp; Loss Account'!I24:K24)</f>
        <v>120</v>
      </c>
      <c r="F15" s="200" t="n">
        <f aca="false">SUM('Profit &amp; Loss Account'!L24:N24)</f>
        <v>420</v>
      </c>
      <c r="G15" s="200" t="n">
        <f aca="false">SUM(C15:F15)</f>
        <v>660</v>
      </c>
      <c r="H15" s="195"/>
      <c r="I15" s="195"/>
    </row>
    <row r="16" customFormat="false" ht="12.75" hidden="false" customHeight="false" outlineLevel="0" collapsed="false">
      <c r="A16" s="195"/>
      <c r="B16" s="195" t="s">
        <v>312</v>
      </c>
      <c r="C16" s="200" t="n">
        <f aca="false">SUM('Profit &amp; Loss Account'!C31:E31)</f>
        <v>0</v>
      </c>
      <c r="D16" s="200" t="n">
        <f aca="false">SUM('Profit &amp; Loss Account'!F31:H31)</f>
        <v>0</v>
      </c>
      <c r="E16" s="200" t="n">
        <f aca="false">SUM('Profit &amp; Loss Account'!I31:K31)</f>
        <v>0</v>
      </c>
      <c r="F16" s="200" t="n">
        <f aca="false">SUM('Profit &amp; Loss Account'!L31:N31)</f>
        <v>0</v>
      </c>
      <c r="G16" s="200" t="n">
        <f aca="false">SUM(C16:F16)</f>
        <v>0</v>
      </c>
      <c r="H16" s="195"/>
      <c r="I16" s="195"/>
    </row>
    <row r="17" customFormat="false" ht="12.75" hidden="false" customHeight="false" outlineLevel="0" collapsed="false">
      <c r="A17" s="195"/>
      <c r="B17" s="195" t="s">
        <v>313</v>
      </c>
      <c r="C17" s="200" t="n">
        <f aca="false">SUM('Profit &amp; Loss Account'!C25:E26)</f>
        <v>0</v>
      </c>
      <c r="D17" s="200" t="n">
        <f aca="false">SUM('Profit &amp; Loss Account'!F25:H26)</f>
        <v>300</v>
      </c>
      <c r="E17" s="200" t="n">
        <f aca="false">SUM('Profit &amp; Loss Account'!I25:K26)</f>
        <v>0</v>
      </c>
      <c r="F17" s="200" t="n">
        <f aca="false">SUM('Profit &amp; Loss Account'!L25:N26)</f>
        <v>0</v>
      </c>
      <c r="G17" s="200" t="n">
        <f aca="false">SUM(C17:F17)</f>
        <v>300</v>
      </c>
      <c r="H17" s="195"/>
      <c r="I17" s="195"/>
    </row>
    <row r="18" customFormat="false" ht="12.75" hidden="false" customHeight="false" outlineLevel="0" collapsed="false">
      <c r="A18" s="195"/>
      <c r="B18" s="195" t="s">
        <v>314</v>
      </c>
      <c r="C18" s="200" t="n">
        <f aca="false">SUM('Profit &amp; Loss Account'!C27:E27)</f>
        <v>0</v>
      </c>
      <c r="D18" s="200" t="n">
        <f aca="false">SUM('Profit &amp; Loss Account'!F27:H27)</f>
        <v>0</v>
      </c>
      <c r="E18" s="200" t="n">
        <f aca="false">SUM('Profit &amp; Loss Account'!I27:K27)</f>
        <v>0</v>
      </c>
      <c r="F18" s="200" t="n">
        <f aca="false">SUM('Profit &amp; Loss Account'!L27:N27)</f>
        <v>0</v>
      </c>
      <c r="G18" s="200" t="n">
        <f aca="false">SUM(C18:F18)</f>
        <v>0</v>
      </c>
      <c r="H18" s="195"/>
      <c r="I18" s="195"/>
    </row>
    <row r="19" customFormat="false" ht="12.75" hidden="false" customHeight="false" outlineLevel="0" collapsed="false">
      <c r="A19" s="195"/>
      <c r="B19" s="195" t="s">
        <v>315</v>
      </c>
      <c r="C19" s="200" t="n">
        <f aca="false">SUM('Profit &amp; Loss Account'!C28:E28)</f>
        <v>0</v>
      </c>
      <c r="D19" s="200" t="n">
        <f aca="false">SUM('Profit &amp; Loss Account'!F28:H28)</f>
        <v>480</v>
      </c>
      <c r="E19" s="200" t="n">
        <f aca="false">SUM('Profit &amp; Loss Account'!I28:K28)</f>
        <v>0</v>
      </c>
      <c r="F19" s="200" t="n">
        <f aca="false">SUM('Profit &amp; Loss Account'!L28:N28)</f>
        <v>480</v>
      </c>
      <c r="G19" s="200" t="n">
        <f aca="false">SUM(C19:F19)</f>
        <v>960</v>
      </c>
      <c r="H19" s="195"/>
      <c r="I19" s="195"/>
    </row>
    <row r="20" customFormat="false" ht="12.75" hidden="false" customHeight="false" outlineLevel="0" collapsed="false">
      <c r="A20" s="195"/>
      <c r="B20" s="195" t="s">
        <v>316</v>
      </c>
      <c r="C20" s="200" t="n">
        <f aca="false">SUM('Profit &amp; Loss Account'!C29:E29)</f>
        <v>0</v>
      </c>
      <c r="D20" s="200" t="n">
        <f aca="false">SUM('Profit &amp; Loss Account'!F29:H29)</f>
        <v>0</v>
      </c>
      <c r="E20" s="200" t="n">
        <f aca="false">SUM('Profit &amp; Loss Account'!I29:K29)</f>
        <v>0</v>
      </c>
      <c r="F20" s="200" t="n">
        <f aca="false">SUM('Profit &amp; Loss Account'!L29:N29)</f>
        <v>0</v>
      </c>
      <c r="G20" s="200" t="n">
        <f aca="false">SUM(C20:F20)</f>
        <v>0</v>
      </c>
      <c r="H20" s="195"/>
      <c r="I20" s="195"/>
    </row>
    <row r="21" customFormat="false" ht="12.75" hidden="false" customHeight="false" outlineLevel="0" collapsed="false">
      <c r="A21" s="195"/>
      <c r="B21" s="195" t="s">
        <v>317</v>
      </c>
      <c r="C21" s="200" t="n">
        <f aca="false">SUM('Profit &amp; Loss Account'!C30:E30)</f>
        <v>0</v>
      </c>
      <c r="D21" s="200" t="n">
        <f aca="false">SUM('Profit &amp; Loss Account'!F30:H30)</f>
        <v>0</v>
      </c>
      <c r="E21" s="200" t="n">
        <f aca="false">SUM('Profit &amp; Loss Account'!I30:K30)</f>
        <v>0</v>
      </c>
      <c r="F21" s="200" t="n">
        <f aca="false">SUM('Profit &amp; Loss Account'!L30:N30)</f>
        <v>0</v>
      </c>
      <c r="G21" s="200" t="n">
        <f aca="false">SUM(C21:F21)</f>
        <v>0</v>
      </c>
      <c r="H21" s="195"/>
      <c r="I21" s="195"/>
    </row>
    <row r="22" customFormat="false" ht="12.75" hidden="false" customHeight="false" outlineLevel="0" collapsed="false">
      <c r="A22" s="195"/>
      <c r="B22" s="195" t="s">
        <v>318</v>
      </c>
      <c r="C22" s="200" t="n">
        <f aca="false">SUM('Profit &amp; Loss Account'!C32:E32)</f>
        <v>0</v>
      </c>
      <c r="D22" s="200" t="n">
        <f aca="false">SUM('Profit &amp; Loss Account'!F32:H32)</f>
        <v>0</v>
      </c>
      <c r="E22" s="200" t="n">
        <f aca="false">SUM('Profit &amp; Loss Account'!I32:K32)</f>
        <v>0</v>
      </c>
      <c r="F22" s="200" t="n">
        <f aca="false">SUM('Profit &amp; Loss Account'!L32:N32)</f>
        <v>0</v>
      </c>
      <c r="G22" s="200" t="n">
        <f aca="false">SUM(C22:F22)</f>
        <v>0</v>
      </c>
      <c r="H22" s="195"/>
      <c r="I22" s="195"/>
    </row>
    <row r="23" customFormat="false" ht="12.75" hidden="false" customHeight="false" outlineLevel="0" collapsed="false">
      <c r="A23" s="195"/>
      <c r="B23" s="195"/>
      <c r="C23" s="195"/>
      <c r="D23" s="195"/>
      <c r="E23" s="195"/>
      <c r="F23" s="195"/>
      <c r="G23" s="195"/>
      <c r="H23" s="195"/>
      <c r="I23" s="195"/>
    </row>
    <row r="24" customFormat="false" ht="13.5" hidden="false" customHeight="true" outlineLevel="0" collapsed="false">
      <c r="A24" s="195"/>
      <c r="B24" s="195" t="s">
        <v>319</v>
      </c>
      <c r="C24" s="200" t="n">
        <f aca="false">SUM('Profit &amp; Loss Account'!C15:E15)</f>
        <v>0</v>
      </c>
      <c r="D24" s="200" t="n">
        <f aca="false">SUM('Profit &amp; Loss Account'!F15:H15)</f>
        <v>0</v>
      </c>
      <c r="E24" s="200" t="n">
        <f aca="false">SUM('Profit &amp; Loss Account'!I15:K15)</f>
        <v>0</v>
      </c>
      <c r="F24" s="200" t="n">
        <f aca="false">SUM('Profit &amp; Loss Account'!L15:N15)</f>
        <v>0</v>
      </c>
      <c r="G24" s="200" t="n">
        <f aca="false">SUM(C24:F24)</f>
        <v>0</v>
      </c>
      <c r="H24" s="195"/>
      <c r="I24" s="195"/>
    </row>
    <row r="25" customFormat="false" ht="12.75" hidden="false" customHeight="false" outlineLevel="0" collapsed="false">
      <c r="A25" s="195"/>
      <c r="B25" s="195" t="s">
        <v>320</v>
      </c>
      <c r="C25" s="200" t="n">
        <v>0</v>
      </c>
      <c r="D25" s="200" t="n">
        <v>0</v>
      </c>
      <c r="E25" s="200" t="n">
        <v>0</v>
      </c>
      <c r="F25" s="200" t="n">
        <v>0</v>
      </c>
      <c r="G25" s="200" t="n">
        <f aca="false">SUM(C25:F25)</f>
        <v>0</v>
      </c>
      <c r="H25" s="195" t="s">
        <v>321</v>
      </c>
      <c r="I25" s="195"/>
    </row>
    <row r="26" customFormat="false" ht="13.5" hidden="false" customHeight="true" outlineLevel="0" collapsed="false">
      <c r="A26" s="195"/>
      <c r="B26" s="195" t="s">
        <v>288</v>
      </c>
      <c r="C26" s="200" t="n">
        <f aca="false">SUM('Profit &amp; Loss Account'!C33:E34)</f>
        <v>0</v>
      </c>
      <c r="D26" s="200" t="n">
        <f aca="false">SUM('Profit &amp; Loss Account'!F33:H34)</f>
        <v>0</v>
      </c>
      <c r="E26" s="200" t="n">
        <f aca="false">SUM('Profit &amp; Loss Account'!I33:K34)</f>
        <v>0</v>
      </c>
      <c r="F26" s="200" t="n">
        <f aca="false">SUM('Profit &amp; Loss Account'!L33:N34)</f>
        <v>0</v>
      </c>
      <c r="G26" s="200" t="n">
        <f aca="false">SUM(C26:F26)</f>
        <v>0</v>
      </c>
      <c r="H26" s="195"/>
      <c r="I26" s="195"/>
    </row>
    <row r="27" customFormat="false" ht="12.75" hidden="false" customHeight="false" outlineLevel="0" collapsed="false">
      <c r="A27" s="195"/>
      <c r="B27" s="195"/>
      <c r="C27" s="195"/>
      <c r="D27" s="195"/>
      <c r="E27" s="195"/>
      <c r="F27" s="195"/>
      <c r="G27" s="195"/>
      <c r="H27" s="195"/>
      <c r="I27" s="195"/>
    </row>
    <row r="28" customFormat="false" ht="6" hidden="false" customHeight="true" outlineLevel="0" collapsed="false">
      <c r="A28" s="195"/>
      <c r="B28" s="195"/>
      <c r="C28" s="195"/>
      <c r="D28" s="195"/>
      <c r="E28" s="195"/>
      <c r="F28" s="195"/>
      <c r="G28" s="195"/>
      <c r="H28" s="195"/>
      <c r="I28" s="195"/>
    </row>
    <row r="29" customFormat="false" ht="12.75" hidden="false" customHeight="false" outlineLevel="0" collapsed="false">
      <c r="A29" s="195"/>
      <c r="B29" s="202" t="s">
        <v>322</v>
      </c>
      <c r="C29" s="203" t="n">
        <f aca="false">SUM(C7,C12,C13,C14,C15,C16,C17,C18,C19,C20,C21,C22,C24,C25,C26)</f>
        <v>720</v>
      </c>
      <c r="D29" s="203" t="n">
        <f aca="false">SUM(D7,D12,D13,D14,D15,D16,D17,D18,D19,D20,D21,D22,D24,D25,D26)</f>
        <v>780</v>
      </c>
      <c r="E29" s="203" t="n">
        <f aca="false">SUM(E7,E12,E13,E14,E15,E16,E17,E18,E19,E20,E21,E22,E24,E25,E26)</f>
        <v>720</v>
      </c>
      <c r="F29" s="203" t="n">
        <f aca="false">SUM(F7,F12,F13,F14,F15,F16,F17,F18,F19,F20,F21,F22,F24,F25,F26)</f>
        <v>1980</v>
      </c>
      <c r="G29" s="203" t="n">
        <f aca="false">SUM(G7,G12,G13,G14,G15,G16,G17,G18,G19,G20,G21,G22,G24,G25,G26)</f>
        <v>4200</v>
      </c>
      <c r="H29" s="204"/>
      <c r="I29" s="195"/>
    </row>
    <row r="30" customFormat="false" ht="6" hidden="false" customHeight="true" outlineLevel="0" collapsed="false">
      <c r="A30" s="195"/>
      <c r="B30" s="195"/>
      <c r="C30" s="195"/>
      <c r="D30" s="195"/>
      <c r="E30" s="195"/>
      <c r="F30" s="195"/>
      <c r="G30" s="195"/>
      <c r="H30" s="195"/>
      <c r="I30" s="195"/>
    </row>
    <row r="31" customFormat="false" ht="12.75" hidden="false" customHeight="false" outlineLevel="0" collapsed="false">
      <c r="A31" s="195"/>
      <c r="B31" s="195"/>
      <c r="C31" s="195"/>
      <c r="D31" s="195"/>
      <c r="E31" s="195"/>
      <c r="F31" s="195"/>
      <c r="G31" s="195"/>
      <c r="H31" s="195"/>
      <c r="I31" s="195"/>
    </row>
    <row r="32" customFormat="false" ht="6" hidden="false" customHeight="true" outlineLevel="0" collapsed="false">
      <c r="A32" s="195"/>
      <c r="B32" s="195"/>
      <c r="C32" s="195"/>
      <c r="D32" s="195"/>
      <c r="E32" s="195"/>
      <c r="F32" s="195"/>
      <c r="G32" s="195"/>
      <c r="H32" s="195"/>
      <c r="I32" s="195"/>
    </row>
    <row r="33" customFormat="false" ht="12.75" hidden="false" customHeight="false" outlineLevel="0" collapsed="false">
      <c r="A33" s="195"/>
      <c r="B33" s="195"/>
      <c r="C33" s="195"/>
      <c r="D33" s="195"/>
      <c r="E33" s="195"/>
      <c r="F33" s="195"/>
      <c r="G33" s="195"/>
      <c r="H33" s="195"/>
      <c r="I33" s="195"/>
    </row>
    <row r="34" customFormat="false" ht="12.75" hidden="false" customHeight="false" outlineLevel="0" collapsed="false">
      <c r="A34" s="195"/>
      <c r="B34" s="202" t="s">
        <v>127</v>
      </c>
      <c r="C34" s="195"/>
      <c r="D34" s="195"/>
      <c r="E34" s="195"/>
      <c r="F34" s="195"/>
      <c r="G34" s="195"/>
      <c r="H34" s="195"/>
      <c r="I34" s="195"/>
    </row>
    <row r="35" customFormat="false" ht="6" hidden="false" customHeight="true" outlineLevel="0" collapsed="false">
      <c r="A35" s="195"/>
      <c r="B35" s="195"/>
      <c r="C35" s="195"/>
      <c r="D35" s="195"/>
      <c r="E35" s="195"/>
      <c r="F35" s="195"/>
      <c r="G35" s="195"/>
      <c r="H35" s="195"/>
      <c r="I35" s="195"/>
    </row>
    <row r="36" customFormat="false" ht="12.75" hidden="false" customHeight="false" outlineLevel="0" collapsed="false">
      <c r="A36" s="195"/>
      <c r="B36" s="195" t="s">
        <v>306</v>
      </c>
      <c r="C36" s="200" t="n">
        <v>0</v>
      </c>
      <c r="D36" s="200" t="n">
        <v>0</v>
      </c>
      <c r="E36" s="200" t="n">
        <v>0</v>
      </c>
      <c r="F36" s="200" t="n">
        <v>0</v>
      </c>
      <c r="G36" s="200" t="n">
        <f aca="false">SUM(C36:F36)</f>
        <v>0</v>
      </c>
      <c r="H36" s="195" t="s">
        <v>321</v>
      </c>
      <c r="I36" s="195"/>
    </row>
    <row r="37" customFormat="false" ht="13.5" hidden="false" customHeight="true" outlineLevel="0" collapsed="false">
      <c r="A37" s="195"/>
      <c r="B37" s="195" t="s">
        <v>319</v>
      </c>
      <c r="C37" s="200" t="n">
        <v>0</v>
      </c>
      <c r="D37" s="200" t="n">
        <v>0</v>
      </c>
      <c r="E37" s="200" t="n">
        <v>0</v>
      </c>
      <c r="F37" s="200" t="n">
        <v>0</v>
      </c>
      <c r="G37" s="200" t="n">
        <f aca="false">SUM(C37:F37)</f>
        <v>0</v>
      </c>
      <c r="H37" s="195" t="s">
        <v>321</v>
      </c>
      <c r="I37" s="195"/>
    </row>
    <row r="38" customFormat="false" ht="12.75" hidden="false" customHeight="false" outlineLevel="0" collapsed="false">
      <c r="A38" s="195"/>
      <c r="B38" s="195" t="s">
        <v>308</v>
      </c>
      <c r="C38" s="200" t="n">
        <v>0</v>
      </c>
      <c r="D38" s="200" t="n">
        <v>0</v>
      </c>
      <c r="E38" s="200" t="n">
        <v>0</v>
      </c>
      <c r="F38" s="200" t="n">
        <v>0</v>
      </c>
      <c r="G38" s="200" t="n">
        <f aca="false">SUM(C38:F38)</f>
        <v>0</v>
      </c>
      <c r="H38" s="195" t="s">
        <v>321</v>
      </c>
      <c r="I38" s="195"/>
    </row>
    <row r="39" customFormat="false" ht="13.5" hidden="false" customHeight="true" outlineLevel="0" collapsed="false">
      <c r="A39" s="195"/>
      <c r="B39" s="195" t="s">
        <v>323</v>
      </c>
      <c r="C39" s="200" t="n">
        <v>0</v>
      </c>
      <c r="D39" s="200" t="n">
        <v>0</v>
      </c>
      <c r="E39" s="200" t="n">
        <v>0</v>
      </c>
      <c r="F39" s="200" t="n">
        <v>0</v>
      </c>
      <c r="G39" s="200" t="n">
        <f aca="false">SUM(C39:F39)</f>
        <v>0</v>
      </c>
      <c r="H39" s="195" t="s">
        <v>321</v>
      </c>
      <c r="I39" s="195"/>
    </row>
    <row r="40" customFormat="false" ht="12.75" hidden="false" customHeight="false" outlineLevel="0" collapsed="false">
      <c r="A40" s="195"/>
      <c r="B40" s="195" t="s">
        <v>309</v>
      </c>
      <c r="C40" s="200" t="n">
        <v>0</v>
      </c>
      <c r="D40" s="200" t="n">
        <v>0</v>
      </c>
      <c r="E40" s="200" t="n">
        <v>0</v>
      </c>
      <c r="F40" s="200" t="n">
        <v>0</v>
      </c>
      <c r="G40" s="200" t="n">
        <f aca="false">SUM(C40:F40)</f>
        <v>0</v>
      </c>
      <c r="H40" s="195" t="s">
        <v>321</v>
      </c>
      <c r="I40" s="195"/>
    </row>
    <row r="41" customFormat="false" ht="12.75" hidden="false" customHeight="false" outlineLevel="0" collapsed="false">
      <c r="A41" s="195"/>
      <c r="B41" s="195" t="s">
        <v>310</v>
      </c>
      <c r="C41" s="200" t="n">
        <v>0</v>
      </c>
      <c r="D41" s="200" t="n">
        <v>0</v>
      </c>
      <c r="E41" s="200" t="n">
        <v>0</v>
      </c>
      <c r="F41" s="200" t="n">
        <v>0</v>
      </c>
      <c r="G41" s="200" t="n">
        <f aca="false">SUM(C41:F41)</f>
        <v>0</v>
      </c>
      <c r="H41" s="195" t="s">
        <v>321</v>
      </c>
      <c r="I41" s="195"/>
    </row>
    <row r="42" customFormat="false" ht="12.75" hidden="false" customHeight="false" outlineLevel="0" collapsed="false">
      <c r="A42" s="195"/>
      <c r="B42" s="195" t="s">
        <v>311</v>
      </c>
      <c r="C42" s="200" t="n">
        <v>0</v>
      </c>
      <c r="D42" s="200" t="n">
        <v>0</v>
      </c>
      <c r="E42" s="200" t="n">
        <v>0</v>
      </c>
      <c r="F42" s="200" t="n">
        <v>0</v>
      </c>
      <c r="G42" s="200" t="n">
        <f aca="false">SUM(C42:F42)</f>
        <v>0</v>
      </c>
      <c r="H42" s="195" t="s">
        <v>321</v>
      </c>
      <c r="I42" s="195"/>
    </row>
    <row r="43" customFormat="false" ht="12.75" hidden="false" customHeight="false" outlineLevel="0" collapsed="false">
      <c r="A43" s="195"/>
      <c r="B43" s="195" t="s">
        <v>314</v>
      </c>
      <c r="C43" s="200" t="n">
        <v>0</v>
      </c>
      <c r="D43" s="200" t="n">
        <v>0</v>
      </c>
      <c r="E43" s="200" t="n">
        <v>0</v>
      </c>
      <c r="F43" s="200" t="n">
        <v>0</v>
      </c>
      <c r="G43" s="200" t="n">
        <f aca="false">SUM(C43:F43)</f>
        <v>0</v>
      </c>
      <c r="H43" s="195" t="s">
        <v>321</v>
      </c>
      <c r="I43" s="195"/>
    </row>
    <row r="44" customFormat="false" ht="12.75" hidden="false" customHeight="false" outlineLevel="0" collapsed="false">
      <c r="A44" s="195"/>
      <c r="B44" s="195" t="s">
        <v>320</v>
      </c>
      <c r="C44" s="200" t="n">
        <v>0</v>
      </c>
      <c r="D44" s="200" t="n">
        <v>0</v>
      </c>
      <c r="E44" s="200" t="n">
        <v>0</v>
      </c>
      <c r="F44" s="200" t="n">
        <v>0</v>
      </c>
      <c r="G44" s="200" t="n">
        <f aca="false">SUM(C44:F44)</f>
        <v>0</v>
      </c>
      <c r="H44" s="195" t="s">
        <v>321</v>
      </c>
      <c r="I44" s="195"/>
    </row>
    <row r="45" customFormat="false" ht="12.75" hidden="false" customHeight="false" outlineLevel="0" collapsed="false">
      <c r="A45" s="195"/>
      <c r="B45" s="195" t="s">
        <v>317</v>
      </c>
      <c r="C45" s="200" t="n">
        <v>0</v>
      </c>
      <c r="D45" s="200" t="n">
        <v>0</v>
      </c>
      <c r="E45" s="200" t="n">
        <v>0</v>
      </c>
      <c r="F45" s="200" t="n">
        <v>0</v>
      </c>
      <c r="G45" s="200" t="n">
        <f aca="false">SUM(C45:F45)</f>
        <v>0</v>
      </c>
      <c r="H45" s="195" t="s">
        <v>321</v>
      </c>
      <c r="I45" s="195"/>
    </row>
    <row r="46" customFormat="false" ht="12.75" hidden="false" customHeight="false" outlineLevel="0" collapsed="false">
      <c r="A46" s="195"/>
      <c r="B46" s="195" t="s">
        <v>324</v>
      </c>
      <c r="C46" s="200" t="n">
        <v>0</v>
      </c>
      <c r="D46" s="200" t="n">
        <v>0</v>
      </c>
      <c r="E46" s="200" t="n">
        <v>0</v>
      </c>
      <c r="F46" s="200" t="n">
        <v>0</v>
      </c>
      <c r="G46" s="200" t="n">
        <f aca="false">SUM(C46:F46)</f>
        <v>0</v>
      </c>
      <c r="H46" s="195" t="s">
        <v>321</v>
      </c>
      <c r="I46" s="195"/>
    </row>
    <row r="47" customFormat="false" ht="12.75" hidden="false" customHeight="false" outlineLevel="0" collapsed="false">
      <c r="A47" s="195"/>
      <c r="B47" s="195" t="s">
        <v>325</v>
      </c>
      <c r="C47" s="200" t="n">
        <v>0</v>
      </c>
      <c r="D47" s="200" t="n">
        <v>0</v>
      </c>
      <c r="E47" s="200" t="n">
        <v>0</v>
      </c>
      <c r="F47" s="200" t="n">
        <v>0</v>
      </c>
      <c r="G47" s="200" t="n">
        <f aca="false">SUM(C47:F47)</f>
        <v>0</v>
      </c>
      <c r="H47" s="195" t="s">
        <v>321</v>
      </c>
      <c r="I47" s="195"/>
    </row>
    <row r="48" customFormat="false" ht="12.75" hidden="false" customHeight="false" outlineLevel="0" collapsed="false">
      <c r="A48" s="195"/>
      <c r="B48" s="195" t="s">
        <v>315</v>
      </c>
      <c r="C48" s="200" t="n">
        <v>0</v>
      </c>
      <c r="D48" s="200" t="n">
        <v>0</v>
      </c>
      <c r="E48" s="200" t="n">
        <v>0</v>
      </c>
      <c r="F48" s="200" t="n">
        <v>0</v>
      </c>
      <c r="G48" s="200" t="n">
        <f aca="false">SUM(C48:F48)</f>
        <v>0</v>
      </c>
      <c r="H48" s="195" t="s">
        <v>321</v>
      </c>
      <c r="I48" s="195"/>
    </row>
    <row r="49" customFormat="false" ht="12.75" hidden="false" customHeight="false" outlineLevel="0" collapsed="false">
      <c r="A49" s="195"/>
      <c r="B49" s="195" t="s">
        <v>288</v>
      </c>
      <c r="C49" s="200" t="n">
        <v>0</v>
      </c>
      <c r="D49" s="200" t="n">
        <v>0</v>
      </c>
      <c r="E49" s="200" t="n">
        <v>0</v>
      </c>
      <c r="F49" s="200" t="n">
        <v>0</v>
      </c>
      <c r="G49" s="200" t="n">
        <f aca="false">SUM(C49:F49)</f>
        <v>0</v>
      </c>
      <c r="H49" s="195" t="s">
        <v>321</v>
      </c>
      <c r="I49" s="195"/>
    </row>
    <row r="50" customFormat="false" ht="12.75" hidden="false" customHeight="false" outlineLevel="0" collapsed="false">
      <c r="A50" s="195"/>
      <c r="B50" s="195" t="s">
        <v>318</v>
      </c>
      <c r="C50" s="200" t="n">
        <v>0</v>
      </c>
      <c r="D50" s="200" t="n">
        <v>0</v>
      </c>
      <c r="E50" s="200" t="n">
        <v>0</v>
      </c>
      <c r="F50" s="200" t="n">
        <v>0</v>
      </c>
      <c r="G50" s="200" t="n">
        <f aca="false">SUM(C50:F50)</f>
        <v>0</v>
      </c>
      <c r="H50" s="195" t="s">
        <v>321</v>
      </c>
      <c r="I50" s="195"/>
    </row>
    <row r="51" customFormat="false" ht="12.75" hidden="false" customHeight="false" outlineLevel="0" collapsed="false">
      <c r="A51" s="195"/>
      <c r="B51" s="195"/>
      <c r="C51" s="195"/>
      <c r="D51" s="195"/>
      <c r="E51" s="195"/>
      <c r="F51" s="195"/>
      <c r="G51" s="195"/>
      <c r="H51" s="195"/>
      <c r="I51" s="195"/>
    </row>
    <row r="52" customFormat="false" ht="12.75" hidden="false" customHeight="false" outlineLevel="0" collapsed="false">
      <c r="A52" s="205"/>
    </row>
  </sheetData>
  <mergeCells count="7">
    <mergeCell ref="B2:B3"/>
    <mergeCell ref="C2:C3"/>
    <mergeCell ref="D2:D3"/>
    <mergeCell ref="E2:E3"/>
    <mergeCell ref="F2:F3"/>
    <mergeCell ref="G2:G3"/>
    <mergeCell ref="H2:H3"/>
  </mergeCells>
  <printOptions headings="false" gridLines="true" gridLinesSet="true" horizontalCentered="false" verticalCentered="false"/>
  <pageMargins left="0.275694444444444" right="0.472222222222222" top="0.747916666666667" bottom="0.786805555555556" header="0.275694444444444" footer="0.35416666666666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&amp;C&amp;"Arial,Bold"&amp;11Financial accounts for the period
6 April 2020 to 5 April 2021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206" width="2.66"/>
    <col collapsed="false" customWidth="true" hidden="false" outlineLevel="0" max="2" min="2" style="206" width="25.99"/>
    <col collapsed="false" customWidth="true" hidden="false" outlineLevel="0" max="3" min="3" style="206" width="11.32"/>
    <col collapsed="false" customWidth="true" hidden="false" outlineLevel="0" max="4" min="4" style="207" width="13.49"/>
    <col collapsed="false" customWidth="true" hidden="false" outlineLevel="0" max="5" min="5" style="208" width="12.66"/>
    <col collapsed="false" customWidth="true" hidden="false" outlineLevel="0" max="6" min="6" style="209" width="4.15"/>
    <col collapsed="false" customWidth="true" hidden="false" outlineLevel="0" max="7" min="7" style="210" width="2.66"/>
    <col collapsed="false" customWidth="false" hidden="false" outlineLevel="0" max="12" min="8" style="206" width="9.15"/>
    <col collapsed="false" customWidth="true" hidden="false" outlineLevel="0" max="13" min="13" style="206" width="15.15"/>
    <col collapsed="false" customWidth="false" hidden="false" outlineLevel="0" max="257" min="14" style="206" width="9.15"/>
  </cols>
  <sheetData>
    <row r="1" customFormat="false" ht="12.75" hidden="false" customHeight="false" outlineLevel="0" collapsed="false">
      <c r="A1" s="211"/>
      <c r="B1" s="211"/>
      <c r="C1" s="211"/>
      <c r="D1" s="212"/>
      <c r="E1" s="213"/>
      <c r="F1" s="214"/>
      <c r="G1" s="211"/>
    </row>
    <row r="2" customFormat="false" ht="18" hidden="false" customHeight="true" outlineLevel="0" collapsed="false">
      <c r="A2" s="211"/>
      <c r="B2" s="215" t="s">
        <v>326</v>
      </c>
      <c r="C2" s="216" t="str">
        <f aca="false">Admin!L2</f>
        <v>2022-23</v>
      </c>
      <c r="D2" s="217" t="s">
        <v>327</v>
      </c>
      <c r="E2" s="217"/>
      <c r="F2" s="217"/>
      <c r="G2" s="218"/>
    </row>
    <row r="3" customFormat="false" ht="18.75" hidden="false" customHeight="true" outlineLevel="0" collapsed="false">
      <c r="A3" s="211"/>
      <c r="B3" s="219"/>
      <c r="C3" s="219"/>
      <c r="D3" s="217"/>
      <c r="E3" s="217"/>
      <c r="F3" s="217"/>
      <c r="G3" s="218"/>
    </row>
    <row r="4" customFormat="false" ht="12.75" hidden="false" customHeight="false" outlineLevel="0" collapsed="false">
      <c r="A4" s="211"/>
      <c r="B4" s="220"/>
      <c r="C4" s="220"/>
      <c r="D4" s="221"/>
      <c r="E4" s="213"/>
      <c r="F4" s="214"/>
      <c r="G4" s="218"/>
    </row>
    <row r="5" customFormat="false" ht="12.75" hidden="false" customHeight="false" outlineLevel="0" collapsed="false">
      <c r="A5" s="211"/>
      <c r="B5" s="222" t="s">
        <v>328</v>
      </c>
      <c r="C5" s="222"/>
      <c r="D5" s="222"/>
      <c r="E5" s="223" t="n">
        <f aca="false">'SE Full'!O210</f>
        <v>25800</v>
      </c>
      <c r="F5" s="214"/>
      <c r="G5" s="218"/>
      <c r="M5" s="224"/>
    </row>
    <row r="6" customFormat="false" ht="12.75" hidden="false" customHeight="false" outlineLevel="0" collapsed="false">
      <c r="A6" s="211"/>
      <c r="B6" s="220" t="s">
        <v>329</v>
      </c>
      <c r="C6" s="220" t="str">
        <f aca="false">C2</f>
        <v>2022-23</v>
      </c>
      <c r="D6" s="225"/>
      <c r="E6" s="218" t="n">
        <f aca="false">IF((E5&gt;0),Admin!N$4,0)</f>
        <v>12570</v>
      </c>
      <c r="F6" s="214"/>
      <c r="G6" s="218"/>
      <c r="M6" s="224"/>
    </row>
    <row r="7" customFormat="false" ht="12.75" hidden="false" customHeight="false" outlineLevel="0" collapsed="false">
      <c r="A7" s="211"/>
      <c r="B7" s="222" t="s">
        <v>330</v>
      </c>
      <c r="C7" s="222"/>
      <c r="D7" s="222"/>
      <c r="E7" s="223" t="n">
        <f aca="false">IF((E5&gt;E6),(E5-E6),0)</f>
        <v>13230</v>
      </c>
      <c r="F7" s="214"/>
      <c r="G7" s="218"/>
      <c r="M7" s="224"/>
    </row>
    <row r="8" customFormat="false" ht="12.75" hidden="false" customHeight="false" outlineLevel="0" collapsed="false">
      <c r="A8" s="211"/>
      <c r="B8" s="220" t="s">
        <v>331</v>
      </c>
      <c r="C8" s="220" t="n">
        <f aca="false">Admin!N$11</f>
        <v>0</v>
      </c>
      <c r="D8" s="226" t="n">
        <f aca="false">Admin!N$6</f>
        <v>0.2</v>
      </c>
      <c r="E8" s="213" t="n">
        <f aca="false">IF((E7&gt;0),(IF((E7&lt;C9),E7*D8,C9*D8)),0)</f>
        <v>2646</v>
      </c>
      <c r="F8" s="214"/>
      <c r="G8" s="218"/>
      <c r="H8" s="227"/>
      <c r="M8" s="224"/>
    </row>
    <row r="9" customFormat="false" ht="12.75" hidden="false" customHeight="false" outlineLevel="0" collapsed="false">
      <c r="A9" s="211"/>
      <c r="B9" s="220" t="s">
        <v>332</v>
      </c>
      <c r="C9" s="220" t="n">
        <f aca="false">Admin!N$12</f>
        <v>37701</v>
      </c>
      <c r="D9" s="226" t="n">
        <f aca="false">Admin!N$7</f>
        <v>0.4</v>
      </c>
      <c r="E9" s="213" t="n">
        <f aca="false">IF((E7&gt;C9),((E7-C9)*D9),0)</f>
        <v>0</v>
      </c>
      <c r="F9" s="214"/>
      <c r="G9" s="218"/>
      <c r="M9" s="224"/>
    </row>
    <row r="10" customFormat="false" ht="12.75" hidden="false" customHeight="false" outlineLevel="0" collapsed="false">
      <c r="A10" s="211"/>
      <c r="B10" s="228" t="s">
        <v>333</v>
      </c>
      <c r="C10" s="229"/>
      <c r="D10" s="230"/>
      <c r="E10" s="231" t="n">
        <f aca="false">SUM(E8:E9)</f>
        <v>2646</v>
      </c>
      <c r="F10" s="214"/>
      <c r="G10" s="218"/>
      <c r="M10" s="224"/>
    </row>
    <row r="11" customFormat="false" ht="12.75" hidden="false" customHeight="false" outlineLevel="0" collapsed="false">
      <c r="A11" s="211"/>
      <c r="B11" s="220" t="s">
        <v>334</v>
      </c>
      <c r="C11" s="220"/>
      <c r="D11" s="232"/>
      <c r="E11" s="213" t="n">
        <f aca="false">-[2]Mar!$X$1</f>
        <v>-0</v>
      </c>
      <c r="F11" s="233"/>
      <c r="G11" s="234"/>
      <c r="M11" s="224"/>
    </row>
    <row r="12" customFormat="false" ht="12.75" hidden="false" customHeight="false" outlineLevel="0" collapsed="false">
      <c r="A12" s="211"/>
      <c r="B12" s="220"/>
      <c r="C12" s="220"/>
      <c r="D12" s="232"/>
      <c r="E12" s="213"/>
      <c r="F12" s="233"/>
      <c r="G12" s="234"/>
      <c r="M12" s="224"/>
    </row>
    <row r="13" customFormat="false" ht="12.75" hidden="false" customHeight="false" outlineLevel="0" collapsed="false">
      <c r="A13" s="211"/>
      <c r="B13" s="235" t="s">
        <v>335</v>
      </c>
      <c r="C13" s="236" t="n">
        <f aca="false">Admin!B21</f>
        <v>45322</v>
      </c>
      <c r="D13" s="236"/>
      <c r="E13" s="213"/>
      <c r="F13" s="233"/>
      <c r="G13" s="234"/>
      <c r="M13" s="224"/>
    </row>
    <row r="14" customFormat="false" ht="12.75" hidden="false" customHeight="false" outlineLevel="0" collapsed="false">
      <c r="A14" s="211"/>
      <c r="B14" s="220"/>
      <c r="C14" s="220"/>
      <c r="D14" s="237"/>
      <c r="E14" s="238"/>
      <c r="F14" s="214"/>
      <c r="G14" s="234"/>
      <c r="M14" s="224"/>
    </row>
    <row r="15" customFormat="false" ht="12.75" hidden="false" customHeight="false" outlineLevel="0" collapsed="false">
      <c r="A15" s="211"/>
      <c r="B15" s="239" t="s">
        <v>336</v>
      </c>
      <c r="C15" s="239"/>
      <c r="D15" s="226" t="n">
        <f aca="false">Admin!L20</f>
        <v>0.0973</v>
      </c>
      <c r="E15" s="240" t="n">
        <f aca="false">IF(E5&gt;Admin!N20,IF(E5&lt;Admin!N$23,(E5-Admin!N20)*D15,(Admin!N$23-Admin!N20)*D15),0)</f>
        <v>1351.6916</v>
      </c>
      <c r="F15" s="214"/>
      <c r="G15" s="234"/>
      <c r="M15" s="224"/>
    </row>
    <row r="16" customFormat="false" ht="12.75" hidden="false" customHeight="false" outlineLevel="0" collapsed="false">
      <c r="A16" s="211"/>
      <c r="B16" s="239" t="s">
        <v>337</v>
      </c>
      <c r="C16" s="239"/>
      <c r="D16" s="226" t="n">
        <f aca="false">Admin!L23</f>
        <v>0.0273</v>
      </c>
      <c r="E16" s="240" t="n">
        <f aca="false">IF((E5&gt;Admin!N$23),((E5-Admin!N$23)*D16),0)</f>
        <v>0</v>
      </c>
      <c r="F16" s="214"/>
      <c r="G16" s="234"/>
      <c r="M16" s="224"/>
    </row>
    <row r="17" customFormat="false" ht="12.75" hidden="false" customHeight="false" outlineLevel="0" collapsed="false">
      <c r="A17" s="211"/>
      <c r="B17" s="220"/>
      <c r="C17" s="220"/>
      <c r="D17" s="237"/>
      <c r="E17" s="238"/>
      <c r="F17" s="214"/>
      <c r="G17" s="234"/>
      <c r="M17" s="224"/>
    </row>
    <row r="18" customFormat="false" ht="12.75" hidden="false" customHeight="false" outlineLevel="0" collapsed="false">
      <c r="A18" s="211"/>
      <c r="B18" s="241" t="s">
        <v>338</v>
      </c>
      <c r="C18" s="241"/>
      <c r="D18" s="237"/>
      <c r="E18" s="231" t="n">
        <f aca="false">SUM(E10:E17)</f>
        <v>3997.6916</v>
      </c>
      <c r="F18" s="214"/>
      <c r="G18" s="218"/>
      <c r="M18" s="224"/>
    </row>
    <row r="19" customFormat="false" ht="12.75" hidden="false" customHeight="false" outlineLevel="0" collapsed="false">
      <c r="A19" s="211"/>
      <c r="B19" s="242"/>
      <c r="C19" s="242"/>
      <c r="D19" s="237"/>
      <c r="E19" s="238"/>
      <c r="F19" s="214"/>
      <c r="G19" s="218"/>
    </row>
    <row r="20" customFormat="false" ht="12.75" hidden="false" customHeight="false" outlineLevel="0" collapsed="false">
      <c r="A20" s="211"/>
      <c r="B20" s="242"/>
      <c r="C20" s="242"/>
      <c r="D20" s="237"/>
      <c r="E20" s="238"/>
      <c r="F20" s="214"/>
      <c r="G20" s="218"/>
    </row>
    <row r="21" customFormat="false" ht="18" hidden="false" customHeight="true" outlineLevel="0" collapsed="false">
      <c r="A21" s="211"/>
      <c r="B21" s="228" t="s">
        <v>339</v>
      </c>
      <c r="C21" s="243"/>
      <c r="D21" s="244" t="s">
        <v>340</v>
      </c>
      <c r="E21" s="244"/>
      <c r="F21" s="244"/>
      <c r="G21" s="211"/>
    </row>
    <row r="22" customFormat="false" ht="12.75" hidden="false" customHeight="true" outlineLevel="0" collapsed="false">
      <c r="A22" s="211"/>
      <c r="B22" s="220"/>
      <c r="C22" s="220"/>
      <c r="D22" s="237"/>
      <c r="E22" s="238"/>
      <c r="F22" s="214"/>
      <c r="G22" s="234"/>
    </row>
    <row r="23" s="249" customFormat="true" ht="12.75" hidden="false" customHeight="true" outlineLevel="0" collapsed="false">
      <c r="A23" s="245"/>
      <c r="B23" s="220"/>
      <c r="C23" s="220"/>
      <c r="D23" s="246" t="s">
        <v>341</v>
      </c>
      <c r="E23" s="247" t="s">
        <v>342</v>
      </c>
      <c r="F23" s="248"/>
      <c r="G23" s="218"/>
    </row>
    <row r="24" s="249" customFormat="true" ht="12.75" hidden="false" customHeight="false" outlineLevel="0" collapsed="false">
      <c r="A24" s="245"/>
      <c r="B24" s="220"/>
      <c r="C24" s="220"/>
      <c r="D24" s="246"/>
      <c r="E24" s="246"/>
      <c r="F24" s="248"/>
      <c r="G24" s="218"/>
    </row>
    <row r="25" customFormat="false" ht="12.75" hidden="false" customHeight="false" outlineLevel="0" collapsed="false">
      <c r="A25" s="211"/>
      <c r="B25" s="220" t="s">
        <v>343</v>
      </c>
      <c r="C25" s="250" t="str">
        <f aca="false">Admin!B24</f>
        <v>2023-24</v>
      </c>
      <c r="D25" s="251" t="s">
        <v>344</v>
      </c>
      <c r="E25" s="240" t="n">
        <f aca="false">E18</f>
        <v>3997.6916</v>
      </c>
      <c r="F25" s="214"/>
      <c r="G25" s="218"/>
    </row>
    <row r="26" customFormat="false" ht="12.75" hidden="false" customHeight="false" outlineLevel="0" collapsed="false">
      <c r="A26" s="211"/>
      <c r="B26" s="220" t="s">
        <v>345</v>
      </c>
      <c r="C26" s="220"/>
      <c r="D26" s="252" t="n">
        <f aca="false">Admin!B21</f>
        <v>45322</v>
      </c>
      <c r="E26" s="223" t="n">
        <f aca="false">E25/2</f>
        <v>1998.8458</v>
      </c>
      <c r="F26" s="214"/>
      <c r="G26" s="218"/>
    </row>
    <row r="27" customFormat="false" ht="12.75" hidden="false" customHeight="false" outlineLevel="0" collapsed="false">
      <c r="A27" s="211"/>
      <c r="B27" s="220" t="s">
        <v>345</v>
      </c>
      <c r="C27" s="220"/>
      <c r="D27" s="252" t="n">
        <f aca="false">Admin!B22</f>
        <v>45504</v>
      </c>
      <c r="E27" s="223" t="n">
        <f aca="false">E25/2</f>
        <v>1998.8458</v>
      </c>
      <c r="F27" s="214"/>
      <c r="G27" s="218"/>
    </row>
    <row r="28" customFormat="false" ht="12.75" hidden="false" customHeight="false" outlineLevel="0" collapsed="false">
      <c r="A28" s="211"/>
      <c r="B28" s="211"/>
      <c r="C28" s="211"/>
      <c r="D28" s="237"/>
      <c r="E28" s="213"/>
      <c r="F28" s="214"/>
      <c r="G28" s="218"/>
    </row>
    <row r="29" customFormat="false" ht="12.75" hidden="false" customHeight="false" outlineLevel="0" collapsed="false">
      <c r="A29" s="211"/>
      <c r="B29" s="253" t="s">
        <v>346</v>
      </c>
      <c r="C29" s="254"/>
      <c r="D29" s="237"/>
      <c r="E29" s="213"/>
      <c r="F29" s="214"/>
      <c r="G29" s="218"/>
    </row>
    <row r="30" customFormat="false" ht="12.75" hidden="false" customHeight="false" outlineLevel="0" collapsed="false">
      <c r="A30" s="211"/>
      <c r="B30" s="255" t="s">
        <v>347</v>
      </c>
      <c r="C30" s="255"/>
      <c r="D30" s="211"/>
      <c r="E30" s="256"/>
      <c r="F30" s="214"/>
      <c r="G30" s="257"/>
    </row>
    <row r="31" customFormat="false" ht="12.75" hidden="false" customHeight="false" outlineLevel="0" collapsed="false">
      <c r="A31" s="211"/>
      <c r="B31" s="258" t="s">
        <v>348</v>
      </c>
      <c r="C31" s="258"/>
      <c r="D31" s="259"/>
      <c r="E31" s="256"/>
      <c r="F31" s="214"/>
      <c r="G31" s="257"/>
    </row>
    <row r="32" customFormat="false" ht="12.75" hidden="false" customHeight="false" outlineLevel="0" collapsed="false">
      <c r="A32" s="211"/>
      <c r="B32" s="260" t="s">
        <v>349</v>
      </c>
      <c r="C32" s="258"/>
      <c r="D32" s="259"/>
      <c r="E32" s="256"/>
      <c r="F32" s="214"/>
      <c r="G32" s="257"/>
    </row>
    <row r="33" customFormat="false" ht="12.75" hidden="false" customHeight="false" outlineLevel="0" collapsed="false">
      <c r="A33" s="211"/>
      <c r="B33" s="254" t="s">
        <v>350</v>
      </c>
      <c r="C33" s="254"/>
      <c r="D33" s="259"/>
      <c r="E33" s="261"/>
      <c r="F33" s="214"/>
      <c r="G33" s="257"/>
    </row>
    <row r="34" customFormat="false" ht="12.75" hidden="false" customHeight="false" outlineLevel="0" collapsed="false">
      <c r="A34" s="211"/>
      <c r="B34" s="254" t="s">
        <v>351</v>
      </c>
      <c r="C34" s="254"/>
      <c r="D34" s="259"/>
      <c r="E34" s="261"/>
      <c r="F34" s="214"/>
      <c r="G34" s="257"/>
    </row>
    <row r="35" customFormat="false" ht="12.75" hidden="false" customHeight="false" outlineLevel="0" collapsed="false">
      <c r="A35" s="211"/>
      <c r="B35" s="254" t="s">
        <v>352</v>
      </c>
      <c r="C35" s="254"/>
      <c r="D35" s="259"/>
      <c r="E35" s="261"/>
      <c r="F35" s="214"/>
      <c r="G35" s="257"/>
    </row>
    <row r="36" customFormat="false" ht="12.75" hidden="false" customHeight="false" outlineLevel="0" collapsed="false">
      <c r="A36" s="211"/>
      <c r="B36" s="211"/>
      <c r="C36" s="211"/>
      <c r="D36" s="259"/>
      <c r="E36" s="261"/>
      <c r="F36" s="214"/>
      <c r="G36" s="257"/>
    </row>
  </sheetData>
  <mergeCells count="10">
    <mergeCell ref="D2:F3"/>
    <mergeCell ref="B5:D5"/>
    <mergeCell ref="B7:D7"/>
    <mergeCell ref="C13:D13"/>
    <mergeCell ref="B15:C15"/>
    <mergeCell ref="B16:C16"/>
    <mergeCell ref="B18:C18"/>
    <mergeCell ref="D21:F21"/>
    <mergeCell ref="D23:D24"/>
    <mergeCell ref="E23:E24"/>
  </mergeCells>
  <printOptions headings="false" gridLines="false" gridLinesSet="true" horizontalCentered="false" verticalCentered="false"/>
  <pageMargins left="0.75" right="0.75" top="1" bottom="1" header="0.5" footer="0.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&amp;C&amp;"Arial,Bold"&amp;11Provisional tax calculation
&amp;"Arial,Regular"&amp;10precise figures will depend upon personal circumstances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54" width="1.66"/>
    <col collapsed="false" customWidth="false" hidden="false" outlineLevel="0" max="2" min="2" style="262" width="9.15"/>
    <col collapsed="false" customWidth="true" hidden="false" outlineLevel="0" max="9" min="3" style="263" width="10.66"/>
    <col collapsed="false" customWidth="true" hidden="false" outlineLevel="0" max="10" min="10" style="154" width="1.66"/>
    <col collapsed="false" customWidth="true" hidden="false" outlineLevel="0" max="11" min="11" style="154" width="36.82"/>
    <col collapsed="false" customWidth="true" hidden="false" outlineLevel="0" max="12" min="12" style="154" width="1.66"/>
    <col collapsed="false" customWidth="false" hidden="false" outlineLevel="0" max="257" min="13" style="154" width="9.15"/>
  </cols>
  <sheetData>
    <row r="1" customFormat="false" ht="7.5" hidden="false" customHeight="true" outlineLevel="0" collapsed="false">
      <c r="A1" s="264"/>
      <c r="B1" s="265"/>
      <c r="C1" s="266"/>
      <c r="D1" s="266"/>
      <c r="E1" s="266"/>
      <c r="F1" s="266"/>
      <c r="G1" s="266"/>
      <c r="H1" s="266"/>
      <c r="I1" s="266"/>
      <c r="J1" s="157"/>
      <c r="K1" s="157"/>
      <c r="L1" s="159"/>
    </row>
    <row r="2" s="272" customFormat="true" ht="43.25" hidden="false" customHeight="false" outlineLevel="0" collapsed="false">
      <c r="A2" s="267"/>
      <c r="B2" s="268" t="s">
        <v>353</v>
      </c>
      <c r="C2" s="269" t="s">
        <v>354</v>
      </c>
      <c r="D2" s="269" t="s">
        <v>355</v>
      </c>
      <c r="E2" s="269" t="s">
        <v>356</v>
      </c>
      <c r="F2" s="269" t="s">
        <v>357</v>
      </c>
      <c r="G2" s="269" t="s">
        <v>358</v>
      </c>
      <c r="H2" s="269" t="s">
        <v>359</v>
      </c>
      <c r="I2" s="269" t="s">
        <v>360</v>
      </c>
      <c r="J2" s="270"/>
      <c r="K2" s="268" t="s">
        <v>361</v>
      </c>
      <c r="L2" s="271"/>
    </row>
    <row r="3" s="272" customFormat="true" ht="15" hidden="false" customHeight="true" outlineLevel="0" collapsed="false">
      <c r="A3" s="267"/>
      <c r="B3" s="273" t="s">
        <v>362</v>
      </c>
      <c r="C3" s="273"/>
      <c r="D3" s="274"/>
      <c r="E3" s="274"/>
      <c r="F3" s="274"/>
      <c r="G3" s="274"/>
      <c r="H3" s="274"/>
      <c r="I3" s="274"/>
      <c r="J3" s="270"/>
      <c r="K3" s="275"/>
      <c r="L3" s="271"/>
    </row>
    <row r="4" customFormat="false" ht="12" hidden="false" customHeight="true" outlineLevel="0" collapsed="false">
      <c r="A4" s="276"/>
      <c r="B4" s="277" t="n">
        <f aca="false">Admin!B5</f>
        <v>44681</v>
      </c>
      <c r="C4" s="263" t="n">
        <f aca="false">[6]Apr!$M$1</f>
        <v>0</v>
      </c>
      <c r="D4" s="263" t="n">
        <f aca="false">[6]Apr!$N$1</f>
        <v>0</v>
      </c>
      <c r="E4" s="263" t="n">
        <f aca="false">[6]Apr!$O$1</f>
        <v>0</v>
      </c>
      <c r="F4" s="263" t="n">
        <f aca="false">[6]Apr!$P$1+[6]Apr!$Q$1</f>
        <v>0</v>
      </c>
      <c r="G4" s="263" t="n">
        <f aca="false">C4-SUM(D4:F4)</f>
        <v>0</v>
      </c>
      <c r="H4" s="263" t="n">
        <f aca="false">[6]Apr!$T$1</f>
        <v>0</v>
      </c>
      <c r="I4" s="263" t="n">
        <f aca="false">[6]Apr!$G$1</f>
        <v>0</v>
      </c>
      <c r="J4" s="158"/>
      <c r="K4" s="278" t="s">
        <v>363</v>
      </c>
      <c r="L4" s="164"/>
    </row>
    <row r="5" customFormat="false" ht="12" hidden="false" customHeight="true" outlineLevel="0" collapsed="false">
      <c r="A5" s="276"/>
      <c r="B5" s="277" t="n">
        <f aca="false">Admin!B6</f>
        <v>44712</v>
      </c>
      <c r="C5" s="263" t="n">
        <f aca="false">[6]May!$M$1</f>
        <v>0</v>
      </c>
      <c r="D5" s="263" t="n">
        <f aca="false">[6]May!$N$1</f>
        <v>0</v>
      </c>
      <c r="E5" s="263" t="n">
        <f aca="false">[6]May!$O$1</f>
        <v>0</v>
      </c>
      <c r="F5" s="263" t="n">
        <f aca="false">[6]May!$P$1+[6]May!$Q$1</f>
        <v>0</v>
      </c>
      <c r="G5" s="263" t="n">
        <f aca="false">C5-SUM(D5:F5)</f>
        <v>0</v>
      </c>
      <c r="H5" s="263" t="n">
        <f aca="false">[6]May!$T$1</f>
        <v>0</v>
      </c>
      <c r="I5" s="263" t="n">
        <f aca="false">[6]May!$G$1</f>
        <v>0</v>
      </c>
      <c r="J5" s="158"/>
      <c r="K5" s="278"/>
      <c r="L5" s="164"/>
    </row>
    <row r="6" customFormat="false" ht="12" hidden="false" customHeight="false" outlineLevel="0" collapsed="false">
      <c r="A6" s="276"/>
      <c r="B6" s="277" t="n">
        <f aca="false">Admin!B7</f>
        <v>44742</v>
      </c>
      <c r="C6" s="263" t="n">
        <f aca="false">[6]Jun!$M$1</f>
        <v>0</v>
      </c>
      <c r="D6" s="263" t="n">
        <f aca="false">[6]Jun!$N$1</f>
        <v>0</v>
      </c>
      <c r="E6" s="263" t="n">
        <f aca="false">[6]Jun!$O$1</f>
        <v>0</v>
      </c>
      <c r="F6" s="263" t="n">
        <f aca="false">[6]Jun!$P$1+[6]Jun!$Q$1</f>
        <v>0</v>
      </c>
      <c r="G6" s="263" t="n">
        <f aca="false">C6-SUM(D6:F6)</f>
        <v>0</v>
      </c>
      <c r="H6" s="263" t="n">
        <f aca="false">[6]Jun!$T$1</f>
        <v>0</v>
      </c>
      <c r="I6" s="263" t="n">
        <f aca="false">[6]Jun!$G$1</f>
        <v>0</v>
      </c>
      <c r="J6" s="158"/>
      <c r="K6" s="278"/>
      <c r="L6" s="164"/>
    </row>
    <row r="7" customFormat="false" ht="12" hidden="false" customHeight="false" outlineLevel="0" collapsed="false">
      <c r="A7" s="276"/>
      <c r="B7" s="277" t="n">
        <f aca="false">Admin!B8</f>
        <v>44773</v>
      </c>
      <c r="C7" s="263" t="n">
        <f aca="false">[6]Jul!$M$1</f>
        <v>0</v>
      </c>
      <c r="D7" s="263" t="n">
        <f aca="false">[6]Jul!$N$1</f>
        <v>0</v>
      </c>
      <c r="E7" s="263" t="n">
        <f aca="false">[6]Jul!$O$1</f>
        <v>0</v>
      </c>
      <c r="F7" s="263" t="n">
        <f aca="false">[6]Jul!$P$1+[6]Jul!$Q$1</f>
        <v>0</v>
      </c>
      <c r="G7" s="263" t="n">
        <f aca="false">C7-SUM(D7:F7)</f>
        <v>0</v>
      </c>
      <c r="H7" s="263" t="n">
        <f aca="false">[6]Jul!$T$1</f>
        <v>0</v>
      </c>
      <c r="I7" s="263" t="n">
        <f aca="false">[6]Jul!$G$1</f>
        <v>0</v>
      </c>
      <c r="J7" s="158"/>
      <c r="K7" s="278"/>
      <c r="L7" s="164"/>
    </row>
    <row r="8" customFormat="false" ht="12" hidden="false" customHeight="true" outlineLevel="0" collapsed="false">
      <c r="A8" s="276"/>
      <c r="B8" s="277" t="n">
        <f aca="false">Admin!B9</f>
        <v>44804</v>
      </c>
      <c r="C8" s="263" t="n">
        <f aca="false">[6]Aug!$M$1</f>
        <v>0</v>
      </c>
      <c r="D8" s="263" t="n">
        <f aca="false">[6]Aug!$N$1</f>
        <v>0</v>
      </c>
      <c r="E8" s="263" t="n">
        <f aca="false">[6]Aug!$O$1</f>
        <v>0</v>
      </c>
      <c r="F8" s="263" t="n">
        <f aca="false">[6]Aug!$P$1+[6]Aug!$Q$1</f>
        <v>0</v>
      </c>
      <c r="G8" s="263" t="n">
        <f aca="false">C8-SUM(D8:F8)</f>
        <v>0</v>
      </c>
      <c r="H8" s="263" t="n">
        <f aca="false">[6]Aug!$T$1</f>
        <v>0</v>
      </c>
      <c r="I8" s="263" t="n">
        <f aca="false">[6]Aug!$G$1</f>
        <v>0</v>
      </c>
      <c r="J8" s="158"/>
      <c r="K8" s="278" t="s">
        <v>364</v>
      </c>
      <c r="L8" s="164"/>
    </row>
    <row r="9" customFormat="false" ht="12" hidden="false" customHeight="true" outlineLevel="0" collapsed="false">
      <c r="A9" s="276"/>
      <c r="B9" s="277" t="n">
        <f aca="false">Admin!B10</f>
        <v>44834</v>
      </c>
      <c r="C9" s="263" t="n">
        <f aca="false">[6]Sep!$M$1</f>
        <v>0</v>
      </c>
      <c r="D9" s="263" t="n">
        <f aca="false">[6]Sep!$N$1</f>
        <v>0</v>
      </c>
      <c r="E9" s="263" t="n">
        <f aca="false">[6]Sep!$O$1</f>
        <v>0</v>
      </c>
      <c r="F9" s="263" t="n">
        <f aca="false">[6]Sep!$P$1+[6]Sep!$Q$1</f>
        <v>0</v>
      </c>
      <c r="G9" s="263" t="n">
        <f aca="false">C9-SUM(D9:F9)</f>
        <v>0</v>
      </c>
      <c r="H9" s="263" t="n">
        <f aca="false">[6]Sep!$T$1</f>
        <v>0</v>
      </c>
      <c r="I9" s="263" t="n">
        <f aca="false">[6]Sep!$G$1</f>
        <v>0</v>
      </c>
      <c r="J9" s="158"/>
      <c r="K9" s="278"/>
      <c r="L9" s="164"/>
    </row>
    <row r="10" customFormat="false" ht="12" hidden="false" customHeight="true" outlineLevel="0" collapsed="false">
      <c r="A10" s="276"/>
      <c r="B10" s="277" t="n">
        <f aca="false">Admin!B11</f>
        <v>44865</v>
      </c>
      <c r="C10" s="263" t="n">
        <f aca="false">[6]Oct!$M$1</f>
        <v>0</v>
      </c>
      <c r="D10" s="263" t="n">
        <f aca="false">[6]Oct!$N$1</f>
        <v>0</v>
      </c>
      <c r="E10" s="263" t="n">
        <f aca="false">[6]Oct!$O$1</f>
        <v>0</v>
      </c>
      <c r="F10" s="263" t="n">
        <f aca="false">[6]Oct!$P$1+[6]Oct!$Q$1</f>
        <v>0</v>
      </c>
      <c r="G10" s="263" t="n">
        <f aca="false">C10-SUM(D10:F10)</f>
        <v>0</v>
      </c>
      <c r="H10" s="263" t="n">
        <f aca="false">[6]Oct!$T$1</f>
        <v>0</v>
      </c>
      <c r="I10" s="263" t="n">
        <f aca="false">[6]Oct!$G$1</f>
        <v>0</v>
      </c>
      <c r="J10" s="158"/>
      <c r="K10" s="278"/>
      <c r="L10" s="164"/>
    </row>
    <row r="11" customFormat="false" ht="12" hidden="false" customHeight="true" outlineLevel="0" collapsed="false">
      <c r="A11" s="276"/>
      <c r="B11" s="277" t="n">
        <f aca="false">Admin!B12</f>
        <v>44895</v>
      </c>
      <c r="C11" s="263" t="n">
        <f aca="false">[6]Nov!$M$1</f>
        <v>0</v>
      </c>
      <c r="D11" s="263" t="n">
        <f aca="false">[6]Nov!$N$1</f>
        <v>0</v>
      </c>
      <c r="E11" s="263" t="n">
        <f aca="false">[6]Nov!$O$1</f>
        <v>0</v>
      </c>
      <c r="F11" s="263" t="n">
        <f aca="false">[6]Nov!$P$1+[6]Nov!$Q$1</f>
        <v>0</v>
      </c>
      <c r="G11" s="263" t="n">
        <f aca="false">C11-SUM(D11:F11)</f>
        <v>0</v>
      </c>
      <c r="H11" s="263" t="n">
        <f aca="false">[6]Nov!$T$1</f>
        <v>0</v>
      </c>
      <c r="I11" s="263" t="n">
        <f aca="false">[6]Nov!$G$1</f>
        <v>0</v>
      </c>
      <c r="J11" s="158"/>
      <c r="K11" s="278"/>
      <c r="L11" s="164"/>
    </row>
    <row r="12" customFormat="false" ht="12" hidden="false" customHeight="true" outlineLevel="0" collapsed="false">
      <c r="A12" s="276"/>
      <c r="B12" s="277" t="n">
        <f aca="false">Admin!B13</f>
        <v>44926</v>
      </c>
      <c r="C12" s="263" t="n">
        <f aca="false">[6]Dec!$M$1</f>
        <v>0</v>
      </c>
      <c r="D12" s="263" t="n">
        <f aca="false">[6]Dec!$N$1</f>
        <v>0</v>
      </c>
      <c r="E12" s="263" t="n">
        <f aca="false">[6]Dec!$O$1</f>
        <v>0</v>
      </c>
      <c r="F12" s="263" t="n">
        <f aca="false">[6]Dec!$P$1+[6]Dec!$Q$1</f>
        <v>0</v>
      </c>
      <c r="G12" s="263" t="n">
        <f aca="false">C12-SUM(D12:F12)</f>
        <v>0</v>
      </c>
      <c r="H12" s="263" t="n">
        <f aca="false">[6]Dec!$T$1</f>
        <v>0</v>
      </c>
      <c r="I12" s="263" t="n">
        <f aca="false">[6]Dec!$G$1</f>
        <v>0</v>
      </c>
      <c r="J12" s="158"/>
      <c r="K12" s="278"/>
      <c r="L12" s="164"/>
    </row>
    <row r="13" customFormat="false" ht="12" hidden="false" customHeight="false" outlineLevel="0" collapsed="false">
      <c r="A13" s="276"/>
      <c r="B13" s="277" t="n">
        <f aca="false">Admin!B14</f>
        <v>44957</v>
      </c>
      <c r="C13" s="263" t="n">
        <f aca="false">[6]Jan!$M$1</f>
        <v>0</v>
      </c>
      <c r="D13" s="263" t="n">
        <f aca="false">[6]Jan!$N$1</f>
        <v>0</v>
      </c>
      <c r="E13" s="263" t="n">
        <f aca="false">[6]Jan!$O$1</f>
        <v>0</v>
      </c>
      <c r="F13" s="263" t="n">
        <f aca="false">[6]Jan!$P$1+[6]Jan!$Q$1</f>
        <v>0</v>
      </c>
      <c r="G13" s="263" t="n">
        <f aca="false">C13-SUM(D13:F13)</f>
        <v>0</v>
      </c>
      <c r="H13" s="263" t="n">
        <f aca="false">[6]Jan!$T$1</f>
        <v>0</v>
      </c>
      <c r="I13" s="263" t="n">
        <f aca="false">[6]Jan!$G$1</f>
        <v>0</v>
      </c>
      <c r="J13" s="158"/>
      <c r="K13" s="278"/>
      <c r="L13" s="164"/>
    </row>
    <row r="14" customFormat="false" ht="12" hidden="false" customHeight="false" outlineLevel="0" collapsed="false">
      <c r="A14" s="276"/>
      <c r="B14" s="277" t="n">
        <f aca="false">Admin!B15</f>
        <v>44985</v>
      </c>
      <c r="C14" s="263" t="n">
        <f aca="false">[6]Feb!$M$1</f>
        <v>0</v>
      </c>
      <c r="D14" s="263" t="n">
        <f aca="false">[6]Feb!$N$1</f>
        <v>0</v>
      </c>
      <c r="E14" s="263" t="n">
        <f aca="false">[6]Feb!$O$1</f>
        <v>0</v>
      </c>
      <c r="F14" s="263" t="n">
        <f aca="false">[6]Feb!$P$1+[6]Feb!$Q$1</f>
        <v>0</v>
      </c>
      <c r="G14" s="263" t="n">
        <f aca="false">C14-SUM(D14:F14)</f>
        <v>0</v>
      </c>
      <c r="H14" s="263" t="n">
        <f aca="false">[6]Feb!$T$1</f>
        <v>0</v>
      </c>
      <c r="I14" s="263" t="n">
        <f aca="false">[6]Feb!$G$1</f>
        <v>0</v>
      </c>
      <c r="J14" s="158"/>
      <c r="K14" s="278"/>
      <c r="L14" s="164"/>
    </row>
    <row r="15" customFormat="false" ht="12" hidden="false" customHeight="false" outlineLevel="0" collapsed="false">
      <c r="A15" s="276"/>
      <c r="B15" s="277" t="n">
        <f aca="false">Admin!B16</f>
        <v>45016</v>
      </c>
      <c r="C15" s="263" t="n">
        <f aca="false">[6]Mar!$M$1</f>
        <v>0</v>
      </c>
      <c r="D15" s="263" t="n">
        <f aca="false">[6]Mar!$N$1</f>
        <v>0</v>
      </c>
      <c r="E15" s="263" t="n">
        <f aca="false">[6]Mar!$O$1</f>
        <v>0</v>
      </c>
      <c r="F15" s="263" t="n">
        <f aca="false">[6]Mar!$P$1+[6]Mar!$Q$1</f>
        <v>0</v>
      </c>
      <c r="G15" s="263" t="n">
        <f aca="false">C15-SUM(D15:F15)</f>
        <v>0</v>
      </c>
      <c r="H15" s="263" t="n">
        <f aca="false">[6]Mar!$T$1</f>
        <v>0</v>
      </c>
      <c r="I15" s="263" t="n">
        <f aca="false">[6]Mar!$G$1</f>
        <v>0</v>
      </c>
      <c r="J15" s="158"/>
      <c r="K15" s="158"/>
      <c r="L15" s="164"/>
    </row>
    <row r="16" customFormat="false" ht="12" hidden="false" customHeight="false" outlineLevel="0" collapsed="false">
      <c r="A16" s="279"/>
      <c r="B16" s="280"/>
      <c r="C16" s="281"/>
      <c r="D16" s="281"/>
      <c r="E16" s="281"/>
      <c r="F16" s="281"/>
      <c r="G16" s="281"/>
      <c r="H16" s="281"/>
      <c r="I16" s="281"/>
      <c r="J16" s="193"/>
      <c r="K16" s="193"/>
      <c r="L16" s="186"/>
    </row>
  </sheetData>
  <mergeCells count="4">
    <mergeCell ref="B3:C3"/>
    <mergeCell ref="K4:K7"/>
    <mergeCell ref="K8:K11"/>
    <mergeCell ref="K12:K1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54" width="1.5"/>
    <col collapsed="false" customWidth="true" hidden="false" outlineLevel="0" max="2" min="2" style="282" width="10.66"/>
    <col collapsed="false" customWidth="true" hidden="false" outlineLevel="0" max="3" min="3" style="282" width="0.82"/>
    <col collapsed="false" customWidth="true" hidden="false" outlineLevel="0" max="4" min="4" style="171" width="8.66"/>
    <col collapsed="false" customWidth="true" hidden="false" outlineLevel="0" max="5" min="5" style="171" width="0.82"/>
    <col collapsed="false" customWidth="true" hidden="false" outlineLevel="0" max="6" min="6" style="171" width="8.66"/>
    <col collapsed="false" customWidth="true" hidden="false" outlineLevel="0" max="7" min="7" style="171" width="0.82"/>
    <col collapsed="false" customWidth="true" hidden="false" outlineLevel="0" max="8" min="8" style="283" width="7.66"/>
    <col collapsed="false" customWidth="true" hidden="false" outlineLevel="0" max="9" min="9" style="171" width="0.82"/>
    <col collapsed="false" customWidth="true" hidden="false" outlineLevel="0" max="10" min="10" style="171" width="7.99"/>
    <col collapsed="false" customWidth="true" hidden="false" outlineLevel="0" max="11" min="11" style="171" width="0.82"/>
    <col collapsed="false" customWidth="true" hidden="false" outlineLevel="0" max="12" min="12" style="171" width="7.66"/>
    <col collapsed="false" customWidth="true" hidden="false" outlineLevel="0" max="13" min="13" style="171" width="0.82"/>
    <col collapsed="false" customWidth="true" hidden="false" outlineLevel="0" max="14" min="14" style="284" width="7.66"/>
    <col collapsed="false" customWidth="true" hidden="false" outlineLevel="0" max="15" min="15" style="171" width="0.82"/>
    <col collapsed="false" customWidth="true" hidden="false" outlineLevel="0" max="16" min="16" style="171" width="7.99"/>
    <col collapsed="false" customWidth="true" hidden="false" outlineLevel="0" max="17" min="17" style="171" width="0.82"/>
    <col collapsed="false" customWidth="true" hidden="false" outlineLevel="0" max="18" min="18" style="172" width="7.66"/>
    <col collapsed="false" customWidth="true" hidden="false" outlineLevel="0" max="19" min="19" style="171" width="0.82"/>
    <col collapsed="false" customWidth="true" hidden="false" outlineLevel="0" max="20" min="20" style="284" width="7.66"/>
    <col collapsed="false" customWidth="true" hidden="false" outlineLevel="0" max="21" min="21" style="171" width="0.82"/>
    <col collapsed="false" customWidth="true" hidden="false" outlineLevel="0" max="22" min="22" style="171" width="7.99"/>
    <col collapsed="false" customWidth="true" hidden="false" outlineLevel="0" max="23" min="23" style="171" width="0.82"/>
    <col collapsed="false" customWidth="true" hidden="false" outlineLevel="0" max="24" min="24" style="172" width="7.66"/>
    <col collapsed="false" customWidth="true" hidden="false" outlineLevel="0" max="25" min="25" style="171" width="0.82"/>
    <col collapsed="false" customWidth="true" hidden="false" outlineLevel="0" max="26" min="26" style="171" width="8.99"/>
    <col collapsed="false" customWidth="true" hidden="false" outlineLevel="0" max="27" min="27" style="171" width="0.82"/>
    <col collapsed="false" customWidth="true" hidden="false" outlineLevel="0" max="28" min="28" style="171" width="10.66"/>
    <col collapsed="false" customWidth="true" hidden="false" outlineLevel="0" max="29" min="29" style="154" width="1.66"/>
    <col collapsed="false" customWidth="true" hidden="false" outlineLevel="0" max="33" min="30" style="285" width="9.66"/>
    <col collapsed="false" customWidth="true" hidden="false" outlineLevel="0" max="34" min="34" style="154" width="2.66"/>
    <col collapsed="false" customWidth="false" hidden="false" outlineLevel="0" max="257" min="35" style="154" width="9.15"/>
  </cols>
  <sheetData>
    <row r="1" customFormat="false" ht="12" hidden="false" customHeight="true" outlineLevel="0" collapsed="false">
      <c r="A1" s="264"/>
      <c r="B1" s="286"/>
      <c r="C1" s="286"/>
      <c r="D1" s="287"/>
      <c r="E1" s="287"/>
      <c r="F1" s="287"/>
      <c r="G1" s="287"/>
      <c r="H1" s="288" t="s">
        <v>365</v>
      </c>
      <c r="I1" s="288"/>
      <c r="J1" s="288"/>
      <c r="K1" s="288"/>
      <c r="L1" s="288"/>
      <c r="M1" s="287"/>
      <c r="N1" s="288" t="s">
        <v>365</v>
      </c>
      <c r="O1" s="288"/>
      <c r="P1" s="288"/>
      <c r="Q1" s="288"/>
      <c r="R1" s="288"/>
      <c r="S1" s="287"/>
      <c r="T1" s="288" t="s">
        <v>365</v>
      </c>
      <c r="U1" s="288"/>
      <c r="V1" s="288"/>
      <c r="W1" s="288"/>
      <c r="X1" s="288"/>
      <c r="Y1" s="289"/>
      <c r="Z1" s="287"/>
      <c r="AA1" s="287"/>
      <c r="AB1" s="287"/>
      <c r="AC1" s="159"/>
      <c r="AD1" s="290"/>
      <c r="AE1" s="291"/>
      <c r="AF1" s="291"/>
      <c r="AG1" s="291"/>
      <c r="AH1" s="159"/>
    </row>
    <row r="2" s="302" customFormat="true" ht="32.8" hidden="false" customHeight="true" outlineLevel="0" collapsed="false">
      <c r="A2" s="292"/>
      <c r="B2" s="293" t="s">
        <v>366</v>
      </c>
      <c r="C2" s="294"/>
      <c r="D2" s="295" t="s">
        <v>367</v>
      </c>
      <c r="E2" s="296"/>
      <c r="F2" s="295" t="s">
        <v>368</v>
      </c>
      <c r="G2" s="296"/>
      <c r="H2" s="297" t="s">
        <v>369</v>
      </c>
      <c r="I2" s="296"/>
      <c r="J2" s="295" t="s">
        <v>370</v>
      </c>
      <c r="K2" s="296"/>
      <c r="L2" s="295" t="s">
        <v>371</v>
      </c>
      <c r="M2" s="296"/>
      <c r="N2" s="297" t="s">
        <v>372</v>
      </c>
      <c r="O2" s="296"/>
      <c r="P2" s="295" t="s">
        <v>373</v>
      </c>
      <c r="Q2" s="296"/>
      <c r="R2" s="295" t="s">
        <v>371</v>
      </c>
      <c r="S2" s="296"/>
      <c r="T2" s="297" t="s">
        <v>374</v>
      </c>
      <c r="U2" s="296"/>
      <c r="V2" s="295" t="s">
        <v>375</v>
      </c>
      <c r="W2" s="296"/>
      <c r="X2" s="298" t="s">
        <v>371</v>
      </c>
      <c r="Y2" s="299"/>
      <c r="Z2" s="295" t="s">
        <v>376</v>
      </c>
      <c r="AA2" s="296"/>
      <c r="AB2" s="295" t="s">
        <v>377</v>
      </c>
      <c r="AC2" s="300"/>
      <c r="AD2" s="301" t="s">
        <v>378</v>
      </c>
      <c r="AE2" s="301"/>
      <c r="AF2" s="301"/>
      <c r="AG2" s="301"/>
      <c r="AH2" s="300"/>
    </row>
    <row r="3" customFormat="false" ht="12" hidden="false" customHeight="true" outlineLevel="0" collapsed="false">
      <c r="A3" s="276"/>
      <c r="B3" s="303"/>
      <c r="C3" s="303"/>
      <c r="D3" s="304"/>
      <c r="E3" s="304"/>
      <c r="F3" s="305"/>
      <c r="G3" s="305"/>
      <c r="H3" s="306"/>
      <c r="I3" s="305"/>
      <c r="J3" s="305"/>
      <c r="K3" s="305"/>
      <c r="L3" s="307"/>
      <c r="M3" s="305"/>
      <c r="N3" s="306"/>
      <c r="O3" s="305"/>
      <c r="P3" s="305"/>
      <c r="Q3" s="305"/>
      <c r="R3" s="307"/>
      <c r="S3" s="305"/>
      <c r="T3" s="306"/>
      <c r="U3" s="305"/>
      <c r="V3" s="305"/>
      <c r="W3" s="305"/>
      <c r="X3" s="305"/>
      <c r="Y3" s="308"/>
      <c r="Z3" s="305"/>
      <c r="AA3" s="305"/>
      <c r="AB3" s="305"/>
      <c r="AC3" s="164"/>
      <c r="AD3" s="309" t="s">
        <v>379</v>
      </c>
      <c r="AE3" s="309"/>
      <c r="AF3" s="309"/>
      <c r="AG3" s="309"/>
      <c r="AH3" s="164"/>
    </row>
    <row r="4" customFormat="false" ht="12" hidden="false" customHeight="true" outlineLevel="0" collapsed="false">
      <c r="A4" s="276"/>
      <c r="B4" s="310" t="s">
        <v>380</v>
      </c>
      <c r="C4" s="310"/>
      <c r="D4" s="310"/>
      <c r="E4" s="310"/>
      <c r="F4" s="310"/>
      <c r="G4" s="305"/>
      <c r="H4" s="311" t="n">
        <v>0</v>
      </c>
      <c r="I4" s="305"/>
      <c r="J4" s="305"/>
      <c r="K4" s="305"/>
      <c r="L4" s="307"/>
      <c r="M4" s="305"/>
      <c r="N4" s="311" t="n">
        <v>0</v>
      </c>
      <c r="O4" s="305"/>
      <c r="P4" s="305"/>
      <c r="Q4" s="305"/>
      <c r="R4" s="307"/>
      <c r="S4" s="305"/>
      <c r="T4" s="311" t="n">
        <v>0</v>
      </c>
      <c r="U4" s="305"/>
      <c r="V4" s="305"/>
      <c r="W4" s="305"/>
      <c r="X4" s="305"/>
      <c r="Y4" s="308"/>
      <c r="Z4" s="305"/>
      <c r="AA4" s="305"/>
      <c r="AB4" s="305"/>
      <c r="AC4" s="164"/>
      <c r="AD4" s="309"/>
      <c r="AE4" s="309"/>
      <c r="AF4" s="309"/>
      <c r="AG4" s="309"/>
      <c r="AH4" s="164"/>
    </row>
    <row r="5" customFormat="false" ht="12" hidden="false" customHeight="false" outlineLevel="0" collapsed="false">
      <c r="A5" s="276"/>
      <c r="B5" s="312"/>
      <c r="C5" s="312"/>
      <c r="D5" s="177"/>
      <c r="E5" s="177"/>
      <c r="F5" s="177"/>
      <c r="G5" s="177"/>
      <c r="H5" s="313"/>
      <c r="I5" s="177"/>
      <c r="J5" s="177"/>
      <c r="K5" s="177"/>
      <c r="L5" s="179"/>
      <c r="M5" s="177"/>
      <c r="N5" s="313"/>
      <c r="O5" s="177"/>
      <c r="P5" s="177"/>
      <c r="Q5" s="177"/>
      <c r="R5" s="179"/>
      <c r="S5" s="177"/>
      <c r="T5" s="313"/>
      <c r="U5" s="177"/>
      <c r="V5" s="177"/>
      <c r="W5" s="177"/>
      <c r="X5" s="177"/>
      <c r="Y5" s="314"/>
      <c r="Z5" s="177"/>
      <c r="AA5" s="177"/>
      <c r="AB5" s="177"/>
      <c r="AC5" s="164"/>
      <c r="AD5" s="309"/>
      <c r="AE5" s="309"/>
      <c r="AF5" s="309"/>
      <c r="AG5" s="309"/>
      <c r="AH5" s="164"/>
    </row>
    <row r="6" customFormat="false" ht="12" hidden="false" customHeight="false" outlineLevel="0" collapsed="false">
      <c r="A6" s="276"/>
      <c r="B6" s="315" t="n">
        <f aca="false">Admin!B4</f>
        <v>44657</v>
      </c>
      <c r="C6" s="316"/>
      <c r="D6" s="191" t="n">
        <f aca="false">AB6</f>
        <v>0</v>
      </c>
      <c r="E6" s="177"/>
      <c r="F6" s="177"/>
      <c r="G6" s="177"/>
      <c r="H6" s="313"/>
      <c r="I6" s="177"/>
      <c r="J6" s="177"/>
      <c r="K6" s="177"/>
      <c r="L6" s="179"/>
      <c r="M6" s="177"/>
      <c r="N6" s="313"/>
      <c r="O6" s="177"/>
      <c r="P6" s="177"/>
      <c r="Q6" s="177"/>
      <c r="R6" s="179"/>
      <c r="S6" s="177"/>
      <c r="T6" s="313"/>
      <c r="U6" s="177"/>
      <c r="V6" s="177"/>
      <c r="W6" s="177"/>
      <c r="X6" s="177"/>
      <c r="Y6" s="314"/>
      <c r="Z6" s="177"/>
      <c r="AA6" s="177"/>
      <c r="AB6" s="170"/>
      <c r="AC6" s="164"/>
      <c r="AD6" s="309"/>
      <c r="AE6" s="309"/>
      <c r="AF6" s="309"/>
      <c r="AG6" s="309"/>
      <c r="AH6" s="164"/>
    </row>
    <row r="7" customFormat="false" ht="12" hidden="false" customHeight="false" outlineLevel="0" collapsed="false">
      <c r="A7" s="276"/>
      <c r="B7" s="316"/>
      <c r="C7" s="316"/>
      <c r="D7" s="177"/>
      <c r="E7" s="177"/>
      <c r="F7" s="177"/>
      <c r="G7" s="177"/>
      <c r="H7" s="313"/>
      <c r="I7" s="177"/>
      <c r="J7" s="177"/>
      <c r="K7" s="177"/>
      <c r="L7" s="179"/>
      <c r="M7" s="177"/>
      <c r="N7" s="313"/>
      <c r="O7" s="177"/>
      <c r="P7" s="177"/>
      <c r="Q7" s="177"/>
      <c r="R7" s="179"/>
      <c r="S7" s="177"/>
      <c r="T7" s="313"/>
      <c r="U7" s="177"/>
      <c r="V7" s="177"/>
      <c r="W7" s="177"/>
      <c r="X7" s="177"/>
      <c r="Y7" s="314"/>
      <c r="Z7" s="177"/>
      <c r="AA7" s="177"/>
      <c r="AB7" s="177"/>
      <c r="AC7" s="164"/>
      <c r="AD7" s="309"/>
      <c r="AE7" s="309"/>
      <c r="AF7" s="309"/>
      <c r="AG7" s="309"/>
      <c r="AH7" s="164"/>
    </row>
    <row r="8" customFormat="false" ht="12" hidden="false" customHeight="false" outlineLevel="0" collapsed="false">
      <c r="A8" s="276"/>
      <c r="B8" s="315" t="n">
        <f aca="false">Admin!B5</f>
        <v>44681</v>
      </c>
      <c r="C8" s="316"/>
      <c r="D8" s="191" t="n">
        <f aca="false">D6+F8-L8-R8-X8+Z6</f>
        <v>0</v>
      </c>
      <c r="E8" s="177"/>
      <c r="F8" s="177" t="n">
        <f aca="false">IF((H$4+N$4+T$4)=0,0,[3]Apr!$P$1)</f>
        <v>0</v>
      </c>
      <c r="G8" s="177"/>
      <c r="H8" s="317" t="n">
        <f aca="false">H4</f>
        <v>0</v>
      </c>
      <c r="I8" s="177"/>
      <c r="J8" s="177" t="n">
        <f aca="false">[2]Apr!$P$1</f>
        <v>2500</v>
      </c>
      <c r="K8" s="177"/>
      <c r="L8" s="179" t="n">
        <f aca="false">J8*H8</f>
        <v>0</v>
      </c>
      <c r="M8" s="177"/>
      <c r="N8" s="317" t="n">
        <f aca="false">N4</f>
        <v>0</v>
      </c>
      <c r="O8" s="177"/>
      <c r="P8" s="177" t="n">
        <f aca="false">[2]Apr!$Q$1</f>
        <v>0</v>
      </c>
      <c r="Q8" s="177"/>
      <c r="R8" s="179" t="n">
        <f aca="false">P8*N8</f>
        <v>0</v>
      </c>
      <c r="S8" s="177"/>
      <c r="T8" s="317" t="n">
        <f aca="false">T4</f>
        <v>0</v>
      </c>
      <c r="U8" s="177"/>
      <c r="V8" s="177" t="n">
        <f aca="false">[2]Apr!$R$1</f>
        <v>0</v>
      </c>
      <c r="W8" s="177"/>
      <c r="X8" s="177" t="n">
        <f aca="false">V8*T8</f>
        <v>0</v>
      </c>
      <c r="Y8" s="314"/>
      <c r="Z8" s="177" t="n">
        <f aca="false">IF(AB8&lt;&gt;D8,AB8-D8,0)</f>
        <v>0</v>
      </c>
      <c r="AA8" s="177"/>
      <c r="AB8" s="170" t="n">
        <f aca="false">AB6+F8-L8-R8-X8</f>
        <v>0</v>
      </c>
      <c r="AC8" s="164"/>
      <c r="AD8" s="309"/>
      <c r="AE8" s="309"/>
      <c r="AF8" s="309"/>
      <c r="AG8" s="309"/>
      <c r="AH8" s="164"/>
    </row>
    <row r="9" customFormat="false" ht="12" hidden="false" customHeight="false" outlineLevel="0" collapsed="false">
      <c r="A9" s="276"/>
      <c r="B9" s="316"/>
      <c r="C9" s="316"/>
      <c r="D9" s="177"/>
      <c r="E9" s="177"/>
      <c r="F9" s="177"/>
      <c r="G9" s="177"/>
      <c r="H9" s="313"/>
      <c r="I9" s="177"/>
      <c r="J9" s="177"/>
      <c r="K9" s="177"/>
      <c r="L9" s="179"/>
      <c r="M9" s="177"/>
      <c r="N9" s="313"/>
      <c r="O9" s="177"/>
      <c r="P9" s="177"/>
      <c r="Q9" s="177"/>
      <c r="R9" s="179"/>
      <c r="S9" s="177"/>
      <c r="T9" s="313"/>
      <c r="U9" s="177"/>
      <c r="V9" s="177"/>
      <c r="W9" s="177"/>
      <c r="X9" s="177"/>
      <c r="Y9" s="314"/>
      <c r="Z9" s="177"/>
      <c r="AA9" s="177"/>
      <c r="AB9" s="177"/>
      <c r="AC9" s="164"/>
      <c r="AD9" s="309"/>
      <c r="AE9" s="309"/>
      <c r="AF9" s="309"/>
      <c r="AG9" s="309"/>
      <c r="AH9" s="164"/>
    </row>
    <row r="10" customFormat="false" ht="12.65" hidden="false" customHeight="false" outlineLevel="0" collapsed="false">
      <c r="A10" s="276"/>
      <c r="B10" s="315" t="n">
        <f aca="false">Admin!B6</f>
        <v>44712</v>
      </c>
      <c r="C10" s="316"/>
      <c r="D10" s="191" t="n">
        <f aca="false">D8+F10-L10-R10-X10+Z8</f>
        <v>0</v>
      </c>
      <c r="E10" s="177"/>
      <c r="F10" s="177" t="n">
        <f aca="false">IF((H$4+N$4+T$4)=0,0,[3]May!$P$1)</f>
        <v>0</v>
      </c>
      <c r="G10" s="177"/>
      <c r="H10" s="317" t="n">
        <f aca="false">H8</f>
        <v>0</v>
      </c>
      <c r="I10" s="177"/>
      <c r="J10" s="177" t="n">
        <f aca="false">[2]May!$P$1</f>
        <v>2500</v>
      </c>
      <c r="K10" s="177"/>
      <c r="L10" s="179" t="n">
        <f aca="false">J10*H10</f>
        <v>0</v>
      </c>
      <c r="M10" s="177"/>
      <c r="N10" s="317" t="n">
        <f aca="false">N8</f>
        <v>0</v>
      </c>
      <c r="O10" s="177"/>
      <c r="P10" s="177" t="n">
        <f aca="false">[2]May!$Q$1</f>
        <v>0</v>
      </c>
      <c r="Q10" s="177"/>
      <c r="R10" s="179" t="n">
        <f aca="false">P10*N10</f>
        <v>0</v>
      </c>
      <c r="S10" s="177"/>
      <c r="T10" s="317" t="n">
        <f aca="false">T8</f>
        <v>0</v>
      </c>
      <c r="U10" s="177"/>
      <c r="V10" s="177" t="n">
        <f aca="false">[2]May!$R$1</f>
        <v>0</v>
      </c>
      <c r="W10" s="177"/>
      <c r="X10" s="177" t="n">
        <f aca="false">V10*T10</f>
        <v>0</v>
      </c>
      <c r="Y10" s="314"/>
      <c r="Z10" s="177" t="n">
        <f aca="false">IF(AB10&lt;&gt;D10,AB10-D10,0)</f>
        <v>0</v>
      </c>
      <c r="AA10" s="177"/>
      <c r="AB10" s="170" t="n">
        <f aca="false">AB8+F10-L10-R10-X10</f>
        <v>0</v>
      </c>
      <c r="AC10" s="164"/>
      <c r="AD10" s="318"/>
      <c r="AE10" s="319"/>
      <c r="AF10" s="319"/>
      <c r="AG10" s="319"/>
      <c r="AH10" s="164"/>
    </row>
    <row r="11" customFormat="false" ht="12" hidden="false" customHeight="true" outlineLevel="0" collapsed="false">
      <c r="A11" s="276"/>
      <c r="B11" s="316"/>
      <c r="C11" s="316"/>
      <c r="D11" s="177"/>
      <c r="E11" s="177"/>
      <c r="F11" s="177"/>
      <c r="G11" s="177"/>
      <c r="H11" s="313"/>
      <c r="I11" s="177"/>
      <c r="J11" s="177"/>
      <c r="K11" s="177"/>
      <c r="L11" s="179"/>
      <c r="M11" s="177"/>
      <c r="N11" s="313"/>
      <c r="O11" s="177"/>
      <c r="P11" s="177"/>
      <c r="Q11" s="177"/>
      <c r="R11" s="179"/>
      <c r="S11" s="177"/>
      <c r="T11" s="313"/>
      <c r="U11" s="177"/>
      <c r="V11" s="177"/>
      <c r="W11" s="177"/>
      <c r="X11" s="177"/>
      <c r="Y11" s="314"/>
      <c r="Z11" s="177"/>
      <c r="AA11" s="177"/>
      <c r="AB11" s="177"/>
      <c r="AC11" s="164"/>
      <c r="AD11" s="309" t="s">
        <v>381</v>
      </c>
      <c r="AE11" s="309"/>
      <c r="AF11" s="309"/>
      <c r="AG11" s="309"/>
      <c r="AH11" s="164"/>
    </row>
    <row r="12" customFormat="false" ht="12" hidden="false" customHeight="false" outlineLevel="0" collapsed="false">
      <c r="A12" s="276"/>
      <c r="B12" s="315" t="n">
        <f aca="false">Admin!B7</f>
        <v>44742</v>
      </c>
      <c r="C12" s="316"/>
      <c r="D12" s="191" t="n">
        <f aca="false">D10+F12-L12-R12-X12+Z10</f>
        <v>0</v>
      </c>
      <c r="E12" s="177"/>
      <c r="F12" s="177" t="n">
        <f aca="false">IF((H$4+N$4+T$4)=0,0,[3]Jun!$P$1)</f>
        <v>0</v>
      </c>
      <c r="G12" s="177"/>
      <c r="H12" s="317" t="n">
        <f aca="false">H10</f>
        <v>0</v>
      </c>
      <c r="I12" s="177"/>
      <c r="J12" s="177" t="n">
        <f aca="false">[2]Jun!$P$1</f>
        <v>2500</v>
      </c>
      <c r="K12" s="177"/>
      <c r="L12" s="179" t="n">
        <f aca="false">J12*H12</f>
        <v>0</v>
      </c>
      <c r="M12" s="177"/>
      <c r="N12" s="317" t="n">
        <f aca="false">N10</f>
        <v>0</v>
      </c>
      <c r="O12" s="177"/>
      <c r="P12" s="177" t="n">
        <f aca="false">[2]Jun!$Q$1</f>
        <v>0</v>
      </c>
      <c r="Q12" s="177"/>
      <c r="R12" s="179" t="n">
        <f aca="false">P12*N12</f>
        <v>0</v>
      </c>
      <c r="S12" s="177"/>
      <c r="T12" s="317" t="n">
        <f aca="false">T10</f>
        <v>0</v>
      </c>
      <c r="U12" s="177"/>
      <c r="V12" s="177" t="n">
        <f aca="false">[2]Jun!$R$1</f>
        <v>0</v>
      </c>
      <c r="W12" s="177"/>
      <c r="X12" s="177" t="n">
        <f aca="false">V12*T12</f>
        <v>0</v>
      </c>
      <c r="Y12" s="314"/>
      <c r="Z12" s="177" t="n">
        <f aca="false">IF(AB12&lt;&gt;D12,AB12-D12,0)</f>
        <v>0</v>
      </c>
      <c r="AA12" s="177"/>
      <c r="AB12" s="170" t="n">
        <f aca="false">AB10+F12-L12-R12-X12</f>
        <v>0</v>
      </c>
      <c r="AC12" s="164"/>
      <c r="AD12" s="309"/>
      <c r="AE12" s="309"/>
      <c r="AF12" s="309"/>
      <c r="AG12" s="309"/>
      <c r="AH12" s="164"/>
    </row>
    <row r="13" customFormat="false" ht="12" hidden="false" customHeight="false" outlineLevel="0" collapsed="false">
      <c r="A13" s="276"/>
      <c r="B13" s="316"/>
      <c r="C13" s="316"/>
      <c r="D13" s="177"/>
      <c r="E13" s="177"/>
      <c r="F13" s="177"/>
      <c r="G13" s="177"/>
      <c r="H13" s="313"/>
      <c r="I13" s="177"/>
      <c r="J13" s="177"/>
      <c r="K13" s="177"/>
      <c r="L13" s="179"/>
      <c r="M13" s="177"/>
      <c r="N13" s="313"/>
      <c r="O13" s="177"/>
      <c r="P13" s="177"/>
      <c r="Q13" s="177"/>
      <c r="R13" s="179"/>
      <c r="S13" s="177"/>
      <c r="T13" s="313"/>
      <c r="U13" s="177"/>
      <c r="V13" s="177"/>
      <c r="W13" s="177"/>
      <c r="X13" s="177"/>
      <c r="Y13" s="314"/>
      <c r="Z13" s="177"/>
      <c r="AA13" s="177"/>
      <c r="AB13" s="177"/>
      <c r="AC13" s="164"/>
      <c r="AD13" s="309"/>
      <c r="AE13" s="309"/>
      <c r="AF13" s="309"/>
      <c r="AG13" s="309"/>
      <c r="AH13" s="164"/>
    </row>
    <row r="14" customFormat="false" ht="12" hidden="false" customHeight="true" outlineLevel="0" collapsed="false">
      <c r="A14" s="276"/>
      <c r="B14" s="315" t="n">
        <f aca="false">Admin!B8</f>
        <v>44773</v>
      </c>
      <c r="C14" s="316"/>
      <c r="D14" s="191" t="n">
        <f aca="false">D12+F14-L14-R14-X14+Z12</f>
        <v>0</v>
      </c>
      <c r="E14" s="177"/>
      <c r="F14" s="177" t="n">
        <f aca="false">IF((H$4+N$4+T$4)=0,0,[3]Jul!$P$1)</f>
        <v>0</v>
      </c>
      <c r="G14" s="177"/>
      <c r="H14" s="317" t="n">
        <f aca="false">H12</f>
        <v>0</v>
      </c>
      <c r="I14" s="177"/>
      <c r="J14" s="177" t="n">
        <f aca="false">[2]Jul!$P$1</f>
        <v>2500</v>
      </c>
      <c r="K14" s="177"/>
      <c r="L14" s="179" t="n">
        <f aca="false">J14*H14</f>
        <v>0</v>
      </c>
      <c r="M14" s="177"/>
      <c r="N14" s="317" t="n">
        <f aca="false">N12</f>
        <v>0</v>
      </c>
      <c r="O14" s="177"/>
      <c r="P14" s="177" t="n">
        <f aca="false">[2]Jul!$Q$1</f>
        <v>0</v>
      </c>
      <c r="Q14" s="177"/>
      <c r="R14" s="179" t="n">
        <f aca="false">P14*N14</f>
        <v>0</v>
      </c>
      <c r="S14" s="177"/>
      <c r="T14" s="317" t="n">
        <f aca="false">T12</f>
        <v>0</v>
      </c>
      <c r="U14" s="177"/>
      <c r="V14" s="177" t="n">
        <f aca="false">[2]Jul!$R$1</f>
        <v>0</v>
      </c>
      <c r="W14" s="177"/>
      <c r="X14" s="177" t="n">
        <f aca="false">V14*T14</f>
        <v>0</v>
      </c>
      <c r="Y14" s="314"/>
      <c r="Z14" s="177" t="n">
        <f aca="false">IF(AB14&lt;&gt;D14,AB14-D14,0)</f>
        <v>0</v>
      </c>
      <c r="AA14" s="177"/>
      <c r="AB14" s="170" t="n">
        <f aca="false">AB12+F14-L14-R14-X14</f>
        <v>0</v>
      </c>
      <c r="AC14" s="164"/>
      <c r="AD14" s="320"/>
      <c r="AE14" s="321"/>
      <c r="AF14" s="321"/>
      <c r="AG14" s="321"/>
      <c r="AH14" s="164"/>
    </row>
    <row r="15" customFormat="false" ht="12" hidden="false" customHeight="true" outlineLevel="0" collapsed="false">
      <c r="A15" s="276"/>
      <c r="B15" s="316"/>
      <c r="C15" s="316"/>
      <c r="D15" s="177"/>
      <c r="E15" s="177"/>
      <c r="F15" s="177"/>
      <c r="G15" s="177"/>
      <c r="H15" s="313"/>
      <c r="I15" s="177"/>
      <c r="J15" s="177"/>
      <c r="K15" s="177"/>
      <c r="L15" s="179"/>
      <c r="M15" s="177"/>
      <c r="N15" s="313"/>
      <c r="O15" s="177"/>
      <c r="P15" s="177"/>
      <c r="Q15" s="177"/>
      <c r="R15" s="179"/>
      <c r="S15" s="177"/>
      <c r="T15" s="313"/>
      <c r="U15" s="177"/>
      <c r="V15" s="177"/>
      <c r="W15" s="177"/>
      <c r="X15" s="177"/>
      <c r="Y15" s="314"/>
      <c r="Z15" s="177"/>
      <c r="AA15" s="177"/>
      <c r="AB15" s="177"/>
      <c r="AC15" s="164"/>
      <c r="AD15" s="309" t="s">
        <v>382</v>
      </c>
      <c r="AE15" s="309"/>
      <c r="AF15" s="309"/>
      <c r="AG15" s="309"/>
      <c r="AH15" s="164"/>
    </row>
    <row r="16" customFormat="false" ht="12" hidden="false" customHeight="true" outlineLevel="0" collapsed="false">
      <c r="A16" s="276"/>
      <c r="B16" s="315" t="n">
        <f aca="false">Admin!B9</f>
        <v>44804</v>
      </c>
      <c r="C16" s="316"/>
      <c r="D16" s="191" t="n">
        <f aca="false">D14+F16-L16-R16-X16+Z14</f>
        <v>0</v>
      </c>
      <c r="E16" s="177"/>
      <c r="F16" s="177" t="n">
        <f aca="false">IF((H$4+N$4+T$4)=0,0,[3]Aug!$P$1)</f>
        <v>0</v>
      </c>
      <c r="G16" s="177"/>
      <c r="H16" s="317" t="n">
        <f aca="false">H14</f>
        <v>0</v>
      </c>
      <c r="I16" s="177"/>
      <c r="J16" s="177" t="n">
        <f aca="false">[2]Aug!$P$1</f>
        <v>2500</v>
      </c>
      <c r="K16" s="177"/>
      <c r="L16" s="179" t="n">
        <f aca="false">J16*H16</f>
        <v>0</v>
      </c>
      <c r="M16" s="177"/>
      <c r="N16" s="317" t="n">
        <f aca="false">N14</f>
        <v>0</v>
      </c>
      <c r="O16" s="177"/>
      <c r="P16" s="177" t="n">
        <f aca="false">[2]Aug!$Q$1</f>
        <v>0</v>
      </c>
      <c r="Q16" s="177"/>
      <c r="R16" s="179" t="n">
        <f aca="false">P16*N16</f>
        <v>0</v>
      </c>
      <c r="S16" s="177"/>
      <c r="T16" s="317" t="n">
        <f aca="false">T14</f>
        <v>0</v>
      </c>
      <c r="U16" s="177"/>
      <c r="V16" s="177" t="n">
        <f aca="false">[2]Aug!$R$1</f>
        <v>0</v>
      </c>
      <c r="W16" s="177"/>
      <c r="X16" s="177" t="n">
        <f aca="false">V16*T16</f>
        <v>0</v>
      </c>
      <c r="Y16" s="314"/>
      <c r="Z16" s="177" t="n">
        <f aca="false">IF(AB16&lt;&gt;D16,AB16-D16,0)</f>
        <v>0</v>
      </c>
      <c r="AA16" s="177"/>
      <c r="AB16" s="170" t="n">
        <f aca="false">AB14+F16-L16-R16-X16</f>
        <v>0</v>
      </c>
      <c r="AC16" s="164"/>
      <c r="AD16" s="309"/>
      <c r="AE16" s="309"/>
      <c r="AF16" s="309"/>
      <c r="AG16" s="309"/>
      <c r="AH16" s="164"/>
    </row>
    <row r="17" customFormat="false" ht="12" hidden="false" customHeight="true" outlineLevel="0" collapsed="false">
      <c r="A17" s="276"/>
      <c r="B17" s="316"/>
      <c r="C17" s="316"/>
      <c r="D17" s="177"/>
      <c r="E17" s="177"/>
      <c r="F17" s="177"/>
      <c r="G17" s="177"/>
      <c r="H17" s="313"/>
      <c r="I17" s="177"/>
      <c r="J17" s="177"/>
      <c r="K17" s="177"/>
      <c r="L17" s="179"/>
      <c r="M17" s="177"/>
      <c r="N17" s="313"/>
      <c r="O17" s="177"/>
      <c r="P17" s="177"/>
      <c r="Q17" s="177"/>
      <c r="R17" s="179"/>
      <c r="S17" s="177"/>
      <c r="T17" s="313"/>
      <c r="U17" s="177"/>
      <c r="V17" s="177"/>
      <c r="W17" s="177"/>
      <c r="X17" s="177"/>
      <c r="Y17" s="314"/>
      <c r="Z17" s="177"/>
      <c r="AA17" s="177"/>
      <c r="AB17" s="177"/>
      <c r="AC17" s="164"/>
      <c r="AD17" s="309"/>
      <c r="AE17" s="309"/>
      <c r="AF17" s="309"/>
      <c r="AG17" s="309"/>
      <c r="AH17" s="164"/>
    </row>
    <row r="18" customFormat="false" ht="12" hidden="false" customHeight="true" outlineLevel="0" collapsed="false">
      <c r="A18" s="276"/>
      <c r="B18" s="315" t="n">
        <f aca="false">Admin!B10</f>
        <v>44834</v>
      </c>
      <c r="C18" s="316"/>
      <c r="D18" s="191" t="n">
        <f aca="false">D16+F18-L18-R18-X18+Z16</f>
        <v>0</v>
      </c>
      <c r="E18" s="177"/>
      <c r="F18" s="177" t="n">
        <f aca="false">IF((H$4+N$4+T$4)=0,0,[3]Sep!$P$1)</f>
        <v>0</v>
      </c>
      <c r="G18" s="177"/>
      <c r="H18" s="317" t="n">
        <f aca="false">H16</f>
        <v>0</v>
      </c>
      <c r="I18" s="177"/>
      <c r="J18" s="177" t="n">
        <f aca="false">[2]Sep!$P$1</f>
        <v>2500</v>
      </c>
      <c r="K18" s="177"/>
      <c r="L18" s="179" t="n">
        <f aca="false">J18*H18</f>
        <v>0</v>
      </c>
      <c r="M18" s="177"/>
      <c r="N18" s="317" t="n">
        <f aca="false">N16</f>
        <v>0</v>
      </c>
      <c r="O18" s="177"/>
      <c r="P18" s="177" t="n">
        <f aca="false">[2]Sep!$Q$1</f>
        <v>0</v>
      </c>
      <c r="Q18" s="177"/>
      <c r="R18" s="179" t="n">
        <f aca="false">P18*N18</f>
        <v>0</v>
      </c>
      <c r="S18" s="177"/>
      <c r="T18" s="317" t="n">
        <f aca="false">T16</f>
        <v>0</v>
      </c>
      <c r="U18" s="177"/>
      <c r="V18" s="177" t="n">
        <f aca="false">[2]Sep!$R$1</f>
        <v>0</v>
      </c>
      <c r="W18" s="177"/>
      <c r="X18" s="177" t="n">
        <f aca="false">V18*T18</f>
        <v>0</v>
      </c>
      <c r="Y18" s="314"/>
      <c r="Z18" s="177" t="n">
        <f aca="false">IF(AB18&lt;&gt;D18,AB18-D18,0)</f>
        <v>0</v>
      </c>
      <c r="AA18" s="177"/>
      <c r="AB18" s="170" t="n">
        <f aca="false">AB16+F18-L18-R18-X18</f>
        <v>0</v>
      </c>
      <c r="AC18" s="164"/>
      <c r="AD18" s="320"/>
      <c r="AE18" s="321"/>
      <c r="AF18" s="321"/>
      <c r="AG18" s="321"/>
      <c r="AH18" s="164"/>
    </row>
    <row r="19" customFormat="false" ht="12" hidden="false" customHeight="true" outlineLevel="0" collapsed="false">
      <c r="A19" s="276"/>
      <c r="B19" s="316"/>
      <c r="C19" s="316"/>
      <c r="D19" s="177"/>
      <c r="E19" s="177"/>
      <c r="F19" s="177"/>
      <c r="G19" s="177"/>
      <c r="H19" s="313"/>
      <c r="I19" s="177"/>
      <c r="J19" s="177"/>
      <c r="K19" s="177"/>
      <c r="L19" s="179"/>
      <c r="M19" s="177"/>
      <c r="N19" s="313"/>
      <c r="O19" s="177"/>
      <c r="P19" s="177"/>
      <c r="Q19" s="177"/>
      <c r="R19" s="179"/>
      <c r="S19" s="177"/>
      <c r="T19" s="313"/>
      <c r="U19" s="177"/>
      <c r="V19" s="177"/>
      <c r="W19" s="177"/>
      <c r="X19" s="177"/>
      <c r="Y19" s="314"/>
      <c r="Z19" s="177"/>
      <c r="AA19" s="177"/>
      <c r="AB19" s="177"/>
      <c r="AC19" s="164"/>
      <c r="AD19" s="309" t="s">
        <v>383</v>
      </c>
      <c r="AE19" s="309"/>
      <c r="AF19" s="309"/>
      <c r="AG19" s="309"/>
      <c r="AH19" s="164"/>
    </row>
    <row r="20" customFormat="false" ht="12" hidden="false" customHeight="true" outlineLevel="0" collapsed="false">
      <c r="A20" s="276"/>
      <c r="B20" s="315" t="n">
        <f aca="false">Admin!B11</f>
        <v>44865</v>
      </c>
      <c r="C20" s="316"/>
      <c r="D20" s="191" t="n">
        <f aca="false">D18+F20-L20-R20-X20+Z18</f>
        <v>0</v>
      </c>
      <c r="E20" s="177"/>
      <c r="F20" s="177" t="n">
        <f aca="false">IF((H$4+N$4+T$4)=0,0,[3]Oct!$P$1)</f>
        <v>0</v>
      </c>
      <c r="G20" s="177"/>
      <c r="H20" s="317" t="n">
        <f aca="false">H18</f>
        <v>0</v>
      </c>
      <c r="I20" s="177"/>
      <c r="J20" s="177" t="n">
        <f aca="false">[2]Oct!$P$1</f>
        <v>2500</v>
      </c>
      <c r="K20" s="177"/>
      <c r="L20" s="179" t="n">
        <f aca="false">J20*H20</f>
        <v>0</v>
      </c>
      <c r="M20" s="177"/>
      <c r="N20" s="317" t="n">
        <f aca="false">N18</f>
        <v>0</v>
      </c>
      <c r="O20" s="177"/>
      <c r="P20" s="177" t="n">
        <f aca="false">[2]Oct!$Q$1</f>
        <v>0</v>
      </c>
      <c r="Q20" s="177"/>
      <c r="R20" s="179" t="n">
        <f aca="false">P20*N20</f>
        <v>0</v>
      </c>
      <c r="S20" s="177"/>
      <c r="T20" s="317" t="n">
        <f aca="false">T18</f>
        <v>0</v>
      </c>
      <c r="U20" s="177"/>
      <c r="V20" s="177" t="n">
        <f aca="false">[2]Oct!$R$1</f>
        <v>0</v>
      </c>
      <c r="W20" s="177"/>
      <c r="X20" s="177" t="n">
        <f aca="false">V20*T20</f>
        <v>0</v>
      </c>
      <c r="Y20" s="314"/>
      <c r="Z20" s="177" t="n">
        <f aca="false">IF(AB20&lt;&gt;D20,AB20-D20,0)</f>
        <v>0</v>
      </c>
      <c r="AA20" s="177"/>
      <c r="AB20" s="170" t="n">
        <f aca="false">AB18+F20-L20-R20-X20</f>
        <v>0</v>
      </c>
      <c r="AC20" s="164"/>
      <c r="AD20" s="309"/>
      <c r="AE20" s="309"/>
      <c r="AF20" s="309"/>
      <c r="AG20" s="309"/>
      <c r="AH20" s="164"/>
    </row>
    <row r="21" customFormat="false" ht="12" hidden="false" customHeight="true" outlineLevel="0" collapsed="false">
      <c r="A21" s="276"/>
      <c r="B21" s="316"/>
      <c r="C21" s="316"/>
      <c r="D21" s="177"/>
      <c r="E21" s="177"/>
      <c r="F21" s="177"/>
      <c r="G21" s="177"/>
      <c r="H21" s="313"/>
      <c r="I21" s="177"/>
      <c r="J21" s="177"/>
      <c r="K21" s="177"/>
      <c r="L21" s="179"/>
      <c r="M21" s="177"/>
      <c r="N21" s="313"/>
      <c r="O21" s="177"/>
      <c r="P21" s="177"/>
      <c r="Q21" s="177"/>
      <c r="R21" s="179"/>
      <c r="S21" s="177"/>
      <c r="T21" s="313"/>
      <c r="U21" s="177"/>
      <c r="V21" s="177"/>
      <c r="W21" s="177"/>
      <c r="X21" s="177"/>
      <c r="Y21" s="314"/>
      <c r="Z21" s="177"/>
      <c r="AA21" s="177"/>
      <c r="AB21" s="177"/>
      <c r="AC21" s="164"/>
      <c r="AD21" s="309"/>
      <c r="AE21" s="309"/>
      <c r="AF21" s="309"/>
      <c r="AG21" s="309"/>
      <c r="AH21" s="164"/>
    </row>
    <row r="22" customFormat="false" ht="12" hidden="false" customHeight="true" outlineLevel="0" collapsed="false">
      <c r="A22" s="276"/>
      <c r="B22" s="315" t="n">
        <f aca="false">Admin!B12</f>
        <v>44895</v>
      </c>
      <c r="C22" s="316"/>
      <c r="D22" s="191" t="n">
        <f aca="false">D20+F22-L22-R22-X22+Z20</f>
        <v>0</v>
      </c>
      <c r="E22" s="177"/>
      <c r="F22" s="177" t="n">
        <f aca="false">IF((H$4+N$4+T$4)=0,0,[3]Nov!$P$1)</f>
        <v>0</v>
      </c>
      <c r="G22" s="177"/>
      <c r="H22" s="317" t="n">
        <f aca="false">H20</f>
        <v>0</v>
      </c>
      <c r="I22" s="177"/>
      <c r="J22" s="177" t="n">
        <f aca="false">[2]Nov!$P$1</f>
        <v>2500</v>
      </c>
      <c r="K22" s="177"/>
      <c r="L22" s="179" t="n">
        <f aca="false">J22*H22</f>
        <v>0</v>
      </c>
      <c r="M22" s="177"/>
      <c r="N22" s="317" t="n">
        <f aca="false">N20</f>
        <v>0</v>
      </c>
      <c r="O22" s="177"/>
      <c r="P22" s="177" t="n">
        <f aca="false">[2]Nov!$Q$1</f>
        <v>0</v>
      </c>
      <c r="Q22" s="177"/>
      <c r="R22" s="179" t="n">
        <f aca="false">P22*N22</f>
        <v>0</v>
      </c>
      <c r="S22" s="177"/>
      <c r="T22" s="317" t="n">
        <f aca="false">T20</f>
        <v>0</v>
      </c>
      <c r="U22" s="177"/>
      <c r="V22" s="177" t="n">
        <f aca="false">[2]Nov!$R$1</f>
        <v>0</v>
      </c>
      <c r="W22" s="177"/>
      <c r="X22" s="177" t="n">
        <f aca="false">V22*T22</f>
        <v>0</v>
      </c>
      <c r="Y22" s="314"/>
      <c r="Z22" s="177" t="n">
        <f aca="false">IF(AB22&lt;&gt;D22,AB22-D22,0)</f>
        <v>0</v>
      </c>
      <c r="AA22" s="177"/>
      <c r="AB22" s="170" t="n">
        <f aca="false">AB20+F22-L22-R22-X22</f>
        <v>0</v>
      </c>
      <c r="AC22" s="164"/>
      <c r="AD22" s="320"/>
      <c r="AE22" s="321"/>
      <c r="AF22" s="321"/>
      <c r="AG22" s="321"/>
      <c r="AH22" s="164"/>
    </row>
    <row r="23" customFormat="false" ht="12" hidden="false" customHeight="true" outlineLevel="0" collapsed="false">
      <c r="A23" s="276"/>
      <c r="B23" s="316"/>
      <c r="C23" s="316"/>
      <c r="D23" s="177"/>
      <c r="E23" s="177"/>
      <c r="F23" s="177"/>
      <c r="G23" s="177"/>
      <c r="H23" s="313"/>
      <c r="I23" s="177"/>
      <c r="J23" s="177"/>
      <c r="K23" s="177"/>
      <c r="L23" s="179"/>
      <c r="M23" s="177"/>
      <c r="N23" s="313"/>
      <c r="O23" s="177"/>
      <c r="P23" s="177"/>
      <c r="Q23" s="177"/>
      <c r="R23" s="179"/>
      <c r="S23" s="177"/>
      <c r="T23" s="313"/>
      <c r="U23" s="177"/>
      <c r="V23" s="177"/>
      <c r="W23" s="177"/>
      <c r="X23" s="177"/>
      <c r="Y23" s="314"/>
      <c r="Z23" s="177"/>
      <c r="AA23" s="177"/>
      <c r="AB23" s="177"/>
      <c r="AC23" s="164"/>
      <c r="AD23" s="309" t="s">
        <v>384</v>
      </c>
      <c r="AE23" s="309"/>
      <c r="AF23" s="309"/>
      <c r="AG23" s="309"/>
      <c r="AH23" s="164"/>
    </row>
    <row r="24" customFormat="false" ht="12" hidden="false" customHeight="false" outlineLevel="0" collapsed="false">
      <c r="A24" s="276"/>
      <c r="B24" s="315" t="n">
        <f aca="false">Admin!B13</f>
        <v>44926</v>
      </c>
      <c r="C24" s="316"/>
      <c r="D24" s="191" t="n">
        <f aca="false">D22+F24-L24-R24-X24+Z22</f>
        <v>0</v>
      </c>
      <c r="E24" s="177"/>
      <c r="F24" s="177" t="n">
        <f aca="false">IF((H$4+N$4+T$4)=0,0,[3]Dec!$P$1)</f>
        <v>0</v>
      </c>
      <c r="G24" s="177"/>
      <c r="H24" s="317" t="n">
        <f aca="false">H22</f>
        <v>0</v>
      </c>
      <c r="I24" s="177"/>
      <c r="J24" s="177" t="n">
        <f aca="false">[2]Dec!$P$1</f>
        <v>2500</v>
      </c>
      <c r="K24" s="177"/>
      <c r="L24" s="179" t="n">
        <f aca="false">J24*H24</f>
        <v>0</v>
      </c>
      <c r="M24" s="177"/>
      <c r="N24" s="317" t="n">
        <f aca="false">N22</f>
        <v>0</v>
      </c>
      <c r="O24" s="177"/>
      <c r="P24" s="177" t="n">
        <f aca="false">[2]Dec!$Q$1</f>
        <v>0</v>
      </c>
      <c r="Q24" s="177"/>
      <c r="R24" s="179" t="n">
        <f aca="false">P24*N24</f>
        <v>0</v>
      </c>
      <c r="S24" s="177"/>
      <c r="T24" s="317" t="n">
        <f aca="false">T22</f>
        <v>0</v>
      </c>
      <c r="U24" s="177"/>
      <c r="V24" s="177" t="n">
        <f aca="false">[2]Dec!$R$1</f>
        <v>0</v>
      </c>
      <c r="W24" s="177"/>
      <c r="X24" s="177" t="n">
        <f aca="false">V24*T24</f>
        <v>0</v>
      </c>
      <c r="Y24" s="314"/>
      <c r="Z24" s="177" t="n">
        <f aca="false">IF(AB24&lt;&gt;D24,AB24-D24,0)</f>
        <v>0</v>
      </c>
      <c r="AA24" s="177"/>
      <c r="AB24" s="170" t="n">
        <f aca="false">AB22+F24-L24-R24-X24</f>
        <v>0</v>
      </c>
      <c r="AC24" s="164"/>
      <c r="AD24" s="309"/>
      <c r="AE24" s="309"/>
      <c r="AF24" s="309"/>
      <c r="AG24" s="309"/>
      <c r="AH24" s="164"/>
    </row>
    <row r="25" customFormat="false" ht="12" hidden="false" customHeight="false" outlineLevel="0" collapsed="false">
      <c r="A25" s="276"/>
      <c r="B25" s="316"/>
      <c r="C25" s="316"/>
      <c r="D25" s="177"/>
      <c r="E25" s="177"/>
      <c r="F25" s="177"/>
      <c r="G25" s="177"/>
      <c r="H25" s="313"/>
      <c r="I25" s="177"/>
      <c r="J25" s="177"/>
      <c r="K25" s="177"/>
      <c r="L25" s="179"/>
      <c r="M25" s="177"/>
      <c r="N25" s="313"/>
      <c r="O25" s="177"/>
      <c r="P25" s="177"/>
      <c r="Q25" s="177"/>
      <c r="R25" s="179"/>
      <c r="S25" s="177"/>
      <c r="T25" s="313"/>
      <c r="U25" s="177"/>
      <c r="V25" s="177"/>
      <c r="W25" s="177"/>
      <c r="X25" s="177"/>
      <c r="Y25" s="314"/>
      <c r="Z25" s="177"/>
      <c r="AA25" s="177"/>
      <c r="AB25" s="177"/>
      <c r="AC25" s="164"/>
      <c r="AD25" s="309"/>
      <c r="AE25" s="309"/>
      <c r="AF25" s="309"/>
      <c r="AG25" s="309"/>
      <c r="AH25" s="164"/>
    </row>
    <row r="26" customFormat="false" ht="12" hidden="false" customHeight="false" outlineLevel="0" collapsed="false">
      <c r="A26" s="276"/>
      <c r="B26" s="315" t="n">
        <f aca="false">Admin!B14</f>
        <v>44957</v>
      </c>
      <c r="C26" s="316"/>
      <c r="D26" s="191" t="n">
        <f aca="false">D24+F26-L26-R26-X26+Z24</f>
        <v>0</v>
      </c>
      <c r="E26" s="177"/>
      <c r="F26" s="177" t="n">
        <f aca="false">IF((H$4+N$4+T$4)=0,0,[3]Jan!$P$1)</f>
        <v>0</v>
      </c>
      <c r="G26" s="177"/>
      <c r="H26" s="317" t="n">
        <f aca="false">H24</f>
        <v>0</v>
      </c>
      <c r="I26" s="177"/>
      <c r="J26" s="177" t="n">
        <f aca="false">[2]Jan!$P$1</f>
        <v>2500</v>
      </c>
      <c r="K26" s="177"/>
      <c r="L26" s="179" t="n">
        <f aca="false">J26*H26</f>
        <v>0</v>
      </c>
      <c r="M26" s="177"/>
      <c r="N26" s="317" t="n">
        <f aca="false">N24</f>
        <v>0</v>
      </c>
      <c r="O26" s="177"/>
      <c r="P26" s="177" t="n">
        <f aca="false">[2]Jan!$Q$1</f>
        <v>0</v>
      </c>
      <c r="Q26" s="177"/>
      <c r="R26" s="179" t="n">
        <f aca="false">P26*N26</f>
        <v>0</v>
      </c>
      <c r="S26" s="177"/>
      <c r="T26" s="317" t="n">
        <f aca="false">T24</f>
        <v>0</v>
      </c>
      <c r="U26" s="177"/>
      <c r="V26" s="177" t="n">
        <f aca="false">[2]Jan!$R$1</f>
        <v>0</v>
      </c>
      <c r="W26" s="177"/>
      <c r="X26" s="177" t="n">
        <f aca="false">V26*T26</f>
        <v>0</v>
      </c>
      <c r="Y26" s="314"/>
      <c r="Z26" s="177" t="n">
        <f aca="false">IF(AB26&lt;&gt;D26,AB26-D26,0)</f>
        <v>0</v>
      </c>
      <c r="AA26" s="177"/>
      <c r="AB26" s="170" t="n">
        <f aca="false">AB24+F26-L26-R26-X26</f>
        <v>0</v>
      </c>
      <c r="AC26" s="164"/>
      <c r="AD26" s="309"/>
      <c r="AE26" s="309"/>
      <c r="AF26" s="309"/>
      <c r="AG26" s="309"/>
      <c r="AH26" s="164"/>
    </row>
    <row r="27" customFormat="false" ht="12" hidden="false" customHeight="false" outlineLevel="0" collapsed="false">
      <c r="A27" s="276"/>
      <c r="B27" s="316"/>
      <c r="C27" s="316"/>
      <c r="D27" s="177"/>
      <c r="E27" s="177"/>
      <c r="F27" s="177"/>
      <c r="G27" s="177"/>
      <c r="H27" s="313"/>
      <c r="I27" s="177"/>
      <c r="J27" s="177"/>
      <c r="K27" s="177"/>
      <c r="L27" s="179"/>
      <c r="M27" s="177"/>
      <c r="N27" s="313"/>
      <c r="O27" s="177"/>
      <c r="P27" s="177"/>
      <c r="Q27" s="177"/>
      <c r="R27" s="179"/>
      <c r="S27" s="177"/>
      <c r="T27" s="313"/>
      <c r="U27" s="177"/>
      <c r="V27" s="177"/>
      <c r="W27" s="177"/>
      <c r="X27" s="177"/>
      <c r="Y27" s="314"/>
      <c r="Z27" s="177"/>
      <c r="AA27" s="177"/>
      <c r="AB27" s="177"/>
      <c r="AC27" s="164"/>
      <c r="AD27" s="320"/>
      <c r="AE27" s="321"/>
      <c r="AF27" s="321"/>
      <c r="AG27" s="321"/>
      <c r="AH27" s="164"/>
    </row>
    <row r="28" customFormat="false" ht="12" hidden="false" customHeight="true" outlineLevel="0" collapsed="false">
      <c r="A28" s="276"/>
      <c r="B28" s="315" t="n">
        <f aca="false">Admin!B15</f>
        <v>44985</v>
      </c>
      <c r="C28" s="316"/>
      <c r="D28" s="191" t="n">
        <f aca="false">D26+F28-L28-R28-X28+Z26</f>
        <v>0</v>
      </c>
      <c r="E28" s="177"/>
      <c r="F28" s="177" t="n">
        <f aca="false">IF((H$4+N$4+T$4)=0,0,[3]OpeningCreditors!$P$1)</f>
        <v>0</v>
      </c>
      <c r="G28" s="177"/>
      <c r="H28" s="317" t="n">
        <f aca="false">H26</f>
        <v>0</v>
      </c>
      <c r="I28" s="177"/>
      <c r="J28" s="177" t="n">
        <f aca="false">[2]Feb!$P$1</f>
        <v>2500</v>
      </c>
      <c r="K28" s="177"/>
      <c r="L28" s="179" t="n">
        <f aca="false">J28*H28</f>
        <v>0</v>
      </c>
      <c r="M28" s="177"/>
      <c r="N28" s="317" t="n">
        <f aca="false">N26</f>
        <v>0</v>
      </c>
      <c r="O28" s="177"/>
      <c r="P28" s="177" t="n">
        <f aca="false">[2]Feb!$Q$1</f>
        <v>0</v>
      </c>
      <c r="Q28" s="177"/>
      <c r="R28" s="179" t="n">
        <f aca="false">P28*N28</f>
        <v>0</v>
      </c>
      <c r="S28" s="177"/>
      <c r="T28" s="317" t="n">
        <f aca="false">T26</f>
        <v>0</v>
      </c>
      <c r="U28" s="177"/>
      <c r="V28" s="177" t="n">
        <f aca="false">[2]Feb!$R$1</f>
        <v>0</v>
      </c>
      <c r="W28" s="177"/>
      <c r="X28" s="177" t="n">
        <f aca="false">V28*T28</f>
        <v>0</v>
      </c>
      <c r="Y28" s="314"/>
      <c r="Z28" s="177" t="n">
        <f aca="false">IF(AB28&lt;&gt;D28,AB28-D28,0)</f>
        <v>0</v>
      </c>
      <c r="AA28" s="177"/>
      <c r="AB28" s="170" t="n">
        <f aca="false">AB26+F28-L28-R28-X28</f>
        <v>0</v>
      </c>
      <c r="AC28" s="164"/>
      <c r="AD28" s="309" t="s">
        <v>385</v>
      </c>
      <c r="AE28" s="309"/>
      <c r="AF28" s="309"/>
      <c r="AG28" s="309"/>
      <c r="AH28" s="164"/>
    </row>
    <row r="29" customFormat="false" ht="12" hidden="false" customHeight="false" outlineLevel="0" collapsed="false">
      <c r="A29" s="276"/>
      <c r="B29" s="316"/>
      <c r="C29" s="316"/>
      <c r="D29" s="177"/>
      <c r="E29" s="177"/>
      <c r="F29" s="177"/>
      <c r="G29" s="177"/>
      <c r="H29" s="313"/>
      <c r="I29" s="177"/>
      <c r="J29" s="177"/>
      <c r="K29" s="177"/>
      <c r="L29" s="179"/>
      <c r="M29" s="177"/>
      <c r="N29" s="313"/>
      <c r="O29" s="177"/>
      <c r="P29" s="177"/>
      <c r="Q29" s="177"/>
      <c r="R29" s="179"/>
      <c r="S29" s="177"/>
      <c r="T29" s="313"/>
      <c r="U29" s="177"/>
      <c r="V29" s="177"/>
      <c r="W29" s="177"/>
      <c r="X29" s="177"/>
      <c r="Y29" s="314"/>
      <c r="Z29" s="177"/>
      <c r="AA29" s="177"/>
      <c r="AB29" s="177"/>
      <c r="AC29" s="164"/>
      <c r="AD29" s="309"/>
      <c r="AE29" s="309"/>
      <c r="AF29" s="309"/>
      <c r="AG29" s="309"/>
      <c r="AH29" s="164"/>
    </row>
    <row r="30" customFormat="false" ht="12" hidden="false" customHeight="false" outlineLevel="0" collapsed="false">
      <c r="A30" s="276"/>
      <c r="B30" s="315" t="n">
        <f aca="false">Admin!B17</f>
        <v>45021</v>
      </c>
      <c r="C30" s="316"/>
      <c r="D30" s="191" t="n">
        <f aca="false">D28+F30-L30-R30-X30+Z28</f>
        <v>0</v>
      </c>
      <c r="E30" s="177"/>
      <c r="F30" s="177" t="n">
        <f aca="false">IF((H$4+N$4+T$4)=0,0,[3]Mar!$P$1)</f>
        <v>0</v>
      </c>
      <c r="G30" s="177"/>
      <c r="H30" s="317" t="n">
        <f aca="false">H28</f>
        <v>0</v>
      </c>
      <c r="I30" s="177"/>
      <c r="J30" s="177" t="n">
        <f aca="false">[2]Mar!$P$1</f>
        <v>2500</v>
      </c>
      <c r="K30" s="177"/>
      <c r="L30" s="179" t="n">
        <f aca="false">J30*H30</f>
        <v>0</v>
      </c>
      <c r="M30" s="177"/>
      <c r="N30" s="317" t="n">
        <f aca="false">N28</f>
        <v>0</v>
      </c>
      <c r="O30" s="177"/>
      <c r="P30" s="177" t="n">
        <f aca="false">[2]Mar!$Q$1</f>
        <v>0</v>
      </c>
      <c r="Q30" s="177"/>
      <c r="R30" s="179" t="n">
        <f aca="false">P30*N30</f>
        <v>0</v>
      </c>
      <c r="S30" s="177"/>
      <c r="T30" s="317" t="n">
        <f aca="false">T28</f>
        <v>0</v>
      </c>
      <c r="U30" s="177"/>
      <c r="V30" s="177" t="n">
        <f aca="false">[2]Mar!$R$1</f>
        <v>0</v>
      </c>
      <c r="W30" s="177"/>
      <c r="X30" s="177" t="n">
        <f aca="false">V30*T30</f>
        <v>0</v>
      </c>
      <c r="Y30" s="314"/>
      <c r="Z30" s="177" t="n">
        <f aca="false">IF(AB30&lt;&gt;D30,AB30-D30,0)</f>
        <v>0</v>
      </c>
      <c r="AA30" s="177"/>
      <c r="AB30" s="170" t="n">
        <f aca="false">AB28+F30-L30-R30-X30</f>
        <v>0</v>
      </c>
      <c r="AC30" s="164"/>
      <c r="AD30" s="309"/>
      <c r="AE30" s="309"/>
      <c r="AF30" s="309"/>
      <c r="AG30" s="309"/>
      <c r="AH30" s="164"/>
    </row>
    <row r="31" customFormat="false" ht="12" hidden="false" customHeight="false" outlineLevel="0" collapsed="false">
      <c r="A31" s="279"/>
      <c r="B31" s="322"/>
      <c r="C31" s="322"/>
      <c r="D31" s="185"/>
      <c r="E31" s="185"/>
      <c r="F31" s="185"/>
      <c r="G31" s="185"/>
      <c r="H31" s="323"/>
      <c r="I31" s="185"/>
      <c r="J31" s="185"/>
      <c r="K31" s="185"/>
      <c r="L31" s="324"/>
      <c r="M31" s="185"/>
      <c r="N31" s="323"/>
      <c r="O31" s="185"/>
      <c r="P31" s="185"/>
      <c r="Q31" s="185"/>
      <c r="R31" s="324"/>
      <c r="S31" s="185"/>
      <c r="T31" s="323"/>
      <c r="U31" s="185"/>
      <c r="V31" s="185"/>
      <c r="W31" s="185"/>
      <c r="X31" s="185"/>
      <c r="Y31" s="325"/>
      <c r="Z31" s="185"/>
      <c r="AA31" s="185"/>
      <c r="AB31" s="185"/>
      <c r="AC31" s="186"/>
      <c r="AD31" s="326"/>
      <c r="AE31" s="327"/>
      <c r="AF31" s="327"/>
      <c r="AG31" s="327"/>
      <c r="AH31" s="186"/>
    </row>
  </sheetData>
  <mergeCells count="11">
    <mergeCell ref="H1:L1"/>
    <mergeCell ref="N1:R1"/>
    <mergeCell ref="T1:X1"/>
    <mergeCell ref="AD2:AG2"/>
    <mergeCell ref="AD3:AG9"/>
    <mergeCell ref="B4:F4"/>
    <mergeCell ref="AD11:AG13"/>
    <mergeCell ref="AD15:AG17"/>
    <mergeCell ref="AD19:AG21"/>
    <mergeCell ref="AD23:AG26"/>
    <mergeCell ref="AD28:AG3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54" width="1.66"/>
    <col collapsed="false" customWidth="true" hidden="false" outlineLevel="0" max="2" min="2" style="154" width="19.66"/>
    <col collapsed="false" customWidth="false" hidden="false" outlineLevel="0" max="3" min="3" style="154" width="9.15"/>
    <col collapsed="false" customWidth="true" hidden="false" outlineLevel="0" max="14" min="4" style="154" width="8.99"/>
    <col collapsed="false" customWidth="true" hidden="false" outlineLevel="0" max="15" min="15" style="154" width="9.82"/>
    <col collapsed="false" customWidth="true" hidden="false" outlineLevel="0" max="16" min="16" style="154" width="1.66"/>
    <col collapsed="false" customWidth="false" hidden="false" outlineLevel="0" max="257" min="17" style="154" width="9.15"/>
  </cols>
  <sheetData>
    <row r="1" customFormat="false" ht="6" hidden="false" customHeight="true" outlineLevel="0" collapsed="false">
      <c r="A1" s="158"/>
      <c r="B1" s="328"/>
      <c r="C1" s="329"/>
      <c r="D1" s="158"/>
      <c r="E1" s="158"/>
      <c r="F1" s="158"/>
      <c r="G1" s="158"/>
      <c r="H1" s="158"/>
      <c r="I1" s="158"/>
      <c r="J1" s="158"/>
      <c r="K1" s="158"/>
      <c r="L1" s="158"/>
      <c r="M1" s="158"/>
      <c r="N1" s="158"/>
      <c r="O1" s="158"/>
      <c r="P1" s="158"/>
    </row>
    <row r="2" customFormat="false" ht="12" hidden="false" customHeight="true" outlineLevel="0" collapsed="false">
      <c r="A2" s="158"/>
      <c r="B2" s="330" t="s">
        <v>386</v>
      </c>
      <c r="C2" s="161" t="s">
        <v>261</v>
      </c>
      <c r="D2" s="162" t="n">
        <f aca="false">Admin!B5</f>
        <v>44681</v>
      </c>
      <c r="E2" s="163" t="n">
        <f aca="false">Admin!B6</f>
        <v>44712</v>
      </c>
      <c r="F2" s="163" t="n">
        <f aca="false">Admin!B7</f>
        <v>44742</v>
      </c>
      <c r="G2" s="163" t="n">
        <f aca="false">Admin!B8</f>
        <v>44773</v>
      </c>
      <c r="H2" s="163" t="n">
        <f aca="false">Admin!B9</f>
        <v>44804</v>
      </c>
      <c r="I2" s="163" t="n">
        <f aca="false">Admin!B10</f>
        <v>44834</v>
      </c>
      <c r="J2" s="163" t="n">
        <f aca="false">Admin!B11</f>
        <v>44865</v>
      </c>
      <c r="K2" s="163" t="n">
        <f aca="false">Admin!B12</f>
        <v>44895</v>
      </c>
      <c r="L2" s="163" t="n">
        <f aca="false">Admin!B13</f>
        <v>44926</v>
      </c>
      <c r="M2" s="163" t="n">
        <f aca="false">Admin!B14</f>
        <v>44957</v>
      </c>
      <c r="N2" s="163" t="n">
        <f aca="false">Admin!B15</f>
        <v>44985</v>
      </c>
      <c r="O2" s="163" t="n">
        <f aca="false">Admin!B16</f>
        <v>45016</v>
      </c>
      <c r="P2" s="158"/>
    </row>
    <row r="3" customFormat="false" ht="12" hidden="false" customHeight="true" outlineLevel="0" collapsed="false">
      <c r="A3" s="158"/>
      <c r="B3" s="330"/>
      <c r="C3" s="165" t="n">
        <f aca="false">Admin!B$17</f>
        <v>45021</v>
      </c>
      <c r="D3" s="162"/>
      <c r="E3" s="163"/>
      <c r="F3" s="163"/>
      <c r="G3" s="163"/>
      <c r="H3" s="163"/>
      <c r="I3" s="163"/>
      <c r="J3" s="163"/>
      <c r="K3" s="163"/>
      <c r="L3" s="163"/>
      <c r="M3" s="163"/>
      <c r="N3" s="163"/>
      <c r="O3" s="163"/>
      <c r="P3" s="158"/>
    </row>
    <row r="4" customFormat="false" ht="12" hidden="false" customHeight="false" outlineLevel="0" collapsed="false">
      <c r="A4" s="158"/>
      <c r="B4" s="330"/>
      <c r="C4" s="331" t="s">
        <v>32</v>
      </c>
      <c r="D4" s="166" t="s">
        <v>32</v>
      </c>
      <c r="E4" s="166" t="s">
        <v>32</v>
      </c>
      <c r="F4" s="166" t="s">
        <v>32</v>
      </c>
      <c r="G4" s="166" t="s">
        <v>32</v>
      </c>
      <c r="H4" s="166" t="s">
        <v>32</v>
      </c>
      <c r="I4" s="166" t="s">
        <v>32</v>
      </c>
      <c r="J4" s="166" t="s">
        <v>32</v>
      </c>
      <c r="K4" s="166" t="s">
        <v>32</v>
      </c>
      <c r="L4" s="166" t="s">
        <v>32</v>
      </c>
      <c r="M4" s="166" t="s">
        <v>32</v>
      </c>
      <c r="N4" s="168" t="s">
        <v>32</v>
      </c>
      <c r="O4" s="166" t="s">
        <v>32</v>
      </c>
      <c r="P4" s="158"/>
    </row>
    <row r="5" s="176" customFormat="true" ht="12" hidden="false" customHeight="false" outlineLevel="0" collapsed="false">
      <c r="A5" s="178"/>
      <c r="B5" s="332" t="s">
        <v>266</v>
      </c>
      <c r="C5" s="170" t="n">
        <f aca="false">SUM(D5:O5)</f>
        <v>30000</v>
      </c>
      <c r="D5" s="170" t="n">
        <f aca="false">'Profit &amp; Loss Account'!C9</f>
        <v>2500</v>
      </c>
      <c r="E5" s="170" t="n">
        <f aca="false">'Profit &amp; Loss Account'!D9</f>
        <v>2500</v>
      </c>
      <c r="F5" s="170" t="n">
        <f aca="false">'Profit &amp; Loss Account'!E9</f>
        <v>2500</v>
      </c>
      <c r="G5" s="170" t="n">
        <f aca="false">'Profit &amp; Loss Account'!F9</f>
        <v>2500</v>
      </c>
      <c r="H5" s="170" t="n">
        <f aca="false">'Profit &amp; Loss Account'!G9</f>
        <v>2500</v>
      </c>
      <c r="I5" s="170" t="n">
        <f aca="false">'Profit &amp; Loss Account'!H9</f>
        <v>2500</v>
      </c>
      <c r="J5" s="170" t="n">
        <f aca="false">'Profit &amp; Loss Account'!I9</f>
        <v>2500</v>
      </c>
      <c r="K5" s="170" t="n">
        <f aca="false">'Profit &amp; Loss Account'!J9</f>
        <v>2500</v>
      </c>
      <c r="L5" s="170" t="n">
        <f aca="false">'Profit &amp; Loss Account'!K9</f>
        <v>2500</v>
      </c>
      <c r="M5" s="170" t="n">
        <f aca="false">'Profit &amp; Loss Account'!L9</f>
        <v>2500</v>
      </c>
      <c r="N5" s="170" t="n">
        <f aca="false">'Profit &amp; Loss Account'!M9</f>
        <v>2500</v>
      </c>
      <c r="O5" s="170" t="n">
        <f aca="false">'Profit &amp; Loss Account'!N9</f>
        <v>2500</v>
      </c>
      <c r="P5" s="178"/>
    </row>
    <row r="6" s="176" customFormat="true" ht="6" hidden="false" customHeight="true" outlineLevel="0" collapsed="false">
      <c r="A6" s="178"/>
      <c r="B6" s="333"/>
      <c r="C6" s="177"/>
      <c r="D6" s="177"/>
      <c r="E6" s="177"/>
      <c r="F6" s="177"/>
      <c r="G6" s="177"/>
      <c r="H6" s="177"/>
      <c r="I6" s="177"/>
      <c r="J6" s="177"/>
      <c r="K6" s="177"/>
      <c r="L6" s="177"/>
      <c r="M6" s="177"/>
      <c r="N6" s="177"/>
      <c r="O6" s="177"/>
      <c r="P6" s="178"/>
    </row>
    <row r="7" customFormat="false" ht="12" hidden="false" customHeight="false" outlineLevel="0" collapsed="false">
      <c r="A7" s="158"/>
      <c r="B7" s="334" t="s">
        <v>387</v>
      </c>
      <c r="C7" s="170" t="n">
        <f aca="false">SUM(D7:O7)</f>
        <v>0</v>
      </c>
      <c r="D7" s="171" t="n">
        <f aca="false">'Profit &amp; Loss Account'!C11</f>
        <v>0</v>
      </c>
      <c r="E7" s="171" t="n">
        <f aca="false">'Profit &amp; Loss Account'!D11</f>
        <v>0</v>
      </c>
      <c r="F7" s="171" t="n">
        <f aca="false">'Profit &amp; Loss Account'!E11</f>
        <v>0</v>
      </c>
      <c r="G7" s="171" t="n">
        <f aca="false">'Profit &amp; Loss Account'!F11</f>
        <v>0</v>
      </c>
      <c r="H7" s="171" t="n">
        <f aca="false">'Profit &amp; Loss Account'!G11</f>
        <v>0</v>
      </c>
      <c r="I7" s="171" t="n">
        <f aca="false">'Profit &amp; Loss Account'!H11</f>
        <v>0</v>
      </c>
      <c r="J7" s="171" t="n">
        <f aca="false">'Profit &amp; Loss Account'!I11</f>
        <v>0</v>
      </c>
      <c r="K7" s="171" t="n">
        <f aca="false">'Profit &amp; Loss Account'!J11</f>
        <v>0</v>
      </c>
      <c r="L7" s="171" t="n">
        <f aca="false">'Profit &amp; Loss Account'!K11</f>
        <v>0</v>
      </c>
      <c r="M7" s="171" t="n">
        <f aca="false">'Profit &amp; Loss Account'!L11</f>
        <v>0</v>
      </c>
      <c r="N7" s="171" t="n">
        <f aca="false">'Profit &amp; Loss Account'!M11</f>
        <v>0</v>
      </c>
      <c r="O7" s="171" t="n">
        <f aca="false">'Profit &amp; Loss Account'!N11</f>
        <v>0</v>
      </c>
      <c r="P7" s="158"/>
    </row>
    <row r="8" customFormat="false" ht="6" hidden="false" customHeight="true" outlineLevel="0" collapsed="false">
      <c r="A8" s="158"/>
      <c r="B8" s="334"/>
      <c r="C8" s="177"/>
      <c r="D8" s="177"/>
      <c r="E8" s="177"/>
      <c r="F8" s="177"/>
      <c r="G8" s="177"/>
      <c r="H8" s="177"/>
      <c r="I8" s="177"/>
      <c r="J8" s="177"/>
      <c r="K8" s="177"/>
      <c r="L8" s="177"/>
      <c r="M8" s="177"/>
      <c r="N8" s="177"/>
      <c r="O8" s="177"/>
      <c r="P8" s="158"/>
    </row>
    <row r="9" s="176" customFormat="true" ht="12" hidden="false" customHeight="false" outlineLevel="0" collapsed="false">
      <c r="A9" s="178"/>
      <c r="B9" s="333" t="s">
        <v>272</v>
      </c>
      <c r="C9" s="170" t="n">
        <f aca="false">SUM(D9:O9)</f>
        <v>0</v>
      </c>
      <c r="D9" s="170" t="n">
        <f aca="false">'Profit &amp; Loss Account'!C17</f>
        <v>0</v>
      </c>
      <c r="E9" s="170" t="n">
        <f aca="false">'Profit &amp; Loss Account'!D17</f>
        <v>0</v>
      </c>
      <c r="F9" s="170" t="n">
        <f aca="false">'Profit &amp; Loss Account'!E17</f>
        <v>0</v>
      </c>
      <c r="G9" s="170" t="n">
        <f aca="false">'Profit &amp; Loss Account'!F17</f>
        <v>0</v>
      </c>
      <c r="H9" s="170" t="n">
        <f aca="false">'Profit &amp; Loss Account'!G17</f>
        <v>0</v>
      </c>
      <c r="I9" s="170" t="n">
        <f aca="false">'Profit &amp; Loss Account'!H17</f>
        <v>0</v>
      </c>
      <c r="J9" s="170" t="n">
        <f aca="false">'Profit &amp; Loss Account'!I17</f>
        <v>0</v>
      </c>
      <c r="K9" s="170" t="n">
        <f aca="false">'Profit &amp; Loss Account'!J17</f>
        <v>0</v>
      </c>
      <c r="L9" s="170" t="n">
        <f aca="false">'Profit &amp; Loss Account'!K17</f>
        <v>0</v>
      </c>
      <c r="M9" s="170" t="n">
        <f aca="false">'Profit &amp; Loss Account'!L17</f>
        <v>0</v>
      </c>
      <c r="N9" s="170" t="n">
        <f aca="false">'Profit &amp; Loss Account'!M17</f>
        <v>0</v>
      </c>
      <c r="O9" s="170" t="n">
        <f aca="false">'Profit &amp; Loss Account'!N17</f>
        <v>0</v>
      </c>
      <c r="P9" s="178"/>
    </row>
    <row r="10" s="176" customFormat="true" ht="6" hidden="false" customHeight="true" outlineLevel="0" collapsed="false">
      <c r="A10" s="178"/>
      <c r="B10" s="333"/>
      <c r="C10" s="177"/>
      <c r="D10" s="177"/>
      <c r="E10" s="177"/>
      <c r="F10" s="177"/>
      <c r="G10" s="177"/>
      <c r="H10" s="177"/>
      <c r="I10" s="177"/>
      <c r="J10" s="177"/>
      <c r="K10" s="177"/>
      <c r="L10" s="177"/>
      <c r="M10" s="177"/>
      <c r="N10" s="177"/>
      <c r="O10" s="177"/>
      <c r="P10" s="178"/>
    </row>
    <row r="11" s="176" customFormat="true" ht="12" hidden="false" customHeight="false" outlineLevel="0" collapsed="false">
      <c r="A11" s="178"/>
      <c r="B11" s="332" t="s">
        <v>273</v>
      </c>
      <c r="C11" s="170" t="n">
        <f aca="false">SUM(D11:O11)</f>
        <v>30000</v>
      </c>
      <c r="D11" s="170" t="n">
        <f aca="false">D5+D7-D9</f>
        <v>2500</v>
      </c>
      <c r="E11" s="170" t="n">
        <f aca="false">E5+E7-E9</f>
        <v>2500</v>
      </c>
      <c r="F11" s="170" t="n">
        <f aca="false">F5+F7-F9</f>
        <v>2500</v>
      </c>
      <c r="G11" s="170" t="n">
        <f aca="false">G5+G7-G9</f>
        <v>2500</v>
      </c>
      <c r="H11" s="170" t="n">
        <f aca="false">H5+H7-H9</f>
        <v>2500</v>
      </c>
      <c r="I11" s="170" t="n">
        <f aca="false">I5+I7-I9</f>
        <v>2500</v>
      </c>
      <c r="J11" s="170" t="n">
        <f aca="false">J5+J7-J9</f>
        <v>2500</v>
      </c>
      <c r="K11" s="170" t="n">
        <f aca="false">K5+K7-K9</f>
        <v>2500</v>
      </c>
      <c r="L11" s="170" t="n">
        <f aca="false">L5+L7-L9</f>
        <v>2500</v>
      </c>
      <c r="M11" s="170" t="n">
        <f aca="false">M5+M7-M9</f>
        <v>2500</v>
      </c>
      <c r="N11" s="170" t="n">
        <f aca="false">N5+N7-N9</f>
        <v>2500</v>
      </c>
      <c r="O11" s="170" t="n">
        <f aca="false">O5+O7-O9</f>
        <v>2500</v>
      </c>
      <c r="P11" s="178"/>
    </row>
    <row r="12" s="176" customFormat="true" ht="6" hidden="false" customHeight="true" outlineLevel="0" collapsed="false">
      <c r="A12" s="178"/>
      <c r="B12" s="334"/>
      <c r="C12" s="177"/>
      <c r="D12" s="181"/>
      <c r="E12" s="181"/>
      <c r="F12" s="181"/>
      <c r="G12" s="181"/>
      <c r="H12" s="181"/>
      <c r="I12" s="181"/>
      <c r="J12" s="181"/>
      <c r="K12" s="181"/>
      <c r="L12" s="181"/>
      <c r="M12" s="181"/>
      <c r="N12" s="181"/>
      <c r="O12" s="181"/>
      <c r="P12" s="178"/>
    </row>
    <row r="13" customFormat="false" ht="12" hidden="false" customHeight="false" outlineLevel="0" collapsed="false">
      <c r="A13" s="158"/>
      <c r="B13" s="333" t="s">
        <v>388</v>
      </c>
      <c r="C13" s="170" t="n">
        <f aca="false">SUM(D13:O13)</f>
        <v>4200</v>
      </c>
      <c r="D13" s="170" t="n">
        <f aca="false">'Profit &amp; Loss Account'!C35</f>
        <v>120</v>
      </c>
      <c r="E13" s="170" t="n">
        <f aca="false">'Profit &amp; Loss Account'!D35</f>
        <v>600</v>
      </c>
      <c r="F13" s="170" t="n">
        <f aca="false">'Profit &amp; Loss Account'!E35</f>
        <v>0</v>
      </c>
      <c r="G13" s="170" t="n">
        <f aca="false">'Profit &amp; Loss Account'!F35</f>
        <v>480</v>
      </c>
      <c r="H13" s="170" t="n">
        <f aca="false">'Profit &amp; Loss Account'!G35</f>
        <v>300</v>
      </c>
      <c r="I13" s="170" t="n">
        <f aca="false">'Profit &amp; Loss Account'!H35</f>
        <v>0</v>
      </c>
      <c r="J13" s="170" t="n">
        <f aca="false">'Profit &amp; Loss Account'!I35</f>
        <v>600</v>
      </c>
      <c r="K13" s="170" t="n">
        <f aca="false">'Profit &amp; Loss Account'!J35</f>
        <v>120</v>
      </c>
      <c r="L13" s="170" t="n">
        <f aca="false">'Profit &amp; Loss Account'!K35</f>
        <v>0</v>
      </c>
      <c r="M13" s="170" t="n">
        <f aca="false">'Profit &amp; Loss Account'!L35</f>
        <v>480</v>
      </c>
      <c r="N13" s="170" t="n">
        <f aca="false">'Profit &amp; Loss Account'!M35</f>
        <v>600</v>
      </c>
      <c r="O13" s="170" t="n">
        <f aca="false">'Profit &amp; Loss Account'!N35</f>
        <v>900</v>
      </c>
      <c r="P13" s="158"/>
    </row>
    <row r="14" customFormat="false" ht="6" hidden="false" customHeight="true" outlineLevel="0" collapsed="false">
      <c r="A14" s="158"/>
      <c r="B14" s="333"/>
      <c r="C14" s="177"/>
      <c r="D14" s="177"/>
      <c r="E14" s="177"/>
      <c r="F14" s="177"/>
      <c r="G14" s="177"/>
      <c r="H14" s="177"/>
      <c r="I14" s="177"/>
      <c r="J14" s="177"/>
      <c r="K14" s="177"/>
      <c r="L14" s="177"/>
      <c r="M14" s="177"/>
      <c r="N14" s="177"/>
      <c r="O14" s="177"/>
      <c r="P14" s="158"/>
    </row>
    <row r="15" customFormat="false" ht="12" hidden="false" customHeight="false" outlineLevel="0" collapsed="false">
      <c r="A15" s="158"/>
      <c r="B15" s="332" t="s">
        <v>289</v>
      </c>
      <c r="C15" s="170" t="n">
        <f aca="false">SUM(D15:O15)</f>
        <v>25800</v>
      </c>
      <c r="D15" s="170" t="n">
        <f aca="false">D11-D13</f>
        <v>2380</v>
      </c>
      <c r="E15" s="170" t="n">
        <f aca="false">E11-E13</f>
        <v>1900</v>
      </c>
      <c r="F15" s="170" t="n">
        <f aca="false">F11-F13</f>
        <v>2500</v>
      </c>
      <c r="G15" s="170" t="n">
        <f aca="false">G11-G13</f>
        <v>2020</v>
      </c>
      <c r="H15" s="170" t="n">
        <f aca="false">H11-H13</f>
        <v>2200</v>
      </c>
      <c r="I15" s="170" t="n">
        <f aca="false">I11-I13</f>
        <v>2500</v>
      </c>
      <c r="J15" s="170" t="n">
        <f aca="false">J11-J13</f>
        <v>1900</v>
      </c>
      <c r="K15" s="170" t="n">
        <f aca="false">K11-K13</f>
        <v>2380</v>
      </c>
      <c r="L15" s="170" t="n">
        <f aca="false">L11-L13</f>
        <v>2500</v>
      </c>
      <c r="M15" s="170" t="n">
        <f aca="false">M11-M13</f>
        <v>2020</v>
      </c>
      <c r="N15" s="170" t="n">
        <f aca="false">N11-N13</f>
        <v>1900</v>
      </c>
      <c r="O15" s="170" t="n">
        <f aca="false">O11-O13</f>
        <v>1600</v>
      </c>
      <c r="P15" s="158"/>
    </row>
    <row r="16" customFormat="false" ht="12" hidden="false" customHeight="false" outlineLevel="0" collapsed="false">
      <c r="A16" s="158"/>
      <c r="B16" s="334" t="s">
        <v>290</v>
      </c>
      <c r="C16" s="170" t="n">
        <f aca="false">SUM(D16:O16)</f>
        <v>0</v>
      </c>
      <c r="D16" s="171" t="n">
        <f aca="false">'Profit &amp; Loss Account'!C38</f>
        <v>0</v>
      </c>
      <c r="E16" s="171" t="n">
        <f aca="false">'Profit &amp; Loss Account'!D38</f>
        <v>0</v>
      </c>
      <c r="F16" s="171" t="n">
        <f aca="false">'Profit &amp; Loss Account'!E38</f>
        <v>0</v>
      </c>
      <c r="G16" s="171" t="n">
        <f aca="false">'Profit &amp; Loss Account'!F38</f>
        <v>0</v>
      </c>
      <c r="H16" s="171" t="n">
        <f aca="false">'Profit &amp; Loss Account'!G38</f>
        <v>0</v>
      </c>
      <c r="I16" s="171" t="n">
        <f aca="false">'Profit &amp; Loss Account'!H38</f>
        <v>0</v>
      </c>
      <c r="J16" s="171" t="n">
        <f aca="false">'Profit &amp; Loss Account'!I38</f>
        <v>0</v>
      </c>
      <c r="K16" s="171" t="n">
        <f aca="false">'Profit &amp; Loss Account'!J38</f>
        <v>0</v>
      </c>
      <c r="L16" s="171" t="n">
        <f aca="false">'Profit &amp; Loss Account'!K38</f>
        <v>0</v>
      </c>
      <c r="M16" s="171" t="n">
        <f aca="false">'Profit &amp; Loss Account'!L38</f>
        <v>0</v>
      </c>
      <c r="N16" s="171" t="n">
        <f aca="false">'Profit &amp; Loss Account'!M38</f>
        <v>0</v>
      </c>
      <c r="O16" s="171" t="n">
        <f aca="false">'Profit &amp; Loss Account'!N38</f>
        <v>0</v>
      </c>
      <c r="P16" s="158"/>
    </row>
    <row r="17" customFormat="false" ht="12" hidden="false" customHeight="false" outlineLevel="0" collapsed="false">
      <c r="A17" s="158"/>
      <c r="B17" s="335" t="s">
        <v>291</v>
      </c>
      <c r="C17" s="170" t="n">
        <f aca="false">SUM(D17:O17)</f>
        <v>25800</v>
      </c>
      <c r="D17" s="170" t="n">
        <f aca="false">D15+D16</f>
        <v>2380</v>
      </c>
      <c r="E17" s="170" t="n">
        <f aca="false">E15+E16</f>
        <v>1900</v>
      </c>
      <c r="F17" s="170" t="n">
        <f aca="false">F15+F16</f>
        <v>2500</v>
      </c>
      <c r="G17" s="170" t="n">
        <f aca="false">G15+G16</f>
        <v>2020</v>
      </c>
      <c r="H17" s="170" t="n">
        <f aca="false">H15+H16</f>
        <v>2200</v>
      </c>
      <c r="I17" s="170" t="n">
        <f aca="false">I15+I16</f>
        <v>2500</v>
      </c>
      <c r="J17" s="170" t="n">
        <f aca="false">J15+J16</f>
        <v>1900</v>
      </c>
      <c r="K17" s="170" t="n">
        <f aca="false">K15+K16</f>
        <v>2380</v>
      </c>
      <c r="L17" s="170" t="n">
        <f aca="false">L15+L16</f>
        <v>2500</v>
      </c>
      <c r="M17" s="170" t="n">
        <f aca="false">M15+M16</f>
        <v>2020</v>
      </c>
      <c r="N17" s="170" t="n">
        <f aca="false">N15+N16</f>
        <v>1900</v>
      </c>
      <c r="O17" s="170" t="n">
        <f aca="false">O15+O16</f>
        <v>1600</v>
      </c>
      <c r="P17" s="158"/>
    </row>
    <row r="18" customFormat="false" ht="12" hidden="false" customHeight="false" outlineLevel="0" collapsed="false">
      <c r="A18" s="158"/>
      <c r="B18" s="158"/>
      <c r="C18" s="336"/>
      <c r="D18" s="158"/>
      <c r="E18" s="158"/>
      <c r="F18" s="158"/>
      <c r="G18" s="158"/>
      <c r="H18" s="158"/>
      <c r="I18" s="158"/>
      <c r="J18" s="158"/>
      <c r="K18" s="158"/>
      <c r="L18" s="158"/>
      <c r="M18" s="158"/>
      <c r="N18" s="158"/>
      <c r="O18" s="158"/>
      <c r="P18" s="158"/>
    </row>
    <row r="19" customFormat="false" ht="12" hidden="false" customHeight="true" outlineLevel="0" collapsed="false">
      <c r="A19" s="158"/>
      <c r="B19" s="337" t="s">
        <v>389</v>
      </c>
      <c r="C19" s="161" t="s">
        <v>261</v>
      </c>
      <c r="D19" s="162" t="n">
        <f aca="false">D2</f>
        <v>44681</v>
      </c>
      <c r="E19" s="162" t="n">
        <f aca="false">E2</f>
        <v>44712</v>
      </c>
      <c r="F19" s="162" t="n">
        <f aca="false">F2</f>
        <v>44742</v>
      </c>
      <c r="G19" s="162" t="n">
        <f aca="false">G2</f>
        <v>44773</v>
      </c>
      <c r="H19" s="162" t="n">
        <f aca="false">H2</f>
        <v>44804</v>
      </c>
      <c r="I19" s="162" t="n">
        <f aca="false">I2</f>
        <v>44834</v>
      </c>
      <c r="J19" s="162" t="n">
        <f aca="false">J2</f>
        <v>44865</v>
      </c>
      <c r="K19" s="162" t="n">
        <f aca="false">K2</f>
        <v>44895</v>
      </c>
      <c r="L19" s="162" t="n">
        <f aca="false">L2</f>
        <v>44926</v>
      </c>
      <c r="M19" s="162" t="n">
        <f aca="false">M2</f>
        <v>44957</v>
      </c>
      <c r="N19" s="162" t="n">
        <f aca="false">N2</f>
        <v>44985</v>
      </c>
      <c r="O19" s="162" t="n">
        <f aca="false">O2</f>
        <v>45016</v>
      </c>
      <c r="P19" s="158"/>
    </row>
    <row r="20" customFormat="false" ht="12" hidden="false" customHeight="true" outlineLevel="0" collapsed="false">
      <c r="A20" s="158"/>
      <c r="B20" s="337"/>
      <c r="C20" s="165" t="n">
        <f aca="false">Admin!B$17</f>
        <v>45021</v>
      </c>
      <c r="D20" s="162"/>
      <c r="E20" s="162"/>
      <c r="F20" s="162"/>
      <c r="G20" s="162"/>
      <c r="H20" s="162"/>
      <c r="I20" s="162"/>
      <c r="J20" s="162"/>
      <c r="K20" s="162"/>
      <c r="L20" s="162"/>
      <c r="M20" s="162"/>
      <c r="N20" s="162"/>
      <c r="O20" s="162"/>
      <c r="P20" s="158"/>
    </row>
    <row r="21" customFormat="false" ht="12" hidden="false" customHeight="false" outlineLevel="0" collapsed="false">
      <c r="A21" s="158"/>
      <c r="B21" s="337"/>
      <c r="C21" s="167" t="n">
        <f aca="false">SUM(D21:O21)</f>
        <v>12</v>
      </c>
      <c r="D21" s="166" t="n">
        <f aca="false">IF(D5&gt;0,1," ")</f>
        <v>1</v>
      </c>
      <c r="E21" s="166" t="n">
        <f aca="false">IF(E5&gt;0,1," ")</f>
        <v>1</v>
      </c>
      <c r="F21" s="166" t="n">
        <f aca="false">IF(F5&gt;0,1," ")</f>
        <v>1</v>
      </c>
      <c r="G21" s="166" t="n">
        <f aca="false">IF(G5&gt;0,1," ")</f>
        <v>1</v>
      </c>
      <c r="H21" s="166" t="n">
        <f aca="false">IF(H5&gt;0,1," ")</f>
        <v>1</v>
      </c>
      <c r="I21" s="166" t="n">
        <f aca="false">IF(I5&gt;0,1," ")</f>
        <v>1</v>
      </c>
      <c r="J21" s="166" t="n">
        <f aca="false">IF(J5&gt;0,1," ")</f>
        <v>1</v>
      </c>
      <c r="K21" s="166" t="n">
        <f aca="false">IF(K5&gt;0,1," ")</f>
        <v>1</v>
      </c>
      <c r="L21" s="166" t="n">
        <f aca="false">IF(L5&gt;0,1," ")</f>
        <v>1</v>
      </c>
      <c r="M21" s="166" t="n">
        <f aca="false">IF(M5&gt;0,1," ")</f>
        <v>1</v>
      </c>
      <c r="N21" s="166" t="n">
        <f aca="false">IF(N5&gt;0,1," ")</f>
        <v>1</v>
      </c>
      <c r="O21" s="166" t="n">
        <f aca="false">IF(O5&gt;0,1," ")</f>
        <v>1</v>
      </c>
      <c r="P21" s="158"/>
    </row>
    <row r="22" s="176" customFormat="true" ht="12" hidden="false" customHeight="false" outlineLevel="0" collapsed="false">
      <c r="A22" s="178"/>
      <c r="B22" s="332" t="s">
        <v>266</v>
      </c>
      <c r="C22" s="170" t="n">
        <f aca="false">SUM(D22:O22)</f>
        <v>30000</v>
      </c>
      <c r="D22" s="170" t="n">
        <f aca="false">IF(C5&gt;0,IF(D5&gt;0,D5,C5/C21),0)</f>
        <v>2500</v>
      </c>
      <c r="E22" s="170" t="n">
        <f aca="false">IF(C5&gt;0,IF(E5&gt;0,E5,C5/C21),0)</f>
        <v>2500</v>
      </c>
      <c r="F22" s="170" t="n">
        <f aca="false">IF(C5&gt;0,IF(F5&gt;0,F5,C5/C21),0)</f>
        <v>2500</v>
      </c>
      <c r="G22" s="170" t="n">
        <f aca="false">IF(C5&gt;0,IF(G5&gt;0,G5,C5/C21),0)</f>
        <v>2500</v>
      </c>
      <c r="H22" s="170" t="n">
        <f aca="false">IF(C5&gt;0,IF(H5&gt;0,H5,C5/C21),0)</f>
        <v>2500</v>
      </c>
      <c r="I22" s="170" t="n">
        <f aca="false">IF(C5&gt;0,IF(I5&gt;0,I5,C5/C21),0)</f>
        <v>2500</v>
      </c>
      <c r="J22" s="170" t="n">
        <f aca="false">IF(C5&gt;0,IF(J5&gt;0,J5,C5/C21),0)</f>
        <v>2500</v>
      </c>
      <c r="K22" s="170" t="n">
        <f aca="false">IF(C5&gt;0,IF(K5&gt;0,K5,C5/C21),0)</f>
        <v>2500</v>
      </c>
      <c r="L22" s="170" t="n">
        <f aca="false">IF(C5&gt;0,IF(L5&gt;0,L5,C5/C21),0)</f>
        <v>2500</v>
      </c>
      <c r="M22" s="170" t="n">
        <f aca="false">IF(C5&gt;0,IF(M5&gt;0,M5,C5/C21),0)</f>
        <v>2500</v>
      </c>
      <c r="N22" s="170" t="n">
        <f aca="false">IF(C5&gt;0,IF(N5&gt;0,N5,C5/C21),0)</f>
        <v>2500</v>
      </c>
      <c r="O22" s="170" t="n">
        <f aca="false">IF(C5&gt;0,IF(O5&gt;0,O5,C5/C21),0)</f>
        <v>2500</v>
      </c>
      <c r="P22" s="178"/>
    </row>
    <row r="23" s="176" customFormat="true" ht="6" hidden="false" customHeight="true" outlineLevel="0" collapsed="false">
      <c r="A23" s="178"/>
      <c r="B23" s="333"/>
      <c r="C23" s="177"/>
      <c r="D23" s="177"/>
      <c r="E23" s="177"/>
      <c r="F23" s="177"/>
      <c r="G23" s="177"/>
      <c r="H23" s="177"/>
      <c r="I23" s="177"/>
      <c r="J23" s="177"/>
      <c r="K23" s="177"/>
      <c r="L23" s="177"/>
      <c r="M23" s="177"/>
      <c r="N23" s="177"/>
      <c r="O23" s="177"/>
      <c r="P23" s="178"/>
    </row>
    <row r="24" customFormat="false" ht="12" hidden="false" customHeight="false" outlineLevel="0" collapsed="false">
      <c r="A24" s="158"/>
      <c r="B24" s="334" t="s">
        <v>387</v>
      </c>
      <c r="C24" s="170" t="n">
        <f aca="false">SUM(D24:O24)</f>
        <v>0</v>
      </c>
      <c r="D24" s="171" t="n">
        <f aca="false">D7</f>
        <v>0</v>
      </c>
      <c r="E24" s="171" t="n">
        <f aca="false">E7</f>
        <v>0</v>
      </c>
      <c r="F24" s="171" t="n">
        <f aca="false">F7</f>
        <v>0</v>
      </c>
      <c r="G24" s="171" t="n">
        <f aca="false">G7</f>
        <v>0</v>
      </c>
      <c r="H24" s="171" t="n">
        <f aca="false">H7</f>
        <v>0</v>
      </c>
      <c r="I24" s="171" t="n">
        <f aca="false">I7</f>
        <v>0</v>
      </c>
      <c r="J24" s="171" t="n">
        <f aca="false">J7</f>
        <v>0</v>
      </c>
      <c r="K24" s="171" t="n">
        <f aca="false">K7</f>
        <v>0</v>
      </c>
      <c r="L24" s="171" t="n">
        <f aca="false">L7</f>
        <v>0</v>
      </c>
      <c r="M24" s="171" t="n">
        <f aca="false">M7</f>
        <v>0</v>
      </c>
      <c r="N24" s="171" t="n">
        <f aca="false">N7</f>
        <v>0</v>
      </c>
      <c r="O24" s="171" t="n">
        <f aca="false">O7</f>
        <v>0</v>
      </c>
      <c r="P24" s="158"/>
    </row>
    <row r="25" customFormat="false" ht="6" hidden="false" customHeight="true" outlineLevel="0" collapsed="false">
      <c r="A25" s="158"/>
      <c r="B25" s="334"/>
      <c r="C25" s="177"/>
      <c r="D25" s="177"/>
      <c r="E25" s="177"/>
      <c r="F25" s="177"/>
      <c r="G25" s="177"/>
      <c r="H25" s="177"/>
      <c r="I25" s="177"/>
      <c r="J25" s="177"/>
      <c r="K25" s="177"/>
      <c r="L25" s="177"/>
      <c r="M25" s="177"/>
      <c r="N25" s="177"/>
      <c r="O25" s="177"/>
      <c r="P25" s="158"/>
    </row>
    <row r="26" s="176" customFormat="true" ht="12" hidden="false" customHeight="false" outlineLevel="0" collapsed="false">
      <c r="A26" s="178"/>
      <c r="B26" s="333" t="s">
        <v>272</v>
      </c>
      <c r="C26" s="170" t="n">
        <f aca="false">SUM(D26:O26)</f>
        <v>0</v>
      </c>
      <c r="D26" s="170" t="n">
        <f aca="false">IF(C5&gt;0,IF(D5&gt;0,D9,C9/C21),0)</f>
        <v>0</v>
      </c>
      <c r="E26" s="170" t="n">
        <f aca="false">IF(C5&gt;0,IF(E5&gt;0,E9,C9/C21),0)</f>
        <v>0</v>
      </c>
      <c r="F26" s="170" t="n">
        <f aca="false">IF(C5&gt;0,IF(F5&gt;0,F9,C9/C21),0)</f>
        <v>0</v>
      </c>
      <c r="G26" s="170" t="n">
        <f aca="false">IF(C5&gt;0,IF(G5&gt;0,G9,C9/C21),0)</f>
        <v>0</v>
      </c>
      <c r="H26" s="170" t="n">
        <f aca="false">IF(C5&gt;0,IF(H5&gt;0,H9,C9/C21),0)</f>
        <v>0</v>
      </c>
      <c r="I26" s="170" t="n">
        <f aca="false">IF(C5&gt;0,IF(I5&gt;0,I9,C9/C21),0)</f>
        <v>0</v>
      </c>
      <c r="J26" s="170" t="n">
        <f aca="false">IF(C5&gt;0,IF(J5&gt;0,J9,C9/C21),0)</f>
        <v>0</v>
      </c>
      <c r="K26" s="170" t="n">
        <f aca="false">IF(C5&gt;0,IF(K5&gt;0,K9,C9/C21),0)</f>
        <v>0</v>
      </c>
      <c r="L26" s="170" t="n">
        <f aca="false">IF(C5&gt;0,IF(L5&gt;0,L9,C9/C21),0)</f>
        <v>0</v>
      </c>
      <c r="M26" s="170" t="n">
        <f aca="false">IF(C5&gt;0,IF(M5&gt;0,M9,C9/C21),0)</f>
        <v>0</v>
      </c>
      <c r="N26" s="170" t="n">
        <f aca="false">IF(C5&gt;0,IF(N5&gt;0,N9,C9/C21),0)</f>
        <v>0</v>
      </c>
      <c r="O26" s="170" t="n">
        <f aca="false">IF(C5&gt;0,IF(O5&gt;0,O9,C9/C21),0)</f>
        <v>0</v>
      </c>
      <c r="P26" s="178"/>
    </row>
    <row r="27" s="176" customFormat="true" ht="7.5" hidden="false" customHeight="true" outlineLevel="0" collapsed="false">
      <c r="A27" s="178"/>
      <c r="B27" s="333"/>
      <c r="C27" s="177"/>
      <c r="D27" s="177"/>
      <c r="E27" s="177"/>
      <c r="F27" s="177"/>
      <c r="G27" s="177"/>
      <c r="H27" s="177"/>
      <c r="I27" s="177"/>
      <c r="J27" s="177"/>
      <c r="K27" s="177"/>
      <c r="L27" s="177"/>
      <c r="M27" s="177"/>
      <c r="N27" s="177"/>
      <c r="O27" s="177"/>
      <c r="P27" s="178"/>
    </row>
    <row r="28" s="176" customFormat="true" ht="12" hidden="false" customHeight="false" outlineLevel="0" collapsed="false">
      <c r="A28" s="178"/>
      <c r="B28" s="332" t="s">
        <v>273</v>
      </c>
      <c r="C28" s="170" t="n">
        <f aca="false">SUM(D28:O28)</f>
        <v>30000</v>
      </c>
      <c r="D28" s="170" t="n">
        <f aca="false">D22+D24-D26</f>
        <v>2500</v>
      </c>
      <c r="E28" s="170" t="n">
        <f aca="false">E22+E24-E26</f>
        <v>2500</v>
      </c>
      <c r="F28" s="170" t="n">
        <f aca="false">F22+F24-F26</f>
        <v>2500</v>
      </c>
      <c r="G28" s="170" t="n">
        <f aca="false">G22+G24-G26</f>
        <v>2500</v>
      </c>
      <c r="H28" s="170" t="n">
        <f aca="false">H22+H24-H26</f>
        <v>2500</v>
      </c>
      <c r="I28" s="170" t="n">
        <f aca="false">I22+I24-I26</f>
        <v>2500</v>
      </c>
      <c r="J28" s="170" t="n">
        <f aca="false">J22+J24-J26</f>
        <v>2500</v>
      </c>
      <c r="K28" s="170" t="n">
        <f aca="false">K22+K24-K26</f>
        <v>2500</v>
      </c>
      <c r="L28" s="170" t="n">
        <f aca="false">L22+L24-L26</f>
        <v>2500</v>
      </c>
      <c r="M28" s="170" t="n">
        <f aca="false">M22+M24-M26</f>
        <v>2500</v>
      </c>
      <c r="N28" s="170" t="n">
        <f aca="false">N22+N24-N26</f>
        <v>2500</v>
      </c>
      <c r="O28" s="170" t="n">
        <f aca="false">O22+O24-O26</f>
        <v>2500</v>
      </c>
      <c r="P28" s="178"/>
    </row>
    <row r="29" s="176" customFormat="true" ht="6" hidden="false" customHeight="true" outlineLevel="0" collapsed="false">
      <c r="A29" s="178"/>
      <c r="B29" s="334"/>
      <c r="C29" s="177"/>
      <c r="D29" s="181"/>
      <c r="E29" s="181"/>
      <c r="F29" s="181"/>
      <c r="G29" s="181"/>
      <c r="H29" s="181"/>
      <c r="I29" s="181"/>
      <c r="J29" s="181"/>
      <c r="K29" s="181"/>
      <c r="L29" s="181"/>
      <c r="M29" s="181"/>
      <c r="N29" s="181"/>
      <c r="O29" s="181"/>
      <c r="P29" s="178"/>
    </row>
    <row r="30" customFormat="false" ht="12" hidden="false" customHeight="false" outlineLevel="0" collapsed="false">
      <c r="A30" s="158"/>
      <c r="B30" s="333" t="s">
        <v>388</v>
      </c>
      <c r="C30" s="170" t="n">
        <f aca="false">SUM(D30:O30)</f>
        <v>4200</v>
      </c>
      <c r="D30" s="170" t="n">
        <f aca="false">IF(C5&gt;0,IF(D5&gt;0,D13,C13/C21),0)</f>
        <v>120</v>
      </c>
      <c r="E30" s="170" t="n">
        <f aca="false">IF(C5&gt;0,IF(E5&gt;0,E13,C13/C21),0)</f>
        <v>600</v>
      </c>
      <c r="F30" s="170" t="n">
        <f aca="false">IF(C5&gt;0,IF(F5&gt;0,F13,C13/C21),0)</f>
        <v>0</v>
      </c>
      <c r="G30" s="170" t="n">
        <f aca="false">IF(C5&gt;0,IF(G5&gt;0,G13,C13/C21),0)</f>
        <v>480</v>
      </c>
      <c r="H30" s="170" t="n">
        <f aca="false">IF(C5&gt;0,IF(H5&gt;0,H13,C13/C21),0)</f>
        <v>300</v>
      </c>
      <c r="I30" s="170" t="n">
        <f aca="false">IF(C5&gt;0,IF(I5&gt;0,I13,C13/C21),0)</f>
        <v>0</v>
      </c>
      <c r="J30" s="170" t="n">
        <f aca="false">IF(C5&gt;0,IF(J5&gt;0,J13,C13/C21),0)</f>
        <v>600</v>
      </c>
      <c r="K30" s="170" t="n">
        <f aca="false">IF(C5&gt;0,IF(K5&gt;0,K13,C13/C21),0)</f>
        <v>120</v>
      </c>
      <c r="L30" s="170" t="n">
        <f aca="false">IF(C5&gt;0,IF(L5&gt;0,L13,C13/C21),0)</f>
        <v>0</v>
      </c>
      <c r="M30" s="170" t="n">
        <f aca="false">IF(C5&gt;0,IF(M5&gt;0,M13,C13/C21),0)</f>
        <v>480</v>
      </c>
      <c r="N30" s="170" t="n">
        <f aca="false">IF(C5&gt;0,IF(N5&gt;0,N13,C13/C21),0)</f>
        <v>600</v>
      </c>
      <c r="O30" s="170" t="n">
        <f aca="false">IF(C5&gt;0,IF(O5&gt;0,O13,C13/C21),0)</f>
        <v>900</v>
      </c>
      <c r="P30" s="158"/>
    </row>
    <row r="31" customFormat="false" ht="6" hidden="false" customHeight="true" outlineLevel="0" collapsed="false">
      <c r="A31" s="158"/>
      <c r="B31" s="333"/>
      <c r="C31" s="177"/>
      <c r="D31" s="177"/>
      <c r="E31" s="177"/>
      <c r="F31" s="177"/>
      <c r="G31" s="177"/>
      <c r="H31" s="177"/>
      <c r="I31" s="177"/>
      <c r="J31" s="177"/>
      <c r="K31" s="177"/>
      <c r="L31" s="177"/>
      <c r="M31" s="177"/>
      <c r="N31" s="177"/>
      <c r="O31" s="177"/>
      <c r="P31" s="158"/>
    </row>
    <row r="32" customFormat="false" ht="12" hidden="false" customHeight="false" outlineLevel="0" collapsed="false">
      <c r="A32" s="158"/>
      <c r="B32" s="332" t="s">
        <v>289</v>
      </c>
      <c r="C32" s="170" t="n">
        <f aca="false">SUM(D32:O32)</f>
        <v>25800</v>
      </c>
      <c r="D32" s="170" t="n">
        <f aca="false">D28-D30</f>
        <v>2380</v>
      </c>
      <c r="E32" s="170" t="n">
        <f aca="false">E28-E30</f>
        <v>1900</v>
      </c>
      <c r="F32" s="170" t="n">
        <f aca="false">F28-F30</f>
        <v>2500</v>
      </c>
      <c r="G32" s="170" t="n">
        <f aca="false">G28-G30</f>
        <v>2020</v>
      </c>
      <c r="H32" s="170" t="n">
        <f aca="false">H28-H30</f>
        <v>2200</v>
      </c>
      <c r="I32" s="170" t="n">
        <f aca="false">I28-I30</f>
        <v>2500</v>
      </c>
      <c r="J32" s="170" t="n">
        <f aca="false">J28-J30</f>
        <v>1900</v>
      </c>
      <c r="K32" s="170" t="n">
        <f aca="false">K28-K30</f>
        <v>2380</v>
      </c>
      <c r="L32" s="170" t="n">
        <f aca="false">L28-L30</f>
        <v>2500</v>
      </c>
      <c r="M32" s="170" t="n">
        <f aca="false">M28-M30</f>
        <v>2020</v>
      </c>
      <c r="N32" s="170" t="n">
        <f aca="false">N28-N30</f>
        <v>1900</v>
      </c>
      <c r="O32" s="170" t="n">
        <f aca="false">O28-O30</f>
        <v>1600</v>
      </c>
      <c r="P32" s="158"/>
    </row>
    <row r="33" customFormat="false" ht="12" hidden="false" customHeight="false" outlineLevel="0" collapsed="false">
      <c r="A33" s="158"/>
      <c r="B33" s="334" t="s">
        <v>290</v>
      </c>
      <c r="C33" s="170" t="n">
        <f aca="false">SUM(D33:O33)</f>
        <v>0</v>
      </c>
      <c r="D33" s="171" t="n">
        <f aca="false">D16</f>
        <v>0</v>
      </c>
      <c r="E33" s="171" t="n">
        <f aca="false">E16</f>
        <v>0</v>
      </c>
      <c r="F33" s="171" t="n">
        <f aca="false">F16</f>
        <v>0</v>
      </c>
      <c r="G33" s="171" t="n">
        <f aca="false">G16</f>
        <v>0</v>
      </c>
      <c r="H33" s="171" t="n">
        <f aca="false">H16</f>
        <v>0</v>
      </c>
      <c r="I33" s="171" t="n">
        <f aca="false">I16</f>
        <v>0</v>
      </c>
      <c r="J33" s="171" t="n">
        <f aca="false">J16</f>
        <v>0</v>
      </c>
      <c r="K33" s="171" t="n">
        <f aca="false">K16</f>
        <v>0</v>
      </c>
      <c r="L33" s="171" t="n">
        <f aca="false">L16</f>
        <v>0</v>
      </c>
      <c r="M33" s="171" t="n">
        <f aca="false">M16</f>
        <v>0</v>
      </c>
      <c r="N33" s="171" t="n">
        <f aca="false">N16</f>
        <v>0</v>
      </c>
      <c r="O33" s="171" t="n">
        <f aca="false">O16</f>
        <v>0</v>
      </c>
      <c r="P33" s="158"/>
    </row>
    <row r="34" customFormat="false" ht="12" hidden="false" customHeight="false" outlineLevel="0" collapsed="false">
      <c r="A34" s="158"/>
      <c r="B34" s="335" t="s">
        <v>291</v>
      </c>
      <c r="C34" s="170" t="n">
        <f aca="false">SUM(D34:O34)</f>
        <v>25800</v>
      </c>
      <c r="D34" s="170" t="n">
        <f aca="false">D32+D33</f>
        <v>2380</v>
      </c>
      <c r="E34" s="170" t="n">
        <f aca="false">E32+E33</f>
        <v>1900</v>
      </c>
      <c r="F34" s="170" t="n">
        <f aca="false">F32+F33</f>
        <v>2500</v>
      </c>
      <c r="G34" s="170" t="n">
        <f aca="false">G32+G33</f>
        <v>2020</v>
      </c>
      <c r="H34" s="170" t="n">
        <f aca="false">H32+H33</f>
        <v>2200</v>
      </c>
      <c r="I34" s="170" t="n">
        <f aca="false">I32+I33</f>
        <v>2500</v>
      </c>
      <c r="J34" s="170" t="n">
        <f aca="false">J32+J33</f>
        <v>1900</v>
      </c>
      <c r="K34" s="170" t="n">
        <f aca="false">K32+K33</f>
        <v>2380</v>
      </c>
      <c r="L34" s="170" t="n">
        <f aca="false">L32+L33</f>
        <v>2500</v>
      </c>
      <c r="M34" s="170" t="n">
        <f aca="false">M32+M33</f>
        <v>2020</v>
      </c>
      <c r="N34" s="170" t="n">
        <f aca="false">N32+N33</f>
        <v>1900</v>
      </c>
      <c r="O34" s="170" t="n">
        <f aca="false">O32+O33</f>
        <v>1600</v>
      </c>
      <c r="P34" s="158"/>
    </row>
    <row r="35" customFormat="false" ht="6" hidden="false" customHeight="true" outlineLevel="0" collapsed="false">
      <c r="A35" s="158"/>
      <c r="B35" s="332"/>
      <c r="C35" s="177"/>
      <c r="D35" s="177"/>
      <c r="E35" s="177"/>
      <c r="F35" s="177"/>
      <c r="G35" s="177"/>
      <c r="H35" s="177"/>
      <c r="I35" s="177"/>
      <c r="J35" s="177"/>
      <c r="K35" s="177"/>
      <c r="L35" s="177"/>
      <c r="M35" s="177"/>
      <c r="N35" s="177"/>
      <c r="O35" s="177"/>
      <c r="P35" s="158"/>
    </row>
    <row r="36" customFormat="false" ht="12" hidden="false" customHeight="true" outlineLevel="0" collapsed="false">
      <c r="A36" s="158"/>
      <c r="B36" s="338" t="s">
        <v>390</v>
      </c>
      <c r="C36" s="338"/>
      <c r="D36" s="158"/>
      <c r="E36" s="158"/>
      <c r="F36" s="158"/>
      <c r="G36" s="158"/>
      <c r="H36" s="158"/>
      <c r="I36" s="158"/>
      <c r="J36" s="158"/>
      <c r="K36" s="158"/>
      <c r="L36" s="158"/>
      <c r="M36" s="158"/>
      <c r="N36" s="158"/>
      <c r="O36" s="158"/>
      <c r="P36" s="158"/>
    </row>
    <row r="37" customFormat="false" ht="12" hidden="false" customHeight="false" outlineLevel="0" collapsed="false">
      <c r="A37" s="158"/>
      <c r="B37" s="169" t="s">
        <v>391</v>
      </c>
      <c r="C37" s="339" t="n">
        <f aca="false">'Profit &amp; Loss Account'!B33+'Profit &amp; Loss Account'!B34</f>
        <v>0</v>
      </c>
      <c r="D37" s="158"/>
      <c r="E37" s="158"/>
      <c r="F37" s="158"/>
      <c r="G37" s="158"/>
      <c r="H37" s="158"/>
      <c r="I37" s="158"/>
      <c r="J37" s="158"/>
      <c r="K37" s="158"/>
      <c r="L37" s="158"/>
      <c r="M37" s="158"/>
      <c r="N37" s="158"/>
      <c r="O37" s="158"/>
      <c r="P37" s="158"/>
    </row>
    <row r="38" customFormat="false" ht="12" hidden="false" customHeight="false" outlineLevel="0" collapsed="false">
      <c r="A38" s="158"/>
      <c r="B38" s="169" t="s">
        <v>392</v>
      </c>
      <c r="C38" s="339" t="n">
        <f aca="false">[1]Schedule!$Q$1+[1]Schedule!$R$1+[1]Schedule!$Y$1-[1]Schedule!$Z$1</f>
        <v>0</v>
      </c>
      <c r="D38" s="158"/>
      <c r="E38" s="158"/>
      <c r="F38" s="158"/>
      <c r="G38" s="158"/>
      <c r="H38" s="158"/>
      <c r="I38" s="158"/>
      <c r="J38" s="158"/>
      <c r="K38" s="158"/>
      <c r="L38" s="158"/>
      <c r="M38" s="158"/>
      <c r="N38" s="158"/>
      <c r="O38" s="158"/>
      <c r="P38" s="158"/>
    </row>
    <row r="39" customFormat="false" ht="12" hidden="false" customHeight="false" outlineLevel="0" collapsed="false">
      <c r="A39" s="158"/>
      <c r="B39" s="169" t="s">
        <v>393</v>
      </c>
      <c r="C39" s="339" t="n">
        <f aca="false">C34+C37-C38</f>
        <v>25800</v>
      </c>
      <c r="D39" s="158"/>
      <c r="E39" s="158"/>
      <c r="F39" s="158"/>
      <c r="G39" s="158"/>
      <c r="H39" s="158"/>
      <c r="I39" s="158"/>
      <c r="J39" s="158"/>
      <c r="K39" s="158"/>
      <c r="L39" s="158"/>
      <c r="M39" s="158"/>
      <c r="N39" s="158"/>
      <c r="O39" s="158"/>
      <c r="P39" s="158"/>
    </row>
    <row r="40" customFormat="false" ht="12" hidden="false" customHeight="false" outlineLevel="0" collapsed="false">
      <c r="A40" s="158"/>
      <c r="B40" s="182" t="s">
        <v>394</v>
      </c>
      <c r="C40" s="339" t="n">
        <f aca="false">Admin!N$4</f>
        <v>12570</v>
      </c>
      <c r="D40" s="158"/>
      <c r="E40" s="158"/>
      <c r="F40" s="158"/>
      <c r="G40" s="158"/>
      <c r="H40" s="158"/>
      <c r="I40" s="158"/>
      <c r="J40" s="158"/>
      <c r="K40" s="158"/>
      <c r="L40" s="158"/>
      <c r="M40" s="158"/>
      <c r="N40" s="158"/>
      <c r="O40" s="158"/>
      <c r="P40" s="158"/>
    </row>
    <row r="41" customFormat="false" ht="12" hidden="false" customHeight="false" outlineLevel="0" collapsed="false">
      <c r="A41" s="158"/>
      <c r="B41" s="182" t="s">
        <v>395</v>
      </c>
      <c r="C41" s="339" t="n">
        <f aca="false">IF((C39&gt;C40),(C39-C40),0)</f>
        <v>13230</v>
      </c>
      <c r="D41" s="158"/>
      <c r="E41" s="158"/>
      <c r="F41" s="158"/>
      <c r="G41" s="158"/>
      <c r="H41" s="158"/>
      <c r="I41" s="158"/>
      <c r="J41" s="158"/>
      <c r="K41" s="158"/>
      <c r="L41" s="158"/>
      <c r="M41" s="158"/>
      <c r="N41" s="158"/>
      <c r="O41" s="158"/>
      <c r="P41" s="158"/>
    </row>
    <row r="42" customFormat="false" ht="12" hidden="false" customHeight="false" outlineLevel="0" collapsed="false">
      <c r="A42" s="158"/>
      <c r="B42" s="182" t="s">
        <v>396</v>
      </c>
      <c r="C42" s="339" t="n">
        <f aca="false">IF((C41&gt;0),(IF((C41&lt;Admin!N$12),C41*Admin!N$6,Admin!N$12*Admin!N$6)),0)</f>
        <v>2646</v>
      </c>
      <c r="D42" s="340"/>
      <c r="E42" s="158"/>
      <c r="F42" s="158"/>
      <c r="G42" s="158"/>
      <c r="H42" s="158"/>
      <c r="I42" s="158"/>
      <c r="J42" s="158"/>
      <c r="K42" s="158"/>
      <c r="L42" s="158"/>
      <c r="M42" s="158"/>
      <c r="N42" s="158"/>
      <c r="O42" s="158"/>
      <c r="P42" s="158"/>
    </row>
    <row r="43" customFormat="false" ht="12" hidden="false" customHeight="false" outlineLevel="0" collapsed="false">
      <c r="A43" s="158"/>
      <c r="B43" s="182" t="s">
        <v>397</v>
      </c>
      <c r="C43" s="339" t="n">
        <f aca="false">IF((C41&gt;Admin!N$12),((C41-Admin!N$12)*Admin!N$7),0)</f>
        <v>0</v>
      </c>
      <c r="D43" s="158"/>
      <c r="E43" s="158"/>
      <c r="F43" s="158"/>
      <c r="G43" s="158"/>
      <c r="H43" s="158"/>
      <c r="I43" s="158"/>
      <c r="J43" s="158"/>
      <c r="K43" s="158"/>
      <c r="L43" s="158"/>
      <c r="M43" s="158"/>
      <c r="N43" s="158"/>
      <c r="O43" s="158"/>
      <c r="P43" s="158"/>
    </row>
    <row r="44" customFormat="false" ht="12" hidden="false" customHeight="false" outlineLevel="0" collapsed="false">
      <c r="A44" s="158"/>
      <c r="B44" s="182" t="s">
        <v>398</v>
      </c>
      <c r="C44" s="339" t="n">
        <f aca="false">IF((C41&gt;0),IF(C41&gt;Admin!N12,Admin!N12*Admin!L20+(C41-Admin!N12)*Admin!L23,C41*Admin!L$20),0)</f>
        <v>1287.279</v>
      </c>
      <c r="D44" s="158"/>
      <c r="E44" s="158"/>
      <c r="F44" s="158"/>
      <c r="G44" s="158"/>
      <c r="H44" s="158"/>
      <c r="I44" s="158"/>
      <c r="J44" s="158"/>
      <c r="K44" s="158"/>
      <c r="L44" s="158"/>
      <c r="M44" s="158"/>
      <c r="N44" s="158"/>
      <c r="O44" s="158"/>
      <c r="P44" s="158"/>
    </row>
    <row r="45" customFormat="false" ht="6" hidden="false" customHeight="true" outlineLevel="0" collapsed="false">
      <c r="A45" s="158"/>
      <c r="B45" s="182"/>
      <c r="C45" s="339"/>
      <c r="D45" s="158"/>
      <c r="E45" s="158"/>
      <c r="F45" s="158"/>
      <c r="G45" s="158"/>
      <c r="H45" s="158"/>
      <c r="I45" s="158"/>
      <c r="J45" s="158"/>
      <c r="K45" s="158"/>
      <c r="L45" s="158"/>
      <c r="M45" s="158"/>
      <c r="N45" s="158"/>
      <c r="O45" s="158"/>
      <c r="P45" s="158"/>
    </row>
    <row r="46" customFormat="false" ht="12" hidden="false" customHeight="false" outlineLevel="0" collapsed="false">
      <c r="A46" s="158"/>
      <c r="B46" s="182" t="s">
        <v>399</v>
      </c>
      <c r="C46" s="341" t="n">
        <f aca="false">C42+C43+C44</f>
        <v>3933.279</v>
      </c>
      <c r="D46" s="158"/>
      <c r="E46" s="158"/>
      <c r="F46" s="158"/>
      <c r="G46" s="158"/>
      <c r="H46" s="158"/>
      <c r="I46" s="158"/>
      <c r="J46" s="158"/>
      <c r="K46" s="158"/>
      <c r="L46" s="158"/>
      <c r="M46" s="158"/>
      <c r="N46" s="158"/>
      <c r="O46" s="158"/>
      <c r="P46" s="158"/>
    </row>
    <row r="47" customFormat="false" ht="12" hidden="false" customHeight="false" outlineLevel="0" collapsed="false">
      <c r="A47" s="158"/>
      <c r="B47" s="279"/>
      <c r="C47" s="186"/>
      <c r="D47" s="158"/>
      <c r="E47" s="158"/>
      <c r="F47" s="158"/>
      <c r="G47" s="158"/>
      <c r="H47" s="158"/>
      <c r="I47" s="158"/>
      <c r="J47" s="158"/>
      <c r="K47" s="158"/>
      <c r="L47" s="158"/>
      <c r="M47" s="158"/>
      <c r="N47" s="158"/>
      <c r="O47" s="158"/>
      <c r="P47" s="158"/>
    </row>
  </sheetData>
  <mergeCells count="27">
    <mergeCell ref="B2:B4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B19:B21"/>
    <mergeCell ref="D19:D20"/>
    <mergeCell ref="E19:E20"/>
    <mergeCell ref="F19:F20"/>
    <mergeCell ref="G19:G20"/>
    <mergeCell ref="H19:H20"/>
    <mergeCell ref="I19:I20"/>
    <mergeCell ref="J19:J20"/>
    <mergeCell ref="K19:K20"/>
    <mergeCell ref="L19:L20"/>
    <mergeCell ref="M19:M20"/>
    <mergeCell ref="N19:N20"/>
    <mergeCell ref="O19:O20"/>
    <mergeCell ref="B36:C36"/>
  </mergeCells>
  <printOptions headings="false" gridLines="false" gridLinesSet="true" horizontalCentered="true" verticalCentered="false"/>
  <pageMargins left="0.157638888888889" right="0.157638888888889" top="0.590972222222222" bottom="0.551388888888889" header="0.157638888888889" footer="0.275694444444444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&amp;C&amp;"Arial,Bold"&amp;11Forecast Monthly Profit Loss Account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50" width="1.5"/>
    <col collapsed="false" customWidth="true" hidden="false" outlineLevel="0" max="2" min="2" style="342" width="10.15"/>
    <col collapsed="false" customWidth="true" hidden="false" outlineLevel="0" max="3" min="3" style="50" width="4.66"/>
    <col collapsed="false" customWidth="true" hidden="false" outlineLevel="0" max="5" min="4" style="50" width="11.15"/>
    <col collapsed="false" customWidth="true" hidden="false" outlineLevel="0" max="6" min="6" style="50" width="10.99"/>
    <col collapsed="false" customWidth="false" hidden="false" outlineLevel="0" max="7" min="7" style="343" width="9.15"/>
    <col collapsed="false" customWidth="true" hidden="false" outlineLevel="0" max="8" min="8" style="50" width="4.66"/>
    <col collapsed="false" customWidth="false" hidden="false" outlineLevel="0" max="12" min="9" style="50" width="9.15"/>
    <col collapsed="false" customWidth="true" hidden="false" outlineLevel="0" max="13" min="13" style="50" width="13.49"/>
    <col collapsed="false" customWidth="false" hidden="false" outlineLevel="0" max="14" min="14" style="50" width="9.15"/>
    <col collapsed="false" customWidth="true" hidden="false" outlineLevel="0" max="15" min="15" style="50" width="4.33"/>
    <col collapsed="false" customWidth="false" hidden="false" outlineLevel="0" max="257" min="16" style="50" width="9.15"/>
  </cols>
  <sheetData>
    <row r="1" customFormat="false" ht="12" hidden="false" customHeight="true" outlineLevel="0" collapsed="false">
      <c r="A1" s="63"/>
      <c r="B1" s="344" t="s">
        <v>400</v>
      </c>
      <c r="C1" s="63"/>
      <c r="D1" s="345"/>
      <c r="E1" s="345"/>
      <c r="F1" s="345"/>
      <c r="G1" s="346"/>
      <c r="H1" s="63"/>
      <c r="I1" s="63"/>
      <c r="J1" s="63"/>
      <c r="K1" s="63"/>
      <c r="L1" s="63"/>
      <c r="M1" s="63"/>
      <c r="N1" s="63"/>
      <c r="O1" s="63"/>
    </row>
    <row r="2" customFormat="false" ht="12" hidden="false" customHeight="true" outlineLevel="0" collapsed="false">
      <c r="A2" s="63"/>
      <c r="B2" s="347" t="n">
        <v>44620</v>
      </c>
      <c r="C2" s="63"/>
      <c r="D2" s="348" t="s">
        <v>401</v>
      </c>
      <c r="E2" s="348"/>
      <c r="F2" s="348"/>
      <c r="G2" s="349" t="str">
        <f aca="false">B23</f>
        <v>2022-23</v>
      </c>
      <c r="H2" s="63"/>
      <c r="I2" s="63"/>
      <c r="J2" s="350" t="s">
        <v>402</v>
      </c>
      <c r="K2" s="350"/>
      <c r="L2" s="351" t="str">
        <f aca="false">G2</f>
        <v>2022-23</v>
      </c>
      <c r="M2" s="63"/>
      <c r="N2" s="63"/>
      <c r="O2" s="63"/>
    </row>
    <row r="3" customFormat="false" ht="12" hidden="false" customHeight="true" outlineLevel="0" collapsed="false">
      <c r="A3" s="63"/>
      <c r="B3" s="347" t="n">
        <v>44651</v>
      </c>
      <c r="C3" s="63"/>
      <c r="D3" s="63"/>
      <c r="E3" s="63"/>
      <c r="F3" s="63"/>
      <c r="G3" s="352"/>
      <c r="H3" s="63"/>
      <c r="I3" s="63"/>
      <c r="J3" s="353"/>
      <c r="K3" s="353"/>
      <c r="L3" s="346"/>
      <c r="M3" s="63"/>
      <c r="N3" s="63"/>
      <c r="O3" s="63"/>
    </row>
    <row r="4" customFormat="false" ht="12" hidden="false" customHeight="true" outlineLevel="0" collapsed="false">
      <c r="A4" s="63"/>
      <c r="B4" s="354" t="n">
        <v>44657</v>
      </c>
      <c r="C4" s="63"/>
      <c r="D4" s="355" t="s">
        <v>81</v>
      </c>
      <c r="E4" s="355"/>
      <c r="F4" s="355"/>
      <c r="G4" s="356" t="n">
        <v>1</v>
      </c>
      <c r="H4" s="63"/>
      <c r="I4" s="355" t="s">
        <v>403</v>
      </c>
      <c r="J4" s="355"/>
      <c r="K4" s="355"/>
      <c r="L4" s="355"/>
      <c r="M4" s="355"/>
      <c r="N4" s="357" t="n">
        <v>12570</v>
      </c>
      <c r="O4" s="352" t="s">
        <v>32</v>
      </c>
    </row>
    <row r="5" customFormat="false" ht="12" hidden="false" customHeight="true" outlineLevel="0" collapsed="false">
      <c r="A5" s="63"/>
      <c r="B5" s="347" t="n">
        <v>44681</v>
      </c>
      <c r="C5" s="63"/>
      <c r="D5" s="355" t="s">
        <v>404</v>
      </c>
      <c r="E5" s="355"/>
      <c r="F5" s="355"/>
      <c r="G5" s="356" t="n">
        <v>0.18</v>
      </c>
      <c r="H5" s="63"/>
      <c r="I5" s="63"/>
      <c r="J5" s="63"/>
      <c r="K5" s="63"/>
      <c r="L5" s="63"/>
      <c r="M5" s="63"/>
      <c r="N5" s="352"/>
      <c r="O5" s="352"/>
    </row>
    <row r="6" customFormat="false" ht="12" hidden="false" customHeight="true" outlineLevel="0" collapsed="false">
      <c r="A6" s="63"/>
      <c r="B6" s="347" t="n">
        <v>44712</v>
      </c>
      <c r="C6" s="63"/>
      <c r="D6" s="63"/>
      <c r="E6" s="63"/>
      <c r="F6" s="63"/>
      <c r="G6" s="352"/>
      <c r="H6" s="63"/>
      <c r="I6" s="355" t="s">
        <v>405</v>
      </c>
      <c r="J6" s="355"/>
      <c r="K6" s="355"/>
      <c r="L6" s="355"/>
      <c r="M6" s="355"/>
      <c r="N6" s="356" t="n">
        <v>0.2</v>
      </c>
      <c r="O6" s="352" t="s">
        <v>406</v>
      </c>
    </row>
    <row r="7" customFormat="false" ht="12" hidden="false" customHeight="true" outlineLevel="0" collapsed="false">
      <c r="A7" s="63"/>
      <c r="B7" s="347" t="n">
        <v>44742</v>
      </c>
      <c r="C7" s="63"/>
      <c r="D7" s="355" t="s">
        <v>407</v>
      </c>
      <c r="E7" s="355"/>
      <c r="F7" s="355"/>
      <c r="G7" s="352"/>
      <c r="H7" s="63"/>
      <c r="I7" s="355" t="s">
        <v>408</v>
      </c>
      <c r="J7" s="355"/>
      <c r="K7" s="355"/>
      <c r="L7" s="355"/>
      <c r="M7" s="355"/>
      <c r="N7" s="356" t="n">
        <v>0.4</v>
      </c>
      <c r="O7" s="352" t="s">
        <v>406</v>
      </c>
    </row>
    <row r="8" customFormat="false" ht="12" hidden="false" customHeight="true" outlineLevel="0" collapsed="false">
      <c r="A8" s="63"/>
      <c r="B8" s="347" t="n">
        <v>44773</v>
      </c>
      <c r="C8" s="63"/>
      <c r="D8" s="63" t="s">
        <v>409</v>
      </c>
      <c r="E8" s="358" t="n">
        <v>12000</v>
      </c>
      <c r="F8" s="63" t="s">
        <v>410</v>
      </c>
      <c r="G8" s="358" t="n">
        <v>3000</v>
      </c>
      <c r="H8" s="63"/>
      <c r="I8" s="63"/>
      <c r="J8" s="63"/>
      <c r="K8" s="63"/>
      <c r="L8" s="63"/>
      <c r="M8" s="63"/>
      <c r="N8" s="352"/>
      <c r="O8" s="352"/>
    </row>
    <row r="9" customFormat="false" ht="12" hidden="false" customHeight="true" outlineLevel="0" collapsed="false">
      <c r="A9" s="63"/>
      <c r="B9" s="347" t="n">
        <v>44804</v>
      </c>
      <c r="C9" s="63"/>
      <c r="D9" s="63"/>
      <c r="E9" s="352"/>
      <c r="F9" s="63"/>
      <c r="G9" s="352"/>
      <c r="H9" s="63"/>
      <c r="I9" s="355" t="s">
        <v>411</v>
      </c>
      <c r="J9" s="355"/>
      <c r="K9" s="355"/>
      <c r="L9" s="359" t="s">
        <v>412</v>
      </c>
      <c r="M9" s="359" t="s">
        <v>413</v>
      </c>
      <c r="N9" s="360" t="s">
        <v>414</v>
      </c>
      <c r="O9" s="352"/>
    </row>
    <row r="10" customFormat="false" ht="12" hidden="false" customHeight="true" outlineLevel="0" collapsed="false">
      <c r="A10" s="63"/>
      <c r="B10" s="347" t="n">
        <v>44834</v>
      </c>
      <c r="C10" s="63"/>
      <c r="D10" s="63"/>
      <c r="E10" s="352"/>
      <c r="F10" s="63"/>
      <c r="G10" s="352"/>
      <c r="H10" s="63"/>
      <c r="I10" s="63"/>
      <c r="J10" s="63"/>
      <c r="K10" s="63"/>
      <c r="L10" s="63"/>
      <c r="M10" s="63"/>
      <c r="N10" s="352"/>
      <c r="O10" s="352"/>
    </row>
    <row r="11" customFormat="false" ht="12" hidden="false" customHeight="true" outlineLevel="0" collapsed="false">
      <c r="A11" s="63"/>
      <c r="B11" s="347" t="n">
        <v>44865</v>
      </c>
      <c r="C11" s="63"/>
      <c r="D11" s="348" t="s">
        <v>415</v>
      </c>
      <c r="E11" s="348"/>
      <c r="F11" s="348"/>
      <c r="G11" s="352" t="s">
        <v>406</v>
      </c>
      <c r="H11" s="63"/>
      <c r="I11" s="63" t="s">
        <v>416</v>
      </c>
      <c r="J11" s="63"/>
      <c r="K11" s="361" t="n">
        <v>0.2</v>
      </c>
      <c r="L11" s="352" t="n">
        <f aca="false">N11</f>
        <v>0</v>
      </c>
      <c r="M11" s="352" t="n">
        <v>37700</v>
      </c>
      <c r="N11" s="358" t="n">
        <v>0</v>
      </c>
      <c r="O11" s="352"/>
    </row>
    <row r="12" customFormat="false" ht="12" hidden="false" customHeight="true" outlineLevel="0" collapsed="false">
      <c r="A12" s="63"/>
      <c r="B12" s="347" t="n">
        <v>44895</v>
      </c>
      <c r="C12" s="63"/>
      <c r="D12" s="63"/>
      <c r="E12" s="63"/>
      <c r="F12" s="63"/>
      <c r="G12" s="352"/>
      <c r="H12" s="63"/>
      <c r="I12" s="63" t="s">
        <v>417</v>
      </c>
      <c r="J12" s="63"/>
      <c r="K12" s="361" t="n">
        <v>0</v>
      </c>
      <c r="L12" s="352" t="n">
        <v>37701</v>
      </c>
      <c r="M12" s="63"/>
      <c r="N12" s="358" t="n">
        <v>37701</v>
      </c>
      <c r="O12" s="352"/>
    </row>
    <row r="13" customFormat="false" ht="12" hidden="false" customHeight="true" outlineLevel="0" collapsed="false">
      <c r="A13" s="63"/>
      <c r="B13" s="347" t="n">
        <v>44926</v>
      </c>
      <c r="C13" s="63"/>
      <c r="D13" s="355" t="s">
        <v>418</v>
      </c>
      <c r="E13" s="355"/>
      <c r="F13" s="355"/>
      <c r="G13" s="356" t="n">
        <v>0</v>
      </c>
      <c r="H13" s="63"/>
      <c r="I13" s="63"/>
      <c r="J13" s="63"/>
      <c r="K13" s="63"/>
      <c r="L13" s="63"/>
      <c r="M13" s="63"/>
      <c r="N13" s="63"/>
      <c r="O13" s="63"/>
    </row>
    <row r="14" customFormat="false" ht="12" hidden="false" customHeight="true" outlineLevel="0" collapsed="false">
      <c r="A14" s="63"/>
      <c r="B14" s="347" t="n">
        <v>44957</v>
      </c>
      <c r="C14" s="63"/>
      <c r="D14" s="355" t="s">
        <v>419</v>
      </c>
      <c r="E14" s="355"/>
      <c r="F14" s="355"/>
      <c r="G14" s="356" t="n">
        <v>0.1</v>
      </c>
      <c r="H14" s="63"/>
      <c r="I14" s="348" t="s">
        <v>420</v>
      </c>
      <c r="J14" s="348"/>
      <c r="K14" s="348"/>
      <c r="L14" s="351" t="str">
        <f aca="false">G2</f>
        <v>2022-23</v>
      </c>
      <c r="M14" s="63"/>
      <c r="N14" s="63"/>
      <c r="O14" s="63"/>
    </row>
    <row r="15" customFormat="false" ht="12" hidden="false" customHeight="true" outlineLevel="0" collapsed="false">
      <c r="A15" s="63"/>
      <c r="B15" s="347" t="n">
        <v>44985</v>
      </c>
      <c r="C15" s="63"/>
      <c r="D15" s="355" t="s">
        <v>421</v>
      </c>
      <c r="E15" s="355"/>
      <c r="F15" s="355"/>
      <c r="G15" s="356" t="n">
        <v>0.2</v>
      </c>
      <c r="H15" s="63"/>
      <c r="I15" s="63"/>
      <c r="J15" s="63"/>
      <c r="K15" s="63"/>
      <c r="L15" s="63"/>
      <c r="M15" s="63"/>
      <c r="N15" s="63"/>
      <c r="O15" s="63"/>
    </row>
    <row r="16" customFormat="false" ht="12" hidden="false" customHeight="true" outlineLevel="0" collapsed="false">
      <c r="A16" s="63"/>
      <c r="B16" s="347" t="n">
        <v>45016</v>
      </c>
      <c r="C16" s="63"/>
      <c r="D16" s="355" t="s">
        <v>422</v>
      </c>
      <c r="E16" s="355"/>
      <c r="F16" s="355"/>
      <c r="G16" s="356" t="n">
        <v>0.33</v>
      </c>
      <c r="H16" s="63"/>
      <c r="I16" s="355" t="s">
        <v>423</v>
      </c>
      <c r="J16" s="355"/>
      <c r="K16" s="355"/>
      <c r="L16" s="362" t="n">
        <v>3.15</v>
      </c>
      <c r="M16" s="63" t="s">
        <v>424</v>
      </c>
      <c r="N16" s="63"/>
      <c r="O16" s="63"/>
    </row>
    <row r="17" customFormat="false" ht="12" hidden="false" customHeight="true" outlineLevel="0" collapsed="false">
      <c r="A17" s="63"/>
      <c r="B17" s="354" t="n">
        <v>45021</v>
      </c>
      <c r="C17" s="63"/>
      <c r="D17" s="355" t="s">
        <v>425</v>
      </c>
      <c r="E17" s="355"/>
      <c r="F17" s="355"/>
      <c r="G17" s="356" t="n">
        <v>0.25</v>
      </c>
      <c r="H17" s="63"/>
      <c r="I17" s="63"/>
      <c r="J17" s="63"/>
      <c r="K17" s="63"/>
      <c r="L17" s="363"/>
      <c r="M17" s="63"/>
      <c r="N17" s="63"/>
      <c r="O17" s="63"/>
    </row>
    <row r="18" customFormat="false" ht="12" hidden="false" customHeight="true" outlineLevel="0" collapsed="false">
      <c r="A18" s="63"/>
      <c r="B18" s="347" t="n">
        <v>45046</v>
      </c>
      <c r="C18" s="63"/>
      <c r="D18" s="63"/>
      <c r="E18" s="63"/>
      <c r="F18" s="63"/>
      <c r="G18" s="352"/>
      <c r="H18" s="63"/>
      <c r="I18" s="63"/>
      <c r="J18" s="63"/>
      <c r="K18" s="63"/>
      <c r="L18" s="63"/>
      <c r="M18" s="63"/>
      <c r="N18" s="63"/>
      <c r="O18" s="63"/>
    </row>
    <row r="19" customFormat="false" ht="12" hidden="false" customHeight="true" outlineLevel="0" collapsed="false">
      <c r="A19" s="63"/>
      <c r="B19" s="347" t="n">
        <v>45077</v>
      </c>
      <c r="C19" s="63"/>
      <c r="D19" s="348" t="s">
        <v>426</v>
      </c>
      <c r="E19" s="348"/>
      <c r="F19" s="352" t="s">
        <v>427</v>
      </c>
      <c r="G19" s="352" t="s">
        <v>428</v>
      </c>
      <c r="H19" s="63"/>
      <c r="I19" s="364" t="s">
        <v>429</v>
      </c>
      <c r="J19" s="364"/>
      <c r="K19" s="364"/>
      <c r="L19" s="63"/>
      <c r="M19" s="365" t="s">
        <v>430</v>
      </c>
      <c r="N19" s="63"/>
      <c r="O19" s="63"/>
    </row>
    <row r="20" customFormat="false" ht="12" hidden="false" customHeight="true" outlineLevel="0" collapsed="false">
      <c r="A20" s="63"/>
      <c r="B20" s="347" t="n">
        <v>45107</v>
      </c>
      <c r="C20" s="63"/>
      <c r="D20" s="346"/>
      <c r="E20" s="346"/>
      <c r="F20" s="352"/>
      <c r="G20" s="352"/>
      <c r="H20" s="63"/>
      <c r="I20" s="364"/>
      <c r="J20" s="364"/>
      <c r="K20" s="364"/>
      <c r="L20" s="366" t="n">
        <v>0.0973</v>
      </c>
      <c r="M20" s="365"/>
      <c r="N20" s="358" t="n">
        <v>11908</v>
      </c>
      <c r="O20" s="352" t="s">
        <v>32</v>
      </c>
    </row>
    <row r="21" customFormat="false" ht="12" hidden="false" customHeight="true" outlineLevel="0" collapsed="false">
      <c r="A21" s="63"/>
      <c r="B21" s="347" t="n">
        <v>45322</v>
      </c>
      <c r="C21" s="63"/>
      <c r="D21" s="355" t="s">
        <v>431</v>
      </c>
      <c r="E21" s="355"/>
      <c r="F21" s="358" t="n">
        <v>10000</v>
      </c>
      <c r="G21" s="362" t="n">
        <v>0.45</v>
      </c>
      <c r="H21" s="63"/>
      <c r="I21" s="367"/>
      <c r="J21" s="367"/>
      <c r="K21" s="367"/>
      <c r="L21" s="361"/>
      <c r="M21" s="63"/>
      <c r="N21" s="63"/>
      <c r="O21" s="63"/>
    </row>
    <row r="22" customFormat="false" ht="12" hidden="false" customHeight="true" outlineLevel="0" collapsed="false">
      <c r="A22" s="63"/>
      <c r="B22" s="347" t="n">
        <v>45504</v>
      </c>
      <c r="C22" s="63"/>
      <c r="D22" s="63" t="s">
        <v>432</v>
      </c>
      <c r="E22" s="63"/>
      <c r="F22" s="358" t="n">
        <v>10001</v>
      </c>
      <c r="G22" s="362" t="n">
        <v>0.25</v>
      </c>
      <c r="H22" s="63"/>
      <c r="I22" s="364" t="s">
        <v>433</v>
      </c>
      <c r="J22" s="364"/>
      <c r="K22" s="364"/>
      <c r="L22" s="63"/>
      <c r="M22" s="365" t="s">
        <v>434</v>
      </c>
      <c r="N22" s="63"/>
      <c r="O22" s="63"/>
    </row>
    <row r="23" customFormat="false" ht="12" hidden="false" customHeight="true" outlineLevel="0" collapsed="false">
      <c r="A23" s="63"/>
      <c r="B23" s="354" t="s">
        <v>435</v>
      </c>
      <c r="C23" s="63"/>
      <c r="D23" s="63"/>
      <c r="E23" s="63"/>
      <c r="F23" s="352"/>
      <c r="G23" s="363"/>
      <c r="H23" s="63"/>
      <c r="I23" s="364"/>
      <c r="J23" s="364"/>
      <c r="K23" s="364"/>
      <c r="L23" s="366" t="n">
        <v>0.0273</v>
      </c>
      <c r="M23" s="365"/>
      <c r="N23" s="358" t="n">
        <v>50270</v>
      </c>
      <c r="O23" s="352" t="s">
        <v>32</v>
      </c>
    </row>
    <row r="24" customFormat="false" ht="12" hidden="false" customHeight="true" outlineLevel="0" collapsed="false">
      <c r="A24" s="63"/>
      <c r="B24" s="354" t="s">
        <v>436</v>
      </c>
      <c r="C24" s="63"/>
      <c r="D24" s="348" t="s">
        <v>426</v>
      </c>
      <c r="E24" s="348"/>
      <c r="F24" s="63"/>
      <c r="G24" s="63"/>
      <c r="H24" s="63"/>
      <c r="I24" s="63"/>
      <c r="J24" s="63"/>
      <c r="K24" s="63"/>
      <c r="L24" s="63"/>
      <c r="M24" s="63"/>
      <c r="N24" s="63"/>
      <c r="O24" s="63"/>
    </row>
    <row r="25" customFormat="false" ht="12" hidden="false" customHeight="true" outlineLevel="0" collapsed="false">
      <c r="A25" s="63"/>
      <c r="B25" s="368"/>
      <c r="C25" s="63"/>
      <c r="D25" s="63"/>
      <c r="E25" s="63"/>
      <c r="F25" s="63"/>
      <c r="G25" s="63"/>
      <c r="H25" s="63"/>
      <c r="I25" s="63"/>
      <c r="J25" s="63"/>
      <c r="K25" s="63"/>
      <c r="L25" s="63"/>
      <c r="M25" s="63"/>
      <c r="N25" s="63"/>
      <c r="O25" s="63"/>
    </row>
    <row r="26" customFormat="false" ht="12" hidden="false" customHeight="false" outlineLevel="0" collapsed="false">
      <c r="A26" s="63"/>
      <c r="B26" s="368"/>
      <c r="C26" s="63"/>
      <c r="D26" s="355" t="s">
        <v>437</v>
      </c>
      <c r="E26" s="355"/>
      <c r="F26" s="358" t="n">
        <v>85000</v>
      </c>
      <c r="G26" s="352"/>
      <c r="H26" s="63"/>
      <c r="I26" s="63"/>
      <c r="J26" s="63"/>
      <c r="K26" s="63"/>
      <c r="L26" s="63"/>
      <c r="M26" s="63"/>
      <c r="N26" s="63"/>
      <c r="O26" s="63"/>
    </row>
    <row r="27" customFormat="false" ht="12" hidden="false" customHeight="false" outlineLevel="0" collapsed="false">
      <c r="A27" s="63"/>
      <c r="B27" s="368"/>
      <c r="C27" s="63"/>
      <c r="D27" s="63" t="s">
        <v>438</v>
      </c>
      <c r="E27" s="63"/>
      <c r="F27" s="356" t="n">
        <v>0.2</v>
      </c>
      <c r="G27" s="352"/>
      <c r="H27" s="63"/>
      <c r="I27" s="63"/>
      <c r="J27" s="63"/>
      <c r="K27" s="63"/>
      <c r="L27" s="63"/>
      <c r="M27" s="63"/>
      <c r="N27" s="63"/>
      <c r="O27" s="63"/>
    </row>
    <row r="28" customFormat="false" ht="12" hidden="false" customHeight="false" outlineLevel="0" collapsed="false">
      <c r="A28" s="63"/>
      <c r="B28" s="368"/>
      <c r="C28" s="63"/>
      <c r="D28" s="63"/>
      <c r="E28" s="63"/>
      <c r="F28" s="63"/>
      <c r="G28" s="352"/>
      <c r="H28" s="63"/>
      <c r="I28" s="63"/>
      <c r="J28" s="63"/>
      <c r="K28" s="63"/>
      <c r="L28" s="63"/>
      <c r="M28" s="63"/>
      <c r="N28" s="63"/>
      <c r="O28" s="63"/>
    </row>
  </sheetData>
  <mergeCells count="26">
    <mergeCell ref="D1:F1"/>
    <mergeCell ref="D2:F2"/>
    <mergeCell ref="J2:K2"/>
    <mergeCell ref="D4:F4"/>
    <mergeCell ref="I4:M4"/>
    <mergeCell ref="D5:F5"/>
    <mergeCell ref="I6:M6"/>
    <mergeCell ref="D7:F7"/>
    <mergeCell ref="I7:M7"/>
    <mergeCell ref="I9:K9"/>
    <mergeCell ref="D11:F11"/>
    <mergeCell ref="D13:F13"/>
    <mergeCell ref="D14:F14"/>
    <mergeCell ref="I14:K14"/>
    <mergeCell ref="D15:F15"/>
    <mergeCell ref="D16:F16"/>
    <mergeCell ref="I16:K16"/>
    <mergeCell ref="D17:F17"/>
    <mergeCell ref="D19:E19"/>
    <mergeCell ref="I19:K20"/>
    <mergeCell ref="M19:M20"/>
    <mergeCell ref="D21:E21"/>
    <mergeCell ref="I22:K23"/>
    <mergeCell ref="M22:M23"/>
    <mergeCell ref="D24:E24"/>
    <mergeCell ref="D26:E2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  <Company>y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2002-12-30T15:31:19Z</dcterms:created>
  <dc:creator>Terry Cartwright</dc:creator>
  <dc:description/>
  <dc:language>en-US</dc:language>
  <cp:lastModifiedBy>Cartwright, Antony</cp:lastModifiedBy>
  <cp:lastPrinted>2008-06-02T20:53:06Z</cp:lastPrinted>
  <dcterms:modified xsi:type="dcterms:W3CDTF">2025-04-03T22:48:48Z</dcterms:modified>
  <cp:revision>0</cp:revision>
  <dc:subject/>
  <dc:title>Financial Accounts spreadsheet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