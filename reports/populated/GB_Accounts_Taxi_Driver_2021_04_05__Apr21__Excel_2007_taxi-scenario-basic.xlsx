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<sst xmlns="http://schemas.openxmlformats.org/spreadsheetml/2006/main" count="1089" uniqueCount="326">
  <si>
    <t xml:space="preserve">Taxi Driver Accounts</t>
  </si>
  <si>
    <r>
      <rPr>
        <i val="true"/>
        <sz val="10"/>
        <rFont val="Arial"/>
        <family val="2"/>
        <charset val="1"/>
      </rPr>
      <t xml:space="preserve">Click a link below to navigate to the desired page.
To return to the home page click the Home tab. If you can't see the Home tab, you can scroll to it by clicking the </t>
    </r>
    <r>
      <rPr>
        <b val="true"/>
        <i val="true"/>
        <sz val="10"/>
        <rFont val="Arial"/>
        <family val="2"/>
        <charset val="1"/>
      </rPr>
      <t xml:space="preserve">|&lt;</t>
    </r>
    <r>
      <rPr>
        <i val="true"/>
        <sz val="10"/>
        <rFont val="Arial"/>
        <family val="2"/>
        <charset val="1"/>
      </rPr>
      <t xml:space="preserve"> symbol (bottom left).</t>
    </r>
  </si>
  <si>
    <t xml:space="preserve">Preparation</t>
  </si>
  <si>
    <t xml:space="preserve">Taxi Receipts</t>
  </si>
  <si>
    <t xml:space="preserve">Expenses</t>
  </si>
  <si>
    <t xml:space="preserve">Results</t>
  </si>
  <si>
    <t xml:space="preserve"> </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</si>
  <si>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</si>
  <si>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</si>
  <si>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</si>
  <si>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Description of business</t>
  </si>
  <si>
    <t xml:space="preserve">If you are a foster carer or adult placement carer, put 'X'</t>
  </si>
  <si>
    <t xml:space="preserve">Taxi Driver</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</si>
  <si>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</si>
  <si>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</si>
  <si>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</si>
  <si>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</si>
  <si>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</si>
  <si>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</si>
  <si>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</si>
  <si>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</si>
  <si>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</si>
  <si>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</si>
  <si>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</si>
  <si>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</si>
  <si>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</si>
  <si>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</si>
  <si>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</si>
  <si>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</si>
  <si>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</si>
  <si>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</si>
  <si>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</si>
  <si>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</si>
  <si>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</si>
  <si>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</si>
  <si>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</si>
  <si>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</si>
  <si>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</si>
  <si>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</si>
  <si>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</si>
  <si>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</si>
  <si>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8</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</si>
  <si>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</si>
  <si>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</si>
  <si>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</si>
  <si>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£30,000</t>
    </r>
  </si>
  <si>
    <t xml:space="preserve">you may just put your total expenses in box 19,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</si>
  <si>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</si>
  <si>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</si>
  <si>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</si>
  <si>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</si>
  <si>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</si>
  <si>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</si>
  <si>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</si>
  <si>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</si>
  <si>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</si>
  <si>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</si>
  <si>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</si>
  <si>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10 to 18</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</si>
  <si>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</si>
  <si>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</si>
  <si>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</si>
  <si>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8 + box 9 minus box 19)</t>
  </si>
  <si>
    <t xml:space="preserve">income (box 8 + box 9 minus box 19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</si>
  <si>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</si>
  <si>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</si>
  <si>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</si>
  <si>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</si>
  <si>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</si>
  <si>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</si>
  <si>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</si>
  <si>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</si>
  <si>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</si>
  <si>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</si>
  <si>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</si>
  <si>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</si>
  <si>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</si>
  <si>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</si>
  <si>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</si>
  <si>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</si>
  <si>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27</t>
    </r>
  </si>
  <si>
    <t xml:space="preserve">Net business profit for tax purposes (if box 20 + box 25 +</t>
  </si>
  <si>
    <t xml:space="preserve">Any other business income not included in boxes 8 or 9</t>
  </si>
  <si>
    <t xml:space="preserve">box 26 minus boxes 21 to 24)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</si>
  <si>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</si>
  <si>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</si>
  <si>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</si>
  <si>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21 to 24</t>
  </si>
  <si>
    <t xml:space="preserve">if box 27 + box 29 minus box 28 is positive</t>
  </si>
  <si>
    <t xml:space="preserve">minus (box 20 + box 25 + box 26) is positive)</t>
  </si>
  <si>
    <t xml:space="preserve">Losses, Class 4 NICs and deductions</t>
  </si>
  <si>
    <r>
      <rPr>
        <sz val="8"/>
        <rFont val="Arial"/>
        <family val="2"/>
        <charset val="1"/>
      </rPr>
      <t xml:space="preserve">If you have made a loss for tax purposes (box 29), read page SESN 7 of the </t>
    </r>
    <r>
      <rPr>
        <i val="true"/>
        <sz val="8"/>
        <rFont val="Arial"/>
        <family val="2"/>
        <charset val="1"/>
      </rPr>
      <t xml:space="preserve">notes</t>
    </r>
    <r>
      <rPr>
        <sz val="8"/>
        <rFont val="Arial"/>
        <family val="2"/>
        <charset val="1"/>
      </rPr>
      <t xml:space="preserve"> and fill in boxes 30 to 32 as appropriate.</t>
    </r>
  </si>
  <si>
    <t xml:space="preserve">Loss from this tax year set-off against other income</t>
  </si>
  <si>
    <t xml:space="preserve">If you are exempt from paying Class 4 NICs, put 'X' in the</t>
  </si>
  <si>
    <t xml:space="preserve">for </t>
  </si>
  <si>
    <r>
      <rPr>
        <sz val="8"/>
        <rFont val="Arial"/>
        <family val="2"/>
        <charset val="1"/>
      </rPr>
      <t xml:space="preserve">box - </t>
    </r>
    <r>
      <rPr>
        <i val="true"/>
        <sz val="8"/>
        <rFont val="Arial"/>
        <family val="2"/>
        <charset val="1"/>
      </rPr>
      <t xml:space="preserve">read page SESN 10 of the notes</t>
    </r>
  </si>
  <si>
    <t xml:space="preserve">Loss to be carried back to previous year(s) and set-off</t>
  </si>
  <si>
    <t xml:space="preserve">If you have been given a </t>
  </si>
  <si>
    <t xml:space="preserve">Class 4 NICs</t>
  </si>
  <si>
    <t xml:space="preserve">against income (or capital gains)</t>
  </si>
  <si>
    <r>
      <rPr>
        <sz val="8"/>
        <rFont val="Arial"/>
        <family val="2"/>
        <charset val="1"/>
      </rPr>
      <t xml:space="preserve">deferment certificate, put 'X' in the box - </t>
    </r>
    <r>
      <rPr>
        <i val="true"/>
        <sz val="8"/>
        <rFont val="Arial"/>
        <family val="2"/>
        <charset val="1"/>
      </rPr>
      <t xml:space="preserve">read page SESN 10</t>
    </r>
  </si>
  <si>
    <t xml:space="preserve">of the notes</t>
  </si>
  <si>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</si>
  <si>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</si>
  <si>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</si>
  <si>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</si>
  <si>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</si>
  <si>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</si>
  <si>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</si>
  <si>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</si>
  <si>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</si>
  <si>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</si>
  <si>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</si>
  <si>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</si>
  <si>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</si>
  <si>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</si>
  <si>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</si>
  <si>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</si>
  <si>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</si>
  <si>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</si>
  <si>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</si>
  <si>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</si>
  <si>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</si>
  <si>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</si>
  <si>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</si>
  <si>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</si>
  <si>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</si>
  <si>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</si>
  <si>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</si>
  <si>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</si>
  <si>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</si>
  <si>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</si>
  <si>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</si>
  <si>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</si>
  <si>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</si>
  <si>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</si>
  <si>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</si>
  <si>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</si>
  <si>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</si>
  <si>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</si>
  <si>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</si>
  <si>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</si>
  <si>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</si>
  <si>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</si>
  <si>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</si>
  <si>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</si>
  <si>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</si>
  <si>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</si>
  <si>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</si>
  <si>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</si>
  <si>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</si>
  <si>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</si>
  <si>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</si>
  <si>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</si>
  <si>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</si>
  <si>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</si>
  <si>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</si>
  <si>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</si>
  <si>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</si>
  <si>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</si>
  <si>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</si>
  <si>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</si>
  <si>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</si>
  <si>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</si>
  <si>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</si>
  <si>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</si>
  <si>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</si>
  <si>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</si>
  <si>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</si>
  <si>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</si>
  <si>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</si>
  <si>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</si>
  <si>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</si>
  <si>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</si>
  <si>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</si>
  <si>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</si>
  <si>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</si>
  <si>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</si>
  <si>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</si>
  <si>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</si>
  <si>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</si>
  <si>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</si>
  <si>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</si>
  <si>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</si>
  <si>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</si>
  <si>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</si>
  <si>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</si>
  <si>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</si>
  <si>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</si>
  <si>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</si>
  <si>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</si>
  <si>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</si>
  <si>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</si>
  <si>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</si>
  <si>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</si>
  <si>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</si>
  <si>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</si>
  <si>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</si>
  <si>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</si>
  <si>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</si>
  <si>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</si>
  <si>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</si>
  <si>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</si>
  <si>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</si>
  <si>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</si>
  <si>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</si>
  <si>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</si>
  <si>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</si>
  <si>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</si>
  <si>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</si>
  <si>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</si>
  <si>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</si>
  <si>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</si>
  <si>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</si>
  <si>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</si>
  <si>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</si>
  <si>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</si>
  <si>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</si>
  <si>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</si>
  <si>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</si>
  <si>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</si>
  <si>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</si>
  <si>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</si>
  <si>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</si>
  <si>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</si>
  <si>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</si>
  <si>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</si>
  <si>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</si>
  <si>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</si>
  <si>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</si>
  <si>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</si>
  <si>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</si>
  <si>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</si>
  <si>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</si>
  <si>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</si>
  <si>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</si>
  <si>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</si>
  <si>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</si>
  <si>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</si>
  <si>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</si>
  <si>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</si>
  <si>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</si>
  <si>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</si>
  <si>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</si>
  <si>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</si>
  <si>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</si>
  <si>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</si>
  <si>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</si>
  <si>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</si>
  <si>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</si>
  <si>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</si>
  <si>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</si>
  <si>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</si>
  <si>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</si>
  <si>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</si>
  <si>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</si>
  <si>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</si>
  <si>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</si>
  <si>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</si>
  <si>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</si>
  <si>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</si>
  <si>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</si>
  <si>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</si>
  <si>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</si>
  <si>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</si>
  <si>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</si>
  <si>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</si>
  <si>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</si>
  <si>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</si>
  <si>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</si>
  <si>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</si>
  <si>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</si>
  <si>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</si>
  <si>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</si>
  <si>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</si>
  <si>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Shell</t>
  </si>
  <si>
    <t xml:space="preserve">d</t>
  </si>
  <si>
    <t xml:space="preserve">DVLA</t>
  </si>
  <si>
    <t xml:space="preserve">t</t>
  </si>
  <si>
    <t xml:space="preserve">Insurance Co</t>
  </si>
  <si>
    <t xml:space="preserve">Vodafone</t>
  </si>
  <si>
    <t xml:space="preserve">g</t>
  </si>
  <si>
    <t xml:space="preserve">Council</t>
  </si>
  <si>
    <t xml:space="preserve">l</t>
  </si>
  <si>
    <t xml:space="preserve">Advertising &amp; Promotion</t>
  </si>
  <si>
    <t xml:space="preserve">Car Dealer</t>
  </si>
  <si>
    <t xml:space="preserve">f</t>
  </si>
  <si>
    <t xml:space="preserve">Accountant</t>
  </si>
  <si>
    <t xml:space="preserve">Dates</t>
  </si>
  <si>
    <t xml:space="preserve">Capital Tax Allowances </t>
  </si>
  <si>
    <t xml:space="preserve">Income Tax Rates</t>
  </si>
  <si>
    <t xml:space="preserve">Personal allowance</t>
  </si>
  <si>
    <t xml:space="preserve">Writing down allowance</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</si>
  <si>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</si>
  <si>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</si>
  <si>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</si>
  <si>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</si>
  <si>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Costing over </t>
  </si>
  <si>
    <t xml:space="preserve">Restricted to</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</si>
  <si>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</si>
  <si>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</si>
  <si>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</si>
  <si>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</si>
  <si>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</si>
  <si>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</si>
  <si>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</si>
  <si>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</si>
  <si>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</si>
  <si>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</si>
  <si>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</si>
  <si>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</si>
  <si>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</si>
  <si>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</si>
  <si>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</si>
  <si>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</si>
  <si>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</si>
  <si>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</si>
  <si>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</si>
  <si>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</si>
  <si>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</si>
  <si>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</si>
  <si>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</si>
  <si>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</si>
  <si>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2020-21</t>
  </si>
  <si>
    <t xml:space="preserve">2021-22</t>
  </si>
  <si>
    <t xml:space="preserve">VAT Threshold</t>
  </si>
</sst>
</file>

<file path=xl/styles.xml><?xml version="1.0" encoding="utf-8"?>
<styleSheet xmlns="http://schemas.openxmlformats.org/spreadsheetml/2006/main">
  <numFmts count="18">
    <numFmt numFmtId="164" formatCode="General"/>
    <numFmt numFmtId="165" formatCode="General"/>
    <numFmt numFmtId="166" formatCode="mmm\-yy"/>
    <numFmt numFmtId="167" formatCode="[$-F800]dddd&quot;, &quot;mmmm\ dd&quot;, &quot;yyyy"/>
    <numFmt numFmtId="168" formatCode="dd/mm/yyyy;@"/>
    <numFmt numFmtId="169" formatCode="#,##0"/>
    <numFmt numFmtId="170" formatCode="0"/>
    <numFmt numFmtId="171" formatCode="d\-mmm\-yy"/>
    <numFmt numFmtId="172" formatCode="#,##0_ ;[RED]\-#,##0\ "/>
    <numFmt numFmtId="173" formatCode="#,##0.00_ ;[RED]\-#,##0.00\ "/>
    <numFmt numFmtId="174" formatCode="0.00"/>
    <numFmt numFmtId="175" formatCode="#,##0.00"/>
    <numFmt numFmtId="176" formatCode="0%"/>
    <numFmt numFmtId="177" formatCode="m/d/yyyy"/>
    <numFmt numFmtId="178" formatCode="0.00_ ;[RED]\-0.00\ "/>
    <numFmt numFmtId="179" formatCode="0_ ;[RED]\-0\ "/>
    <numFmt numFmtId="180" formatCode="dddd"/>
    <numFmt numFmtId="181" formatCode="0.00%"/>
  </numFmts>
  <fonts count="41">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b val="true"/>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5" fontId="8" fillId="2" borderId="0" xfId="20" applyFont="true" applyBorder="true" applyAlignment="true" applyProtection="true">
      <alignment horizontal="general" vertical="bottom" textRotation="0" wrapText="false" indent="0" shrinkToFit="false"/>
      <protection locked="true" hidden="false"/>
    </xf>
    <xf numFmtId="166" fontId="8" fillId="2"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9" fillId="3" borderId="2" xfId="0" applyFont="true" applyBorder="true" applyAlignment="false" applyProtection="false">
      <alignment horizontal="general" vertical="bottom" textRotation="0" wrapText="false" indent="0" shrinkToFit="false"/>
      <protection locked="true" hidden="false"/>
    </xf>
    <xf numFmtId="164" fontId="9" fillId="3" borderId="3" xfId="0" applyFont="true" applyBorder="true" applyAlignment="false" applyProtection="false">
      <alignment horizontal="general" vertical="bottom" textRotation="0" wrapText="false" indent="0" shrinkToFit="false"/>
      <protection locked="true" hidden="false"/>
    </xf>
    <xf numFmtId="164" fontId="9" fillId="3" borderId="4" xfId="0" applyFont="true" applyBorder="true" applyAlignment="false" applyProtection="false">
      <alignment horizontal="general" vertical="bottom" textRotation="0" wrapText="false" indent="0" shrinkToFit="false"/>
      <protection locked="true" hidden="false"/>
    </xf>
    <xf numFmtId="164" fontId="9" fillId="3" borderId="5" xfId="0" applyFont="true" applyBorder="tru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6" xfId="0" applyFont="true" applyBorder="true" applyAlignment="false" applyProtection="false">
      <alignment horizontal="general" vertical="bottom" textRotation="0" wrapText="false" indent="0" shrinkToFit="false"/>
      <protection locked="true" hidden="false"/>
    </xf>
    <xf numFmtId="164" fontId="9" fillId="0" borderId="7" xfId="0" applyFont="true" applyBorder="true" applyAlignment="true" applyProtection="false">
      <alignment horizontal="general" vertical="center"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9" fillId="3" borderId="6" xfId="0" applyFont="true" applyBorder="true" applyAlignment="false" applyProtection="false">
      <alignment horizontal="general" vertical="bottom" textRotation="0" wrapText="fals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2" fillId="3" borderId="8" xfId="0" applyFont="true" applyBorder="true" applyAlignment="false" applyProtection="false">
      <alignment horizontal="general" vertical="bottom" textRotation="0" wrapText="false" indent="0" shrinkToFit="false"/>
      <protection locked="true" hidden="false"/>
    </xf>
    <xf numFmtId="164" fontId="9" fillId="3" borderId="9"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center" textRotation="0" wrapText="false" indent="0" shrinkToFit="false"/>
      <protection locked="true" hidden="false"/>
    </xf>
    <xf numFmtId="164" fontId="9" fillId="3" borderId="0" xfId="0" applyFont="true" applyBorder="false" applyAlignment="true" applyProtection="false">
      <alignment horizontal="general" vertical="center" textRotation="0" wrapText="false" indent="0" shrinkToFit="false"/>
      <protection locked="true" hidden="false"/>
    </xf>
    <xf numFmtId="164" fontId="9"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7" fontId="12" fillId="3" borderId="0" xfId="0" applyFont="true" applyBorder="true" applyAlignment="true" applyProtection="false">
      <alignment horizontal="left"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false" indent="0" shrinkToFit="false"/>
      <protection locked="true" hidden="false"/>
    </xf>
    <xf numFmtId="164" fontId="12" fillId="3" borderId="8" xfId="0" applyFont="true" applyBorder="true" applyAlignment="true" applyProtection="false">
      <alignment horizontal="general" vertical="center" textRotation="0" wrapText="false" indent="0" shrinkToFit="false"/>
      <protection locked="true" hidden="false"/>
    </xf>
    <xf numFmtId="168" fontId="13" fillId="0" borderId="7" xfId="0" applyFont="true" applyBorder="true" applyAlignment="true" applyProtection="false">
      <alignment horizontal="center" vertical="center" textRotation="0" wrapText="false" indent="0" shrinkToFit="false"/>
      <protection locked="true" hidden="false"/>
    </xf>
    <xf numFmtId="164" fontId="9" fillId="0" borderId="7" xfId="0" applyFont="true" applyBorder="true" applyAlignment="true" applyProtection="false">
      <alignment horizontal="right" vertical="bottom" textRotation="0" wrapText="false" indent="0" shrinkToFit="false"/>
      <protection locked="true" hidden="false"/>
    </xf>
    <xf numFmtId="164" fontId="9" fillId="0" borderId="7" xfId="0" applyFont="true" applyBorder="true" applyAlignment="true" applyProtection="false">
      <alignment horizontal="left" vertical="bottom" textRotation="0" wrapText="false" indent="0" shrinkToFit="false"/>
      <protection locked="true" hidden="false"/>
    </xf>
    <xf numFmtId="164" fontId="14" fillId="3" borderId="0" xfId="0" applyFont="true" applyBorder="false" applyAlignment="false" applyProtection="false">
      <alignment horizontal="general" vertical="bottom" textRotation="0" wrapText="false" indent="0" shrinkToFit="false"/>
      <protection locked="true" hidden="false"/>
    </xf>
    <xf numFmtId="164" fontId="15" fillId="0" borderId="7"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false" applyAlignment="true" applyProtection="false">
      <alignment horizontal="general" vertical="center" textRotation="0" wrapText="false" indent="0" shrinkToFit="false"/>
      <protection locked="true" hidden="false"/>
    </xf>
    <xf numFmtId="164" fontId="16" fillId="3" borderId="0" xfId="0" applyFont="true" applyBorder="false" applyAlignment="false" applyProtection="false">
      <alignment horizontal="general" vertical="bottom" textRotation="0" wrapText="false" indent="0" shrinkToFit="false"/>
      <protection locked="true" hidden="false"/>
    </xf>
    <xf numFmtId="164" fontId="17" fillId="3" borderId="7" xfId="0" applyFont="true" applyBorder="true" applyAlignment="true" applyProtection="false">
      <alignment horizontal="center" vertical="center" textRotation="0" wrapText="false" indent="0" shrinkToFit="false"/>
      <protection locked="true" hidden="false"/>
    </xf>
    <xf numFmtId="169" fontId="13" fillId="0" borderId="7" xfId="0" applyFont="true" applyBorder="tru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center" vertical="center" textRotation="0" wrapText="false" indent="0" shrinkToFit="false"/>
      <protection locked="true" hidden="false"/>
    </xf>
    <xf numFmtId="170" fontId="17" fillId="3" borderId="7"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3" fillId="3" borderId="0" xfId="0" applyFont="true" applyBorder="false" applyAlignment="true" applyProtection="false">
      <alignment horizontal="general" vertical="center" textRotation="0" wrapText="false" indent="0" shrinkToFit="false"/>
      <protection locked="true" hidden="false"/>
    </xf>
    <xf numFmtId="170" fontId="17" fillId="3" borderId="0" xfId="0" applyFont="true" applyBorder="false" applyAlignment="true" applyProtection="false">
      <alignment horizontal="center" vertical="center" textRotation="0" wrapText="false" indent="0" shrinkToFit="false"/>
      <protection locked="true" hidden="false"/>
    </xf>
    <xf numFmtId="164" fontId="9" fillId="3" borderId="8"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9" fillId="3" borderId="0" xfId="0" applyFont="true" applyBorder="false" applyAlignment="true" applyProtection="false">
      <alignment horizontal="general" vertical="center" textRotation="0" wrapText="false" indent="0" shrinkToFit="false"/>
      <protection locked="true" hidden="false"/>
    </xf>
    <xf numFmtId="169" fontId="13" fillId="3" borderId="7" xfId="0" applyFont="true" applyBorder="true" applyAlignment="true" applyProtection="false">
      <alignment horizontal="general" vertical="center" textRotation="0" wrapText="false" indent="0" shrinkToFit="false"/>
      <protection locked="true" hidden="false"/>
    </xf>
    <xf numFmtId="164" fontId="9" fillId="3" borderId="10" xfId="0" applyFont="true" applyBorder="true" applyAlignment="false" applyProtection="false">
      <alignment horizontal="general" vertical="bottom" textRotation="0" wrapText="false" indent="0" shrinkToFit="false"/>
      <protection locked="true" hidden="false"/>
    </xf>
    <xf numFmtId="164" fontId="9" fillId="3" borderId="11" xfId="0" applyFont="true" applyBorder="true" applyAlignment="false" applyProtection="false">
      <alignment horizontal="general" vertical="bottom" textRotation="0" wrapText="false" indent="0" shrinkToFit="false"/>
      <protection locked="true" hidden="false"/>
    </xf>
    <xf numFmtId="164" fontId="9" fillId="3"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true">
      <alignment horizontal="general" vertical="bottom" textRotation="0" wrapText="fals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center" vertical="center" textRotation="0" wrapText="true" indent="0" shrinkToFit="false"/>
      <protection locked="true" hidden="true"/>
    </xf>
    <xf numFmtId="164" fontId="22" fillId="0" borderId="0" xfId="0" applyFont="true" applyBorder="true" applyAlignment="true" applyProtection="true">
      <alignment horizontal="left" vertical="center" textRotation="0" wrapText="true" indent="1" shrinkToFit="false"/>
      <protection locked="true" hidden="true"/>
    </xf>
    <xf numFmtId="164" fontId="23" fillId="0" borderId="0" xfId="0" applyFont="true" applyBorder="true" applyAlignment="true" applyProtection="true">
      <alignment horizontal="right" vertical="center" textRotation="0" wrapText="false" indent="0" shrinkToFit="false"/>
      <protection locked="true" hidden="true"/>
    </xf>
    <xf numFmtId="167" fontId="23" fillId="0" borderId="0" xfId="0" applyFont="true" applyBorder="true" applyAlignment="true" applyProtection="true">
      <alignment horizontal="center" vertical="center" textRotation="0" wrapText="false" indent="0" shrinkToFit="false"/>
      <protection locked="true" hidden="true"/>
    </xf>
    <xf numFmtId="164" fontId="23" fillId="0" borderId="0" xfId="0" applyFont="true" applyBorder="false" applyAlignment="true" applyProtection="true">
      <alignment horizontal="center" vertical="center" textRotation="0" wrapText="false" indent="0" shrinkToFit="false"/>
      <protection locked="true" hidden="true"/>
    </xf>
    <xf numFmtId="164" fontId="9" fillId="4" borderId="0" xfId="0" applyFont="true" applyBorder="true" applyAlignment="false" applyProtection="true">
      <alignment horizontal="general" vertical="bottom" textRotation="0" wrapText="false" indent="0" shrinkToFit="false"/>
      <protection locked="true" hidden="true"/>
    </xf>
    <xf numFmtId="164" fontId="9" fillId="0" borderId="13" xfId="0" applyFont="true" applyBorder="true" applyAlignment="false" applyProtection="true">
      <alignment horizontal="general" vertical="bottom" textRotation="0" wrapText="false" indent="0" shrinkToFit="false"/>
      <protection locked="true" hidden="true"/>
    </xf>
    <xf numFmtId="164" fontId="9" fillId="3" borderId="2" xfId="0" applyFont="true" applyBorder="true" applyAlignment="false" applyProtection="true">
      <alignment horizontal="general" vertical="bottom" textRotation="0" wrapText="false" indent="0" shrinkToFit="false"/>
      <protection locked="true" hidden="true"/>
    </xf>
    <xf numFmtId="164" fontId="9" fillId="3" borderId="3" xfId="0" applyFont="true" applyBorder="true" applyAlignment="false" applyProtection="true">
      <alignment horizontal="general" vertical="bottom" textRotation="0" wrapText="false" indent="0" shrinkToFit="false"/>
      <protection locked="true" hidden="true"/>
    </xf>
    <xf numFmtId="164" fontId="9" fillId="3" borderId="4" xfId="0" applyFont="true" applyBorder="true" applyAlignment="false" applyProtection="true">
      <alignment horizontal="general" vertical="bottom" textRotation="0" wrapText="false" indent="0" shrinkToFit="false"/>
      <protection locked="true" hidden="true"/>
    </xf>
    <xf numFmtId="164" fontId="9" fillId="3" borderId="5" xfId="0" applyFont="true" applyBorder="true" applyAlignment="false" applyProtection="true">
      <alignment horizontal="general" vertical="bottom" textRotation="0" wrapText="false" indent="0" shrinkToFit="false"/>
      <protection locked="true" hidden="true"/>
    </xf>
    <xf numFmtId="164" fontId="9"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3" borderId="6" xfId="0" applyFont="true" applyBorder="tru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general" vertical="center"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5" fontId="13" fillId="0" borderId="7" xfId="0" applyFont="true" applyBorder="true" applyAlignment="true" applyProtection="true">
      <alignment horizontal="center" vertical="center" textRotation="0" wrapText="false" indent="0" shrinkToFit="false"/>
      <protection locked="true" hidden="true"/>
    </xf>
    <xf numFmtId="164" fontId="9" fillId="3" borderId="6" xfId="0" applyFont="true" applyBorder="true" applyAlignment="false" applyProtection="true">
      <alignment horizontal="general" vertical="bottom" textRotation="0" wrapText="false" indent="0" shrinkToFit="false"/>
      <protection locked="true" hidden="true"/>
    </xf>
    <xf numFmtId="164" fontId="9" fillId="3" borderId="14" xfId="0" applyFont="true" applyBorder="true" applyAlignment="false" applyProtection="true">
      <alignment horizontal="general" vertical="bottom" textRotation="0" wrapText="false" indent="0" shrinkToFit="false"/>
      <protection locked="true" hidden="true"/>
    </xf>
    <xf numFmtId="164" fontId="9" fillId="3" borderId="13" xfId="0" applyFont="true" applyBorder="true" applyAlignment="false" applyProtection="true">
      <alignment horizontal="general" vertical="bottom" textRotation="0" wrapText="false" indent="0" shrinkToFit="false"/>
      <protection locked="true" hidden="true"/>
    </xf>
    <xf numFmtId="164" fontId="9" fillId="3" borderId="15" xfId="0" applyFont="true" applyBorder="true" applyAlignment="false" applyProtection="true">
      <alignment horizontal="general" vertical="bottom" textRotation="0" wrapText="false" indent="0" shrinkToFit="false"/>
      <protection locked="true" hidden="true"/>
    </xf>
    <xf numFmtId="164" fontId="24" fillId="0" borderId="16" xfId="0" applyFont="true" applyBorder="true" applyAlignment="true" applyProtection="true">
      <alignment horizontal="general" vertical="center" textRotation="0" wrapText="false" indent="0" shrinkToFit="false"/>
      <protection locked="true" hidden="true"/>
    </xf>
    <xf numFmtId="164" fontId="9" fillId="3" borderId="17" xfId="0" applyFont="true" applyBorder="true" applyAlignment="false" applyProtection="true">
      <alignment horizontal="general" vertical="bottom" textRotation="0" wrapText="false" indent="0" shrinkToFit="false"/>
      <protection locked="true" hidden="true"/>
    </xf>
    <xf numFmtId="164" fontId="9" fillId="3" borderId="18" xfId="0" applyFont="true" applyBorder="true" applyAlignment="false" applyProtection="true">
      <alignment horizontal="general" vertical="bottom" textRotation="0" wrapText="false" indent="0" shrinkToFit="false"/>
      <protection locked="true" hidden="true"/>
    </xf>
    <xf numFmtId="164" fontId="9" fillId="3" borderId="19"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false" applyProtection="true">
      <alignment horizontal="general" vertical="bottom" textRotation="0" wrapText="false" indent="0" shrinkToFit="false"/>
      <protection locked="true" hidden="true"/>
    </xf>
    <xf numFmtId="167" fontId="12"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2" fillId="3" borderId="8" xfId="0" applyFont="true" applyBorder="true" applyAlignment="false" applyProtection="true">
      <alignment horizontal="general" vertical="bottom" textRotation="0" wrapText="false" indent="0" shrinkToFit="false"/>
      <protection locked="true" hidden="true"/>
    </xf>
    <xf numFmtId="164" fontId="9" fillId="3" borderId="9" xfId="0" applyFont="true" applyBorder="tru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9" fillId="3" borderId="0" xfId="0" applyFont="true" applyBorder="false" applyAlignment="true" applyProtection="true">
      <alignment horizontal="general" vertical="center" textRotation="0" wrapText="false" indent="0" shrinkToFit="false"/>
      <protection locked="true" hidden="true"/>
    </xf>
    <xf numFmtId="164" fontId="9" fillId="3" borderId="8" xfId="0" applyFont="true" applyBorder="true" applyAlignment="false" applyProtection="true">
      <alignment horizontal="general" vertical="bottom" textRotation="0" wrapText="false" indent="0" shrinkToFit="false"/>
      <protection locked="true" hidden="true"/>
    </xf>
    <xf numFmtId="164" fontId="13" fillId="0" borderId="7" xfId="0" applyFont="true" applyBorder="true" applyAlignment="true" applyProtection="true">
      <alignment horizontal="center" vertical="bottom" textRotation="0" wrapText="false" indent="0" shrinkToFit="false"/>
      <protection locked="true" hidden="true"/>
    </xf>
    <xf numFmtId="167" fontId="12" fillId="3" borderId="0" xfId="0" applyFont="true" applyBorder="true" applyAlignment="true" applyProtection="true">
      <alignment horizontal="left" vertical="bottom" textRotation="0" wrapText="false" indent="0" shrinkToFit="false"/>
      <protection locked="true" hidden="true"/>
    </xf>
    <xf numFmtId="164" fontId="12" fillId="3" borderId="0" xfId="0" applyFont="true" applyBorder="true" applyAlignment="true" applyProtection="true">
      <alignment horizontal="general" vertical="center" textRotation="0" wrapText="false" indent="0" shrinkToFit="false"/>
      <protection locked="true" hidden="true"/>
    </xf>
    <xf numFmtId="164" fontId="12" fillId="3" borderId="8" xfId="0" applyFont="true" applyBorder="true" applyAlignment="true" applyProtection="true">
      <alignment horizontal="general" vertical="center" textRotation="0" wrapText="false" indent="0" shrinkToFit="false"/>
      <protection locked="true" hidden="true"/>
    </xf>
    <xf numFmtId="168" fontId="13" fillId="0" borderId="7" xfId="0" applyFont="true" applyBorder="true" applyAlignment="true" applyProtection="true">
      <alignment horizontal="center" vertical="center" textRotation="0" wrapText="false" indent="0" shrinkToFit="false"/>
      <protection locked="true" hidden="true"/>
    </xf>
    <xf numFmtId="165" fontId="13" fillId="0" borderId="7" xfId="0" applyFont="true" applyBorder="true" applyAlignment="true" applyProtection="true">
      <alignment horizontal="right" vertical="bottom" textRotation="0" wrapText="false" indent="0" shrinkToFit="false"/>
      <protection locked="true" hidden="true"/>
    </xf>
    <xf numFmtId="165" fontId="13" fillId="0" borderId="7" xfId="0" applyFont="true" applyBorder="true" applyAlignment="true" applyProtection="true">
      <alignment horizontal="left" vertical="bottom" textRotation="0" wrapText="false" indent="0" shrinkToFit="false"/>
      <protection locked="true" hidden="true"/>
    </xf>
    <xf numFmtId="164" fontId="14" fillId="3" borderId="0" xfId="0" applyFont="true" applyBorder="false" applyAlignment="false" applyProtection="true">
      <alignment horizontal="general" vertical="bottom" textRotation="0" wrapText="false" indent="0" shrinkToFit="false"/>
      <protection locked="true" hidden="true"/>
    </xf>
    <xf numFmtId="164" fontId="14" fillId="3" borderId="0" xfId="0" applyFont="true" applyBorder="false" applyAlignment="true" applyProtection="true">
      <alignment horizontal="general" vertical="center" textRotation="0" wrapText="false" indent="0" shrinkToFit="false"/>
      <protection locked="true" hidden="true"/>
    </xf>
    <xf numFmtId="164" fontId="9" fillId="3" borderId="10" xfId="0" applyFont="true" applyBorder="true" applyAlignment="false" applyProtection="true">
      <alignment horizontal="general" vertical="bottom" textRotation="0" wrapText="false" indent="0" shrinkToFit="false"/>
      <protection locked="true" hidden="true"/>
    </xf>
    <xf numFmtId="164" fontId="9" fillId="3" borderId="11" xfId="0" applyFont="true" applyBorder="true" applyAlignment="false" applyProtection="true">
      <alignment horizontal="general" vertical="bottom" textRotation="0" wrapText="false" indent="0" shrinkToFit="false"/>
      <protection locked="true" hidden="true"/>
    </xf>
    <xf numFmtId="164" fontId="9" fillId="3" borderId="12" xfId="0" applyFont="true" applyBorder="true" applyAlignment="false" applyProtection="true">
      <alignment horizontal="general" vertical="bottom" textRotation="0" wrapText="false" indent="0" shrinkToFit="false"/>
      <protection locked="true" hidden="true"/>
    </xf>
    <xf numFmtId="165" fontId="24" fillId="0" borderId="20" xfId="0" applyFont="true" applyBorder="true" applyAlignment="true" applyProtection="true">
      <alignment horizontal="general" vertical="center" textRotation="0" wrapText="false" indent="0" shrinkToFit="false"/>
      <protection locked="true" hidden="true"/>
    </xf>
    <xf numFmtId="164" fontId="17" fillId="3" borderId="7" xfId="0" applyFont="true" applyBorder="true" applyAlignment="true" applyProtection="true">
      <alignment horizontal="center" vertical="center" textRotation="0" wrapText="false" indent="0" shrinkToFit="false"/>
      <protection locked="true" hidden="true"/>
    </xf>
    <xf numFmtId="169" fontId="13" fillId="0" borderId="7" xfId="0" applyFont="true" applyBorder="true" applyAlignment="true" applyProtection="true">
      <alignment horizontal="general" vertical="center" textRotation="0" wrapText="false" indent="0" shrinkToFit="false"/>
      <protection locked="true" hidden="true"/>
    </xf>
    <xf numFmtId="164" fontId="18" fillId="3" borderId="0" xfId="0" applyFont="true" applyBorder="false" applyAlignment="true" applyProtection="true">
      <alignment horizontal="center" vertical="center" textRotation="0" wrapText="false" indent="0" shrinkToFit="false"/>
      <protection locked="true" hidden="true"/>
    </xf>
    <xf numFmtId="170" fontId="17" fillId="3" borderId="7" xfId="0" applyFont="true" applyBorder="true" applyAlignment="true" applyProtection="true">
      <alignment horizontal="center" vertical="center" textRotation="0" wrapText="false" indent="0" shrinkToFit="false"/>
      <protection locked="true" hidden="true"/>
    </xf>
    <xf numFmtId="170" fontId="25" fillId="3" borderId="9" xfId="0" applyFont="true" applyBorder="true" applyAlignment="true" applyProtection="true">
      <alignment horizontal="center" vertical="center" textRotation="0" wrapText="false" indent="0" shrinkToFit="false"/>
      <protection locked="true" hidden="true"/>
    </xf>
    <xf numFmtId="170" fontId="25" fillId="3" borderId="0" xfId="0" applyFont="true" applyBorder="false" applyAlignment="true" applyProtection="true">
      <alignment horizontal="center" vertical="center" textRotation="0" wrapText="false" indent="0" shrinkToFit="false"/>
      <protection locked="true" hidden="true"/>
    </xf>
    <xf numFmtId="164" fontId="24" fillId="0" borderId="18" xfId="0" applyFont="true" applyBorder="true" applyAlignment="true" applyProtection="true">
      <alignment horizontal="general" vertical="center" textRotation="0" wrapText="false" indent="0" shrinkToFit="false"/>
      <protection locked="true" hidden="true"/>
    </xf>
    <xf numFmtId="164" fontId="12"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2" fillId="0" borderId="11" xfId="0" applyFont="true" applyBorder="true" applyAlignment="true" applyProtection="true">
      <alignment horizontal="general" vertical="center" textRotation="0" wrapText="false" indent="0" shrinkToFit="false"/>
      <protection locked="true" hidden="true"/>
    </xf>
    <xf numFmtId="164" fontId="12" fillId="3" borderId="9" xfId="0" applyFont="true" applyBorder="true" applyAlignment="false" applyProtection="true">
      <alignment horizontal="general" vertical="bottom" textRotation="0" wrapText="false" indent="0" shrinkToFit="false"/>
      <protection locked="true" hidden="true"/>
    </xf>
    <xf numFmtId="164" fontId="24" fillId="0" borderId="11" xfId="0" applyFont="true" applyBorder="true" applyAlignment="true" applyProtection="true">
      <alignment horizontal="general" vertical="center" textRotation="0" wrapText="false" indent="0" shrinkToFit="false"/>
      <protection locked="true" hidden="true"/>
    </xf>
    <xf numFmtId="164" fontId="9" fillId="3" borderId="8" xfId="0" applyFont="true" applyBorder="true" applyAlignment="true" applyProtection="true">
      <alignment horizontal="center" vertical="bottom" textRotation="0" wrapText="false" indent="0" shrinkToFit="false"/>
      <protection locked="true" hidden="true"/>
    </xf>
    <xf numFmtId="169" fontId="9" fillId="0" borderId="0" xfId="0" applyFont="true" applyBorder="false" applyAlignment="false" applyProtection="true">
      <alignment horizontal="general" vertical="bottom" textRotation="0" wrapText="false" indent="0" shrinkToFit="false"/>
      <protection locked="true" hidden="true"/>
    </xf>
    <xf numFmtId="164" fontId="24" fillId="0" borderId="0" xfId="0" applyFont="true" applyBorder="true" applyAlignment="true" applyProtection="true">
      <alignment horizontal="general" vertical="center"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12" fillId="3" borderId="11" xfId="0" applyFont="true" applyBorder="true" applyAlignment="false" applyProtection="true">
      <alignment horizontal="general" vertical="bottom" textRotation="0" wrapText="false" indent="0" shrinkToFit="false"/>
      <protection locked="true" hidden="true"/>
    </xf>
    <xf numFmtId="171" fontId="12" fillId="3" borderId="0" xfId="0" applyFont="true" applyBorder="true" applyAlignment="false" applyProtection="true">
      <alignment horizontal="general" vertical="bottom" textRotation="0" wrapText="false" indent="0" shrinkToFit="false"/>
      <protection locked="true" hidden="true"/>
    </xf>
    <xf numFmtId="164" fontId="25" fillId="3" borderId="11" xfId="0" applyFont="true" applyBorder="true" applyAlignment="true" applyProtection="true">
      <alignment horizontal="center" vertical="center" textRotation="0" wrapText="false" indent="0" shrinkToFit="false"/>
      <protection locked="true" hidden="true"/>
    </xf>
    <xf numFmtId="164" fontId="13" fillId="3" borderId="11" xfId="0" applyFont="true" applyBorder="true" applyAlignment="true" applyProtection="true">
      <alignment horizontal="general" vertical="center" textRotation="0" wrapText="false" indent="0" shrinkToFit="false"/>
      <protection locked="true" hidden="true"/>
    </xf>
    <xf numFmtId="164" fontId="18" fillId="3" borderId="11" xfId="0" applyFont="true" applyBorder="true" applyAlignment="true" applyProtection="true">
      <alignment horizontal="center" vertical="center" textRotation="0" wrapText="false" indent="0" shrinkToFit="false"/>
      <protection locked="true" hidden="true"/>
    </xf>
    <xf numFmtId="170" fontId="25" fillId="3" borderId="11" xfId="0" applyFont="true" applyBorder="true" applyAlignment="true" applyProtection="true">
      <alignment horizontal="center" vertical="center" textRotation="0" wrapText="false" indent="0" shrinkToFit="false"/>
      <protection locked="true" hidden="true"/>
    </xf>
    <xf numFmtId="164" fontId="26" fillId="0" borderId="0" xfId="0" applyFont="true" applyBorder="false" applyAlignment="false" applyProtection="true">
      <alignment horizontal="general" vertical="bottom" textRotation="0" wrapText="false" indent="0" shrinkToFit="false"/>
      <protection locked="true" hidden="true"/>
    </xf>
    <xf numFmtId="172" fontId="26" fillId="0" borderId="0" xfId="0" applyFont="true" applyBorder="false" applyAlignment="true" applyProtection="true">
      <alignment horizontal="center" vertical="bottom" textRotation="0" wrapText="false" indent="0" shrinkToFit="false"/>
      <protection locked="true" hidden="true"/>
    </xf>
    <xf numFmtId="164" fontId="26" fillId="0" borderId="0" xfId="22" applyFont="true" applyBorder="false" applyAlignment="false" applyProtection="true">
      <alignment horizontal="general" vertical="bottom" textRotation="0" wrapText="false" indent="0" shrinkToFit="false"/>
      <protection locked="true" hidden="true"/>
    </xf>
    <xf numFmtId="164" fontId="27" fillId="5" borderId="21" xfId="0" applyFont="true" applyBorder="true" applyAlignment="true" applyProtection="true">
      <alignment horizontal="left" vertical="center" textRotation="0" wrapText="true" indent="1" shrinkToFit="false"/>
      <protection locked="true" hidden="true"/>
    </xf>
    <xf numFmtId="172" fontId="28" fillId="3" borderId="22" xfId="0" applyFont="true" applyBorder="true" applyAlignment="true" applyProtection="true">
      <alignment horizontal="center" vertical="center" textRotation="0" wrapText="false" indent="0" shrinkToFit="false"/>
      <protection locked="true" hidden="true"/>
    </xf>
    <xf numFmtId="173" fontId="29" fillId="3" borderId="23" xfId="0" applyFont="true" applyBorder="true" applyAlignment="true" applyProtection="false">
      <alignment horizontal="center" vertical="center" textRotation="0" wrapText="true" indent="0" shrinkToFit="false"/>
      <protection locked="true" hidden="false"/>
    </xf>
    <xf numFmtId="173" fontId="30" fillId="3" borderId="23" xfId="0" applyFont="true" applyBorder="true" applyAlignment="true" applyProtection="false">
      <alignment horizontal="center" vertical="center" textRotation="0" wrapText="true" indent="0" shrinkToFit="false"/>
      <protection locked="true" hidden="false"/>
    </xf>
    <xf numFmtId="173" fontId="31" fillId="3" borderId="23" xfId="0" applyFont="true" applyBorder="true" applyAlignment="true" applyProtection="false">
      <alignment horizontal="center" vertical="center" textRotation="0" wrapText="true" indent="0" shrinkToFit="false"/>
      <protection locked="true" hidden="false"/>
    </xf>
    <xf numFmtId="165" fontId="28" fillId="3" borderId="0" xfId="0" applyFont="true" applyBorder="false" applyAlignment="true" applyProtection="false">
      <alignment horizontal="center" vertical="center" textRotation="0" wrapText="false" indent="0" shrinkToFit="false"/>
      <protection locked="true" hidden="false"/>
    </xf>
    <xf numFmtId="164" fontId="26" fillId="3" borderId="0" xfId="0" applyFont="true" applyBorder="false" applyAlignment="false" applyProtection="true">
      <alignment horizontal="general" vertical="bottom" textRotation="0" wrapText="false" indent="0" shrinkToFit="false"/>
      <protection locked="true" hidden="true"/>
    </xf>
    <xf numFmtId="166" fontId="26" fillId="0" borderId="0" xfId="22" applyFont="true" applyBorder="false" applyAlignment="true" applyProtection="true">
      <alignment horizontal="center" vertical="bottom" textRotation="0" wrapText="false" indent="0" shrinkToFit="false"/>
      <protection locked="true" hidden="true"/>
    </xf>
    <xf numFmtId="164" fontId="9" fillId="3" borderId="21" xfId="0" applyFont="true" applyBorder="true" applyAlignment="true" applyProtection="true">
      <alignment horizontal="center" vertical="center" textRotation="0" wrapText="true" indent="0" shrinkToFit="false"/>
      <protection locked="true" hidden="true"/>
    </xf>
    <xf numFmtId="166" fontId="9" fillId="3" borderId="24" xfId="0" applyFont="true" applyBorder="true" applyAlignment="true" applyProtection="true">
      <alignment horizontal="center" vertical="center" textRotation="0" wrapText="true" indent="0" shrinkToFit="false"/>
      <protection locked="true" hidden="true"/>
    </xf>
    <xf numFmtId="166" fontId="9" fillId="3" borderId="21" xfId="0" applyFont="true" applyBorder="true" applyAlignment="true" applyProtection="true">
      <alignment horizontal="center" vertical="center" textRotation="0" wrapText="true" indent="0" shrinkToFit="false"/>
      <protection locked="true" hidden="true"/>
    </xf>
    <xf numFmtId="166" fontId="9" fillId="3" borderId="0" xfId="0" applyFont="true" applyBorder="false" applyAlignment="true" applyProtection="true">
      <alignment horizontal="center" vertical="bottom" textRotation="0" wrapText="false" indent="0" shrinkToFit="false"/>
      <protection locked="true" hidden="true"/>
    </xf>
    <xf numFmtId="166" fontId="9" fillId="0" borderId="0" xfId="0" applyFont="true" applyBorder="false" applyAlignment="true" applyProtection="true">
      <alignment horizontal="center" vertical="bottom" textRotation="0" wrapText="false" indent="0" shrinkToFit="false"/>
      <protection locked="true" hidden="true"/>
    </xf>
    <xf numFmtId="165" fontId="9" fillId="3" borderId="25" xfId="0" applyFont="true" applyBorder="true" applyAlignment="true" applyProtection="true">
      <alignment horizontal="center" vertical="center" textRotation="0" wrapText="true" indent="0" shrinkToFit="false"/>
      <protection locked="true" hidden="true"/>
    </xf>
    <xf numFmtId="164" fontId="28" fillId="0" borderId="0" xfId="22" applyFont="true" applyBorder="false" applyAlignment="true" applyProtection="true">
      <alignment horizontal="center" vertical="bottom" textRotation="0" wrapText="false" indent="0" shrinkToFit="false"/>
      <protection locked="true" hidden="true"/>
    </xf>
    <xf numFmtId="165" fontId="26" fillId="3" borderId="0" xfId="0" applyFont="true" applyBorder="false" applyAlignment="true" applyProtection="true">
      <alignment horizontal="left" vertical="bottom" textRotation="0" wrapText="false" indent="1" shrinkToFit="false"/>
      <protection locked="true" hidden="true"/>
    </xf>
    <xf numFmtId="172" fontId="28" fillId="3" borderId="0" xfId="0" applyFont="true" applyBorder="false" applyAlignment="true" applyProtection="true">
      <alignment horizontal="center" vertical="bottom" textRotation="0" wrapText="false" indent="0" shrinkToFit="false"/>
      <protection locked="true" hidden="true"/>
    </xf>
    <xf numFmtId="164" fontId="28" fillId="3" borderId="0" xfId="0" applyFont="true" applyBorder="false" applyAlignment="true" applyProtection="true">
      <alignment horizontal="center" vertical="bottom" textRotation="0" wrapText="false" indent="0" shrinkToFit="false"/>
      <protection locked="true" hidden="true"/>
    </xf>
    <xf numFmtId="164" fontId="28" fillId="0" borderId="0" xfId="0" applyFont="true" applyBorder="fals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true" indent="1" shrinkToFit="false"/>
      <protection locked="true" hidden="true"/>
    </xf>
    <xf numFmtId="172" fontId="26" fillId="3" borderId="26" xfId="0" applyFont="true" applyBorder="true" applyAlignment="true" applyProtection="true">
      <alignment horizontal="center" vertical="bottom" textRotation="0" wrapText="false" indent="0" shrinkToFit="false"/>
      <protection locked="true" hidden="true"/>
    </xf>
    <xf numFmtId="172" fontId="26" fillId="3" borderId="21" xfId="0" applyFont="true" applyBorder="true" applyAlignment="true" applyProtection="true">
      <alignment horizontal="center" vertical="bottom" textRotation="0" wrapText="false" indent="0" shrinkToFit="false"/>
      <protection locked="true" hidden="true"/>
    </xf>
    <xf numFmtId="172" fontId="26" fillId="3" borderId="27" xfId="0" applyFont="true" applyBorder="true" applyAlignment="true" applyProtection="true">
      <alignment horizontal="center" vertical="bottom" textRotation="0" wrapText="false" indent="0" shrinkToFit="false"/>
      <protection locked="true" hidden="true"/>
    </xf>
    <xf numFmtId="172" fontId="26" fillId="0" borderId="28" xfId="0" applyFont="true" applyBorder="true" applyAlignment="true" applyProtection="true">
      <alignment horizontal="center" vertical="bottom" textRotation="0" wrapText="false" indent="0" shrinkToFit="false"/>
      <protection locked="true" hidden="true"/>
    </xf>
    <xf numFmtId="172" fontId="26" fillId="0" borderId="29" xfId="0" applyFont="true" applyBorder="true" applyAlignment="true" applyProtection="true">
      <alignment horizontal="center" vertical="bottom" textRotation="0" wrapText="false" indent="0" shrinkToFit="false"/>
      <protection locked="true" hidden="true"/>
    </xf>
    <xf numFmtId="174" fontId="26" fillId="0" borderId="0" xfId="22" applyFont="true" applyBorder="false" applyAlignment="false" applyProtection="true">
      <alignment horizontal="general" vertical="bottom" textRotation="0" wrapText="false" indent="0" shrinkToFit="false"/>
      <protection locked="true" hidden="true"/>
    </xf>
    <xf numFmtId="164" fontId="26" fillId="3" borderId="0" xfId="0" applyFont="true" applyBorder="false" applyAlignment="true" applyProtection="false">
      <alignment horizontal="left" vertical="bottom" textRotation="0" wrapText="false" indent="1" shrinkToFit="false"/>
      <protection locked="true" hidden="false"/>
    </xf>
    <xf numFmtId="172" fontId="26" fillId="0" borderId="30" xfId="0" applyFont="true" applyBorder="true" applyAlignment="true" applyProtection="true">
      <alignment horizontal="center" vertical="bottom" textRotation="0" wrapText="false" indent="0" shrinkToFit="false"/>
      <protection locked="true" hidden="true"/>
    </xf>
    <xf numFmtId="172" fontId="26" fillId="0" borderId="31" xfId="0" applyFont="true" applyBorder="true" applyAlignment="true" applyProtection="true">
      <alignment horizontal="center" vertical="bottom" textRotation="0" wrapText="false" indent="0" shrinkToFit="false"/>
      <protection locked="true" hidden="true"/>
    </xf>
    <xf numFmtId="172" fontId="26" fillId="0" borderId="32" xfId="0" applyFont="true" applyBorder="true" applyAlignment="true" applyProtection="true">
      <alignment horizontal="center" vertical="bottom" textRotation="0" wrapText="false" indent="0" shrinkToFit="false"/>
      <protection locked="true" hidden="true"/>
    </xf>
    <xf numFmtId="164" fontId="32" fillId="3" borderId="0" xfId="0" applyFont="true" applyBorder="false" applyAlignment="true" applyProtection="true">
      <alignment horizontal="right" vertical="center"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26" fillId="0" borderId="25" xfId="0" applyFont="true" applyBorder="true" applyAlignment="true" applyProtection="true">
      <alignment horizontal="center" vertical="bottom" textRotation="0" wrapText="false" indent="0" shrinkToFit="false"/>
      <protection locked="true" hidden="true"/>
    </xf>
    <xf numFmtId="169" fontId="33" fillId="3" borderId="33" xfId="0" applyFont="true" applyBorder="true" applyAlignment="false" applyProtection="false">
      <alignment horizontal="general" vertical="bottom" textRotation="0" wrapText="false" indent="0" shrinkToFit="false"/>
      <protection locked="true" hidden="false"/>
    </xf>
    <xf numFmtId="172"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5"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4" fillId="3" borderId="36" xfId="0" applyFont="true" applyBorder="true" applyAlignment="true" applyProtection="false">
      <alignment horizontal="left" vertical="bottom" textRotation="0" wrapText="false" indent="1" shrinkToFit="false"/>
      <protection locked="true" hidden="false"/>
    </xf>
    <xf numFmtId="169"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7" xfId="0" applyFont="true" applyBorder="true" applyAlignment="false" applyProtection="false">
      <alignment horizontal="general" vertical="bottom" textRotation="0" wrapText="false" indent="0" shrinkToFit="false"/>
      <protection locked="true" hidden="false"/>
    </xf>
    <xf numFmtId="164" fontId="33" fillId="3" borderId="38" xfId="0" applyFont="true" applyBorder="true" applyAlignment="false" applyProtection="false">
      <alignment horizontal="general" vertical="bottom" textRotation="0" wrapText="false" indent="0" shrinkToFit="false"/>
      <protection locked="true" hidden="false"/>
    </xf>
    <xf numFmtId="164" fontId="34" fillId="3" borderId="23" xfId="0" applyFont="true" applyBorder="true" applyAlignment="true" applyProtection="false">
      <alignment horizontal="left" vertical="bottom" textRotation="0" wrapText="false" indent="1" shrinkToFit="false"/>
      <protection locked="true" hidden="false"/>
    </xf>
    <xf numFmtId="172" fontId="34" fillId="3" borderId="23" xfId="0" applyFont="true" applyBorder="true" applyAlignment="false" applyProtection="false">
      <alignment horizontal="general" vertical="bottom" textRotation="0" wrapText="false" indent="0" shrinkToFit="false"/>
      <protection locked="true" hidden="false"/>
    </xf>
    <xf numFmtId="172" fontId="33" fillId="3" borderId="0" xfId="0" applyFont="true" applyBorder="false" applyAlignment="false" applyProtection="false">
      <alignment horizontal="general" vertical="bottom" textRotation="0" wrapText="false" indent="0" shrinkToFit="false"/>
      <protection locked="true" hidden="false"/>
    </xf>
    <xf numFmtId="164" fontId="33" fillId="3" borderId="39" xfId="0" applyFont="true" applyBorder="true" applyAlignment="false" applyProtection="false">
      <alignment horizontal="general" vertical="bottom" textRotation="0" wrapText="false" indent="0" shrinkToFit="false"/>
      <protection locked="true" hidden="false"/>
    </xf>
    <xf numFmtId="164" fontId="33" fillId="3" borderId="40" xfId="0" applyFont="true" applyBorder="true" applyAlignment="true" applyProtection="false">
      <alignment horizontal="left" vertical="bottom" textRotation="0" wrapText="false" indent="1" shrinkToFit="false"/>
      <protection locked="true" hidden="false"/>
    </xf>
    <xf numFmtId="172" fontId="33" fillId="3" borderId="0" xfId="0" applyFont="true" applyBorder="false" applyAlignment="true" applyProtection="false">
      <alignment horizontal="center" vertical="bottom" textRotation="0" wrapText="false" indent="0" shrinkToFit="false"/>
      <protection locked="true" hidden="false"/>
    </xf>
    <xf numFmtId="172" fontId="33" fillId="0" borderId="21" xfId="0" applyFont="true" applyBorder="true" applyAlignment="false" applyProtection="false">
      <alignment horizontal="general" vertical="bottom" textRotation="0" wrapText="false" indent="0" shrinkToFit="false"/>
      <protection locked="true" hidden="false"/>
    </xf>
    <xf numFmtId="172" fontId="33" fillId="3" borderId="27" xfId="0" applyFont="true" applyBorder="true" applyAlignment="false" applyProtection="false">
      <alignment horizontal="general" vertical="bottom" textRotation="0" wrapText="false" indent="0" shrinkToFit="false"/>
      <protection locked="true" hidden="false"/>
    </xf>
    <xf numFmtId="169" fontId="33" fillId="3" borderId="34" xfId="0" applyFont="true" applyBorder="true" applyAlignment="false" applyProtection="false">
      <alignment horizontal="general" vertical="bottom" textRotation="0" wrapText="false" indent="0" shrinkToFit="false"/>
      <protection locked="true" hidden="false"/>
    </xf>
    <xf numFmtId="164" fontId="33" fillId="3" borderId="34" xfId="0" applyFont="true" applyBorder="tru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4" fontId="26" fillId="3" borderId="0" xfId="22" applyFont="true" applyBorder="false" applyAlignment="false" applyProtection="true">
      <alignment horizontal="general" vertical="bottom" textRotation="0" wrapText="false" indent="0" shrinkToFit="false"/>
      <protection locked="true" hidden="true"/>
    </xf>
    <xf numFmtId="164" fontId="32" fillId="3" borderId="21" xfId="22" applyFont="true" applyBorder="true" applyAlignment="true" applyProtection="true">
      <alignment horizontal="center" vertical="center" textRotation="0" wrapText="false" indent="0" shrinkToFit="false"/>
      <protection locked="true" hidden="true"/>
    </xf>
    <xf numFmtId="172" fontId="26" fillId="0" borderId="0" xfId="22" applyFont="true" applyBorder="false" applyAlignment="false" applyProtection="true">
      <alignment horizontal="general" vertical="bottom" textRotation="0" wrapText="false" indent="0" shrinkToFit="false"/>
      <protection locked="true" hidden="true"/>
    </xf>
    <xf numFmtId="175" fontId="26" fillId="0" borderId="0" xfId="22" applyFont="true" applyBorder="false" applyAlignment="false" applyProtection="true">
      <alignment horizontal="general" vertical="bottom" textRotation="0" wrapText="false" indent="0" shrinkToFit="false"/>
      <protection locked="true" hidden="true"/>
    </xf>
    <xf numFmtId="164" fontId="32" fillId="3" borderId="0" xfId="22" applyFont="true" applyBorder="false" applyAlignment="false" applyProtection="true">
      <alignment horizontal="general" vertical="bottom" textRotation="0" wrapText="false" indent="0" shrinkToFit="false"/>
      <protection locked="true" hidden="true"/>
    </xf>
    <xf numFmtId="172" fontId="32" fillId="0" borderId="22" xfId="22" applyFont="true" applyBorder="true" applyAlignment="false" applyProtection="true">
      <alignment horizontal="general" vertical="bottom" textRotation="0" wrapText="false" indent="0" shrinkToFit="false"/>
      <protection locked="true" hidden="true"/>
    </xf>
    <xf numFmtId="164" fontId="26" fillId="3" borderId="22" xfId="22" applyFont="true" applyBorder="true" applyAlignment="false" applyProtection="true">
      <alignment horizontal="general" vertical="bottom" textRotation="0" wrapText="false" indent="0" shrinkToFit="false"/>
      <protection locked="true" hidden="true"/>
    </xf>
    <xf numFmtId="172" fontId="26" fillId="0" borderId="0" xfId="22" applyFont="true" applyBorder="false" applyAlignment="true" applyProtection="true">
      <alignment horizontal="center" vertical="bottom" textRotation="0" wrapText="false" indent="0" shrinkToFit="false"/>
      <protection locked="true" hidden="true"/>
    </xf>
    <xf numFmtId="171"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true" applyProtection="false">
      <alignment horizontal="center" vertical="bottom" textRotation="0" wrapText="false" indent="0" shrinkToFit="false"/>
      <protection locked="true" hidden="false"/>
    </xf>
    <xf numFmtId="175" fontId="33" fillId="0" borderId="0" xfId="0" applyFont="true" applyBorder="false" applyAlignment="false" applyProtection="false">
      <alignment horizontal="general" vertical="bottom" textRotation="0" wrapText="false" indent="0" shrinkToFit="false"/>
      <protection locked="true" hidden="false"/>
    </xf>
    <xf numFmtId="173" fontId="33" fillId="0" borderId="0" xfId="0" applyFont="true" applyBorder="false" applyAlignment="true" applyProtection="false">
      <alignment horizontal="center" vertical="bottom" textRotation="0" wrapText="false" indent="0" shrinkToFit="false"/>
      <protection locked="true" hidden="false"/>
    </xf>
    <xf numFmtId="171" fontId="33" fillId="3" borderId="26" xfId="0" applyFont="true" applyBorder="true" applyAlignment="true" applyProtection="false">
      <alignment horizontal="center" vertical="center" textRotation="0" wrapText="true" indent="0" shrinkToFit="false"/>
      <protection locked="true" hidden="false"/>
    </xf>
    <xf numFmtId="164" fontId="10" fillId="3" borderId="41" xfId="0" applyFont="true" applyBorder="true" applyAlignment="true" applyProtection="false">
      <alignment horizontal="right" vertical="center" textRotation="0" wrapText="false" indent="0" shrinkToFit="false"/>
      <protection locked="true" hidden="false"/>
    </xf>
    <xf numFmtId="167" fontId="10" fillId="3" borderId="42" xfId="0" applyFont="true" applyBorder="true" applyAlignment="true" applyProtection="false">
      <alignment horizontal="center" vertical="center" textRotation="0" wrapText="false" indent="0" shrinkToFit="false"/>
      <protection locked="true" hidden="false"/>
    </xf>
    <xf numFmtId="173" fontId="34" fillId="3" borderId="27" xfId="0" applyFont="true" applyBorder="true" applyAlignment="true" applyProtection="false">
      <alignment horizontal="center" vertical="bottom" textRotation="0" wrapText="false" indent="0" shrinkToFit="false"/>
      <protection locked="true" hidden="false"/>
    </xf>
    <xf numFmtId="173" fontId="34" fillId="3" borderId="0" xfId="0" applyFont="true" applyBorder="true" applyAlignment="true" applyProtection="false">
      <alignment horizontal="center" vertical="bottom" textRotation="0" wrapText="false" indent="0" shrinkToFit="false"/>
      <protection locked="true" hidden="false"/>
    </xf>
    <xf numFmtId="176" fontId="33" fillId="3" borderId="21" xfId="0" applyFont="true" applyBorder="true" applyAlignment="true" applyProtection="false">
      <alignment horizontal="center" vertical="center" textRotation="0" wrapText="true" indent="0" shrinkToFit="false"/>
      <protection locked="true" hidden="false"/>
    </xf>
    <xf numFmtId="175" fontId="34" fillId="3" borderId="43" xfId="0" applyFont="true" applyBorder="true" applyAlignment="true" applyProtection="false">
      <alignment horizontal="center" vertical="bottom" textRotation="0" wrapText="false" indent="0" shrinkToFit="false"/>
      <protection locked="true" hidden="false"/>
    </xf>
    <xf numFmtId="173" fontId="34" fillId="3" borderId="21" xfId="0" applyFont="true" applyBorder="true" applyAlignment="true" applyProtection="false">
      <alignment horizontal="center" vertical="bottom" textRotation="0" wrapText="false" indent="0" shrinkToFit="false"/>
      <protection locked="true" hidden="false"/>
    </xf>
    <xf numFmtId="171" fontId="33" fillId="3"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77" fontId="33" fillId="3" borderId="25" xfId="0" applyFont="true" applyBorder="true" applyAlignment="true" applyProtection="false">
      <alignment horizontal="center" vertical="center" textRotation="0" wrapText="true" indent="0" shrinkToFit="false"/>
      <protection locked="true" hidden="false"/>
    </xf>
    <xf numFmtId="164" fontId="33" fillId="3" borderId="25" xfId="0" applyFont="true" applyBorder="true" applyAlignment="true" applyProtection="false">
      <alignment horizontal="center" vertical="center" textRotation="0" wrapText="true" indent="0" shrinkToFit="false"/>
      <protection locked="true" hidden="false"/>
    </xf>
    <xf numFmtId="173" fontId="33" fillId="3" borderId="21" xfId="0" applyFont="true" applyBorder="true" applyAlignment="true" applyProtection="false">
      <alignment horizontal="center" vertical="center" textRotation="0" wrapText="true" indent="0" shrinkToFit="false"/>
      <protection locked="true" hidden="false"/>
    </xf>
    <xf numFmtId="171" fontId="12" fillId="3" borderId="21" xfId="0" applyFont="true" applyBorder="true" applyAlignment="true" applyProtection="false">
      <alignment horizontal="center" vertical="center" textRotation="0" wrapText="true" indent="0" shrinkToFit="false"/>
      <protection locked="true" hidden="false"/>
    </xf>
    <xf numFmtId="176" fontId="34" fillId="3" borderId="21" xfId="0" applyFont="true" applyBorder="true" applyAlignment="true" applyProtection="false">
      <alignment horizontal="center" vertical="bottom" textRotation="0" wrapText="false" indent="0" shrinkToFit="false"/>
      <protection locked="true" hidden="false"/>
    </xf>
    <xf numFmtId="177" fontId="33" fillId="0" borderId="0" xfId="0" applyFont="true" applyBorder="false" applyAlignment="false" applyProtection="false">
      <alignment horizontal="general" vertical="bottom" textRotation="0" wrapText="false" indent="0" shrinkToFit="false"/>
      <protection locked="true" hidden="false"/>
    </xf>
    <xf numFmtId="171"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false" applyProtection="false">
      <alignment horizontal="general" vertical="bottom" textRotation="0" wrapText="false" indent="0" shrinkToFit="false"/>
      <protection locked="true" hidden="false"/>
    </xf>
    <xf numFmtId="176" fontId="33"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bottom" textRotation="0" wrapText="false" indent="0" shrinkToFit="false"/>
      <protection locked="true" hidden="false"/>
    </xf>
    <xf numFmtId="176" fontId="33"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3" fontId="33" fillId="3" borderId="0" xfId="0" applyFont="true" applyBorder="false" applyAlignment="false" applyProtection="false">
      <alignment horizontal="general" vertical="bottom" textRotation="0" wrapText="false" indent="0" shrinkToFit="false"/>
      <protection locked="true" hidden="false"/>
    </xf>
    <xf numFmtId="176" fontId="33" fillId="0" borderId="0" xfId="0" applyFont="true" applyBorder="fals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71" fontId="9"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71" fontId="33" fillId="0" borderId="25" xfId="0" applyFont="true" applyBorder="true" applyAlignment="false" applyProtection="false">
      <alignment horizontal="general"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3" fontId="33" fillId="0" borderId="25" xfId="0" applyFont="true" applyBorder="true" applyAlignment="false" applyProtection="false">
      <alignment horizontal="general" vertical="bottom" textRotation="0" wrapText="false" indent="0" shrinkToFit="false"/>
      <protection locked="true" hidden="false"/>
    </xf>
    <xf numFmtId="172" fontId="33" fillId="0" borderId="21"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false" applyAlignment="true" applyProtection="false">
      <alignment horizontal="center" vertical="center" textRotation="0" wrapText="false" indent="0" shrinkToFit="false"/>
      <protection locked="true" hidden="false"/>
    </xf>
    <xf numFmtId="171" fontId="33" fillId="0" borderId="21" xfId="0" applyFont="true" applyBorder="true" applyAlignment="false" applyProtection="false">
      <alignment horizontal="general" vertical="bottom" textRotation="0" wrapText="false" indent="0" shrinkToFit="false"/>
      <protection locked="true" hidden="false"/>
    </xf>
    <xf numFmtId="173"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71" fontId="33" fillId="0" borderId="24"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73" fontId="33" fillId="0" borderId="24" xfId="0" applyFont="true" applyBorder="true" applyAlignment="false" applyProtection="false">
      <alignment horizontal="general"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false" indent="0" shrinkToFit="false"/>
      <protection locked="true" hidden="false"/>
    </xf>
    <xf numFmtId="171" fontId="33" fillId="5" borderId="45" xfId="0" applyFont="true" applyBorder="true" applyAlignment="true" applyProtection="false">
      <alignment horizontal="left" vertical="bottom" textRotation="0" wrapText="false" indent="0" shrinkToFit="false"/>
      <protection locked="true" hidden="false"/>
    </xf>
    <xf numFmtId="173" fontId="33" fillId="3" borderId="21" xfId="0" applyFont="true" applyBorder="true" applyAlignment="false" applyProtection="false">
      <alignment horizontal="general" vertical="bottom" textRotation="0" wrapText="false" indent="0" shrinkToFit="false"/>
      <protection locked="true" hidden="false"/>
    </xf>
    <xf numFmtId="172" fontId="33" fillId="3" borderId="21" xfId="0" applyFont="true" applyBorder="true" applyAlignment="true" applyProtection="false">
      <alignment horizontal="center" vertical="bottom" textRotation="0" wrapText="false" indent="0" shrinkToFit="false"/>
      <protection locked="true" hidden="false"/>
    </xf>
    <xf numFmtId="173" fontId="33" fillId="3" borderId="21" xfId="0" applyFont="true" applyBorder="true" applyAlignment="true" applyProtection="false">
      <alignment horizontal="center"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9" fillId="5" borderId="42" xfId="0" applyFont="true" applyBorder="true" applyAlignment="true" applyProtection="false">
      <alignment horizontal="left" vertical="bottom" textRotation="0" wrapText="false" indent="0" shrinkToFit="false"/>
      <protection locked="true" hidden="false"/>
    </xf>
    <xf numFmtId="176" fontId="33" fillId="0" borderId="21" xfId="0" applyFont="true" applyBorder="true" applyAlignment="true" applyProtection="false">
      <alignment horizontal="center" vertical="bottom" textRotation="0" wrapText="false" indent="0" shrinkToFit="false"/>
      <protection locked="true" hidden="false"/>
    </xf>
    <xf numFmtId="164" fontId="33" fillId="5" borderId="41" xfId="0" applyFont="true" applyBorder="true" applyAlignment="true" applyProtection="false">
      <alignment horizontal="right" vertical="center" textRotation="0" wrapText="true" indent="0" shrinkToFit="false"/>
      <protection locked="true" hidden="false"/>
    </xf>
    <xf numFmtId="171" fontId="33" fillId="5" borderId="42" xfId="0" applyFont="true" applyBorder="true" applyAlignment="true" applyProtection="false">
      <alignment horizontal="left" vertical="bottom" textRotation="0" wrapText="false" indent="0" shrinkToFit="false"/>
      <protection locked="true" hidden="false"/>
    </xf>
    <xf numFmtId="173" fontId="33" fillId="3" borderId="27" xfId="0" applyFont="true" applyBorder="true" applyAlignment="false" applyProtection="false">
      <alignment horizontal="general" vertical="bottom" textRotation="0" wrapText="false" indent="0" shrinkToFit="false"/>
      <protection locked="true" hidden="false"/>
    </xf>
    <xf numFmtId="164" fontId="10" fillId="5" borderId="41" xfId="0" applyFont="true" applyBorder="true" applyAlignment="true" applyProtection="false">
      <alignment horizontal="right" vertical="center" textRotation="0" wrapText="false" indent="0" shrinkToFit="false"/>
      <protection locked="true" hidden="false"/>
    </xf>
    <xf numFmtId="167" fontId="10" fillId="5" borderId="42" xfId="0" applyFont="true" applyBorder="true" applyAlignment="true" applyProtection="false">
      <alignment horizontal="center" vertical="center" textRotation="0" wrapText="false" indent="0" shrinkToFit="false"/>
      <protection locked="true" hidden="false"/>
    </xf>
    <xf numFmtId="173" fontId="33" fillId="3" borderId="23" xfId="0" applyFont="true" applyBorder="true" applyAlignment="false" applyProtection="false">
      <alignment horizontal="general" vertical="bottom" textRotation="0" wrapText="false" indent="0" shrinkToFit="false"/>
      <protection locked="true" hidden="false"/>
    </xf>
    <xf numFmtId="172" fontId="33" fillId="3" borderId="23" xfId="0" applyFont="true" applyBorder="true" applyAlignment="true" applyProtection="false">
      <alignment horizontal="center" vertical="bottom" textRotation="0" wrapText="false" indent="0" shrinkToFit="false"/>
      <protection locked="true" hidden="false"/>
    </xf>
    <xf numFmtId="173" fontId="33" fillId="3" borderId="23" xfId="0" applyFont="true" applyBorder="true" applyAlignment="true" applyProtection="false">
      <alignment horizontal="center" vertical="bottom" textRotation="0" wrapText="false" indent="0" shrinkToFit="false"/>
      <protection locked="true" hidden="false"/>
    </xf>
    <xf numFmtId="171" fontId="10" fillId="3" borderId="0" xfId="0" applyFont="true" applyBorder="false" applyAlignment="true" applyProtection="false">
      <alignment horizontal="center" vertical="bottom" textRotation="0" wrapText="true" indent="0" shrinkToFit="false"/>
      <protection locked="true" hidden="false"/>
    </xf>
    <xf numFmtId="164" fontId="35" fillId="3"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tru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71" fontId="9" fillId="6" borderId="42" xfId="0" applyFont="true" applyBorder="true" applyAlignment="true" applyProtection="false">
      <alignment horizontal="left" vertical="bottom" textRotation="0" wrapText="false" indent="0" shrinkToFit="false"/>
      <protection locked="true" hidden="false"/>
    </xf>
    <xf numFmtId="164" fontId="34" fillId="0" borderId="25" xfId="0" applyFont="true" applyBorder="true" applyAlignment="false" applyProtection="false">
      <alignment horizontal="general" vertical="bottom" textRotation="0" wrapText="false" indent="0" shrinkToFit="false"/>
      <protection locked="true" hidden="false"/>
    </xf>
    <xf numFmtId="173" fontId="33" fillId="3" borderId="0" xfId="0" applyFont="true" applyBorder="false" applyAlignment="true" applyProtection="false">
      <alignment horizontal="center" vertical="center" textRotation="0" wrapText="false" indent="0" shrinkToFit="false"/>
      <protection locked="true" hidden="false"/>
    </xf>
    <xf numFmtId="164" fontId="34" fillId="0" borderId="21" xfId="0" applyFont="true" applyBorder="true" applyAlignment="false" applyProtection="false">
      <alignment horizontal="general" vertical="bottom" textRotation="0" wrapText="false" indent="0" shrinkToFit="false"/>
      <protection locked="true" hidden="false"/>
    </xf>
    <xf numFmtId="164" fontId="34" fillId="0" borderId="24" xfId="0" applyFont="true" applyBorder="true" applyAlignment="false" applyProtection="false">
      <alignment horizontal="general"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false" indent="0" shrinkToFit="false"/>
      <protection locked="true" hidden="false"/>
    </xf>
    <xf numFmtId="171" fontId="33" fillId="6" borderId="45" xfId="0" applyFont="true" applyBorder="true" applyAlignment="true" applyProtection="false">
      <alignment horizontal="left"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9" fillId="6" borderId="42" xfId="0" applyFont="true" applyBorder="true" applyAlignment="true" applyProtection="false">
      <alignment horizontal="left" vertical="bottom" textRotation="0" wrapText="false" indent="0" shrinkToFit="false"/>
      <protection locked="true" hidden="false"/>
    </xf>
    <xf numFmtId="164" fontId="33" fillId="6" borderId="41" xfId="0" applyFont="true" applyBorder="true" applyAlignment="true" applyProtection="false">
      <alignment horizontal="right" vertical="center" textRotation="0" wrapText="true" indent="0" shrinkToFit="false"/>
      <protection locked="true" hidden="false"/>
    </xf>
    <xf numFmtId="171" fontId="33" fillId="6" borderId="42" xfId="0" applyFont="true" applyBorder="true" applyAlignment="true" applyProtection="false">
      <alignment horizontal="left" vertical="bottom" textRotation="0" wrapText="false" indent="0" shrinkToFit="false"/>
      <protection locked="true" hidden="false"/>
    </xf>
    <xf numFmtId="173" fontId="33" fillId="3" borderId="26" xfId="0" applyFont="true" applyBorder="true" applyAlignment="false" applyProtection="false">
      <alignment horizontal="general" vertical="bottom" textRotation="0" wrapText="false" indent="0" shrinkToFit="false"/>
      <protection locked="true" hidden="false"/>
    </xf>
    <xf numFmtId="164" fontId="10" fillId="6" borderId="41" xfId="0" applyFont="true" applyBorder="true" applyAlignment="true" applyProtection="false">
      <alignment horizontal="right" vertical="center" textRotation="0" wrapText="false" indent="0" shrinkToFit="false"/>
      <protection locked="true" hidden="false"/>
    </xf>
    <xf numFmtId="165" fontId="5" fillId="6" borderId="42" xfId="0" applyFont="true" applyBorder="true" applyAlignment="true" applyProtection="false">
      <alignment horizontal="center" vertical="center" textRotation="0" wrapText="false" indent="0" shrinkToFit="false"/>
      <protection locked="true" hidden="false"/>
    </xf>
    <xf numFmtId="175" fontId="33" fillId="3"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true" applyProtection="true">
      <alignment horizontal="center" vertical="bottom" textRotation="0" wrapText="false" indent="0" shrinkToFit="false"/>
      <protection locked="true" hidden="true"/>
    </xf>
    <xf numFmtId="173" fontId="26" fillId="0" borderId="0" xfId="0" applyFont="true" applyBorder="false" applyAlignment="true" applyProtection="true">
      <alignment horizontal="center" vertical="bottom" textRotation="0" wrapText="false" indent="0" shrinkToFit="false"/>
      <protection locked="true" hidden="true"/>
    </xf>
    <xf numFmtId="170" fontId="26" fillId="0" borderId="0" xfId="0" applyFont="true" applyBorder="false" applyAlignment="false" applyProtection="true">
      <alignment horizontal="general" vertical="bottom" textRotation="0" wrapText="false" indent="0" shrinkToFit="false"/>
      <protection locked="true" hidden="true"/>
    </xf>
    <xf numFmtId="174" fontId="26" fillId="3" borderId="0" xfId="0" applyFont="true" applyBorder="false" applyAlignment="true" applyProtection="true">
      <alignment horizontal="center" vertical="bottom" textRotation="0" wrapText="false" indent="0" shrinkToFit="false"/>
      <protection locked="true" hidden="true"/>
    </xf>
    <xf numFmtId="173" fontId="26" fillId="3" borderId="0" xfId="0" applyFont="true" applyBorder="false" applyAlignment="true" applyProtection="true">
      <alignment horizontal="center" vertical="bottom" textRotation="0" wrapText="false" indent="0" shrinkToFit="false"/>
      <protection locked="true" hidden="true"/>
    </xf>
    <xf numFmtId="170" fontId="26"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5" fontId="5" fillId="3" borderId="42" xfId="0" applyFont="true" applyBorder="true" applyAlignment="true" applyProtection="false">
      <alignment horizontal="left" vertical="center" textRotation="0" wrapText="true" indent="1" shrinkToFit="false"/>
      <protection locked="true" hidden="false"/>
    </xf>
    <xf numFmtId="174" fontId="26" fillId="3" borderId="27" xfId="0" applyFont="true" applyBorder="true" applyAlignment="true" applyProtection="true">
      <alignment horizontal="center" vertical="center" textRotation="0" wrapText="true" indent="0" shrinkToFit="false"/>
      <protection locked="true" hidden="true"/>
    </xf>
    <xf numFmtId="172" fontId="26"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8" fontId="26" fillId="3" borderId="0" xfId="0" applyFont="true" applyBorder="false" applyAlignment="true" applyProtection="true">
      <alignment horizontal="center" vertical="bottom" textRotation="0" wrapText="false" indent="0" shrinkToFit="false"/>
      <protection locked="true" hidden="true"/>
    </xf>
    <xf numFmtId="164" fontId="26" fillId="3" borderId="21" xfId="0" applyFont="true" applyBorder="true" applyAlignment="true" applyProtection="true">
      <alignment horizontal="left" vertical="center" textRotation="0" wrapText="false" indent="1" shrinkToFit="false"/>
      <protection locked="true" hidden="true"/>
    </xf>
    <xf numFmtId="173" fontId="26" fillId="0" borderId="21" xfId="0" applyFont="true" applyBorder="true" applyAlignment="true" applyProtection="true">
      <alignment horizontal="center" vertical="bottom" textRotation="0" wrapText="false" indent="0" shrinkToFit="false"/>
      <protection locked="true" hidden="true"/>
    </xf>
    <xf numFmtId="173" fontId="26" fillId="0" borderId="0" xfId="0" applyFont="true" applyBorder="false" applyAlignment="false" applyProtection="true">
      <alignment horizontal="general" vertical="bottom" textRotation="0" wrapText="false" indent="0" shrinkToFit="false"/>
      <protection locked="true" hidden="true"/>
    </xf>
    <xf numFmtId="179" fontId="26" fillId="3" borderId="0" xfId="0" applyFont="true" applyBorder="false" applyAlignment="true" applyProtection="true">
      <alignment horizontal="center" vertical="bottom" textRotation="0" wrapText="false" indent="0" shrinkToFit="false"/>
      <protection locked="true" hidden="true"/>
    </xf>
    <xf numFmtId="176" fontId="26" fillId="3" borderId="0" xfId="0" applyFont="true" applyBorder="false" applyAlignment="true" applyProtection="true">
      <alignment horizontal="center" vertical="bottom" textRotation="0" wrapText="false" indent="0" shrinkToFit="false"/>
      <protection locked="true" hidden="true"/>
    </xf>
    <xf numFmtId="164" fontId="36" fillId="0" borderId="0" xfId="0" applyFont="true" applyBorder="false" applyAlignment="false" applyProtection="true">
      <alignment horizontal="general" vertical="bottom" textRotation="0" wrapText="false" indent="0" shrinkToFit="false"/>
      <protection locked="true" hidden="true"/>
    </xf>
    <xf numFmtId="164" fontId="26" fillId="3" borderId="23" xfId="0" applyFont="true" applyBorder="true" applyAlignment="true" applyProtection="true">
      <alignment horizontal="left" vertical="center" textRotation="0" wrapText="false" indent="1" shrinkToFit="false"/>
      <protection locked="true" hidden="true"/>
    </xf>
    <xf numFmtId="164" fontId="26"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3" fontId="32" fillId="0" borderId="23" xfId="0" applyFont="true" applyBorder="true" applyAlignment="true" applyProtection="true">
      <alignment horizontal="center" vertical="bottom" textRotation="0" wrapText="false" indent="0" shrinkToFit="false"/>
      <protection locked="true" hidden="true"/>
    </xf>
    <xf numFmtId="178" fontId="26" fillId="3" borderId="0" xfId="0" applyFont="true" applyBorder="false" applyAlignment="false" applyProtection="true">
      <alignment horizontal="general" vertical="bottom" textRotation="0" wrapText="false" indent="0" shrinkToFit="false"/>
      <protection locked="true" hidden="true"/>
    </xf>
    <xf numFmtId="170" fontId="37" fillId="3" borderId="0" xfId="0" applyFont="true" applyBorder="false" applyAlignment="true" applyProtection="true">
      <alignment horizontal="center" vertical="bottom" textRotation="0" wrapText="false" indent="0" shrinkToFit="false"/>
      <protection locked="true" hidden="true"/>
    </xf>
    <xf numFmtId="172" fontId="32" fillId="3" borderId="0" xfId="0" applyFont="true" applyBorder="false" applyAlignment="true" applyProtection="true">
      <alignment horizontal="center" vertical="bottom" textRotation="0" wrapText="false" indent="0" shrinkToFit="false"/>
      <protection locked="true" hidden="true"/>
    </xf>
    <xf numFmtId="164" fontId="38" fillId="3" borderId="0" xfId="0" applyFont="true" applyBorder="false" applyAlignment="true" applyProtection="true">
      <alignment horizontal="right" vertical="bottom" textRotation="0" wrapText="false" indent="0" shrinkToFit="false"/>
      <protection locked="true" hidden="true"/>
    </xf>
    <xf numFmtId="167" fontId="38" fillId="3" borderId="0" xfId="0" applyFont="true" applyBorder="true" applyAlignment="true" applyProtection="true">
      <alignment horizontal="left" vertical="bottom" textRotation="0" wrapText="false" indent="0" shrinkToFit="false"/>
      <protection locked="true" hidden="true"/>
    </xf>
    <xf numFmtId="171" fontId="26" fillId="3" borderId="0" xfId="0" applyFont="true" applyBorder="false" applyAlignment="true" applyProtection="true">
      <alignment horizontal="center" vertical="bottom" textRotation="0" wrapText="false" indent="0" shrinkToFit="false"/>
      <protection locked="true" hidden="true"/>
    </xf>
    <xf numFmtId="173" fontId="32" fillId="3" borderId="0" xfId="0" applyFont="true" applyBorder="false" applyAlignment="true" applyProtection="true">
      <alignment horizontal="center" vertical="bottom" textRotation="0" wrapText="false" indent="0" shrinkToFit="false"/>
      <protection locked="true" hidden="true"/>
    </xf>
    <xf numFmtId="164" fontId="26" fillId="3" borderId="23" xfId="0" applyFont="true" applyBorder="true" applyAlignment="true" applyProtection="true">
      <alignment horizontal="left" vertical="bottom" textRotation="0" wrapText="false" indent="1" shrinkToFit="false"/>
      <protection locked="true" hidden="true"/>
    </xf>
    <xf numFmtId="173" fontId="26" fillId="3" borderId="21" xfId="0" applyFont="true" applyBorder="true" applyAlignment="true" applyProtection="true">
      <alignment horizontal="center" vertical="bottom" textRotation="0" wrapText="false" indent="0" shrinkToFit="false"/>
      <protection locked="true" hidden="true"/>
    </xf>
    <xf numFmtId="164" fontId="32" fillId="3" borderId="23" xfId="0" applyFont="true" applyBorder="true" applyAlignment="true" applyProtection="true">
      <alignment horizontal="left" vertical="bottom" textRotation="0" wrapText="false" indent="1" shrinkToFit="false"/>
      <protection locked="true" hidden="true"/>
    </xf>
    <xf numFmtId="164" fontId="32" fillId="3" borderId="0" xfId="0" applyFont="true" applyBorder="false" applyAlignment="true" applyProtection="true">
      <alignment horizontal="center" vertical="bottom" textRotation="0" wrapText="false" indent="0" shrinkToFit="false"/>
      <protection locked="true" hidden="true"/>
    </xf>
    <xf numFmtId="164" fontId="26" fillId="3" borderId="41" xfId="0" applyFont="true" applyBorder="true" applyAlignment="true" applyProtection="true">
      <alignment horizontal="left" vertical="center" textRotation="0" wrapText="false" indent="1" shrinkToFit="false"/>
      <protection locked="true" hidden="true"/>
    </xf>
    <xf numFmtId="172" fontId="26" fillId="3" borderId="23" xfId="0" applyFont="true" applyBorder="true" applyAlignment="true" applyProtection="true">
      <alignment horizontal="center" vertical="center" textRotation="0" wrapText="true" indent="0" shrinkToFit="false"/>
      <protection locked="true" hidden="true"/>
    </xf>
    <xf numFmtId="164" fontId="26" fillId="3" borderId="0" xfId="0" applyFont="true" applyBorder="false" applyAlignment="true" applyProtection="true">
      <alignment horizontal="center" vertical="bottom" textRotation="0" wrapText="false" indent="0" shrinkToFit="false"/>
      <protection locked="true" hidden="true"/>
    </xf>
    <xf numFmtId="174" fontId="26" fillId="3" borderId="21" xfId="0" applyFont="true" applyBorder="true" applyAlignment="true" applyProtection="true">
      <alignment horizontal="center" vertical="bottom" textRotation="0" wrapText="true" indent="0" shrinkToFit="false"/>
      <protection locked="true" hidden="true"/>
    </xf>
    <xf numFmtId="173" fontId="26" fillId="3" borderId="21" xfId="0" applyFont="true" applyBorder="true" applyAlignment="true" applyProtection="true">
      <alignment horizontal="center" vertical="bottom" textRotation="0" wrapText="true" indent="0" shrinkToFit="false"/>
      <protection locked="true" hidden="true"/>
    </xf>
    <xf numFmtId="170" fontId="26" fillId="3" borderId="0" xfId="0" applyFont="true" applyBorder="false" applyAlignment="true" applyProtection="true">
      <alignment horizontal="center" vertical="bottom" textRotation="0" wrapText="false" indent="0" shrinkToFit="false"/>
      <protection locked="true" hidden="true"/>
    </xf>
    <xf numFmtId="164" fontId="26" fillId="0" borderId="0" xfId="0" applyFont="true" applyBorder="false" applyAlignment="true" applyProtection="true">
      <alignment horizontal="center" vertical="bottom" textRotation="0" wrapText="false" indent="0" shrinkToFit="false"/>
      <protection locked="true" hidden="true"/>
    </xf>
    <xf numFmtId="171" fontId="26" fillId="3" borderId="0" xfId="0" applyFont="true" applyBorder="false" applyAlignment="true" applyProtection="true">
      <alignment horizontal="left" vertical="bottom" textRotation="0" wrapText="false" indent="1" shrinkToFit="false"/>
      <protection locked="true" hidden="true"/>
    </xf>
    <xf numFmtId="174" fontId="26" fillId="3" borderId="21" xfId="0" applyFont="true" applyBorder="true" applyAlignment="true" applyProtection="true">
      <alignment horizontal="center" vertical="bottom" textRotation="0" wrapText="false" indent="0" shrinkToFit="false"/>
      <protection locked="true" hidden="true"/>
    </xf>
    <xf numFmtId="171" fontId="26" fillId="3" borderId="21" xfId="0" applyFont="true" applyBorder="true" applyAlignment="true" applyProtection="true">
      <alignment horizontal="center" vertical="bottom" textRotation="0" wrapText="false" indent="0" shrinkToFit="false"/>
      <protection locked="true" hidden="true"/>
    </xf>
    <xf numFmtId="164" fontId="33" fillId="3" borderId="21" xfId="0" applyFont="true" applyBorder="true" applyAlignment="true" applyProtection="true">
      <alignment horizontal="left" vertical="bottom" textRotation="0" wrapText="false" indent="1" shrinkToFit="false"/>
      <protection locked="true" hidden="true"/>
    </xf>
    <xf numFmtId="164" fontId="34" fillId="3" borderId="0" xfId="0" applyFont="true" applyBorder="false" applyAlignment="true" applyProtection="true">
      <alignment horizontal="left" vertical="bottom" textRotation="0" wrapText="false" indent="1" shrinkToFit="false"/>
      <protection locked="true" hidden="true"/>
    </xf>
    <xf numFmtId="173" fontId="32" fillId="3" borderId="0" xfId="0" applyFont="true" applyBorder="false" applyAlignment="false" applyProtection="true">
      <alignment horizontal="general" vertical="bottom" textRotation="0" wrapText="false" indent="0" shrinkToFit="false"/>
      <protection locked="true" hidden="true"/>
    </xf>
    <xf numFmtId="172" fontId="26" fillId="3" borderId="0" xfId="0" applyFont="true" applyBorder="false" applyAlignment="false" applyProtection="true">
      <alignment horizontal="general" vertical="bottom" textRotation="0" wrapText="false" indent="0" shrinkToFit="false"/>
      <protection locked="true" hidden="true"/>
    </xf>
    <xf numFmtId="171" fontId="33" fillId="3" borderId="0" xfId="0" applyFont="true" applyBorder="false" applyAlignment="true" applyProtection="true">
      <alignment horizontal="left" vertical="bottom" textRotation="0" wrapText="false" indent="1" shrinkToFit="false"/>
      <protection locked="true" hidden="true"/>
    </xf>
    <xf numFmtId="171" fontId="26" fillId="3" borderId="0" xfId="0" applyFont="true" applyBorder="false" applyAlignment="false" applyProtection="true">
      <alignment horizontal="general" vertical="bottom" textRotation="0" wrapText="false" indent="0" shrinkToFit="false"/>
      <protection locked="true" hidden="true"/>
    </xf>
    <xf numFmtId="171" fontId="34" fillId="3" borderId="0" xfId="0" applyFont="true" applyBorder="false" applyAlignment="true" applyProtection="true">
      <alignment horizontal="left" vertical="bottom" textRotation="0" wrapText="false" indent="1" shrinkToFit="false"/>
      <protection locked="true" hidden="true"/>
    </xf>
    <xf numFmtId="173" fontId="26" fillId="3" borderId="0" xfId="0" applyFont="true" applyBorder="false" applyAlignment="false" applyProtection="true">
      <alignment horizontal="general" vertical="bottom" textRotation="0" wrapText="false" indent="0" shrinkToFit="false"/>
      <protection locked="true" hidden="true"/>
    </xf>
    <xf numFmtId="169" fontId="33" fillId="3" borderId="0" xfId="0" applyFont="true" applyBorder="false" applyAlignment="false" applyProtection="false">
      <alignment horizontal="general" vertical="bottom" textRotation="0" wrapText="false" indent="0" shrinkToFit="false"/>
      <protection locked="true" hidden="false"/>
    </xf>
    <xf numFmtId="169" fontId="34" fillId="3" borderId="41" xfId="0" applyFont="true" applyBorder="true" applyAlignment="true" applyProtection="false">
      <alignment horizontal="center" vertical="center" textRotation="0" wrapText="true" indent="0" shrinkToFit="false"/>
      <protection locked="true" hidden="false"/>
    </xf>
    <xf numFmtId="164" fontId="33" fillId="3" borderId="46" xfId="0" applyFont="true" applyBorder="true" applyAlignment="true" applyProtection="false">
      <alignment horizontal="center" vertical="center" textRotation="0" wrapText="true" indent="0" shrinkToFit="false"/>
      <protection locked="true" hidden="false"/>
    </xf>
    <xf numFmtId="166" fontId="26" fillId="3" borderId="27" xfId="0" applyFont="true" applyBorder="true" applyAlignment="true" applyProtection="true">
      <alignment horizontal="center" vertical="center" textRotation="0" wrapText="true" indent="0" shrinkToFit="false"/>
      <protection locked="true" hidden="true"/>
    </xf>
    <xf numFmtId="166" fontId="26" fillId="3" borderId="21" xfId="0" applyFont="true" applyBorder="true" applyAlignment="true" applyProtection="true">
      <alignment horizontal="center" vertical="center" textRotation="0" wrapText="true" indent="0" shrinkToFit="false"/>
      <protection locked="true" hidden="true"/>
    </xf>
    <xf numFmtId="171" fontId="33" fillId="3" borderId="47" xfId="0" applyFont="true" applyBorder="true" applyAlignment="true" applyProtection="false">
      <alignment horizontal="center" vertical="center" textRotation="0" wrapText="true" indent="0" shrinkToFit="false"/>
      <protection locked="true" hidden="false"/>
    </xf>
    <xf numFmtId="169" fontId="33" fillId="3" borderId="32" xfId="0" applyFont="true" applyBorder="true" applyAlignment="true" applyProtection="false">
      <alignment horizontal="center" vertical="bottom" textRotation="0" wrapText="false" indent="0" shrinkToFit="false"/>
      <protection locked="true" hidden="false"/>
    </xf>
    <xf numFmtId="169" fontId="33" fillId="3" borderId="21" xfId="0" applyFont="true" applyBorder="true" applyAlignment="true" applyProtection="false">
      <alignment horizontal="center" vertical="bottom" textRotation="0" wrapText="false" indent="0" shrinkToFit="false"/>
      <protection locked="true" hidden="false"/>
    </xf>
    <xf numFmtId="169" fontId="33" fillId="3" borderId="26" xfId="0" applyFont="true" applyBorder="true" applyAlignment="true" applyProtection="false">
      <alignment horizontal="center" vertical="bottom" textRotation="0" wrapText="false" indent="0" shrinkToFit="false"/>
      <protection locked="true" hidden="false"/>
    </xf>
    <xf numFmtId="169" fontId="34" fillId="3" borderId="0" xfId="0" applyFont="true" applyBorder="false" applyAlignment="true" applyProtection="false">
      <alignment horizontal="right" vertical="bottom" textRotation="0" wrapText="false" indent="1" shrinkToFit="false"/>
      <protection locked="true" hidden="false"/>
    </xf>
    <xf numFmtId="169" fontId="33" fillId="3" borderId="0" xfId="0" applyFont="true" applyBorder="false" applyAlignment="true" applyProtection="false">
      <alignment horizontal="left" vertical="bottom" textRotation="0" wrapText="false" indent="1" shrinkToFit="false"/>
      <protection locked="true" hidden="false"/>
    </xf>
    <xf numFmtId="172" fontId="33" fillId="0"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true" applyProtection="false">
      <alignment horizontal="left" vertical="bottom" textRotation="0" wrapText="false" indent="1" shrinkToFit="false"/>
      <protection locked="true" hidden="false"/>
    </xf>
    <xf numFmtId="172" fontId="34" fillId="3" borderId="0" xfId="0" applyFont="true" applyBorder="false" applyAlignment="false" applyProtection="false">
      <alignment horizontal="general" vertical="bottom" textRotation="0" wrapText="false" indent="0" shrinkToFit="false"/>
      <protection locked="true" hidden="false"/>
    </xf>
    <xf numFmtId="169" fontId="34" fillId="3" borderId="0" xfId="0" applyFont="true" applyBorder="false" applyAlignment="false" applyProtection="false">
      <alignment horizontal="general" vertical="bottom" textRotation="0" wrapText="false" indent="0" shrinkToFit="false"/>
      <protection locked="true" hidden="false"/>
    </xf>
    <xf numFmtId="169" fontId="34" fillId="3" borderId="23" xfId="0" applyFont="true" applyBorder="true" applyAlignment="true" applyProtection="false">
      <alignment horizontal="center" vertical="center" textRotation="0" wrapText="true" indent="0" shrinkToFit="false"/>
      <protection locked="true" hidden="false"/>
    </xf>
    <xf numFmtId="166" fontId="33" fillId="3" borderId="21" xfId="0" applyFont="true" applyBorder="true" applyAlignment="true" applyProtection="false">
      <alignment horizontal="center" vertical="center" textRotation="0" wrapText="true" indent="0" shrinkToFit="false"/>
      <protection locked="true" hidden="false"/>
    </xf>
    <xf numFmtId="169" fontId="33" fillId="3" borderId="27" xfId="0" applyFont="true" applyBorder="true" applyAlignment="true" applyProtection="false">
      <alignment horizontal="center"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true" indent="1" shrinkToFit="false"/>
      <protection locked="true" hidden="false"/>
    </xf>
    <xf numFmtId="169" fontId="33" fillId="3" borderId="40" xfId="0" applyFont="true" applyBorder="true" applyAlignment="true" applyProtection="false">
      <alignment horizontal="left" vertical="bottom" textRotation="0" wrapText="false" indent="1" shrinkToFit="false"/>
      <protection locked="true" hidden="false"/>
    </xf>
    <xf numFmtId="172" fontId="33" fillId="3" borderId="39" xfId="0" applyFont="true" applyBorder="true" applyAlignment="false" applyProtection="false">
      <alignment horizontal="general" vertical="bottom" textRotation="0" wrapText="false" indent="0" shrinkToFit="false"/>
      <protection locked="true" hidden="false"/>
    </xf>
    <xf numFmtId="164" fontId="39" fillId="3" borderId="0" xfId="0" applyFont="true" applyBorder="false" applyAlignment="false" applyProtection="false">
      <alignment horizontal="general" vertical="bottom" textRotation="0" wrapText="false" indent="0" shrinkToFit="false"/>
      <protection locked="true" hidden="false"/>
    </xf>
    <xf numFmtId="172" fontId="34" fillId="3" borderId="48" xfId="0" applyFont="true" applyBorder="true" applyAlignment="false" applyProtection="false">
      <alignment horizontal="general" vertical="bottom" textRotation="0" wrapText="false" indent="0" shrinkToFit="false"/>
      <protection locked="true" hidden="false"/>
    </xf>
    <xf numFmtId="164" fontId="33" fillId="3" borderId="33"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false" applyProtection="false">
      <alignment horizontal="general" vertical="bottom" textRotation="0" wrapText="false" indent="0" shrinkToFit="false"/>
      <protection locked="true" hidden="false"/>
    </xf>
    <xf numFmtId="180" fontId="26" fillId="0" borderId="0" xfId="0" applyFont="true" applyBorder="false" applyAlignment="false" applyProtection="false">
      <alignment horizontal="general" vertical="bottom" textRotation="0" wrapText="false" indent="0" shrinkToFit="false"/>
      <protection locked="true" hidden="false"/>
    </xf>
    <xf numFmtId="172"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center" vertical="bottom" textRotation="0" wrapText="false" indent="0" shrinkToFit="false"/>
      <protection locked="true" hidden="false"/>
    </xf>
    <xf numFmtId="171" fontId="26" fillId="3" borderId="21" xfId="0" applyFont="true" applyBorder="true" applyAlignment="true" applyProtection="false">
      <alignment horizontal="center" vertical="center" textRotation="0" wrapText="true" indent="0" shrinkToFit="false"/>
      <protection locked="true" hidden="false"/>
    </xf>
    <xf numFmtId="180" fontId="26" fillId="3" borderId="21" xfId="0" applyFont="true" applyBorder="true" applyAlignment="true" applyProtection="false">
      <alignment horizontal="center" vertical="center" textRotation="0" wrapText="true" indent="0" shrinkToFit="false"/>
      <protection locked="true" hidden="false"/>
    </xf>
    <xf numFmtId="173" fontId="32" fillId="3" borderId="21" xfId="0" applyFont="true" applyBorder="true" applyAlignment="true" applyProtection="false">
      <alignment horizontal="center"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73" fontId="32" fillId="0" borderId="0" xfId="0" applyFont="true" applyBorder="fals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true" indent="0" shrinkToFit="false"/>
      <protection locked="true" hidden="false"/>
    </xf>
    <xf numFmtId="172" fontId="26" fillId="3" borderId="21" xfId="0" applyFont="true" applyBorder="true" applyAlignment="true" applyProtection="false">
      <alignment horizontal="center" vertical="center" textRotation="0" wrapText="true" indent="0" shrinkToFit="false"/>
      <protection locked="true" hidden="false"/>
    </xf>
    <xf numFmtId="173" fontId="26" fillId="0" borderId="0" xfId="0" applyFont="true" applyBorder="false" applyAlignment="true" applyProtection="false">
      <alignment horizontal="center" vertical="center" textRotation="0" wrapText="true" indent="0" shrinkToFit="false"/>
      <protection locked="true" hidden="false"/>
    </xf>
    <xf numFmtId="171" fontId="26" fillId="0" borderId="36" xfId="0" applyFont="true" applyBorder="true" applyAlignment="false" applyProtection="false">
      <alignment horizontal="general" vertical="bottom" textRotation="0" wrapText="false" indent="0" shrinkToFit="false"/>
      <protection locked="true" hidden="false"/>
    </xf>
    <xf numFmtId="180" fontId="26" fillId="0" borderId="37" xfId="0" applyFont="true" applyBorder="true" applyAlignment="false" applyProtection="false">
      <alignment horizontal="general" vertical="bottom" textRotation="0" wrapText="false" indent="0" shrinkToFit="false"/>
      <protection locked="true" hidden="false"/>
    </xf>
    <xf numFmtId="173" fontId="26" fillId="0" borderId="37" xfId="0" applyFont="true" applyBorder="true" applyAlignment="false" applyProtection="false">
      <alignment horizontal="general" vertical="bottom" textRotation="0" wrapText="false" indent="0" shrinkToFit="false"/>
      <protection locked="true" hidden="false"/>
    </xf>
    <xf numFmtId="172" fontId="26" fillId="0" borderId="37" xfId="0" applyFont="true" applyBorder="true" applyAlignment="true" applyProtection="false">
      <alignment horizontal="center" vertical="bottom" textRotation="0" wrapText="false" indent="0" shrinkToFit="false"/>
      <protection locked="true" hidden="false"/>
    </xf>
    <xf numFmtId="173" fontId="26" fillId="0" borderId="37" xfId="0" applyFont="true" applyBorder="true" applyAlignment="true" applyProtection="false">
      <alignment horizontal="center" vertical="bottom" textRotation="0" wrapText="false" indent="0" shrinkToFit="false"/>
      <protection locked="true" hidden="false"/>
    </xf>
    <xf numFmtId="173" fontId="26" fillId="0" borderId="38" xfId="0" applyFont="true" applyBorder="true" applyAlignment="false" applyProtection="false">
      <alignment horizontal="general" vertical="bottom" textRotation="0" wrapText="false" indent="0" shrinkToFit="false"/>
      <protection locked="true" hidden="false"/>
    </xf>
    <xf numFmtId="171" fontId="26" fillId="0" borderId="40" xfId="0" applyFont="true" applyBorder="true" applyAlignment="false" applyProtection="false">
      <alignment horizontal="general" vertical="bottom" textRotation="0" wrapText="false" indent="0" shrinkToFit="false"/>
      <protection locked="true" hidden="false"/>
    </xf>
    <xf numFmtId="173" fontId="26" fillId="0" borderId="39" xfId="0" applyFont="true" applyBorder="true" applyAlignment="false" applyProtection="false">
      <alignment horizontal="general" vertical="bottom" textRotation="0" wrapText="false" indent="0" shrinkToFit="false"/>
      <protection locked="true" hidden="false"/>
    </xf>
    <xf numFmtId="171" fontId="26" fillId="0" borderId="33" xfId="0" applyFont="true" applyBorder="true" applyAlignment="false" applyProtection="false">
      <alignment horizontal="general" vertical="bottom" textRotation="0" wrapText="false" indent="0" shrinkToFit="false"/>
      <protection locked="true" hidden="false"/>
    </xf>
    <xf numFmtId="180" fontId="26" fillId="0" borderId="34" xfId="0" applyFont="true" applyBorder="true" applyAlignment="false" applyProtection="false">
      <alignment horizontal="general" vertical="bottom" textRotation="0" wrapText="false" indent="0" shrinkToFit="false"/>
      <protection locked="true" hidden="false"/>
    </xf>
    <xf numFmtId="173" fontId="26" fillId="0" borderId="34" xfId="0" applyFont="true" applyBorder="true" applyAlignment="false" applyProtection="false">
      <alignment horizontal="general" vertical="bottom" textRotation="0" wrapText="false" indent="0" shrinkToFit="false"/>
      <protection locked="true" hidden="false"/>
    </xf>
    <xf numFmtId="172" fontId="26" fillId="0" borderId="34" xfId="0" applyFont="true" applyBorder="true" applyAlignment="true" applyProtection="false">
      <alignment horizontal="center" vertical="bottom" textRotation="0" wrapText="false" indent="0" shrinkToFit="false"/>
      <protection locked="true" hidden="false"/>
    </xf>
    <xf numFmtId="173" fontId="26" fillId="0" borderId="49" xfId="0" applyFont="true" applyBorder="true" applyAlignment="false" applyProtection="false">
      <alignment horizontal="general" vertical="bottom" textRotation="0" wrapText="false" indent="0" shrinkToFit="false"/>
      <protection locked="true" hidden="false"/>
    </xf>
    <xf numFmtId="173" fontId="26" fillId="0" borderId="50" xfId="0" applyFont="true" applyBorder="true" applyAlignment="fals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center" vertical="bottom" textRotation="0" wrapText="false" indent="0" shrinkToFit="false"/>
      <protection locked="true" hidden="false"/>
    </xf>
    <xf numFmtId="173" fontId="26" fillId="0" borderId="0" xfId="0" applyFont="true" applyBorder="false" applyAlignment="true" applyProtection="false">
      <alignment horizontal="right" vertical="bottom" textRotation="0" wrapText="false" indent="0" shrinkToFit="false"/>
      <protection locked="true" hidden="false"/>
    </xf>
    <xf numFmtId="173" fontId="33" fillId="3" borderId="21" xfId="0" applyFont="true" applyBorder="true" applyAlignment="true" applyProtection="false">
      <alignment horizontal="center" vertical="center" textRotation="0" wrapText="false" indent="0" shrinkToFit="false"/>
      <protection locked="true" hidden="false"/>
    </xf>
    <xf numFmtId="173" fontId="34" fillId="3" borderId="21" xfId="0" applyFont="true" applyBorder="true" applyAlignment="true" applyProtection="false">
      <alignment horizontal="center" vertical="center" textRotation="0" wrapText="true" indent="0" shrinkToFit="false"/>
      <protection locked="true" hidden="false"/>
    </xf>
    <xf numFmtId="165" fontId="40" fillId="3" borderId="21" xfId="0" applyFont="true" applyBorder="true" applyAlignment="true" applyProtection="false">
      <alignment horizontal="center" vertical="center" textRotation="0" wrapText="true" indent="0" shrinkToFit="false"/>
      <protection locked="true" hidden="false"/>
    </xf>
    <xf numFmtId="173" fontId="34" fillId="5" borderId="21" xfId="0" applyFont="true" applyBorder="true" applyAlignment="true" applyProtection="false">
      <alignment horizontal="center" vertical="bottom" textRotation="0" wrapText="false" indent="0" shrinkToFit="false"/>
      <protection locked="true" hidden="false"/>
    </xf>
    <xf numFmtId="173" fontId="33" fillId="5" borderId="21" xfId="0" applyFont="true" applyBorder="true" applyAlignment="false" applyProtection="false">
      <alignment horizontal="general" vertical="bottom" textRotation="0" wrapText="false" indent="0" shrinkToFit="false"/>
      <protection locked="true" hidden="false"/>
    </xf>
    <xf numFmtId="164" fontId="33" fillId="3" borderId="21" xfId="0" applyFont="true" applyBorder="true" applyAlignment="true" applyProtection="false">
      <alignment horizontal="center" vertical="center" textRotation="0" wrapText="true" indent="0" shrinkToFit="false"/>
      <protection locked="true" hidden="false"/>
    </xf>
    <xf numFmtId="173" fontId="34" fillId="3" borderId="26" xfId="0" applyFont="true" applyBorder="true" applyAlignment="true" applyProtection="false">
      <alignment horizontal="center" vertical="center" textRotation="0" wrapText="true" indent="0" shrinkToFit="false"/>
      <protection locked="true" hidden="false"/>
    </xf>
    <xf numFmtId="173" fontId="34" fillId="3" borderId="27" xfId="0" applyFont="true" applyBorder="true" applyAlignment="true" applyProtection="false">
      <alignment horizontal="center" vertical="center" textRotation="0" wrapText="true" indent="0" shrinkToFit="false"/>
      <protection locked="true" hidden="false"/>
    </xf>
    <xf numFmtId="173" fontId="33" fillId="5" borderId="21" xfId="0" applyFont="true" applyBorder="true" applyAlignment="true" applyProtection="false">
      <alignment horizontal="center" vertical="center" textRotation="0" wrapText="true" indent="0" shrinkToFit="false"/>
      <protection locked="true" hidden="false"/>
    </xf>
    <xf numFmtId="165" fontId="33" fillId="5" borderId="21" xfId="0" applyFont="true" applyBorder="true" applyAlignment="true" applyProtection="false">
      <alignment horizontal="center" vertical="center" textRotation="0" wrapText="true" indent="0" shrinkToFit="false"/>
      <protection locked="true" hidden="false"/>
    </xf>
    <xf numFmtId="171" fontId="33" fillId="3" borderId="24"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71" fontId="33" fillId="3" borderId="21" xfId="0" applyFont="true" applyBorder="true" applyAlignment="true" applyProtection="false">
      <alignment horizontal="center" vertical="bottom" textRotation="0" wrapText="false" indent="0" shrinkToFit="false"/>
      <protection locked="true" hidden="false"/>
    </xf>
    <xf numFmtId="173" fontId="34" fillId="5" borderId="21" xfId="0" applyFont="true" applyBorder="tru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false" indent="0" shrinkToFit="false"/>
      <protection locked="true" hidden="false"/>
    </xf>
    <xf numFmtId="172" fontId="26" fillId="3" borderId="21" xfId="0" applyFont="true" applyBorder="true" applyAlignment="true" applyProtection="false">
      <alignment horizontal="center" vertical="bottom" textRotation="0" wrapText="false" indent="0" shrinkToFit="false"/>
      <protection locked="true" hidden="false"/>
    </xf>
    <xf numFmtId="173" fontId="26" fillId="3" borderId="21" xfId="0" applyFont="true" applyBorder="true" applyAlignment="true" applyProtection="false">
      <alignment horizontal="center" vertical="center" textRotation="0" wrapText="false" indent="0" shrinkToFit="false"/>
      <protection locked="true" hidden="false"/>
    </xf>
    <xf numFmtId="173" fontId="32" fillId="3" borderId="21" xfId="0" applyFont="true" applyBorder="true" applyAlignment="true" applyProtection="false">
      <alignment horizontal="center" vertical="center" textRotation="0" wrapText="true" indent="0" shrinkToFit="false"/>
      <protection locked="true" hidden="false"/>
    </xf>
    <xf numFmtId="173" fontId="32" fillId="5" borderId="21" xfId="0" applyFont="true" applyBorder="true" applyAlignment="true" applyProtection="false">
      <alignment horizontal="center" vertical="bottom" textRotation="0" wrapText="false" indent="0" shrinkToFit="false"/>
      <protection locked="true" hidden="false"/>
    </xf>
    <xf numFmtId="173" fontId="26" fillId="5" borderId="21" xfId="0" applyFont="true" applyBorder="true" applyAlignment="false" applyProtection="false">
      <alignment horizontal="general" vertical="bottom" textRotation="0" wrapText="false" indent="0" shrinkToFit="false"/>
      <protection locked="true" hidden="false"/>
    </xf>
    <xf numFmtId="173" fontId="26" fillId="3" borderId="21" xfId="0" applyFont="true" applyBorder="true" applyAlignment="true" applyProtection="false">
      <alignment horizontal="center" vertical="bottom" textRotation="0" wrapText="false" indent="0" shrinkToFit="false"/>
      <protection locked="true" hidden="false"/>
    </xf>
    <xf numFmtId="164" fontId="26" fillId="0" borderId="0" xfId="0" applyFont="true" applyBorder="false" applyAlignment="true" applyProtection="false">
      <alignment horizontal="left" vertical="bottom" textRotation="0" wrapText="false" indent="0" shrinkToFit="false"/>
      <protection locked="true" hidden="false"/>
    </xf>
    <xf numFmtId="171" fontId="12" fillId="0" borderId="0" xfId="0" applyFont="true" applyBorder="false" applyAlignment="true" applyProtection="true">
      <alignment horizontal="center" vertical="bottom" textRotation="0" wrapText="false" indent="0" shrinkToFit="false"/>
      <protection locked="true" hidden="true"/>
    </xf>
    <xf numFmtId="164" fontId="9" fillId="0" borderId="0" xfId="0" applyFont="true" applyBorder="false" applyAlignment="true" applyProtection="true">
      <alignment horizontal="center" vertical="bottom" textRotation="0" wrapText="false" indent="0" shrinkToFit="false"/>
      <protection locked="true" hidden="true"/>
    </xf>
    <xf numFmtId="171" fontId="12" fillId="3" borderId="34"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tru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bottom" textRotation="0" wrapText="false" indent="0" shrinkToFit="false"/>
      <protection locked="true" hidden="true"/>
    </xf>
    <xf numFmtId="171" fontId="12" fillId="0" borderId="46"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bottom" textRotation="0" wrapText="false" indent="1" shrinkToFit="false"/>
      <protection locked="true" hidden="true"/>
    </xf>
    <xf numFmtId="171" fontId="10" fillId="0" borderId="21" xfId="0" applyFont="true" applyBorder="true" applyAlignment="true" applyProtection="true">
      <alignment horizontal="center" vertical="bottom" textRotation="0" wrapText="false" indent="0" shrinkToFit="false"/>
      <protection locked="true" hidden="true"/>
    </xf>
    <xf numFmtId="164" fontId="10" fillId="0" borderId="21" xfId="0" applyFont="true" applyBorder="true" applyAlignment="true" applyProtection="true">
      <alignment horizontal="left" vertical="center" textRotation="0" wrapText="false" indent="1" shrinkToFit="false"/>
      <protection locked="true" hidden="true"/>
    </xf>
    <xf numFmtId="165" fontId="10"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64" fontId="10" fillId="3" borderId="0" xfId="0" applyFont="true" applyBorder="false" applyAlignment="true" applyProtection="true">
      <alignment horizontal="center" vertical="center" textRotation="0" wrapText="false" indent="0" shrinkToFit="false"/>
      <protection locked="true" hidden="true"/>
    </xf>
    <xf numFmtId="171" fontId="12" fillId="0" borderId="23"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false" applyProtection="true">
      <alignment horizontal="general" vertical="bottom" textRotation="0" wrapText="false" indent="0" shrinkToFit="false"/>
      <protection locked="true" hidden="true"/>
    </xf>
    <xf numFmtId="176" fontId="9" fillId="0" borderId="21" xfId="0" applyFont="true" applyBorder="true" applyAlignment="true" applyProtection="true">
      <alignment horizontal="center" vertical="bottom" textRotation="0" wrapText="false" indent="0" shrinkToFit="false"/>
      <protection locked="true" hidden="true"/>
    </xf>
    <xf numFmtId="170"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true" indent="0" shrinkToFit="false"/>
      <protection locked="true" hidden="true"/>
    </xf>
    <xf numFmtId="164" fontId="9" fillId="3" borderId="0" xfId="0" applyFont="true" applyBorder="false" applyAlignment="true" applyProtection="true">
      <alignment horizontal="center" vertical="bottom" textRotation="0" wrapText="true" indent="0" shrinkToFit="false"/>
      <protection locked="true" hidden="true"/>
    </xf>
    <xf numFmtId="176" fontId="9" fillId="3" borderId="0" xfId="0" applyFont="true" applyBorder="false" applyAlignment="true" applyProtection="true">
      <alignment horizontal="center" vertical="bottom" textRotation="0" wrapText="false" indent="0" shrinkToFit="false"/>
      <protection locked="true" hidden="true"/>
    </xf>
    <xf numFmtId="174" fontId="9" fillId="0" borderId="21" xfId="0" applyFont="true" applyBorder="true" applyAlignment="true" applyProtection="true">
      <alignment horizontal="center" vertical="bottom" textRotation="0" wrapText="false" indent="0" shrinkToFit="false"/>
      <protection locked="true" hidden="true"/>
    </xf>
    <xf numFmtId="174" fontId="9"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general" vertical="bottom" textRotation="0" wrapText="true" indent="0" shrinkToFit="false"/>
      <protection locked="true" hidden="true"/>
    </xf>
    <xf numFmtId="164" fontId="9" fillId="3" borderId="0" xfId="0" applyFont="true" applyBorder="true" applyAlignment="true" applyProtection="true">
      <alignment horizontal="left" vertical="center" textRotation="0" wrapText="true" indent="1" shrinkToFit="false"/>
      <protection locked="true" hidden="true"/>
    </xf>
    <xf numFmtId="181" fontId="9" fillId="0" borderId="21"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general" vertical="bottom" textRotation="0" wrapText="true" indent="0" shrinkToFit="false"/>
      <protection locked="true" hidden="true"/>
    </xf>
    <xf numFmtId="171" fontId="12"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s="4" customFormat="true" ht="54.75" hidden="false" customHeight="true" outlineLevel="0" collapsed="false">
      <c r="B4" s="5" t="s">
        <v>1</v>
      </c>
      <c r="C4" s="5"/>
      <c r="D4" s="5"/>
      <c r="E4" s="5"/>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9"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sheetData>
  <mergeCells count="2">
    <mergeCell ref="B2:E2"/>
    <mergeCell ref="B4:E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0" width="3.66"/>
    <col collapsed="false" customWidth="true" hidden="false" outlineLevel="0" max="2" min="2" style="10" width="0.82"/>
    <col collapsed="false" customWidth="true" hidden="false" outlineLevel="0" max="3" min="3" style="10" width="3.66"/>
    <col collapsed="false" customWidth="true" hidden="false" outlineLevel="0" max="4" min="4" style="10" width="4.66"/>
    <col collapsed="false" customWidth="true" hidden="false" outlineLevel="0" max="5" min="5" style="10" width="1.66"/>
    <col collapsed="false" customWidth="true" hidden="false" outlineLevel="0" max="6" min="6" style="10" width="10.66"/>
    <col collapsed="false" customWidth="true" hidden="false" outlineLevel="0" max="7" min="7" style="10" width="1.66"/>
    <col collapsed="false" customWidth="true" hidden="false" outlineLevel="0" max="9" min="8" style="10" width="2.5"/>
    <col collapsed="false" customWidth="true" hidden="false" outlineLevel="0" max="11" min="10" style="10" width="6.66"/>
    <col collapsed="false" customWidth="true" hidden="false" outlineLevel="0" max="12" min="12" style="10" width="3.66"/>
    <col collapsed="false" customWidth="true" hidden="false" outlineLevel="0" max="13" min="13" style="10" width="0.82"/>
    <col collapsed="false" customWidth="true" hidden="false" outlineLevel="0" max="15" min="14" style="10" width="3.66"/>
    <col collapsed="false" customWidth="true" hidden="false" outlineLevel="0" max="17" min="16" style="10" width="6.66"/>
    <col collapsed="false" customWidth="true" hidden="false" outlineLevel="0" max="18" min="18" style="10" width="1.66"/>
    <col collapsed="false" customWidth="true" hidden="false" outlineLevel="0" max="20" min="19" style="10" width="2.5"/>
    <col collapsed="false" customWidth="true" hidden="false" outlineLevel="0" max="21" min="21" style="10" width="2.66"/>
    <col collapsed="false" customWidth="true" hidden="false" outlineLevel="0" max="22" min="22" style="10" width="7.66"/>
    <col collapsed="false" customWidth="true" hidden="false" outlineLevel="0" max="23" min="23" style="10" width="4.66"/>
    <col collapsed="false" customWidth="false" hidden="false" outlineLevel="0" max="257" min="24" style="10" width="9.15"/>
  </cols>
  <sheetData>
    <row r="1" customFormat="false" ht="15.75" hidden="false" customHeight="true" outlineLevel="0" collapsed="false">
      <c r="A1" s="11" t="s">
        <v>7</v>
      </c>
      <c r="B1" s="11"/>
      <c r="C1" s="11"/>
      <c r="D1" s="11"/>
      <c r="E1" s="11"/>
      <c r="F1" s="11"/>
      <c r="G1" s="11"/>
      <c r="H1" s="11"/>
      <c r="I1" s="11"/>
      <c r="J1" s="11"/>
      <c r="K1" s="11"/>
      <c r="L1" s="11"/>
      <c r="M1" s="11"/>
      <c r="N1" s="11"/>
      <c r="O1" s="11"/>
      <c r="P1" s="11"/>
      <c r="Q1" s="11"/>
      <c r="R1" s="11"/>
      <c r="S1" s="11"/>
      <c r="T1" s="11"/>
      <c r="U1" s="11"/>
      <c r="V1" s="11"/>
      <c r="W1" s="11"/>
    </row>
    <row r="2" customFormat="false" ht="3.75" hidden="false" customHeight="true" outlineLevel="0" collapsed="false">
      <c r="A2" s="12"/>
      <c r="B2" s="13"/>
      <c r="C2" s="13"/>
      <c r="D2" s="13"/>
      <c r="E2" s="13"/>
      <c r="F2" s="13"/>
      <c r="G2" s="13"/>
      <c r="H2" s="13"/>
      <c r="I2" s="13"/>
      <c r="J2" s="13"/>
      <c r="K2" s="13"/>
      <c r="L2" s="13"/>
      <c r="M2" s="13"/>
      <c r="N2" s="13"/>
      <c r="O2" s="13"/>
      <c r="P2" s="13"/>
      <c r="Q2" s="13"/>
      <c r="R2" s="13"/>
      <c r="S2" s="13"/>
      <c r="T2" s="13"/>
      <c r="U2" s="13"/>
      <c r="V2" s="13"/>
      <c r="W2" s="14"/>
    </row>
    <row r="3" customFormat="false" ht="12" hidden="false" customHeight="false" outlineLevel="0" collapsed="false">
      <c r="A3" s="15"/>
      <c r="B3" s="16"/>
      <c r="C3" s="17" t="s">
        <v>8</v>
      </c>
      <c r="D3" s="17"/>
      <c r="E3" s="17"/>
      <c r="F3" s="16"/>
      <c r="G3" s="16"/>
      <c r="H3" s="16"/>
      <c r="I3" s="16"/>
      <c r="J3" s="16"/>
      <c r="K3" s="16"/>
      <c r="L3" s="16"/>
      <c r="M3" s="16"/>
      <c r="N3" s="17" t="s">
        <v>9</v>
      </c>
      <c r="O3" s="17"/>
      <c r="P3" s="17"/>
      <c r="Q3" s="17"/>
      <c r="R3" s="17"/>
      <c r="S3" s="17"/>
      <c r="T3" s="17"/>
      <c r="U3" s="17"/>
      <c r="V3" s="17"/>
      <c r="W3" s="18"/>
    </row>
    <row r="4" customFormat="false" ht="7.5" hidden="false" customHeight="true" outlineLevel="0" collapsed="false">
      <c r="A4" s="15"/>
      <c r="B4" s="16"/>
      <c r="C4" s="17"/>
      <c r="D4" s="17"/>
      <c r="E4" s="17"/>
      <c r="F4" s="16"/>
      <c r="G4" s="16"/>
      <c r="H4" s="16"/>
      <c r="I4" s="16"/>
      <c r="J4" s="16"/>
      <c r="K4" s="16"/>
      <c r="L4" s="16"/>
      <c r="M4" s="16"/>
      <c r="N4" s="17"/>
      <c r="O4" s="17"/>
      <c r="P4" s="17"/>
      <c r="Q4" s="17"/>
      <c r="R4" s="17"/>
      <c r="S4" s="17"/>
      <c r="T4" s="17"/>
      <c r="U4" s="17"/>
      <c r="V4" s="17"/>
      <c r="W4" s="18"/>
    </row>
    <row r="5" customFormat="false" ht="15" hidden="false" customHeight="true" outlineLevel="0" collapsed="false">
      <c r="A5" s="15"/>
      <c r="B5" s="16"/>
      <c r="C5" s="19"/>
      <c r="D5" s="19"/>
      <c r="E5" s="19"/>
      <c r="F5" s="19"/>
      <c r="G5" s="19"/>
      <c r="H5" s="19"/>
      <c r="I5" s="19"/>
      <c r="J5" s="19"/>
      <c r="K5" s="16"/>
      <c r="L5" s="16"/>
      <c r="M5" s="16"/>
      <c r="N5" s="16"/>
      <c r="O5" s="20"/>
      <c r="P5" s="20"/>
      <c r="Q5" s="16"/>
      <c r="R5" s="20"/>
      <c r="S5" s="20"/>
      <c r="T5" s="20"/>
      <c r="U5" s="20"/>
      <c r="V5" s="16"/>
      <c r="W5" s="21"/>
    </row>
    <row r="6" customFormat="false" ht="6" hidden="false" customHeight="true" outlineLevel="0" collapsed="false">
      <c r="A6" s="15"/>
      <c r="B6" s="16"/>
      <c r="C6" s="16"/>
      <c r="D6" s="16"/>
      <c r="E6" s="16"/>
      <c r="F6" s="16"/>
      <c r="G6" s="16"/>
      <c r="H6" s="16"/>
      <c r="I6" s="16"/>
      <c r="J6" s="16"/>
      <c r="K6" s="16"/>
      <c r="L6" s="16"/>
      <c r="M6" s="16"/>
      <c r="N6" s="16"/>
      <c r="O6" s="16"/>
      <c r="P6" s="16"/>
      <c r="Q6" s="16"/>
      <c r="R6" s="16"/>
      <c r="S6" s="16"/>
      <c r="T6" s="16"/>
      <c r="U6" s="16"/>
      <c r="V6" s="16"/>
      <c r="W6" s="21"/>
    </row>
    <row r="7" customFormat="false" ht="12.65" hidden="false" customHeight="false" outlineLevel="0" collapsed="false">
      <c r="A7" s="22" t="n">
        <v>1</v>
      </c>
      <c r="B7" s="16"/>
      <c r="C7" s="17" t="s">
        <v>10</v>
      </c>
      <c r="D7" s="17"/>
      <c r="E7" s="17"/>
      <c r="F7" s="16"/>
      <c r="G7" s="16"/>
      <c r="H7" s="16"/>
      <c r="I7" s="16"/>
      <c r="J7" s="16"/>
      <c r="K7" s="16"/>
      <c r="L7" s="22" t="n">
        <v>4</v>
      </c>
      <c r="M7" s="16"/>
      <c r="N7" s="17" t="s">
        <v>11</v>
      </c>
      <c r="O7" s="17"/>
      <c r="P7" s="17"/>
      <c r="Q7" s="17"/>
      <c r="R7" s="23"/>
      <c r="S7" s="24"/>
      <c r="T7" s="24"/>
      <c r="U7" s="24"/>
      <c r="V7" s="17"/>
      <c r="W7" s="25"/>
    </row>
    <row r="8" customFormat="false" ht="15" hidden="false" customHeight="true" outlineLevel="0" collapsed="false">
      <c r="A8" s="26"/>
      <c r="B8" s="16"/>
      <c r="C8" s="19" t="s">
        <v>12</v>
      </c>
      <c r="D8" s="19"/>
      <c r="E8" s="19"/>
      <c r="F8" s="19"/>
      <c r="G8" s="19"/>
      <c r="H8" s="19"/>
      <c r="I8" s="19"/>
      <c r="J8" s="19"/>
      <c r="K8" s="16"/>
      <c r="L8" s="16"/>
      <c r="M8" s="16"/>
      <c r="N8" s="27" t="s">
        <v>13</v>
      </c>
      <c r="O8" s="17"/>
      <c r="P8" s="17"/>
      <c r="Q8" s="17"/>
      <c r="R8" s="17"/>
      <c r="S8" s="17"/>
      <c r="T8" s="17"/>
      <c r="U8" s="17"/>
      <c r="V8" s="17"/>
      <c r="W8" s="25"/>
    </row>
    <row r="9" customFormat="false" ht="7.5" hidden="false" customHeight="true" outlineLevel="0" collapsed="false">
      <c r="A9" s="26"/>
      <c r="B9" s="16"/>
      <c r="C9" s="16"/>
      <c r="D9" s="16"/>
      <c r="E9" s="16"/>
      <c r="F9" s="16"/>
      <c r="G9" s="16"/>
      <c r="H9" s="16"/>
      <c r="I9" s="16"/>
      <c r="J9" s="16"/>
      <c r="K9" s="16"/>
      <c r="L9" s="16"/>
      <c r="M9" s="16"/>
      <c r="N9" s="28"/>
      <c r="O9" s="28"/>
      <c r="P9" s="28"/>
      <c r="Q9" s="28"/>
      <c r="R9" s="16"/>
      <c r="S9" s="16"/>
      <c r="T9" s="16"/>
      <c r="U9" s="16"/>
      <c r="V9" s="16"/>
      <c r="W9" s="29"/>
    </row>
    <row r="10" customFormat="false" ht="15" hidden="false" customHeight="true" outlineLevel="0" collapsed="false">
      <c r="A10" s="26"/>
      <c r="B10" s="16"/>
      <c r="C10" s="19"/>
      <c r="D10" s="19"/>
      <c r="E10" s="19"/>
      <c r="F10" s="19"/>
      <c r="G10" s="19"/>
      <c r="H10" s="19"/>
      <c r="I10" s="19"/>
      <c r="J10" s="19"/>
      <c r="K10" s="16"/>
      <c r="L10" s="16"/>
      <c r="M10" s="16"/>
      <c r="N10" s="30"/>
      <c r="O10" s="28"/>
      <c r="P10" s="28"/>
      <c r="Q10" s="28"/>
      <c r="R10" s="16"/>
      <c r="S10" s="16"/>
      <c r="T10" s="16"/>
      <c r="U10" s="16"/>
      <c r="V10" s="16"/>
      <c r="W10" s="29"/>
    </row>
    <row r="11" customFormat="false" ht="7.5" hidden="false" customHeight="true" outlineLevel="0" collapsed="false">
      <c r="A11" s="26"/>
      <c r="B11" s="16"/>
      <c r="C11" s="16"/>
      <c r="D11" s="16"/>
      <c r="E11" s="16"/>
      <c r="F11" s="16"/>
      <c r="G11" s="16"/>
      <c r="H11" s="16"/>
      <c r="I11" s="16"/>
      <c r="J11" s="16"/>
      <c r="K11" s="16"/>
      <c r="L11" s="16"/>
      <c r="M11" s="16"/>
      <c r="N11" s="16"/>
      <c r="O11" s="16"/>
      <c r="P11" s="16"/>
      <c r="Q11" s="16"/>
      <c r="R11" s="16"/>
      <c r="S11" s="16"/>
      <c r="T11" s="16"/>
      <c r="U11" s="16"/>
      <c r="V11" s="16"/>
      <c r="W11" s="29"/>
    </row>
    <row r="12" customFormat="false" ht="15" hidden="false" customHeight="true" outlineLevel="0" collapsed="false">
      <c r="A12" s="26"/>
      <c r="B12" s="16"/>
      <c r="C12" s="19"/>
      <c r="D12" s="19"/>
      <c r="E12" s="19"/>
      <c r="F12" s="19"/>
      <c r="G12" s="19"/>
      <c r="H12" s="19"/>
      <c r="I12" s="19"/>
      <c r="J12" s="19"/>
      <c r="K12" s="16"/>
      <c r="L12" s="22" t="n">
        <v>5</v>
      </c>
      <c r="M12" s="16"/>
      <c r="N12" s="17" t="s">
        <v>14</v>
      </c>
      <c r="O12" s="17"/>
      <c r="P12" s="17"/>
      <c r="Q12" s="17"/>
      <c r="R12" s="23"/>
      <c r="S12" s="31" t="n">
        <f aca="false">Admin!B4</f>
        <v>43927</v>
      </c>
      <c r="T12" s="31"/>
      <c r="U12" s="31"/>
      <c r="V12" s="31"/>
      <c r="W12" s="25"/>
    </row>
    <row r="13" customFormat="false" ht="11.25" hidden="false" customHeight="true" outlineLevel="0" collapsed="false">
      <c r="A13" s="26"/>
      <c r="B13" s="16"/>
      <c r="C13" s="16"/>
      <c r="D13" s="16"/>
      <c r="E13" s="16"/>
      <c r="F13" s="16"/>
      <c r="G13" s="16"/>
      <c r="H13" s="16"/>
      <c r="I13" s="16"/>
      <c r="J13" s="16"/>
      <c r="K13" s="16"/>
      <c r="L13" s="16"/>
      <c r="M13" s="16"/>
      <c r="N13" s="32" t="s">
        <v>15</v>
      </c>
      <c r="O13" s="32"/>
      <c r="P13" s="32"/>
      <c r="Q13" s="32"/>
      <c r="R13" s="32"/>
      <c r="S13" s="32"/>
      <c r="T13" s="32"/>
      <c r="U13" s="32"/>
      <c r="V13" s="32"/>
      <c r="W13" s="33"/>
    </row>
    <row r="14" customFormat="false" ht="7.5" hidden="false" customHeight="true" outlineLevel="0" collapsed="false">
      <c r="A14" s="26"/>
      <c r="B14" s="16"/>
      <c r="C14" s="16"/>
      <c r="D14" s="16"/>
      <c r="E14" s="16"/>
      <c r="F14" s="16"/>
      <c r="G14" s="16"/>
      <c r="H14" s="16"/>
      <c r="I14" s="16"/>
      <c r="J14" s="16"/>
      <c r="K14" s="16"/>
      <c r="L14" s="16"/>
      <c r="M14" s="16"/>
      <c r="N14" s="16"/>
      <c r="O14" s="16"/>
      <c r="P14" s="16"/>
      <c r="Q14" s="16"/>
      <c r="R14" s="16"/>
      <c r="S14" s="16"/>
      <c r="T14" s="16"/>
      <c r="U14" s="16"/>
      <c r="V14" s="16"/>
      <c r="W14" s="29"/>
    </row>
    <row r="15" customFormat="false" ht="13.5" hidden="false" customHeight="false" outlineLevel="0" collapsed="false">
      <c r="A15" s="22" t="n">
        <v>2</v>
      </c>
      <c r="B15" s="16"/>
      <c r="C15" s="17" t="s">
        <v>16</v>
      </c>
      <c r="D15" s="17"/>
      <c r="E15" s="17"/>
      <c r="F15" s="16"/>
      <c r="G15" s="16"/>
      <c r="H15" s="16"/>
      <c r="I15" s="16"/>
      <c r="J15" s="16"/>
      <c r="K15" s="16"/>
      <c r="L15" s="16"/>
      <c r="M15" s="16"/>
      <c r="N15" s="34"/>
      <c r="O15" s="34"/>
      <c r="P15" s="34"/>
      <c r="Q15" s="34"/>
      <c r="R15" s="17"/>
      <c r="S15" s="17"/>
      <c r="T15" s="17"/>
      <c r="U15" s="17"/>
      <c r="V15" s="17"/>
      <c r="W15" s="25"/>
    </row>
    <row r="16" customFormat="false" ht="6" hidden="false" customHeight="true" outlineLevel="0" collapsed="false">
      <c r="A16" s="26"/>
      <c r="B16" s="16"/>
      <c r="C16" s="16"/>
      <c r="D16" s="16"/>
      <c r="E16" s="16"/>
      <c r="F16" s="16"/>
      <c r="G16" s="16"/>
      <c r="H16" s="16"/>
      <c r="I16" s="16"/>
      <c r="J16" s="16"/>
      <c r="K16" s="16"/>
      <c r="L16" s="16"/>
      <c r="M16" s="16"/>
      <c r="N16" s="16"/>
      <c r="O16" s="16"/>
      <c r="P16" s="16"/>
      <c r="Q16" s="16"/>
      <c r="R16" s="16"/>
      <c r="S16" s="16"/>
      <c r="T16" s="16"/>
      <c r="U16" s="16"/>
      <c r="V16" s="16"/>
      <c r="W16" s="29"/>
    </row>
    <row r="17" customFormat="false" ht="15" hidden="false" customHeight="true" outlineLevel="0" collapsed="false">
      <c r="A17" s="26"/>
      <c r="B17" s="16"/>
      <c r="C17" s="35"/>
      <c r="D17" s="35"/>
      <c r="E17" s="16"/>
      <c r="F17" s="36"/>
      <c r="G17" s="16"/>
      <c r="H17" s="16"/>
      <c r="I17" s="16"/>
      <c r="J17" s="16"/>
      <c r="K17" s="16"/>
      <c r="L17" s="16"/>
      <c r="M17" s="16"/>
      <c r="N17" s="17"/>
      <c r="O17" s="17"/>
      <c r="P17" s="17"/>
      <c r="Q17" s="17"/>
      <c r="R17" s="17"/>
      <c r="S17" s="17"/>
      <c r="T17" s="17"/>
      <c r="U17" s="17"/>
      <c r="V17" s="17"/>
      <c r="W17" s="25"/>
    </row>
    <row r="18" customFormat="false" ht="12" hidden="false" customHeight="false" outlineLevel="0" collapsed="false">
      <c r="A18" s="26"/>
      <c r="B18" s="16"/>
      <c r="C18" s="16"/>
      <c r="D18" s="16"/>
      <c r="E18" s="16"/>
      <c r="F18" s="16"/>
      <c r="G18" s="16"/>
      <c r="H18" s="16"/>
      <c r="I18" s="16"/>
      <c r="J18" s="16"/>
      <c r="K18" s="16"/>
      <c r="L18" s="22" t="n">
        <v>6</v>
      </c>
      <c r="M18" s="17"/>
      <c r="N18" s="17" t="s">
        <v>17</v>
      </c>
      <c r="O18" s="37"/>
      <c r="P18" s="17"/>
      <c r="Q18" s="17"/>
      <c r="R18" s="17"/>
      <c r="S18" s="31" t="n">
        <f aca="false">Admin!B17</f>
        <v>44291</v>
      </c>
      <c r="T18" s="31"/>
      <c r="U18" s="31"/>
      <c r="V18" s="31"/>
      <c r="W18" s="25"/>
    </row>
    <row r="19" customFormat="false" ht="12" hidden="false" customHeight="false" outlineLevel="0" collapsed="false">
      <c r="A19" s="22" t="n">
        <v>3</v>
      </c>
      <c r="B19" s="16"/>
      <c r="C19" s="17" t="s">
        <v>18</v>
      </c>
      <c r="D19" s="16"/>
      <c r="E19" s="16"/>
      <c r="F19" s="16"/>
      <c r="G19" s="16"/>
      <c r="H19" s="16"/>
      <c r="I19" s="16"/>
      <c r="J19" s="16"/>
      <c r="K19" s="16"/>
      <c r="L19" s="16"/>
      <c r="M19" s="17"/>
      <c r="N19" s="27" t="s">
        <v>19</v>
      </c>
      <c r="O19" s="28"/>
      <c r="P19" s="28"/>
      <c r="Q19" s="28"/>
      <c r="R19" s="16"/>
      <c r="S19" s="16"/>
      <c r="T19" s="16"/>
      <c r="U19" s="16"/>
      <c r="V19" s="16"/>
      <c r="W19" s="29"/>
    </row>
    <row r="20" customFormat="false" ht="12" hidden="false" customHeight="false" outlineLevel="0" collapsed="false">
      <c r="A20" s="26"/>
      <c r="B20" s="16"/>
      <c r="C20" s="17" t="s">
        <v>20</v>
      </c>
      <c r="D20" s="16"/>
      <c r="E20" s="16"/>
      <c r="F20" s="16"/>
      <c r="G20" s="16"/>
      <c r="H20" s="16"/>
      <c r="I20" s="16"/>
      <c r="J20" s="16"/>
      <c r="K20" s="16"/>
      <c r="L20" s="16"/>
      <c r="M20" s="16"/>
      <c r="N20" s="28"/>
      <c r="O20" s="28"/>
      <c r="P20" s="28"/>
      <c r="Q20" s="28"/>
      <c r="R20" s="16"/>
      <c r="S20" s="16"/>
      <c r="T20" s="16"/>
      <c r="U20" s="16"/>
      <c r="V20" s="16"/>
      <c r="W20" s="29"/>
    </row>
    <row r="21" customFormat="false" ht="13.5" hidden="false" customHeight="false" outlineLevel="0" collapsed="false">
      <c r="A21" s="26"/>
      <c r="B21" s="16"/>
      <c r="C21" s="27" t="s">
        <v>21</v>
      </c>
      <c r="D21" s="28"/>
      <c r="E21" s="28"/>
      <c r="F21" s="28"/>
      <c r="G21" s="28"/>
      <c r="H21" s="28"/>
      <c r="I21" s="28"/>
      <c r="J21" s="28"/>
      <c r="K21" s="28"/>
      <c r="L21" s="16"/>
      <c r="M21" s="16"/>
      <c r="N21" s="34"/>
      <c r="O21" s="34"/>
      <c r="P21" s="34"/>
      <c r="Q21" s="34"/>
      <c r="R21" s="16"/>
      <c r="S21" s="16"/>
      <c r="T21" s="16"/>
      <c r="U21" s="16"/>
      <c r="V21" s="16"/>
      <c r="W21" s="29"/>
    </row>
    <row r="22" customFormat="false" ht="9.75" hidden="false" customHeight="true" outlineLevel="0" collapsed="false">
      <c r="A22" s="26"/>
      <c r="B22" s="16"/>
      <c r="C22" s="27" t="s">
        <v>22</v>
      </c>
      <c r="D22" s="16"/>
      <c r="E22" s="16"/>
      <c r="F22" s="16"/>
      <c r="G22" s="16"/>
      <c r="H22" s="16"/>
      <c r="I22" s="16"/>
      <c r="J22" s="16"/>
      <c r="K22" s="16"/>
      <c r="L22" s="16"/>
      <c r="M22" s="16"/>
      <c r="N22" s="28"/>
      <c r="O22" s="28"/>
      <c r="P22" s="28"/>
      <c r="Q22" s="28"/>
      <c r="R22" s="16"/>
      <c r="S22" s="16"/>
      <c r="T22" s="16"/>
      <c r="U22" s="16"/>
      <c r="V22" s="16"/>
      <c r="W22" s="29"/>
    </row>
    <row r="23" customFormat="false" ht="12" hidden="false" customHeight="false" outlineLevel="0" collapsed="false">
      <c r="A23" s="26"/>
      <c r="B23" s="16"/>
      <c r="C23" s="28"/>
      <c r="D23" s="16"/>
      <c r="E23" s="16"/>
      <c r="F23" s="16"/>
      <c r="G23" s="16"/>
      <c r="H23" s="16"/>
      <c r="I23" s="16"/>
      <c r="J23" s="16"/>
      <c r="K23" s="16"/>
      <c r="L23" s="22" t="n">
        <v>7</v>
      </c>
      <c r="M23" s="16"/>
      <c r="N23" s="27" t="s">
        <v>23</v>
      </c>
      <c r="O23" s="28"/>
      <c r="P23" s="28"/>
      <c r="Q23" s="28"/>
      <c r="R23" s="16"/>
      <c r="S23" s="16"/>
      <c r="T23" s="16"/>
      <c r="U23" s="16"/>
      <c r="V23" s="16"/>
      <c r="W23" s="29"/>
    </row>
    <row r="24" customFormat="false" ht="15" hidden="false" customHeight="true" outlineLevel="0" collapsed="false">
      <c r="A24" s="26"/>
      <c r="B24" s="16"/>
      <c r="C24" s="38"/>
      <c r="D24" s="16"/>
      <c r="E24" s="16"/>
      <c r="F24" s="16"/>
      <c r="G24" s="16"/>
      <c r="H24" s="16"/>
      <c r="I24" s="16"/>
      <c r="J24" s="16"/>
      <c r="K24" s="16"/>
      <c r="L24" s="16"/>
      <c r="M24" s="16"/>
      <c r="N24" s="39" t="s">
        <v>24</v>
      </c>
      <c r="O24" s="28"/>
      <c r="P24" s="28"/>
      <c r="Q24" s="28"/>
      <c r="R24" s="16"/>
      <c r="S24" s="16"/>
      <c r="T24" s="16"/>
      <c r="U24" s="16"/>
      <c r="V24" s="16"/>
      <c r="W24" s="29"/>
    </row>
    <row r="25" customFormat="false" ht="15" hidden="false" customHeight="true" outlineLevel="0" collapsed="false">
      <c r="A25" s="26"/>
      <c r="B25" s="16"/>
      <c r="C25" s="16"/>
      <c r="D25" s="16"/>
      <c r="E25" s="16"/>
      <c r="F25" s="16"/>
      <c r="G25" s="16"/>
      <c r="H25" s="16"/>
      <c r="I25" s="16"/>
      <c r="J25" s="16"/>
      <c r="K25" s="16"/>
      <c r="L25" s="16"/>
      <c r="M25" s="16"/>
      <c r="N25" s="34" t="n">
        <f aca="false">Admin!B17</f>
        <v>44291</v>
      </c>
      <c r="O25" s="34"/>
      <c r="P25" s="34"/>
      <c r="Q25" s="34"/>
      <c r="R25" s="16"/>
      <c r="S25" s="16"/>
      <c r="T25" s="16"/>
      <c r="U25" s="16"/>
      <c r="V25" s="16"/>
      <c r="W25" s="29"/>
    </row>
    <row r="26" customFormat="false" ht="12" hidden="false" customHeight="true" outlineLevel="0" collapsed="false">
      <c r="A26" s="26"/>
      <c r="B26" s="16"/>
      <c r="C26" s="16"/>
      <c r="D26" s="16"/>
      <c r="E26" s="16"/>
      <c r="F26" s="16"/>
      <c r="G26" s="16"/>
      <c r="H26" s="16"/>
      <c r="I26" s="16"/>
      <c r="J26" s="16"/>
      <c r="K26" s="16"/>
      <c r="L26" s="16"/>
      <c r="M26" s="16"/>
      <c r="N26" s="39"/>
      <c r="O26" s="28"/>
      <c r="P26" s="28"/>
      <c r="Q26" s="28"/>
      <c r="R26" s="16"/>
      <c r="S26" s="16"/>
      <c r="T26" s="16"/>
      <c r="U26" s="16"/>
      <c r="V26" s="16"/>
      <c r="W26" s="29"/>
    </row>
    <row r="27" customFormat="false" ht="12" hidden="false" customHeight="false" outlineLevel="0" collapsed="false">
      <c r="A27" s="22" t="n">
        <v>26</v>
      </c>
      <c r="B27" s="16"/>
      <c r="C27" s="40" t="s">
        <v>25</v>
      </c>
      <c r="D27" s="16"/>
      <c r="E27" s="16"/>
      <c r="F27" s="16"/>
      <c r="G27" s="16"/>
      <c r="H27" s="16"/>
      <c r="I27" s="16"/>
      <c r="J27" s="16"/>
      <c r="K27" s="16"/>
      <c r="L27" s="22" t="n">
        <v>24</v>
      </c>
      <c r="M27" s="16"/>
      <c r="N27" s="40" t="s">
        <v>26</v>
      </c>
      <c r="O27" s="17"/>
      <c r="P27" s="17"/>
      <c r="Q27" s="17"/>
      <c r="R27" s="17"/>
      <c r="S27" s="17"/>
      <c r="T27" s="17"/>
      <c r="U27" s="17"/>
      <c r="V27" s="17"/>
      <c r="W27" s="29"/>
    </row>
    <row r="28" customFormat="false" ht="12" hidden="false" customHeight="true" outlineLevel="0" collapsed="false">
      <c r="A28" s="17"/>
      <c r="B28" s="16"/>
      <c r="C28" s="16"/>
      <c r="D28" s="16"/>
      <c r="E28" s="16"/>
      <c r="F28" s="16"/>
      <c r="G28" s="16"/>
      <c r="H28" s="16"/>
      <c r="I28" s="16"/>
      <c r="J28" s="16"/>
      <c r="K28" s="16"/>
      <c r="L28" s="17"/>
      <c r="M28" s="16"/>
      <c r="N28" s="37" t="s">
        <v>27</v>
      </c>
      <c r="O28" s="17"/>
      <c r="P28" s="17"/>
      <c r="Q28" s="17"/>
      <c r="R28" s="17"/>
      <c r="S28" s="17"/>
      <c r="T28" s="17"/>
      <c r="U28" s="17"/>
      <c r="V28" s="17"/>
      <c r="W28" s="29"/>
    </row>
    <row r="29" customFormat="false" ht="15" hidden="false" customHeight="true" outlineLevel="0" collapsed="false">
      <c r="A29" s="16"/>
      <c r="B29" s="16"/>
      <c r="C29" s="41" t="s">
        <v>28</v>
      </c>
      <c r="D29" s="42"/>
      <c r="E29" s="42"/>
      <c r="F29" s="42"/>
      <c r="G29" s="43" t="s">
        <v>29</v>
      </c>
      <c r="H29" s="44" t="n">
        <v>0</v>
      </c>
      <c r="I29" s="44" t="n">
        <v>0</v>
      </c>
      <c r="J29" s="16"/>
      <c r="K29" s="16"/>
      <c r="L29" s="17"/>
      <c r="M29" s="16"/>
      <c r="N29" s="41" t="s">
        <v>28</v>
      </c>
      <c r="O29" s="42"/>
      <c r="P29" s="42"/>
      <c r="Q29" s="42"/>
      <c r="R29" s="43" t="s">
        <v>29</v>
      </c>
      <c r="S29" s="44" t="n">
        <v>0</v>
      </c>
      <c r="T29" s="44" t="n">
        <v>0</v>
      </c>
      <c r="U29" s="17"/>
      <c r="V29" s="17"/>
      <c r="W29" s="29"/>
    </row>
    <row r="30" customFormat="false" ht="7.5" hidden="false" customHeight="true" outlineLevel="0" collapsed="false">
      <c r="A30" s="16"/>
      <c r="B30" s="16"/>
      <c r="C30" s="45"/>
      <c r="D30" s="46"/>
      <c r="E30" s="46"/>
      <c r="F30" s="46"/>
      <c r="G30" s="43"/>
      <c r="H30" s="47"/>
      <c r="I30" s="47"/>
      <c r="J30" s="16"/>
      <c r="K30" s="16"/>
      <c r="L30" s="16"/>
      <c r="M30" s="16"/>
      <c r="N30" s="16"/>
      <c r="O30" s="16"/>
      <c r="P30" s="16"/>
      <c r="Q30" s="16"/>
      <c r="R30" s="16"/>
      <c r="S30" s="16"/>
      <c r="T30" s="16"/>
      <c r="U30" s="16"/>
      <c r="V30" s="16"/>
      <c r="W30" s="29"/>
    </row>
    <row r="31" s="49" customFormat="true" ht="12" hidden="false" customHeight="true" outlineLevel="0" collapsed="false">
      <c r="A31" s="28"/>
      <c r="B31" s="28"/>
      <c r="C31" s="27" t="s">
        <v>30</v>
      </c>
      <c r="D31" s="46"/>
      <c r="E31" s="46"/>
      <c r="F31" s="46"/>
      <c r="G31" s="43"/>
      <c r="H31" s="47"/>
      <c r="I31" s="47"/>
      <c r="J31" s="28"/>
      <c r="K31" s="28"/>
      <c r="L31" s="28"/>
      <c r="M31" s="28"/>
      <c r="N31" s="27" t="s">
        <v>31</v>
      </c>
      <c r="O31" s="28"/>
      <c r="P31" s="28"/>
      <c r="Q31" s="28"/>
      <c r="R31" s="28"/>
      <c r="S31" s="28"/>
      <c r="T31" s="28"/>
      <c r="U31" s="28"/>
      <c r="V31" s="28"/>
      <c r="W31" s="48"/>
    </row>
    <row r="32" s="49" customFormat="true" ht="12" hidden="false" customHeight="true" outlineLevel="0" collapsed="false">
      <c r="A32" s="28"/>
      <c r="B32" s="28"/>
      <c r="C32" s="50" t="s">
        <v>32</v>
      </c>
      <c r="D32" s="46"/>
      <c r="E32" s="46"/>
      <c r="F32" s="46"/>
      <c r="G32" s="43"/>
      <c r="H32" s="47"/>
      <c r="I32" s="47"/>
      <c r="J32" s="28"/>
      <c r="K32" s="28"/>
      <c r="L32" s="28"/>
      <c r="M32" s="28"/>
      <c r="N32" s="50" t="s">
        <v>32</v>
      </c>
      <c r="O32" s="46"/>
      <c r="P32" s="46"/>
      <c r="Q32" s="46"/>
      <c r="R32" s="43"/>
      <c r="S32" s="47"/>
      <c r="T32" s="47"/>
      <c r="U32" s="28"/>
      <c r="V32" s="28"/>
      <c r="W32" s="48"/>
    </row>
    <row r="33" customFormat="false" ht="3.75" hidden="false" customHeight="true" outlineLevel="0" collapsed="false">
      <c r="A33" s="26"/>
      <c r="B33" s="16"/>
      <c r="C33" s="16"/>
      <c r="D33" s="16"/>
      <c r="E33" s="16"/>
      <c r="F33" s="16"/>
      <c r="G33" s="16"/>
      <c r="H33" s="16"/>
      <c r="I33" s="16"/>
      <c r="J33" s="16"/>
      <c r="K33" s="16"/>
      <c r="L33" s="16"/>
      <c r="M33" s="16"/>
      <c r="N33" s="28"/>
      <c r="O33" s="28"/>
      <c r="P33" s="28"/>
      <c r="Q33" s="28"/>
      <c r="R33" s="16"/>
      <c r="S33" s="16"/>
      <c r="T33" s="16"/>
      <c r="U33" s="16"/>
      <c r="V33" s="16"/>
      <c r="W33" s="29"/>
    </row>
    <row r="34" customFormat="false" ht="15" hidden="false" customHeight="true" outlineLevel="0" collapsed="false">
      <c r="A34" s="16"/>
      <c r="B34" s="16"/>
      <c r="C34" s="41" t="s">
        <v>28</v>
      </c>
      <c r="D34" s="51" t="n">
        <f aca="false">'SE Short'!O94</f>
        <v>0</v>
      </c>
      <c r="E34" s="51"/>
      <c r="F34" s="51"/>
      <c r="G34" s="43" t="s">
        <v>29</v>
      </c>
      <c r="H34" s="44" t="n">
        <v>0</v>
      </c>
      <c r="I34" s="44" t="n">
        <v>0</v>
      </c>
      <c r="J34" s="16"/>
      <c r="K34" s="16"/>
      <c r="L34" s="16"/>
      <c r="M34" s="16"/>
      <c r="N34" s="41" t="s">
        <v>28</v>
      </c>
      <c r="O34" s="51" t="n">
        <f aca="false">D29-D34+'SE Short'!O106</f>
        <v>0</v>
      </c>
      <c r="P34" s="51"/>
      <c r="Q34" s="51"/>
      <c r="R34" s="43" t="s">
        <v>29</v>
      </c>
      <c r="S34" s="44" t="n">
        <v>0</v>
      </c>
      <c r="T34" s="44" t="n">
        <v>0</v>
      </c>
      <c r="U34" s="16"/>
      <c r="V34" s="16"/>
      <c r="W34" s="29"/>
    </row>
    <row r="35" customFormat="false" ht="7.5" hidden="false" customHeight="true" outlineLevel="0" collapsed="false">
      <c r="A35" s="52"/>
      <c r="B35" s="53"/>
      <c r="C35" s="53"/>
      <c r="D35" s="53"/>
      <c r="E35" s="53"/>
      <c r="F35" s="53"/>
      <c r="G35" s="53"/>
      <c r="H35" s="53"/>
      <c r="I35" s="53"/>
      <c r="J35" s="53"/>
      <c r="K35" s="53"/>
      <c r="L35" s="53"/>
      <c r="M35" s="53"/>
      <c r="N35" s="53"/>
      <c r="O35" s="53"/>
      <c r="P35" s="53"/>
      <c r="Q35" s="53"/>
      <c r="R35" s="53"/>
      <c r="S35" s="53"/>
      <c r="T35" s="53"/>
      <c r="U35" s="53"/>
      <c r="V35" s="53"/>
      <c r="W35" s="54"/>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3.66"/>
    <col collapsed="false" customWidth="true" hidden="false" outlineLevel="0" max="2" min="2" style="55" width="0.82"/>
    <col collapsed="false" customWidth="true" hidden="false" outlineLevel="0" max="3" min="3" style="55" width="3.66"/>
    <col collapsed="false" customWidth="true" hidden="false" outlineLevel="0" max="4" min="4" style="55" width="4.66"/>
    <col collapsed="false" customWidth="true" hidden="false" outlineLevel="0" max="5" min="5" style="55" width="1.66"/>
    <col collapsed="false" customWidth="true" hidden="false" outlineLevel="0" max="6" min="6" style="55" width="10.66"/>
    <col collapsed="false" customWidth="true" hidden="false" outlineLevel="0" max="7" min="7" style="55" width="1.66"/>
    <col collapsed="false" customWidth="true" hidden="false" outlineLevel="0" max="9" min="8" style="55" width="2.5"/>
    <col collapsed="false" customWidth="true" hidden="false" outlineLevel="0" max="11" min="10" style="55" width="6.66"/>
    <col collapsed="false" customWidth="true" hidden="false" outlineLevel="0" max="12" min="12" style="55" width="3.66"/>
    <col collapsed="false" customWidth="true" hidden="false" outlineLevel="0" max="13" min="13" style="55" width="0.82"/>
    <col collapsed="false" customWidth="true" hidden="false" outlineLevel="0" max="15" min="14" style="55" width="3.66"/>
    <col collapsed="false" customWidth="true" hidden="false" outlineLevel="0" max="17" min="16" style="55" width="6.66"/>
    <col collapsed="false" customWidth="true" hidden="false" outlineLevel="0" max="18" min="18" style="55" width="1.66"/>
    <col collapsed="false" customWidth="true" hidden="false" outlineLevel="0" max="19" min="19" style="55" width="2.5"/>
    <col collapsed="false" customWidth="true" hidden="false" outlineLevel="0" max="20" min="20" style="55" width="12.15"/>
    <col collapsed="false" customWidth="true" hidden="false" outlineLevel="0" max="21" min="21" style="55" width="2.66"/>
    <col collapsed="false" customWidth="true" hidden="false" outlineLevel="0" max="22" min="22" style="55" width="7.66"/>
    <col collapsed="false" customWidth="true" hidden="false" outlineLevel="0" max="23" min="23" style="55" width="14.82"/>
    <col collapsed="false" customWidth="false" hidden="false" outlineLevel="0" max="257" min="24" style="55" width="9.15"/>
  </cols>
  <sheetData>
    <row r="1" customFormat="false" ht="30" hidden="false" customHeight="true" outlineLevel="0" collapsed="false">
      <c r="A1" s="56" t="s">
        <v>33</v>
      </c>
      <c r="B1" s="56"/>
      <c r="C1" s="56"/>
      <c r="D1" s="56"/>
      <c r="E1" s="56"/>
      <c r="F1" s="56"/>
      <c r="G1" s="57" t="s">
        <v>34</v>
      </c>
      <c r="H1" s="57"/>
      <c r="I1" s="57"/>
      <c r="J1" s="57"/>
      <c r="K1" s="57"/>
      <c r="L1" s="57"/>
      <c r="M1" s="57"/>
      <c r="N1" s="57"/>
      <c r="O1" s="58" t="s">
        <v>35</v>
      </c>
      <c r="P1" s="58"/>
      <c r="Q1" s="58"/>
      <c r="R1" s="58"/>
      <c r="S1" s="58"/>
      <c r="T1" s="58"/>
      <c r="U1" s="58"/>
      <c r="V1" s="58"/>
      <c r="W1" s="58"/>
    </row>
    <row r="2" customFormat="false" ht="30" hidden="false" customHeight="true" outlineLevel="0" collapsed="false">
      <c r="A2" s="56"/>
      <c r="B2" s="56"/>
      <c r="C2" s="56"/>
      <c r="D2" s="56"/>
      <c r="E2" s="56"/>
      <c r="F2" s="56"/>
      <c r="G2" s="57"/>
      <c r="H2" s="57"/>
      <c r="I2" s="57"/>
      <c r="J2" s="57"/>
      <c r="K2" s="57"/>
      <c r="L2" s="57"/>
      <c r="M2" s="57"/>
      <c r="N2" s="57"/>
      <c r="O2" s="59" t="s">
        <v>36</v>
      </c>
      <c r="P2" s="59"/>
      <c r="Q2" s="60" t="n">
        <f aca="false">Admin!B4</f>
        <v>43927</v>
      </c>
      <c r="R2" s="60"/>
      <c r="S2" s="60"/>
      <c r="T2" s="60"/>
      <c r="U2" s="61" t="s">
        <v>37</v>
      </c>
      <c r="V2" s="60" t="n">
        <f aca="false">Admin!B17</f>
        <v>44291</v>
      </c>
      <c r="W2" s="60"/>
    </row>
    <row r="3" customFormat="false" ht="8.25" hidden="false" customHeight="true" outlineLevel="0" collapsed="false">
      <c r="A3" s="62"/>
      <c r="B3" s="62"/>
      <c r="C3" s="62"/>
      <c r="D3" s="62"/>
      <c r="E3" s="62"/>
      <c r="F3" s="62"/>
      <c r="G3" s="62"/>
      <c r="H3" s="62"/>
      <c r="I3" s="62"/>
      <c r="J3" s="62"/>
      <c r="K3" s="62"/>
      <c r="L3" s="62"/>
      <c r="M3" s="62"/>
      <c r="N3" s="62"/>
      <c r="O3" s="62"/>
      <c r="P3" s="62"/>
      <c r="Q3" s="62"/>
      <c r="R3" s="62"/>
      <c r="S3" s="62"/>
      <c r="T3" s="62"/>
      <c r="U3" s="62"/>
      <c r="V3" s="62"/>
      <c r="W3" s="62"/>
    </row>
    <row r="4" customFormat="false" ht="9.75" hidden="false" customHeight="true" outlineLevel="0" collapsed="false">
      <c r="A4" s="63"/>
      <c r="B4" s="63"/>
      <c r="C4" s="63"/>
      <c r="D4" s="63"/>
      <c r="E4" s="63"/>
      <c r="F4" s="63"/>
      <c r="G4" s="63"/>
      <c r="H4" s="63"/>
      <c r="I4" s="63"/>
      <c r="J4" s="63"/>
      <c r="K4" s="63"/>
      <c r="L4" s="63"/>
      <c r="M4" s="63"/>
      <c r="N4" s="63"/>
      <c r="O4" s="63"/>
      <c r="P4" s="63"/>
      <c r="Q4" s="63"/>
      <c r="R4" s="63"/>
      <c r="S4" s="63"/>
      <c r="T4" s="63"/>
      <c r="U4" s="63"/>
      <c r="V4" s="63"/>
      <c r="W4" s="63"/>
    </row>
    <row r="5" customFormat="false" ht="6" hidden="false" customHeight="true" outlineLevel="0" collapsed="false">
      <c r="A5" s="64"/>
      <c r="B5" s="65"/>
      <c r="C5" s="65"/>
      <c r="D5" s="65"/>
      <c r="E5" s="65"/>
      <c r="F5" s="65"/>
      <c r="G5" s="65"/>
      <c r="H5" s="65"/>
      <c r="I5" s="65"/>
      <c r="J5" s="65"/>
      <c r="K5" s="65"/>
      <c r="L5" s="65"/>
      <c r="M5" s="65"/>
      <c r="N5" s="65"/>
      <c r="O5" s="65"/>
      <c r="P5" s="65"/>
      <c r="Q5" s="65"/>
      <c r="R5" s="65"/>
      <c r="S5" s="65"/>
      <c r="T5" s="65"/>
      <c r="U5" s="65"/>
      <c r="V5" s="65"/>
      <c r="W5" s="66"/>
    </row>
    <row r="6" customFormat="false" ht="12" hidden="false" customHeight="false" outlineLevel="0" collapsed="false">
      <c r="A6" s="67"/>
      <c r="B6" s="68"/>
      <c r="C6" s="69" t="s">
        <v>8</v>
      </c>
      <c r="D6" s="69"/>
      <c r="E6" s="69"/>
      <c r="F6" s="68"/>
      <c r="G6" s="68"/>
      <c r="H6" s="68"/>
      <c r="I6" s="68"/>
      <c r="J6" s="68"/>
      <c r="K6" s="68"/>
      <c r="L6" s="68"/>
      <c r="M6" s="68"/>
      <c r="N6" s="69" t="s">
        <v>9</v>
      </c>
      <c r="O6" s="69"/>
      <c r="P6" s="69"/>
      <c r="Q6" s="69"/>
      <c r="R6" s="69"/>
      <c r="S6" s="69"/>
      <c r="T6" s="69"/>
      <c r="U6" s="69"/>
      <c r="V6" s="69"/>
      <c r="W6" s="70"/>
    </row>
    <row r="7" customFormat="false" ht="7.5" hidden="false" customHeight="true" outlineLevel="0" collapsed="false">
      <c r="A7" s="67"/>
      <c r="B7" s="68"/>
      <c r="C7" s="69"/>
      <c r="D7" s="69"/>
      <c r="E7" s="69"/>
      <c r="F7" s="68"/>
      <c r="G7" s="68"/>
      <c r="H7" s="68"/>
      <c r="I7" s="68"/>
      <c r="J7" s="68"/>
      <c r="K7" s="68"/>
      <c r="L7" s="68"/>
      <c r="M7" s="68"/>
      <c r="N7" s="69"/>
      <c r="O7" s="69"/>
      <c r="P7" s="69"/>
      <c r="Q7" s="69"/>
      <c r="R7" s="69"/>
      <c r="S7" s="69"/>
      <c r="T7" s="69"/>
      <c r="U7" s="69"/>
      <c r="V7" s="69"/>
      <c r="W7" s="70"/>
    </row>
    <row r="8" customFormat="false" ht="15" hidden="false" customHeight="true" outlineLevel="0" collapsed="false">
      <c r="A8" s="67"/>
      <c r="B8" s="68"/>
      <c r="C8" s="71" t="str">
        <f aca="false">IF('Business Details'!C5&gt;0,'Business Details'!C5," ")</f>
        <v> </v>
      </c>
      <c r="D8" s="71"/>
      <c r="E8" s="71"/>
      <c r="F8" s="71"/>
      <c r="G8" s="71"/>
      <c r="H8" s="71"/>
      <c r="I8" s="71"/>
      <c r="J8" s="71"/>
      <c r="K8" s="72"/>
      <c r="L8" s="72"/>
      <c r="M8" s="72"/>
      <c r="N8" s="72"/>
      <c r="O8" s="73" t="str">
        <f aca="false">IF('Business Details'!O5&gt;0,'Business Details'!O5," ")</f>
        <v> </v>
      </c>
      <c r="P8" s="73"/>
      <c r="Q8" s="72"/>
      <c r="R8" s="73" t="str">
        <f aca="false">IF('Business Details'!R5&gt;0,'Business Details'!R5," ")</f>
        <v> </v>
      </c>
      <c r="S8" s="73"/>
      <c r="T8" s="73"/>
      <c r="U8" s="73"/>
      <c r="V8" s="68"/>
      <c r="W8" s="74"/>
    </row>
    <row r="9" customFormat="false" ht="6" hidden="false" customHeight="true" outlineLevel="0" collapsed="false">
      <c r="A9" s="75"/>
      <c r="B9" s="76"/>
      <c r="C9" s="76"/>
      <c r="D9" s="76"/>
      <c r="E9" s="76"/>
      <c r="F9" s="76"/>
      <c r="G9" s="76"/>
      <c r="H9" s="76"/>
      <c r="I9" s="76"/>
      <c r="J9" s="76"/>
      <c r="K9" s="76"/>
      <c r="L9" s="76"/>
      <c r="M9" s="76"/>
      <c r="N9" s="76"/>
      <c r="O9" s="76"/>
      <c r="P9" s="76"/>
      <c r="Q9" s="76"/>
      <c r="R9" s="76"/>
      <c r="S9" s="76"/>
      <c r="T9" s="76"/>
      <c r="U9" s="76"/>
      <c r="V9" s="76"/>
      <c r="W9" s="77"/>
    </row>
    <row r="10" customFormat="false" ht="24.75" hidden="false" customHeight="true" outlineLevel="0" collapsed="false">
      <c r="A10" s="78" t="s">
        <v>38</v>
      </c>
      <c r="B10" s="78"/>
      <c r="C10" s="78"/>
      <c r="D10" s="78"/>
      <c r="E10" s="78"/>
      <c r="F10" s="78"/>
      <c r="G10" s="78"/>
      <c r="H10" s="78"/>
      <c r="I10" s="78"/>
      <c r="J10" s="78"/>
      <c r="K10" s="78"/>
      <c r="L10" s="78"/>
      <c r="M10" s="78"/>
      <c r="N10" s="78"/>
      <c r="O10" s="78"/>
      <c r="P10" s="78"/>
      <c r="Q10" s="78"/>
      <c r="R10" s="78"/>
      <c r="S10" s="78"/>
      <c r="T10" s="78"/>
      <c r="U10" s="78"/>
      <c r="V10" s="78"/>
      <c r="W10" s="78"/>
    </row>
    <row r="11" customFormat="false" ht="7.5" hidden="false" customHeight="true" outlineLevel="0" collapsed="false">
      <c r="A11" s="79"/>
      <c r="B11" s="80"/>
      <c r="C11" s="80"/>
      <c r="D11" s="80"/>
      <c r="E11" s="80"/>
      <c r="F11" s="80"/>
      <c r="G11" s="80"/>
      <c r="H11" s="80"/>
      <c r="I11" s="80"/>
      <c r="J11" s="80"/>
      <c r="K11" s="80"/>
      <c r="L11" s="80"/>
      <c r="M11" s="80"/>
      <c r="N11" s="80"/>
      <c r="O11" s="80"/>
      <c r="P11" s="80"/>
      <c r="Q11" s="80"/>
      <c r="R11" s="80"/>
      <c r="S11" s="80"/>
      <c r="T11" s="80"/>
      <c r="U11" s="80"/>
      <c r="V11" s="80"/>
      <c r="W11" s="81"/>
    </row>
    <row r="12" customFormat="false" ht="12.65" hidden="false" customHeight="false" outlineLevel="0" collapsed="false">
      <c r="A12" s="82" t="n">
        <v>1</v>
      </c>
      <c r="B12" s="68"/>
      <c r="C12" s="69" t="s">
        <v>10</v>
      </c>
      <c r="D12" s="69"/>
      <c r="E12" s="69"/>
      <c r="F12" s="68"/>
      <c r="G12" s="68"/>
      <c r="H12" s="68"/>
      <c r="I12" s="68"/>
      <c r="J12" s="68"/>
      <c r="K12" s="68"/>
      <c r="L12" s="82" t="n">
        <v>4</v>
      </c>
      <c r="M12" s="68"/>
      <c r="N12" s="69" t="s">
        <v>11</v>
      </c>
      <c r="O12" s="69"/>
      <c r="P12" s="69"/>
      <c r="Q12" s="69"/>
      <c r="R12" s="83"/>
      <c r="S12" s="84"/>
      <c r="T12" s="84"/>
      <c r="U12" s="84"/>
      <c r="V12" s="69"/>
      <c r="W12" s="85"/>
    </row>
    <row r="13" customFormat="false" ht="15" hidden="false" customHeight="true" outlineLevel="0" collapsed="false">
      <c r="A13" s="86"/>
      <c r="B13" s="68"/>
      <c r="C13" s="71" t="str">
        <f aca="false">IF('Business Details'!C8&gt;0,'Business Details'!C8," ")</f>
        <v>Taxi Driver</v>
      </c>
      <c r="D13" s="71"/>
      <c r="E13" s="71"/>
      <c r="F13" s="71"/>
      <c r="G13" s="71"/>
      <c r="H13" s="71"/>
      <c r="I13" s="71"/>
      <c r="J13" s="71"/>
      <c r="K13" s="68"/>
      <c r="L13" s="68"/>
      <c r="M13" s="68"/>
      <c r="N13" s="87" t="s">
        <v>13</v>
      </c>
      <c r="O13" s="69"/>
      <c r="P13" s="69"/>
      <c r="Q13" s="69"/>
      <c r="R13" s="69"/>
      <c r="S13" s="69"/>
      <c r="T13" s="69"/>
      <c r="U13" s="69"/>
      <c r="V13" s="69"/>
      <c r="W13" s="85"/>
    </row>
    <row r="14" customFormat="false" ht="7.5" hidden="false" customHeight="true" outlineLevel="0" collapsed="false">
      <c r="A14" s="86"/>
      <c r="B14" s="68"/>
      <c r="C14" s="72"/>
      <c r="D14" s="72"/>
      <c r="E14" s="72"/>
      <c r="F14" s="72"/>
      <c r="G14" s="72"/>
      <c r="H14" s="72"/>
      <c r="I14" s="72"/>
      <c r="J14" s="72"/>
      <c r="K14" s="68"/>
      <c r="L14" s="68"/>
      <c r="M14" s="68"/>
      <c r="N14" s="88"/>
      <c r="O14" s="88"/>
      <c r="P14" s="88"/>
      <c r="Q14" s="88"/>
      <c r="R14" s="68"/>
      <c r="S14" s="68"/>
      <c r="T14" s="68"/>
      <c r="U14" s="68"/>
      <c r="V14" s="68"/>
      <c r="W14" s="89"/>
    </row>
    <row r="15" customFormat="false" ht="15" hidden="false" customHeight="true" outlineLevel="0" collapsed="false">
      <c r="A15" s="86"/>
      <c r="B15" s="68"/>
      <c r="C15" s="71" t="str">
        <f aca="false">IF('Business Details'!C10&gt;0,'Business Details'!C10," ")</f>
        <v> </v>
      </c>
      <c r="D15" s="71"/>
      <c r="E15" s="71"/>
      <c r="F15" s="71"/>
      <c r="G15" s="71"/>
      <c r="H15" s="71"/>
      <c r="I15" s="71"/>
      <c r="J15" s="71"/>
      <c r="K15" s="68"/>
      <c r="L15" s="68"/>
      <c r="M15" s="68"/>
      <c r="N15" s="90"/>
      <c r="O15" s="88"/>
      <c r="P15" s="88"/>
      <c r="Q15" s="88"/>
      <c r="R15" s="68"/>
      <c r="S15" s="68"/>
      <c r="T15" s="68"/>
      <c r="U15" s="68"/>
      <c r="V15" s="68"/>
      <c r="W15" s="89"/>
    </row>
    <row r="16" customFormat="false" ht="7.5" hidden="false" customHeight="true" outlineLevel="0" collapsed="false">
      <c r="A16" s="86"/>
      <c r="B16" s="68"/>
      <c r="C16" s="72"/>
      <c r="D16" s="72"/>
      <c r="E16" s="72"/>
      <c r="F16" s="72"/>
      <c r="G16" s="72"/>
      <c r="H16" s="72"/>
      <c r="I16" s="72"/>
      <c r="J16" s="72"/>
      <c r="K16" s="68"/>
      <c r="L16" s="68"/>
      <c r="M16" s="68"/>
      <c r="N16" s="68"/>
      <c r="O16" s="68"/>
      <c r="P16" s="68"/>
      <c r="Q16" s="68"/>
      <c r="R16" s="68"/>
      <c r="S16" s="68"/>
      <c r="T16" s="68"/>
      <c r="U16" s="68"/>
      <c r="V16" s="68"/>
      <c r="W16" s="89"/>
    </row>
    <row r="17" customFormat="false" ht="15" hidden="false" customHeight="true" outlineLevel="0" collapsed="false">
      <c r="A17" s="86"/>
      <c r="B17" s="68"/>
      <c r="C17" s="71" t="str">
        <f aca="false">IF('Business Details'!C12&gt;0,'Business Details'!C12," ")</f>
        <v> </v>
      </c>
      <c r="D17" s="71"/>
      <c r="E17" s="71"/>
      <c r="F17" s="71"/>
      <c r="G17" s="71"/>
      <c r="H17" s="71"/>
      <c r="I17" s="71"/>
      <c r="J17" s="71"/>
      <c r="K17" s="68"/>
      <c r="L17" s="82" t="n">
        <v>5</v>
      </c>
      <c r="M17" s="68"/>
      <c r="N17" s="69" t="s">
        <v>14</v>
      </c>
      <c r="O17" s="69"/>
      <c r="P17" s="69"/>
      <c r="Q17" s="69"/>
      <c r="R17" s="83"/>
      <c r="S17" s="91" t="n">
        <f aca="false">Admin!B4</f>
        <v>43927</v>
      </c>
      <c r="T17" s="91"/>
      <c r="U17" s="91"/>
      <c r="V17" s="91"/>
      <c r="W17" s="85"/>
    </row>
    <row r="18" customFormat="false" ht="12" hidden="false" customHeight="true" outlineLevel="0" collapsed="false">
      <c r="A18" s="86"/>
      <c r="B18" s="68"/>
      <c r="C18" s="68"/>
      <c r="D18" s="68"/>
      <c r="E18" s="68"/>
      <c r="F18" s="68"/>
      <c r="G18" s="68"/>
      <c r="H18" s="68"/>
      <c r="I18" s="68"/>
      <c r="J18" s="68"/>
      <c r="K18" s="68"/>
      <c r="L18" s="68"/>
      <c r="M18" s="68"/>
      <c r="N18" s="92" t="s">
        <v>39</v>
      </c>
      <c r="O18" s="92"/>
      <c r="P18" s="92"/>
      <c r="Q18" s="92"/>
      <c r="R18" s="92"/>
      <c r="S18" s="92"/>
      <c r="T18" s="92"/>
      <c r="U18" s="92"/>
      <c r="V18" s="92"/>
      <c r="W18" s="93"/>
    </row>
    <row r="19" customFormat="false" ht="7.5" hidden="false" customHeight="true" outlineLevel="0" collapsed="false">
      <c r="A19" s="86"/>
      <c r="B19" s="68"/>
      <c r="C19" s="68"/>
      <c r="D19" s="68"/>
      <c r="E19" s="68"/>
      <c r="F19" s="68"/>
      <c r="G19" s="68"/>
      <c r="H19" s="68"/>
      <c r="I19" s="68"/>
      <c r="J19" s="68"/>
      <c r="K19" s="68"/>
      <c r="L19" s="68"/>
      <c r="M19" s="68"/>
      <c r="N19" s="68"/>
      <c r="O19" s="68"/>
      <c r="P19" s="68"/>
      <c r="Q19" s="68"/>
      <c r="R19" s="68"/>
      <c r="S19" s="68"/>
      <c r="T19" s="68"/>
      <c r="U19" s="68"/>
      <c r="V19" s="68"/>
      <c r="W19" s="89"/>
    </row>
    <row r="20" customFormat="false" ht="13.5" hidden="false" customHeight="false" outlineLevel="0" collapsed="false">
      <c r="A20" s="82" t="n">
        <v>2</v>
      </c>
      <c r="B20" s="68"/>
      <c r="C20" s="69" t="s">
        <v>16</v>
      </c>
      <c r="D20" s="69"/>
      <c r="E20" s="69"/>
      <c r="F20" s="68"/>
      <c r="G20" s="68"/>
      <c r="H20" s="68"/>
      <c r="I20" s="68"/>
      <c r="J20" s="68"/>
      <c r="K20" s="68"/>
      <c r="L20" s="68"/>
      <c r="M20" s="68"/>
      <c r="N20" s="94" t="str">
        <f aca="false">IF('Business Details'!N15&gt;0,'Business Details'!N15," ")</f>
        <v> </v>
      </c>
      <c r="O20" s="94"/>
      <c r="P20" s="94"/>
      <c r="Q20" s="94"/>
      <c r="R20" s="69"/>
      <c r="S20" s="69"/>
      <c r="T20" s="69"/>
      <c r="U20" s="69"/>
      <c r="V20" s="69"/>
      <c r="W20" s="85"/>
    </row>
    <row r="21" customFormat="false" ht="7.5" hidden="false" customHeight="true" outlineLevel="0" collapsed="false">
      <c r="A21" s="86"/>
      <c r="B21" s="68"/>
      <c r="C21" s="68"/>
      <c r="D21" s="68"/>
      <c r="E21" s="68"/>
      <c r="F21" s="68"/>
      <c r="G21" s="68"/>
      <c r="H21" s="68"/>
      <c r="I21" s="68"/>
      <c r="J21" s="68"/>
      <c r="K21" s="68"/>
      <c r="L21" s="68"/>
      <c r="M21" s="68"/>
      <c r="N21" s="68"/>
      <c r="O21" s="68"/>
      <c r="P21" s="68"/>
      <c r="Q21" s="68"/>
      <c r="R21" s="68"/>
      <c r="S21" s="68"/>
      <c r="T21" s="68"/>
      <c r="U21" s="68"/>
      <c r="V21" s="68"/>
      <c r="W21" s="89"/>
    </row>
    <row r="22" customFormat="false" ht="15" hidden="false" customHeight="true" outlineLevel="0" collapsed="false">
      <c r="A22" s="86"/>
      <c r="B22" s="68"/>
      <c r="C22" s="95" t="str">
        <f aca="false">IF('Business Details'!C17&gt;0,'Business Details'!C17," ")</f>
        <v> </v>
      </c>
      <c r="D22" s="95"/>
      <c r="E22" s="72"/>
      <c r="F22" s="96" t="str">
        <f aca="false">IF('Business Details'!F17&gt;0,'Business Details'!F17," ")</f>
        <v> </v>
      </c>
      <c r="G22" s="68"/>
      <c r="H22" s="68"/>
      <c r="I22" s="68"/>
      <c r="J22" s="68"/>
      <c r="K22" s="68"/>
      <c r="L22" s="68"/>
      <c r="M22" s="68"/>
      <c r="N22" s="69"/>
      <c r="O22" s="69"/>
      <c r="P22" s="69"/>
      <c r="Q22" s="69"/>
      <c r="R22" s="69"/>
      <c r="S22" s="69"/>
      <c r="T22" s="69"/>
      <c r="U22" s="69"/>
      <c r="V22" s="69"/>
      <c r="W22" s="85"/>
    </row>
    <row r="23" customFormat="false" ht="12" hidden="false" customHeight="false" outlineLevel="0" collapsed="false">
      <c r="A23" s="86"/>
      <c r="B23" s="68"/>
      <c r="C23" s="68"/>
      <c r="D23" s="68"/>
      <c r="E23" s="68"/>
      <c r="F23" s="68"/>
      <c r="G23" s="68"/>
      <c r="H23" s="68"/>
      <c r="I23" s="68"/>
      <c r="J23" s="68"/>
      <c r="K23" s="68"/>
      <c r="L23" s="82" t="n">
        <v>6</v>
      </c>
      <c r="M23" s="69"/>
      <c r="N23" s="69" t="s">
        <v>17</v>
      </c>
      <c r="O23" s="97"/>
      <c r="P23" s="69"/>
      <c r="Q23" s="69"/>
      <c r="R23" s="69"/>
      <c r="S23" s="91" t="n">
        <f aca="false">Admin!B17</f>
        <v>44291</v>
      </c>
      <c r="T23" s="91"/>
      <c r="U23" s="91"/>
      <c r="V23" s="91"/>
      <c r="W23" s="85"/>
    </row>
    <row r="24" customFormat="false" ht="12" hidden="false" customHeight="false" outlineLevel="0" collapsed="false">
      <c r="A24" s="82" t="n">
        <v>3</v>
      </c>
      <c r="B24" s="68"/>
      <c r="C24" s="69" t="s">
        <v>18</v>
      </c>
      <c r="D24" s="68"/>
      <c r="E24" s="68"/>
      <c r="F24" s="68"/>
      <c r="G24" s="68"/>
      <c r="H24" s="68"/>
      <c r="I24" s="68"/>
      <c r="J24" s="68"/>
      <c r="K24" s="68"/>
      <c r="L24" s="68"/>
      <c r="M24" s="69"/>
      <c r="N24" s="87" t="s">
        <v>19</v>
      </c>
      <c r="O24" s="88"/>
      <c r="P24" s="88"/>
      <c r="Q24" s="88"/>
      <c r="R24" s="68"/>
      <c r="S24" s="68"/>
      <c r="T24" s="68"/>
      <c r="U24" s="68"/>
      <c r="V24" s="68"/>
      <c r="W24" s="89"/>
    </row>
    <row r="25" customFormat="false" ht="12" hidden="false" customHeight="false" outlineLevel="0" collapsed="false">
      <c r="A25" s="86"/>
      <c r="B25" s="68"/>
      <c r="C25" s="69" t="s">
        <v>20</v>
      </c>
      <c r="D25" s="68"/>
      <c r="E25" s="68"/>
      <c r="F25" s="68"/>
      <c r="G25" s="68"/>
      <c r="H25" s="68"/>
      <c r="I25" s="68"/>
      <c r="J25" s="68"/>
      <c r="K25" s="68"/>
      <c r="L25" s="68"/>
      <c r="M25" s="68"/>
      <c r="N25" s="88"/>
      <c r="O25" s="88"/>
      <c r="P25" s="88"/>
      <c r="Q25" s="88"/>
      <c r="R25" s="68"/>
      <c r="S25" s="68"/>
      <c r="T25" s="68"/>
      <c r="U25" s="68"/>
      <c r="V25" s="68"/>
      <c r="W25" s="89"/>
    </row>
    <row r="26" customFormat="false" ht="13.5" hidden="false" customHeight="false" outlineLevel="0" collapsed="false">
      <c r="A26" s="86"/>
      <c r="B26" s="68"/>
      <c r="C26" s="87" t="s">
        <v>21</v>
      </c>
      <c r="D26" s="88"/>
      <c r="E26" s="88"/>
      <c r="F26" s="88"/>
      <c r="G26" s="88"/>
      <c r="H26" s="88"/>
      <c r="I26" s="88"/>
      <c r="J26" s="88"/>
      <c r="K26" s="88"/>
      <c r="L26" s="68"/>
      <c r="M26" s="68"/>
      <c r="N26" s="94" t="str">
        <f aca="false">IF('Business Details'!N21&gt;0,'Business Details'!N21," ")</f>
        <v> </v>
      </c>
      <c r="O26" s="94"/>
      <c r="P26" s="94"/>
      <c r="Q26" s="94"/>
      <c r="R26" s="68"/>
      <c r="S26" s="68"/>
      <c r="T26" s="68"/>
      <c r="U26" s="68"/>
      <c r="V26" s="68"/>
      <c r="W26" s="89"/>
    </row>
    <row r="27" customFormat="false" ht="12" hidden="false" customHeight="false" outlineLevel="0" collapsed="false">
      <c r="A27" s="86"/>
      <c r="B27" s="68"/>
      <c r="C27" s="87" t="s">
        <v>22</v>
      </c>
      <c r="D27" s="68"/>
      <c r="E27" s="68"/>
      <c r="F27" s="68"/>
      <c r="G27" s="68"/>
      <c r="H27" s="68"/>
      <c r="I27" s="68"/>
      <c r="J27" s="68"/>
      <c r="K27" s="68"/>
      <c r="L27" s="68"/>
      <c r="M27" s="68"/>
      <c r="N27" s="88"/>
      <c r="O27" s="88"/>
      <c r="P27" s="88"/>
      <c r="Q27" s="88"/>
      <c r="R27" s="68"/>
      <c r="S27" s="68"/>
      <c r="T27" s="68"/>
      <c r="U27" s="68"/>
      <c r="V27" s="68"/>
      <c r="W27" s="89"/>
    </row>
    <row r="28" customFormat="false" ht="12" hidden="false" customHeight="false" outlineLevel="0" collapsed="false">
      <c r="A28" s="86"/>
      <c r="B28" s="68"/>
      <c r="C28" s="88"/>
      <c r="D28" s="68"/>
      <c r="E28" s="68"/>
      <c r="F28" s="68"/>
      <c r="G28" s="68"/>
      <c r="H28" s="68"/>
      <c r="I28" s="68"/>
      <c r="J28" s="68"/>
      <c r="K28" s="68"/>
      <c r="L28" s="82" t="n">
        <v>7</v>
      </c>
      <c r="M28" s="68"/>
      <c r="N28" s="87" t="s">
        <v>23</v>
      </c>
      <c r="O28" s="88"/>
      <c r="P28" s="88"/>
      <c r="Q28" s="88"/>
      <c r="R28" s="68"/>
      <c r="S28" s="68"/>
      <c r="T28" s="68"/>
      <c r="U28" s="68"/>
      <c r="V28" s="68"/>
      <c r="W28" s="89"/>
    </row>
    <row r="29" customFormat="false" ht="15" hidden="false" customHeight="true" outlineLevel="0" collapsed="false">
      <c r="A29" s="86"/>
      <c r="B29" s="68"/>
      <c r="C29" s="90" t="str">
        <f aca="false">IF('Business Details'!C24="x","x"," ")</f>
        <v> </v>
      </c>
      <c r="D29" s="68"/>
      <c r="E29" s="68"/>
      <c r="F29" s="68"/>
      <c r="G29" s="68"/>
      <c r="H29" s="68"/>
      <c r="I29" s="68"/>
      <c r="J29" s="68"/>
      <c r="K29" s="68"/>
      <c r="L29" s="68"/>
      <c r="M29" s="68"/>
      <c r="N29" s="98" t="s">
        <v>24</v>
      </c>
      <c r="O29" s="88"/>
      <c r="P29" s="88"/>
      <c r="Q29" s="88"/>
      <c r="R29" s="68"/>
      <c r="S29" s="68"/>
      <c r="T29" s="68"/>
      <c r="U29" s="68"/>
      <c r="V29" s="68"/>
      <c r="W29" s="89"/>
    </row>
    <row r="30" customFormat="false" ht="7.5" hidden="false" customHeight="true" outlineLevel="0" collapsed="false">
      <c r="A30" s="86"/>
      <c r="B30" s="68"/>
      <c r="C30" s="68"/>
      <c r="D30" s="68"/>
      <c r="E30" s="68"/>
      <c r="F30" s="68"/>
      <c r="G30" s="68"/>
      <c r="H30" s="68"/>
      <c r="I30" s="68"/>
      <c r="J30" s="68"/>
      <c r="K30" s="68"/>
      <c r="L30" s="68"/>
      <c r="M30" s="68"/>
      <c r="N30" s="98"/>
      <c r="O30" s="88"/>
      <c r="P30" s="88"/>
      <c r="Q30" s="88"/>
      <c r="R30" s="68"/>
      <c r="S30" s="68"/>
      <c r="T30" s="68"/>
      <c r="U30" s="68"/>
      <c r="V30" s="68"/>
      <c r="W30" s="89"/>
    </row>
    <row r="31" customFormat="false" ht="13.5" hidden="false" customHeight="false" outlineLevel="0" collapsed="false">
      <c r="A31" s="86"/>
      <c r="B31" s="68"/>
      <c r="C31" s="68"/>
      <c r="D31" s="68"/>
      <c r="E31" s="68"/>
      <c r="F31" s="68"/>
      <c r="G31" s="68"/>
      <c r="H31" s="68"/>
      <c r="I31" s="68"/>
      <c r="J31" s="68"/>
      <c r="K31" s="68"/>
      <c r="L31" s="68"/>
      <c r="M31" s="68"/>
      <c r="N31" s="94" t="n">
        <f aca="false">Admin!B17</f>
        <v>44291</v>
      </c>
      <c r="O31" s="94"/>
      <c r="P31" s="94"/>
      <c r="Q31" s="94"/>
      <c r="R31" s="68"/>
      <c r="S31" s="68"/>
      <c r="T31" s="68"/>
      <c r="U31" s="68"/>
      <c r="V31" s="68"/>
      <c r="W31" s="89"/>
    </row>
    <row r="32" customFormat="false" ht="7.5" hidden="false" customHeight="true" outlineLevel="0" collapsed="false">
      <c r="A32" s="99"/>
      <c r="B32" s="100"/>
      <c r="C32" s="100"/>
      <c r="D32" s="100"/>
      <c r="E32" s="100"/>
      <c r="F32" s="100"/>
      <c r="G32" s="100"/>
      <c r="H32" s="100"/>
      <c r="I32" s="100"/>
      <c r="J32" s="100"/>
      <c r="K32" s="100"/>
      <c r="L32" s="100"/>
      <c r="M32" s="100"/>
      <c r="N32" s="100"/>
      <c r="O32" s="100"/>
      <c r="P32" s="100"/>
      <c r="Q32" s="100"/>
      <c r="R32" s="100"/>
      <c r="S32" s="100"/>
      <c r="T32" s="100"/>
      <c r="U32" s="100"/>
      <c r="V32" s="100"/>
      <c r="W32" s="101"/>
    </row>
    <row r="33" customFormat="false" ht="24.75" hidden="false" customHeight="true" outlineLevel="0" collapsed="false">
      <c r="A33" s="102" t="str">
        <f aca="false">"Business income - if your annual turnover was below £"&amp;Admin!F26&amp;" VAT threshold"</f>
        <v>Business income - if your annual turnover was below £85000 VAT threshold</v>
      </c>
      <c r="B33" s="102"/>
      <c r="C33" s="102"/>
      <c r="D33" s="102"/>
      <c r="E33" s="102"/>
      <c r="F33" s="102"/>
      <c r="G33" s="102"/>
      <c r="H33" s="102"/>
      <c r="I33" s="102"/>
      <c r="J33" s="102"/>
      <c r="K33" s="102"/>
      <c r="L33" s="102"/>
      <c r="M33" s="102"/>
      <c r="N33" s="102"/>
      <c r="O33" s="102"/>
      <c r="P33" s="102"/>
      <c r="Q33" s="102"/>
      <c r="R33" s="102"/>
      <c r="S33" s="102"/>
      <c r="T33" s="102"/>
      <c r="U33" s="102"/>
      <c r="V33" s="102"/>
      <c r="W33" s="102"/>
    </row>
    <row r="34" customFormat="false" ht="7.5" hidden="false" customHeight="true" outlineLevel="0" collapsed="false">
      <c r="A34" s="79"/>
      <c r="B34" s="80"/>
      <c r="C34" s="80"/>
      <c r="D34" s="80"/>
      <c r="E34" s="80"/>
      <c r="F34" s="80"/>
      <c r="G34" s="80"/>
      <c r="H34" s="80"/>
      <c r="I34" s="80"/>
      <c r="J34" s="80"/>
      <c r="K34" s="80"/>
      <c r="L34" s="80"/>
      <c r="M34" s="80"/>
      <c r="N34" s="80"/>
      <c r="O34" s="80"/>
      <c r="P34" s="80"/>
      <c r="Q34" s="80"/>
      <c r="R34" s="80"/>
      <c r="S34" s="80"/>
      <c r="T34" s="80"/>
      <c r="U34" s="80"/>
      <c r="V34" s="80"/>
      <c r="W34" s="81"/>
    </row>
    <row r="35" customFormat="false" ht="12" hidden="false" customHeight="false" outlineLevel="0" collapsed="false">
      <c r="A35" s="82" t="n">
        <v>8</v>
      </c>
      <c r="B35" s="68"/>
      <c r="C35" s="69" t="s">
        <v>40</v>
      </c>
      <c r="D35" s="69"/>
      <c r="E35" s="69"/>
      <c r="F35" s="69"/>
      <c r="G35" s="69"/>
      <c r="H35" s="69"/>
      <c r="I35" s="69"/>
      <c r="J35" s="69"/>
      <c r="K35" s="69"/>
      <c r="L35" s="82" t="n">
        <v>9</v>
      </c>
      <c r="M35" s="68"/>
      <c r="N35" s="69" t="s">
        <v>41</v>
      </c>
      <c r="O35" s="69"/>
      <c r="P35" s="69"/>
      <c r="Q35" s="69"/>
      <c r="R35" s="69"/>
      <c r="S35" s="69"/>
      <c r="T35" s="69"/>
      <c r="U35" s="69"/>
      <c r="V35" s="69"/>
      <c r="W35" s="85"/>
    </row>
    <row r="36" customFormat="false" ht="12" hidden="false" customHeight="false" outlineLevel="0" collapsed="false">
      <c r="A36" s="86"/>
      <c r="B36" s="68"/>
      <c r="C36" s="97" t="s">
        <v>42</v>
      </c>
      <c r="D36" s="68"/>
      <c r="E36" s="68"/>
      <c r="F36" s="68"/>
      <c r="G36" s="68"/>
      <c r="H36" s="68"/>
      <c r="I36" s="68"/>
      <c r="J36" s="68"/>
      <c r="K36" s="68"/>
      <c r="L36" s="68"/>
      <c r="M36" s="68"/>
      <c r="N36" s="97" t="s">
        <v>43</v>
      </c>
      <c r="O36" s="68"/>
      <c r="P36" s="68"/>
      <c r="Q36" s="68"/>
      <c r="R36" s="68"/>
      <c r="S36" s="68"/>
      <c r="T36" s="68"/>
      <c r="U36" s="68"/>
      <c r="V36" s="68"/>
      <c r="W36" s="89"/>
    </row>
    <row r="37" customFormat="false" ht="6" hidden="false" customHeight="true" outlineLevel="0" collapsed="false">
      <c r="A37" s="86"/>
      <c r="B37" s="68"/>
      <c r="C37" s="68"/>
      <c r="D37" s="68"/>
      <c r="E37" s="68"/>
      <c r="F37" s="68"/>
      <c r="G37" s="68"/>
      <c r="H37" s="68"/>
      <c r="I37" s="68"/>
      <c r="J37" s="68"/>
      <c r="K37" s="68"/>
      <c r="L37" s="68"/>
      <c r="M37" s="68"/>
      <c r="N37" s="68"/>
      <c r="O37" s="68"/>
      <c r="P37" s="68"/>
      <c r="Q37" s="68"/>
      <c r="R37" s="68"/>
      <c r="S37" s="68"/>
      <c r="T37" s="68"/>
      <c r="U37" s="68"/>
      <c r="V37" s="68"/>
      <c r="W37" s="89"/>
    </row>
    <row r="38" customFormat="false" ht="15" hidden="false" customHeight="false" outlineLevel="0" collapsed="false">
      <c r="A38" s="86"/>
      <c r="B38" s="68"/>
      <c r="C38" s="103" t="s">
        <v>28</v>
      </c>
      <c r="D38" s="104" t="n">
        <f aca="false">'Profit &amp; Loss Acc'!B5</f>
        <v>36000</v>
      </c>
      <c r="E38" s="104"/>
      <c r="F38" s="104"/>
      <c r="G38" s="105" t="s">
        <v>29</v>
      </c>
      <c r="H38" s="106" t="n">
        <v>0</v>
      </c>
      <c r="I38" s="106" t="n">
        <v>0</v>
      </c>
      <c r="J38" s="68"/>
      <c r="K38" s="68"/>
      <c r="L38" s="68"/>
      <c r="M38" s="68"/>
      <c r="N38" s="103" t="s">
        <v>28</v>
      </c>
      <c r="O38" s="104"/>
      <c r="P38" s="104"/>
      <c r="Q38" s="104"/>
      <c r="R38" s="105" t="s">
        <v>29</v>
      </c>
      <c r="S38" s="106" t="n">
        <v>0</v>
      </c>
      <c r="T38" s="106" t="n">
        <v>0</v>
      </c>
      <c r="U38" s="107"/>
      <c r="V38" s="108"/>
      <c r="W38" s="89"/>
    </row>
    <row r="39" customFormat="false" ht="7.5" hidden="false" customHeight="true" outlineLevel="0" collapsed="false">
      <c r="A39" s="99"/>
      <c r="B39" s="100"/>
      <c r="C39" s="100"/>
      <c r="D39" s="100"/>
      <c r="E39" s="100"/>
      <c r="F39" s="100"/>
      <c r="G39" s="100"/>
      <c r="H39" s="100"/>
      <c r="I39" s="100"/>
      <c r="J39" s="100"/>
      <c r="K39" s="100"/>
      <c r="L39" s="100"/>
      <c r="M39" s="100"/>
      <c r="N39" s="100"/>
      <c r="O39" s="100"/>
      <c r="P39" s="100"/>
      <c r="Q39" s="100"/>
      <c r="R39" s="100"/>
      <c r="S39" s="100"/>
      <c r="T39" s="100"/>
      <c r="U39" s="100"/>
      <c r="V39" s="100"/>
      <c r="W39" s="101"/>
    </row>
    <row r="40" customFormat="false" ht="24.75" hidden="false" customHeight="true" outlineLevel="0" collapsed="false">
      <c r="A40" s="109" t="s">
        <v>44</v>
      </c>
      <c r="B40" s="109"/>
      <c r="C40" s="109"/>
      <c r="D40" s="109"/>
      <c r="E40" s="109"/>
      <c r="F40" s="109"/>
      <c r="G40" s="109"/>
      <c r="H40" s="109"/>
      <c r="I40" s="109"/>
      <c r="J40" s="109"/>
      <c r="K40" s="109"/>
      <c r="L40" s="109"/>
      <c r="M40" s="109"/>
      <c r="N40" s="109"/>
      <c r="O40" s="109"/>
      <c r="P40" s="109"/>
      <c r="Q40" s="109"/>
      <c r="R40" s="109"/>
      <c r="S40" s="109"/>
      <c r="T40" s="109"/>
      <c r="U40" s="109"/>
      <c r="V40" s="109"/>
      <c r="W40" s="109"/>
    </row>
    <row r="41" s="111" customFormat="true" ht="13.5" hidden="false" customHeight="true" outlineLevel="0" collapsed="false">
      <c r="A41" s="110" t="s">
        <v>45</v>
      </c>
      <c r="B41" s="110"/>
      <c r="C41" s="110"/>
      <c r="D41" s="110"/>
      <c r="E41" s="110"/>
      <c r="F41" s="110"/>
      <c r="G41" s="110"/>
      <c r="H41" s="110"/>
      <c r="I41" s="110"/>
      <c r="J41" s="110"/>
      <c r="K41" s="110"/>
      <c r="L41" s="110"/>
      <c r="M41" s="110"/>
      <c r="N41" s="110"/>
      <c r="O41" s="110"/>
      <c r="P41" s="110"/>
      <c r="Q41" s="110"/>
      <c r="R41" s="110"/>
      <c r="S41" s="110"/>
      <c r="T41" s="110"/>
      <c r="U41" s="110"/>
      <c r="V41" s="110"/>
      <c r="W41" s="110"/>
    </row>
    <row r="42" s="111" customFormat="true" ht="13.5" hidden="false" customHeight="true" outlineLevel="0" collapsed="false">
      <c r="A42" s="112" t="s">
        <v>46</v>
      </c>
      <c r="B42" s="112"/>
      <c r="C42" s="112"/>
      <c r="D42" s="112"/>
      <c r="E42" s="112"/>
      <c r="F42" s="112"/>
      <c r="G42" s="112"/>
      <c r="H42" s="112"/>
      <c r="I42" s="112"/>
      <c r="J42" s="112"/>
      <c r="K42" s="112"/>
      <c r="L42" s="112"/>
      <c r="M42" s="112"/>
      <c r="N42" s="112"/>
      <c r="O42" s="112"/>
      <c r="P42" s="112"/>
      <c r="Q42" s="112"/>
      <c r="R42" s="112"/>
      <c r="S42" s="112"/>
      <c r="T42" s="112"/>
      <c r="U42" s="112"/>
      <c r="V42" s="112"/>
      <c r="W42" s="112"/>
    </row>
    <row r="43" customFormat="false" ht="7.5" hidden="false" customHeight="true" outlineLevel="0" collapsed="false">
      <c r="A43" s="79"/>
      <c r="B43" s="80"/>
      <c r="C43" s="80"/>
      <c r="D43" s="80"/>
      <c r="E43" s="80"/>
      <c r="F43" s="80"/>
      <c r="G43" s="80"/>
      <c r="H43" s="80"/>
      <c r="I43" s="80"/>
      <c r="J43" s="80"/>
      <c r="K43" s="80"/>
      <c r="L43" s="80"/>
      <c r="M43" s="80"/>
      <c r="N43" s="80"/>
      <c r="O43" s="80"/>
      <c r="P43" s="80"/>
      <c r="Q43" s="80"/>
      <c r="R43" s="80"/>
      <c r="S43" s="80"/>
      <c r="T43" s="80"/>
      <c r="U43" s="80"/>
      <c r="V43" s="80"/>
      <c r="W43" s="81"/>
    </row>
    <row r="44" customFormat="false" ht="12" hidden="false" customHeight="false" outlineLevel="0" collapsed="false">
      <c r="A44" s="82" t="n">
        <v>10</v>
      </c>
      <c r="B44" s="68"/>
      <c r="C44" s="69" t="s">
        <v>47</v>
      </c>
      <c r="D44" s="69"/>
      <c r="E44" s="69"/>
      <c r="F44" s="69"/>
      <c r="G44" s="69"/>
      <c r="H44" s="69"/>
      <c r="I44" s="69"/>
      <c r="J44" s="69"/>
      <c r="K44" s="69"/>
      <c r="L44" s="82" t="n">
        <v>15</v>
      </c>
      <c r="M44" s="68"/>
      <c r="N44" s="69" t="s">
        <v>48</v>
      </c>
      <c r="O44" s="68"/>
      <c r="P44" s="68"/>
      <c r="Q44" s="68"/>
      <c r="R44" s="68"/>
      <c r="S44" s="68"/>
      <c r="T44" s="68"/>
      <c r="U44" s="68"/>
      <c r="V44" s="68"/>
      <c r="W44" s="89"/>
    </row>
    <row r="45" customFormat="false" ht="6" hidden="false" customHeight="true" outlineLevel="0" collapsed="false">
      <c r="A45" s="113"/>
      <c r="B45" s="68"/>
      <c r="C45" s="69"/>
      <c r="D45" s="69"/>
      <c r="E45" s="69"/>
      <c r="F45" s="69"/>
      <c r="G45" s="69"/>
      <c r="H45" s="69"/>
      <c r="I45" s="69"/>
      <c r="J45" s="69"/>
      <c r="K45" s="69"/>
      <c r="L45" s="69"/>
      <c r="M45" s="68"/>
      <c r="N45" s="68"/>
      <c r="O45" s="68"/>
      <c r="P45" s="68"/>
      <c r="Q45" s="68"/>
      <c r="R45" s="68"/>
      <c r="S45" s="68"/>
      <c r="T45" s="68"/>
      <c r="U45" s="68"/>
      <c r="V45" s="68"/>
      <c r="W45" s="89"/>
    </row>
    <row r="46" customFormat="false" ht="15" hidden="false" customHeight="false" outlineLevel="0" collapsed="false">
      <c r="A46" s="86"/>
      <c r="B46" s="68"/>
      <c r="C46" s="103" t="s">
        <v>28</v>
      </c>
      <c r="D46" s="104" t="n">
        <f aca="false">IF(('Profit &amp; Loss Acc'!B5&lt;30000)," ",'Profit &amp; Loss Acc'!B12-'Profit &amp; Loss Acc'!B10)</f>
        <v>4980</v>
      </c>
      <c r="E46" s="104"/>
      <c r="F46" s="104"/>
      <c r="G46" s="105" t="s">
        <v>29</v>
      </c>
      <c r="H46" s="106" t="n">
        <v>0</v>
      </c>
      <c r="I46" s="106" t="n">
        <v>0</v>
      </c>
      <c r="J46" s="68"/>
      <c r="K46" s="68"/>
      <c r="L46" s="68"/>
      <c r="M46" s="68"/>
      <c r="N46" s="103" t="s">
        <v>28</v>
      </c>
      <c r="O46" s="104" t="n">
        <f aca="false">IF(('Profit &amp; Loss Acc'!B5&lt;30000)," ",'Profit &amp; Loss Acc'!B18)</f>
        <v>900</v>
      </c>
      <c r="P46" s="104"/>
      <c r="Q46" s="104"/>
      <c r="R46" s="105" t="s">
        <v>29</v>
      </c>
      <c r="S46" s="106" t="n">
        <v>0</v>
      </c>
      <c r="T46" s="106" t="n">
        <v>0</v>
      </c>
      <c r="U46" s="68"/>
      <c r="V46" s="68"/>
      <c r="W46" s="89"/>
    </row>
    <row r="47" customFormat="false" ht="12" hidden="false" customHeight="false" outlineLevel="0" collapsed="false">
      <c r="A47" s="86"/>
      <c r="B47" s="68"/>
      <c r="C47" s="68"/>
      <c r="D47" s="68"/>
      <c r="E47" s="68"/>
      <c r="F47" s="68"/>
      <c r="G47" s="68"/>
      <c r="H47" s="68"/>
      <c r="I47" s="68"/>
      <c r="J47" s="68"/>
      <c r="K47" s="68"/>
      <c r="L47" s="68"/>
      <c r="M47" s="68"/>
      <c r="N47" s="68"/>
      <c r="O47" s="68"/>
      <c r="P47" s="68"/>
      <c r="Q47" s="68"/>
      <c r="R47" s="68"/>
      <c r="S47" s="68"/>
      <c r="T47" s="68"/>
      <c r="U47" s="68"/>
      <c r="V47" s="68"/>
      <c r="W47" s="89"/>
    </row>
    <row r="48" customFormat="false" ht="12" hidden="false" customHeight="false" outlineLevel="0" collapsed="false">
      <c r="A48" s="82" t="n">
        <v>11</v>
      </c>
      <c r="B48" s="68"/>
      <c r="C48" s="69" t="s">
        <v>49</v>
      </c>
      <c r="D48" s="69"/>
      <c r="E48" s="69"/>
      <c r="F48" s="69"/>
      <c r="G48" s="69"/>
      <c r="H48" s="69"/>
      <c r="I48" s="69"/>
      <c r="J48" s="69"/>
      <c r="K48" s="69"/>
      <c r="L48" s="82" t="n">
        <v>16</v>
      </c>
      <c r="M48" s="68"/>
      <c r="N48" s="69" t="s">
        <v>50</v>
      </c>
      <c r="O48" s="68"/>
      <c r="P48" s="68"/>
      <c r="Q48" s="68"/>
      <c r="R48" s="68"/>
      <c r="S48" s="68"/>
      <c r="T48" s="68"/>
      <c r="U48" s="68"/>
      <c r="V48" s="68"/>
      <c r="W48" s="89"/>
    </row>
    <row r="49" customFormat="false" ht="12.75" hidden="false" customHeight="true" outlineLevel="0" collapsed="false">
      <c r="A49" s="86"/>
      <c r="B49" s="68"/>
      <c r="C49" s="97" t="s">
        <v>51</v>
      </c>
      <c r="D49" s="68"/>
      <c r="E49" s="68"/>
      <c r="F49" s="68"/>
      <c r="G49" s="68"/>
      <c r="H49" s="68"/>
      <c r="I49" s="68"/>
      <c r="J49" s="68"/>
      <c r="K49" s="68"/>
      <c r="L49" s="68"/>
      <c r="M49" s="68"/>
      <c r="N49" s="68"/>
      <c r="O49" s="68"/>
      <c r="P49" s="68"/>
      <c r="Q49" s="68"/>
      <c r="R49" s="68"/>
      <c r="S49" s="68"/>
      <c r="T49" s="68"/>
      <c r="U49" s="68"/>
      <c r="V49" s="68"/>
      <c r="W49" s="89"/>
    </row>
    <row r="50" customFormat="false" ht="6" hidden="false" customHeight="true" outlineLevel="0" collapsed="false">
      <c r="A50" s="113"/>
      <c r="B50" s="68"/>
      <c r="C50" s="69"/>
      <c r="D50" s="69"/>
      <c r="E50" s="69"/>
      <c r="F50" s="69"/>
      <c r="G50" s="69"/>
      <c r="H50" s="69"/>
      <c r="I50" s="69"/>
      <c r="J50" s="69"/>
      <c r="K50" s="69"/>
      <c r="L50" s="69"/>
      <c r="M50" s="68"/>
      <c r="N50" s="68"/>
      <c r="O50" s="68"/>
      <c r="P50" s="68"/>
      <c r="Q50" s="68"/>
      <c r="R50" s="68"/>
      <c r="S50" s="68"/>
      <c r="T50" s="68"/>
      <c r="U50" s="68"/>
      <c r="V50" s="68"/>
      <c r="W50" s="89"/>
    </row>
    <row r="51" customFormat="false" ht="15" hidden="false" customHeight="false" outlineLevel="0" collapsed="false">
      <c r="A51" s="86"/>
      <c r="B51" s="68"/>
      <c r="C51" s="103" t="s">
        <v>28</v>
      </c>
      <c r="D51" s="104"/>
      <c r="E51" s="104"/>
      <c r="F51" s="104"/>
      <c r="G51" s="105" t="s">
        <v>29</v>
      </c>
      <c r="H51" s="106" t="n">
        <v>0</v>
      </c>
      <c r="I51" s="106" t="n">
        <v>0</v>
      </c>
      <c r="J51" s="68"/>
      <c r="K51" s="68"/>
      <c r="L51" s="68"/>
      <c r="M51" s="68"/>
      <c r="N51" s="103" t="s">
        <v>28</v>
      </c>
      <c r="O51" s="104" t="n">
        <f aca="false">IF(('Profit &amp; Loss Acc'!B5&lt;30000)," ",'Profit &amp; Loss Acc'!B19+'Profit &amp; Loss Acc'!B20)</f>
        <v>0</v>
      </c>
      <c r="P51" s="104"/>
      <c r="Q51" s="104"/>
      <c r="R51" s="105" t="s">
        <v>29</v>
      </c>
      <c r="S51" s="106" t="n">
        <v>0</v>
      </c>
      <c r="T51" s="106" t="n">
        <v>0</v>
      </c>
      <c r="U51" s="68"/>
      <c r="V51" s="68"/>
      <c r="W51" s="89"/>
    </row>
    <row r="52" customFormat="false" ht="12.75" hidden="false" customHeight="true" outlineLevel="0" collapsed="false">
      <c r="A52" s="86"/>
      <c r="B52" s="68"/>
      <c r="C52" s="68"/>
      <c r="D52" s="68"/>
      <c r="E52" s="68"/>
      <c r="F52" s="68"/>
      <c r="G52" s="68"/>
      <c r="H52" s="68"/>
      <c r="I52" s="68"/>
      <c r="J52" s="68"/>
      <c r="K52" s="68"/>
      <c r="L52" s="68"/>
      <c r="M52" s="68"/>
      <c r="N52" s="68"/>
      <c r="O52" s="68"/>
      <c r="P52" s="68"/>
      <c r="Q52" s="68"/>
      <c r="R52" s="68"/>
      <c r="S52" s="68"/>
      <c r="T52" s="68"/>
      <c r="U52" s="68"/>
      <c r="V52" s="68"/>
      <c r="W52" s="89"/>
    </row>
    <row r="53" customFormat="false" ht="12" hidden="false" customHeight="false" outlineLevel="0" collapsed="false">
      <c r="A53" s="82" t="n">
        <v>12</v>
      </c>
      <c r="B53" s="68"/>
      <c r="C53" s="69" t="s">
        <v>52</v>
      </c>
      <c r="D53" s="69"/>
      <c r="E53" s="69"/>
      <c r="F53" s="69"/>
      <c r="G53" s="69"/>
      <c r="H53" s="69"/>
      <c r="I53" s="69"/>
      <c r="J53" s="69"/>
      <c r="K53" s="69"/>
      <c r="L53" s="82" t="n">
        <v>17</v>
      </c>
      <c r="M53" s="68"/>
      <c r="N53" s="69" t="s">
        <v>53</v>
      </c>
      <c r="O53" s="68"/>
      <c r="P53" s="68"/>
      <c r="Q53" s="68"/>
      <c r="R53" s="68"/>
      <c r="S53" s="68"/>
      <c r="T53" s="68"/>
      <c r="U53" s="68"/>
      <c r="V53" s="68"/>
      <c r="W53" s="89"/>
    </row>
    <row r="54" customFormat="false" ht="6" hidden="false" customHeight="true" outlineLevel="0" collapsed="false">
      <c r="A54" s="113"/>
      <c r="B54" s="68"/>
      <c r="C54" s="69"/>
      <c r="D54" s="69"/>
      <c r="E54" s="69"/>
      <c r="F54" s="69"/>
      <c r="G54" s="69"/>
      <c r="H54" s="69"/>
      <c r="I54" s="69"/>
      <c r="J54" s="69"/>
      <c r="K54" s="69"/>
      <c r="L54" s="69"/>
      <c r="M54" s="68"/>
      <c r="N54" s="68"/>
      <c r="O54" s="68"/>
      <c r="P54" s="68"/>
      <c r="Q54" s="68"/>
      <c r="R54" s="68"/>
      <c r="S54" s="68"/>
      <c r="T54" s="68"/>
      <c r="U54" s="68"/>
      <c r="V54" s="68"/>
      <c r="W54" s="89"/>
    </row>
    <row r="55" customFormat="false" ht="15" hidden="false" customHeight="false" outlineLevel="0" collapsed="false">
      <c r="A55" s="86"/>
      <c r="B55" s="68"/>
      <c r="C55" s="103" t="s">
        <v>28</v>
      </c>
      <c r="D55" s="104" t="n">
        <f aca="false">IF(('Profit &amp; Loss Acc'!B5&lt;30000)," ",'Profit &amp; Loss Acc'!B14)</f>
        <v>0</v>
      </c>
      <c r="E55" s="104"/>
      <c r="F55" s="104"/>
      <c r="G55" s="105" t="s">
        <v>29</v>
      </c>
      <c r="H55" s="106" t="n">
        <v>0</v>
      </c>
      <c r="I55" s="106" t="n">
        <v>0</v>
      </c>
      <c r="J55" s="68"/>
      <c r="K55" s="68"/>
      <c r="L55" s="68"/>
      <c r="M55" s="68"/>
      <c r="N55" s="103" t="s">
        <v>28</v>
      </c>
      <c r="O55" s="104" t="n">
        <f aca="false">IF(('Profit &amp; Loss Acc'!B5&lt;30000)," ",'Profit &amp; Loss Acc'!B16)</f>
        <v>480</v>
      </c>
      <c r="P55" s="104"/>
      <c r="Q55" s="104"/>
      <c r="R55" s="105" t="s">
        <v>29</v>
      </c>
      <c r="S55" s="106" t="n">
        <v>0</v>
      </c>
      <c r="T55" s="106" t="n">
        <v>0</v>
      </c>
      <c r="U55" s="68"/>
      <c r="V55" s="68"/>
      <c r="W55" s="89"/>
    </row>
    <row r="56" customFormat="false" ht="12" hidden="false" customHeight="false" outlineLevel="0" collapsed="false">
      <c r="A56" s="86"/>
      <c r="B56" s="68"/>
      <c r="C56" s="68"/>
      <c r="D56" s="68"/>
      <c r="E56" s="68"/>
      <c r="F56" s="68"/>
      <c r="G56" s="68"/>
      <c r="H56" s="68"/>
      <c r="I56" s="68"/>
      <c r="J56" s="68"/>
      <c r="K56" s="68"/>
      <c r="L56" s="68"/>
      <c r="M56" s="68"/>
      <c r="N56" s="68"/>
      <c r="O56" s="68"/>
      <c r="P56" s="68"/>
      <c r="Q56" s="68"/>
      <c r="R56" s="68"/>
      <c r="S56" s="68"/>
      <c r="T56" s="68"/>
      <c r="U56" s="68"/>
      <c r="V56" s="68"/>
      <c r="W56" s="89"/>
    </row>
    <row r="57" customFormat="false" ht="12" hidden="false" customHeight="false" outlineLevel="0" collapsed="false">
      <c r="A57" s="82" t="n">
        <v>13</v>
      </c>
      <c r="B57" s="68"/>
      <c r="C57" s="69" t="s">
        <v>54</v>
      </c>
      <c r="D57" s="69"/>
      <c r="E57" s="69"/>
      <c r="F57" s="69"/>
      <c r="G57" s="69"/>
      <c r="H57" s="69"/>
      <c r="I57" s="69"/>
      <c r="J57" s="69"/>
      <c r="K57" s="69"/>
      <c r="L57" s="82" t="n">
        <v>18</v>
      </c>
      <c r="M57" s="68"/>
      <c r="N57" s="69" t="s">
        <v>55</v>
      </c>
      <c r="O57" s="68"/>
      <c r="P57" s="68"/>
      <c r="Q57" s="68"/>
      <c r="R57" s="68"/>
      <c r="S57" s="68"/>
      <c r="T57" s="68"/>
      <c r="U57" s="68"/>
      <c r="V57" s="68"/>
      <c r="W57" s="89"/>
    </row>
    <row r="58" customFormat="false" ht="12" hidden="false" customHeight="false" outlineLevel="0" collapsed="false">
      <c r="A58" s="86"/>
      <c r="B58" s="68"/>
      <c r="C58" s="68"/>
      <c r="D58" s="68"/>
      <c r="E58" s="68"/>
      <c r="F58" s="68"/>
      <c r="G58" s="68"/>
      <c r="H58" s="68"/>
      <c r="I58" s="68"/>
      <c r="J58" s="68"/>
      <c r="K58" s="68"/>
      <c r="L58" s="68"/>
      <c r="M58" s="68"/>
      <c r="N58" s="97" t="s">
        <v>56</v>
      </c>
      <c r="O58" s="68"/>
      <c r="P58" s="68"/>
      <c r="Q58" s="68"/>
      <c r="R58" s="68"/>
      <c r="S58" s="68"/>
      <c r="T58" s="68"/>
      <c r="U58" s="68"/>
      <c r="V58" s="68"/>
      <c r="W58" s="89"/>
    </row>
    <row r="59" customFormat="false" ht="6" hidden="false" customHeight="true" outlineLevel="0" collapsed="false">
      <c r="A59" s="113"/>
      <c r="B59" s="68"/>
      <c r="C59" s="69"/>
      <c r="D59" s="69"/>
      <c r="E59" s="69"/>
      <c r="F59" s="69"/>
      <c r="G59" s="69"/>
      <c r="H59" s="69"/>
      <c r="I59" s="69"/>
      <c r="J59" s="69"/>
      <c r="K59" s="69"/>
      <c r="L59" s="69"/>
      <c r="M59" s="68"/>
      <c r="N59" s="68"/>
      <c r="O59" s="68"/>
      <c r="P59" s="68"/>
      <c r="Q59" s="68"/>
      <c r="R59" s="68"/>
      <c r="S59" s="68"/>
      <c r="T59" s="68"/>
      <c r="U59" s="68"/>
      <c r="V59" s="68"/>
      <c r="W59" s="89"/>
    </row>
    <row r="60" customFormat="false" ht="15" hidden="false" customHeight="false" outlineLevel="0" collapsed="false">
      <c r="A60" s="86"/>
      <c r="B60" s="68"/>
      <c r="C60" s="103" t="s">
        <v>28</v>
      </c>
      <c r="D60" s="104" t="n">
        <f aca="false">IF(('Profit &amp; Loss Acc'!B5&lt;30000)," ",'Profit &amp; Loss Acc'!B15)</f>
        <v>0</v>
      </c>
      <c r="E60" s="104"/>
      <c r="F60" s="104"/>
      <c r="G60" s="105" t="s">
        <v>29</v>
      </c>
      <c r="H60" s="106" t="n">
        <v>0</v>
      </c>
      <c r="I60" s="106" t="n">
        <v>0</v>
      </c>
      <c r="J60" s="68"/>
      <c r="K60" s="68"/>
      <c r="L60" s="68"/>
      <c r="M60" s="68"/>
      <c r="N60" s="103" t="s">
        <v>28</v>
      </c>
      <c r="O60" s="104" t="n">
        <f aca="false">IF(('Profit &amp; Loss Acc'!B5&lt;30000)," ",'Profit &amp; Loss Acc'!B17+'Profit &amp; Loss Acc'!B21)</f>
        <v>0</v>
      </c>
      <c r="P60" s="104"/>
      <c r="Q60" s="104"/>
      <c r="R60" s="105" t="s">
        <v>29</v>
      </c>
      <c r="S60" s="106" t="n">
        <v>0</v>
      </c>
      <c r="T60" s="106" t="n">
        <v>0</v>
      </c>
      <c r="U60" s="68"/>
      <c r="V60" s="68"/>
      <c r="W60" s="89"/>
    </row>
    <row r="61" customFormat="false" ht="12" hidden="false" customHeight="false" outlineLevel="0" collapsed="false">
      <c r="A61" s="86"/>
      <c r="B61" s="68"/>
      <c r="C61" s="68"/>
      <c r="D61" s="68"/>
      <c r="E61" s="68"/>
      <c r="F61" s="68"/>
      <c r="G61" s="68"/>
      <c r="H61" s="68"/>
      <c r="I61" s="68"/>
      <c r="J61" s="68"/>
      <c r="K61" s="68"/>
      <c r="L61" s="68"/>
      <c r="M61" s="68"/>
      <c r="N61" s="68"/>
      <c r="O61" s="68"/>
      <c r="P61" s="68"/>
      <c r="Q61" s="68"/>
      <c r="R61" s="68"/>
      <c r="S61" s="68"/>
      <c r="T61" s="68"/>
      <c r="U61" s="68"/>
      <c r="V61" s="68"/>
      <c r="W61" s="89"/>
    </row>
    <row r="62" customFormat="false" ht="12" hidden="false" customHeight="false" outlineLevel="0" collapsed="false">
      <c r="A62" s="82" t="n">
        <v>14</v>
      </c>
      <c r="B62" s="68"/>
      <c r="C62" s="69" t="s">
        <v>57</v>
      </c>
      <c r="D62" s="69"/>
      <c r="E62" s="69"/>
      <c r="F62" s="69"/>
      <c r="G62" s="69"/>
      <c r="H62" s="69"/>
      <c r="I62" s="69"/>
      <c r="J62" s="69"/>
      <c r="K62" s="69"/>
      <c r="L62" s="82" t="n">
        <v>19</v>
      </c>
      <c r="M62" s="68"/>
      <c r="N62" s="69" t="s">
        <v>58</v>
      </c>
      <c r="O62" s="68"/>
      <c r="P62" s="68"/>
      <c r="Q62" s="68"/>
      <c r="R62" s="68"/>
      <c r="S62" s="68"/>
      <c r="T62" s="68"/>
      <c r="U62" s="68"/>
      <c r="V62" s="68"/>
      <c r="W62" s="89"/>
    </row>
    <row r="63" customFormat="false" ht="6" hidden="false" customHeight="true" outlineLevel="0" collapsed="false">
      <c r="A63" s="113"/>
      <c r="B63" s="68"/>
      <c r="C63" s="69"/>
      <c r="D63" s="69"/>
      <c r="E63" s="69"/>
      <c r="F63" s="69"/>
      <c r="G63" s="69"/>
      <c r="H63" s="69"/>
      <c r="I63" s="69"/>
      <c r="J63" s="69"/>
      <c r="K63" s="69"/>
      <c r="L63" s="69"/>
      <c r="M63" s="68"/>
      <c r="N63" s="68"/>
      <c r="O63" s="68"/>
      <c r="P63" s="68"/>
      <c r="Q63" s="68"/>
      <c r="R63" s="68"/>
      <c r="S63" s="68"/>
      <c r="T63" s="68"/>
      <c r="U63" s="68"/>
      <c r="V63" s="68"/>
      <c r="W63" s="89"/>
    </row>
    <row r="64" customFormat="false" ht="15" hidden="false" customHeight="false" outlineLevel="0" collapsed="false">
      <c r="A64" s="86"/>
      <c r="B64" s="68"/>
      <c r="C64" s="103" t="s">
        <v>28</v>
      </c>
      <c r="D64" s="104"/>
      <c r="E64" s="104"/>
      <c r="F64" s="104"/>
      <c r="G64" s="105" t="s">
        <v>29</v>
      </c>
      <c r="H64" s="106" t="n">
        <v>0</v>
      </c>
      <c r="I64" s="106" t="n">
        <v>0</v>
      </c>
      <c r="J64" s="68"/>
      <c r="K64" s="68"/>
      <c r="L64" s="68"/>
      <c r="M64" s="68"/>
      <c r="N64" s="103" t="s">
        <v>28</v>
      </c>
      <c r="O64" s="104" t="n">
        <f aca="false">'Profit &amp; Loss Acc'!B12+'Profit &amp; Loss Acc'!B22-'Profit &amp; Loss Acc'!B10</f>
        <v>6360</v>
      </c>
      <c r="P64" s="104"/>
      <c r="Q64" s="104"/>
      <c r="R64" s="105" t="s">
        <v>29</v>
      </c>
      <c r="S64" s="106" t="n">
        <v>0</v>
      </c>
      <c r="T64" s="106" t="n">
        <v>0</v>
      </c>
      <c r="U64" s="68"/>
      <c r="V64" s="68"/>
      <c r="W64" s="89"/>
    </row>
    <row r="65" customFormat="false" ht="7.5" hidden="false" customHeight="true" outlineLevel="0" collapsed="false">
      <c r="A65" s="99"/>
      <c r="B65" s="100"/>
      <c r="C65" s="100"/>
      <c r="D65" s="100"/>
      <c r="E65" s="100"/>
      <c r="F65" s="100"/>
      <c r="G65" s="100"/>
      <c r="H65" s="100"/>
      <c r="I65" s="100"/>
      <c r="J65" s="100"/>
      <c r="K65" s="100"/>
      <c r="L65" s="100"/>
      <c r="M65" s="100"/>
      <c r="N65" s="100"/>
      <c r="O65" s="100"/>
      <c r="P65" s="100"/>
      <c r="Q65" s="100"/>
      <c r="R65" s="100"/>
      <c r="S65" s="100"/>
      <c r="T65" s="100"/>
      <c r="U65" s="100"/>
      <c r="V65" s="100"/>
      <c r="W65" s="101"/>
    </row>
    <row r="66" customFormat="false" ht="24.75" hidden="false" customHeight="true" outlineLevel="0" collapsed="false">
      <c r="A66" s="114" t="s">
        <v>59</v>
      </c>
      <c r="B66" s="114"/>
      <c r="C66" s="114"/>
      <c r="D66" s="114"/>
      <c r="E66" s="114"/>
      <c r="F66" s="114"/>
      <c r="G66" s="114"/>
      <c r="H66" s="114"/>
      <c r="I66" s="114"/>
      <c r="J66" s="114"/>
      <c r="K66" s="114"/>
      <c r="L66" s="114"/>
      <c r="M66" s="114"/>
      <c r="N66" s="114"/>
      <c r="O66" s="114"/>
      <c r="P66" s="114"/>
      <c r="Q66" s="114"/>
      <c r="R66" s="114"/>
      <c r="S66" s="114"/>
      <c r="T66" s="114"/>
      <c r="U66" s="114"/>
      <c r="V66" s="114"/>
      <c r="W66" s="114"/>
    </row>
    <row r="67" customFormat="false" ht="7.5" hidden="false" customHeight="true" outlineLevel="0" collapsed="false">
      <c r="A67" s="79"/>
      <c r="B67" s="80"/>
      <c r="C67" s="80"/>
      <c r="D67" s="80"/>
      <c r="E67" s="80"/>
      <c r="F67" s="80"/>
      <c r="G67" s="80"/>
      <c r="H67" s="80"/>
      <c r="I67" s="80"/>
      <c r="J67" s="80"/>
      <c r="K67" s="80"/>
      <c r="L67" s="80"/>
      <c r="M67" s="80"/>
      <c r="N67" s="80"/>
      <c r="O67" s="80"/>
      <c r="P67" s="80"/>
      <c r="Q67" s="80"/>
      <c r="R67" s="80"/>
      <c r="S67" s="80"/>
      <c r="T67" s="80"/>
      <c r="U67" s="80"/>
      <c r="V67" s="80"/>
      <c r="W67" s="81"/>
    </row>
    <row r="68" customFormat="false" ht="12" hidden="false" customHeight="false" outlineLevel="0" collapsed="false">
      <c r="A68" s="82" t="n">
        <v>20</v>
      </c>
      <c r="B68" s="68"/>
      <c r="C68" s="69" t="s">
        <v>60</v>
      </c>
      <c r="D68" s="69"/>
      <c r="E68" s="69"/>
      <c r="F68" s="69"/>
      <c r="G68" s="69"/>
      <c r="H68" s="69"/>
      <c r="I68" s="69"/>
      <c r="J68" s="69"/>
      <c r="K68" s="69"/>
      <c r="L68" s="82" t="n">
        <v>21</v>
      </c>
      <c r="M68" s="68"/>
      <c r="N68" s="69" t="s">
        <v>61</v>
      </c>
      <c r="O68" s="68"/>
      <c r="P68" s="68"/>
      <c r="Q68" s="68"/>
      <c r="R68" s="68"/>
      <c r="S68" s="68"/>
      <c r="T68" s="68"/>
      <c r="U68" s="68"/>
      <c r="V68" s="68"/>
      <c r="W68" s="89"/>
    </row>
    <row r="69" customFormat="false" ht="12" hidden="false" customHeight="false" outlineLevel="0" collapsed="false">
      <c r="A69" s="86"/>
      <c r="B69" s="68"/>
      <c r="C69" s="97" t="s">
        <v>62</v>
      </c>
      <c r="D69" s="69"/>
      <c r="E69" s="69"/>
      <c r="F69" s="69"/>
      <c r="G69" s="69"/>
      <c r="H69" s="69"/>
      <c r="I69" s="69"/>
      <c r="J69" s="69"/>
      <c r="K69" s="69"/>
      <c r="L69" s="68"/>
      <c r="M69" s="68"/>
      <c r="N69" s="97" t="s">
        <v>63</v>
      </c>
      <c r="O69" s="68"/>
      <c r="P69" s="68"/>
      <c r="Q69" s="68"/>
      <c r="R69" s="68"/>
      <c r="S69" s="68"/>
      <c r="T69" s="68"/>
      <c r="U69" s="68"/>
      <c r="V69" s="68"/>
      <c r="W69" s="89"/>
    </row>
    <row r="70" customFormat="false" ht="6" hidden="false" customHeight="true" outlineLevel="0" collapsed="false">
      <c r="A70" s="113"/>
      <c r="B70" s="68"/>
      <c r="C70" s="69"/>
      <c r="D70" s="69"/>
      <c r="E70" s="69"/>
      <c r="F70" s="69"/>
      <c r="G70" s="69"/>
      <c r="H70" s="69"/>
      <c r="I70" s="69"/>
      <c r="J70" s="69"/>
      <c r="K70" s="69"/>
      <c r="L70" s="69"/>
      <c r="M70" s="68"/>
      <c r="N70" s="68"/>
      <c r="O70" s="68"/>
      <c r="P70" s="68"/>
      <c r="Q70" s="68"/>
      <c r="R70" s="68"/>
      <c r="S70" s="68"/>
      <c r="T70" s="68"/>
      <c r="U70" s="68"/>
      <c r="V70" s="68"/>
      <c r="W70" s="89"/>
    </row>
    <row r="71" customFormat="false" ht="15" hidden="false" customHeight="false" outlineLevel="0" collapsed="false">
      <c r="A71" s="86"/>
      <c r="B71" s="68"/>
      <c r="C71" s="103" t="s">
        <v>28</v>
      </c>
      <c r="D71" s="104" t="n">
        <f aca="false">IF((D38+O38-O64)&gt;=0,D38+O38-O64,0)</f>
        <v>29640</v>
      </c>
      <c r="E71" s="104"/>
      <c r="F71" s="104"/>
      <c r="G71" s="105" t="s">
        <v>29</v>
      </c>
      <c r="H71" s="106" t="n">
        <v>0</v>
      </c>
      <c r="I71" s="106" t="n">
        <v>0</v>
      </c>
      <c r="J71" s="68"/>
      <c r="K71" s="68"/>
      <c r="L71" s="68"/>
      <c r="M71" s="68"/>
      <c r="N71" s="103" t="s">
        <v>28</v>
      </c>
      <c r="O71" s="104" t="n">
        <f aca="false">IF((D38+O38-O64)&lt;0,-D38-O38+O64,0)</f>
        <v>0</v>
      </c>
      <c r="P71" s="104"/>
      <c r="Q71" s="104"/>
      <c r="R71" s="105" t="s">
        <v>29</v>
      </c>
      <c r="S71" s="106" t="n">
        <v>0</v>
      </c>
      <c r="T71" s="106" t="n">
        <v>0</v>
      </c>
      <c r="U71" s="68"/>
      <c r="V71" s="68"/>
      <c r="W71" s="115"/>
      <c r="Y71" s="116"/>
      <c r="Z71" s="116"/>
    </row>
    <row r="72" customFormat="false" ht="7.5" hidden="false" customHeight="true" outlineLevel="0" collapsed="false">
      <c r="A72" s="99"/>
      <c r="B72" s="100"/>
      <c r="C72" s="100"/>
      <c r="D72" s="100"/>
      <c r="E72" s="100"/>
      <c r="F72" s="100"/>
      <c r="G72" s="100"/>
      <c r="H72" s="100"/>
      <c r="I72" s="100"/>
      <c r="J72" s="100"/>
      <c r="K72" s="100"/>
      <c r="L72" s="100"/>
      <c r="M72" s="100"/>
      <c r="N72" s="100"/>
      <c r="O72" s="100"/>
      <c r="P72" s="100"/>
      <c r="Q72" s="100"/>
      <c r="R72" s="100"/>
      <c r="S72" s="100"/>
      <c r="T72" s="100"/>
      <c r="U72" s="100"/>
      <c r="V72" s="100"/>
      <c r="W72" s="101"/>
    </row>
    <row r="73" customFormat="false" ht="24.75" hidden="false" customHeight="true" outlineLevel="0" collapsed="false">
      <c r="A73" s="117" t="s">
        <v>64</v>
      </c>
      <c r="B73" s="117"/>
      <c r="C73" s="117"/>
      <c r="D73" s="117"/>
      <c r="E73" s="117"/>
      <c r="F73" s="117"/>
      <c r="G73" s="117"/>
      <c r="H73" s="117"/>
      <c r="I73" s="117"/>
      <c r="J73" s="117"/>
      <c r="K73" s="117"/>
      <c r="L73" s="117"/>
      <c r="M73" s="117"/>
      <c r="N73" s="117"/>
      <c r="O73" s="117"/>
      <c r="P73" s="117"/>
      <c r="Q73" s="117"/>
      <c r="R73" s="117"/>
      <c r="S73" s="117"/>
      <c r="T73" s="117"/>
      <c r="U73" s="117"/>
      <c r="V73" s="117"/>
      <c r="W73" s="117"/>
      <c r="Y73" s="116"/>
      <c r="Z73" s="116"/>
    </row>
    <row r="74" customFormat="false" ht="13.5" hidden="false" customHeight="true" outlineLevel="0" collapsed="false">
      <c r="A74" s="110" t="s">
        <v>65</v>
      </c>
      <c r="B74" s="110"/>
      <c r="C74" s="110"/>
      <c r="D74" s="110"/>
      <c r="E74" s="110"/>
      <c r="F74" s="110"/>
      <c r="G74" s="110"/>
      <c r="H74" s="110"/>
      <c r="I74" s="110"/>
      <c r="J74" s="110"/>
      <c r="K74" s="110"/>
      <c r="L74" s="110"/>
      <c r="M74" s="110"/>
      <c r="N74" s="110"/>
      <c r="O74" s="110"/>
      <c r="P74" s="110"/>
      <c r="Q74" s="110"/>
      <c r="R74" s="110"/>
      <c r="S74" s="110"/>
      <c r="T74" s="110"/>
      <c r="U74" s="110"/>
      <c r="V74" s="110"/>
      <c r="W74" s="110"/>
    </row>
    <row r="75" customFormat="false" ht="13.5" hidden="false" customHeight="true" outlineLevel="0" collapsed="false">
      <c r="A75" s="110" t="s">
        <v>66</v>
      </c>
      <c r="B75" s="110"/>
      <c r="C75" s="110"/>
      <c r="D75" s="110"/>
      <c r="E75" s="110"/>
      <c r="F75" s="110"/>
      <c r="G75" s="110"/>
      <c r="H75" s="110"/>
      <c r="I75" s="110"/>
      <c r="J75" s="110"/>
      <c r="K75" s="110"/>
      <c r="L75" s="110"/>
      <c r="M75" s="110"/>
      <c r="N75" s="110"/>
      <c r="O75" s="110"/>
      <c r="P75" s="110"/>
      <c r="Q75" s="110"/>
      <c r="R75" s="110"/>
      <c r="S75" s="110"/>
      <c r="T75" s="110"/>
      <c r="U75" s="110"/>
      <c r="V75" s="110"/>
      <c r="W75" s="110"/>
      <c r="Y75" s="116"/>
      <c r="Z75" s="116"/>
    </row>
    <row r="76" customFormat="false" ht="13.5" hidden="false" customHeight="true" outlineLevel="0" collapsed="false">
      <c r="A76" s="110" t="s">
        <v>67</v>
      </c>
      <c r="B76" s="110"/>
      <c r="C76" s="110"/>
      <c r="D76" s="110"/>
      <c r="E76" s="110"/>
      <c r="F76" s="110"/>
      <c r="G76" s="110"/>
      <c r="H76" s="110"/>
      <c r="I76" s="110"/>
      <c r="J76" s="110"/>
      <c r="K76" s="110"/>
      <c r="L76" s="110"/>
      <c r="M76" s="110"/>
      <c r="N76" s="110"/>
      <c r="O76" s="110"/>
      <c r="P76" s="110"/>
      <c r="Q76" s="110"/>
      <c r="R76" s="110"/>
      <c r="S76" s="110"/>
      <c r="T76" s="110"/>
      <c r="U76" s="110"/>
      <c r="V76" s="110"/>
      <c r="W76" s="110"/>
    </row>
    <row r="77" customFormat="false" ht="7.5" hidden="false" customHeight="true" outlineLevel="0" collapsed="false">
      <c r="A77" s="79"/>
      <c r="B77" s="80"/>
      <c r="C77" s="80"/>
      <c r="D77" s="80"/>
      <c r="E77" s="80"/>
      <c r="F77" s="80"/>
      <c r="G77" s="80"/>
      <c r="H77" s="80"/>
      <c r="I77" s="80"/>
      <c r="J77" s="80"/>
      <c r="K77" s="80"/>
      <c r="L77" s="80"/>
      <c r="M77" s="80"/>
      <c r="N77" s="80"/>
      <c r="O77" s="80"/>
      <c r="P77" s="80"/>
      <c r="Q77" s="80"/>
      <c r="R77" s="80"/>
      <c r="S77" s="80"/>
      <c r="T77" s="80"/>
      <c r="U77" s="80"/>
      <c r="V77" s="80"/>
      <c r="W77" s="81"/>
    </row>
    <row r="78" customFormat="false" ht="12" hidden="false" customHeight="false" outlineLevel="0" collapsed="false">
      <c r="A78" s="82" t="n">
        <v>22</v>
      </c>
      <c r="B78" s="68"/>
      <c r="C78" s="69" t="s">
        <v>68</v>
      </c>
      <c r="D78" s="69"/>
      <c r="E78" s="69"/>
      <c r="F78" s="69"/>
      <c r="G78" s="69"/>
      <c r="H78" s="69"/>
      <c r="I78" s="69"/>
      <c r="J78" s="69"/>
      <c r="K78" s="69"/>
      <c r="L78" s="82" t="n">
        <v>24</v>
      </c>
      <c r="M78" s="68"/>
      <c r="N78" s="69" t="s">
        <v>69</v>
      </c>
      <c r="O78" s="68"/>
      <c r="P78" s="68"/>
      <c r="Q78" s="68"/>
      <c r="R78" s="68"/>
      <c r="S78" s="68"/>
      <c r="T78" s="68"/>
      <c r="U78" s="68"/>
      <c r="V78" s="68"/>
      <c r="W78" s="89"/>
    </row>
    <row r="79" customFormat="false" ht="12" hidden="false" customHeight="false" outlineLevel="0" collapsed="false">
      <c r="A79" s="113"/>
      <c r="B79" s="68"/>
      <c r="C79" s="69"/>
      <c r="D79" s="69"/>
      <c r="E79" s="69"/>
      <c r="F79" s="69"/>
      <c r="G79" s="69"/>
      <c r="H79" s="69"/>
      <c r="I79" s="69"/>
      <c r="J79" s="69"/>
      <c r="K79" s="69"/>
      <c r="L79" s="68"/>
      <c r="M79" s="68"/>
      <c r="N79" s="68"/>
      <c r="O79" s="68"/>
      <c r="P79" s="68"/>
      <c r="Q79" s="68"/>
      <c r="R79" s="68"/>
      <c r="S79" s="118"/>
      <c r="T79" s="118"/>
      <c r="U79" s="118"/>
      <c r="V79" s="118"/>
      <c r="W79" s="89"/>
    </row>
    <row r="80" customFormat="false" ht="15" hidden="false" customHeight="true" outlineLevel="0" collapsed="false">
      <c r="A80" s="113"/>
      <c r="B80" s="68"/>
      <c r="C80" s="103" t="s">
        <v>28</v>
      </c>
      <c r="D80" s="104" t="n">
        <f aca="false">IF(('Fixed Assets'!I1)&gt;0,'Fixed Assets'!I1,0)</f>
        <v>0</v>
      </c>
      <c r="E80" s="104"/>
      <c r="F80" s="104"/>
      <c r="G80" s="105" t="s">
        <v>29</v>
      </c>
      <c r="H80" s="106" t="n">
        <v>0</v>
      </c>
      <c r="I80" s="106" t="n">
        <v>0</v>
      </c>
      <c r="J80" s="69"/>
      <c r="K80" s="69"/>
      <c r="L80" s="69"/>
      <c r="M80" s="68"/>
      <c r="N80" s="103" t="s">
        <v>28</v>
      </c>
      <c r="O80" s="104" t="n">
        <f aca="false">IF(('Fixed Assets'!J1+'Fixed Assets'!P1)&gt;0,'Fixed Assets'!J1+'Fixed Assets'!P1,0)</f>
        <v>0</v>
      </c>
      <c r="P80" s="104"/>
      <c r="Q80" s="104"/>
      <c r="R80" s="105" t="s">
        <v>29</v>
      </c>
      <c r="S80" s="106" t="n">
        <v>0</v>
      </c>
      <c r="T80" s="106" t="n">
        <v>0</v>
      </c>
      <c r="U80" s="68"/>
      <c r="V80" s="68"/>
      <c r="W80" s="89"/>
    </row>
    <row r="81" customFormat="false" ht="6" hidden="false" customHeight="true" outlineLevel="0" collapsed="false">
      <c r="A81" s="113"/>
      <c r="B81" s="68"/>
      <c r="C81" s="69"/>
      <c r="D81" s="69"/>
      <c r="E81" s="69"/>
      <c r="F81" s="69"/>
      <c r="G81" s="69"/>
      <c r="H81" s="69"/>
      <c r="I81" s="69"/>
      <c r="J81" s="69"/>
      <c r="K81" s="69"/>
      <c r="L81" s="69"/>
      <c r="M81" s="68"/>
      <c r="N81" s="68"/>
      <c r="O81" s="68"/>
      <c r="P81" s="68"/>
      <c r="Q81" s="68"/>
      <c r="R81" s="68"/>
      <c r="S81" s="68"/>
      <c r="T81" s="68"/>
      <c r="U81" s="68"/>
      <c r="V81" s="68"/>
      <c r="W81" s="89"/>
    </row>
    <row r="82" customFormat="false" ht="12" hidden="false" customHeight="false" outlineLevel="0" collapsed="false">
      <c r="A82" s="82" t="n">
        <v>23</v>
      </c>
      <c r="B82" s="68"/>
      <c r="C82" s="69" t="s">
        <v>70</v>
      </c>
      <c r="D82" s="68"/>
      <c r="E82" s="68"/>
      <c r="F82" s="68"/>
      <c r="G82" s="68"/>
      <c r="H82" s="68"/>
      <c r="I82" s="68"/>
      <c r="J82" s="68"/>
      <c r="K82" s="68"/>
      <c r="L82" s="82" t="n">
        <v>25</v>
      </c>
      <c r="M82" s="68"/>
      <c r="N82" s="69" t="s">
        <v>71</v>
      </c>
      <c r="O82" s="68"/>
      <c r="P82" s="68"/>
      <c r="Q82" s="68"/>
      <c r="R82" s="68"/>
      <c r="S82" s="68"/>
      <c r="T82" s="68"/>
      <c r="U82" s="68"/>
      <c r="V82" s="68"/>
      <c r="W82" s="89"/>
    </row>
    <row r="83" customFormat="false" ht="11.25" hidden="false" customHeight="true" outlineLevel="0" collapsed="false">
      <c r="A83" s="86"/>
      <c r="B83" s="68"/>
      <c r="C83" s="69" t="s">
        <v>72</v>
      </c>
      <c r="D83" s="68"/>
      <c r="E83" s="68"/>
      <c r="F83" s="68"/>
      <c r="G83" s="68"/>
      <c r="H83" s="68"/>
      <c r="I83" s="68"/>
      <c r="J83" s="68"/>
      <c r="K83" s="68"/>
      <c r="L83" s="69"/>
      <c r="M83" s="68"/>
      <c r="N83" s="69" t="s">
        <v>73</v>
      </c>
      <c r="O83" s="118"/>
      <c r="P83" s="118"/>
      <c r="Q83" s="118"/>
      <c r="R83" s="118"/>
      <c r="S83" s="100"/>
      <c r="T83" s="100"/>
      <c r="U83" s="100"/>
      <c r="V83" s="100"/>
      <c r="W83" s="101"/>
    </row>
    <row r="84" customFormat="false" ht="6" hidden="false" customHeight="true" outlineLevel="0" collapsed="false">
      <c r="A84" s="113"/>
      <c r="B84" s="68"/>
      <c r="C84" s="69"/>
      <c r="D84" s="69"/>
      <c r="E84" s="69"/>
      <c r="F84" s="69"/>
      <c r="G84" s="69"/>
      <c r="H84" s="69"/>
      <c r="I84" s="69"/>
      <c r="J84" s="69"/>
      <c r="K84" s="69"/>
      <c r="L84" s="69"/>
      <c r="M84" s="68"/>
      <c r="N84" s="68"/>
      <c r="O84" s="68"/>
      <c r="P84" s="68"/>
      <c r="Q84" s="68"/>
      <c r="R84" s="68"/>
      <c r="S84" s="68"/>
      <c r="T84" s="68"/>
      <c r="U84" s="68"/>
      <c r="V84" s="68"/>
      <c r="W84" s="89"/>
    </row>
    <row r="85" customFormat="false" ht="15" hidden="false" customHeight="false" outlineLevel="0" collapsed="false">
      <c r="A85" s="113"/>
      <c r="B85" s="68"/>
      <c r="C85" s="103" t="s">
        <v>28</v>
      </c>
      <c r="D85" s="104" t="n">
        <f aca="false">IF(('Fixed Assets'!K1+'Fixed Assets'!J1)&lt;1000,'Fixed Assets'!K1,0)</f>
        <v>0</v>
      </c>
      <c r="E85" s="104"/>
      <c r="F85" s="104"/>
      <c r="G85" s="105" t="s">
        <v>29</v>
      </c>
      <c r="H85" s="106" t="n">
        <v>0</v>
      </c>
      <c r="I85" s="106" t="n">
        <v>0</v>
      </c>
      <c r="J85" s="69"/>
      <c r="K85" s="69"/>
      <c r="L85" s="68"/>
      <c r="M85" s="68"/>
      <c r="N85" s="103" t="s">
        <v>28</v>
      </c>
      <c r="O85" s="104" t="n">
        <f aca="false">IF('Fixed Assets'!Q1&gt;0,'Fixed Assets'!Q1,0)</f>
        <v>0</v>
      </c>
      <c r="P85" s="104"/>
      <c r="Q85" s="104"/>
      <c r="R85" s="105" t="s">
        <v>29</v>
      </c>
      <c r="S85" s="106" t="n">
        <v>0</v>
      </c>
      <c r="T85" s="106" t="n">
        <v>0</v>
      </c>
      <c r="U85" s="68"/>
      <c r="V85" s="68"/>
      <c r="W85" s="89"/>
    </row>
    <row r="86" customFormat="false" ht="7.5" hidden="false" customHeight="true" outlineLevel="0" collapsed="false">
      <c r="A86" s="99"/>
      <c r="B86" s="100"/>
      <c r="C86" s="100"/>
      <c r="D86" s="100"/>
      <c r="E86" s="100"/>
      <c r="F86" s="100"/>
      <c r="G86" s="100"/>
      <c r="H86" s="100"/>
      <c r="I86" s="100"/>
      <c r="J86" s="100"/>
      <c r="K86" s="100"/>
      <c r="L86" s="100"/>
      <c r="M86" s="100"/>
      <c r="N86" s="100"/>
      <c r="O86" s="100"/>
      <c r="P86" s="100"/>
      <c r="Q86" s="100"/>
      <c r="R86" s="100"/>
      <c r="S86" s="100"/>
      <c r="T86" s="100"/>
      <c r="U86" s="100"/>
      <c r="V86" s="100"/>
      <c r="W86" s="101"/>
    </row>
    <row r="87" customFormat="false" ht="24.75" hidden="false" customHeight="true" outlineLevel="0" collapsed="false">
      <c r="A87" s="109" t="s">
        <v>74</v>
      </c>
      <c r="B87" s="109"/>
      <c r="C87" s="109"/>
      <c r="D87" s="109"/>
      <c r="E87" s="109"/>
      <c r="F87" s="109"/>
      <c r="G87" s="109"/>
      <c r="H87" s="109"/>
      <c r="I87" s="109"/>
      <c r="J87" s="109"/>
      <c r="K87" s="109"/>
      <c r="L87" s="109"/>
      <c r="M87" s="109"/>
      <c r="N87" s="109"/>
      <c r="O87" s="109"/>
      <c r="P87" s="109"/>
      <c r="Q87" s="109"/>
      <c r="R87" s="109"/>
      <c r="S87" s="109"/>
      <c r="T87" s="109"/>
      <c r="U87" s="109"/>
      <c r="V87" s="109"/>
      <c r="W87" s="109"/>
    </row>
    <row r="88" customFormat="false" ht="15.75" hidden="false" customHeight="true" outlineLevel="0" collapsed="false">
      <c r="A88" s="110" t="s">
        <v>75</v>
      </c>
      <c r="B88" s="110"/>
      <c r="C88" s="110"/>
      <c r="D88" s="110"/>
      <c r="E88" s="110"/>
      <c r="F88" s="110"/>
      <c r="G88" s="110"/>
      <c r="H88" s="110"/>
      <c r="I88" s="110"/>
      <c r="J88" s="110"/>
      <c r="K88" s="110"/>
      <c r="L88" s="110"/>
      <c r="M88" s="110"/>
      <c r="N88" s="110"/>
      <c r="O88" s="110"/>
      <c r="P88" s="110"/>
      <c r="Q88" s="110"/>
      <c r="R88" s="110"/>
      <c r="S88" s="110"/>
      <c r="T88" s="110"/>
      <c r="U88" s="110"/>
      <c r="V88" s="110"/>
      <c r="W88" s="110"/>
    </row>
    <row r="89" customFormat="false" ht="15.75" hidden="false" customHeight="true" outlineLevel="0" collapsed="false">
      <c r="A89" s="110" t="s">
        <v>76</v>
      </c>
      <c r="B89" s="110"/>
      <c r="C89" s="110"/>
      <c r="D89" s="110"/>
      <c r="E89" s="110"/>
      <c r="F89" s="110"/>
      <c r="G89" s="110"/>
      <c r="H89" s="110"/>
      <c r="I89" s="110"/>
      <c r="J89" s="110"/>
      <c r="K89" s="110"/>
      <c r="L89" s="110"/>
      <c r="M89" s="110"/>
      <c r="N89" s="110"/>
      <c r="O89" s="110"/>
      <c r="P89" s="110"/>
      <c r="Q89" s="110"/>
      <c r="R89" s="110"/>
      <c r="S89" s="110"/>
      <c r="T89" s="110"/>
      <c r="U89" s="110"/>
      <c r="V89" s="110"/>
      <c r="W89" s="110"/>
    </row>
    <row r="90" customFormat="false" ht="7.5" hidden="false" customHeight="true" outlineLevel="0" collapsed="false">
      <c r="A90" s="79"/>
      <c r="B90" s="80"/>
      <c r="C90" s="80"/>
      <c r="D90" s="80"/>
      <c r="E90" s="80"/>
      <c r="F90" s="80"/>
      <c r="G90" s="80"/>
      <c r="H90" s="80"/>
      <c r="I90" s="80"/>
      <c r="J90" s="80"/>
      <c r="K90" s="80"/>
      <c r="L90" s="80"/>
      <c r="M90" s="80"/>
      <c r="N90" s="80"/>
      <c r="O90" s="80"/>
      <c r="P90" s="80"/>
      <c r="Q90" s="80"/>
      <c r="R90" s="80"/>
      <c r="S90" s="80"/>
      <c r="T90" s="80"/>
      <c r="U90" s="80"/>
      <c r="V90" s="80"/>
      <c r="W90" s="81"/>
    </row>
    <row r="91" customFormat="false" ht="12" hidden="false" customHeight="false" outlineLevel="0" collapsed="false">
      <c r="A91" s="82" t="n">
        <v>26</v>
      </c>
      <c r="B91" s="68"/>
      <c r="C91" s="69" t="s">
        <v>77</v>
      </c>
      <c r="D91" s="69"/>
      <c r="E91" s="69"/>
      <c r="F91" s="69"/>
      <c r="G91" s="69"/>
      <c r="H91" s="69"/>
      <c r="I91" s="69"/>
      <c r="J91" s="69"/>
      <c r="K91" s="69"/>
      <c r="L91" s="82" t="n">
        <v>28</v>
      </c>
      <c r="M91" s="68"/>
      <c r="N91" s="69" t="s">
        <v>78</v>
      </c>
      <c r="O91" s="68"/>
      <c r="P91" s="68"/>
      <c r="Q91" s="68"/>
      <c r="R91" s="68"/>
      <c r="S91" s="68"/>
      <c r="T91" s="68"/>
      <c r="U91" s="68"/>
      <c r="V91" s="68"/>
      <c r="W91" s="89"/>
    </row>
    <row r="92" customFormat="false" ht="12" hidden="false" customHeight="false" outlineLevel="0" collapsed="false">
      <c r="A92" s="69"/>
      <c r="B92" s="68"/>
      <c r="C92" s="97" t="s">
        <v>79</v>
      </c>
      <c r="D92" s="69"/>
      <c r="E92" s="69"/>
      <c r="F92" s="69"/>
      <c r="G92" s="69"/>
      <c r="H92" s="69"/>
      <c r="I92" s="69"/>
      <c r="J92" s="69"/>
      <c r="K92" s="69"/>
      <c r="L92" s="69"/>
      <c r="M92" s="68"/>
      <c r="N92" s="69" t="s">
        <v>80</v>
      </c>
      <c r="O92" s="118"/>
      <c r="P92" s="118"/>
      <c r="Q92" s="118"/>
      <c r="R92" s="118"/>
      <c r="S92" s="118"/>
      <c r="T92" s="118"/>
      <c r="U92" s="118"/>
      <c r="V92" s="118"/>
      <c r="W92" s="89"/>
    </row>
    <row r="93" customFormat="false" ht="6" hidden="false" customHeight="true" outlineLevel="0" collapsed="false">
      <c r="A93" s="69"/>
      <c r="B93" s="68"/>
      <c r="C93" s="69"/>
      <c r="D93" s="69"/>
      <c r="E93" s="69"/>
      <c r="F93" s="69"/>
      <c r="G93" s="69"/>
      <c r="H93" s="69"/>
      <c r="I93" s="69"/>
      <c r="J93" s="69"/>
      <c r="K93" s="69"/>
      <c r="L93" s="69"/>
      <c r="M93" s="68"/>
      <c r="N93" s="68"/>
      <c r="O93" s="68"/>
      <c r="P93" s="68"/>
      <c r="Q93" s="68"/>
      <c r="R93" s="68"/>
      <c r="S93" s="68"/>
      <c r="T93" s="68"/>
      <c r="U93" s="68"/>
      <c r="V93" s="68"/>
      <c r="W93" s="89"/>
    </row>
    <row r="94" customFormat="false" ht="15" hidden="false" customHeight="false" outlineLevel="0" collapsed="false">
      <c r="A94" s="68"/>
      <c r="B94" s="68"/>
      <c r="C94" s="103" t="s">
        <v>28</v>
      </c>
      <c r="D94" s="104" t="n">
        <f aca="false">'Business Details'!O29</f>
        <v>0</v>
      </c>
      <c r="E94" s="104"/>
      <c r="F94" s="104"/>
      <c r="G94" s="105" t="s">
        <v>29</v>
      </c>
      <c r="H94" s="106" t="n">
        <v>0</v>
      </c>
      <c r="I94" s="106" t="n">
        <v>0</v>
      </c>
      <c r="J94" s="68"/>
      <c r="K94" s="68"/>
      <c r="L94" s="68"/>
      <c r="M94" s="68"/>
      <c r="N94" s="103" t="s">
        <v>28</v>
      </c>
      <c r="O94" s="104" t="n">
        <f aca="false">IF(O106&gt;0,0,IF('Business Details'!D29=0,0,IF(D99&gt;'Business Details'!D29,'Business Details'!D29,D99)))</f>
        <v>0</v>
      </c>
      <c r="P94" s="104"/>
      <c r="Q94" s="104"/>
      <c r="R94" s="105" t="s">
        <v>29</v>
      </c>
      <c r="S94" s="106" t="n">
        <v>0</v>
      </c>
      <c r="T94" s="106" t="n">
        <v>0</v>
      </c>
      <c r="U94" s="68"/>
      <c r="V94" s="68"/>
      <c r="W94" s="89"/>
    </row>
    <row r="95" customFormat="false" ht="12" hidden="false" customHeight="false" outlineLevel="0" collapsed="false">
      <c r="A95" s="68"/>
      <c r="B95" s="68"/>
      <c r="C95" s="68"/>
      <c r="D95" s="68"/>
      <c r="E95" s="68"/>
      <c r="F95" s="68"/>
      <c r="G95" s="68"/>
      <c r="H95" s="68"/>
      <c r="I95" s="68"/>
      <c r="J95" s="68"/>
      <c r="K95" s="68"/>
      <c r="L95" s="68"/>
      <c r="M95" s="68"/>
      <c r="N95" s="68"/>
      <c r="O95" s="68"/>
      <c r="P95" s="68"/>
      <c r="Q95" s="68"/>
      <c r="R95" s="68"/>
      <c r="S95" s="68"/>
      <c r="T95" s="68"/>
      <c r="U95" s="68"/>
      <c r="V95" s="68"/>
      <c r="W95" s="89"/>
    </row>
    <row r="96" customFormat="false" ht="12" hidden="false" customHeight="false" outlineLevel="0" collapsed="false">
      <c r="A96" s="82" t="n">
        <v>27</v>
      </c>
      <c r="B96" s="68"/>
      <c r="C96" s="69" t="s">
        <v>81</v>
      </c>
      <c r="D96" s="69"/>
      <c r="E96" s="69"/>
      <c r="F96" s="69"/>
      <c r="G96" s="69"/>
      <c r="H96" s="69"/>
      <c r="I96" s="69"/>
      <c r="J96" s="69"/>
      <c r="K96" s="69"/>
      <c r="L96" s="82" t="n">
        <v>29</v>
      </c>
      <c r="M96" s="68"/>
      <c r="N96" s="69" t="s">
        <v>82</v>
      </c>
      <c r="O96" s="68"/>
      <c r="P96" s="68"/>
      <c r="Q96" s="68"/>
      <c r="R96" s="68"/>
      <c r="S96" s="68"/>
      <c r="T96" s="68"/>
      <c r="U96" s="68"/>
      <c r="V96" s="68"/>
      <c r="W96" s="89"/>
    </row>
    <row r="97" customFormat="false" ht="12" hidden="false" customHeight="true" outlineLevel="0" collapsed="false">
      <c r="A97" s="113"/>
      <c r="B97" s="68"/>
      <c r="C97" s="69" t="s">
        <v>83</v>
      </c>
      <c r="D97" s="69"/>
      <c r="E97" s="69"/>
      <c r="F97" s="69"/>
      <c r="G97" s="69"/>
      <c r="H97" s="69"/>
      <c r="I97" s="69"/>
      <c r="J97" s="69"/>
      <c r="K97" s="69"/>
      <c r="L97" s="69"/>
      <c r="M97" s="68"/>
      <c r="N97" s="97" t="s">
        <v>84</v>
      </c>
      <c r="O97" s="68"/>
      <c r="P97" s="68"/>
      <c r="Q97" s="68"/>
      <c r="R97" s="68"/>
      <c r="S97" s="68"/>
      <c r="T97" s="68"/>
      <c r="U97" s="68"/>
      <c r="V97" s="68"/>
      <c r="W97" s="89"/>
    </row>
    <row r="98" customFormat="false" ht="6" hidden="false" customHeight="true" outlineLevel="0" collapsed="false">
      <c r="A98" s="113"/>
      <c r="B98" s="68"/>
      <c r="C98" s="69"/>
      <c r="D98" s="69"/>
      <c r="E98" s="69"/>
      <c r="F98" s="69"/>
      <c r="G98" s="69"/>
      <c r="H98" s="69"/>
      <c r="I98" s="69"/>
      <c r="J98" s="69"/>
      <c r="K98" s="69"/>
      <c r="L98" s="69"/>
      <c r="M98" s="68"/>
      <c r="N98" s="68"/>
      <c r="O98" s="68"/>
      <c r="P98" s="68"/>
      <c r="Q98" s="68"/>
      <c r="R98" s="68"/>
      <c r="S98" s="68"/>
      <c r="T98" s="68"/>
      <c r="U98" s="68"/>
      <c r="V98" s="68"/>
      <c r="W98" s="89"/>
    </row>
    <row r="99" customFormat="false" ht="15" hidden="false" customHeight="false" outlineLevel="0" collapsed="false">
      <c r="A99" s="86"/>
      <c r="B99" s="68"/>
      <c r="C99" s="103" t="s">
        <v>28</v>
      </c>
      <c r="D99" s="104" t="n">
        <f aca="false">IF((D71+O85+D94-O71-D80-D85-O80)&gt;0,D71+O85+D94-O71-D80-D85-O80,0)</f>
        <v>29640</v>
      </c>
      <c r="E99" s="104"/>
      <c r="F99" s="104"/>
      <c r="G99" s="105" t="s">
        <v>29</v>
      </c>
      <c r="H99" s="106" t="n">
        <v>0</v>
      </c>
      <c r="I99" s="106" t="n">
        <v>0</v>
      </c>
      <c r="J99" s="68"/>
      <c r="K99" s="68"/>
      <c r="L99" s="69"/>
      <c r="M99" s="68"/>
      <c r="N99" s="103" t="s">
        <v>28</v>
      </c>
      <c r="O99" s="104" t="n">
        <f aca="false">'Profit &amp; Loss Acc'!B24</f>
        <v>0</v>
      </c>
      <c r="P99" s="104"/>
      <c r="Q99" s="104"/>
      <c r="R99" s="105" t="s">
        <v>29</v>
      </c>
      <c r="S99" s="106" t="n">
        <v>0</v>
      </c>
      <c r="T99" s="106" t="n">
        <v>0</v>
      </c>
      <c r="U99" s="68"/>
      <c r="V99" s="68"/>
      <c r="W99" s="89"/>
      <c r="Y99" s="116"/>
      <c r="Z99" s="116"/>
    </row>
    <row r="100" customFormat="false" ht="12" hidden="false" customHeight="true" outlineLevel="0" collapsed="false">
      <c r="A100" s="99"/>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1"/>
    </row>
    <row r="101" customFormat="false" ht="24.75" hidden="false" customHeight="true" outlineLevel="0" collapsed="false">
      <c r="A101" s="117" t="s">
        <v>85</v>
      </c>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row>
    <row r="102" customFormat="false" ht="7.5" hidden="false" customHeight="true" outlineLevel="0" collapsed="false">
      <c r="A102" s="79"/>
      <c r="B102" s="80"/>
      <c r="C102" s="80"/>
      <c r="D102" s="80"/>
      <c r="E102" s="80"/>
      <c r="F102" s="80"/>
      <c r="G102" s="80"/>
      <c r="H102" s="80"/>
      <c r="I102" s="80"/>
      <c r="J102" s="80"/>
      <c r="K102" s="80"/>
      <c r="L102" s="80"/>
      <c r="M102" s="80"/>
      <c r="N102" s="80"/>
      <c r="O102" s="80"/>
      <c r="P102" s="80"/>
      <c r="Q102" s="80"/>
      <c r="R102" s="80"/>
      <c r="S102" s="80"/>
      <c r="T102" s="80"/>
      <c r="U102" s="80"/>
      <c r="V102" s="80"/>
      <c r="W102" s="81"/>
    </row>
    <row r="103" customFormat="false" ht="12" hidden="false" customHeight="false" outlineLevel="0" collapsed="false">
      <c r="A103" s="82" t="n">
        <v>30</v>
      </c>
      <c r="B103" s="68"/>
      <c r="C103" s="69" t="s">
        <v>86</v>
      </c>
      <c r="D103" s="69"/>
      <c r="E103" s="69"/>
      <c r="F103" s="69"/>
      <c r="G103" s="69"/>
      <c r="H103" s="69"/>
      <c r="I103" s="69"/>
      <c r="J103" s="69"/>
      <c r="K103" s="69"/>
      <c r="L103" s="82" t="n">
        <v>31</v>
      </c>
      <c r="M103" s="68"/>
      <c r="N103" s="69" t="s">
        <v>87</v>
      </c>
      <c r="O103" s="68"/>
      <c r="P103" s="68"/>
      <c r="Q103" s="68"/>
      <c r="R103" s="68"/>
      <c r="S103" s="68"/>
      <c r="T103" s="68"/>
      <c r="U103" s="68"/>
      <c r="V103" s="68"/>
      <c r="W103" s="89"/>
    </row>
    <row r="104" customFormat="false" ht="12" hidden="false" customHeight="true" outlineLevel="0" collapsed="false">
      <c r="A104" s="86"/>
      <c r="B104" s="68"/>
      <c r="C104" s="87" t="s">
        <v>88</v>
      </c>
      <c r="D104" s="119"/>
      <c r="E104" s="119"/>
      <c r="F104" s="119"/>
      <c r="G104" s="105"/>
      <c r="H104" s="108"/>
      <c r="I104" s="108"/>
      <c r="J104" s="68"/>
      <c r="K104" s="68"/>
      <c r="L104" s="69"/>
      <c r="M104" s="68"/>
      <c r="N104" s="69" t="s">
        <v>89</v>
      </c>
      <c r="O104" s="68"/>
      <c r="P104" s="68"/>
      <c r="Q104" s="68"/>
      <c r="R104" s="68"/>
      <c r="S104" s="68"/>
      <c r="T104" s="68"/>
      <c r="U104" s="68"/>
      <c r="V104" s="68"/>
      <c r="W104" s="89"/>
    </row>
    <row r="105" customFormat="false" ht="6" hidden="false" customHeight="true" outlineLevel="0" collapsed="false">
      <c r="A105" s="113"/>
      <c r="B105" s="68"/>
      <c r="C105" s="69"/>
      <c r="D105" s="69"/>
      <c r="E105" s="69"/>
      <c r="F105" s="69"/>
      <c r="G105" s="69"/>
      <c r="H105" s="69"/>
      <c r="I105" s="69"/>
      <c r="J105" s="69"/>
      <c r="K105" s="69"/>
      <c r="L105" s="69"/>
      <c r="M105" s="68"/>
      <c r="N105" s="68"/>
      <c r="O105" s="68"/>
      <c r="P105" s="68"/>
      <c r="Q105" s="68"/>
      <c r="R105" s="68"/>
      <c r="S105" s="68"/>
      <c r="T105" s="68"/>
      <c r="U105" s="68"/>
      <c r="V105" s="68"/>
      <c r="W105" s="89"/>
    </row>
    <row r="106" customFormat="false" ht="15" hidden="false" customHeight="false" outlineLevel="0" collapsed="false">
      <c r="A106" s="113"/>
      <c r="B106" s="68"/>
      <c r="C106" s="103" t="s">
        <v>28</v>
      </c>
      <c r="D106" s="104" t="n">
        <f aca="false">IF((D99+O99-O94)&gt;0,D99+O99-O94,0)</f>
        <v>29640</v>
      </c>
      <c r="E106" s="104"/>
      <c r="F106" s="104"/>
      <c r="G106" s="105" t="s">
        <v>29</v>
      </c>
      <c r="H106" s="106" t="n">
        <v>0</v>
      </c>
      <c r="I106" s="106" t="n">
        <v>0</v>
      </c>
      <c r="J106" s="69"/>
      <c r="K106" s="69"/>
      <c r="L106" s="69"/>
      <c r="M106" s="68"/>
      <c r="N106" s="103" t="s">
        <v>28</v>
      </c>
      <c r="O106" s="104" t="n">
        <f aca="false">IF((O71+D80+D85+O80-D71-O85-D94)&gt;=0,O71+D80+D85+O80-D71-O85-D94,0)</f>
        <v>0</v>
      </c>
      <c r="P106" s="104"/>
      <c r="Q106" s="104"/>
      <c r="R106" s="105" t="s">
        <v>29</v>
      </c>
      <c r="S106" s="106" t="n">
        <v>0</v>
      </c>
      <c r="T106" s="106" t="n">
        <v>0</v>
      </c>
      <c r="U106" s="68"/>
      <c r="V106" s="68"/>
      <c r="W106" s="89"/>
    </row>
    <row r="107" customFormat="false" ht="6" hidden="false" customHeight="true" outlineLevel="0" collapsed="false">
      <c r="A107" s="99"/>
      <c r="B107" s="100"/>
      <c r="C107" s="100"/>
      <c r="D107" s="100"/>
      <c r="E107" s="100"/>
      <c r="F107" s="100"/>
      <c r="G107" s="100"/>
      <c r="H107" s="100"/>
      <c r="I107" s="100"/>
      <c r="J107" s="100"/>
      <c r="K107" s="100"/>
      <c r="L107" s="100"/>
      <c r="M107" s="100"/>
      <c r="N107" s="120"/>
      <c r="O107" s="100"/>
      <c r="P107" s="100"/>
      <c r="Q107" s="100"/>
      <c r="R107" s="100"/>
      <c r="S107" s="100"/>
      <c r="T107" s="100"/>
      <c r="U107" s="100"/>
      <c r="V107" s="100"/>
      <c r="W107" s="101"/>
    </row>
    <row r="108" customFormat="false" ht="24.75" hidden="false" customHeight="true" outlineLevel="0" collapsed="false">
      <c r="A108" s="109" t="s">
        <v>90</v>
      </c>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row>
    <row r="109" customFormat="false" ht="15.75" hidden="false" customHeight="true" outlineLevel="0" collapsed="false">
      <c r="A109" s="110" t="s">
        <v>91</v>
      </c>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row>
    <row r="110" customFormat="false" ht="7.5" hidden="false" customHeight="true" outlineLevel="0" collapsed="false">
      <c r="A110" s="79"/>
      <c r="B110" s="80"/>
      <c r="C110" s="80"/>
      <c r="D110" s="80"/>
      <c r="E110" s="80"/>
      <c r="F110" s="80"/>
      <c r="G110" s="80"/>
      <c r="H110" s="80"/>
      <c r="I110" s="80"/>
      <c r="J110" s="80"/>
      <c r="K110" s="80"/>
      <c r="L110" s="80"/>
      <c r="M110" s="80"/>
      <c r="N110" s="80"/>
      <c r="O110" s="80"/>
      <c r="P110" s="80"/>
      <c r="Q110" s="80"/>
      <c r="R110" s="80"/>
      <c r="S110" s="80"/>
      <c r="T110" s="80"/>
      <c r="U110" s="80"/>
      <c r="V110" s="80"/>
      <c r="W110" s="81"/>
    </row>
    <row r="111" customFormat="false" ht="12" hidden="false" customHeight="false" outlineLevel="0" collapsed="false">
      <c r="A111" s="82" t="n">
        <v>32</v>
      </c>
      <c r="B111" s="68"/>
      <c r="C111" s="69" t="s">
        <v>92</v>
      </c>
      <c r="D111" s="69"/>
      <c r="E111" s="69"/>
      <c r="F111" s="69"/>
      <c r="G111" s="69"/>
      <c r="H111" s="69"/>
      <c r="I111" s="69"/>
      <c r="J111" s="69"/>
      <c r="K111" s="69"/>
      <c r="L111" s="82" t="n">
        <v>35</v>
      </c>
      <c r="M111" s="68"/>
      <c r="N111" s="69" t="s">
        <v>93</v>
      </c>
      <c r="O111" s="68"/>
      <c r="P111" s="68"/>
      <c r="Q111" s="68"/>
      <c r="R111" s="68"/>
      <c r="S111" s="68"/>
      <c r="T111" s="68"/>
      <c r="U111" s="68"/>
      <c r="V111" s="68"/>
      <c r="W111" s="89"/>
    </row>
    <row r="112" customFormat="false" ht="12" hidden="false" customHeight="false" outlineLevel="0" collapsed="false">
      <c r="A112" s="113"/>
      <c r="B112" s="68"/>
      <c r="C112" s="69" t="s">
        <v>94</v>
      </c>
      <c r="D112" s="121" t="str">
        <f aca="false">Admin!G$2</f>
        <v>2020-21</v>
      </c>
      <c r="E112" s="121"/>
      <c r="F112" s="121"/>
      <c r="G112" s="69"/>
      <c r="H112" s="69"/>
      <c r="I112" s="69"/>
      <c r="J112" s="69"/>
      <c r="K112" s="69"/>
      <c r="L112" s="69"/>
      <c r="M112" s="68"/>
      <c r="N112" s="69" t="s">
        <v>95</v>
      </c>
      <c r="O112" s="118"/>
      <c r="P112" s="118"/>
      <c r="Q112" s="118"/>
      <c r="R112" s="118"/>
      <c r="S112" s="118"/>
      <c r="T112" s="118"/>
      <c r="U112" s="118"/>
      <c r="V112" s="118"/>
      <c r="W112" s="89"/>
    </row>
    <row r="113" customFormat="false" ht="6" hidden="false" customHeight="true" outlineLevel="0" collapsed="false">
      <c r="A113" s="113"/>
      <c r="B113" s="68"/>
      <c r="C113" s="69"/>
      <c r="D113" s="69"/>
      <c r="E113" s="69"/>
      <c r="F113" s="69"/>
      <c r="G113" s="69"/>
      <c r="H113" s="69"/>
      <c r="I113" s="69"/>
      <c r="J113" s="69"/>
      <c r="K113" s="69"/>
      <c r="L113" s="69"/>
      <c r="M113" s="68"/>
      <c r="N113" s="68"/>
      <c r="O113" s="68"/>
      <c r="P113" s="68"/>
      <c r="Q113" s="68"/>
      <c r="R113" s="68"/>
      <c r="S113" s="68"/>
      <c r="T113" s="68"/>
      <c r="U113" s="68"/>
      <c r="V113" s="68"/>
      <c r="W113" s="89"/>
    </row>
    <row r="114" customFormat="false" ht="15" hidden="false" customHeight="false" outlineLevel="0" collapsed="false">
      <c r="A114" s="86"/>
      <c r="B114" s="68"/>
      <c r="C114" s="103" t="s">
        <v>28</v>
      </c>
      <c r="D114" s="104"/>
      <c r="E114" s="104"/>
      <c r="F114" s="104"/>
      <c r="G114" s="105" t="s">
        <v>29</v>
      </c>
      <c r="H114" s="106" t="n">
        <v>0</v>
      </c>
      <c r="I114" s="106" t="n">
        <v>0</v>
      </c>
      <c r="J114" s="68"/>
      <c r="K114" s="68"/>
      <c r="L114" s="68"/>
      <c r="M114" s="68"/>
      <c r="N114" s="82"/>
      <c r="O114" s="119"/>
      <c r="P114" s="119"/>
      <c r="Q114" s="119"/>
      <c r="R114" s="105"/>
      <c r="S114" s="108"/>
      <c r="T114" s="108"/>
      <c r="U114" s="68"/>
      <c r="V114" s="68"/>
      <c r="W114" s="89"/>
    </row>
    <row r="115" customFormat="false" ht="12" hidden="false" customHeight="false" outlineLevel="0" collapsed="false">
      <c r="A115" s="86"/>
      <c r="B115" s="68"/>
      <c r="C115" s="68"/>
      <c r="D115" s="68"/>
      <c r="E115" s="68"/>
      <c r="F115" s="68"/>
      <c r="G115" s="68"/>
      <c r="H115" s="68"/>
      <c r="I115" s="68"/>
      <c r="J115" s="68"/>
      <c r="K115" s="68"/>
      <c r="L115" s="68"/>
      <c r="M115" s="68"/>
      <c r="N115" s="68"/>
      <c r="O115" s="68"/>
      <c r="P115" s="68"/>
      <c r="Q115" s="68"/>
      <c r="R115" s="68"/>
      <c r="S115" s="68"/>
      <c r="T115" s="68"/>
      <c r="U115" s="68"/>
      <c r="V115" s="68"/>
      <c r="W115" s="89"/>
    </row>
    <row r="116" customFormat="false" ht="12" hidden="false" customHeight="false" outlineLevel="0" collapsed="false">
      <c r="A116" s="82" t="n">
        <v>33</v>
      </c>
      <c r="B116" s="68"/>
      <c r="C116" s="69" t="s">
        <v>96</v>
      </c>
      <c r="D116" s="69"/>
      <c r="E116" s="69"/>
      <c r="F116" s="69"/>
      <c r="G116" s="69"/>
      <c r="H116" s="69"/>
      <c r="I116" s="69"/>
      <c r="J116" s="69"/>
      <c r="K116" s="69"/>
      <c r="L116" s="82" t="n">
        <v>36</v>
      </c>
      <c r="M116" s="68"/>
      <c r="N116" s="69" t="s">
        <v>97</v>
      </c>
      <c r="O116" s="68"/>
      <c r="P116" s="68"/>
      <c r="Q116" s="68"/>
      <c r="R116" s="121" t="str">
        <f aca="false">Admin!G$2</f>
        <v>2020-21</v>
      </c>
      <c r="S116" s="121"/>
      <c r="T116" s="121"/>
      <c r="U116" s="69" t="s">
        <v>98</v>
      </c>
      <c r="V116" s="68"/>
      <c r="W116" s="89"/>
    </row>
    <row r="117" customFormat="false" ht="12" hidden="false" customHeight="true" outlineLevel="0" collapsed="false">
      <c r="A117" s="113"/>
      <c r="B117" s="68"/>
      <c r="C117" s="69" t="s">
        <v>99</v>
      </c>
      <c r="D117" s="69"/>
      <c r="E117" s="69"/>
      <c r="F117" s="69"/>
      <c r="G117" s="69"/>
      <c r="H117" s="69"/>
      <c r="I117" s="69"/>
      <c r="J117" s="69"/>
      <c r="K117" s="69"/>
      <c r="L117" s="69"/>
      <c r="M117" s="68"/>
      <c r="N117" s="69" t="s">
        <v>100</v>
      </c>
      <c r="O117" s="68"/>
      <c r="P117" s="68"/>
      <c r="Q117" s="68"/>
      <c r="R117" s="68"/>
      <c r="S117" s="68"/>
      <c r="T117" s="68"/>
      <c r="U117" s="68"/>
      <c r="V117" s="68"/>
      <c r="W117" s="89"/>
    </row>
    <row r="118" customFormat="false" ht="12" hidden="false" customHeight="true" outlineLevel="0" collapsed="false">
      <c r="A118" s="113"/>
      <c r="B118" s="68"/>
      <c r="C118" s="69"/>
      <c r="D118" s="69"/>
      <c r="E118" s="69"/>
      <c r="F118" s="69"/>
      <c r="G118" s="69"/>
      <c r="H118" s="69"/>
      <c r="I118" s="69"/>
      <c r="J118" s="69"/>
      <c r="K118" s="69"/>
      <c r="L118" s="69"/>
      <c r="M118" s="68"/>
      <c r="N118" s="98" t="s">
        <v>101</v>
      </c>
      <c r="O118" s="68"/>
      <c r="P118" s="68"/>
      <c r="Q118" s="68"/>
      <c r="R118" s="68"/>
      <c r="S118" s="68"/>
      <c r="T118" s="68"/>
      <c r="U118" s="68"/>
      <c r="V118" s="68"/>
      <c r="W118" s="89"/>
    </row>
    <row r="119" customFormat="false" ht="15" hidden="false" customHeight="false" outlineLevel="0" collapsed="false">
      <c r="A119" s="86"/>
      <c r="B119" s="68"/>
      <c r="C119" s="103" t="s">
        <v>28</v>
      </c>
      <c r="D119" s="104"/>
      <c r="E119" s="104"/>
      <c r="F119" s="104"/>
      <c r="G119" s="105" t="s">
        <v>29</v>
      </c>
      <c r="H119" s="106" t="n">
        <v>0</v>
      </c>
      <c r="I119" s="106" t="n">
        <v>0</v>
      </c>
      <c r="J119" s="68"/>
      <c r="K119" s="68"/>
      <c r="L119" s="69"/>
      <c r="M119" s="68"/>
      <c r="N119" s="82"/>
      <c r="O119" s="68"/>
      <c r="P119" s="68"/>
      <c r="Q119" s="68"/>
      <c r="R119" s="68"/>
      <c r="S119" s="68"/>
      <c r="T119" s="68"/>
      <c r="U119" s="68"/>
      <c r="V119" s="68"/>
      <c r="W119" s="89"/>
    </row>
    <row r="120" customFormat="false" ht="12" hidden="false" customHeight="false" outlineLevel="0" collapsed="false">
      <c r="A120" s="82" t="n">
        <v>34</v>
      </c>
      <c r="B120" s="68"/>
      <c r="C120" s="69" t="s">
        <v>102</v>
      </c>
      <c r="D120" s="69"/>
      <c r="E120" s="69"/>
      <c r="F120" s="69"/>
      <c r="G120" s="69"/>
      <c r="H120" s="69"/>
      <c r="I120" s="69"/>
      <c r="J120" s="69"/>
      <c r="K120" s="69"/>
      <c r="L120" s="82" t="n">
        <v>37</v>
      </c>
      <c r="M120" s="68"/>
      <c r="N120" s="69" t="s">
        <v>103</v>
      </c>
      <c r="O120" s="68"/>
      <c r="P120" s="68"/>
      <c r="Q120" s="68"/>
      <c r="R120" s="68"/>
      <c r="S120" s="68"/>
      <c r="T120" s="68"/>
      <c r="U120" s="68"/>
      <c r="V120" s="68"/>
      <c r="W120" s="89"/>
    </row>
    <row r="121" customFormat="false" ht="12" hidden="false" customHeight="true" outlineLevel="0" collapsed="false">
      <c r="A121" s="113"/>
      <c r="B121" s="68"/>
      <c r="C121" s="97" t="s">
        <v>104</v>
      </c>
      <c r="D121" s="69"/>
      <c r="E121" s="69"/>
      <c r="F121" s="69"/>
      <c r="G121" s="69"/>
      <c r="H121" s="69"/>
      <c r="I121" s="69"/>
      <c r="J121" s="69"/>
      <c r="K121" s="69"/>
      <c r="L121" s="69"/>
      <c r="M121" s="68"/>
      <c r="N121" s="69" t="s">
        <v>105</v>
      </c>
      <c r="O121" s="68"/>
      <c r="P121" s="68"/>
      <c r="Q121" s="68"/>
      <c r="R121" s="68"/>
      <c r="S121" s="68"/>
      <c r="T121" s="68"/>
      <c r="U121" s="68"/>
      <c r="V121" s="68"/>
      <c r="W121" s="89"/>
    </row>
    <row r="122" customFormat="false" ht="6" hidden="false" customHeight="true" outlineLevel="0" collapsed="false">
      <c r="A122" s="113"/>
      <c r="B122" s="68"/>
      <c r="C122" s="69"/>
      <c r="D122" s="69"/>
      <c r="E122" s="69"/>
      <c r="F122" s="69"/>
      <c r="G122" s="69"/>
      <c r="H122" s="69"/>
      <c r="I122" s="69"/>
      <c r="J122" s="69"/>
      <c r="K122" s="69"/>
      <c r="L122" s="69"/>
      <c r="M122" s="68"/>
      <c r="N122" s="68"/>
      <c r="O122" s="68"/>
      <c r="P122" s="68"/>
      <c r="Q122" s="68"/>
      <c r="R122" s="68"/>
      <c r="S122" s="68"/>
      <c r="T122" s="68"/>
      <c r="U122" s="68"/>
      <c r="V122" s="68"/>
      <c r="W122" s="89"/>
    </row>
    <row r="123" customFormat="false" ht="15" hidden="false" customHeight="false" outlineLevel="0" collapsed="false">
      <c r="A123" s="86"/>
      <c r="B123" s="68"/>
      <c r="C123" s="103" t="s">
        <v>28</v>
      </c>
      <c r="D123" s="104" t="n">
        <f aca="false">'Business Details'!O34</f>
        <v>0</v>
      </c>
      <c r="E123" s="104"/>
      <c r="F123" s="104"/>
      <c r="G123" s="105" t="s">
        <v>29</v>
      </c>
      <c r="H123" s="106" t="n">
        <v>0</v>
      </c>
      <c r="I123" s="106" t="n">
        <v>0</v>
      </c>
      <c r="J123" s="68"/>
      <c r="K123" s="68"/>
      <c r="L123" s="69"/>
      <c r="M123" s="68"/>
      <c r="N123" s="103" t="s">
        <v>28</v>
      </c>
      <c r="O123" s="104" t="n">
        <v>0</v>
      </c>
      <c r="P123" s="104"/>
      <c r="Q123" s="104"/>
      <c r="R123" s="105" t="s">
        <v>29</v>
      </c>
      <c r="S123" s="106" t="n">
        <v>0</v>
      </c>
      <c r="T123" s="106" t="n">
        <v>0</v>
      </c>
      <c r="U123" s="68"/>
      <c r="V123" s="68"/>
      <c r="W123" s="89"/>
    </row>
    <row r="124" customFormat="false" ht="12" hidden="false" customHeight="true" outlineLevel="0" collapsed="false">
      <c r="A124" s="99"/>
      <c r="B124" s="100"/>
      <c r="C124" s="100"/>
      <c r="D124" s="100"/>
      <c r="E124" s="100"/>
      <c r="F124" s="100"/>
      <c r="G124" s="100"/>
      <c r="H124" s="100"/>
      <c r="I124" s="100"/>
      <c r="J124" s="100"/>
      <c r="K124" s="100"/>
      <c r="L124" s="120"/>
      <c r="M124" s="100"/>
      <c r="N124" s="122"/>
      <c r="O124" s="123"/>
      <c r="P124" s="123"/>
      <c r="Q124" s="123"/>
      <c r="R124" s="124"/>
      <c r="S124" s="125"/>
      <c r="T124" s="125"/>
      <c r="U124" s="100"/>
      <c r="V124" s="100"/>
      <c r="W124" s="101"/>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4.5"/>
    <col collapsed="false" customWidth="true" hidden="false" outlineLevel="0" max="2" min="2" style="127" width="8.66"/>
    <col collapsed="false" customWidth="true" hidden="false" outlineLevel="0" max="3" min="3" style="127" width="10.82"/>
    <col collapsed="false" customWidth="true" hidden="false" outlineLevel="0" max="8" min="4" style="127" width="8.33"/>
    <col collapsed="false" customWidth="true" hidden="false" outlineLevel="0" max="9" min="9" style="127" width="11.32"/>
    <col collapsed="false" customWidth="true" hidden="false" outlineLevel="0" max="10" min="10" style="127" width="8.66"/>
    <col collapsed="false" customWidth="true" hidden="false" outlineLevel="0" max="14" min="11" style="127" width="8.33"/>
    <col collapsed="false" customWidth="true" hidden="false" outlineLevel="0" max="15" min="15" style="126" width="1.66"/>
    <col collapsed="false" customWidth="false" hidden="false" outlineLevel="0" max="16" min="16" style="126" width="9.15"/>
    <col collapsed="false" customWidth="false" hidden="false" outlineLevel="0" max="17" min="17" style="128" width="9.15"/>
    <col collapsed="false" customWidth="false" hidden="false" outlineLevel="0" max="27" min="27" style="128" width="9.15"/>
    <col collapsed="false" customWidth="false" hidden="false" outlineLevel="0" max="257" min="28" style="126" width="9.15"/>
  </cols>
  <sheetData>
    <row r="1" customFormat="false" ht="42" hidden="false" customHeight="true" outlineLevel="0" collapsed="false">
      <c r="A1" s="129" t="s">
        <v>106</v>
      </c>
      <c r="B1" s="130" t="n">
        <f aca="false">ROUND(PurchasesMar!$A$2,0)</f>
        <v>0</v>
      </c>
      <c r="C1" s="131" t="str">
        <f aca="false">IF(B1&gt;J1,"MILEAGE ALLOWANCE"," ")</f>
        <v> </v>
      </c>
      <c r="D1" s="132" t="str">
        <f aca="false">IF(J1&gt;=B1,"CABSMART                                                                          MOST TAX EFFICIENT OPTION IS  &gt; &gt; &gt; &gt;","CABSMART                                                                            &lt; &lt; &lt; &lt;  MOST TAX EFFICIENT OPTION IS")</f>
        <v>CABSMART                                                                          MOST TAX EFFICIENT OPTION IS  &gt; &gt; &gt; &gt;</v>
      </c>
      <c r="E1" s="132"/>
      <c r="F1" s="132"/>
      <c r="G1" s="132"/>
      <c r="H1" s="132"/>
      <c r="I1" s="133" t="str">
        <f aca="false">IF(J1&gt;=B1,"VEHICLE EXPENSES"," ")</f>
        <v>VEHICLE EXPENSES</v>
      </c>
      <c r="J1" s="134" t="n">
        <f aca="false">ROUND(PurchasesMar!$I$2+'Fixed Assets'!I1-'Fixed Assets'!I15-'Fixed Assets'!I44+'Fixed Assets'!J1-'Fixed Assets'!J15-'Fixed Assets'!J44+'Fixed Assets'!P1-'Fixed Assets'!P15-'Fixed Assets'!P44-'Fixed Assets'!Q1+'Fixed Assets'!Q15+'Fixed Assets'!Q44,0)</f>
        <v>4980</v>
      </c>
      <c r="K1" s="129" t="s">
        <v>107</v>
      </c>
      <c r="L1" s="129"/>
      <c r="M1" s="129"/>
      <c r="N1" s="129"/>
      <c r="O1" s="135"/>
      <c r="Q1" s="136"/>
      <c r="AA1" s="136"/>
    </row>
    <row r="2" s="141" customFormat="true" ht="12.75" hidden="false" customHeight="true" outlineLevel="0" collapsed="false">
      <c r="A2" s="137" t="s">
        <v>108</v>
      </c>
      <c r="B2" s="138" t="s">
        <v>109</v>
      </c>
      <c r="C2" s="139" t="n">
        <f aca="false">Admin!B$5</f>
        <v>43951</v>
      </c>
      <c r="D2" s="139" t="n">
        <f aca="false">Admin!B$6</f>
        <v>43982</v>
      </c>
      <c r="E2" s="139" t="n">
        <f aca="false">Admin!B$7</f>
        <v>44012</v>
      </c>
      <c r="F2" s="139" t="n">
        <f aca="false">Admin!B$8</f>
        <v>44043</v>
      </c>
      <c r="G2" s="139" t="n">
        <f aca="false">Admin!B$9</f>
        <v>44074</v>
      </c>
      <c r="H2" s="139" t="n">
        <f aca="false">Admin!B$10</f>
        <v>44104</v>
      </c>
      <c r="I2" s="139" t="n">
        <f aca="false">Admin!B$11</f>
        <v>44135</v>
      </c>
      <c r="J2" s="139" t="n">
        <f aca="false">Admin!B$12</f>
        <v>44165</v>
      </c>
      <c r="K2" s="139" t="n">
        <f aca="false">Admin!B$13</f>
        <v>44196</v>
      </c>
      <c r="L2" s="139" t="n">
        <f aca="false">Admin!B$14</f>
        <v>44227</v>
      </c>
      <c r="M2" s="139" t="n">
        <f aca="false">Admin!B$15</f>
        <v>44255</v>
      </c>
      <c r="N2" s="139" t="n">
        <f aca="false">Admin!B$16</f>
        <v>44286</v>
      </c>
      <c r="O2" s="140"/>
      <c r="Q2" s="128"/>
      <c r="AA2" s="128"/>
    </row>
    <row r="3" s="55" customFormat="true" ht="12.75" hidden="false" customHeight="false" outlineLevel="0" collapsed="false">
      <c r="A3" s="137"/>
      <c r="B3" s="142" t="str">
        <f aca="false">Admin!G$2</f>
        <v>2020-21</v>
      </c>
      <c r="C3" s="139"/>
      <c r="D3" s="139"/>
      <c r="E3" s="139"/>
      <c r="F3" s="139"/>
      <c r="G3" s="139"/>
      <c r="H3" s="139"/>
      <c r="I3" s="139"/>
      <c r="J3" s="139"/>
      <c r="K3" s="139"/>
      <c r="L3" s="139"/>
      <c r="M3" s="139"/>
      <c r="N3" s="139"/>
      <c r="O3" s="68"/>
      <c r="Q3" s="143"/>
      <c r="AA3" s="143"/>
    </row>
    <row r="4" s="147" customFormat="true" ht="13.5" hidden="false" customHeight="true" outlineLevel="0" collapsed="false">
      <c r="A4" s="144" t="str">
        <f aca="false">IF(B4=" "," ","Purchase analysis errors")</f>
        <v> </v>
      </c>
      <c r="B4" s="145" t="str">
        <f aca="false">IF((SUM(C4:N4)&gt;1),ROUND(SUM(C4:N4),0)," ")</f>
        <v> </v>
      </c>
      <c r="C4" s="145" t="str">
        <f aca="false">IF((PurchasesApr!$D$1&lt;&gt;0),PurchasesApr!$D$1," ")</f>
        <v> </v>
      </c>
      <c r="D4" s="145" t="str">
        <f aca="false">IF((PurchasesMay!$D$1&lt;&gt;0),PurchasesMay!$D$1," ")</f>
        <v> </v>
      </c>
      <c r="E4" s="145" t="str">
        <f aca="false">IF((PurchasesJun!$D$1&lt;&gt;0),PurchasesJun!$D$1," ")</f>
        <v> </v>
      </c>
      <c r="F4" s="145" t="str">
        <f aca="false">IF((PurchasesJul!$D$1&lt;&gt;0),PurchasesJul!$D$1," ")</f>
        <v> </v>
      </c>
      <c r="G4" s="145" t="str">
        <f aca="false">IF((PurchasesAug!$D$1&lt;&gt;0),PurchasesAug!$D$1," ")</f>
        <v> </v>
      </c>
      <c r="H4" s="145" t="str">
        <f aca="false">IF((PurchasesSep!$D$1&lt;&gt;0),PurchasesSep!$D$1," ")</f>
        <v> </v>
      </c>
      <c r="I4" s="145" t="str">
        <f aca="false">IF((PurchasesOct!$D$1&lt;&gt;0),PurchasesOct!$D$1," ")</f>
        <v> </v>
      </c>
      <c r="J4" s="145" t="str">
        <f aca="false">IF((PurchasesNov!$D$1&lt;&gt;0),PurchasesNov!$D$1," ")</f>
        <v> </v>
      </c>
      <c r="K4" s="145" t="str">
        <f aca="false">IF((PurchasesDec!$D$1&lt;&gt;0),PurchasesDec!$D$1," ")</f>
        <v> </v>
      </c>
      <c r="L4" s="145" t="str">
        <f aca="false">IF((PurchasesJan!$D$1&lt;&gt;0),PurchasesJan!$D$1," ")</f>
        <v> </v>
      </c>
      <c r="M4" s="145" t="str">
        <f aca="false">IF((PurchasesFeb!$D$1&lt;&gt;0),PurchasesFeb!$D$1," ")</f>
        <v> </v>
      </c>
      <c r="N4" s="145" t="str">
        <f aca="false">IF((PurchasesMar!$D$1&lt;&gt;0),PurchasesMar!$D$1," ")</f>
        <v> </v>
      </c>
      <c r="O4" s="146"/>
      <c r="Q4" s="128"/>
      <c r="AA4" s="128"/>
    </row>
    <row r="5" customFormat="false" ht="12.75" hidden="false" customHeight="false" outlineLevel="0" collapsed="false">
      <c r="A5" s="148" t="s">
        <v>110</v>
      </c>
      <c r="B5" s="149" t="n">
        <f aca="false">ROUNDDOWN(SUM(C5:N5),0)</f>
        <v>36000</v>
      </c>
      <c r="C5" s="150" t="n">
        <f aca="false">SalesApr!$E$1</f>
        <v>3000</v>
      </c>
      <c r="D5" s="150" t="n">
        <f aca="false">SalesMay!$E$1</f>
        <v>3000</v>
      </c>
      <c r="E5" s="150" t="n">
        <f aca="false">SalesJun!$E$1</f>
        <v>3000</v>
      </c>
      <c r="F5" s="151" t="n">
        <f aca="false">SalesJul!$E$1</f>
        <v>3000</v>
      </c>
      <c r="G5" s="150" t="n">
        <f aca="false">SalesAug!$E$1</f>
        <v>3000</v>
      </c>
      <c r="H5" s="150" t="n">
        <f aca="false">SalesSep!$E$1</f>
        <v>3000</v>
      </c>
      <c r="I5" s="151" t="n">
        <f aca="false">SalesOct!$E$1</f>
        <v>3000</v>
      </c>
      <c r="J5" s="150" t="n">
        <f aca="false">SalesNov!$E$1</f>
        <v>3000</v>
      </c>
      <c r="K5" s="150" t="n">
        <f aca="false">SalesDec!$E$1</f>
        <v>3000</v>
      </c>
      <c r="L5" s="151" t="n">
        <f aca="false">SalesJan!$E$1</f>
        <v>3000</v>
      </c>
      <c r="M5" s="150" t="n">
        <f aca="false">SalesFeb!$E$1</f>
        <v>3000</v>
      </c>
      <c r="N5" s="150" t="n">
        <f aca="false">SalesMar!$E$1</f>
        <v>3000</v>
      </c>
      <c r="O5" s="135"/>
    </row>
    <row r="6" customFormat="false" ht="12.75" hidden="false" customHeight="false" outlineLevel="0" collapsed="false">
      <c r="A6" s="144" t="s">
        <v>111</v>
      </c>
      <c r="B6" s="127" t="n">
        <f aca="false">ROUNDUP(SUM(C6:N6),0)</f>
        <v>3600</v>
      </c>
      <c r="C6" s="152" t="n">
        <f aca="false">IF((C1="mileage allowance"),0,(PurchasesApr!$G$1))</f>
        <v>300</v>
      </c>
      <c r="D6" s="127" t="n">
        <f aca="false">IF((C1="mileage allowance"),0,(PurchasesMay!$G$1))</f>
        <v>300</v>
      </c>
      <c r="E6" s="153" t="n">
        <f aca="false">IF((C1="mileage allowance"),0,(PurchasesJun!$G$1))</f>
        <v>300</v>
      </c>
      <c r="F6" s="127" t="n">
        <f aca="false">IF((C1="mileage allowance"),0,(PurchasesJul!$G$1))</f>
        <v>300</v>
      </c>
      <c r="G6" s="127" t="n">
        <f aca="false">IF((C1="mileage allowance"),0,(PurchasesAug!$G$1))</f>
        <v>300</v>
      </c>
      <c r="H6" s="153" t="n">
        <f aca="false">IF((C1="mileage allowance"),0,(PurchasesSep!$G$1))</f>
        <v>300</v>
      </c>
      <c r="I6" s="127" t="n">
        <f aca="false">IF((C1="mileage allowance"),0,(PurchasesOct!$G$1))</f>
        <v>300</v>
      </c>
      <c r="J6" s="127" t="n">
        <f aca="false">IF((C1="mileage allowance"),0,(PurchasesNov!$G$1))</f>
        <v>300</v>
      </c>
      <c r="K6" s="153" t="n">
        <f aca="false">IF((C1="mileage allowance"),0,(PurchasesDec!$G$1))</f>
        <v>300</v>
      </c>
      <c r="L6" s="127" t="n">
        <f aca="false">IF((C1="mileage allowance"),0,(PurchasesJan!$G$1))</f>
        <v>300</v>
      </c>
      <c r="M6" s="127" t="n">
        <f aca="false">IF((C1="mileage allowance"),0,(PurchasesFeb!$G$1))</f>
        <v>300</v>
      </c>
      <c r="N6" s="153" t="n">
        <f aca="false">IF((C1="mileage allowance"),0,(PurchasesMar!$G$1))</f>
        <v>300</v>
      </c>
      <c r="O6" s="135"/>
    </row>
    <row r="7" customFormat="false" ht="12.75" hidden="false" customHeight="false" outlineLevel="0" collapsed="false">
      <c r="A7" s="144" t="s">
        <v>112</v>
      </c>
      <c r="B7" s="127" t="n">
        <f aca="false">ROUNDUP(SUM(C7:N7),0)</f>
        <v>0</v>
      </c>
      <c r="C7" s="152" t="n">
        <f aca="false">IF((C1="mileage allowance"),0,(PurchasesApr!$H$1))</f>
        <v>0</v>
      </c>
      <c r="D7" s="127" t="n">
        <f aca="false">IF((C1="mileage allowance"),0,(PurchasesMay!$H$1))</f>
        <v>0</v>
      </c>
      <c r="E7" s="153" t="n">
        <f aca="false">IF((C1="mileage allowance"),0,(PurchasesJun!$H$1))</f>
        <v>0</v>
      </c>
      <c r="F7" s="127" t="n">
        <f aca="false">IF((C1="mileage allowance"),0,(PurchasesJul!$H$1))</f>
        <v>0</v>
      </c>
      <c r="G7" s="127" t="n">
        <f aca="false">IF((C1="mileage allowance"),0,(PurchasesAug!$H$1))</f>
        <v>0</v>
      </c>
      <c r="H7" s="153" t="n">
        <f aca="false">IF((C1="mileage allowance"),0,(PurchasesSep!$H$1))</f>
        <v>0</v>
      </c>
      <c r="I7" s="127" t="n">
        <f aca="false">IF((C1="mileage allowance"),0,(PurchasesOct!$H$1))</f>
        <v>0</v>
      </c>
      <c r="J7" s="127" t="n">
        <f aca="false">IF((C1="mileage allowance"),0,(PurchasesNov!$H$1))</f>
        <v>0</v>
      </c>
      <c r="K7" s="153" t="n">
        <f aca="false">IF((C1="mileage allowance"),0,(PurchasesDec!$H$1))</f>
        <v>0</v>
      </c>
      <c r="L7" s="127" t="n">
        <f aca="false">IF((C1="mileage allowance"),0,(PurchasesJan!$H$1))</f>
        <v>0</v>
      </c>
      <c r="M7" s="127" t="n">
        <f aca="false">IF((C1="mileage allowance"),0,(PurchasesFeb!$H$1))</f>
        <v>0</v>
      </c>
      <c r="N7" s="153" t="n">
        <f aca="false">IF((C1="mileage allowance"),0,(PurchasesMar!$H$1))</f>
        <v>0</v>
      </c>
      <c r="O7" s="135"/>
      <c r="Q7" s="154"/>
      <c r="AA7" s="154"/>
    </row>
    <row r="8" customFormat="false" ht="12.75" hidden="false" customHeight="false" outlineLevel="0" collapsed="false">
      <c r="A8" s="144" t="s">
        <v>113</v>
      </c>
      <c r="B8" s="127" t="n">
        <f aca="false">ROUNDUP(SUM(C8:N8),0)</f>
        <v>0</v>
      </c>
      <c r="C8" s="152" t="n">
        <f aca="false">IF((C1="mileage allowance"),0,(PurchasesApr!$I$1))</f>
        <v>0</v>
      </c>
      <c r="D8" s="127" t="n">
        <f aca="false">IF((C1="mileage allowance"),0,(PurchasesMay!$I$1))</f>
        <v>0</v>
      </c>
      <c r="E8" s="153" t="n">
        <f aca="false">IF((C1="mileage allowance"),0,(PurchasesJun!$I$1))</f>
        <v>0</v>
      </c>
      <c r="F8" s="127" t="n">
        <f aca="false">IF((C1="mileage allowance"),0,(PurchasesJul!$I$1))</f>
        <v>0</v>
      </c>
      <c r="G8" s="127" t="n">
        <f aca="false">IF((C1="mileage allowance"),0,(PurchasesAug!$I$1))</f>
        <v>0</v>
      </c>
      <c r="H8" s="153" t="n">
        <f aca="false">IF((C1="mileage allowance"),0,(PurchasesSep!$I$1))</f>
        <v>0</v>
      </c>
      <c r="I8" s="127" t="n">
        <f aca="false">IF((C1="mileage allowance"),0,(PurchasesOct!$I$1))</f>
        <v>0</v>
      </c>
      <c r="J8" s="127" t="n">
        <f aca="false">IF((C1="mileage allowance"),0,(PurchasesNov!$I$1))</f>
        <v>0</v>
      </c>
      <c r="K8" s="153" t="n">
        <f aca="false">IF((C1="mileage allowance"),0,(PurchasesDec!$I$1))</f>
        <v>0</v>
      </c>
      <c r="L8" s="127" t="n">
        <f aca="false">IF((C1="mileage allowance"),0,(PurchasesJan!$I$1))</f>
        <v>0</v>
      </c>
      <c r="M8" s="127" t="n">
        <f aca="false">IF((C1="mileage allowance"),0,(PurchasesFeb!$I$1))</f>
        <v>0</v>
      </c>
      <c r="N8" s="153" t="n">
        <f aca="false">IF((C1="mileage allowance"),0,(PurchasesMar!$I$1))</f>
        <v>0</v>
      </c>
      <c r="O8" s="135"/>
    </row>
    <row r="9" customFormat="false" ht="12.75" hidden="false" customHeight="false" outlineLevel="0" collapsed="false">
      <c r="A9" s="144" t="s">
        <v>114</v>
      </c>
      <c r="B9" s="127" t="n">
        <f aca="false">ROUNDUP(SUM(C9:N9),0)</f>
        <v>1380</v>
      </c>
      <c r="C9" s="152" t="n">
        <f aca="false">IF((C1="mileage allowance"),0,(PurchasesApr!$J$1))</f>
        <v>1380</v>
      </c>
      <c r="D9" s="127" t="n">
        <f aca="false">IF((C1="mileage allowance"),0,(PurchasesMay!$J$1))</f>
        <v>0</v>
      </c>
      <c r="E9" s="153" t="n">
        <f aca="false">IF((C1="mileage allowance"),0,(PurchasesJun!$J$1))</f>
        <v>0</v>
      </c>
      <c r="F9" s="127" t="n">
        <f aca="false">IF((C1="mileage allowance"),0,(PurchasesJul!$J$1))</f>
        <v>0</v>
      </c>
      <c r="G9" s="127" t="n">
        <f aca="false">IF((C1="mileage allowance"),0,(PurchasesAug!$J$1))</f>
        <v>0</v>
      </c>
      <c r="H9" s="153" t="n">
        <f aca="false">IF((C1="mileage allowance"),0,(PurchasesSep!$J$1))</f>
        <v>0</v>
      </c>
      <c r="I9" s="127" t="n">
        <f aca="false">IF((C1="mileage allowance"),0,(PurchasesOct!$J$1))</f>
        <v>0</v>
      </c>
      <c r="J9" s="127" t="n">
        <f aca="false">IF((C1="mileage allowance"),0,(PurchasesNov!$J$1))</f>
        <v>0</v>
      </c>
      <c r="K9" s="153" t="n">
        <f aca="false">IF((C1="mileage allowance"),0,(PurchasesDec!$J$1))</f>
        <v>0</v>
      </c>
      <c r="L9" s="127" t="n">
        <f aca="false">IF((C1="mileage allowance"),0,(PurchasesJan!$J$1))</f>
        <v>0</v>
      </c>
      <c r="M9" s="127" t="n">
        <f aca="false">IF((C1="mileage allowance"),0,(PurchasesFeb!$J$1))</f>
        <v>0</v>
      </c>
      <c r="N9" s="153" t="n">
        <f aca="false">IF((C1="mileage allowance"),0,(PurchasesMar!$J$1))</f>
        <v>0</v>
      </c>
      <c r="O9" s="135"/>
    </row>
    <row r="10" customFormat="false" ht="12.75" hidden="false" customHeight="false" outlineLevel="0" collapsed="false">
      <c r="A10" s="155" t="s">
        <v>115</v>
      </c>
      <c r="B10" s="127" t="n">
        <f aca="false">IF((C1="mileage allowance"),0,('Fixed Assets'!I1+'Fixed Assets'!J1+'Fixed Assets'!P1-'Fixed Assets'!Q1))</f>
        <v>0</v>
      </c>
      <c r="C10" s="152" t="n">
        <f aca="false">B10/12</f>
        <v>0</v>
      </c>
      <c r="D10" s="127" t="n">
        <f aca="false">B10/12</f>
        <v>0</v>
      </c>
      <c r="E10" s="153" t="n">
        <f aca="false">B10/12</f>
        <v>0</v>
      </c>
      <c r="F10" s="127" t="n">
        <f aca="false">B10/12</f>
        <v>0</v>
      </c>
      <c r="G10" s="127" t="n">
        <f aca="false">B10/12</f>
        <v>0</v>
      </c>
      <c r="H10" s="153" t="n">
        <f aca="false">B10/12</f>
        <v>0</v>
      </c>
      <c r="I10" s="127" t="n">
        <f aca="false">B10/12</f>
        <v>0</v>
      </c>
      <c r="J10" s="127" t="n">
        <f aca="false">B10/12</f>
        <v>0</v>
      </c>
      <c r="K10" s="153" t="n">
        <f aca="false">B10/12</f>
        <v>0</v>
      </c>
      <c r="L10" s="127" t="n">
        <f aca="false">B10/12</f>
        <v>0</v>
      </c>
      <c r="M10" s="127" t="n">
        <f aca="false">B10/12</f>
        <v>0</v>
      </c>
      <c r="N10" s="153" t="n">
        <f aca="false">B10/12</f>
        <v>0</v>
      </c>
      <c r="O10" s="135"/>
    </row>
    <row r="11" customFormat="false" ht="12.75" hidden="false" customHeight="false" outlineLevel="0" collapsed="false">
      <c r="A11" s="144" t="s">
        <v>116</v>
      </c>
      <c r="B11" s="156" t="n">
        <f aca="false">ROUNDUP(SUM(C11:N11),0)</f>
        <v>0</v>
      </c>
      <c r="C11" s="157" t="n">
        <f aca="false">IF((C1="mileage allowance"),(PurchasesApr!$U$1),0)</f>
        <v>0</v>
      </c>
      <c r="D11" s="156" t="n">
        <f aca="false">IF((C1="mileage allowance"),(PurchasesMay!$U$1),0)</f>
        <v>0</v>
      </c>
      <c r="E11" s="158" t="n">
        <f aca="false">IF((C1="mileage allowance"),(PurchasesJun!$U$1),0)</f>
        <v>0</v>
      </c>
      <c r="F11" s="156" t="n">
        <f aca="false">IF((C1="mileage allowance"),(PurchasesJul!$U$1),0)</f>
        <v>0</v>
      </c>
      <c r="G11" s="156" t="n">
        <f aca="false">IF((C1="mileage allowance"),(PurchasesAug!$U$1),0)</f>
        <v>0</v>
      </c>
      <c r="H11" s="158" t="n">
        <f aca="false">IF((C1="mileage allowance"),(PurchasesSep!$U$1),0)</f>
        <v>0</v>
      </c>
      <c r="I11" s="156" t="n">
        <f aca="false">IF((C1="mileage allowance"),(PurchasesOct!$U$1),0)</f>
        <v>0</v>
      </c>
      <c r="J11" s="156" t="n">
        <f aca="false">IF((C1="mileage allowance"),(PurchasesNov!$U$1),0)</f>
        <v>0</v>
      </c>
      <c r="K11" s="158" t="n">
        <f aca="false">IF((C1="mileage allowance"),(PurchasesDec!$U$1),0)</f>
        <v>0</v>
      </c>
      <c r="L11" s="156" t="n">
        <f aca="false">IF((C1="mileage allowance"),(PurchasesJan!$U$1),0)</f>
        <v>0</v>
      </c>
      <c r="M11" s="156" t="n">
        <f aca="false">IF((C1="mileage allowance"),(PurchasesFeb!$U$1),0)</f>
        <v>0</v>
      </c>
      <c r="N11" s="158" t="n">
        <f aca="false">IF((C1="mileage allowance"),(PurchasesMar!$U$1),0)</f>
        <v>0</v>
      </c>
      <c r="O11" s="135"/>
    </row>
    <row r="12" customFormat="false" ht="12.75" hidden="false" customHeight="false" outlineLevel="0" collapsed="false">
      <c r="A12" s="159" t="s">
        <v>117</v>
      </c>
      <c r="B12" s="149" t="n">
        <f aca="false">ROUNDUP(SUM(B6:B11),0)</f>
        <v>4980</v>
      </c>
      <c r="C12" s="150" t="n">
        <f aca="false">SUM(C6:C11)</f>
        <v>1680</v>
      </c>
      <c r="D12" s="150" t="n">
        <f aca="false">SUM(D6:D11)</f>
        <v>300</v>
      </c>
      <c r="E12" s="150" t="n">
        <f aca="false">SUM(E6:E11)</f>
        <v>300</v>
      </c>
      <c r="F12" s="151" t="n">
        <f aca="false">SUM(F6:F11)</f>
        <v>300</v>
      </c>
      <c r="G12" s="150" t="n">
        <f aca="false">SUM(G6:G11)</f>
        <v>300</v>
      </c>
      <c r="H12" s="150" t="n">
        <f aca="false">SUM(H6:H11)</f>
        <v>300</v>
      </c>
      <c r="I12" s="151" t="n">
        <f aca="false">SUM(I6:I11)</f>
        <v>300</v>
      </c>
      <c r="J12" s="150" t="n">
        <f aca="false">SUM(J6:J11)</f>
        <v>300</v>
      </c>
      <c r="K12" s="150" t="n">
        <f aca="false">SUM(K6:K11)</f>
        <v>300</v>
      </c>
      <c r="L12" s="151" t="n">
        <f aca="false">SUM(L6:L11)</f>
        <v>300</v>
      </c>
      <c r="M12" s="150" t="n">
        <f aca="false">SUM(M6:M11)</f>
        <v>300</v>
      </c>
      <c r="N12" s="150" t="n">
        <f aca="false">SUM(N6:N11)</f>
        <v>300</v>
      </c>
      <c r="O12" s="135"/>
    </row>
    <row r="13" customFormat="false" ht="12.75" hidden="false" customHeight="false" outlineLevel="0" collapsed="false">
      <c r="A13" s="159" t="s">
        <v>118</v>
      </c>
      <c r="B13" s="149" t="n">
        <f aca="false">ROUNDUP(B5-B12,0)</f>
        <v>31020</v>
      </c>
      <c r="C13" s="150" t="n">
        <f aca="false">C5-C12</f>
        <v>1320</v>
      </c>
      <c r="D13" s="150" t="n">
        <f aca="false">D5-D12</f>
        <v>2700</v>
      </c>
      <c r="E13" s="150" t="n">
        <f aca="false">E5-E12</f>
        <v>2700</v>
      </c>
      <c r="F13" s="151" t="n">
        <f aca="false">F5-F12</f>
        <v>2700</v>
      </c>
      <c r="G13" s="150" t="n">
        <f aca="false">G5-G12</f>
        <v>2700</v>
      </c>
      <c r="H13" s="150" t="n">
        <f aca="false">H5-H12</f>
        <v>2700</v>
      </c>
      <c r="I13" s="151" t="n">
        <f aca="false">I5-I12</f>
        <v>2700</v>
      </c>
      <c r="J13" s="150" t="n">
        <f aca="false">J5-J12</f>
        <v>2700</v>
      </c>
      <c r="K13" s="150" t="n">
        <f aca="false">K5-K12</f>
        <v>2700</v>
      </c>
      <c r="L13" s="151" t="n">
        <f aca="false">L5-L12</f>
        <v>2700</v>
      </c>
      <c r="M13" s="150" t="n">
        <f aca="false">M5-M12</f>
        <v>2700</v>
      </c>
      <c r="N13" s="150" t="n">
        <f aca="false">N5-N12</f>
        <v>2700</v>
      </c>
      <c r="O13" s="135"/>
    </row>
    <row r="14" customFormat="false" ht="12.75" hidden="false" customHeight="false" outlineLevel="0" collapsed="false">
      <c r="A14" s="144" t="s">
        <v>119</v>
      </c>
      <c r="B14" s="127" t="n">
        <f aca="false">ROUNDUP(SUM(C14:N14),0)</f>
        <v>0</v>
      </c>
      <c r="C14" s="152" t="n">
        <f aca="false">PurchasesApr!$K$1</f>
        <v>0</v>
      </c>
      <c r="D14" s="127" t="n">
        <f aca="false">PurchasesMay!$K$1</f>
        <v>0</v>
      </c>
      <c r="E14" s="153" t="n">
        <f aca="false">PurchasesJun!$K$1</f>
        <v>0</v>
      </c>
      <c r="F14" s="127" t="n">
        <f aca="false">PurchasesJul!$K$1</f>
        <v>0</v>
      </c>
      <c r="G14" s="127" t="n">
        <f aca="false">PurchasesAug!$K$1</f>
        <v>0</v>
      </c>
      <c r="H14" s="153" t="n">
        <f aca="false">PurchasesSep!$K$1</f>
        <v>0</v>
      </c>
      <c r="I14" s="127" t="n">
        <f aca="false">PurchasesOct!$K$1</f>
        <v>0</v>
      </c>
      <c r="J14" s="127" t="n">
        <f aca="false">PurchasesNov!$K$1</f>
        <v>0</v>
      </c>
      <c r="K14" s="153" t="n">
        <f aca="false">PurchasesDec!$K$1</f>
        <v>0</v>
      </c>
      <c r="L14" s="127" t="n">
        <f aca="false">PurchasesJan!$K$1</f>
        <v>0</v>
      </c>
      <c r="M14" s="127" t="n">
        <f aca="false">PurchasesFeb!$K$1</f>
        <v>0</v>
      </c>
      <c r="N14" s="153" t="n">
        <f aca="false">PurchasesMar!$K$1</f>
        <v>0</v>
      </c>
      <c r="O14" s="135"/>
    </row>
    <row r="15" customFormat="false" ht="12.75" hidden="false" customHeight="false" outlineLevel="0" collapsed="false">
      <c r="A15" s="144" t="s">
        <v>120</v>
      </c>
      <c r="B15" s="127" t="n">
        <f aca="false">ROUNDUP(SUM(C15:N15),0)</f>
        <v>0</v>
      </c>
      <c r="C15" s="152" t="n">
        <f aca="false">PurchasesApr!$L$1</f>
        <v>0</v>
      </c>
      <c r="D15" s="127" t="n">
        <f aca="false">PurchasesMay!$L$1</f>
        <v>0</v>
      </c>
      <c r="E15" s="153" t="n">
        <f aca="false">PurchasesJun!$L$1</f>
        <v>0</v>
      </c>
      <c r="F15" s="127" t="n">
        <f aca="false">PurchasesJul!$L$1</f>
        <v>0</v>
      </c>
      <c r="G15" s="127" t="n">
        <f aca="false">PurchasesAug!$L$1</f>
        <v>0</v>
      </c>
      <c r="H15" s="153" t="n">
        <f aca="false">PurchasesSep!$L$1</f>
        <v>0</v>
      </c>
      <c r="I15" s="127" t="n">
        <f aca="false">PurchasesOct!$L$1</f>
        <v>0</v>
      </c>
      <c r="J15" s="127" t="n">
        <f aca="false">PurchasesNov!$L$1</f>
        <v>0</v>
      </c>
      <c r="K15" s="153" t="n">
        <f aca="false">PurchasesDec!$L$1</f>
        <v>0</v>
      </c>
      <c r="L15" s="127" t="n">
        <f aca="false">PurchasesJan!$L$1</f>
        <v>0</v>
      </c>
      <c r="M15" s="127" t="n">
        <f aca="false">PurchasesFeb!$L$1</f>
        <v>0</v>
      </c>
      <c r="N15" s="153" t="n">
        <f aca="false">PurchasesMar!$L$1</f>
        <v>0</v>
      </c>
      <c r="O15" s="135"/>
    </row>
    <row r="16" customFormat="false" ht="12.75" hidden="false" customHeight="false" outlineLevel="0" collapsed="false">
      <c r="A16" s="144" t="s">
        <v>121</v>
      </c>
      <c r="B16" s="127" t="n">
        <f aca="false">ROUNDUP(SUM(C16:N16),0)</f>
        <v>480</v>
      </c>
      <c r="C16" s="152" t="n">
        <f aca="false">PurchasesApr!$M$1</f>
        <v>120</v>
      </c>
      <c r="D16" s="127" t="n">
        <f aca="false">PurchasesMay!$M$1</f>
        <v>0</v>
      </c>
      <c r="E16" s="153" t="n">
        <f aca="false">PurchasesJun!$M$1</f>
        <v>0</v>
      </c>
      <c r="F16" s="127" t="n">
        <f aca="false">PurchasesJul!$M$1</f>
        <v>120</v>
      </c>
      <c r="G16" s="127" t="n">
        <f aca="false">PurchasesAug!$M$1</f>
        <v>0</v>
      </c>
      <c r="H16" s="153" t="n">
        <f aca="false">PurchasesSep!$M$1</f>
        <v>0</v>
      </c>
      <c r="I16" s="127" t="n">
        <f aca="false">PurchasesOct!$M$1</f>
        <v>120</v>
      </c>
      <c r="J16" s="127" t="n">
        <f aca="false">PurchasesNov!$M$1</f>
        <v>0</v>
      </c>
      <c r="K16" s="153" t="n">
        <f aca="false">PurchasesDec!$M$1</f>
        <v>0</v>
      </c>
      <c r="L16" s="127" t="n">
        <f aca="false">PurchasesJan!$M$1</f>
        <v>120</v>
      </c>
      <c r="M16" s="127" t="n">
        <f aca="false">PurchasesFeb!$M$1</f>
        <v>0</v>
      </c>
      <c r="N16" s="153" t="n">
        <f aca="false">PurchasesMar!$M$1</f>
        <v>0</v>
      </c>
      <c r="O16" s="135"/>
    </row>
    <row r="17" customFormat="false" ht="12.75" hidden="false" customHeight="false" outlineLevel="0" collapsed="false">
      <c r="A17" s="144" t="s">
        <v>122</v>
      </c>
      <c r="B17" s="127" t="n">
        <f aca="false">ROUNDUP(SUM(C17:N17),0)</f>
        <v>0</v>
      </c>
      <c r="C17" s="152" t="n">
        <f aca="false">PurchasesApr!$N$1</f>
        <v>0</v>
      </c>
      <c r="D17" s="127" t="n">
        <f aca="false">PurchasesMay!$N$1</f>
        <v>0</v>
      </c>
      <c r="E17" s="153" t="n">
        <f aca="false">PurchasesJun!$N$1</f>
        <v>0</v>
      </c>
      <c r="F17" s="127" t="n">
        <f aca="false">PurchasesJul!$N$1</f>
        <v>0</v>
      </c>
      <c r="G17" s="127" t="n">
        <f aca="false">PurchasesAug!$N$1</f>
        <v>0</v>
      </c>
      <c r="H17" s="153" t="n">
        <f aca="false">PurchasesSep!$N$1</f>
        <v>0</v>
      </c>
      <c r="I17" s="127" t="n">
        <f aca="false">PurchasesOct!$N$1</f>
        <v>0</v>
      </c>
      <c r="J17" s="127" t="n">
        <f aca="false">PurchasesNov!$N$1</f>
        <v>0</v>
      </c>
      <c r="K17" s="153" t="n">
        <f aca="false">PurchasesDec!$N$1</f>
        <v>0</v>
      </c>
      <c r="L17" s="127" t="n">
        <f aca="false">PurchasesJan!$N$1</f>
        <v>0</v>
      </c>
      <c r="M17" s="127" t="n">
        <f aca="false">PurchasesFeb!$N$1</f>
        <v>0</v>
      </c>
      <c r="N17" s="153" t="n">
        <f aca="false">PurchasesMar!$N$1</f>
        <v>0</v>
      </c>
      <c r="O17" s="135"/>
    </row>
    <row r="18" customFormat="false" ht="12.75" hidden="false" customHeight="false" outlineLevel="0" collapsed="false">
      <c r="A18" s="144" t="s">
        <v>123</v>
      </c>
      <c r="B18" s="127" t="n">
        <f aca="false">ROUNDUP(SUM(C18:N18),0)</f>
        <v>900</v>
      </c>
      <c r="C18" s="152" t="n">
        <f aca="false">PurchasesApr!$O$1</f>
        <v>400</v>
      </c>
      <c r="D18" s="127" t="n">
        <f aca="false">PurchasesMay!$O$1</f>
        <v>0</v>
      </c>
      <c r="E18" s="153" t="n">
        <f aca="false">PurchasesJun!$O$1</f>
        <v>0</v>
      </c>
      <c r="F18" s="127" t="n">
        <f aca="false">PurchasesJul!$O$1</f>
        <v>0</v>
      </c>
      <c r="G18" s="127" t="n">
        <f aca="false">PurchasesAug!$O$1</f>
        <v>0</v>
      </c>
      <c r="H18" s="153" t="n">
        <f aca="false">PurchasesSep!$O$1</f>
        <v>0</v>
      </c>
      <c r="I18" s="127" t="n">
        <f aca="false">PurchasesOct!$O$1</f>
        <v>0</v>
      </c>
      <c r="J18" s="127" t="n">
        <f aca="false">PurchasesNov!$O$1</f>
        <v>0</v>
      </c>
      <c r="K18" s="153" t="n">
        <f aca="false">PurchasesDec!$O$1</f>
        <v>0</v>
      </c>
      <c r="L18" s="127" t="n">
        <f aca="false">PurchasesJan!$O$1</f>
        <v>500</v>
      </c>
      <c r="M18" s="127" t="n">
        <f aca="false">PurchasesFeb!$O$1</f>
        <v>0</v>
      </c>
      <c r="N18" s="153" t="n">
        <f aca="false">PurchasesMar!$O$1</f>
        <v>0</v>
      </c>
      <c r="O18" s="135"/>
    </row>
    <row r="19" customFormat="false" ht="12.75" hidden="false" customHeight="false" outlineLevel="0" collapsed="false">
      <c r="A19" s="144" t="s">
        <v>124</v>
      </c>
      <c r="B19" s="127" t="n">
        <f aca="false">ROUNDUP(SUM(C19:N19),0)</f>
        <v>0</v>
      </c>
      <c r="C19" s="152" t="n">
        <f aca="false">PurchasesApr!$P$1</f>
        <v>0</v>
      </c>
      <c r="D19" s="127" t="n">
        <f aca="false">PurchasesMay!$P$1</f>
        <v>0</v>
      </c>
      <c r="E19" s="153" t="n">
        <f aca="false">PurchasesJun!$P$1</f>
        <v>0</v>
      </c>
      <c r="F19" s="127" t="n">
        <f aca="false">PurchasesJul!$P$1</f>
        <v>0</v>
      </c>
      <c r="G19" s="127" t="n">
        <f aca="false">PurchasesAug!$P$1</f>
        <v>0</v>
      </c>
      <c r="H19" s="153" t="n">
        <f aca="false">PurchasesSep!$P$1</f>
        <v>0</v>
      </c>
      <c r="I19" s="127" t="n">
        <f aca="false">PurchasesOct!$P$1</f>
        <v>0</v>
      </c>
      <c r="J19" s="127" t="n">
        <f aca="false">PurchasesNov!$P$1</f>
        <v>0</v>
      </c>
      <c r="K19" s="153" t="n">
        <f aca="false">PurchasesDec!$P$1</f>
        <v>0</v>
      </c>
      <c r="L19" s="127" t="n">
        <f aca="false">PurchasesJan!$P$1</f>
        <v>0</v>
      </c>
      <c r="M19" s="127" t="n">
        <f aca="false">PurchasesFeb!$P$1</f>
        <v>0</v>
      </c>
      <c r="N19" s="153" t="n">
        <f aca="false">PurchasesMar!$P$1</f>
        <v>0</v>
      </c>
      <c r="O19" s="135"/>
    </row>
    <row r="20" customFormat="false" ht="12.75" hidden="false" customHeight="false" outlineLevel="0" collapsed="false">
      <c r="A20" s="144" t="s">
        <v>125</v>
      </c>
      <c r="B20" s="127" t="n">
        <f aca="false">ROUNDUP(SUM(C20:N20),0)</f>
        <v>0</v>
      </c>
      <c r="C20" s="152" t="n">
        <f aca="false">PurchasesApr!$Q$1</f>
        <v>0</v>
      </c>
      <c r="D20" s="127" t="n">
        <f aca="false">PurchasesMay!$Q$1</f>
        <v>0</v>
      </c>
      <c r="E20" s="153" t="n">
        <f aca="false">PurchasesJun!$Q$1</f>
        <v>0</v>
      </c>
      <c r="F20" s="127" t="n">
        <f aca="false">PurchasesJul!$Q$1</f>
        <v>0</v>
      </c>
      <c r="G20" s="127" t="n">
        <f aca="false">PurchasesAug!$Q$1</f>
        <v>0</v>
      </c>
      <c r="H20" s="153" t="n">
        <f aca="false">PurchasesSep!$Q$1</f>
        <v>0</v>
      </c>
      <c r="I20" s="127" t="n">
        <f aca="false">PurchasesOct!$Q$1</f>
        <v>0</v>
      </c>
      <c r="J20" s="127" t="n">
        <f aca="false">PurchasesNov!$Q$1</f>
        <v>0</v>
      </c>
      <c r="K20" s="153" t="n">
        <f aca="false">PurchasesDec!$Q$1</f>
        <v>0</v>
      </c>
      <c r="L20" s="127" t="n">
        <f aca="false">PurchasesJan!$Q$1</f>
        <v>0</v>
      </c>
      <c r="M20" s="127" t="n">
        <f aca="false">PurchasesFeb!$Q$1</f>
        <v>0</v>
      </c>
      <c r="N20" s="153" t="n">
        <f aca="false">PurchasesMar!$Q$1</f>
        <v>0</v>
      </c>
      <c r="O20" s="135"/>
    </row>
    <row r="21" customFormat="false" ht="12.75" hidden="false" customHeight="false" outlineLevel="0" collapsed="false">
      <c r="A21" s="144" t="s">
        <v>126</v>
      </c>
      <c r="B21" s="127" t="n">
        <f aca="false">ROUNDUP(SUM(C21:N21),0)</f>
        <v>0</v>
      </c>
      <c r="C21" s="152" t="n">
        <f aca="false">PurchasesApr!$R$1</f>
        <v>0</v>
      </c>
      <c r="D21" s="127" t="n">
        <f aca="false">PurchasesMay!$R$1</f>
        <v>0</v>
      </c>
      <c r="E21" s="153" t="n">
        <f aca="false">PurchasesJun!$R$1</f>
        <v>0</v>
      </c>
      <c r="F21" s="127" t="n">
        <f aca="false">PurchasesJul!$R$1</f>
        <v>0</v>
      </c>
      <c r="G21" s="127" t="n">
        <f aca="false">PurchasesAug!$R$1</f>
        <v>0</v>
      </c>
      <c r="H21" s="153" t="n">
        <f aca="false">PurchasesSep!$R$1</f>
        <v>0</v>
      </c>
      <c r="I21" s="127" t="n">
        <f aca="false">PurchasesOct!$R$1</f>
        <v>0</v>
      </c>
      <c r="J21" s="127" t="n">
        <f aca="false">PurchasesNov!$R$1</f>
        <v>0</v>
      </c>
      <c r="K21" s="153" t="n">
        <f aca="false">PurchasesDec!$R$1</f>
        <v>0</v>
      </c>
      <c r="L21" s="127" t="n">
        <f aca="false">PurchasesJan!$R$1</f>
        <v>0</v>
      </c>
      <c r="M21" s="127" t="n">
        <f aca="false">PurchasesFeb!$R$1</f>
        <v>0</v>
      </c>
      <c r="N21" s="153" t="n">
        <f aca="false">PurchasesMar!$R$1</f>
        <v>0</v>
      </c>
      <c r="O21" s="135"/>
    </row>
    <row r="22" customFormat="false" ht="12.75" hidden="false" customHeight="false" outlineLevel="0" collapsed="false">
      <c r="A22" s="159" t="s">
        <v>127</v>
      </c>
      <c r="B22" s="149" t="n">
        <f aca="false">ROUNDUP(SUM(B14:B21),0)</f>
        <v>1380</v>
      </c>
      <c r="C22" s="150" t="n">
        <f aca="false">SUM(C14:C21)</f>
        <v>520</v>
      </c>
      <c r="D22" s="150" t="n">
        <f aca="false">SUM(D14:D21)</f>
        <v>0</v>
      </c>
      <c r="E22" s="150" t="n">
        <f aca="false">SUM(E14:E21)</f>
        <v>0</v>
      </c>
      <c r="F22" s="151" t="n">
        <f aca="false">SUM(F14:F21)</f>
        <v>120</v>
      </c>
      <c r="G22" s="150" t="n">
        <f aca="false">SUM(G14:G21)</f>
        <v>0</v>
      </c>
      <c r="H22" s="150" t="n">
        <f aca="false">SUM(H14:H21)</f>
        <v>0</v>
      </c>
      <c r="I22" s="151" t="n">
        <f aca="false">SUM(I14:I21)</f>
        <v>120</v>
      </c>
      <c r="J22" s="150" t="n">
        <f aca="false">SUM(J14:J21)</f>
        <v>0</v>
      </c>
      <c r="K22" s="150" t="n">
        <f aca="false">SUM(K14:K21)</f>
        <v>0</v>
      </c>
      <c r="L22" s="151" t="n">
        <f aca="false">SUM(L14:L21)</f>
        <v>620</v>
      </c>
      <c r="M22" s="150" t="n">
        <f aca="false">SUM(M14:M21)</f>
        <v>0</v>
      </c>
      <c r="N22" s="150" t="n">
        <f aca="false">SUM(N14:N21)</f>
        <v>0</v>
      </c>
      <c r="O22" s="135"/>
    </row>
    <row r="23" customFormat="false" ht="12.75" hidden="false" customHeight="false" outlineLevel="0" collapsed="false">
      <c r="A23" s="159" t="s">
        <v>128</v>
      </c>
      <c r="B23" s="149" t="n">
        <f aca="false">ROUNDDOWN((B13-B22),0)</f>
        <v>29640</v>
      </c>
      <c r="C23" s="150" t="n">
        <f aca="false">C13-C22</f>
        <v>800</v>
      </c>
      <c r="D23" s="150" t="n">
        <f aca="false">D13-D22</f>
        <v>2700</v>
      </c>
      <c r="E23" s="150" t="n">
        <f aca="false">E13-E22</f>
        <v>2700</v>
      </c>
      <c r="F23" s="151" t="n">
        <f aca="false">F13-F22</f>
        <v>2580</v>
      </c>
      <c r="G23" s="150" t="n">
        <f aca="false">G13-G22</f>
        <v>2700</v>
      </c>
      <c r="H23" s="150" t="n">
        <f aca="false">H13-H22</f>
        <v>2700</v>
      </c>
      <c r="I23" s="151" t="n">
        <f aca="false">I13-I22</f>
        <v>2580</v>
      </c>
      <c r="J23" s="150" t="n">
        <f aca="false">J13-J22</f>
        <v>2700</v>
      </c>
      <c r="K23" s="150" t="n">
        <f aca="false">K13-K22</f>
        <v>2700</v>
      </c>
      <c r="L23" s="151" t="n">
        <f aca="false">L13-L22</f>
        <v>2080</v>
      </c>
      <c r="M23" s="150" t="n">
        <f aca="false">M13-M22</f>
        <v>2700</v>
      </c>
      <c r="N23" s="150" t="n">
        <f aca="false">N13-N22</f>
        <v>2700</v>
      </c>
      <c r="O23" s="135"/>
    </row>
    <row r="24" customFormat="false" ht="12.75" hidden="false" customHeight="false" outlineLevel="0" collapsed="false">
      <c r="A24" s="160" t="s">
        <v>129</v>
      </c>
      <c r="B24" s="157" t="n">
        <f aca="false">ROUNDDOWN(SUM(C24:N24),0)</f>
        <v>0</v>
      </c>
      <c r="C24" s="161" t="n">
        <f aca="false">SalesApr!$F$1</f>
        <v>0</v>
      </c>
      <c r="D24" s="161" t="n">
        <f aca="false">SalesMay!$F$1</f>
        <v>0</v>
      </c>
      <c r="E24" s="161" t="n">
        <f aca="false">SalesJun!$F$1</f>
        <v>0</v>
      </c>
      <c r="F24" s="158" t="n">
        <f aca="false">SalesJul!$F$1</f>
        <v>0</v>
      </c>
      <c r="G24" s="161" t="n">
        <f aca="false">SalesAug!$F$1</f>
        <v>0</v>
      </c>
      <c r="H24" s="161" t="n">
        <f aca="false">SalesSep!$F$1</f>
        <v>0</v>
      </c>
      <c r="I24" s="158" t="n">
        <f aca="false">SalesOct!$F$1</f>
        <v>0</v>
      </c>
      <c r="J24" s="161" t="n">
        <f aca="false">SalesNov!$F$1</f>
        <v>0</v>
      </c>
      <c r="K24" s="161" t="n">
        <f aca="false">SalesDec!$F$1</f>
        <v>0</v>
      </c>
      <c r="L24" s="158" t="n">
        <f aca="false">SalesJan!$F$1</f>
        <v>0</v>
      </c>
      <c r="M24" s="161" t="n">
        <f aca="false">SalesFeb!$F$1</f>
        <v>0</v>
      </c>
      <c r="N24" s="161" t="n">
        <f aca="false">SalesMar!$F$1</f>
        <v>0</v>
      </c>
      <c r="O24" s="135"/>
    </row>
    <row r="25" s="165" customFormat="true" ht="12.75" hidden="false" customHeight="true" outlineLevel="0" collapsed="false">
      <c r="A25" s="162"/>
      <c r="B25" s="163"/>
      <c r="C25" s="163"/>
      <c r="D25" s="163"/>
      <c r="E25" s="163"/>
      <c r="F25" s="163"/>
      <c r="G25" s="163"/>
      <c r="H25" s="163"/>
      <c r="I25" s="163"/>
      <c r="J25" s="163"/>
      <c r="K25" s="163"/>
      <c r="L25" s="163"/>
      <c r="M25" s="163"/>
      <c r="N25" s="163"/>
      <c r="O25" s="164"/>
      <c r="Q25" s="128"/>
      <c r="AA25" s="128"/>
    </row>
    <row r="26" s="165" customFormat="true" ht="12.75" hidden="false" customHeight="false" outlineLevel="0" collapsed="false">
      <c r="A26" s="166" t="s">
        <v>130</v>
      </c>
      <c r="B26" s="167"/>
      <c r="C26" s="168"/>
      <c r="D26" s="168"/>
      <c r="E26" s="168"/>
      <c r="F26" s="168"/>
      <c r="G26" s="168"/>
      <c r="H26" s="168"/>
      <c r="I26" s="168"/>
      <c r="J26" s="168"/>
      <c r="K26" s="168"/>
      <c r="L26" s="168"/>
      <c r="M26" s="168"/>
      <c r="N26" s="168"/>
      <c r="O26" s="169"/>
      <c r="Q26" s="128"/>
      <c r="AA26" s="128"/>
    </row>
    <row r="27" s="165" customFormat="true" ht="12.75" hidden="false" customHeight="false" outlineLevel="0" collapsed="false">
      <c r="A27" s="170" t="s">
        <v>131</v>
      </c>
      <c r="B27" s="171" t="n">
        <f aca="false">SUM(C27:N27)</f>
        <v>29640</v>
      </c>
      <c r="C27" s="172" t="n">
        <f aca="false">'Wages Forecast'!D30</f>
        <v>800</v>
      </c>
      <c r="D27" s="172" t="n">
        <f aca="false">'Wages Forecast'!E30</f>
        <v>2700</v>
      </c>
      <c r="E27" s="172" t="n">
        <f aca="false">'Wages Forecast'!F30</f>
        <v>2700</v>
      </c>
      <c r="F27" s="172" t="n">
        <f aca="false">'Wages Forecast'!G30</f>
        <v>2580</v>
      </c>
      <c r="G27" s="172" t="n">
        <f aca="false">'Wages Forecast'!H30</f>
        <v>2700</v>
      </c>
      <c r="H27" s="172" t="n">
        <f aca="false">'Wages Forecast'!I30</f>
        <v>2700</v>
      </c>
      <c r="I27" s="172" t="n">
        <f aca="false">'Wages Forecast'!J30</f>
        <v>2580</v>
      </c>
      <c r="J27" s="172" t="n">
        <f aca="false">'Wages Forecast'!K30</f>
        <v>2700</v>
      </c>
      <c r="K27" s="172" t="n">
        <f aca="false">'Wages Forecast'!L30</f>
        <v>2700</v>
      </c>
      <c r="L27" s="172" t="n">
        <f aca="false">'Wages Forecast'!M30</f>
        <v>2080</v>
      </c>
      <c r="M27" s="172" t="n">
        <f aca="false">'Wages Forecast'!N30</f>
        <v>2700</v>
      </c>
      <c r="N27" s="172" t="n">
        <f aca="false">'Wages Forecast'!O30</f>
        <v>2700</v>
      </c>
      <c r="O27" s="173"/>
      <c r="Q27" s="128"/>
      <c r="AA27" s="128"/>
    </row>
    <row r="28" s="165" customFormat="true" ht="12.75" hidden="false" customHeight="false" outlineLevel="0" collapsed="false">
      <c r="A28" s="174" t="s">
        <v>132</v>
      </c>
      <c r="B28" s="175" t="n">
        <f aca="false">SUM(C28:N28)</f>
        <v>0</v>
      </c>
      <c r="C28" s="176"/>
      <c r="D28" s="176"/>
      <c r="E28" s="176"/>
      <c r="F28" s="176"/>
      <c r="G28" s="176"/>
      <c r="H28" s="176"/>
      <c r="I28" s="176"/>
      <c r="J28" s="176"/>
      <c r="K28" s="176"/>
      <c r="L28" s="176"/>
      <c r="M28" s="176"/>
      <c r="N28" s="176"/>
      <c r="O28" s="173"/>
      <c r="Q28" s="128"/>
      <c r="AA28" s="128"/>
    </row>
    <row r="29" s="165" customFormat="true" ht="12.75" hidden="false" customHeight="false" outlineLevel="0" collapsed="false">
      <c r="A29" s="174" t="s">
        <v>133</v>
      </c>
      <c r="B29" s="175" t="n">
        <f aca="false">SUM(C29:N29)</f>
        <v>0</v>
      </c>
      <c r="C29" s="176"/>
      <c r="D29" s="176"/>
      <c r="E29" s="176"/>
      <c r="F29" s="176"/>
      <c r="G29" s="176"/>
      <c r="H29" s="176"/>
      <c r="I29" s="176"/>
      <c r="J29" s="176"/>
      <c r="K29" s="176"/>
      <c r="L29" s="176"/>
      <c r="M29" s="176"/>
      <c r="N29" s="176"/>
      <c r="O29" s="173"/>
      <c r="Q29" s="128"/>
      <c r="AA29" s="128"/>
    </row>
    <row r="30" s="165" customFormat="true" ht="12.75" hidden="false" customHeight="false" outlineLevel="0" collapsed="false">
      <c r="A30" s="174" t="s">
        <v>134</v>
      </c>
      <c r="B30" s="175" t="n">
        <f aca="false">SUM(C30:N30)</f>
        <v>0</v>
      </c>
      <c r="C30" s="176"/>
      <c r="D30" s="176"/>
      <c r="E30" s="176"/>
      <c r="F30" s="176"/>
      <c r="G30" s="176"/>
      <c r="H30" s="176"/>
      <c r="I30" s="176"/>
      <c r="J30" s="176"/>
      <c r="K30" s="176"/>
      <c r="L30" s="176"/>
      <c r="M30" s="176"/>
      <c r="N30" s="176"/>
      <c r="O30" s="173"/>
      <c r="Q30" s="128"/>
      <c r="AA30" s="128"/>
    </row>
    <row r="31" s="165" customFormat="true" ht="12.75" hidden="false" customHeight="false" outlineLevel="0" collapsed="false">
      <c r="A31" s="174" t="s">
        <v>135</v>
      </c>
      <c r="B31" s="175" t="n">
        <f aca="false">SUM(C31:N31)</f>
        <v>0</v>
      </c>
      <c r="C31" s="176"/>
      <c r="D31" s="176"/>
      <c r="E31" s="176"/>
      <c r="F31" s="176"/>
      <c r="G31" s="176"/>
      <c r="H31" s="176"/>
      <c r="I31" s="176"/>
      <c r="J31" s="176"/>
      <c r="K31" s="176"/>
      <c r="L31" s="176"/>
      <c r="M31" s="176"/>
      <c r="N31" s="176"/>
      <c r="O31" s="173"/>
      <c r="Q31" s="128"/>
      <c r="AA31" s="128"/>
    </row>
    <row r="32" s="165" customFormat="true" ht="12.75" hidden="false" customHeight="false" outlineLevel="0" collapsed="false">
      <c r="A32" s="174" t="s">
        <v>136</v>
      </c>
      <c r="B32" s="175" t="n">
        <f aca="false">SUM(C32:N32)</f>
        <v>4970.6</v>
      </c>
      <c r="C32" s="172" t="n">
        <f aca="false">'Wages Forecast'!C$41/12</f>
        <v>414.216666666667</v>
      </c>
      <c r="D32" s="172" t="n">
        <f aca="false">'Wages Forecast'!C$41/12</f>
        <v>414.216666666667</v>
      </c>
      <c r="E32" s="172" t="n">
        <f aca="false">'Wages Forecast'!C$41/12</f>
        <v>414.216666666667</v>
      </c>
      <c r="F32" s="172" t="n">
        <f aca="false">'Wages Forecast'!C$41/12</f>
        <v>414.216666666667</v>
      </c>
      <c r="G32" s="172" t="n">
        <f aca="false">'Wages Forecast'!C$41/12</f>
        <v>414.216666666667</v>
      </c>
      <c r="H32" s="172" t="n">
        <f aca="false">'Wages Forecast'!C$41/12</f>
        <v>414.216666666667</v>
      </c>
      <c r="I32" s="172" t="n">
        <f aca="false">'Wages Forecast'!C$41/12</f>
        <v>414.216666666667</v>
      </c>
      <c r="J32" s="172" t="n">
        <f aca="false">'Wages Forecast'!C$41/12</f>
        <v>414.216666666667</v>
      </c>
      <c r="K32" s="172" t="n">
        <f aca="false">'Wages Forecast'!C$41/12</f>
        <v>414.216666666667</v>
      </c>
      <c r="L32" s="172" t="n">
        <f aca="false">'Wages Forecast'!C$41/12</f>
        <v>414.216666666667</v>
      </c>
      <c r="M32" s="172" t="n">
        <f aca="false">'Wages Forecast'!C$41/12</f>
        <v>414.216666666667</v>
      </c>
      <c r="N32" s="172" t="n">
        <f aca="false">'Wages Forecast'!C$41/12</f>
        <v>414.216666666667</v>
      </c>
      <c r="O32" s="173"/>
      <c r="Q32" s="128"/>
      <c r="AA32" s="128"/>
    </row>
    <row r="33" s="165" customFormat="true" ht="12.75" hidden="false" customHeight="false" outlineLevel="0" collapsed="false">
      <c r="A33" s="170" t="s">
        <v>137</v>
      </c>
      <c r="B33" s="171" t="n">
        <f aca="false">SUM(C33:N33)</f>
        <v>24669.4</v>
      </c>
      <c r="C33" s="177" t="n">
        <f aca="false">C27-SUM(C28:C31)-C32</f>
        <v>385.783333333333</v>
      </c>
      <c r="D33" s="177" t="n">
        <f aca="false">D27-SUM(D28:D31)-D32</f>
        <v>2285.78333333333</v>
      </c>
      <c r="E33" s="177" t="n">
        <f aca="false">E27-SUM(E28:E31)-E32</f>
        <v>2285.78333333333</v>
      </c>
      <c r="F33" s="177" t="n">
        <f aca="false">F27-SUM(F28:F31)-F32</f>
        <v>2165.78333333333</v>
      </c>
      <c r="G33" s="177" t="n">
        <f aca="false">G27-SUM(G28:G31)-G32</f>
        <v>2285.78333333333</v>
      </c>
      <c r="H33" s="177" t="n">
        <f aca="false">H27-SUM(H28:H31)-H32</f>
        <v>2285.78333333333</v>
      </c>
      <c r="I33" s="177" t="n">
        <f aca="false">I27-SUM(I28:I31)-I32</f>
        <v>2165.78333333333</v>
      </c>
      <c r="J33" s="177" t="n">
        <f aca="false">J27-SUM(J28:J31)-J32</f>
        <v>2285.78333333333</v>
      </c>
      <c r="K33" s="177" t="n">
        <f aca="false">K27-SUM(K28:K31)-K32</f>
        <v>2285.78333333333</v>
      </c>
      <c r="L33" s="177" t="n">
        <f aca="false">L27-SUM(L28:L31)-L32</f>
        <v>1665.78333333333</v>
      </c>
      <c r="M33" s="177" t="n">
        <f aca="false">M27-SUM(M28:M31)-M32</f>
        <v>2285.78333333333</v>
      </c>
      <c r="N33" s="177" t="n">
        <f aca="false">N27-SUM(N28:N31)-N32</f>
        <v>2285.78333333333</v>
      </c>
      <c r="O33" s="173"/>
      <c r="Q33" s="128"/>
      <c r="AA33" s="128"/>
    </row>
    <row r="34" s="165" customFormat="true" ht="6" hidden="false" customHeight="true" outlineLevel="0" collapsed="false">
      <c r="A34" s="162"/>
      <c r="B34" s="178"/>
      <c r="C34" s="179"/>
      <c r="D34" s="179"/>
      <c r="E34" s="179"/>
      <c r="F34" s="179"/>
      <c r="G34" s="179"/>
      <c r="H34" s="179"/>
      <c r="I34" s="179"/>
      <c r="J34" s="179"/>
      <c r="K34" s="179"/>
      <c r="L34" s="179"/>
      <c r="M34" s="179"/>
      <c r="N34" s="179"/>
      <c r="O34" s="164"/>
      <c r="Q34" s="128"/>
      <c r="AA34" s="128"/>
    </row>
    <row r="35" s="180" customFormat="true" ht="12.75" hidden="false" customHeight="false" outlineLevel="0" collapsed="false">
      <c r="B35" s="181"/>
      <c r="C35" s="181"/>
      <c r="D35" s="181"/>
      <c r="E35" s="181"/>
      <c r="F35" s="181"/>
      <c r="G35" s="181"/>
      <c r="H35" s="181"/>
      <c r="I35" s="181"/>
      <c r="J35" s="181"/>
      <c r="K35" s="181"/>
      <c r="L35" s="181"/>
      <c r="M35" s="181"/>
      <c r="N35" s="181"/>
      <c r="O35" s="181"/>
      <c r="Q35" s="128"/>
      <c r="AA35" s="128"/>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8" width="1.66"/>
    <col collapsed="false" customWidth="true" hidden="false" outlineLevel="0" max="2" min="2" style="128" width="22.32"/>
    <col collapsed="false" customWidth="false" hidden="false" outlineLevel="0" max="3" min="3" style="128" width="9.15"/>
    <col collapsed="false" customWidth="true" hidden="false" outlineLevel="0" max="4" min="4" style="128" width="10.15"/>
    <col collapsed="false" customWidth="false" hidden="false" outlineLevel="0" max="7" min="5" style="128" width="9.15"/>
    <col collapsed="false" customWidth="true" hidden="false" outlineLevel="0" max="8" min="8" style="128" width="23.66"/>
    <col collapsed="false" customWidth="true" hidden="false" outlineLevel="0" max="9" min="9" style="128" width="1.66"/>
    <col collapsed="false" customWidth="false" hidden="false" outlineLevel="0" max="257" min="19" style="128" width="9.15"/>
  </cols>
  <sheetData>
    <row r="1" customFormat="false" ht="4.5" hidden="false" customHeight="true" outlineLevel="0" collapsed="false">
      <c r="A1" s="182"/>
      <c r="B1" s="182"/>
      <c r="C1" s="182"/>
      <c r="D1" s="182"/>
      <c r="E1" s="182"/>
      <c r="F1" s="182"/>
      <c r="G1" s="182"/>
      <c r="H1" s="182"/>
      <c r="I1" s="182"/>
    </row>
    <row r="2" s="136" customFormat="true" ht="12.75" hidden="false" customHeight="false" outlineLevel="0" collapsed="false">
      <c r="A2" s="182"/>
      <c r="B2" s="183" t="s">
        <v>138</v>
      </c>
      <c r="C2" s="183" t="s">
        <v>139</v>
      </c>
      <c r="D2" s="183" t="s">
        <v>140</v>
      </c>
      <c r="E2" s="183" t="s">
        <v>141</v>
      </c>
      <c r="F2" s="183" t="s">
        <v>142</v>
      </c>
      <c r="G2" s="183" t="s">
        <v>143</v>
      </c>
      <c r="H2" s="183" t="s">
        <v>144</v>
      </c>
      <c r="I2" s="182"/>
    </row>
    <row r="3" customFormat="false" ht="12.75" hidden="false" customHeight="false" outlineLevel="0" collapsed="false">
      <c r="A3" s="182"/>
      <c r="B3" s="183"/>
      <c r="C3" s="183"/>
      <c r="D3" s="183"/>
      <c r="E3" s="183"/>
      <c r="F3" s="183"/>
      <c r="G3" s="183"/>
      <c r="H3" s="183"/>
      <c r="I3" s="182"/>
    </row>
    <row r="4" s="143" customFormat="true" ht="12.75" hidden="false" customHeight="false" outlineLevel="0" collapsed="false">
      <c r="A4" s="182"/>
      <c r="B4" s="182"/>
      <c r="C4" s="182"/>
      <c r="D4" s="182"/>
      <c r="E4" s="182"/>
      <c r="F4" s="182"/>
      <c r="G4" s="182"/>
      <c r="H4" s="182"/>
      <c r="I4" s="182"/>
    </row>
    <row r="5" customFormat="false" ht="12.75" hidden="false" customHeight="false" outlineLevel="0" collapsed="false">
      <c r="A5" s="182"/>
      <c r="B5" s="182" t="s">
        <v>145</v>
      </c>
      <c r="C5" s="184" t="n">
        <f aca="false">SUM('Profit &amp; Loss Acc'!C5:E5)</f>
        <v>9000</v>
      </c>
      <c r="D5" s="184" t="n">
        <f aca="false">SUM('Profit &amp; Loss Acc'!F5:H5)</f>
        <v>9000</v>
      </c>
      <c r="E5" s="184" t="n">
        <f aca="false">SUM('Profit &amp; Loss Acc'!I5:K5)</f>
        <v>9000</v>
      </c>
      <c r="F5" s="184" t="n">
        <f aca="false">SUM('Profit &amp; Loss Acc'!L5:N5)</f>
        <v>9000</v>
      </c>
      <c r="G5" s="185" t="n">
        <f aca="false">SUM(C5:F5)</f>
        <v>36000</v>
      </c>
      <c r="H5" s="182"/>
      <c r="I5" s="182"/>
    </row>
    <row r="6" customFormat="false" ht="12.75" hidden="false" customHeight="false" outlineLevel="0" collapsed="false">
      <c r="A6" s="182"/>
      <c r="B6" s="182" t="s">
        <v>146</v>
      </c>
      <c r="C6" s="184" t="n">
        <f aca="false">SUM('Profit &amp; Loss Acc'!C24:E24)</f>
        <v>0</v>
      </c>
      <c r="D6" s="184" t="n">
        <f aca="false">SUM('Profit &amp; Loss Acc'!F24:H24)</f>
        <v>0</v>
      </c>
      <c r="E6" s="184" t="n">
        <f aca="false">SUM('Profit &amp; Loss Acc'!I24:K24)</f>
        <v>0</v>
      </c>
      <c r="F6" s="184" t="n">
        <f aca="false">SUM('Profit &amp; Loss Acc'!L24:N24)</f>
        <v>0</v>
      </c>
      <c r="G6" s="185" t="n">
        <f aca="false">SUM(C6:F6)</f>
        <v>0</v>
      </c>
      <c r="H6" s="182"/>
      <c r="I6" s="182"/>
    </row>
    <row r="7" customFormat="false" ht="12.75" hidden="false" customHeight="false" outlineLevel="0" collapsed="false">
      <c r="A7" s="182"/>
      <c r="B7" s="182" t="s">
        <v>147</v>
      </c>
      <c r="C7" s="184" t="n">
        <f aca="false">SUM('Profit &amp; Loss Acc'!C11:E11)</f>
        <v>0</v>
      </c>
      <c r="D7" s="184" t="n">
        <f aca="false">SUM('Profit &amp; Loss Acc'!F11:H11)</f>
        <v>0</v>
      </c>
      <c r="E7" s="184" t="n">
        <f aca="false">SUM('Profit &amp; Loss Acc'!I11:K11)</f>
        <v>0</v>
      </c>
      <c r="F7" s="184" t="n">
        <f aca="false">SUM('Profit &amp; Loss Acc'!L11:N11)</f>
        <v>0</v>
      </c>
      <c r="G7" s="185" t="n">
        <f aca="false">SUM(C7:F7)</f>
        <v>0</v>
      </c>
      <c r="H7" s="182"/>
      <c r="I7" s="182"/>
    </row>
    <row r="8" s="154" customFormat="true" ht="12.75" hidden="false" customHeight="false" outlineLevel="0" collapsed="false">
      <c r="A8" s="182"/>
      <c r="B8" s="182"/>
      <c r="C8" s="182"/>
      <c r="D8" s="182"/>
      <c r="E8" s="182"/>
      <c r="F8" s="182"/>
      <c r="G8" s="182"/>
      <c r="H8" s="182"/>
      <c r="I8" s="182"/>
    </row>
    <row r="9" customFormat="false" ht="12.75" hidden="false" customHeight="false" outlineLevel="0" collapsed="false">
      <c r="A9" s="182"/>
      <c r="B9" s="182"/>
      <c r="C9" s="182"/>
      <c r="D9" s="182"/>
      <c r="E9" s="182"/>
      <c r="F9" s="182"/>
      <c r="G9" s="182"/>
      <c r="H9" s="182"/>
      <c r="I9" s="182"/>
    </row>
    <row r="10" customFormat="false" ht="12.75" hidden="false" customHeight="false" outlineLevel="0" collapsed="false">
      <c r="A10" s="182"/>
      <c r="B10" s="186" t="s">
        <v>148</v>
      </c>
      <c r="C10" s="182"/>
      <c r="D10" s="182"/>
      <c r="E10" s="182"/>
      <c r="F10" s="182"/>
      <c r="G10" s="182"/>
      <c r="H10" s="182"/>
      <c r="I10" s="182"/>
    </row>
    <row r="11" customFormat="false" ht="12.75" hidden="false" customHeight="false" outlineLevel="0" collapsed="false">
      <c r="A11" s="182"/>
      <c r="B11" s="182"/>
      <c r="C11" s="182"/>
      <c r="D11" s="182"/>
      <c r="E11" s="182"/>
      <c r="F11" s="182"/>
      <c r="G11" s="182"/>
      <c r="H11" s="182"/>
      <c r="I11" s="182"/>
    </row>
    <row r="12" customFormat="false" ht="12.75" hidden="false" customHeight="false" outlineLevel="0" collapsed="false">
      <c r="A12" s="182"/>
      <c r="B12" s="182" t="s">
        <v>149</v>
      </c>
      <c r="C12" s="185" t="n">
        <f aca="false">SUM('Profit &amp; Loss Acc'!C14:E14)</f>
        <v>0</v>
      </c>
      <c r="D12" s="185" t="n">
        <f aca="false">SUM('Profit &amp; Loss Acc'!F14:H14)</f>
        <v>0</v>
      </c>
      <c r="E12" s="185" t="n">
        <f aca="false">SUM('Profit &amp; Loss Acc'!I14:K14)</f>
        <v>0</v>
      </c>
      <c r="F12" s="185" t="n">
        <f aca="false">SUM('Profit &amp; Loss Acc'!L14:N14)</f>
        <v>0</v>
      </c>
      <c r="G12" s="185" t="n">
        <f aca="false">SUM(C12:F12)</f>
        <v>0</v>
      </c>
      <c r="H12" s="182"/>
      <c r="I12" s="182"/>
    </row>
    <row r="13" customFormat="false" ht="12.75" hidden="false" customHeight="false" outlineLevel="0" collapsed="false">
      <c r="A13" s="182"/>
      <c r="B13" s="182" t="s">
        <v>150</v>
      </c>
      <c r="C13" s="185" t="n">
        <f aca="false">SUM('Profit &amp; Loss Acc'!C15:E15)</f>
        <v>0</v>
      </c>
      <c r="D13" s="185" t="n">
        <f aca="false">SUM('Profit &amp; Loss Acc'!F15:H15)</f>
        <v>0</v>
      </c>
      <c r="E13" s="185" t="n">
        <f aca="false">SUM('Profit &amp; Loss Acc'!I15:K15)</f>
        <v>0</v>
      </c>
      <c r="F13" s="185" t="n">
        <f aca="false">SUM('Profit &amp; Loss Acc'!L15:N15)</f>
        <v>0</v>
      </c>
      <c r="G13" s="185" t="n">
        <f aca="false">SUM(C13:F13)</f>
        <v>0</v>
      </c>
      <c r="H13" s="182"/>
      <c r="I13" s="182"/>
    </row>
    <row r="14" customFormat="false" ht="12.75" hidden="false" customHeight="false" outlineLevel="0" collapsed="false">
      <c r="A14" s="182"/>
      <c r="B14" s="182" t="s">
        <v>151</v>
      </c>
      <c r="C14" s="185" t="n">
        <f aca="false">SUM('Profit &amp; Loss Acc'!C8:E9)</f>
        <v>1380</v>
      </c>
      <c r="D14" s="185" t="n">
        <f aca="false">SUM('Profit &amp; Loss Acc'!F8:H9)</f>
        <v>0</v>
      </c>
      <c r="E14" s="185" t="n">
        <f aca="false">SUM('Profit &amp; Loss Acc'!I8:K9)</f>
        <v>0</v>
      </c>
      <c r="F14" s="185" t="n">
        <f aca="false">SUM('Profit &amp; Loss Acc'!L8:N9)</f>
        <v>0</v>
      </c>
      <c r="G14" s="185" t="n">
        <f aca="false">SUM(C14:F14)</f>
        <v>1380</v>
      </c>
      <c r="H14" s="182"/>
      <c r="I14" s="182"/>
    </row>
    <row r="15" customFormat="false" ht="12.75" hidden="false" customHeight="false" outlineLevel="0" collapsed="false">
      <c r="A15" s="182"/>
      <c r="B15" s="182" t="s">
        <v>152</v>
      </c>
      <c r="C15" s="185" t="n">
        <f aca="false">SUM('Profit &amp; Loss Acc'!C16:E16)</f>
        <v>120</v>
      </c>
      <c r="D15" s="185" t="n">
        <f aca="false">SUM('Profit &amp; Loss Acc'!F16:H16)</f>
        <v>120</v>
      </c>
      <c r="E15" s="185" t="n">
        <f aca="false">SUM('Profit &amp; Loss Acc'!I16:K16)</f>
        <v>120</v>
      </c>
      <c r="F15" s="185" t="n">
        <f aca="false">SUM('Profit &amp; Loss Acc'!L16:N16)</f>
        <v>120</v>
      </c>
      <c r="G15" s="185" t="n">
        <f aca="false">SUM(C15:F15)</f>
        <v>480</v>
      </c>
      <c r="H15" s="182"/>
      <c r="I15" s="182"/>
    </row>
    <row r="16" customFormat="false" ht="12.75" hidden="false" customHeight="false" outlineLevel="0" collapsed="false">
      <c r="A16" s="182"/>
      <c r="B16" s="182" t="s">
        <v>153</v>
      </c>
      <c r="C16" s="185" t="n">
        <f aca="false">SUM('Profit &amp; Loss Acc'!C20:E20)</f>
        <v>0</v>
      </c>
      <c r="D16" s="185" t="n">
        <f aca="false">SUM('Profit &amp; Loss Acc'!F20:H20)</f>
        <v>0</v>
      </c>
      <c r="E16" s="185" t="n">
        <f aca="false">SUM('Profit &amp; Loss Acc'!I20:K20)</f>
        <v>0</v>
      </c>
      <c r="F16" s="185" t="n">
        <f aca="false">SUM('Profit &amp; Loss Acc'!L20:N20)</f>
        <v>0</v>
      </c>
      <c r="G16" s="185" t="n">
        <f aca="false">SUM(C16:F16)</f>
        <v>0</v>
      </c>
      <c r="H16" s="182"/>
      <c r="I16" s="182"/>
    </row>
    <row r="17" customFormat="false" ht="12.75" hidden="false" customHeight="false" outlineLevel="0" collapsed="false">
      <c r="A17" s="182"/>
      <c r="B17" s="182" t="s">
        <v>154</v>
      </c>
      <c r="C17" s="185" t="n">
        <f aca="false">SUM('Profit &amp; Loss Acc'!C6:E7)</f>
        <v>900</v>
      </c>
      <c r="D17" s="185" t="n">
        <f aca="false">SUM('Profit &amp; Loss Acc'!F6:H7)</f>
        <v>900</v>
      </c>
      <c r="E17" s="185" t="n">
        <f aca="false">SUM('Profit &amp; Loss Acc'!I6:K7)</f>
        <v>900</v>
      </c>
      <c r="F17" s="185" t="n">
        <f aca="false">SUM('Profit &amp; Loss Acc'!L6:N7)</f>
        <v>900</v>
      </c>
      <c r="G17" s="185" t="n">
        <f aca="false">SUM(C17:F17)</f>
        <v>3600</v>
      </c>
      <c r="H17" s="182"/>
      <c r="I17" s="182"/>
    </row>
    <row r="18" customFormat="false" ht="12.75" hidden="false" customHeight="false" outlineLevel="0" collapsed="false">
      <c r="A18" s="182"/>
      <c r="B18" s="182" t="s">
        <v>155</v>
      </c>
      <c r="C18" s="185" t="n">
        <f aca="false">SUM('Profit &amp; Loss Acc'!C17:E17)</f>
        <v>0</v>
      </c>
      <c r="D18" s="185" t="n">
        <f aca="false">SUM('Profit &amp; Loss Acc'!F17:H17)</f>
        <v>0</v>
      </c>
      <c r="E18" s="185" t="n">
        <f aca="false">SUM('Profit &amp; Loss Acc'!I17:K17)</f>
        <v>0</v>
      </c>
      <c r="F18" s="185" t="n">
        <f aca="false">SUM('Profit &amp; Loss Acc'!L17:N17)</f>
        <v>0</v>
      </c>
      <c r="G18" s="185" t="n">
        <f aca="false">SUM(C18:F18)</f>
        <v>0</v>
      </c>
      <c r="H18" s="182"/>
      <c r="I18" s="182"/>
    </row>
    <row r="19" customFormat="false" ht="12.75" hidden="false" customHeight="false" outlineLevel="0" collapsed="false">
      <c r="A19" s="182"/>
      <c r="B19" s="182" t="s">
        <v>156</v>
      </c>
      <c r="C19" s="185" t="n">
        <f aca="false">SUM('Profit &amp; Loss Acc'!C18:E18)</f>
        <v>400</v>
      </c>
      <c r="D19" s="185" t="n">
        <f aca="false">SUM('Profit &amp; Loss Acc'!F18:H18)</f>
        <v>0</v>
      </c>
      <c r="E19" s="185" t="n">
        <f aca="false">SUM('Profit &amp; Loss Acc'!I18:K18)</f>
        <v>0</v>
      </c>
      <c r="F19" s="185" t="n">
        <f aca="false">SUM('Profit &amp; Loss Acc'!L18:N18)</f>
        <v>500</v>
      </c>
      <c r="G19" s="185" t="n">
        <f aca="false">SUM(C19:F19)</f>
        <v>900</v>
      </c>
      <c r="H19" s="182"/>
      <c r="I19" s="182"/>
    </row>
    <row r="20" customFormat="false" ht="12.75" hidden="false" customHeight="false" outlineLevel="0" collapsed="false">
      <c r="A20" s="182"/>
      <c r="B20" s="182" t="s">
        <v>157</v>
      </c>
      <c r="C20" s="185" t="n">
        <v>0</v>
      </c>
      <c r="D20" s="185" t="n">
        <v>0</v>
      </c>
      <c r="E20" s="185" t="n">
        <v>0</v>
      </c>
      <c r="F20" s="185" t="n">
        <v>0</v>
      </c>
      <c r="G20" s="185" t="n">
        <f aca="false">SUM(C20:F20)</f>
        <v>0</v>
      </c>
      <c r="H20" s="182" t="s">
        <v>158</v>
      </c>
      <c r="I20" s="182"/>
    </row>
    <row r="21" customFormat="false" ht="12.75" hidden="false" customHeight="false" outlineLevel="0" collapsed="false">
      <c r="A21" s="182"/>
      <c r="B21" s="182" t="s">
        <v>124</v>
      </c>
      <c r="C21" s="185" t="n">
        <f aca="false">SUM('Profit &amp; Loss Acc'!C19:E19)</f>
        <v>0</v>
      </c>
      <c r="D21" s="185" t="n">
        <f aca="false">SUM('Profit &amp; Loss Acc'!F19:H19)</f>
        <v>0</v>
      </c>
      <c r="E21" s="185" t="n">
        <f aca="false">SUM('Profit &amp; Loss Acc'!I19:K19)</f>
        <v>0</v>
      </c>
      <c r="F21" s="185" t="n">
        <f aca="false">SUM('Profit &amp; Loss Acc'!L19:N19)</f>
        <v>0</v>
      </c>
      <c r="G21" s="185" t="n">
        <f aca="false">SUM(C21:F21)</f>
        <v>0</v>
      </c>
      <c r="H21" s="182"/>
      <c r="I21" s="182"/>
    </row>
    <row r="22" customFormat="false" ht="12.75" hidden="false" customHeight="false" outlineLevel="0" collapsed="false">
      <c r="A22" s="182"/>
      <c r="B22" s="182" t="s">
        <v>159</v>
      </c>
      <c r="C22" s="185" t="n">
        <f aca="false">SUM('Profit &amp; Loss Acc'!C21:E21)</f>
        <v>0</v>
      </c>
      <c r="D22" s="185" t="n">
        <f aca="false">SUM('Profit &amp; Loss Acc'!F21:H21)</f>
        <v>0</v>
      </c>
      <c r="E22" s="185" t="n">
        <f aca="false">SUM('Profit &amp; Loss Acc'!I21:K21)</f>
        <v>0</v>
      </c>
      <c r="F22" s="185" t="n">
        <f aca="false">SUM('Profit &amp; Loss Acc'!L21:N21)</f>
        <v>0</v>
      </c>
      <c r="G22" s="185" t="n">
        <f aca="false">SUM(C22:F22)</f>
        <v>0</v>
      </c>
      <c r="H22" s="182"/>
      <c r="I22" s="182"/>
    </row>
    <row r="23" customFormat="false" ht="12.75" hidden="false" customHeight="false" outlineLevel="0" collapsed="false">
      <c r="A23" s="182"/>
      <c r="B23" s="182"/>
      <c r="C23" s="182"/>
      <c r="D23" s="182"/>
      <c r="E23" s="182"/>
      <c r="F23" s="182"/>
      <c r="G23" s="182"/>
      <c r="H23" s="182"/>
      <c r="I23" s="182"/>
    </row>
    <row r="24" customFormat="false" ht="12.75" hidden="false" customHeight="false" outlineLevel="0" collapsed="false">
      <c r="A24" s="182"/>
      <c r="B24" s="182" t="s">
        <v>160</v>
      </c>
      <c r="C24" s="185" t="n">
        <v>0</v>
      </c>
      <c r="D24" s="185" t="n">
        <v>0</v>
      </c>
      <c r="E24" s="185" t="n">
        <v>0</v>
      </c>
      <c r="F24" s="185" t="n">
        <v>0</v>
      </c>
      <c r="G24" s="185" t="n">
        <f aca="false">SUM(C24:F24)</f>
        <v>0</v>
      </c>
      <c r="H24" s="182" t="s">
        <v>158</v>
      </c>
      <c r="I24" s="182"/>
    </row>
    <row r="25" customFormat="false" ht="12.75" hidden="false" customHeight="false" outlineLevel="0" collapsed="false">
      <c r="A25" s="182"/>
      <c r="B25" s="182" t="s">
        <v>161</v>
      </c>
      <c r="C25" s="185" t="n">
        <v>0</v>
      </c>
      <c r="D25" s="185" t="n">
        <v>0</v>
      </c>
      <c r="E25" s="185" t="n">
        <v>0</v>
      </c>
      <c r="F25" s="185" t="n">
        <v>0</v>
      </c>
      <c r="G25" s="185" t="n">
        <f aca="false">SUM(C25:F25)</f>
        <v>0</v>
      </c>
      <c r="H25" s="182" t="s">
        <v>158</v>
      </c>
      <c r="I25" s="182"/>
    </row>
    <row r="26" customFormat="false" ht="12.75" hidden="false" customHeight="false" outlineLevel="0" collapsed="false">
      <c r="A26" s="182"/>
      <c r="B26" s="182" t="s">
        <v>162</v>
      </c>
      <c r="C26" s="185" t="n">
        <f aca="false">SUM('Profit &amp; Loss Acc'!C10:E10)</f>
        <v>0</v>
      </c>
      <c r="D26" s="185" t="n">
        <f aca="false">SUM('Profit &amp; Loss Acc'!F10:H10)</f>
        <v>0</v>
      </c>
      <c r="E26" s="185" t="n">
        <f aca="false">SUM('Profit &amp; Loss Acc'!I10:K10)</f>
        <v>0</v>
      </c>
      <c r="F26" s="185" t="n">
        <f aca="false">SUM('Profit &amp; Loss Acc'!L10:N10)</f>
        <v>0</v>
      </c>
      <c r="G26" s="185" t="n">
        <f aca="false">SUM(C26:F26)</f>
        <v>0</v>
      </c>
      <c r="H26" s="182"/>
      <c r="I26" s="182"/>
    </row>
    <row r="27" customFormat="false" ht="12.75" hidden="false" customHeight="false" outlineLevel="0" collapsed="false">
      <c r="A27" s="182"/>
      <c r="B27" s="182"/>
      <c r="C27" s="182"/>
      <c r="D27" s="182"/>
      <c r="E27" s="182"/>
      <c r="F27" s="182"/>
      <c r="G27" s="182"/>
      <c r="H27" s="182"/>
      <c r="I27" s="182"/>
    </row>
    <row r="28" customFormat="false" ht="12.75" hidden="false" customHeight="false" outlineLevel="0" collapsed="false">
      <c r="A28" s="182"/>
      <c r="B28" s="182"/>
      <c r="C28" s="182"/>
      <c r="D28" s="182"/>
      <c r="E28" s="182"/>
      <c r="F28" s="182"/>
      <c r="G28" s="182"/>
      <c r="H28" s="182"/>
      <c r="I28" s="182"/>
    </row>
    <row r="29" customFormat="false" ht="12.75" hidden="false" customHeight="false" outlineLevel="0" collapsed="false">
      <c r="A29" s="182"/>
      <c r="B29" s="186" t="s">
        <v>163</v>
      </c>
      <c r="C29" s="187" t="n">
        <f aca="false">SUM(C7,C12,C13,C14,C15,C16,C17,C18,C19,C20,C21,C22,C24,C25,C26)</f>
        <v>2800</v>
      </c>
      <c r="D29" s="187" t="n">
        <f aca="false">SUM(D7,D12,D13,D14,D15,D16,D17,D18,D19,D20,D21,D22,D24,D25,D26)</f>
        <v>1020</v>
      </c>
      <c r="E29" s="187" t="n">
        <f aca="false">SUM(E7,E12,E13,E14,E15,E16,E17,E18,E19,E20,E21,E22,E24,E25,E26)</f>
        <v>1020</v>
      </c>
      <c r="F29" s="187" t="n">
        <f aca="false">SUM(F7,F12,F13,F14,F15,F16,F17,F18,F19,F20,F21,F22,F24,F25,F26)</f>
        <v>1520</v>
      </c>
      <c r="G29" s="187" t="n">
        <f aca="false">SUM(G7,G12,G13,G14,G15,G16,G17,G18,G19,G20,G21,G22,G24,G25,G26)</f>
        <v>6360</v>
      </c>
      <c r="H29" s="188"/>
      <c r="I29" s="182"/>
    </row>
    <row r="30" customFormat="false" ht="12.75" hidden="false" customHeight="false" outlineLevel="0" collapsed="false">
      <c r="A30" s="182"/>
      <c r="B30" s="182"/>
      <c r="C30" s="182"/>
      <c r="D30" s="182"/>
      <c r="E30" s="182"/>
      <c r="F30" s="182"/>
      <c r="G30" s="182"/>
      <c r="H30" s="182"/>
      <c r="I30" s="182"/>
    </row>
    <row r="31" customFormat="false" ht="12.75" hidden="false" customHeight="false" outlineLevel="0" collapsed="false">
      <c r="A31" s="182"/>
      <c r="B31" s="182"/>
      <c r="C31" s="182"/>
      <c r="D31" s="182"/>
      <c r="E31" s="182"/>
      <c r="F31" s="182"/>
      <c r="G31" s="182"/>
      <c r="H31" s="182"/>
      <c r="I31" s="182"/>
    </row>
    <row r="32" customFormat="false" ht="12.75" hidden="false" customHeight="false" outlineLevel="0" collapsed="false">
      <c r="A32" s="182"/>
      <c r="B32" s="182"/>
      <c r="C32" s="182"/>
      <c r="D32" s="182"/>
      <c r="E32" s="182"/>
      <c r="F32" s="182"/>
      <c r="G32" s="182"/>
      <c r="H32" s="182"/>
      <c r="I32" s="182"/>
    </row>
    <row r="33" customFormat="false" ht="12.75" hidden="false" customHeight="false" outlineLevel="0" collapsed="false">
      <c r="A33" s="182"/>
      <c r="B33" s="182"/>
      <c r="C33" s="182"/>
      <c r="D33" s="182"/>
      <c r="E33" s="182"/>
      <c r="F33" s="182"/>
      <c r="G33" s="182"/>
      <c r="H33" s="182"/>
      <c r="I33" s="182"/>
    </row>
    <row r="34" customFormat="false" ht="12.75" hidden="false" customHeight="false" outlineLevel="0" collapsed="false">
      <c r="A34" s="182"/>
      <c r="B34" s="186" t="s">
        <v>164</v>
      </c>
      <c r="C34" s="182"/>
      <c r="D34" s="182"/>
      <c r="E34" s="182"/>
      <c r="F34" s="182"/>
      <c r="G34" s="182"/>
      <c r="H34" s="182"/>
      <c r="I34" s="182"/>
    </row>
    <row r="35" customFormat="false" ht="12.75" hidden="false" customHeight="false" outlineLevel="0" collapsed="false">
      <c r="A35" s="182"/>
      <c r="B35" s="182"/>
      <c r="C35" s="182"/>
      <c r="D35" s="182"/>
      <c r="E35" s="182"/>
      <c r="F35" s="182"/>
      <c r="G35" s="182"/>
      <c r="H35" s="182"/>
      <c r="I35" s="182"/>
    </row>
    <row r="36" customFormat="false" ht="12.75" hidden="false" customHeight="false" outlineLevel="0" collapsed="false">
      <c r="A36" s="182"/>
      <c r="B36" s="182" t="s">
        <v>147</v>
      </c>
      <c r="C36" s="185" t="n">
        <v>0</v>
      </c>
      <c r="D36" s="185" t="n">
        <v>0</v>
      </c>
      <c r="E36" s="185" t="n">
        <v>0</v>
      </c>
      <c r="F36" s="185" t="n">
        <v>0</v>
      </c>
      <c r="G36" s="185" t="n">
        <f aca="false">SUM(C36:F36)</f>
        <v>0</v>
      </c>
      <c r="H36" s="182" t="s">
        <v>158</v>
      </c>
      <c r="I36" s="182"/>
    </row>
    <row r="37" customFormat="false" ht="12.75" hidden="false" customHeight="false" outlineLevel="0" collapsed="false">
      <c r="A37" s="182"/>
      <c r="B37" s="182" t="s">
        <v>160</v>
      </c>
      <c r="C37" s="185" t="n">
        <v>0</v>
      </c>
      <c r="D37" s="185" t="n">
        <v>0</v>
      </c>
      <c r="E37" s="185" t="n">
        <v>0</v>
      </c>
      <c r="F37" s="185" t="n">
        <v>0</v>
      </c>
      <c r="G37" s="185" t="n">
        <f aca="false">SUM(C37:F37)</f>
        <v>0</v>
      </c>
      <c r="H37" s="182" t="s">
        <v>158</v>
      </c>
      <c r="I37" s="182"/>
    </row>
    <row r="38" customFormat="false" ht="12.75" hidden="false" customHeight="false" outlineLevel="0" collapsed="false">
      <c r="A38" s="182"/>
      <c r="B38" s="182" t="s">
        <v>149</v>
      </c>
      <c r="C38" s="185" t="n">
        <v>0</v>
      </c>
      <c r="D38" s="185" t="n">
        <v>0</v>
      </c>
      <c r="E38" s="185" t="n">
        <v>0</v>
      </c>
      <c r="F38" s="185" t="n">
        <v>0</v>
      </c>
      <c r="G38" s="185" t="n">
        <f aca="false">SUM(C38:F38)</f>
        <v>0</v>
      </c>
      <c r="H38" s="182" t="s">
        <v>158</v>
      </c>
      <c r="I38" s="182"/>
    </row>
    <row r="39" customFormat="false" ht="12.75" hidden="false" customHeight="false" outlineLevel="0" collapsed="false">
      <c r="A39" s="182"/>
      <c r="B39" s="182" t="s">
        <v>165</v>
      </c>
      <c r="C39" s="185" t="n">
        <v>0</v>
      </c>
      <c r="D39" s="185" t="n">
        <v>0</v>
      </c>
      <c r="E39" s="185" t="n">
        <v>0</v>
      </c>
      <c r="F39" s="185" t="n">
        <v>0</v>
      </c>
      <c r="G39" s="185" t="n">
        <f aca="false">SUM(C39:F39)</f>
        <v>0</v>
      </c>
      <c r="H39" s="182" t="s">
        <v>158</v>
      </c>
      <c r="I39" s="182"/>
    </row>
    <row r="40" customFormat="false" ht="12.75" hidden="false" customHeight="false" outlineLevel="0" collapsed="false">
      <c r="A40" s="182"/>
      <c r="B40" s="182" t="s">
        <v>150</v>
      </c>
      <c r="C40" s="185" t="n">
        <v>0</v>
      </c>
      <c r="D40" s="185" t="n">
        <v>0</v>
      </c>
      <c r="E40" s="185" t="n">
        <v>0</v>
      </c>
      <c r="F40" s="185" t="n">
        <v>0</v>
      </c>
      <c r="G40" s="185" t="n">
        <f aca="false">SUM(C40:F40)</f>
        <v>0</v>
      </c>
      <c r="H40" s="182" t="s">
        <v>158</v>
      </c>
      <c r="I40" s="182"/>
    </row>
    <row r="41" customFormat="false" ht="12.75" hidden="false" customHeight="false" outlineLevel="0" collapsed="false">
      <c r="A41" s="182"/>
      <c r="B41" s="182" t="s">
        <v>151</v>
      </c>
      <c r="C41" s="185" t="n">
        <v>0</v>
      </c>
      <c r="D41" s="185" t="n">
        <v>0</v>
      </c>
      <c r="E41" s="185" t="n">
        <v>0</v>
      </c>
      <c r="F41" s="185" t="n">
        <v>0</v>
      </c>
      <c r="G41" s="185" t="n">
        <f aca="false">SUM(C41:F41)</f>
        <v>0</v>
      </c>
      <c r="H41" s="182" t="s">
        <v>158</v>
      </c>
      <c r="I41" s="182"/>
    </row>
    <row r="42" customFormat="false" ht="12.75" hidden="false" customHeight="false" outlineLevel="0" collapsed="false">
      <c r="A42" s="182"/>
      <c r="B42" s="182" t="s">
        <v>152</v>
      </c>
      <c r="C42" s="185" t="n">
        <v>0</v>
      </c>
      <c r="D42" s="185" t="n">
        <v>0</v>
      </c>
      <c r="E42" s="185" t="n">
        <v>0</v>
      </c>
      <c r="F42" s="185" t="n">
        <v>0</v>
      </c>
      <c r="G42" s="185" t="n">
        <f aca="false">SUM(C42:F42)</f>
        <v>0</v>
      </c>
      <c r="H42" s="182" t="s">
        <v>158</v>
      </c>
      <c r="I42" s="182"/>
    </row>
    <row r="43" customFormat="false" ht="12.75" hidden="false" customHeight="false" outlineLevel="0" collapsed="false">
      <c r="A43" s="182"/>
      <c r="B43" s="182" t="s">
        <v>155</v>
      </c>
      <c r="C43" s="185" t="n">
        <v>0</v>
      </c>
      <c r="D43" s="185" t="n">
        <v>0</v>
      </c>
      <c r="E43" s="185" t="n">
        <v>0</v>
      </c>
      <c r="F43" s="185" t="n">
        <v>0</v>
      </c>
      <c r="G43" s="185" t="n">
        <f aca="false">SUM(C43:F43)</f>
        <v>0</v>
      </c>
      <c r="H43" s="182" t="s">
        <v>158</v>
      </c>
      <c r="I43" s="182"/>
    </row>
    <row r="44" customFormat="false" ht="12.75" hidden="false" customHeight="false" outlineLevel="0" collapsed="false">
      <c r="A44" s="182"/>
      <c r="B44" s="182" t="s">
        <v>161</v>
      </c>
      <c r="C44" s="185" t="n">
        <v>0</v>
      </c>
      <c r="D44" s="185" t="n">
        <v>0</v>
      </c>
      <c r="E44" s="185" t="n">
        <v>0</v>
      </c>
      <c r="F44" s="185" t="n">
        <v>0</v>
      </c>
      <c r="G44" s="185" t="n">
        <f aca="false">SUM(C44:F44)</f>
        <v>0</v>
      </c>
      <c r="H44" s="182" t="s">
        <v>158</v>
      </c>
      <c r="I44" s="182"/>
    </row>
    <row r="45" customFormat="false" ht="12.75" hidden="false" customHeight="false" outlineLevel="0" collapsed="false">
      <c r="A45" s="182"/>
      <c r="B45" s="182" t="s">
        <v>124</v>
      </c>
      <c r="C45" s="185" t="n">
        <v>0</v>
      </c>
      <c r="D45" s="185" t="n">
        <v>0</v>
      </c>
      <c r="E45" s="185" t="n">
        <v>0</v>
      </c>
      <c r="F45" s="185" t="n">
        <v>0</v>
      </c>
      <c r="G45" s="185" t="n">
        <f aca="false">SUM(C45:F45)</f>
        <v>0</v>
      </c>
      <c r="H45" s="182" t="s">
        <v>158</v>
      </c>
      <c r="I45" s="182"/>
    </row>
    <row r="46" customFormat="false" ht="12.75" hidden="false" customHeight="false" outlineLevel="0" collapsed="false">
      <c r="A46" s="182"/>
      <c r="B46" s="182" t="s">
        <v>166</v>
      </c>
      <c r="C46" s="185" t="n">
        <v>0</v>
      </c>
      <c r="D46" s="185" t="n">
        <v>0</v>
      </c>
      <c r="E46" s="185" t="n">
        <v>0</v>
      </c>
      <c r="F46" s="185" t="n">
        <v>0</v>
      </c>
      <c r="G46" s="185" t="n">
        <f aca="false">SUM(C46:F46)</f>
        <v>0</v>
      </c>
      <c r="H46" s="182" t="s">
        <v>158</v>
      </c>
      <c r="I46" s="182"/>
    </row>
    <row r="47" customFormat="false" ht="12.75" hidden="false" customHeight="false" outlineLevel="0" collapsed="false">
      <c r="A47" s="182"/>
      <c r="B47" s="182" t="s">
        <v>167</v>
      </c>
      <c r="C47" s="185" t="n">
        <v>0</v>
      </c>
      <c r="D47" s="185" t="n">
        <v>0</v>
      </c>
      <c r="E47" s="185" t="n">
        <v>0</v>
      </c>
      <c r="F47" s="185" t="n">
        <v>0</v>
      </c>
      <c r="G47" s="185" t="n">
        <f aca="false">SUM(C47:F47)</f>
        <v>0</v>
      </c>
      <c r="H47" s="182" t="s">
        <v>158</v>
      </c>
      <c r="I47" s="182"/>
    </row>
    <row r="48" customFormat="false" ht="12.75" hidden="false" customHeight="false" outlineLevel="0" collapsed="false">
      <c r="A48" s="182"/>
      <c r="B48" s="182" t="s">
        <v>156</v>
      </c>
      <c r="C48" s="185" t="n">
        <v>0</v>
      </c>
      <c r="D48" s="185" t="n">
        <v>0</v>
      </c>
      <c r="E48" s="185" t="n">
        <v>0</v>
      </c>
      <c r="F48" s="185" t="n">
        <v>0</v>
      </c>
      <c r="G48" s="185" t="n">
        <f aca="false">SUM(C48:F48)</f>
        <v>0</v>
      </c>
      <c r="H48" s="182" t="s">
        <v>158</v>
      </c>
      <c r="I48" s="182"/>
    </row>
    <row r="49" customFormat="false" ht="12.75" hidden="false" customHeight="false" outlineLevel="0" collapsed="false">
      <c r="A49" s="182"/>
      <c r="B49" s="182" t="s">
        <v>162</v>
      </c>
      <c r="C49" s="185" t="n">
        <v>0</v>
      </c>
      <c r="D49" s="185" t="n">
        <v>0</v>
      </c>
      <c r="E49" s="185" t="n">
        <v>0</v>
      </c>
      <c r="F49" s="185" t="n">
        <v>0</v>
      </c>
      <c r="G49" s="185" t="n">
        <f aca="false">SUM(C49:F49)</f>
        <v>0</v>
      </c>
      <c r="H49" s="182" t="s">
        <v>158</v>
      </c>
      <c r="I49" s="182"/>
    </row>
    <row r="50" customFormat="false" ht="12.75" hidden="false" customHeight="false" outlineLevel="0" collapsed="false">
      <c r="A50" s="182"/>
      <c r="B50" s="182" t="s">
        <v>159</v>
      </c>
      <c r="C50" s="185" t="n">
        <v>0</v>
      </c>
      <c r="D50" s="185" t="n">
        <v>0</v>
      </c>
      <c r="E50" s="185" t="n">
        <v>0</v>
      </c>
      <c r="F50" s="185" t="n">
        <v>0</v>
      </c>
      <c r="G50" s="185" t="n">
        <f aca="false">SUM(C50:F50)</f>
        <v>0</v>
      </c>
      <c r="H50" s="182" t="s">
        <v>158</v>
      </c>
      <c r="I50" s="182"/>
    </row>
    <row r="51" customFormat="false" ht="12.75" hidden="false" customHeight="false" outlineLevel="0" collapsed="false">
      <c r="A51" s="182"/>
      <c r="B51" s="182"/>
      <c r="C51" s="182"/>
      <c r="D51" s="182"/>
      <c r="E51" s="182"/>
      <c r="F51" s="182"/>
      <c r="G51" s="182"/>
      <c r="H51" s="182"/>
      <c r="I51" s="182"/>
    </row>
    <row r="52" customFormat="false" ht="12.75" hidden="false" customHeight="false" outlineLevel="0" collapsed="false">
      <c r="A52" s="189"/>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90" width="8.49"/>
    <col collapsed="false" customWidth="true" hidden="false" outlineLevel="0" max="2" min="2" style="165" width="26.82"/>
    <col collapsed="false" customWidth="true" hidden="false" outlineLevel="0" max="3" min="3" style="165" width="19.66"/>
    <col collapsed="false" customWidth="true" hidden="false" outlineLevel="0" max="4" min="4" style="191" width="10.82"/>
    <col collapsed="false" customWidth="true" hidden="false" outlineLevel="0" max="5" min="5" style="191" width="1.32"/>
    <col collapsed="false" customWidth="true" hidden="false" outlineLevel="0" max="6" min="6" style="192" width="6.99"/>
    <col collapsed="false" customWidth="true" hidden="false" outlineLevel="0" max="7" min="7" style="193" width="1.32"/>
    <col collapsed="false" customWidth="true" hidden="false" outlineLevel="0" max="8" min="8" style="191" width="8.49"/>
    <col collapsed="false" customWidth="true" hidden="false" outlineLevel="0" max="9" min="9" style="194" width="8.66"/>
    <col collapsed="false" customWidth="false" hidden="false" outlineLevel="0" max="10" min="10" style="194" width="9.15"/>
    <col collapsed="false" customWidth="true" hidden="false" outlineLevel="0" max="11" min="11" style="194" width="8.49"/>
    <col collapsed="false" customWidth="true" hidden="false" outlineLevel="0" max="12" min="12" style="193" width="1.32"/>
    <col collapsed="false" customWidth="true" hidden="false" outlineLevel="0" max="13" min="13" style="190" width="8.66"/>
    <col collapsed="false" customWidth="true" hidden="false" outlineLevel="0" max="14" min="14" style="191" width="8.66"/>
    <col collapsed="false" customWidth="true" hidden="false" outlineLevel="0" max="15" min="15" style="193" width="1.32"/>
    <col collapsed="false" customWidth="true" hidden="false" outlineLevel="0" max="17" min="16" style="194" width="8.66"/>
    <col collapsed="false" customWidth="false" hidden="false" outlineLevel="0" max="257" min="18" style="165" width="9.15"/>
  </cols>
  <sheetData>
    <row r="1" s="204" customFormat="true" ht="13.5" hidden="false" customHeight="true" outlineLevel="0" collapsed="false">
      <c r="A1" s="195" t="s">
        <v>168</v>
      </c>
      <c r="B1" s="196" t="s">
        <v>169</v>
      </c>
      <c r="C1" s="197" t="n">
        <f aca="false">Admin!B17</f>
        <v>44291</v>
      </c>
      <c r="D1" s="198" t="n">
        <f aca="false">D33+D62</f>
        <v>0</v>
      </c>
      <c r="E1" s="199"/>
      <c r="F1" s="200" t="s">
        <v>170</v>
      </c>
      <c r="G1" s="201"/>
      <c r="H1" s="202" t="n">
        <f aca="false">H33+H62</f>
        <v>0</v>
      </c>
      <c r="I1" s="202" t="n">
        <f aca="false">I33+I62</f>
        <v>0</v>
      </c>
      <c r="J1" s="202" t="n">
        <f aca="false">J33+J62</f>
        <v>0</v>
      </c>
      <c r="K1" s="202" t="n">
        <f aca="false">K33+K62</f>
        <v>0</v>
      </c>
      <c r="L1" s="201"/>
      <c r="M1" s="203" t="s">
        <v>171</v>
      </c>
      <c r="N1" s="202" t="n">
        <f aca="false">N33+N62</f>
        <v>0</v>
      </c>
      <c r="O1" s="201"/>
      <c r="P1" s="202" t="n">
        <f aca="false">P33+P62</f>
        <v>0</v>
      </c>
      <c r="Q1" s="202" t="n">
        <f aca="false">Q33+Q62</f>
        <v>0</v>
      </c>
    </row>
    <row r="2" customFormat="false" ht="12" hidden="false" customHeight="true" outlineLevel="0" collapsed="false">
      <c r="A2" s="195"/>
      <c r="B2" s="205" t="s">
        <v>172</v>
      </c>
      <c r="C2" s="206" t="s">
        <v>173</v>
      </c>
      <c r="D2" s="207" t="s">
        <v>174</v>
      </c>
      <c r="E2" s="199"/>
      <c r="F2" s="200"/>
      <c r="G2" s="201"/>
      <c r="H2" s="207" t="s">
        <v>175</v>
      </c>
      <c r="I2" s="207" t="s">
        <v>68</v>
      </c>
      <c r="J2" s="207" t="s">
        <v>176</v>
      </c>
      <c r="K2" s="207" t="s">
        <v>175</v>
      </c>
      <c r="L2" s="201"/>
      <c r="M2" s="203"/>
      <c r="N2" s="207" t="s">
        <v>177</v>
      </c>
      <c r="O2" s="201"/>
      <c r="P2" s="207" t="s">
        <v>178</v>
      </c>
      <c r="Q2" s="207" t="s">
        <v>179</v>
      </c>
    </row>
    <row r="3" customFormat="false" ht="24.75" hidden="false" customHeight="true" outlineLevel="0" collapsed="false">
      <c r="A3" s="195"/>
      <c r="B3" s="205"/>
      <c r="C3" s="205"/>
      <c r="D3" s="207"/>
      <c r="E3" s="199"/>
      <c r="F3" s="200"/>
      <c r="G3" s="201"/>
      <c r="H3" s="207"/>
      <c r="I3" s="207"/>
      <c r="J3" s="207"/>
      <c r="K3" s="207"/>
      <c r="L3" s="201"/>
      <c r="M3" s="203"/>
      <c r="N3" s="207"/>
      <c r="O3" s="201"/>
      <c r="P3" s="207"/>
      <c r="Q3" s="207"/>
    </row>
    <row r="4" s="210" customFormat="true" ht="12" hidden="false" customHeight="true" outlineLevel="0" collapsed="false">
      <c r="A4" s="195"/>
      <c r="B4" s="205"/>
      <c r="C4" s="205"/>
      <c r="D4" s="207"/>
      <c r="E4" s="199"/>
      <c r="F4" s="200"/>
      <c r="G4" s="201"/>
      <c r="H4" s="208" t="n">
        <f aca="false">Admin!B$4</f>
        <v>43927</v>
      </c>
      <c r="I4" s="209" t="n">
        <f aca="false">Admin!G$4</f>
        <v>1</v>
      </c>
      <c r="J4" s="209" t="n">
        <f aca="false">Admin!G$5</f>
        <v>0.18</v>
      </c>
      <c r="K4" s="208" t="n">
        <f aca="false">Admin!B$17</f>
        <v>44291</v>
      </c>
      <c r="L4" s="201"/>
      <c r="M4" s="203"/>
      <c r="N4" s="207"/>
      <c r="O4" s="201"/>
      <c r="P4" s="207"/>
      <c r="Q4" s="207"/>
    </row>
    <row r="5" s="219" customFormat="true" ht="12.75" hidden="false" customHeight="true" outlineLevel="0" collapsed="false">
      <c r="A5" s="211"/>
      <c r="B5" s="212"/>
      <c r="C5" s="213"/>
      <c r="D5" s="214"/>
      <c r="E5" s="215"/>
      <c r="F5" s="216"/>
      <c r="G5" s="217"/>
      <c r="H5" s="218"/>
      <c r="I5" s="215"/>
      <c r="J5" s="215"/>
      <c r="K5" s="215"/>
      <c r="L5" s="217"/>
      <c r="M5" s="211"/>
      <c r="N5" s="218"/>
      <c r="O5" s="217"/>
      <c r="P5" s="215"/>
      <c r="Q5" s="215"/>
    </row>
    <row r="6" customFormat="false" ht="13.5" hidden="false" customHeight="true" outlineLevel="0" collapsed="false">
      <c r="A6" s="220" t="s">
        <v>180</v>
      </c>
      <c r="B6" s="220"/>
      <c r="C6" s="220"/>
      <c r="D6" s="221" t="n">
        <f aca="false">Admin!B$4</f>
        <v>43927</v>
      </c>
      <c r="E6" s="222"/>
      <c r="F6" s="223"/>
      <c r="G6" s="217"/>
      <c r="H6" s="218"/>
      <c r="I6" s="215"/>
      <c r="J6" s="215"/>
      <c r="K6" s="215"/>
      <c r="L6" s="217"/>
      <c r="M6" s="224"/>
      <c r="N6" s="218"/>
      <c r="O6" s="217"/>
      <c r="P6" s="215"/>
      <c r="Q6" s="215"/>
    </row>
    <row r="7" customFormat="false" ht="12.65" hidden="false" customHeight="false" outlineLevel="0" collapsed="false">
      <c r="A7" s="225"/>
      <c r="B7" s="226"/>
      <c r="C7" s="226"/>
      <c r="D7" s="227"/>
      <c r="E7" s="218"/>
      <c r="F7" s="216"/>
      <c r="G7" s="217"/>
      <c r="H7" s="228"/>
      <c r="I7" s="175" t="n">
        <v>0</v>
      </c>
      <c r="J7" s="229" t="str">
        <f aca="false">IF((H7&gt;0),H7*J$4," ")</f>
        <v> </v>
      </c>
      <c r="K7" s="215" t="str">
        <f aca="false">IF(H7&gt;0,H7-H7*J$4," ")</f>
        <v> </v>
      </c>
      <c r="L7" s="217"/>
      <c r="M7" s="230"/>
      <c r="N7" s="231"/>
      <c r="O7" s="217"/>
      <c r="P7" s="215" t="str">
        <f aca="false">IF((M7+N7)&gt;0,IF(N7&lt;K7,(K7-N7)," ")," ")</f>
        <v> </v>
      </c>
      <c r="Q7" s="215" t="str">
        <f aca="false">IF((M7+N7)&gt;0,IF(N7&gt;K7,(N7-K7)," ")," ")</f>
        <v> </v>
      </c>
    </row>
    <row r="8" customFormat="false" ht="12.65" hidden="false" customHeight="false" outlineLevel="0" collapsed="false">
      <c r="A8" s="230"/>
      <c r="B8" s="232"/>
      <c r="C8" s="232"/>
      <c r="D8" s="231"/>
      <c r="E8" s="218"/>
      <c r="F8" s="216"/>
      <c r="G8" s="217"/>
      <c r="H8" s="228"/>
      <c r="I8" s="175" t="n">
        <v>0</v>
      </c>
      <c r="J8" s="229" t="str">
        <f aca="false">IF((H8&gt;0),H8*J$4," ")</f>
        <v> </v>
      </c>
      <c r="K8" s="215" t="str">
        <f aca="false">IF(H8&gt;0,H8-H8*J$4," ")</f>
        <v> </v>
      </c>
      <c r="L8" s="217"/>
      <c r="M8" s="230"/>
      <c r="N8" s="231"/>
      <c r="O8" s="217"/>
      <c r="P8" s="215" t="str">
        <f aca="false">IF((M8+N8)&gt;0,IF(N8&lt;K8,(K8-N8)," ")," ")</f>
        <v> </v>
      </c>
      <c r="Q8" s="215" t="str">
        <f aca="false">IF((M8+N8)&gt;0,IF(N8&gt;K8,(N8-K8)," ")," ")</f>
        <v> </v>
      </c>
    </row>
    <row r="9" customFormat="false" ht="12.65" hidden="false" customHeight="false" outlineLevel="0" collapsed="false">
      <c r="A9" s="230"/>
      <c r="B9" s="232"/>
      <c r="C9" s="232"/>
      <c r="D9" s="231"/>
      <c r="E9" s="218"/>
      <c r="F9" s="216"/>
      <c r="G9" s="217"/>
      <c r="H9" s="228"/>
      <c r="I9" s="175" t="n">
        <v>0</v>
      </c>
      <c r="J9" s="229" t="str">
        <f aca="false">IF((H9&gt;0),H9*J$4," ")</f>
        <v> </v>
      </c>
      <c r="K9" s="215" t="str">
        <f aca="false">IF(H9&gt;0,H9-H9*J$4," ")</f>
        <v> </v>
      </c>
      <c r="L9" s="217"/>
      <c r="M9" s="230"/>
      <c r="N9" s="231"/>
      <c r="O9" s="217"/>
      <c r="P9" s="215" t="str">
        <f aca="false">IF((M9+N9)&gt;0,IF(N9&lt;K9,(K9-N9)," ")," ")</f>
        <v> </v>
      </c>
      <c r="Q9" s="215" t="str">
        <f aca="false">IF((M9+N9)&gt;0,IF(N9&gt;K9,(N9-K9)," ")," ")</f>
        <v> </v>
      </c>
    </row>
    <row r="10" customFormat="false" ht="12.65" hidden="false" customHeight="false" outlineLevel="0" collapsed="false">
      <c r="A10" s="230"/>
      <c r="B10" s="232"/>
      <c r="C10" s="232"/>
      <c r="D10" s="231"/>
      <c r="E10" s="218"/>
      <c r="F10" s="216"/>
      <c r="G10" s="217"/>
      <c r="H10" s="228"/>
      <c r="I10" s="175" t="n">
        <v>0</v>
      </c>
      <c r="J10" s="229" t="str">
        <f aca="false">IF((H10&gt;0),H10*J$4," ")</f>
        <v> </v>
      </c>
      <c r="K10" s="215" t="str">
        <f aca="false">IF(H10&gt;0,H10-H10*J$4," ")</f>
        <v> </v>
      </c>
      <c r="L10" s="217"/>
      <c r="M10" s="230"/>
      <c r="N10" s="231"/>
      <c r="O10" s="217"/>
      <c r="P10" s="215" t="str">
        <f aca="false">IF((M10+N10)&gt;0,IF(N10&lt;K10,(K10-N10)," ")," ")</f>
        <v> </v>
      </c>
      <c r="Q10" s="215" t="str">
        <f aca="false">IF((M10+N10)&gt;0,IF(N10&gt;K10,(N10-K10)," ")," ")</f>
        <v> </v>
      </c>
    </row>
    <row r="11" customFormat="false" ht="12.65" hidden="false" customHeight="false" outlineLevel="0" collapsed="false">
      <c r="A11" s="230"/>
      <c r="B11" s="232"/>
      <c r="C11" s="232"/>
      <c r="D11" s="231"/>
      <c r="E11" s="218"/>
      <c r="F11" s="216"/>
      <c r="G11" s="217"/>
      <c r="H11" s="228"/>
      <c r="I11" s="175" t="n">
        <v>0</v>
      </c>
      <c r="J11" s="229" t="str">
        <f aca="false">IF((H11&gt;0),H11*J$4," ")</f>
        <v> </v>
      </c>
      <c r="K11" s="215" t="str">
        <f aca="false">IF(H11&gt;0,H11-H11*J$4," ")</f>
        <v> </v>
      </c>
      <c r="L11" s="217"/>
      <c r="M11" s="230"/>
      <c r="N11" s="231"/>
      <c r="O11" s="217"/>
      <c r="P11" s="215" t="str">
        <f aca="false">IF((M11+N11)&gt;0,IF(N11&lt;K11,(K11-N11)," ")," ")</f>
        <v> </v>
      </c>
      <c r="Q11" s="215" t="str">
        <f aca="false">IF((M11+N11)&gt;0,IF(N11&gt;K11,(N11-K11)," ")," ")</f>
        <v> </v>
      </c>
    </row>
    <row r="12" customFormat="false" ht="12.65" hidden="false" customHeight="false" outlineLevel="0" collapsed="false">
      <c r="A12" s="230"/>
      <c r="B12" s="232"/>
      <c r="C12" s="232"/>
      <c r="D12" s="231"/>
      <c r="E12" s="218"/>
      <c r="F12" s="216"/>
      <c r="G12" s="217"/>
      <c r="H12" s="228"/>
      <c r="I12" s="175" t="n">
        <v>0</v>
      </c>
      <c r="J12" s="229" t="str">
        <f aca="false">IF((H12&gt;0),H12*J$4," ")</f>
        <v> </v>
      </c>
      <c r="K12" s="215" t="str">
        <f aca="false">IF(H12&gt;0,H12-H12*J$4," ")</f>
        <v> </v>
      </c>
      <c r="L12" s="217"/>
      <c r="M12" s="230"/>
      <c r="N12" s="231"/>
      <c r="O12" s="217"/>
      <c r="P12" s="215" t="str">
        <f aca="false">IF((M12+N12)&gt;0,IF(N12&lt;K12,(K12-N12)," ")," ")</f>
        <v> </v>
      </c>
      <c r="Q12" s="215" t="str">
        <f aca="false">IF((M12+N12)&gt;0,IF(N12&gt;K12,(N12-K12)," ")," ")</f>
        <v> </v>
      </c>
    </row>
    <row r="13" customFormat="false" ht="12.65" hidden="false" customHeight="false" outlineLevel="0" collapsed="false">
      <c r="A13" s="230"/>
      <c r="B13" s="232"/>
      <c r="C13" s="232"/>
      <c r="D13" s="231"/>
      <c r="E13" s="218"/>
      <c r="F13" s="216"/>
      <c r="G13" s="217"/>
      <c r="H13" s="228"/>
      <c r="I13" s="175" t="n">
        <v>0</v>
      </c>
      <c r="J13" s="229" t="str">
        <f aca="false">IF((H13&gt;0),H13*J$4," ")</f>
        <v> </v>
      </c>
      <c r="K13" s="215" t="str">
        <f aca="false">IF(H13&gt;0,H13-H13*J$4," ")</f>
        <v> </v>
      </c>
      <c r="L13" s="217"/>
      <c r="M13" s="230"/>
      <c r="N13" s="231"/>
      <c r="O13" s="217"/>
      <c r="P13" s="215" t="str">
        <f aca="false">IF((M13+N13)&gt;0,IF(N13&lt;K13,(K13-N13)," ")," ")</f>
        <v> </v>
      </c>
      <c r="Q13" s="215" t="str">
        <f aca="false">IF((M13+N13)&gt;0,IF(N13&gt;K13,(N13-K13)," ")," ")</f>
        <v> </v>
      </c>
    </row>
    <row r="14" customFormat="false" ht="12.65" hidden="false" customHeight="false" outlineLevel="0" collapsed="false">
      <c r="A14" s="233"/>
      <c r="B14" s="234"/>
      <c r="C14" s="234"/>
      <c r="D14" s="235"/>
      <c r="E14" s="218"/>
      <c r="F14" s="216"/>
      <c r="G14" s="217"/>
      <c r="H14" s="228"/>
      <c r="I14" s="175" t="n">
        <v>0</v>
      </c>
      <c r="J14" s="229" t="str">
        <f aca="false">IF((H14&gt;0),H14*J$4," ")</f>
        <v> </v>
      </c>
      <c r="K14" s="215" t="str">
        <f aca="false">IF(H14&gt;0,H14-H14*J$4," ")</f>
        <v> </v>
      </c>
      <c r="L14" s="217"/>
      <c r="M14" s="230"/>
      <c r="N14" s="231"/>
      <c r="O14" s="217"/>
      <c r="P14" s="215" t="str">
        <f aca="false">IF((M14+N14)&gt;0,IF(N14&lt;K14,(K14-N14)," ")," ")</f>
        <v> </v>
      </c>
      <c r="Q14" s="215" t="str">
        <f aca="false">IF((M14+N14)&gt;0,IF(N14&gt;K14,(N14-K14)," ")," ")</f>
        <v> </v>
      </c>
    </row>
    <row r="15" customFormat="false" ht="12.65" hidden="false" customHeight="false" outlineLevel="0" collapsed="false">
      <c r="A15" s="236" t="s">
        <v>181</v>
      </c>
      <c r="B15" s="236"/>
      <c r="C15" s="237" t="n">
        <f aca="false">Admin!B$4</f>
        <v>43927</v>
      </c>
      <c r="D15" s="238" t="n">
        <f aca="false">SUM(D7:D14)</f>
        <v>0</v>
      </c>
      <c r="E15" s="218"/>
      <c r="F15" s="216"/>
      <c r="G15" s="217"/>
      <c r="H15" s="239" t="n">
        <f aca="false">SUM(H7:H14)</f>
        <v>0</v>
      </c>
      <c r="I15" s="240" t="n">
        <f aca="false">SUM(I7:I14)</f>
        <v>0</v>
      </c>
      <c r="J15" s="239" t="n">
        <f aca="false">SUM(J7:J14)</f>
        <v>0</v>
      </c>
      <c r="K15" s="238" t="n">
        <f aca="false">SUM(K7:K14)</f>
        <v>0</v>
      </c>
      <c r="L15" s="217"/>
      <c r="M15" s="224"/>
      <c r="N15" s="238" t="n">
        <f aca="false">SUM(N7:N14)</f>
        <v>0</v>
      </c>
      <c r="O15" s="217"/>
      <c r="P15" s="238" t="n">
        <f aca="false">SUM(P7:P14)</f>
        <v>0</v>
      </c>
      <c r="Q15" s="238" t="n">
        <f aca="false">SUM(Q7:Q14)</f>
        <v>0</v>
      </c>
    </row>
    <row r="16" customFormat="false" ht="12.65" hidden="false" customHeight="false" outlineLevel="0" collapsed="false">
      <c r="A16" s="224"/>
      <c r="B16" s="241"/>
      <c r="C16" s="241"/>
      <c r="D16" s="218"/>
      <c r="E16" s="218"/>
      <c r="F16" s="216"/>
      <c r="G16" s="217"/>
      <c r="H16" s="175"/>
      <c r="I16" s="215"/>
      <c r="J16" s="229"/>
      <c r="K16" s="215"/>
      <c r="L16" s="217"/>
      <c r="M16" s="224"/>
      <c r="N16" s="218"/>
      <c r="O16" s="217"/>
      <c r="P16" s="215"/>
      <c r="Q16" s="215"/>
    </row>
    <row r="17" customFormat="false" ht="12.65" hidden="false" customHeight="false" outlineLevel="0" collapsed="false">
      <c r="A17" s="236" t="s">
        <v>182</v>
      </c>
      <c r="B17" s="236"/>
      <c r="C17" s="237" t="n">
        <f aca="false">Admin!B$4</f>
        <v>43927</v>
      </c>
      <c r="D17" s="242"/>
      <c r="E17" s="222"/>
      <c r="F17" s="223"/>
      <c r="G17" s="217"/>
      <c r="H17" s="175"/>
      <c r="I17" s="215"/>
      <c r="J17" s="229"/>
      <c r="K17" s="215"/>
      <c r="L17" s="217"/>
      <c r="M17" s="224"/>
      <c r="N17" s="218"/>
      <c r="O17" s="217"/>
      <c r="P17" s="215"/>
      <c r="Q17" s="215"/>
    </row>
    <row r="18" customFormat="false" ht="12.65" hidden="false" customHeight="false" outlineLevel="0" collapsed="false">
      <c r="A18" s="225"/>
      <c r="B18" s="226"/>
      <c r="C18" s="226"/>
      <c r="D18" s="227"/>
      <c r="E18" s="218"/>
      <c r="F18" s="243"/>
      <c r="G18" s="217"/>
      <c r="H18" s="228"/>
      <c r="I18" s="175" t="n">
        <v>0</v>
      </c>
      <c r="J18" s="215" t="str">
        <f aca="false">IF(H18&gt;0,MIN(H18*J$4*(1-F18),Admin!G$8*(1-F18))," ")</f>
        <v> </v>
      </c>
      <c r="K18" s="215" t="str">
        <f aca="false">IF(H18&gt;0,H18-J18," ")</f>
        <v> </v>
      </c>
      <c r="L18" s="217"/>
      <c r="M18" s="230"/>
      <c r="N18" s="231"/>
      <c r="O18" s="217"/>
      <c r="P18" s="215" t="str">
        <f aca="false">IF((M18+N18)&gt;0,IF(N18&lt;K18,(K18-N18)*(1-F18)," ")," ")</f>
        <v> </v>
      </c>
      <c r="Q18" s="215" t="str">
        <f aca="false">IF((M18+N18)&gt;0,IF(N18&gt;K18,(N18-K18)*(1-F18)," ")," ")</f>
        <v> </v>
      </c>
    </row>
    <row r="19" customFormat="false" ht="12.65" hidden="false" customHeight="false" outlineLevel="0" collapsed="false">
      <c r="A19" s="230"/>
      <c r="B19" s="232"/>
      <c r="C19" s="232"/>
      <c r="D19" s="231"/>
      <c r="E19" s="218"/>
      <c r="F19" s="243"/>
      <c r="G19" s="217"/>
      <c r="H19" s="228"/>
      <c r="I19" s="175" t="n">
        <v>0</v>
      </c>
      <c r="J19" s="215" t="str">
        <f aca="false">IF(H19&gt;0,MIN(H19*J$4*(1-F19),Admin!G$8*(1-F19))," ")</f>
        <v> </v>
      </c>
      <c r="K19" s="215" t="str">
        <f aca="false">IF(H19&gt;0,H19-J19," ")</f>
        <v> </v>
      </c>
      <c r="L19" s="217"/>
      <c r="M19" s="230"/>
      <c r="N19" s="231"/>
      <c r="O19" s="217"/>
      <c r="P19" s="215" t="str">
        <f aca="false">IF((M19+N19)&gt;0,IF(N19&lt;K19,(K19-N19)*(1-F19)," ")," ")</f>
        <v> </v>
      </c>
      <c r="Q19" s="215" t="str">
        <f aca="false">IF((M19+N19)&gt;0,IF(N19&gt;K19,(N19-K19)*(1-F19)," ")," ")</f>
        <v> </v>
      </c>
    </row>
    <row r="20" customFormat="false" ht="12.65" hidden="false" customHeight="false" outlineLevel="0" collapsed="false">
      <c r="A20" s="230"/>
      <c r="B20" s="232"/>
      <c r="C20" s="232"/>
      <c r="D20" s="231"/>
      <c r="E20" s="218"/>
      <c r="F20" s="243"/>
      <c r="G20" s="217"/>
      <c r="H20" s="228"/>
      <c r="I20" s="175" t="n">
        <v>0</v>
      </c>
      <c r="J20" s="215" t="str">
        <f aca="false">IF(H20&gt;0,MIN(H20*J$4*(1-F20),Admin!G$8*(1-F20))," ")</f>
        <v> </v>
      </c>
      <c r="K20" s="215" t="str">
        <f aca="false">IF(H20&gt;0,H20-J20," ")</f>
        <v> </v>
      </c>
      <c r="L20" s="217"/>
      <c r="M20" s="230"/>
      <c r="N20" s="231"/>
      <c r="O20" s="217"/>
      <c r="P20" s="215" t="str">
        <f aca="false">IF((M20+N20)&gt;0,IF(N20&lt;K20,(K20-N20)*(1-F20)," ")," ")</f>
        <v> </v>
      </c>
      <c r="Q20" s="215" t="str">
        <f aca="false">IF((M20+N20)&gt;0,IF(N20&gt;K20,(N20-K20)*(1-F20)," ")," ")</f>
        <v> </v>
      </c>
    </row>
    <row r="21" customFormat="false" ht="12.65" hidden="false" customHeight="false" outlineLevel="0" collapsed="false">
      <c r="A21" s="230"/>
      <c r="B21" s="232"/>
      <c r="C21" s="232"/>
      <c r="D21" s="231"/>
      <c r="E21" s="218"/>
      <c r="F21" s="243"/>
      <c r="G21" s="217"/>
      <c r="H21" s="228"/>
      <c r="I21" s="175" t="n">
        <v>0</v>
      </c>
      <c r="J21" s="215" t="str">
        <f aca="false">IF(H21&gt;0,MIN(H21*J$4*(1-F21),Admin!G$8*(1-F21))," ")</f>
        <v> </v>
      </c>
      <c r="K21" s="215" t="str">
        <f aca="false">IF(H21&gt;0,H21-J21," ")</f>
        <v> </v>
      </c>
      <c r="L21" s="217"/>
      <c r="M21" s="230"/>
      <c r="N21" s="231"/>
      <c r="O21" s="217"/>
      <c r="P21" s="215" t="str">
        <f aca="false">IF((M21+N21)&gt;0,IF(N21&lt;K21,(K21-N21)*(1-F21)," ")," ")</f>
        <v> </v>
      </c>
      <c r="Q21" s="215" t="str">
        <f aca="false">IF((M21+N21)&gt;0,IF(N21&gt;K21,(N21-K21)*(1-F21)," ")," ")</f>
        <v> </v>
      </c>
    </row>
    <row r="22" customFormat="false" ht="12.65" hidden="false" customHeight="false" outlineLevel="0" collapsed="false">
      <c r="A22" s="233"/>
      <c r="B22" s="234"/>
      <c r="C22" s="234"/>
      <c r="D22" s="231"/>
      <c r="E22" s="218"/>
      <c r="F22" s="243"/>
      <c r="G22" s="217"/>
      <c r="H22" s="228"/>
      <c r="I22" s="175" t="n">
        <v>0</v>
      </c>
      <c r="J22" s="215" t="str">
        <f aca="false">IF(H22&gt;0,MIN(H22*J$4*(1-F22),Admin!G$8*(1-F22))," ")</f>
        <v> </v>
      </c>
      <c r="K22" s="215" t="str">
        <f aca="false">IF(H22&gt;0,H22-J22," ")</f>
        <v> </v>
      </c>
      <c r="L22" s="217"/>
      <c r="M22" s="230"/>
      <c r="N22" s="231"/>
      <c r="O22" s="217"/>
      <c r="P22" s="215" t="str">
        <f aca="false">IF((M22+N22)&gt;0,IF(N22&lt;K22,(K22-N22)*(1-F22)," ")," ")</f>
        <v> </v>
      </c>
      <c r="Q22" s="215" t="str">
        <f aca="false">IF((M22+N22)&gt;0,IF(N22&gt;K22,(N22-K22)*(1-F22)," ")," ")</f>
        <v> </v>
      </c>
    </row>
    <row r="23" customFormat="false" ht="12.65" hidden="false" customHeight="true" outlineLevel="0" collapsed="false">
      <c r="A23" s="244" t="s">
        <v>183</v>
      </c>
      <c r="B23" s="244"/>
      <c r="C23" s="245" t="n">
        <f aca="false">Admin!B$4</f>
        <v>43927</v>
      </c>
      <c r="D23" s="246" t="n">
        <f aca="false">SUM(D18:D22)</f>
        <v>0</v>
      </c>
      <c r="E23" s="218"/>
      <c r="F23" s="216"/>
      <c r="G23" s="217"/>
      <c r="H23" s="239" t="n">
        <f aca="false">SUM(H18:H22)</f>
        <v>0</v>
      </c>
      <c r="I23" s="240" t="n">
        <f aca="false">SUM(I18:I22)</f>
        <v>0</v>
      </c>
      <c r="J23" s="239" t="n">
        <f aca="false">SUM(J18:J22)</f>
        <v>0</v>
      </c>
      <c r="K23" s="238" t="n">
        <f aca="false">SUM(K18:K22)</f>
        <v>0</v>
      </c>
      <c r="L23" s="217"/>
      <c r="M23" s="224"/>
      <c r="N23" s="238" t="n">
        <f aca="false">SUM(N18:N22)</f>
        <v>0</v>
      </c>
      <c r="O23" s="217"/>
      <c r="P23" s="238" t="n">
        <f aca="false">SUM(P18:P22)</f>
        <v>0</v>
      </c>
      <c r="Q23" s="238" t="n">
        <f aca="false">SUM(Q18:Q22)</f>
        <v>0</v>
      </c>
    </row>
    <row r="24" customFormat="false" ht="12.65" hidden="false" customHeight="false" outlineLevel="0" collapsed="false">
      <c r="A24" s="224"/>
      <c r="B24" s="241"/>
      <c r="C24" s="241"/>
      <c r="D24" s="218"/>
      <c r="E24" s="218"/>
      <c r="F24" s="216"/>
      <c r="G24" s="217"/>
      <c r="H24" s="175"/>
      <c r="I24" s="175"/>
      <c r="J24" s="175"/>
      <c r="K24" s="215"/>
      <c r="L24" s="217"/>
      <c r="M24" s="224"/>
      <c r="N24" s="218"/>
      <c r="O24" s="217"/>
      <c r="P24" s="215"/>
      <c r="Q24" s="215"/>
    </row>
    <row r="25" customFormat="false" ht="12.65" hidden="false" customHeight="false" outlineLevel="0" collapsed="false">
      <c r="A25" s="236" t="s">
        <v>184</v>
      </c>
      <c r="B25" s="236"/>
      <c r="C25" s="237" t="n">
        <f aca="false">Admin!B$4</f>
        <v>43927</v>
      </c>
      <c r="D25" s="242"/>
      <c r="E25" s="222"/>
      <c r="F25" s="223"/>
      <c r="G25" s="217"/>
      <c r="H25" s="175"/>
      <c r="I25" s="175"/>
      <c r="J25" s="175"/>
      <c r="K25" s="215"/>
      <c r="L25" s="217"/>
      <c r="M25" s="224"/>
      <c r="N25" s="218"/>
      <c r="O25" s="217"/>
      <c r="P25" s="215"/>
      <c r="Q25" s="215"/>
    </row>
    <row r="26" customFormat="false" ht="12.65" hidden="false" customHeight="false" outlineLevel="0" collapsed="false">
      <c r="A26" s="225"/>
      <c r="B26" s="226"/>
      <c r="C26" s="226"/>
      <c r="D26" s="227"/>
      <c r="E26" s="218"/>
      <c r="F26" s="243"/>
      <c r="G26" s="217"/>
      <c r="H26" s="228"/>
      <c r="I26" s="175" t="n">
        <v>0</v>
      </c>
      <c r="J26" s="215" t="str">
        <f aca="false">IF(H26&gt;0,MIN(H26*J$4*(1-F26),Admin!G$8*(1-F26))," ")</f>
        <v> </v>
      </c>
      <c r="K26" s="215" t="str">
        <f aca="false">IF(H26&gt;0,H26-J26," ")</f>
        <v> </v>
      </c>
      <c r="L26" s="217"/>
      <c r="M26" s="230"/>
      <c r="N26" s="231"/>
      <c r="O26" s="217"/>
      <c r="P26" s="215" t="str">
        <f aca="false">IF((M26+N26)&gt;0,IF(N26&lt;K26,(K26-N26)*(1-F26)," ")," ")</f>
        <v> </v>
      </c>
      <c r="Q26" s="215" t="str">
        <f aca="false">IF((M26+N26)&gt;0,IF(N26&gt;K26,(N26-K26)*(1-F26)," ")," ")</f>
        <v> </v>
      </c>
    </row>
    <row r="27" customFormat="false" ht="12.65" hidden="false" customHeight="false" outlineLevel="0" collapsed="false">
      <c r="A27" s="230"/>
      <c r="B27" s="232"/>
      <c r="C27" s="232"/>
      <c r="D27" s="231"/>
      <c r="E27" s="218"/>
      <c r="F27" s="243"/>
      <c r="G27" s="217"/>
      <c r="H27" s="228"/>
      <c r="I27" s="175" t="n">
        <v>0</v>
      </c>
      <c r="J27" s="215" t="str">
        <f aca="false">IF(H27&gt;0,MIN(H27*J$4*(1-F27),Admin!G$8*(1-F27))," ")</f>
        <v> </v>
      </c>
      <c r="K27" s="215" t="str">
        <f aca="false">IF(H27&gt;0,H27-J27," ")</f>
        <v> </v>
      </c>
      <c r="L27" s="217"/>
      <c r="M27" s="230"/>
      <c r="N27" s="231"/>
      <c r="O27" s="217"/>
      <c r="P27" s="215" t="str">
        <f aca="false">IF((M27+N27)&gt;0,IF(N27&lt;K27,(K27-N27)*(1-F27)," ")," ")</f>
        <v> </v>
      </c>
      <c r="Q27" s="215" t="str">
        <f aca="false">IF((M27+N27)&gt;0,IF(N27&gt;K27,(N27-K27)*(1-F27)," ")," ")</f>
        <v> </v>
      </c>
    </row>
    <row r="28" customFormat="false" ht="12.65" hidden="false" customHeight="false" outlineLevel="0" collapsed="false">
      <c r="A28" s="230"/>
      <c r="B28" s="232"/>
      <c r="C28" s="232"/>
      <c r="D28" s="231"/>
      <c r="E28" s="218"/>
      <c r="F28" s="243"/>
      <c r="G28" s="217"/>
      <c r="H28" s="228"/>
      <c r="I28" s="175" t="n">
        <v>0</v>
      </c>
      <c r="J28" s="215" t="str">
        <f aca="false">IF(H28&gt;0,MIN(H28*J$4*(1-F28),Admin!G$8*(1-F28))," ")</f>
        <v> </v>
      </c>
      <c r="K28" s="215" t="str">
        <f aca="false">IF(H28&gt;0,H28-J28," ")</f>
        <v> </v>
      </c>
      <c r="L28" s="217"/>
      <c r="M28" s="230"/>
      <c r="N28" s="231"/>
      <c r="O28" s="217"/>
      <c r="P28" s="215" t="str">
        <f aca="false">IF((M28+N28)&gt;0,IF(N28&lt;K28,(K28-N28)*(1-F28)," ")," ")</f>
        <v> </v>
      </c>
      <c r="Q28" s="215" t="str">
        <f aca="false">IF((M28+N28)&gt;0,IF(N28&gt;K28,(N28-K28)*(1-F28)," ")," ")</f>
        <v> </v>
      </c>
    </row>
    <row r="29" customFormat="false" ht="12.65" hidden="false" customHeight="false" outlineLevel="0" collapsed="false">
      <c r="A29" s="230"/>
      <c r="B29" s="232"/>
      <c r="C29" s="232"/>
      <c r="D29" s="231"/>
      <c r="E29" s="218"/>
      <c r="F29" s="243"/>
      <c r="G29" s="217"/>
      <c r="H29" s="228"/>
      <c r="I29" s="175" t="n">
        <v>0</v>
      </c>
      <c r="J29" s="215" t="str">
        <f aca="false">IF(H29&gt;0,MIN(H29*J$4*(1-F29),Admin!G$8*(1-F29))," ")</f>
        <v> </v>
      </c>
      <c r="K29" s="215" t="str">
        <f aca="false">IF(H29&gt;0,H29-J29," ")</f>
        <v> </v>
      </c>
      <c r="L29" s="217"/>
      <c r="M29" s="230"/>
      <c r="N29" s="231"/>
      <c r="O29" s="217"/>
      <c r="P29" s="215" t="str">
        <f aca="false">IF((M29+N29)&gt;0,IF(N29&lt;K29,(K29-N29)*(1-F29)," ")," ")</f>
        <v> </v>
      </c>
      <c r="Q29" s="215" t="str">
        <f aca="false">IF((M29+N29)&gt;0,IF(N29&gt;K29,(N29-K29)*(1-F29)," ")," ")</f>
        <v> </v>
      </c>
    </row>
    <row r="30" customFormat="false" ht="12.65" hidden="false" customHeight="false" outlineLevel="0" collapsed="false">
      <c r="A30" s="230"/>
      <c r="B30" s="232"/>
      <c r="C30" s="232"/>
      <c r="D30" s="231"/>
      <c r="E30" s="218"/>
      <c r="F30" s="243"/>
      <c r="G30" s="217"/>
      <c r="H30" s="228"/>
      <c r="I30" s="175" t="n">
        <v>0</v>
      </c>
      <c r="J30" s="215" t="str">
        <f aca="false">IF(H30&gt;0,MIN(H30*J$4*(1-F30),Admin!G$8*(1-F30))," ")</f>
        <v> </v>
      </c>
      <c r="K30" s="215" t="str">
        <f aca="false">IF(H30&gt;0,H30-J30," ")</f>
        <v> </v>
      </c>
      <c r="L30" s="217"/>
      <c r="M30" s="230"/>
      <c r="N30" s="231"/>
      <c r="O30" s="217"/>
      <c r="P30" s="215" t="str">
        <f aca="false">IF((M30+N30)&gt;0,IF(N30&lt;K30,(K30-N30)*(1-F30)," ")," ")</f>
        <v> </v>
      </c>
      <c r="Q30" s="215" t="str">
        <f aca="false">IF((M30+N30)&gt;0,IF(N30&gt;K30,(N30-K30)*(1-F30)," ")," ")</f>
        <v> </v>
      </c>
    </row>
    <row r="31" customFormat="false" ht="12.65" hidden="false" customHeight="true" outlineLevel="0" collapsed="false">
      <c r="A31" s="244" t="s">
        <v>185</v>
      </c>
      <c r="B31" s="244"/>
      <c r="C31" s="245" t="n">
        <f aca="false">Admin!B$4</f>
        <v>43927</v>
      </c>
      <c r="D31" s="238" t="n">
        <f aca="false">SUM(D26:D30)</f>
        <v>0</v>
      </c>
      <c r="E31" s="218"/>
      <c r="F31" s="216"/>
      <c r="G31" s="217"/>
      <c r="H31" s="239" t="n">
        <f aca="false">SUM(H26:H30)</f>
        <v>0</v>
      </c>
      <c r="I31" s="240" t="n">
        <f aca="false">SUM(I26:I30)</f>
        <v>0</v>
      </c>
      <c r="J31" s="239" t="n">
        <f aca="false">SUM(J26:J30)</f>
        <v>0</v>
      </c>
      <c r="K31" s="238" t="n">
        <f aca="false">SUM(K26:K30)</f>
        <v>0</v>
      </c>
      <c r="L31" s="217"/>
      <c r="M31" s="224"/>
      <c r="N31" s="238" t="n">
        <f aca="false">SUM(N26:N30)</f>
        <v>0</v>
      </c>
      <c r="O31" s="217"/>
      <c r="P31" s="238" t="n">
        <f aca="false">SUM(P26:P30)</f>
        <v>0</v>
      </c>
      <c r="Q31" s="238" t="n">
        <f aca="false">SUM(Q26:Q30)</f>
        <v>0</v>
      </c>
    </row>
    <row r="32" customFormat="false" ht="12.65" hidden="false" customHeight="false" outlineLevel="0" collapsed="false">
      <c r="A32" s="224"/>
      <c r="B32" s="241"/>
      <c r="C32" s="241"/>
      <c r="D32" s="218"/>
      <c r="E32" s="218"/>
      <c r="F32" s="216"/>
      <c r="G32" s="217"/>
      <c r="H32" s="175"/>
      <c r="I32" s="175"/>
      <c r="J32" s="175"/>
      <c r="K32" s="215"/>
      <c r="L32" s="217"/>
      <c r="M32" s="224"/>
      <c r="N32" s="218"/>
      <c r="O32" s="217"/>
      <c r="P32" s="215"/>
      <c r="Q32" s="215"/>
    </row>
    <row r="33" customFormat="false" ht="12.65" hidden="false" customHeight="false" outlineLevel="0" collapsed="false">
      <c r="A33" s="247" t="s">
        <v>186</v>
      </c>
      <c r="B33" s="247"/>
      <c r="C33" s="248" t="n">
        <f aca="false">Admin!B4</f>
        <v>43927</v>
      </c>
      <c r="D33" s="249" t="n">
        <f aca="false">D15+D23+D31</f>
        <v>0</v>
      </c>
      <c r="E33" s="218"/>
      <c r="F33" s="216"/>
      <c r="G33" s="217"/>
      <c r="H33" s="250" t="n">
        <f aca="false">H15+H23+H31</f>
        <v>0</v>
      </c>
      <c r="I33" s="251" t="n">
        <f aca="false">I15+I23+I31</f>
        <v>0</v>
      </c>
      <c r="J33" s="250" t="n">
        <f aca="false">J15+J23+J31</f>
        <v>0</v>
      </c>
      <c r="K33" s="249" t="n">
        <f aca="false">K15+K23+K31</f>
        <v>0</v>
      </c>
      <c r="L33" s="217"/>
      <c r="M33" s="224"/>
      <c r="N33" s="249" t="n">
        <f aca="false">N15+N23+N31</f>
        <v>0</v>
      </c>
      <c r="O33" s="217"/>
      <c r="P33" s="249" t="n">
        <f aca="false">P15+P23+P31</f>
        <v>0</v>
      </c>
      <c r="Q33" s="249" t="n">
        <f aca="false">Q15+Q23+Q31</f>
        <v>0</v>
      </c>
    </row>
    <row r="34" customFormat="false" ht="12.65" hidden="false" customHeight="false" outlineLevel="0" collapsed="false">
      <c r="A34" s="252"/>
      <c r="B34" s="253"/>
      <c r="C34" s="254"/>
      <c r="D34" s="218"/>
      <c r="E34" s="218"/>
      <c r="F34" s="216"/>
      <c r="G34" s="217"/>
      <c r="H34" s="218"/>
      <c r="I34" s="215"/>
      <c r="J34" s="215"/>
      <c r="K34" s="215"/>
      <c r="L34" s="217"/>
      <c r="M34" s="224"/>
      <c r="N34" s="218"/>
      <c r="O34" s="217"/>
      <c r="P34" s="215"/>
      <c r="Q34" s="215"/>
    </row>
    <row r="35" customFormat="false" ht="12.65" hidden="false" customHeight="false" outlineLevel="0" collapsed="false">
      <c r="A35" s="255" t="s">
        <v>187</v>
      </c>
      <c r="B35" s="255"/>
      <c r="C35" s="255"/>
      <c r="D35" s="256" t="n">
        <f aca="false">Admin!B$4</f>
        <v>43927</v>
      </c>
      <c r="E35" s="222"/>
      <c r="F35" s="223"/>
      <c r="G35" s="217"/>
      <c r="H35" s="218"/>
      <c r="I35" s="215"/>
      <c r="J35" s="215"/>
      <c r="K35" s="215"/>
      <c r="L35" s="217"/>
      <c r="M35" s="224"/>
      <c r="N35" s="218"/>
      <c r="O35" s="217"/>
      <c r="P35" s="215"/>
      <c r="Q35" s="215"/>
    </row>
    <row r="36" customFormat="false" ht="12.65" hidden="false" customHeight="false" outlineLevel="0" collapsed="false">
      <c r="A36" s="225"/>
      <c r="B36" s="226"/>
      <c r="C36" s="257"/>
      <c r="D36" s="227"/>
      <c r="E36" s="218"/>
      <c r="F36" s="216"/>
      <c r="G36" s="217"/>
      <c r="H36" s="175" t="n">
        <v>0</v>
      </c>
      <c r="I36" s="258" t="str">
        <f aca="false">IF((D36&gt;0),D36*I$4," ")</f>
        <v> </v>
      </c>
      <c r="J36" s="175" t="n">
        <v>0</v>
      </c>
      <c r="K36" s="215" t="str">
        <f aca="false">IF(D36&gt;0,D36-D36*I$4," ")</f>
        <v> </v>
      </c>
      <c r="L36" s="217"/>
      <c r="M36" s="230"/>
      <c r="N36" s="231"/>
      <c r="O36" s="217"/>
      <c r="P36" s="215" t="str">
        <f aca="false">IF((M36+N36)&gt;0,IF(N36&lt;K36,(K36-N36)," ")," ")</f>
        <v> </v>
      </c>
      <c r="Q36" s="215" t="str">
        <f aca="false">IF((M36+N36)&gt;0,IF(N36&gt;K36,(N36-K36)," ")," ")</f>
        <v> </v>
      </c>
    </row>
    <row r="37" customFormat="false" ht="12.65" hidden="false" customHeight="false" outlineLevel="0" collapsed="false">
      <c r="A37" s="230"/>
      <c r="B37" s="232"/>
      <c r="C37" s="259"/>
      <c r="D37" s="231"/>
      <c r="E37" s="218"/>
      <c r="F37" s="216"/>
      <c r="G37" s="217"/>
      <c r="H37" s="175" t="n">
        <v>0</v>
      </c>
      <c r="I37" s="258" t="str">
        <f aca="false">IF((D37&gt;0),D37*I$4," ")</f>
        <v> </v>
      </c>
      <c r="J37" s="175" t="n">
        <v>0</v>
      </c>
      <c r="K37" s="215" t="str">
        <f aca="false">IF(D37&gt;0,D37-D37*I$4," ")</f>
        <v> </v>
      </c>
      <c r="L37" s="217"/>
      <c r="M37" s="230"/>
      <c r="N37" s="231"/>
      <c r="O37" s="217"/>
      <c r="P37" s="215" t="str">
        <f aca="false">IF((M37+N37)&gt;0,IF(N37&lt;K37,(K37-N37)," ")," ")</f>
        <v> </v>
      </c>
      <c r="Q37" s="215" t="str">
        <f aca="false">IF((M37+N37)&gt;0,IF(N37&gt;K37,(N37-K37)," ")," ")</f>
        <v> </v>
      </c>
    </row>
    <row r="38" customFormat="false" ht="12.65" hidden="false" customHeight="false" outlineLevel="0" collapsed="false">
      <c r="A38" s="230"/>
      <c r="B38" s="232"/>
      <c r="C38" s="259"/>
      <c r="D38" s="231"/>
      <c r="E38" s="218"/>
      <c r="F38" s="216"/>
      <c r="G38" s="217"/>
      <c r="H38" s="175" t="n">
        <v>0</v>
      </c>
      <c r="I38" s="258" t="str">
        <f aca="false">IF((D38&gt;0),D38*I$4," ")</f>
        <v> </v>
      </c>
      <c r="J38" s="175" t="n">
        <v>0</v>
      </c>
      <c r="K38" s="215" t="str">
        <f aca="false">IF(D38&gt;0,D38-D38*I$4," ")</f>
        <v> </v>
      </c>
      <c r="L38" s="217"/>
      <c r="M38" s="230"/>
      <c r="N38" s="231"/>
      <c r="O38" s="217"/>
      <c r="P38" s="215" t="str">
        <f aca="false">IF((M38+N38)&gt;0,IF(N38&lt;K38,(K38-N38)," ")," ")</f>
        <v> </v>
      </c>
      <c r="Q38" s="215" t="str">
        <f aca="false">IF((M38+N38)&gt;0,IF(N38&gt;K38,(N38-K38)," ")," ")</f>
        <v> </v>
      </c>
    </row>
    <row r="39" customFormat="false" ht="12.65" hidden="false" customHeight="false" outlineLevel="0" collapsed="false">
      <c r="A39" s="230"/>
      <c r="B39" s="232"/>
      <c r="C39" s="259"/>
      <c r="D39" s="231"/>
      <c r="E39" s="218"/>
      <c r="F39" s="216"/>
      <c r="G39" s="217"/>
      <c r="H39" s="175" t="n">
        <v>0</v>
      </c>
      <c r="I39" s="258" t="str">
        <f aca="false">IF((D39&gt;0),D39*I$4," ")</f>
        <v> </v>
      </c>
      <c r="J39" s="175" t="n">
        <v>0</v>
      </c>
      <c r="K39" s="215" t="str">
        <f aca="false">IF(D39&gt;0,D39-D39*I$4," ")</f>
        <v> </v>
      </c>
      <c r="L39" s="217"/>
      <c r="M39" s="230"/>
      <c r="N39" s="231"/>
      <c r="O39" s="217"/>
      <c r="P39" s="215" t="str">
        <f aca="false">IF((M39+N39)&gt;0,IF(N39&lt;K39,(K39-N39)," ")," ")</f>
        <v> </v>
      </c>
      <c r="Q39" s="215" t="str">
        <f aca="false">IF((M39+N39)&gt;0,IF(N39&gt;K39,(N39-K39)," ")," ")</f>
        <v> </v>
      </c>
    </row>
    <row r="40" customFormat="false" ht="12.65" hidden="false" customHeight="false" outlineLevel="0" collapsed="false">
      <c r="A40" s="230"/>
      <c r="B40" s="232"/>
      <c r="C40" s="259"/>
      <c r="D40" s="231"/>
      <c r="E40" s="218"/>
      <c r="F40" s="216"/>
      <c r="G40" s="217"/>
      <c r="H40" s="175" t="n">
        <v>0</v>
      </c>
      <c r="I40" s="258" t="str">
        <f aca="false">IF((D40&gt;0),D40*I$4," ")</f>
        <v> </v>
      </c>
      <c r="J40" s="175" t="n">
        <v>0</v>
      </c>
      <c r="K40" s="215" t="str">
        <f aca="false">IF(D40&gt;0,D40-D40*I$4," ")</f>
        <v> </v>
      </c>
      <c r="L40" s="217"/>
      <c r="M40" s="230"/>
      <c r="N40" s="231"/>
      <c r="O40" s="217"/>
      <c r="P40" s="215" t="str">
        <f aca="false">IF((M40+N40)&gt;0,IF(N40&lt;K40,(K40-N40)," ")," ")</f>
        <v> </v>
      </c>
      <c r="Q40" s="215" t="str">
        <f aca="false">IF((M40+N40)&gt;0,IF(N40&gt;K40,(N40-K40)," ")," ")</f>
        <v> </v>
      </c>
    </row>
    <row r="41" customFormat="false" ht="12.65" hidden="false" customHeight="false" outlineLevel="0" collapsed="false">
      <c r="A41" s="230"/>
      <c r="B41" s="232"/>
      <c r="C41" s="259"/>
      <c r="D41" s="231"/>
      <c r="E41" s="218"/>
      <c r="F41" s="216"/>
      <c r="G41" s="217"/>
      <c r="H41" s="175" t="n">
        <v>0</v>
      </c>
      <c r="I41" s="258" t="str">
        <f aca="false">IF((D41&gt;0),D41*I$4," ")</f>
        <v> </v>
      </c>
      <c r="J41" s="175" t="n">
        <v>0</v>
      </c>
      <c r="K41" s="215" t="str">
        <f aca="false">IF(D41&gt;0,D41-D41*I$4," ")</f>
        <v> </v>
      </c>
      <c r="L41" s="217"/>
      <c r="M41" s="230"/>
      <c r="N41" s="231"/>
      <c r="O41" s="217"/>
      <c r="P41" s="215" t="str">
        <f aca="false">IF((M41+N41)&gt;0,IF(N41&lt;K41,(K41-N41)," ")," ")</f>
        <v> </v>
      </c>
      <c r="Q41" s="215" t="str">
        <f aca="false">IF((M41+N41)&gt;0,IF(N41&gt;K41,(N41-K41)," ")," ")</f>
        <v> </v>
      </c>
    </row>
    <row r="42" customFormat="false" ht="12.65" hidden="false" customHeight="false" outlineLevel="0" collapsed="false">
      <c r="A42" s="230"/>
      <c r="B42" s="232"/>
      <c r="C42" s="259"/>
      <c r="D42" s="231"/>
      <c r="E42" s="218"/>
      <c r="F42" s="216"/>
      <c r="G42" s="217"/>
      <c r="H42" s="175" t="n">
        <v>0</v>
      </c>
      <c r="I42" s="258" t="str">
        <f aca="false">IF((D42&gt;0),D42*I$4," ")</f>
        <v> </v>
      </c>
      <c r="J42" s="175" t="n">
        <v>0</v>
      </c>
      <c r="K42" s="215" t="str">
        <f aca="false">IF(D42&gt;0,D42-D42*I$4," ")</f>
        <v> </v>
      </c>
      <c r="L42" s="217"/>
      <c r="M42" s="230"/>
      <c r="N42" s="231"/>
      <c r="O42" s="217"/>
      <c r="P42" s="215" t="str">
        <f aca="false">IF((M42+N42)&gt;0,IF(N42&lt;K42,(K42-N42)," ")," ")</f>
        <v> </v>
      </c>
      <c r="Q42" s="215" t="str">
        <f aca="false">IF((M42+N42)&gt;0,IF(N42&gt;K42,(N42-K42)," ")," ")</f>
        <v> </v>
      </c>
    </row>
    <row r="43" customFormat="false" ht="12.65" hidden="false" customHeight="false" outlineLevel="0" collapsed="false">
      <c r="A43" s="233"/>
      <c r="B43" s="234"/>
      <c r="C43" s="260"/>
      <c r="D43" s="235"/>
      <c r="E43" s="218"/>
      <c r="F43" s="216"/>
      <c r="G43" s="217"/>
      <c r="H43" s="175" t="n">
        <v>0</v>
      </c>
      <c r="I43" s="258" t="str">
        <f aca="false">IF((D43&gt;0),D43*I$4," ")</f>
        <v> </v>
      </c>
      <c r="J43" s="175" t="n">
        <v>0</v>
      </c>
      <c r="K43" s="215" t="str">
        <f aca="false">IF(D43&gt;0,D43-D43*I$4," ")</f>
        <v> </v>
      </c>
      <c r="L43" s="217"/>
      <c r="M43" s="230"/>
      <c r="N43" s="231"/>
      <c r="O43" s="217"/>
      <c r="P43" s="215" t="str">
        <f aca="false">IF((M43+N43)&gt;0,IF(N43&lt;K43,(K43-N43)," ")," ")</f>
        <v> </v>
      </c>
      <c r="Q43" s="215" t="str">
        <f aca="false">IF((M43+N43)&gt;0,IF(N43&gt;K43,(N43-K43)," ")," ")</f>
        <v> </v>
      </c>
    </row>
    <row r="44" customFormat="false" ht="12.75" hidden="false" customHeight="true" outlineLevel="0" collapsed="false">
      <c r="A44" s="261" t="s">
        <v>188</v>
      </c>
      <c r="B44" s="261"/>
      <c r="C44" s="262" t="n">
        <f aca="false">Admin!B$4</f>
        <v>43927</v>
      </c>
      <c r="D44" s="238" t="n">
        <f aca="false">SUM(D36:D43)</f>
        <v>0</v>
      </c>
      <c r="E44" s="218"/>
      <c r="F44" s="216"/>
      <c r="G44" s="217"/>
      <c r="H44" s="239" t="n">
        <f aca="false">SUM(H36:H43)</f>
        <v>0</v>
      </c>
      <c r="I44" s="240" t="n">
        <f aca="false">SUM(I36:I43)</f>
        <v>0</v>
      </c>
      <c r="J44" s="239" t="n">
        <f aca="false">SUM(J36:J43)</f>
        <v>0</v>
      </c>
      <c r="K44" s="238" t="n">
        <f aca="false">SUM(K36:K43)</f>
        <v>0</v>
      </c>
      <c r="L44" s="217"/>
      <c r="M44" s="224"/>
      <c r="N44" s="238" t="n">
        <f aca="false">SUM(N36:N43)</f>
        <v>0</v>
      </c>
      <c r="O44" s="217"/>
      <c r="P44" s="238" t="n">
        <f aca="false">SUM(P36:P43)</f>
        <v>0</v>
      </c>
      <c r="Q44" s="238" t="n">
        <f aca="false">SUM(Q36:Q43)</f>
        <v>0</v>
      </c>
    </row>
    <row r="45" customFormat="false" ht="12.65" hidden="false" customHeight="false" outlineLevel="0" collapsed="false">
      <c r="A45" s="224"/>
      <c r="B45" s="241"/>
      <c r="C45" s="263"/>
      <c r="D45" s="218"/>
      <c r="E45" s="218"/>
      <c r="F45" s="216"/>
      <c r="G45" s="217"/>
      <c r="H45" s="175"/>
      <c r="I45" s="258"/>
      <c r="J45" s="175"/>
      <c r="K45" s="215"/>
      <c r="L45" s="217"/>
      <c r="M45" s="224"/>
      <c r="N45" s="218"/>
      <c r="O45" s="217"/>
      <c r="P45" s="215"/>
      <c r="Q45" s="215"/>
    </row>
    <row r="46" customFormat="false" ht="12.65" hidden="false" customHeight="false" outlineLevel="0" collapsed="false">
      <c r="A46" s="261" t="s">
        <v>189</v>
      </c>
      <c r="B46" s="261"/>
      <c r="C46" s="262" t="n">
        <f aca="false">Admin!B$4</f>
        <v>43927</v>
      </c>
      <c r="D46" s="264"/>
      <c r="E46" s="222"/>
      <c r="F46" s="223"/>
      <c r="G46" s="217"/>
      <c r="H46" s="175"/>
      <c r="I46" s="258"/>
      <c r="J46" s="175"/>
      <c r="K46" s="215"/>
      <c r="L46" s="217"/>
      <c r="M46" s="224"/>
      <c r="N46" s="218"/>
      <c r="O46" s="217"/>
      <c r="P46" s="215"/>
      <c r="Q46" s="215"/>
    </row>
    <row r="47" customFormat="false" ht="12.65" hidden="false" customHeight="false" outlineLevel="0" collapsed="false">
      <c r="A47" s="225"/>
      <c r="B47" s="226"/>
      <c r="C47" s="257"/>
      <c r="D47" s="227"/>
      <c r="E47" s="218"/>
      <c r="F47" s="243"/>
      <c r="G47" s="217"/>
      <c r="H47" s="175" t="n">
        <v>0</v>
      </c>
      <c r="I47" s="175" t="n">
        <v>0</v>
      </c>
      <c r="J47" s="215" t="str">
        <f aca="false">IF(D47&gt;0,MIN(D47*J$4*(1-F47),Admin!G$8*(1-F47))," ")</f>
        <v> </v>
      </c>
      <c r="K47" s="215" t="str">
        <f aca="false">IF(D47&gt;0,D47-J47," ")</f>
        <v> </v>
      </c>
      <c r="L47" s="217"/>
      <c r="M47" s="230"/>
      <c r="N47" s="231"/>
      <c r="O47" s="217"/>
      <c r="P47" s="215" t="str">
        <f aca="false">IF((M47+N47)&gt;0,IF(N47&lt;K47,(K47-N47)*(1-F47)," ")," ")</f>
        <v> </v>
      </c>
      <c r="Q47" s="215" t="str">
        <f aca="false">IF((M47+N47)&gt;0,IF(N47&gt;K47,(N47-K47)*(1-F47)," ")," ")</f>
        <v> </v>
      </c>
    </row>
    <row r="48" customFormat="false" ht="12.65" hidden="false" customHeight="false" outlineLevel="0" collapsed="false">
      <c r="A48" s="230"/>
      <c r="B48" s="232"/>
      <c r="C48" s="259"/>
      <c r="D48" s="231"/>
      <c r="E48" s="218"/>
      <c r="F48" s="243"/>
      <c r="G48" s="217"/>
      <c r="H48" s="175" t="n">
        <v>0</v>
      </c>
      <c r="I48" s="175" t="n">
        <v>0</v>
      </c>
      <c r="J48" s="215" t="str">
        <f aca="false">IF(D48&gt;0,MIN(D48*J$4*(1-F48),Admin!G$8*(1-F48))," ")</f>
        <v> </v>
      </c>
      <c r="K48" s="215" t="str">
        <f aca="false">IF(D48&gt;0,D48-J48," ")</f>
        <v> </v>
      </c>
      <c r="L48" s="217"/>
      <c r="M48" s="230"/>
      <c r="N48" s="231"/>
      <c r="O48" s="217"/>
      <c r="P48" s="215" t="str">
        <f aca="false">IF((M48+N48)&gt;0,IF(N48&lt;K48,(K48-N48)*(1-F48)," ")," ")</f>
        <v> </v>
      </c>
      <c r="Q48" s="215" t="str">
        <f aca="false">IF((M48+N48)&gt;0,IF(N48&gt;K48,(N48-K48)*(1-F48)," ")," ")</f>
        <v> </v>
      </c>
    </row>
    <row r="49" customFormat="false" ht="12.65" hidden="false" customHeight="false" outlineLevel="0" collapsed="false">
      <c r="A49" s="230"/>
      <c r="B49" s="232"/>
      <c r="C49" s="259"/>
      <c r="D49" s="231"/>
      <c r="E49" s="218"/>
      <c r="F49" s="243"/>
      <c r="G49" s="217"/>
      <c r="H49" s="175" t="n">
        <v>0</v>
      </c>
      <c r="I49" s="175" t="n">
        <v>0</v>
      </c>
      <c r="J49" s="215" t="str">
        <f aca="false">IF(D49&gt;0,MIN(D49*J$4*(1-F49),Admin!G$8*(1-F49))," ")</f>
        <v> </v>
      </c>
      <c r="K49" s="215" t="str">
        <f aca="false">IF(D49&gt;0,D49-J49," ")</f>
        <v> </v>
      </c>
      <c r="L49" s="217"/>
      <c r="M49" s="230"/>
      <c r="N49" s="231"/>
      <c r="O49" s="217"/>
      <c r="P49" s="215" t="str">
        <f aca="false">IF((M49+N49)&gt;0,IF(N49&lt;K49,(K49-N49)*(1-F49)," ")," ")</f>
        <v> </v>
      </c>
      <c r="Q49" s="215" t="str">
        <f aca="false">IF((M49+N49)&gt;0,IF(N49&gt;K49,(N49-K49)*(1-F49)," ")," ")</f>
        <v> </v>
      </c>
    </row>
    <row r="50" customFormat="false" ht="12.65" hidden="false" customHeight="false" outlineLevel="0" collapsed="false">
      <c r="A50" s="230"/>
      <c r="B50" s="232"/>
      <c r="C50" s="259"/>
      <c r="D50" s="231"/>
      <c r="E50" s="218"/>
      <c r="F50" s="243"/>
      <c r="G50" s="217"/>
      <c r="H50" s="175" t="n">
        <v>0</v>
      </c>
      <c r="I50" s="175" t="n">
        <v>0</v>
      </c>
      <c r="J50" s="215" t="str">
        <f aca="false">IF(D50&gt;0,MIN(D50*J$4*(1-F50),Admin!G$8*(1-F50))," ")</f>
        <v> </v>
      </c>
      <c r="K50" s="215" t="str">
        <f aca="false">IF(D50&gt;0,D50-J50," ")</f>
        <v> </v>
      </c>
      <c r="L50" s="217"/>
      <c r="M50" s="230"/>
      <c r="N50" s="231"/>
      <c r="O50" s="217"/>
      <c r="P50" s="215" t="str">
        <f aca="false">IF((M50+N50)&gt;0,IF(N50&lt;K50,(K50-N50)*(1-F50)," ")," ")</f>
        <v> </v>
      </c>
      <c r="Q50" s="215" t="str">
        <f aca="false">IF((M50+N50)&gt;0,IF(N50&gt;K50,(N50-K50)*(1-F50)," ")," ")</f>
        <v> </v>
      </c>
    </row>
    <row r="51" customFormat="false" ht="12.65" hidden="false" customHeight="false" outlineLevel="0" collapsed="false">
      <c r="A51" s="230"/>
      <c r="B51" s="232"/>
      <c r="C51" s="259"/>
      <c r="D51" s="231"/>
      <c r="E51" s="218"/>
      <c r="F51" s="243"/>
      <c r="G51" s="217"/>
      <c r="H51" s="175" t="n">
        <v>0</v>
      </c>
      <c r="I51" s="175" t="n">
        <v>0</v>
      </c>
      <c r="J51" s="215" t="str">
        <f aca="false">IF(D51&gt;0,MIN(D51*J$4*(1-F51),Admin!G$8*(1-F51))," ")</f>
        <v> </v>
      </c>
      <c r="K51" s="215" t="str">
        <f aca="false">IF(D51&gt;0,D51-J51," ")</f>
        <v> </v>
      </c>
      <c r="L51" s="217"/>
      <c r="M51" s="230"/>
      <c r="N51" s="231"/>
      <c r="O51" s="217"/>
      <c r="P51" s="215" t="str">
        <f aca="false">IF((M51+N51)&gt;0,IF(N51&lt;K51,(K51-N51)*(1-F51)," ")," ")</f>
        <v> </v>
      </c>
      <c r="Q51" s="215" t="str">
        <f aca="false">IF((M51+N51)&gt;0,IF(N51&gt;K51,(N51-K51)*(1-F51)," ")," ")</f>
        <v> </v>
      </c>
    </row>
    <row r="52" customFormat="false" ht="12.75" hidden="false" customHeight="true" outlineLevel="0" collapsed="false">
      <c r="A52" s="265" t="s">
        <v>190</v>
      </c>
      <c r="B52" s="265"/>
      <c r="C52" s="266" t="n">
        <f aca="false">Admin!B$4</f>
        <v>43927</v>
      </c>
      <c r="D52" s="238" t="n">
        <f aca="false">SUM(D47:D51)</f>
        <v>0</v>
      </c>
      <c r="E52" s="218"/>
      <c r="F52" s="216"/>
      <c r="G52" s="217"/>
      <c r="H52" s="239" t="n">
        <f aca="false">SUM(H47:H51)</f>
        <v>0</v>
      </c>
      <c r="I52" s="240" t="n">
        <f aca="false">SUM(I47:I51)</f>
        <v>0</v>
      </c>
      <c r="J52" s="239" t="n">
        <f aca="false">SUM(J47:J51)</f>
        <v>0</v>
      </c>
      <c r="K52" s="238" t="n">
        <f aca="false">SUM(K47:K51)</f>
        <v>0</v>
      </c>
      <c r="L52" s="217"/>
      <c r="M52" s="224"/>
      <c r="N52" s="238" t="n">
        <f aca="false">SUM(N47:N51)</f>
        <v>0</v>
      </c>
      <c r="O52" s="217"/>
      <c r="P52" s="238" t="n">
        <f aca="false">SUM(P47:P51)</f>
        <v>0</v>
      </c>
      <c r="Q52" s="238" t="n">
        <f aca="false">SUM(Q47:Q51)</f>
        <v>0</v>
      </c>
    </row>
    <row r="53" customFormat="false" ht="12.65" hidden="false" customHeight="false" outlineLevel="0" collapsed="false">
      <c r="A53" s="224"/>
      <c r="B53" s="241"/>
      <c r="C53" s="241"/>
      <c r="D53" s="218"/>
      <c r="E53" s="218"/>
      <c r="F53" s="216"/>
      <c r="G53" s="217"/>
      <c r="H53" s="218"/>
      <c r="I53" s="175"/>
      <c r="J53" s="215"/>
      <c r="K53" s="215"/>
      <c r="L53" s="217"/>
      <c r="M53" s="224"/>
      <c r="N53" s="218"/>
      <c r="O53" s="217"/>
      <c r="P53" s="215"/>
      <c r="Q53" s="215"/>
    </row>
    <row r="54" customFormat="false" ht="12.65" hidden="false" customHeight="false" outlineLevel="0" collapsed="false">
      <c r="A54" s="261" t="s">
        <v>191</v>
      </c>
      <c r="B54" s="261"/>
      <c r="C54" s="262" t="n">
        <f aca="false">Admin!B$4</f>
        <v>43927</v>
      </c>
      <c r="D54" s="264"/>
      <c r="E54" s="222"/>
      <c r="F54" s="223"/>
      <c r="G54" s="217"/>
      <c r="H54" s="175"/>
      <c r="I54" s="215"/>
      <c r="J54" s="175"/>
      <c r="K54" s="215"/>
      <c r="L54" s="217"/>
      <c r="M54" s="224"/>
      <c r="N54" s="218"/>
      <c r="O54" s="217"/>
      <c r="P54" s="215"/>
      <c r="Q54" s="215"/>
    </row>
    <row r="55" customFormat="false" ht="12.65" hidden="false" customHeight="false" outlineLevel="0" collapsed="false">
      <c r="A55" s="225"/>
      <c r="B55" s="226"/>
      <c r="C55" s="257"/>
      <c r="D55" s="227"/>
      <c r="E55" s="218"/>
      <c r="F55" s="243"/>
      <c r="G55" s="217"/>
      <c r="H55" s="175" t="n">
        <v>0</v>
      </c>
      <c r="I55" s="175" t="n">
        <v>0</v>
      </c>
      <c r="J55" s="215" t="str">
        <f aca="false">IF(D55&gt;0,MIN(D55*J$4*(1-F55),Admin!G$8*(1-F55))," ")</f>
        <v> </v>
      </c>
      <c r="K55" s="215" t="str">
        <f aca="false">IF(D55&gt;0,D55-J55," ")</f>
        <v> </v>
      </c>
      <c r="L55" s="217"/>
      <c r="M55" s="230"/>
      <c r="N55" s="231"/>
      <c r="O55" s="217"/>
      <c r="P55" s="215" t="str">
        <f aca="false">IF((M55+N55)&gt;0,IF(N55&lt;K55,(K55-N55)*(1-F55)," ")," ")</f>
        <v> </v>
      </c>
      <c r="Q55" s="215" t="str">
        <f aca="false">IF((M55+N55)&gt;0,IF(N55&gt;K55,(N55-K55)*(1-F55)," ")," ")</f>
        <v> </v>
      </c>
    </row>
    <row r="56" customFormat="false" ht="12.65" hidden="false" customHeight="false" outlineLevel="0" collapsed="false">
      <c r="A56" s="230"/>
      <c r="B56" s="232"/>
      <c r="C56" s="259"/>
      <c r="D56" s="231"/>
      <c r="E56" s="218"/>
      <c r="F56" s="243"/>
      <c r="G56" s="217"/>
      <c r="H56" s="175" t="n">
        <v>0</v>
      </c>
      <c r="I56" s="175" t="n">
        <v>0</v>
      </c>
      <c r="J56" s="215" t="str">
        <f aca="false">IF(D56&gt;0,MIN(D56*J$4*(1-F56),Admin!G$8*(1-F56))," ")</f>
        <v> </v>
      </c>
      <c r="K56" s="215" t="str">
        <f aca="false">IF(D56&gt;0,D56-J56," ")</f>
        <v> </v>
      </c>
      <c r="L56" s="217"/>
      <c r="M56" s="230"/>
      <c r="N56" s="231"/>
      <c r="O56" s="217"/>
      <c r="P56" s="215" t="str">
        <f aca="false">IF((M56+N56)&gt;0,IF(N56&lt;K56,(K56-N56)*(1-F56)," ")," ")</f>
        <v> </v>
      </c>
      <c r="Q56" s="215" t="str">
        <f aca="false">IF((M56+N56)&gt;0,IF(N56&gt;K56,(N56-K56)*(1-F56)," ")," ")</f>
        <v> </v>
      </c>
    </row>
    <row r="57" customFormat="false" ht="12.65" hidden="false" customHeight="false" outlineLevel="0" collapsed="false">
      <c r="A57" s="230"/>
      <c r="B57" s="232"/>
      <c r="C57" s="259"/>
      <c r="D57" s="231"/>
      <c r="E57" s="218"/>
      <c r="F57" s="243"/>
      <c r="G57" s="217"/>
      <c r="H57" s="175" t="n">
        <v>0</v>
      </c>
      <c r="I57" s="175" t="n">
        <v>0</v>
      </c>
      <c r="J57" s="215" t="str">
        <f aca="false">IF(D57&gt;0,MIN(D57*J$4*(1-F57),Admin!G$8*(1-F57))," ")</f>
        <v> </v>
      </c>
      <c r="K57" s="215" t="str">
        <f aca="false">IF(D57&gt;0,D57-J57," ")</f>
        <v> </v>
      </c>
      <c r="L57" s="217"/>
      <c r="M57" s="230"/>
      <c r="N57" s="231"/>
      <c r="O57" s="217"/>
      <c r="P57" s="215" t="str">
        <f aca="false">IF((M57+N57)&gt;0,IF(N57&lt;K57,(K57-N57)*(1-F57)," ")," ")</f>
        <v> </v>
      </c>
      <c r="Q57" s="215" t="str">
        <f aca="false">IF((M57+N57)&gt;0,IF(N57&gt;K57,(N57-K57)*(1-F57)," ")," ")</f>
        <v> </v>
      </c>
    </row>
    <row r="58" customFormat="false" ht="12.65" hidden="false" customHeight="false" outlineLevel="0" collapsed="false">
      <c r="A58" s="230"/>
      <c r="B58" s="232"/>
      <c r="C58" s="259"/>
      <c r="D58" s="231"/>
      <c r="E58" s="218"/>
      <c r="F58" s="243"/>
      <c r="G58" s="217"/>
      <c r="H58" s="175" t="n">
        <v>0</v>
      </c>
      <c r="I58" s="175" t="n">
        <v>0</v>
      </c>
      <c r="J58" s="215" t="str">
        <f aca="false">IF(D58&gt;0,MIN(D58*J$4*(1-F58),Admin!G$8*(1-F58))," ")</f>
        <v> </v>
      </c>
      <c r="K58" s="215" t="str">
        <f aca="false">IF(D58&gt;0,D58-J58," ")</f>
        <v> </v>
      </c>
      <c r="L58" s="217"/>
      <c r="M58" s="230"/>
      <c r="N58" s="231"/>
      <c r="O58" s="217"/>
      <c r="P58" s="215" t="str">
        <f aca="false">IF((M58+N58)&gt;0,IF(N58&lt;K58,(K58-N58)*(1-F58)," ")," ")</f>
        <v> </v>
      </c>
      <c r="Q58" s="215" t="str">
        <f aca="false">IF((M58+N58)&gt;0,IF(N58&gt;K58,(N58-K58)*(1-F58)," ")," ")</f>
        <v> </v>
      </c>
    </row>
    <row r="59" customFormat="false" ht="12.65" hidden="false" customHeight="false" outlineLevel="0" collapsed="false">
      <c r="A59" s="230"/>
      <c r="B59" s="232"/>
      <c r="C59" s="259"/>
      <c r="D59" s="231"/>
      <c r="E59" s="218"/>
      <c r="F59" s="243"/>
      <c r="G59" s="217"/>
      <c r="H59" s="175" t="n">
        <v>0</v>
      </c>
      <c r="I59" s="175" t="n">
        <v>0</v>
      </c>
      <c r="J59" s="215" t="str">
        <f aca="false">IF(D59&gt;0,MIN(D59*J$4*(1-F59),Admin!G$8*(1-F59))," ")</f>
        <v> </v>
      </c>
      <c r="K59" s="215" t="str">
        <f aca="false">IF(D59&gt;0,D59-J59," ")</f>
        <v> </v>
      </c>
      <c r="L59" s="217"/>
      <c r="M59" s="230"/>
      <c r="N59" s="231"/>
      <c r="O59" s="217"/>
      <c r="P59" s="215" t="str">
        <f aca="false">IF((M59+N59)&gt;0,IF(N59&lt;K59,(K59-N59)*(1-F59)," ")," ")</f>
        <v> </v>
      </c>
      <c r="Q59" s="215" t="str">
        <f aca="false">IF((M59+N59)&gt;0,IF(N59&gt;K59,(N59-K59)*(1-F59)," ")," ")</f>
        <v> </v>
      </c>
    </row>
    <row r="60" customFormat="false" ht="12.65" hidden="false" customHeight="true" outlineLevel="0" collapsed="false">
      <c r="A60" s="265" t="s">
        <v>192</v>
      </c>
      <c r="B60" s="265"/>
      <c r="C60" s="266" t="n">
        <f aca="false">Admin!B$4</f>
        <v>43927</v>
      </c>
      <c r="D60" s="267" t="n">
        <f aca="false">SUM(D55:D59)</f>
        <v>0</v>
      </c>
      <c r="E60" s="218"/>
      <c r="F60" s="216"/>
      <c r="G60" s="217"/>
      <c r="H60" s="239" t="n">
        <f aca="false">SUM(H55:H59)</f>
        <v>0</v>
      </c>
      <c r="I60" s="240" t="n">
        <f aca="false">SUM(I55:I59)</f>
        <v>0</v>
      </c>
      <c r="J60" s="239" t="n">
        <f aca="false">SUM(J55:J59)</f>
        <v>0</v>
      </c>
      <c r="K60" s="238" t="n">
        <f aca="false">SUM(K55:K59)</f>
        <v>0</v>
      </c>
      <c r="L60" s="217"/>
      <c r="M60" s="224"/>
      <c r="N60" s="238" t="n">
        <f aca="false">SUM(N55:N59)</f>
        <v>0</v>
      </c>
      <c r="O60" s="217"/>
      <c r="P60" s="238" t="n">
        <f aca="false">SUM(P55:P59)</f>
        <v>0</v>
      </c>
      <c r="Q60" s="238" t="n">
        <f aca="false">SUM(Q55:Q59)</f>
        <v>0</v>
      </c>
    </row>
    <row r="61" customFormat="false" ht="12.65" hidden="false" customHeight="false" outlineLevel="0" collapsed="false">
      <c r="A61" s="224"/>
      <c r="B61" s="241"/>
      <c r="C61" s="263"/>
      <c r="D61" s="218"/>
      <c r="E61" s="218"/>
      <c r="F61" s="216"/>
      <c r="G61" s="217"/>
      <c r="H61" s="175"/>
      <c r="I61" s="215"/>
      <c r="J61" s="175"/>
      <c r="K61" s="215"/>
      <c r="L61" s="217"/>
      <c r="M61" s="224"/>
      <c r="N61" s="218"/>
      <c r="O61" s="217"/>
      <c r="P61" s="215"/>
      <c r="Q61" s="215"/>
    </row>
    <row r="62" customFormat="false" ht="12.65" hidden="false" customHeight="false" outlineLevel="0" collapsed="false">
      <c r="A62" s="268" t="s">
        <v>193</v>
      </c>
      <c r="B62" s="268"/>
      <c r="C62" s="269" t="str">
        <f aca="false">Admin!G$2</f>
        <v>2020-21</v>
      </c>
      <c r="D62" s="249" t="n">
        <f aca="false">D44+D52+D60</f>
        <v>0</v>
      </c>
      <c r="E62" s="218"/>
      <c r="F62" s="216"/>
      <c r="G62" s="217"/>
      <c r="H62" s="250" t="n">
        <f aca="false">H44+H52+H60</f>
        <v>0</v>
      </c>
      <c r="I62" s="251" t="n">
        <f aca="false">I44+I52+I60</f>
        <v>0</v>
      </c>
      <c r="J62" s="250" t="n">
        <f aca="false">J44+J52+J60</f>
        <v>0</v>
      </c>
      <c r="K62" s="249" t="n">
        <f aca="false">K44+K52+K60</f>
        <v>0</v>
      </c>
      <c r="L62" s="217"/>
      <c r="M62" s="224"/>
      <c r="N62" s="249" t="n">
        <f aca="false">N44+N52+N60</f>
        <v>0</v>
      </c>
      <c r="O62" s="217"/>
      <c r="P62" s="249" t="n">
        <f aca="false">P44+P52+P60</f>
        <v>0</v>
      </c>
      <c r="Q62" s="249" t="n">
        <f aca="false">Q44+Q52+Q60</f>
        <v>0</v>
      </c>
    </row>
    <row r="63" customFormat="false" ht="12" hidden="false" customHeight="false" outlineLevel="0" collapsed="false">
      <c r="A63" s="224"/>
      <c r="B63" s="241"/>
      <c r="C63" s="241"/>
      <c r="D63" s="218"/>
      <c r="E63" s="218"/>
      <c r="F63" s="216"/>
      <c r="G63" s="270"/>
      <c r="H63" s="218"/>
      <c r="I63" s="215"/>
      <c r="J63" s="215"/>
      <c r="K63" s="215"/>
      <c r="L63" s="270"/>
      <c r="M63" s="224"/>
      <c r="N63" s="218"/>
      <c r="O63" s="270"/>
      <c r="P63" s="215"/>
      <c r="Q63" s="215"/>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126" width="2.66"/>
    <col collapsed="false" customWidth="true" hidden="false" outlineLevel="0" max="2" min="2" style="126" width="25.99"/>
    <col collapsed="false" customWidth="true" hidden="false" outlineLevel="0" max="3" min="3" style="126" width="11.32"/>
    <col collapsed="false" customWidth="true" hidden="false" outlineLevel="0" max="4" min="4" style="271" width="13.49"/>
    <col collapsed="false" customWidth="true" hidden="false" outlineLevel="0" max="5" min="5" style="272" width="12.66"/>
    <col collapsed="false" customWidth="true" hidden="false" outlineLevel="0" max="6" min="6" style="273" width="4.15"/>
    <col collapsed="false" customWidth="true" hidden="false" outlineLevel="0" max="7" min="7" style="127" width="2.66"/>
    <col collapsed="false" customWidth="false" hidden="false" outlineLevel="0" max="257" min="8" style="126" width="9.15"/>
  </cols>
  <sheetData>
    <row r="1" customFormat="false" ht="12.75" hidden="false" customHeight="false" outlineLevel="0" collapsed="false">
      <c r="A1" s="135"/>
      <c r="B1" s="135"/>
      <c r="C1" s="135"/>
      <c r="D1" s="274"/>
      <c r="E1" s="275"/>
      <c r="F1" s="276"/>
      <c r="G1" s="135"/>
    </row>
    <row r="2" customFormat="false" ht="18" hidden="false" customHeight="true" outlineLevel="0" collapsed="false">
      <c r="A2" s="135"/>
      <c r="B2" s="277" t="s">
        <v>194</v>
      </c>
      <c r="C2" s="278" t="str">
        <f aca="false">Admin!K$2</f>
        <v>2020-21</v>
      </c>
      <c r="D2" s="279" t="s">
        <v>195</v>
      </c>
      <c r="E2" s="279"/>
      <c r="F2" s="279"/>
      <c r="G2" s="280"/>
    </row>
    <row r="3" customFormat="false" ht="18.75" hidden="false" customHeight="true" outlineLevel="0" collapsed="false">
      <c r="A3" s="135"/>
      <c r="B3" s="281"/>
      <c r="C3" s="281"/>
      <c r="D3" s="279"/>
      <c r="E3" s="279"/>
      <c r="F3" s="279"/>
      <c r="G3" s="280"/>
    </row>
    <row r="4" customFormat="false" ht="12.75" hidden="false" customHeight="false" outlineLevel="0" collapsed="false">
      <c r="A4" s="135"/>
      <c r="B4" s="144"/>
      <c r="C4" s="144"/>
      <c r="D4" s="282"/>
      <c r="E4" s="275"/>
      <c r="F4" s="276"/>
      <c r="G4" s="280"/>
    </row>
    <row r="5" customFormat="false" ht="12.75" hidden="false" customHeight="false" outlineLevel="0" collapsed="false">
      <c r="A5" s="135"/>
      <c r="B5" s="283" t="s">
        <v>196</v>
      </c>
      <c r="C5" s="283"/>
      <c r="D5" s="283"/>
      <c r="E5" s="284" t="n">
        <f aca="false">'SE Short'!D106</f>
        <v>29640</v>
      </c>
      <c r="F5" s="276"/>
      <c r="G5" s="280"/>
      <c r="K5" s="285"/>
    </row>
    <row r="6" customFormat="false" ht="12.75" hidden="false" customHeight="false" outlineLevel="0" collapsed="false">
      <c r="A6" s="135"/>
      <c r="B6" s="144" t="s">
        <v>197</v>
      </c>
      <c r="C6" s="144" t="str">
        <f aca="false">C2</f>
        <v>2020-21</v>
      </c>
      <c r="D6" s="286"/>
      <c r="E6" s="280" t="n">
        <f aca="false">IF((E5&gt;0),Admin!N$4,0)</f>
        <v>12500</v>
      </c>
      <c r="F6" s="276"/>
      <c r="G6" s="280"/>
      <c r="K6" s="285"/>
    </row>
    <row r="7" customFormat="false" ht="12.75" hidden="false" customHeight="false" outlineLevel="0" collapsed="false">
      <c r="A7" s="135"/>
      <c r="B7" s="283" t="s">
        <v>198</v>
      </c>
      <c r="C7" s="283"/>
      <c r="D7" s="283"/>
      <c r="E7" s="284" t="n">
        <f aca="false">IF((E5&gt;E6),(E5-E6),0)</f>
        <v>17140</v>
      </c>
      <c r="F7" s="276"/>
      <c r="G7" s="280"/>
      <c r="K7" s="285"/>
    </row>
    <row r="8" customFormat="false" ht="12.75" hidden="false" customHeight="false" outlineLevel="0" collapsed="false">
      <c r="A8" s="135"/>
      <c r="B8" s="144" t="s">
        <v>199</v>
      </c>
      <c r="C8" s="144" t="n">
        <f aca="false">Admin!N$11</f>
        <v>0</v>
      </c>
      <c r="D8" s="287" t="n">
        <f aca="false">Admin!N$6</f>
        <v>0</v>
      </c>
      <c r="E8" s="275" t="n">
        <f aca="false">IF((E7&gt;0),(IF((E7&lt;C9),E7*D8,C9*D8)),0)</f>
        <v>0</v>
      </c>
      <c r="F8" s="276"/>
      <c r="G8" s="280"/>
      <c r="H8" s="288"/>
      <c r="K8" s="285"/>
    </row>
    <row r="9" customFormat="false" ht="12.75" hidden="false" customHeight="false" outlineLevel="0" collapsed="false">
      <c r="A9" s="135"/>
      <c r="B9" s="144" t="s">
        <v>200</v>
      </c>
      <c r="C9" s="144" t="n">
        <f aca="false">Admin!N$12</f>
        <v>0</v>
      </c>
      <c r="D9" s="287" t="n">
        <f aca="false">Admin!N$7</f>
        <v>0.2</v>
      </c>
      <c r="E9" s="275" t="n">
        <f aca="false">IF((E7&gt;C9),((E7-C9)*D9),0)</f>
        <v>3428</v>
      </c>
      <c r="F9" s="276"/>
      <c r="G9" s="280"/>
      <c r="K9" s="285"/>
    </row>
    <row r="10" customFormat="false" ht="12.75" hidden="false" customHeight="false" outlineLevel="0" collapsed="false">
      <c r="A10" s="135"/>
      <c r="B10" s="289" t="s">
        <v>201</v>
      </c>
      <c r="C10" s="290"/>
      <c r="D10" s="291"/>
      <c r="E10" s="292" t="n">
        <f aca="false">SUM(E8:E9)</f>
        <v>3428</v>
      </c>
      <c r="F10" s="276"/>
      <c r="G10" s="280"/>
      <c r="K10" s="285"/>
    </row>
    <row r="11" customFormat="false" ht="12.75" hidden="false" customHeight="false" outlineLevel="0" collapsed="false">
      <c r="A11" s="135"/>
      <c r="B11" s="144"/>
      <c r="C11" s="144"/>
      <c r="D11" s="293"/>
      <c r="E11" s="275"/>
      <c r="F11" s="294"/>
      <c r="G11" s="295"/>
      <c r="K11" s="285"/>
    </row>
    <row r="12" customFormat="false" ht="12.75" hidden="false" customHeight="false" outlineLevel="0" collapsed="false">
      <c r="A12" s="135"/>
      <c r="B12" s="296" t="s">
        <v>202</v>
      </c>
      <c r="C12" s="297" t="n">
        <f aca="false">Admin!B$21</f>
        <v>44592</v>
      </c>
      <c r="D12" s="297"/>
      <c r="E12" s="275"/>
      <c r="F12" s="294"/>
      <c r="G12" s="295"/>
      <c r="K12" s="285"/>
    </row>
    <row r="13" customFormat="false" ht="9.75" hidden="false" customHeight="true" outlineLevel="0" collapsed="false">
      <c r="A13" s="135"/>
      <c r="B13" s="144"/>
      <c r="C13" s="144"/>
      <c r="D13" s="298"/>
      <c r="E13" s="299"/>
      <c r="F13" s="276"/>
      <c r="G13" s="295"/>
      <c r="K13" s="285"/>
    </row>
    <row r="14" customFormat="false" ht="12.75" hidden="false" customHeight="false" outlineLevel="0" collapsed="false">
      <c r="A14" s="135"/>
      <c r="B14" s="300" t="s">
        <v>203</v>
      </c>
      <c r="C14" s="300"/>
      <c r="D14" s="287" t="n">
        <f aca="false">Admin!L$20</f>
        <v>0.09</v>
      </c>
      <c r="E14" s="301" t="n">
        <f aca="false">IF(E5&gt;Admin!N20,IF(E5&lt;Admin!N$23,(E5-Admin!N20)*D14,(Admin!N$23-Admin!N20)*D14),0)</f>
        <v>1812.6</v>
      </c>
      <c r="F14" s="276"/>
      <c r="G14" s="295"/>
      <c r="K14" s="285"/>
    </row>
    <row r="15" customFormat="false" ht="12.75" hidden="false" customHeight="false" outlineLevel="0" collapsed="false">
      <c r="A15" s="135"/>
      <c r="B15" s="300" t="s">
        <v>204</v>
      </c>
      <c r="C15" s="300"/>
      <c r="D15" s="287" t="n">
        <f aca="false">Admin!L$23</f>
        <v>0.02</v>
      </c>
      <c r="E15" s="301" t="n">
        <f aca="false">IF((E5&gt;Admin!N$23),((E5-Admin!N$23)*D15),0)</f>
        <v>0</v>
      </c>
      <c r="F15" s="276"/>
      <c r="G15" s="295"/>
      <c r="K15" s="285"/>
    </row>
    <row r="16" customFormat="false" ht="12.75" hidden="false" customHeight="false" outlineLevel="0" collapsed="false">
      <c r="A16" s="135"/>
      <c r="B16" s="144"/>
      <c r="C16" s="144"/>
      <c r="D16" s="298"/>
      <c r="E16" s="299"/>
      <c r="F16" s="276"/>
      <c r="G16" s="295"/>
      <c r="K16" s="285"/>
    </row>
    <row r="17" customFormat="false" ht="12.75" hidden="false" customHeight="false" outlineLevel="0" collapsed="false">
      <c r="A17" s="135"/>
      <c r="B17" s="302" t="s">
        <v>205</v>
      </c>
      <c r="C17" s="302"/>
      <c r="D17" s="298"/>
      <c r="E17" s="292" t="n">
        <f aca="false">SUM(E10:E16)</f>
        <v>5240.6</v>
      </c>
      <c r="F17" s="276"/>
      <c r="G17" s="280"/>
      <c r="K17" s="285"/>
    </row>
    <row r="18" customFormat="false" ht="12.75" hidden="false" customHeight="false" outlineLevel="0" collapsed="false">
      <c r="A18" s="135"/>
      <c r="B18" s="303"/>
      <c r="C18" s="303"/>
      <c r="D18" s="298"/>
      <c r="E18" s="299"/>
      <c r="F18" s="276"/>
      <c r="G18" s="280"/>
    </row>
    <row r="19" customFormat="false" ht="12.75" hidden="false" customHeight="false" outlineLevel="0" collapsed="false">
      <c r="A19" s="135"/>
      <c r="B19" s="303"/>
      <c r="C19" s="303"/>
      <c r="D19" s="298"/>
      <c r="E19" s="299"/>
      <c r="F19" s="276"/>
      <c r="G19" s="280"/>
    </row>
    <row r="20" customFormat="false" ht="18" hidden="false" customHeight="true" outlineLevel="0" collapsed="false">
      <c r="A20" s="135"/>
      <c r="B20" s="289" t="s">
        <v>206</v>
      </c>
      <c r="C20" s="304"/>
      <c r="D20" s="305" t="s">
        <v>207</v>
      </c>
      <c r="E20" s="305"/>
      <c r="F20" s="305"/>
      <c r="G20" s="135"/>
    </row>
    <row r="21" customFormat="false" ht="12.75" hidden="false" customHeight="true" outlineLevel="0" collapsed="false">
      <c r="A21" s="135"/>
      <c r="B21" s="144"/>
      <c r="C21" s="144"/>
      <c r="D21" s="298"/>
      <c r="E21" s="299"/>
      <c r="F21" s="276"/>
      <c r="G21" s="295"/>
    </row>
    <row r="22" s="310" customFormat="true" ht="12.75" hidden="false" customHeight="true" outlineLevel="0" collapsed="false">
      <c r="A22" s="306"/>
      <c r="B22" s="144"/>
      <c r="C22" s="144"/>
      <c r="D22" s="307" t="s">
        <v>208</v>
      </c>
      <c r="E22" s="308" t="s">
        <v>209</v>
      </c>
      <c r="F22" s="309"/>
      <c r="G22" s="280"/>
    </row>
    <row r="23" s="310" customFormat="true" ht="12.75" hidden="false" customHeight="false" outlineLevel="0" collapsed="false">
      <c r="A23" s="306"/>
      <c r="B23" s="144"/>
      <c r="C23" s="144"/>
      <c r="D23" s="307"/>
      <c r="E23" s="307"/>
      <c r="F23" s="309"/>
      <c r="G23" s="280"/>
    </row>
    <row r="24" customFormat="false" ht="12.75" hidden="false" customHeight="false" outlineLevel="0" collapsed="false">
      <c r="A24" s="135"/>
      <c r="B24" s="144" t="s">
        <v>210</v>
      </c>
      <c r="C24" s="311" t="str">
        <f aca="false">Admin!B$24</f>
        <v>2021-22</v>
      </c>
      <c r="D24" s="312" t="s">
        <v>211</v>
      </c>
      <c r="E24" s="301" t="n">
        <f aca="false">E17</f>
        <v>5240.6</v>
      </c>
      <c r="F24" s="276"/>
      <c r="G24" s="280"/>
    </row>
    <row r="25" customFormat="false" ht="12.75" hidden="false" customHeight="false" outlineLevel="0" collapsed="false">
      <c r="A25" s="135"/>
      <c r="B25" s="144" t="s">
        <v>212</v>
      </c>
      <c r="C25" s="144"/>
      <c r="D25" s="313" t="n">
        <f aca="false">Admin!B$21</f>
        <v>44592</v>
      </c>
      <c r="E25" s="284" t="n">
        <f aca="false">E24/2</f>
        <v>2620.3</v>
      </c>
      <c r="F25" s="276"/>
      <c r="G25" s="280"/>
    </row>
    <row r="26" customFormat="false" ht="12.75" hidden="false" customHeight="false" outlineLevel="0" collapsed="false">
      <c r="A26" s="135"/>
      <c r="B26" s="144" t="s">
        <v>212</v>
      </c>
      <c r="C26" s="144"/>
      <c r="D26" s="313" t="n">
        <f aca="false">Admin!B$22</f>
        <v>44773</v>
      </c>
      <c r="E26" s="284" t="n">
        <f aca="false">E24/2</f>
        <v>2620.3</v>
      </c>
      <c r="F26" s="276"/>
      <c r="G26" s="280"/>
    </row>
    <row r="27" customFormat="false" ht="12.75" hidden="false" customHeight="false" outlineLevel="0" collapsed="false">
      <c r="A27" s="135"/>
      <c r="B27" s="135"/>
      <c r="C27" s="135"/>
      <c r="D27" s="298"/>
      <c r="E27" s="275"/>
      <c r="F27" s="276"/>
      <c r="G27" s="280"/>
    </row>
    <row r="28" customFormat="false" ht="12.75" hidden="false" customHeight="false" outlineLevel="0" collapsed="false">
      <c r="A28" s="135"/>
      <c r="B28" s="314" t="s">
        <v>213</v>
      </c>
      <c r="C28" s="160"/>
      <c r="D28" s="298"/>
      <c r="E28" s="275"/>
      <c r="F28" s="276"/>
      <c r="G28" s="280"/>
    </row>
    <row r="29" customFormat="false" ht="12.75" hidden="false" customHeight="false" outlineLevel="0" collapsed="false">
      <c r="A29" s="135"/>
      <c r="B29" s="315" t="s">
        <v>214</v>
      </c>
      <c r="C29" s="315"/>
      <c r="D29" s="135"/>
      <c r="E29" s="316"/>
      <c r="F29" s="276"/>
      <c r="G29" s="317"/>
    </row>
    <row r="30" customFormat="false" ht="12.75" hidden="false" customHeight="false" outlineLevel="0" collapsed="false">
      <c r="A30" s="135"/>
      <c r="B30" s="318" t="s">
        <v>215</v>
      </c>
      <c r="C30" s="318"/>
      <c r="D30" s="319"/>
      <c r="E30" s="316"/>
      <c r="F30" s="276"/>
      <c r="G30" s="317"/>
    </row>
    <row r="31" customFormat="false" ht="12.75" hidden="false" customHeight="false" outlineLevel="0" collapsed="false">
      <c r="A31" s="135"/>
      <c r="B31" s="320" t="s">
        <v>216</v>
      </c>
      <c r="C31" s="318"/>
      <c r="D31" s="319"/>
      <c r="E31" s="316"/>
      <c r="F31" s="276"/>
      <c r="G31" s="317"/>
    </row>
    <row r="32" customFormat="false" ht="12.75" hidden="false" customHeight="false" outlineLevel="0" collapsed="false">
      <c r="A32" s="135"/>
      <c r="B32" s="160" t="s">
        <v>217</v>
      </c>
      <c r="C32" s="160"/>
      <c r="D32" s="319"/>
      <c r="E32" s="321"/>
      <c r="F32" s="276"/>
      <c r="G32" s="317"/>
    </row>
    <row r="33" customFormat="false" ht="12.75" hidden="false" customHeight="false" outlineLevel="0" collapsed="false">
      <c r="A33" s="135"/>
      <c r="B33" s="160" t="s">
        <v>218</v>
      </c>
      <c r="C33" s="160"/>
      <c r="D33" s="319"/>
      <c r="E33" s="321"/>
      <c r="F33" s="276"/>
      <c r="G33" s="317"/>
    </row>
    <row r="34" customFormat="false" ht="12.75" hidden="false" customHeight="false" outlineLevel="0" collapsed="false">
      <c r="A34" s="135"/>
      <c r="B34" s="160" t="s">
        <v>219</v>
      </c>
      <c r="C34" s="160"/>
      <c r="D34" s="319"/>
      <c r="E34" s="321"/>
      <c r="F34" s="276"/>
      <c r="G34" s="317"/>
    </row>
    <row r="35" customFormat="false" ht="12.75" hidden="false" customHeight="false" outlineLevel="0" collapsed="false">
      <c r="A35" s="135"/>
      <c r="B35" s="135"/>
      <c r="C35" s="135"/>
      <c r="D35" s="319"/>
      <c r="E35" s="321"/>
      <c r="F35" s="276"/>
      <c r="G35" s="317"/>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165" width="1.66"/>
    <col collapsed="false" customWidth="true" hidden="false" outlineLevel="0" max="2" min="2" style="165" width="19.66"/>
    <col collapsed="false" customWidth="true" hidden="false" outlineLevel="0" max="15" min="3" style="165" width="8.66"/>
    <col collapsed="false" customWidth="true" hidden="false" outlineLevel="0" max="16" min="16" style="165" width="1.66"/>
    <col collapsed="false" customWidth="false" hidden="false" outlineLevel="0" max="257" min="17" style="165" width="9.15"/>
  </cols>
  <sheetData>
    <row r="1" customFormat="false" ht="6" hidden="false" customHeight="true" outlineLevel="0" collapsed="false">
      <c r="A1" s="241"/>
      <c r="B1" s="322"/>
      <c r="C1" s="178"/>
      <c r="D1" s="241"/>
      <c r="E1" s="241"/>
      <c r="F1" s="241"/>
      <c r="G1" s="241"/>
      <c r="H1" s="241"/>
      <c r="I1" s="241"/>
      <c r="J1" s="241"/>
      <c r="K1" s="241"/>
      <c r="L1" s="241"/>
      <c r="M1" s="241"/>
      <c r="N1" s="241"/>
      <c r="O1" s="241"/>
      <c r="P1" s="241"/>
    </row>
    <row r="2" customFormat="false" ht="12" hidden="false" customHeight="true" outlineLevel="0" collapsed="false">
      <c r="A2" s="241"/>
      <c r="B2" s="323" t="s">
        <v>220</v>
      </c>
      <c r="C2" s="324" t="s">
        <v>221</v>
      </c>
      <c r="D2" s="325" t="n">
        <f aca="false">Admin!B$5</f>
        <v>43951</v>
      </c>
      <c r="E2" s="326" t="n">
        <f aca="false">Admin!B$6</f>
        <v>43982</v>
      </c>
      <c r="F2" s="326" t="n">
        <f aca="false">Admin!B$7</f>
        <v>44012</v>
      </c>
      <c r="G2" s="326" t="n">
        <f aca="false">Admin!B$8</f>
        <v>44043</v>
      </c>
      <c r="H2" s="326" t="n">
        <f aca="false">Admin!B$9</f>
        <v>44074</v>
      </c>
      <c r="I2" s="326" t="n">
        <f aca="false">Admin!B$10</f>
        <v>44104</v>
      </c>
      <c r="J2" s="326" t="n">
        <f aca="false">Admin!B$11</f>
        <v>44135</v>
      </c>
      <c r="K2" s="326" t="n">
        <f aca="false">Admin!B$12</f>
        <v>44165</v>
      </c>
      <c r="L2" s="326" t="n">
        <f aca="false">Admin!B$13</f>
        <v>44196</v>
      </c>
      <c r="M2" s="326" t="n">
        <f aca="false">Admin!B$14</f>
        <v>44227</v>
      </c>
      <c r="N2" s="326" t="n">
        <f aca="false">Admin!B$15</f>
        <v>44255</v>
      </c>
      <c r="O2" s="326" t="n">
        <f aca="false">Admin!B$16</f>
        <v>44286</v>
      </c>
      <c r="P2" s="241"/>
    </row>
    <row r="3" customFormat="false" ht="12" hidden="false" customHeight="true" outlineLevel="0" collapsed="false">
      <c r="A3" s="241"/>
      <c r="B3" s="323"/>
      <c r="C3" s="327" t="n">
        <f aca="false">Admin!B$17</f>
        <v>44291</v>
      </c>
      <c r="D3" s="325"/>
      <c r="E3" s="326"/>
      <c r="F3" s="326"/>
      <c r="G3" s="326"/>
      <c r="H3" s="326"/>
      <c r="I3" s="326"/>
      <c r="J3" s="326"/>
      <c r="K3" s="326"/>
      <c r="L3" s="326"/>
      <c r="M3" s="326"/>
      <c r="N3" s="326"/>
      <c r="O3" s="326"/>
      <c r="P3" s="241"/>
    </row>
    <row r="4" customFormat="false" ht="12" hidden="false" customHeight="false" outlineLevel="0" collapsed="false">
      <c r="A4" s="241"/>
      <c r="B4" s="323"/>
      <c r="C4" s="328" t="s">
        <v>28</v>
      </c>
      <c r="D4" s="329" t="s">
        <v>28</v>
      </c>
      <c r="E4" s="329" t="s">
        <v>28</v>
      </c>
      <c r="F4" s="329" t="s">
        <v>28</v>
      </c>
      <c r="G4" s="329" t="s">
        <v>28</v>
      </c>
      <c r="H4" s="329" t="s">
        <v>28</v>
      </c>
      <c r="I4" s="329" t="s">
        <v>28</v>
      </c>
      <c r="J4" s="329" t="s">
        <v>28</v>
      </c>
      <c r="K4" s="329" t="s">
        <v>28</v>
      </c>
      <c r="L4" s="329" t="s">
        <v>28</v>
      </c>
      <c r="M4" s="329" t="s">
        <v>28</v>
      </c>
      <c r="N4" s="330" t="s">
        <v>28</v>
      </c>
      <c r="O4" s="329" t="s">
        <v>28</v>
      </c>
      <c r="P4" s="241"/>
    </row>
    <row r="5" s="204" customFormat="true" ht="12" hidden="false" customHeight="false" outlineLevel="0" collapsed="false">
      <c r="A5" s="263"/>
      <c r="B5" s="331" t="s">
        <v>110</v>
      </c>
      <c r="C5" s="176" t="n">
        <f aca="false">SUM(D5:O5)</f>
        <v>36000</v>
      </c>
      <c r="D5" s="176" t="n">
        <f aca="false">'Profit &amp; Loss Acc'!C5</f>
        <v>3000</v>
      </c>
      <c r="E5" s="176" t="n">
        <f aca="false">'Profit &amp; Loss Acc'!D5</f>
        <v>3000</v>
      </c>
      <c r="F5" s="176" t="n">
        <f aca="false">'Profit &amp; Loss Acc'!E5</f>
        <v>3000</v>
      </c>
      <c r="G5" s="176" t="n">
        <f aca="false">'Profit &amp; Loss Acc'!F5</f>
        <v>3000</v>
      </c>
      <c r="H5" s="176" t="n">
        <f aca="false">'Profit &amp; Loss Acc'!G5</f>
        <v>3000</v>
      </c>
      <c r="I5" s="176" t="n">
        <f aca="false">'Profit &amp; Loss Acc'!H5</f>
        <v>3000</v>
      </c>
      <c r="J5" s="176" t="n">
        <f aca="false">'Profit &amp; Loss Acc'!I5</f>
        <v>3000</v>
      </c>
      <c r="K5" s="176" t="n">
        <f aca="false">'Profit &amp; Loss Acc'!J5</f>
        <v>3000</v>
      </c>
      <c r="L5" s="176" t="n">
        <f aca="false">'Profit &amp; Loss Acc'!K5</f>
        <v>3000</v>
      </c>
      <c r="M5" s="176" t="n">
        <f aca="false">'Profit &amp; Loss Acc'!L5</f>
        <v>3000</v>
      </c>
      <c r="N5" s="176" t="n">
        <f aca="false">'Profit &amp; Loss Acc'!M5</f>
        <v>3000</v>
      </c>
      <c r="O5" s="176" t="n">
        <f aca="false">'Profit &amp; Loss Acc'!N5</f>
        <v>3000</v>
      </c>
      <c r="P5" s="263"/>
    </row>
    <row r="6" s="204" customFormat="true" ht="6" hidden="false" customHeight="true" outlineLevel="0" collapsed="false">
      <c r="A6" s="263"/>
      <c r="B6" s="331"/>
      <c r="C6" s="172"/>
      <c r="D6" s="172"/>
      <c r="E6" s="172"/>
      <c r="F6" s="172"/>
      <c r="G6" s="172"/>
      <c r="H6" s="172"/>
      <c r="I6" s="172"/>
      <c r="J6" s="172"/>
      <c r="K6" s="172"/>
      <c r="L6" s="172"/>
      <c r="M6" s="172"/>
      <c r="N6" s="172"/>
      <c r="O6" s="172"/>
      <c r="P6" s="263"/>
    </row>
    <row r="7" customFormat="false" ht="12" hidden="false" customHeight="false" outlineLevel="0" collapsed="false">
      <c r="A7" s="241"/>
      <c r="B7" s="332" t="s">
        <v>222</v>
      </c>
      <c r="C7" s="176" t="n">
        <f aca="false">SUM(D7:O7)</f>
        <v>0</v>
      </c>
      <c r="D7" s="333" t="n">
        <f aca="false">'Profit &amp; Loss Acc'!C24</f>
        <v>0</v>
      </c>
      <c r="E7" s="333" t="n">
        <f aca="false">'Profit &amp; Loss Acc'!D24</f>
        <v>0</v>
      </c>
      <c r="F7" s="333" t="n">
        <f aca="false">'Profit &amp; Loss Acc'!E24</f>
        <v>0</v>
      </c>
      <c r="G7" s="333" t="n">
        <f aca="false">'Profit &amp; Loss Acc'!F24</f>
        <v>0</v>
      </c>
      <c r="H7" s="333" t="n">
        <f aca="false">'Profit &amp; Loss Acc'!G24</f>
        <v>0</v>
      </c>
      <c r="I7" s="333" t="n">
        <f aca="false">'Profit &amp; Loss Acc'!H24</f>
        <v>0</v>
      </c>
      <c r="J7" s="333" t="n">
        <f aca="false">'Profit &amp; Loss Acc'!I24</f>
        <v>0</v>
      </c>
      <c r="K7" s="333" t="n">
        <f aca="false">'Profit &amp; Loss Acc'!J24</f>
        <v>0</v>
      </c>
      <c r="L7" s="333" t="n">
        <f aca="false">'Profit &amp; Loss Acc'!K24</f>
        <v>0</v>
      </c>
      <c r="M7" s="333" t="n">
        <f aca="false">'Profit &amp; Loss Acc'!L24</f>
        <v>0</v>
      </c>
      <c r="N7" s="333" t="n">
        <f aca="false">'Profit &amp; Loss Acc'!M24</f>
        <v>0</v>
      </c>
      <c r="O7" s="333" t="n">
        <f aca="false">'Profit &amp; Loss Acc'!N24</f>
        <v>0</v>
      </c>
      <c r="P7" s="241"/>
    </row>
    <row r="8" customFormat="false" ht="6" hidden="false" customHeight="true" outlineLevel="0" collapsed="false">
      <c r="A8" s="241"/>
      <c r="B8" s="332"/>
      <c r="C8" s="172"/>
      <c r="D8" s="172"/>
      <c r="E8" s="172"/>
      <c r="F8" s="172"/>
      <c r="G8" s="172"/>
      <c r="H8" s="172"/>
      <c r="I8" s="172"/>
      <c r="J8" s="172"/>
      <c r="K8" s="172"/>
      <c r="L8" s="172"/>
      <c r="M8" s="172"/>
      <c r="N8" s="172"/>
      <c r="O8" s="172"/>
      <c r="P8" s="241"/>
    </row>
    <row r="9" s="204" customFormat="true" ht="12" hidden="false" customHeight="false" outlineLevel="0" collapsed="false">
      <c r="A9" s="263"/>
      <c r="B9" s="331" t="s">
        <v>117</v>
      </c>
      <c r="C9" s="176" t="n">
        <f aca="false">SUM(D9:O9)</f>
        <v>4980</v>
      </c>
      <c r="D9" s="176" t="n">
        <f aca="false">'Profit &amp; Loss Acc'!C12</f>
        <v>1680</v>
      </c>
      <c r="E9" s="176" t="n">
        <f aca="false">'Profit &amp; Loss Acc'!D12</f>
        <v>300</v>
      </c>
      <c r="F9" s="176" t="n">
        <f aca="false">'Profit &amp; Loss Acc'!E12</f>
        <v>300</v>
      </c>
      <c r="G9" s="176" t="n">
        <f aca="false">'Profit &amp; Loss Acc'!F12</f>
        <v>300</v>
      </c>
      <c r="H9" s="176" t="n">
        <f aca="false">'Profit &amp; Loss Acc'!G12</f>
        <v>300</v>
      </c>
      <c r="I9" s="176" t="n">
        <f aca="false">'Profit &amp; Loss Acc'!H12</f>
        <v>300</v>
      </c>
      <c r="J9" s="176" t="n">
        <f aca="false">'Profit &amp; Loss Acc'!I12</f>
        <v>300</v>
      </c>
      <c r="K9" s="176" t="n">
        <f aca="false">'Profit &amp; Loss Acc'!J12</f>
        <v>300</v>
      </c>
      <c r="L9" s="176" t="n">
        <f aca="false">'Profit &amp; Loss Acc'!K12</f>
        <v>300</v>
      </c>
      <c r="M9" s="176" t="n">
        <f aca="false">'Profit &amp; Loss Acc'!L12</f>
        <v>300</v>
      </c>
      <c r="N9" s="176" t="n">
        <f aca="false">'Profit &amp; Loss Acc'!M12</f>
        <v>300</v>
      </c>
      <c r="O9" s="176" t="n">
        <f aca="false">'Profit &amp; Loss Acc'!N12</f>
        <v>300</v>
      </c>
      <c r="P9" s="263"/>
    </row>
    <row r="10" s="204" customFormat="true" ht="6" hidden="false" customHeight="true" outlineLevel="0" collapsed="false">
      <c r="A10" s="263"/>
      <c r="B10" s="331"/>
      <c r="C10" s="172"/>
      <c r="D10" s="172"/>
      <c r="E10" s="172"/>
      <c r="F10" s="172"/>
      <c r="G10" s="172"/>
      <c r="H10" s="172"/>
      <c r="I10" s="172"/>
      <c r="J10" s="172"/>
      <c r="K10" s="172"/>
      <c r="L10" s="172"/>
      <c r="M10" s="172"/>
      <c r="N10" s="172"/>
      <c r="O10" s="172"/>
      <c r="P10" s="263"/>
    </row>
    <row r="11" s="204" customFormat="true" ht="12" hidden="false" customHeight="false" outlineLevel="0" collapsed="false">
      <c r="A11" s="263"/>
      <c r="B11" s="331" t="s">
        <v>118</v>
      </c>
      <c r="C11" s="176" t="n">
        <f aca="false">SUM(D11:O11)</f>
        <v>31020</v>
      </c>
      <c r="D11" s="176" t="n">
        <f aca="false">D5+D7-D9</f>
        <v>1320</v>
      </c>
      <c r="E11" s="176" t="n">
        <f aca="false">E5+E7-E9</f>
        <v>2700</v>
      </c>
      <c r="F11" s="176" t="n">
        <f aca="false">F5+F7-F9</f>
        <v>2700</v>
      </c>
      <c r="G11" s="176" t="n">
        <f aca="false">G5+G7-G9</f>
        <v>2700</v>
      </c>
      <c r="H11" s="176" t="n">
        <f aca="false">H5+H7-H9</f>
        <v>2700</v>
      </c>
      <c r="I11" s="176" t="n">
        <f aca="false">I5+I7-I9</f>
        <v>2700</v>
      </c>
      <c r="J11" s="176" t="n">
        <f aca="false">J5+J7-J9</f>
        <v>2700</v>
      </c>
      <c r="K11" s="176" t="n">
        <f aca="false">K5+K7-K9</f>
        <v>2700</v>
      </c>
      <c r="L11" s="176" t="n">
        <f aca="false">L5+L7-L9</f>
        <v>2700</v>
      </c>
      <c r="M11" s="176" t="n">
        <f aca="false">M5+M7-M9</f>
        <v>2700</v>
      </c>
      <c r="N11" s="176" t="n">
        <f aca="false">N5+N7-N9</f>
        <v>2700</v>
      </c>
      <c r="O11" s="176" t="n">
        <f aca="false">O5+O7-O9</f>
        <v>2700</v>
      </c>
      <c r="P11" s="263"/>
    </row>
    <row r="12" s="204" customFormat="true" ht="6" hidden="false" customHeight="true" outlineLevel="0" collapsed="false">
      <c r="A12" s="263"/>
      <c r="B12" s="334"/>
      <c r="C12" s="172"/>
      <c r="D12" s="335"/>
      <c r="E12" s="335"/>
      <c r="F12" s="335"/>
      <c r="G12" s="335"/>
      <c r="H12" s="335"/>
      <c r="I12" s="335"/>
      <c r="J12" s="335"/>
      <c r="K12" s="335"/>
      <c r="L12" s="335"/>
      <c r="M12" s="335"/>
      <c r="N12" s="335"/>
      <c r="O12" s="335"/>
      <c r="P12" s="263"/>
    </row>
    <row r="13" customFormat="false" ht="12" hidden="false" customHeight="false" outlineLevel="0" collapsed="false">
      <c r="A13" s="241"/>
      <c r="B13" s="331" t="s">
        <v>223</v>
      </c>
      <c r="C13" s="176" t="n">
        <f aca="false">SUM(D13:O13)</f>
        <v>1380</v>
      </c>
      <c r="D13" s="176" t="n">
        <f aca="false">'Profit &amp; Loss Acc'!C22</f>
        <v>520</v>
      </c>
      <c r="E13" s="176" t="n">
        <f aca="false">'Profit &amp; Loss Acc'!D22</f>
        <v>0</v>
      </c>
      <c r="F13" s="176" t="n">
        <f aca="false">'Profit &amp; Loss Acc'!E22</f>
        <v>0</v>
      </c>
      <c r="G13" s="176" t="n">
        <f aca="false">'Profit &amp; Loss Acc'!F22</f>
        <v>120</v>
      </c>
      <c r="H13" s="176" t="n">
        <f aca="false">'Profit &amp; Loss Acc'!G22</f>
        <v>0</v>
      </c>
      <c r="I13" s="176" t="n">
        <f aca="false">'Profit &amp; Loss Acc'!H22</f>
        <v>0</v>
      </c>
      <c r="J13" s="176" t="n">
        <f aca="false">'Profit &amp; Loss Acc'!I22</f>
        <v>120</v>
      </c>
      <c r="K13" s="176" t="n">
        <f aca="false">'Profit &amp; Loss Acc'!J22</f>
        <v>0</v>
      </c>
      <c r="L13" s="176" t="n">
        <f aca="false">'Profit &amp; Loss Acc'!K22</f>
        <v>0</v>
      </c>
      <c r="M13" s="176" t="n">
        <f aca="false">'Profit &amp; Loss Acc'!L22</f>
        <v>620</v>
      </c>
      <c r="N13" s="176" t="n">
        <f aca="false">'Profit &amp; Loss Acc'!M22</f>
        <v>0</v>
      </c>
      <c r="O13" s="176" t="n">
        <f aca="false">'Profit &amp; Loss Acc'!N22</f>
        <v>0</v>
      </c>
      <c r="P13" s="241"/>
    </row>
    <row r="14" customFormat="false" ht="6" hidden="false" customHeight="true" outlineLevel="0" collapsed="false">
      <c r="A14" s="241"/>
      <c r="B14" s="331"/>
      <c r="C14" s="172"/>
      <c r="D14" s="172"/>
      <c r="E14" s="172"/>
      <c r="F14" s="172"/>
      <c r="G14" s="172"/>
      <c r="H14" s="172"/>
      <c r="I14" s="172"/>
      <c r="J14" s="172"/>
      <c r="K14" s="172"/>
      <c r="L14" s="172"/>
      <c r="M14" s="172"/>
      <c r="N14" s="172"/>
      <c r="O14" s="172"/>
      <c r="P14" s="241"/>
    </row>
    <row r="15" customFormat="false" ht="12" hidden="false" customHeight="false" outlineLevel="0" collapsed="false">
      <c r="A15" s="241"/>
      <c r="B15" s="336" t="s">
        <v>224</v>
      </c>
      <c r="C15" s="176" t="n">
        <f aca="false">SUM(D15:O15)</f>
        <v>29640</v>
      </c>
      <c r="D15" s="176" t="n">
        <f aca="false">D11-D13</f>
        <v>800</v>
      </c>
      <c r="E15" s="176" t="n">
        <f aca="false">E11-E13</f>
        <v>2700</v>
      </c>
      <c r="F15" s="176" t="n">
        <f aca="false">F11-F13</f>
        <v>2700</v>
      </c>
      <c r="G15" s="176" t="n">
        <f aca="false">G11-G13</f>
        <v>2580</v>
      </c>
      <c r="H15" s="176" t="n">
        <f aca="false">H11-H13</f>
        <v>2700</v>
      </c>
      <c r="I15" s="176" t="n">
        <f aca="false">I11-I13</f>
        <v>2700</v>
      </c>
      <c r="J15" s="176" t="n">
        <f aca="false">J11-J13</f>
        <v>2580</v>
      </c>
      <c r="K15" s="176" t="n">
        <f aca="false">K11-K13</f>
        <v>2700</v>
      </c>
      <c r="L15" s="176" t="n">
        <f aca="false">L11-L13</f>
        <v>2700</v>
      </c>
      <c r="M15" s="176" t="n">
        <f aca="false">M11-M13</f>
        <v>2080</v>
      </c>
      <c r="N15" s="176" t="n">
        <f aca="false">N11-N13</f>
        <v>2700</v>
      </c>
      <c r="O15" s="176" t="n">
        <f aca="false">O11-O13</f>
        <v>2700</v>
      </c>
      <c r="P15" s="241"/>
    </row>
    <row r="16" customFormat="false" ht="12" hidden="false" customHeight="false" outlineLevel="0" collapsed="false">
      <c r="A16" s="241"/>
      <c r="B16" s="241"/>
      <c r="C16" s="241"/>
      <c r="D16" s="241"/>
      <c r="E16" s="241"/>
      <c r="F16" s="241"/>
      <c r="G16" s="241"/>
      <c r="H16" s="241"/>
      <c r="I16" s="241"/>
      <c r="J16" s="241"/>
      <c r="K16" s="241"/>
      <c r="L16" s="241"/>
      <c r="M16" s="241"/>
      <c r="N16" s="241"/>
      <c r="O16" s="241"/>
      <c r="P16" s="241"/>
    </row>
    <row r="17" customFormat="false" ht="12" hidden="false" customHeight="true" outlineLevel="0" collapsed="false">
      <c r="A17" s="241"/>
      <c r="B17" s="337" t="s">
        <v>225</v>
      </c>
      <c r="C17" s="324" t="s">
        <v>221</v>
      </c>
      <c r="D17" s="338" t="n">
        <f aca="false">D2</f>
        <v>43951</v>
      </c>
      <c r="E17" s="338" t="n">
        <f aca="false">E2</f>
        <v>43982</v>
      </c>
      <c r="F17" s="338" t="n">
        <f aca="false">F2</f>
        <v>44012</v>
      </c>
      <c r="G17" s="338" t="n">
        <f aca="false">G2</f>
        <v>44043</v>
      </c>
      <c r="H17" s="338" t="n">
        <f aca="false">H2</f>
        <v>44074</v>
      </c>
      <c r="I17" s="338" t="n">
        <f aca="false">I2</f>
        <v>44104</v>
      </c>
      <c r="J17" s="338" t="n">
        <f aca="false">J2</f>
        <v>44135</v>
      </c>
      <c r="K17" s="338" t="n">
        <f aca="false">K2</f>
        <v>44165</v>
      </c>
      <c r="L17" s="338" t="n">
        <f aca="false">L2</f>
        <v>44196</v>
      </c>
      <c r="M17" s="338" t="n">
        <f aca="false">M2</f>
        <v>44227</v>
      </c>
      <c r="N17" s="338" t="n">
        <f aca="false">N2</f>
        <v>44255</v>
      </c>
      <c r="O17" s="338" t="n">
        <f aca="false">O2</f>
        <v>44286</v>
      </c>
      <c r="P17" s="241"/>
    </row>
    <row r="18" customFormat="false" ht="12" hidden="false" customHeight="true" outlineLevel="0" collapsed="false">
      <c r="A18" s="241"/>
      <c r="B18" s="337"/>
      <c r="C18" s="327" t="n">
        <f aca="false">C3</f>
        <v>44291</v>
      </c>
      <c r="D18" s="338"/>
      <c r="E18" s="338"/>
      <c r="F18" s="338"/>
      <c r="G18" s="338"/>
      <c r="H18" s="338"/>
      <c r="I18" s="338"/>
      <c r="J18" s="338"/>
      <c r="K18" s="338"/>
      <c r="L18" s="338"/>
      <c r="M18" s="338"/>
      <c r="N18" s="338"/>
      <c r="O18" s="338"/>
      <c r="P18" s="241"/>
    </row>
    <row r="19" customFormat="false" ht="12" hidden="false" customHeight="false" outlineLevel="0" collapsed="false">
      <c r="A19" s="241"/>
      <c r="B19" s="337"/>
      <c r="C19" s="339" t="n">
        <f aca="false">SUM(D19:O19)</f>
        <v>12</v>
      </c>
      <c r="D19" s="329" t="n">
        <f aca="false">IF(D5&gt;0,1," ")</f>
        <v>1</v>
      </c>
      <c r="E19" s="329" t="n">
        <f aca="false">IF(E5&gt;0,1," ")</f>
        <v>1</v>
      </c>
      <c r="F19" s="329" t="n">
        <f aca="false">IF(F5&gt;0,1," ")</f>
        <v>1</v>
      </c>
      <c r="G19" s="329" t="n">
        <f aca="false">IF(G5&gt;0,1," ")</f>
        <v>1</v>
      </c>
      <c r="H19" s="329" t="n">
        <f aca="false">IF(H5&gt;0,1," ")</f>
        <v>1</v>
      </c>
      <c r="I19" s="329" t="n">
        <f aca="false">IF(I5&gt;0,1," ")</f>
        <v>1</v>
      </c>
      <c r="J19" s="329" t="n">
        <f aca="false">IF(J5&gt;0,1," ")</f>
        <v>1</v>
      </c>
      <c r="K19" s="329" t="n">
        <f aca="false">IF(K5&gt;0,1," ")</f>
        <v>1</v>
      </c>
      <c r="L19" s="329" t="n">
        <f aca="false">IF(L5&gt;0,1," ")</f>
        <v>1</v>
      </c>
      <c r="M19" s="329" t="n">
        <f aca="false">IF(M5&gt;0,1," ")</f>
        <v>1</v>
      </c>
      <c r="N19" s="329" t="n">
        <f aca="false">IF(N5&gt;0,1," ")</f>
        <v>1</v>
      </c>
      <c r="O19" s="329" t="n">
        <f aca="false">IF(O5&gt;0,1," ")</f>
        <v>1</v>
      </c>
      <c r="P19" s="241"/>
    </row>
    <row r="20" s="204" customFormat="true" ht="12" hidden="false" customHeight="false" outlineLevel="0" collapsed="false">
      <c r="A20" s="263"/>
      <c r="B20" s="331" t="s">
        <v>110</v>
      </c>
      <c r="C20" s="176" t="n">
        <f aca="false">SUM(D20:O20)</f>
        <v>36000</v>
      </c>
      <c r="D20" s="176" t="n">
        <f aca="false">IF(C5&gt;0,IF(D5&gt;0,D5,C5/C19),0)</f>
        <v>3000</v>
      </c>
      <c r="E20" s="176" t="n">
        <f aca="false">IF(C5&gt;0,IF(E5&gt;0,E5,C5/C19),0)</f>
        <v>3000</v>
      </c>
      <c r="F20" s="176" t="n">
        <f aca="false">IF(C5&gt;0,IF(F5&gt;0,F5,C5/C19),0)</f>
        <v>3000</v>
      </c>
      <c r="G20" s="176" t="n">
        <f aca="false">IF(C5&gt;0,IF(G5&gt;0,G5,C5/C19),0)</f>
        <v>3000</v>
      </c>
      <c r="H20" s="176" t="n">
        <f aca="false">IF(C5&gt;0,IF(H5&gt;0,H5,C5/C19),0)</f>
        <v>3000</v>
      </c>
      <c r="I20" s="176" t="n">
        <f aca="false">IF(C5&gt;0,IF(I5&gt;0,I5,C5/C19),0)</f>
        <v>3000</v>
      </c>
      <c r="J20" s="176" t="n">
        <f aca="false">IF(C5&gt;0,IF(J5&gt;0,J5,C5/C19),0)</f>
        <v>3000</v>
      </c>
      <c r="K20" s="176" t="n">
        <f aca="false">IF(C5&gt;0,IF(K5&gt;0,K5,C5/C19),0)</f>
        <v>3000</v>
      </c>
      <c r="L20" s="176" t="n">
        <f aca="false">IF(C5&gt;0,IF(L5&gt;0,L5,C5/C19),0)</f>
        <v>3000</v>
      </c>
      <c r="M20" s="176" t="n">
        <f aca="false">IF(C5&gt;0,IF(M5&gt;0,M5,C5/C19),0)</f>
        <v>3000</v>
      </c>
      <c r="N20" s="176" t="n">
        <f aca="false">IF(C5&gt;0,IF(N5&gt;0,N5,C5/C19),0)</f>
        <v>3000</v>
      </c>
      <c r="O20" s="176" t="n">
        <f aca="false">IF(C5&gt;0,IF(O5&gt;0,O5,C5/C19),0)</f>
        <v>3000</v>
      </c>
      <c r="P20" s="263"/>
    </row>
    <row r="21" s="204" customFormat="true" ht="6" hidden="false" customHeight="true" outlineLevel="0" collapsed="false">
      <c r="A21" s="263"/>
      <c r="B21" s="331"/>
      <c r="C21" s="172"/>
      <c r="D21" s="172"/>
      <c r="E21" s="172"/>
      <c r="F21" s="172"/>
      <c r="G21" s="172"/>
      <c r="H21" s="172"/>
      <c r="I21" s="172"/>
      <c r="J21" s="172"/>
      <c r="K21" s="172"/>
      <c r="L21" s="172"/>
      <c r="M21" s="172"/>
      <c r="N21" s="172"/>
      <c r="O21" s="172"/>
      <c r="P21" s="263"/>
    </row>
    <row r="22" customFormat="false" ht="12" hidden="false" customHeight="false" outlineLevel="0" collapsed="false">
      <c r="A22" s="241"/>
      <c r="B22" s="332" t="s">
        <v>222</v>
      </c>
      <c r="C22" s="176" t="n">
        <f aca="false">SUM(D22:O22)</f>
        <v>0</v>
      </c>
      <c r="D22" s="333" t="n">
        <f aca="false">D7</f>
        <v>0</v>
      </c>
      <c r="E22" s="333" t="n">
        <f aca="false">E7</f>
        <v>0</v>
      </c>
      <c r="F22" s="333" t="n">
        <f aca="false">F7</f>
        <v>0</v>
      </c>
      <c r="G22" s="333" t="n">
        <f aca="false">G7</f>
        <v>0</v>
      </c>
      <c r="H22" s="333" t="n">
        <f aca="false">H7</f>
        <v>0</v>
      </c>
      <c r="I22" s="333" t="n">
        <f aca="false">I7</f>
        <v>0</v>
      </c>
      <c r="J22" s="333" t="n">
        <f aca="false">J7</f>
        <v>0</v>
      </c>
      <c r="K22" s="333" t="n">
        <f aca="false">K7</f>
        <v>0</v>
      </c>
      <c r="L22" s="333" t="n">
        <f aca="false">L7</f>
        <v>0</v>
      </c>
      <c r="M22" s="333" t="n">
        <f aca="false">M7</f>
        <v>0</v>
      </c>
      <c r="N22" s="333" t="n">
        <f aca="false">N7</f>
        <v>0</v>
      </c>
      <c r="O22" s="333" t="n">
        <f aca="false">O7</f>
        <v>0</v>
      </c>
      <c r="P22" s="241"/>
    </row>
    <row r="23" customFormat="false" ht="6" hidden="false" customHeight="true" outlineLevel="0" collapsed="false">
      <c r="A23" s="241"/>
      <c r="B23" s="332"/>
      <c r="C23" s="172"/>
      <c r="D23" s="172"/>
      <c r="E23" s="172"/>
      <c r="F23" s="172"/>
      <c r="G23" s="172"/>
      <c r="H23" s="172"/>
      <c r="I23" s="172"/>
      <c r="J23" s="172"/>
      <c r="K23" s="172"/>
      <c r="L23" s="172"/>
      <c r="M23" s="172"/>
      <c r="N23" s="172"/>
      <c r="O23" s="172"/>
      <c r="P23" s="241"/>
    </row>
    <row r="24" s="204" customFormat="true" ht="12" hidden="false" customHeight="false" outlineLevel="0" collapsed="false">
      <c r="A24" s="263"/>
      <c r="B24" s="331" t="s">
        <v>117</v>
      </c>
      <c r="C24" s="176" t="n">
        <f aca="false">SUM(D24:O24)</f>
        <v>4980</v>
      </c>
      <c r="D24" s="176" t="n">
        <f aca="false">IF($C5&gt;0,IF(D5&gt;0,D9,($C9-'Profit &amp; Loss Acc'!$B10)/$C19+'Profit &amp; Loss Acc'!$B10/12),0)</f>
        <v>1680</v>
      </c>
      <c r="E24" s="176" t="n">
        <f aca="false">IF($C5&gt;0,IF(E5&gt;0,E9,($C9-'Profit &amp; Loss Acc'!$B10)/$C19+'Profit &amp; Loss Acc'!$B10/12),0)</f>
        <v>300</v>
      </c>
      <c r="F24" s="176" t="n">
        <f aca="false">IF($C5&gt;0,IF(F5&gt;0,F9,($C9-'Profit &amp; Loss Acc'!$B10)/$C19+'Profit &amp; Loss Acc'!$B10/12),0)</f>
        <v>300</v>
      </c>
      <c r="G24" s="176" t="n">
        <f aca="false">IF($C5&gt;0,IF(G5&gt;0,G9,($C9-'Profit &amp; Loss Acc'!$B10)/$C19+'Profit &amp; Loss Acc'!$B10/12),0)</f>
        <v>300</v>
      </c>
      <c r="H24" s="176" t="n">
        <f aca="false">IF($C5&gt;0,IF(H5&gt;0,H9,($C9-'Profit &amp; Loss Acc'!$B10)/$C19+'Profit &amp; Loss Acc'!$B10/12),0)</f>
        <v>300</v>
      </c>
      <c r="I24" s="176" t="n">
        <f aca="false">IF($C5&gt;0,IF(I5&gt;0,I9,($C9-'Profit &amp; Loss Acc'!$B10)/$C19+'Profit &amp; Loss Acc'!$B10/12),0)</f>
        <v>300</v>
      </c>
      <c r="J24" s="176" t="n">
        <f aca="false">IF($C5&gt;0,IF(J5&gt;0,J9,($C9-'Profit &amp; Loss Acc'!$B10)/$C19+'Profit &amp; Loss Acc'!$B10/12),0)</f>
        <v>300</v>
      </c>
      <c r="K24" s="176" t="n">
        <f aca="false">IF($C5&gt;0,IF(K5&gt;0,K9,($C9-'Profit &amp; Loss Acc'!$B10)/$C19+'Profit &amp; Loss Acc'!$B10/12),0)</f>
        <v>300</v>
      </c>
      <c r="L24" s="176" t="n">
        <f aca="false">IF($C5&gt;0,IF(L5&gt;0,L9,($C9-'Profit &amp; Loss Acc'!$B10)/$C19+'Profit &amp; Loss Acc'!$B10/12),0)</f>
        <v>300</v>
      </c>
      <c r="M24" s="176" t="n">
        <f aca="false">IF($C5&gt;0,IF(M5&gt;0,M9,($C9-'Profit &amp; Loss Acc'!$B10)/$C19+'Profit &amp; Loss Acc'!$B10/12),0)</f>
        <v>300</v>
      </c>
      <c r="N24" s="176" t="n">
        <f aca="false">IF($C5&gt;0,IF(N5&gt;0,N9,($C9-'Profit &amp; Loss Acc'!$B10)/$C19+'Profit &amp; Loss Acc'!$B10/12),0)</f>
        <v>300</v>
      </c>
      <c r="O24" s="176" t="n">
        <f aca="false">IF($C5&gt;0,IF(O5&gt;0,O9,($C9-'Profit &amp; Loss Acc'!$B10)/$C19+'Profit &amp; Loss Acc'!$B10/12),0)</f>
        <v>300</v>
      </c>
      <c r="P24" s="263"/>
    </row>
    <row r="25" s="204" customFormat="true" ht="7.5" hidden="false" customHeight="true" outlineLevel="0" collapsed="false">
      <c r="A25" s="263"/>
      <c r="B25" s="331"/>
      <c r="C25" s="172"/>
      <c r="D25" s="172"/>
      <c r="E25" s="172"/>
      <c r="F25" s="172"/>
      <c r="G25" s="172"/>
      <c r="H25" s="172"/>
      <c r="I25" s="172"/>
      <c r="J25" s="172"/>
      <c r="K25" s="172"/>
      <c r="L25" s="172"/>
      <c r="M25" s="172"/>
      <c r="N25" s="172"/>
      <c r="O25" s="172"/>
      <c r="P25" s="263"/>
    </row>
    <row r="26" s="204" customFormat="true" ht="12" hidden="false" customHeight="false" outlineLevel="0" collapsed="false">
      <c r="A26" s="263"/>
      <c r="B26" s="331" t="s">
        <v>118</v>
      </c>
      <c r="C26" s="176" t="n">
        <f aca="false">SUM(D26:O26)</f>
        <v>31020</v>
      </c>
      <c r="D26" s="176" t="n">
        <f aca="false">D20+D22-D24</f>
        <v>1320</v>
      </c>
      <c r="E26" s="176" t="n">
        <f aca="false">E20+E22-E24</f>
        <v>2700</v>
      </c>
      <c r="F26" s="176" t="n">
        <f aca="false">F20+F22-F24</f>
        <v>2700</v>
      </c>
      <c r="G26" s="176" t="n">
        <f aca="false">G20+G22-G24</f>
        <v>2700</v>
      </c>
      <c r="H26" s="176" t="n">
        <f aca="false">H20+H22-H24</f>
        <v>2700</v>
      </c>
      <c r="I26" s="176" t="n">
        <f aca="false">I20+I22-I24</f>
        <v>2700</v>
      </c>
      <c r="J26" s="176" t="n">
        <f aca="false">J20+J22-J24</f>
        <v>2700</v>
      </c>
      <c r="K26" s="176" t="n">
        <f aca="false">K20+K22-K24</f>
        <v>2700</v>
      </c>
      <c r="L26" s="176" t="n">
        <f aca="false">L20+L22-L24</f>
        <v>2700</v>
      </c>
      <c r="M26" s="176" t="n">
        <f aca="false">M20+M22-M24</f>
        <v>2700</v>
      </c>
      <c r="N26" s="176" t="n">
        <f aca="false">N20+N22-N24</f>
        <v>2700</v>
      </c>
      <c r="O26" s="176" t="n">
        <f aca="false">O20+O22-O24</f>
        <v>2700</v>
      </c>
      <c r="P26" s="263"/>
    </row>
    <row r="27" s="204" customFormat="true" ht="6" hidden="false" customHeight="true" outlineLevel="0" collapsed="false">
      <c r="A27" s="263"/>
      <c r="B27" s="334"/>
      <c r="C27" s="172"/>
      <c r="D27" s="335"/>
      <c r="E27" s="335"/>
      <c r="F27" s="335"/>
      <c r="G27" s="335"/>
      <c r="H27" s="335"/>
      <c r="I27" s="335"/>
      <c r="J27" s="335"/>
      <c r="K27" s="335"/>
      <c r="L27" s="335"/>
      <c r="M27" s="335"/>
      <c r="N27" s="335"/>
      <c r="O27" s="335"/>
      <c r="P27" s="263"/>
    </row>
    <row r="28" customFormat="false" ht="12" hidden="false" customHeight="false" outlineLevel="0" collapsed="false">
      <c r="A28" s="241"/>
      <c r="B28" s="331" t="s">
        <v>223</v>
      </c>
      <c r="C28" s="176" t="n">
        <f aca="false">SUM(D28:O28)</f>
        <v>1380</v>
      </c>
      <c r="D28" s="176" t="n">
        <f aca="false">IF($C5&gt;0,IF(D5&gt;0,D13,$C13/$C19),0)</f>
        <v>520</v>
      </c>
      <c r="E28" s="176" t="n">
        <f aca="false">IF($C5&gt;0,IF(E5&gt;0,E13,$C13/$C19),0)</f>
        <v>0</v>
      </c>
      <c r="F28" s="176" t="n">
        <f aca="false">IF($C5&gt;0,IF(F5&gt;0,F13,$C13/$C19),0)</f>
        <v>0</v>
      </c>
      <c r="G28" s="176" t="n">
        <f aca="false">IF($C5&gt;0,IF(G5&gt;0,G13,$C13/$C19),0)</f>
        <v>120</v>
      </c>
      <c r="H28" s="176" t="n">
        <f aca="false">IF($C5&gt;0,IF(H5&gt;0,H13,$C13/$C19),0)</f>
        <v>0</v>
      </c>
      <c r="I28" s="176" t="n">
        <f aca="false">IF($C5&gt;0,IF(I5&gt;0,I13,$C13/$C19),0)</f>
        <v>0</v>
      </c>
      <c r="J28" s="176" t="n">
        <f aca="false">IF($C5&gt;0,IF(J5&gt;0,J13,$C13/$C19),0)</f>
        <v>120</v>
      </c>
      <c r="K28" s="176" t="n">
        <f aca="false">IF($C5&gt;0,IF(K5&gt;0,K13,$C13/$C19),0)</f>
        <v>0</v>
      </c>
      <c r="L28" s="176" t="n">
        <f aca="false">IF($C5&gt;0,IF(L5&gt;0,L13,$C13/$C19),0)</f>
        <v>0</v>
      </c>
      <c r="M28" s="176" t="n">
        <f aca="false">IF($C5&gt;0,IF(M5&gt;0,M13,$C13/$C19),0)</f>
        <v>620</v>
      </c>
      <c r="N28" s="176" t="n">
        <f aca="false">IF($C5&gt;0,IF(N5&gt;0,N13,$C13/$C19),0)</f>
        <v>0</v>
      </c>
      <c r="O28" s="176" t="n">
        <f aca="false">IF($C5&gt;0,IF(O5&gt;0,O13,$C13/$C19),0)</f>
        <v>0</v>
      </c>
      <c r="P28" s="241"/>
    </row>
    <row r="29" customFormat="false" ht="6" hidden="false" customHeight="true" outlineLevel="0" collapsed="false">
      <c r="A29" s="241"/>
      <c r="B29" s="331"/>
      <c r="C29" s="172"/>
      <c r="D29" s="172"/>
      <c r="E29" s="172"/>
      <c r="F29" s="172"/>
      <c r="G29" s="172"/>
      <c r="H29" s="172"/>
      <c r="I29" s="172"/>
      <c r="J29" s="172"/>
      <c r="K29" s="172"/>
      <c r="L29" s="172"/>
      <c r="M29" s="172"/>
      <c r="N29" s="172"/>
      <c r="O29" s="172"/>
      <c r="P29" s="241"/>
    </row>
    <row r="30" customFormat="false" ht="12" hidden="false" customHeight="false" outlineLevel="0" collapsed="false">
      <c r="A30" s="241"/>
      <c r="B30" s="336" t="s">
        <v>224</v>
      </c>
      <c r="C30" s="176" t="n">
        <f aca="false">SUM(D30:O30)</f>
        <v>29640</v>
      </c>
      <c r="D30" s="176" t="n">
        <f aca="false">D26-D28</f>
        <v>800</v>
      </c>
      <c r="E30" s="176" t="n">
        <f aca="false">E26-E28</f>
        <v>2700</v>
      </c>
      <c r="F30" s="176" t="n">
        <f aca="false">F26-F28</f>
        <v>2700</v>
      </c>
      <c r="G30" s="176" t="n">
        <f aca="false">G26-G28</f>
        <v>2580</v>
      </c>
      <c r="H30" s="176" t="n">
        <f aca="false">H26-H28</f>
        <v>2700</v>
      </c>
      <c r="I30" s="176" t="n">
        <f aca="false">I26-I28</f>
        <v>2700</v>
      </c>
      <c r="J30" s="176" t="n">
        <f aca="false">J26-J28</f>
        <v>2580</v>
      </c>
      <c r="K30" s="176" t="n">
        <f aca="false">K26-K28</f>
        <v>2700</v>
      </c>
      <c r="L30" s="176" t="n">
        <f aca="false">L26-L28</f>
        <v>2700</v>
      </c>
      <c r="M30" s="176" t="n">
        <f aca="false">M26-M28</f>
        <v>2080</v>
      </c>
      <c r="N30" s="176" t="n">
        <f aca="false">N26-N28</f>
        <v>2700</v>
      </c>
      <c r="O30" s="176" t="n">
        <f aca="false">O26-O28</f>
        <v>2700</v>
      </c>
      <c r="P30" s="241"/>
    </row>
    <row r="31" customFormat="false" ht="6" hidden="false" customHeight="true" outlineLevel="0" collapsed="false">
      <c r="A31" s="241"/>
      <c r="B31" s="331"/>
      <c r="C31" s="172"/>
      <c r="D31" s="172"/>
      <c r="E31" s="172"/>
      <c r="F31" s="172"/>
      <c r="G31" s="172"/>
      <c r="H31" s="172"/>
      <c r="I31" s="172"/>
      <c r="J31" s="172"/>
      <c r="K31" s="172"/>
      <c r="L31" s="172"/>
      <c r="M31" s="172"/>
      <c r="N31" s="172"/>
      <c r="O31" s="172"/>
      <c r="P31" s="241"/>
    </row>
    <row r="32" customFormat="false" ht="12" hidden="false" customHeight="true" outlineLevel="0" collapsed="false">
      <c r="A32" s="241"/>
      <c r="B32" s="340" t="s">
        <v>226</v>
      </c>
      <c r="C32" s="340"/>
      <c r="D32" s="241"/>
      <c r="E32" s="241"/>
      <c r="F32" s="241"/>
      <c r="G32" s="241"/>
      <c r="H32" s="241"/>
      <c r="I32" s="241"/>
      <c r="J32" s="241"/>
      <c r="K32" s="241"/>
      <c r="L32" s="241"/>
      <c r="M32" s="241"/>
      <c r="N32" s="241"/>
      <c r="O32" s="241"/>
      <c r="P32" s="241"/>
    </row>
    <row r="33" customFormat="false" ht="12" hidden="false" customHeight="false" outlineLevel="0" collapsed="false">
      <c r="A33" s="241"/>
      <c r="B33" s="341"/>
      <c r="C33" s="342"/>
      <c r="D33" s="241"/>
      <c r="E33" s="241"/>
      <c r="F33" s="241"/>
      <c r="G33" s="241"/>
      <c r="H33" s="241"/>
      <c r="I33" s="241"/>
      <c r="J33" s="241"/>
      <c r="K33" s="241"/>
      <c r="L33" s="241"/>
      <c r="M33" s="241"/>
      <c r="N33" s="241"/>
      <c r="O33" s="241"/>
      <c r="P33" s="241"/>
    </row>
    <row r="34" customFormat="false" ht="12" hidden="false" customHeight="false" outlineLevel="0" collapsed="false">
      <c r="A34" s="241"/>
      <c r="B34" s="341" t="s">
        <v>227</v>
      </c>
      <c r="C34" s="342" t="n">
        <f aca="false">C30-C33</f>
        <v>29640</v>
      </c>
      <c r="D34" s="343"/>
      <c r="E34" s="241"/>
      <c r="F34" s="241"/>
      <c r="G34" s="241"/>
      <c r="H34" s="241"/>
      <c r="I34" s="241"/>
      <c r="J34" s="241"/>
      <c r="K34" s="241"/>
      <c r="L34" s="241"/>
      <c r="M34" s="241"/>
      <c r="N34" s="241"/>
      <c r="O34" s="241"/>
      <c r="P34" s="241"/>
    </row>
    <row r="35" customFormat="false" ht="12" hidden="false" customHeight="false" outlineLevel="0" collapsed="false">
      <c r="A35" s="241"/>
      <c r="B35" s="174" t="s">
        <v>228</v>
      </c>
      <c r="C35" s="342" t="n">
        <f aca="false">IF(C34&gt;0,Admin!N$4,0)</f>
        <v>12500</v>
      </c>
      <c r="D35" s="241"/>
      <c r="E35" s="241"/>
      <c r="F35" s="241"/>
      <c r="G35" s="241"/>
      <c r="H35" s="241"/>
      <c r="I35" s="241"/>
      <c r="J35" s="241"/>
      <c r="K35" s="241"/>
      <c r="L35" s="241"/>
      <c r="M35" s="241"/>
      <c r="N35" s="241"/>
      <c r="O35" s="241"/>
      <c r="P35" s="241"/>
    </row>
    <row r="36" customFormat="false" ht="12" hidden="false" customHeight="false" outlineLevel="0" collapsed="false">
      <c r="A36" s="241"/>
      <c r="B36" s="174" t="s">
        <v>229</v>
      </c>
      <c r="C36" s="342" t="n">
        <f aca="false">IF((C34&gt;C35),(C34-C35),0)</f>
        <v>17140</v>
      </c>
      <c r="D36" s="241"/>
      <c r="E36" s="241"/>
      <c r="F36" s="241"/>
      <c r="G36" s="241"/>
      <c r="H36" s="241"/>
      <c r="I36" s="241"/>
      <c r="J36" s="241"/>
      <c r="K36" s="241"/>
      <c r="L36" s="241"/>
      <c r="M36" s="241"/>
      <c r="N36" s="241"/>
      <c r="O36" s="241"/>
      <c r="P36" s="241"/>
    </row>
    <row r="37" customFormat="false" ht="12" hidden="false" customHeight="false" outlineLevel="0" collapsed="false">
      <c r="A37" s="241"/>
      <c r="B37" s="174" t="s">
        <v>230</v>
      </c>
      <c r="C37" s="342" t="n">
        <f aca="false">IF((C36&gt;0),(IF((C36&lt;Admin!N$12),C36*Admin!N$6,Admin!N$12*Admin!N$6)),0)</f>
        <v>0</v>
      </c>
      <c r="D37" s="343"/>
      <c r="E37" s="241"/>
      <c r="F37" s="241"/>
      <c r="G37" s="241"/>
      <c r="H37" s="241"/>
      <c r="I37" s="241"/>
      <c r="J37" s="241"/>
      <c r="K37" s="241"/>
      <c r="L37" s="241"/>
      <c r="M37" s="241"/>
      <c r="N37" s="241"/>
      <c r="O37" s="241"/>
      <c r="P37" s="241"/>
    </row>
    <row r="38" customFormat="false" ht="12" hidden="false" customHeight="false" outlineLevel="0" collapsed="false">
      <c r="A38" s="241"/>
      <c r="B38" s="174" t="s">
        <v>231</v>
      </c>
      <c r="C38" s="342" t="n">
        <f aca="false">IF((C36&gt;Admin!N$12),((C36-Admin!N$12)*Admin!N$7),0)</f>
        <v>3428</v>
      </c>
      <c r="D38" s="241"/>
      <c r="E38" s="241"/>
      <c r="F38" s="241"/>
      <c r="G38" s="241"/>
      <c r="H38" s="241"/>
      <c r="I38" s="241"/>
      <c r="J38" s="241"/>
      <c r="K38" s="241"/>
      <c r="L38" s="241"/>
      <c r="M38" s="241"/>
      <c r="N38" s="241"/>
      <c r="O38" s="241"/>
      <c r="P38" s="241"/>
    </row>
    <row r="39" customFormat="false" ht="12" hidden="false" customHeight="false" outlineLevel="0" collapsed="false">
      <c r="A39" s="241"/>
      <c r="B39" s="174" t="s">
        <v>232</v>
      </c>
      <c r="C39" s="342" t="n">
        <f aca="false">IF((C36&gt;0),C36*Admin!L$20,0)</f>
        <v>1542.6</v>
      </c>
      <c r="D39" s="241"/>
      <c r="E39" s="241"/>
      <c r="F39" s="241"/>
      <c r="G39" s="241"/>
      <c r="H39" s="241"/>
      <c r="I39" s="241"/>
      <c r="J39" s="241"/>
      <c r="K39" s="241"/>
      <c r="L39" s="241"/>
      <c r="M39" s="241"/>
      <c r="N39" s="241"/>
      <c r="O39" s="241"/>
      <c r="P39" s="241"/>
    </row>
    <row r="40" customFormat="false" ht="6" hidden="false" customHeight="true" outlineLevel="0" collapsed="false">
      <c r="A40" s="241"/>
      <c r="B40" s="174"/>
      <c r="C40" s="342"/>
      <c r="D40" s="241"/>
      <c r="E40" s="241"/>
      <c r="F40" s="241"/>
      <c r="G40" s="241"/>
      <c r="H40" s="241"/>
      <c r="I40" s="241"/>
      <c r="J40" s="241"/>
      <c r="K40" s="241"/>
      <c r="L40" s="241"/>
      <c r="M40" s="241"/>
      <c r="N40" s="241"/>
      <c r="O40" s="241"/>
      <c r="P40" s="241"/>
    </row>
    <row r="41" customFormat="false" ht="12" hidden="false" customHeight="false" outlineLevel="0" collapsed="false">
      <c r="A41" s="241"/>
      <c r="B41" s="174" t="s">
        <v>233</v>
      </c>
      <c r="C41" s="344" t="n">
        <f aca="false">C37+C38+C39</f>
        <v>4970.6</v>
      </c>
      <c r="D41" s="241"/>
      <c r="E41" s="241"/>
      <c r="F41" s="241"/>
      <c r="G41" s="241"/>
      <c r="H41" s="241"/>
      <c r="I41" s="241"/>
      <c r="J41" s="241"/>
      <c r="K41" s="241"/>
      <c r="L41" s="241"/>
      <c r="M41" s="241"/>
      <c r="N41" s="241"/>
      <c r="O41" s="241"/>
      <c r="P41" s="241"/>
    </row>
    <row r="42" customFormat="false" ht="12" hidden="false" customHeight="false" outlineLevel="0" collapsed="false">
      <c r="A42" s="241"/>
      <c r="B42" s="345"/>
      <c r="C42" s="164"/>
      <c r="D42" s="241"/>
      <c r="E42" s="241"/>
      <c r="F42" s="241"/>
      <c r="G42" s="241"/>
      <c r="H42" s="241"/>
      <c r="I42" s="241"/>
      <c r="J42" s="241"/>
      <c r="K42" s="241"/>
      <c r="L42" s="241"/>
      <c r="M42" s="241"/>
      <c r="N42" s="241"/>
      <c r="O42" s="241"/>
      <c r="P42" s="241"/>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SUM(D4:D36)</f>
        <v>0</v>
      </c>
      <c r="E1" s="352" t="n">
        <f aca="false">SUM(E4:E36)/2</f>
        <v>3000</v>
      </c>
      <c r="F1" s="352" t="n">
        <f aca="false">SUM(F4:F36)/2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43927</v>
      </c>
      <c r="B5" s="359" t="n">
        <v>43927</v>
      </c>
      <c r="C5" s="360"/>
      <c r="D5" s="361"/>
      <c r="E5" s="362"/>
      <c r="F5" s="363"/>
    </row>
    <row r="6" customFormat="false" ht="12.75" hidden="false" customHeight="false" outlineLevel="0" collapsed="false">
      <c r="A6" s="364" t="n">
        <v>43928</v>
      </c>
      <c r="B6" s="347" t="n">
        <v>43928</v>
      </c>
      <c r="E6" s="349" t="n">
        <v>200</v>
      </c>
      <c r="F6" s="365"/>
    </row>
    <row r="7" customFormat="false" ht="12.75" hidden="false" customHeight="false" outlineLevel="0" collapsed="false">
      <c r="A7" s="364" t="n">
        <v>43929</v>
      </c>
      <c r="B7" s="347" t="n">
        <v>43929</v>
      </c>
      <c r="E7" s="349" t="n">
        <v>220</v>
      </c>
      <c r="F7" s="365"/>
    </row>
    <row r="8" customFormat="false" ht="12.75" hidden="false" customHeight="false" outlineLevel="0" collapsed="false">
      <c r="A8" s="364" t="n">
        <v>43930</v>
      </c>
      <c r="B8" s="347" t="n">
        <v>43930</v>
      </c>
      <c r="E8" s="349" t="n">
        <v>180</v>
      </c>
      <c r="F8" s="365"/>
    </row>
    <row r="9" customFormat="false" ht="12.75" hidden="false" customHeight="false" outlineLevel="0" collapsed="false">
      <c r="A9" s="364" t="n">
        <v>43931</v>
      </c>
      <c r="B9" s="347" t="n">
        <v>43931</v>
      </c>
      <c r="E9" s="349" t="n">
        <v>210</v>
      </c>
      <c r="F9" s="365"/>
    </row>
    <row r="10" customFormat="false" ht="12.75" hidden="false" customHeight="false" outlineLevel="0" collapsed="false">
      <c r="A10" s="364" t="n">
        <v>43932</v>
      </c>
      <c r="B10" s="347" t="n">
        <v>43932</v>
      </c>
      <c r="E10" s="349" t="n">
        <v>190</v>
      </c>
      <c r="F10" s="365"/>
    </row>
    <row r="11" customFormat="false" ht="12.75" hidden="false" customHeight="false" outlineLevel="0" collapsed="false">
      <c r="A11" s="364" t="n">
        <v>43933</v>
      </c>
      <c r="B11" s="347" t="n">
        <v>43933</v>
      </c>
      <c r="F11" s="365"/>
    </row>
    <row r="12" customFormat="false" ht="12.75" hidden="false" customHeight="false" outlineLevel="0" collapsed="false">
      <c r="A12" s="364" t="n">
        <v>43933</v>
      </c>
      <c r="B12" s="347" t="s">
        <v>241</v>
      </c>
      <c r="F12" s="365"/>
    </row>
    <row r="13" customFormat="false" ht="12.75" hidden="false" customHeight="false" outlineLevel="0" collapsed="false">
      <c r="A13" s="364" t="n">
        <v>43933</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43934</v>
      </c>
      <c r="B16" s="359" t="n">
        <v>43934</v>
      </c>
      <c r="C16" s="360"/>
      <c r="D16" s="361"/>
      <c r="E16" s="362"/>
      <c r="F16" s="363"/>
    </row>
    <row r="17" customFormat="false" ht="12.75" hidden="false" customHeight="false" outlineLevel="0" collapsed="false">
      <c r="A17" s="364" t="n">
        <v>43935</v>
      </c>
      <c r="B17" s="347" t="n">
        <v>43935</v>
      </c>
      <c r="E17" s="349" t="n">
        <v>200</v>
      </c>
      <c r="F17" s="365"/>
    </row>
    <row r="18" customFormat="false" ht="12.75" hidden="false" customHeight="false" outlineLevel="0" collapsed="false">
      <c r="A18" s="364" t="n">
        <v>43936</v>
      </c>
      <c r="B18" s="347" t="n">
        <v>43936</v>
      </c>
      <c r="E18" s="349" t="n">
        <v>220</v>
      </c>
      <c r="F18" s="365"/>
    </row>
    <row r="19" customFormat="false" ht="12.75" hidden="false" customHeight="false" outlineLevel="0" collapsed="false">
      <c r="A19" s="364" t="n">
        <v>43937</v>
      </c>
      <c r="B19" s="347" t="n">
        <v>43937</v>
      </c>
      <c r="E19" s="349" t="n">
        <v>180</v>
      </c>
      <c r="F19" s="365"/>
    </row>
    <row r="20" customFormat="false" ht="12.75" hidden="false" customHeight="false" outlineLevel="0" collapsed="false">
      <c r="A20" s="364" t="n">
        <v>43938</v>
      </c>
      <c r="B20" s="347" t="n">
        <v>43938</v>
      </c>
      <c r="E20" s="349" t="n">
        <v>200</v>
      </c>
      <c r="F20" s="365"/>
    </row>
    <row r="21" customFormat="false" ht="12.75" hidden="false" customHeight="false" outlineLevel="0" collapsed="false">
      <c r="A21" s="364" t="n">
        <v>43939</v>
      </c>
      <c r="B21" s="347" t="n">
        <v>43939</v>
      </c>
      <c r="E21" s="349" t="n">
        <v>200</v>
      </c>
      <c r="F21" s="365"/>
    </row>
    <row r="22" customFormat="false" ht="12.75" hidden="false" customHeight="false" outlineLevel="0" collapsed="false">
      <c r="A22" s="364" t="n">
        <v>43940</v>
      </c>
      <c r="B22" s="347" t="n">
        <v>43940</v>
      </c>
      <c r="F22" s="365"/>
    </row>
    <row r="23" customFormat="false" ht="12.75" hidden="false" customHeight="false" outlineLevel="0" collapsed="false">
      <c r="A23" s="364" t="n">
        <v>43940</v>
      </c>
      <c r="B23" s="347" t="s">
        <v>241</v>
      </c>
      <c r="F23" s="365"/>
    </row>
    <row r="24" customFormat="false" ht="12.75" hidden="false" customHeight="false" outlineLevel="0" collapsed="false">
      <c r="A24" s="364" t="n">
        <v>43940</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43941</v>
      </c>
      <c r="B27" s="359" t="n">
        <v>43941</v>
      </c>
      <c r="C27" s="360"/>
      <c r="D27" s="361"/>
      <c r="E27" s="362"/>
      <c r="F27" s="363"/>
    </row>
    <row r="28" customFormat="false" ht="12.75" hidden="false" customHeight="false" outlineLevel="0" collapsed="false">
      <c r="A28" s="364" t="n">
        <v>43942</v>
      </c>
      <c r="B28" s="347" t="n">
        <v>43942</v>
      </c>
      <c r="E28" s="349" t="n">
        <v>200</v>
      </c>
      <c r="F28" s="365"/>
    </row>
    <row r="29" customFormat="false" ht="12.75" hidden="false" customHeight="false" outlineLevel="0" collapsed="false">
      <c r="A29" s="364" t="n">
        <v>43943</v>
      </c>
      <c r="B29" s="347" t="n">
        <v>43943</v>
      </c>
      <c r="E29" s="349" t="n">
        <v>200</v>
      </c>
      <c r="F29" s="365"/>
    </row>
    <row r="30" customFormat="false" ht="12.75" hidden="false" customHeight="false" outlineLevel="0" collapsed="false">
      <c r="A30" s="364" t="n">
        <v>43944</v>
      </c>
      <c r="B30" s="347" t="n">
        <v>43944</v>
      </c>
      <c r="E30" s="349" t="n">
        <v>200</v>
      </c>
      <c r="F30" s="365"/>
    </row>
    <row r="31" customFormat="false" ht="12.75" hidden="false" customHeight="false" outlineLevel="0" collapsed="false">
      <c r="A31" s="364" t="n">
        <v>43945</v>
      </c>
      <c r="B31" s="347" t="n">
        <v>43945</v>
      </c>
      <c r="E31" s="349" t="n">
        <v>200</v>
      </c>
      <c r="F31" s="365"/>
    </row>
    <row r="32" customFormat="false" ht="12.75" hidden="false" customHeight="false" outlineLevel="0" collapsed="false">
      <c r="A32" s="364" t="n">
        <v>43946</v>
      </c>
      <c r="B32" s="347" t="n">
        <v>43946</v>
      </c>
      <c r="E32" s="349" t="n">
        <v>200</v>
      </c>
      <c r="F32" s="365"/>
    </row>
    <row r="33" customFormat="false" ht="12.75" hidden="false" customHeight="false" outlineLevel="0" collapsed="false">
      <c r="A33" s="364" t="n">
        <v>43947</v>
      </c>
      <c r="B33" s="347" t="n">
        <v>43947</v>
      </c>
      <c r="F33" s="365"/>
    </row>
    <row r="34" customFormat="false" ht="12.75" hidden="false" customHeight="false" outlineLevel="0" collapsed="false">
      <c r="A34" s="364" t="n">
        <v>43947</v>
      </c>
      <c r="B34" s="347" t="s">
        <v>241</v>
      </c>
      <c r="F34" s="365"/>
    </row>
    <row r="35" customFormat="false" ht="12.75" hidden="false" customHeight="false" outlineLevel="0" collapsed="false">
      <c r="A35" s="364" t="n">
        <v>43947</v>
      </c>
      <c r="B35" s="347" t="s">
        <v>242</v>
      </c>
      <c r="F35" s="365"/>
    </row>
    <row r="36" customFormat="false" ht="12.75" hidden="false" customHeight="false" outlineLevel="0" collapsed="false">
      <c r="A36" s="366"/>
      <c r="B36" s="367"/>
      <c r="C36" s="368"/>
      <c r="D36" s="369"/>
      <c r="E36" s="370" t="n">
        <f aca="false">SUM(E27:E35)</f>
        <v>1000</v>
      </c>
      <c r="F36" s="371" t="n">
        <f aca="false">SUM(F27:F35)</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33"/>
    <col collapsed="false" customWidth="true" hidden="false" outlineLevel="0" max="2" min="2" style="180" width="21.99"/>
    <col collapsed="false" customWidth="true" hidden="false" outlineLevel="0" max="3" min="3" style="180" width="15.5"/>
    <col collapsed="false" customWidth="false" hidden="false" outlineLevel="0" max="4" min="4" style="373" width="9.15"/>
    <col collapsed="false" customWidth="true" hidden="false" outlineLevel="0" max="5" min="5" style="373" width="8.49"/>
    <col collapsed="false" customWidth="true" hidden="false" outlineLevel="0" max="6" min="6" style="374" width="12.66"/>
    <col collapsed="false" customWidth="true" hidden="false" outlineLevel="0" max="7" min="7" style="181" width="9.49"/>
    <col collapsed="false" customWidth="true" hidden="false" outlineLevel="0" max="8" min="8" style="181" width="10.15"/>
    <col collapsed="false" customWidth="true" hidden="false" outlineLevel="0" max="10" min="9" style="181" width="8.66"/>
    <col collapsed="false" customWidth="true" hidden="false" outlineLevel="0" max="12" min="11" style="181" width="7.66"/>
    <col collapsed="false" customWidth="true" hidden="false" outlineLevel="0" max="13" min="13" style="181" width="11.66"/>
    <col collapsed="false" customWidth="true" hidden="false" outlineLevel="0" max="14" min="14" style="181" width="8.66"/>
    <col collapsed="false" customWidth="true" hidden="false" outlineLevel="0" max="15" min="15" style="181" width="11.99"/>
    <col collapsed="false" customWidth="true" hidden="false" outlineLevel="0" max="18" min="16" style="181" width="7.66"/>
    <col collapsed="false" customWidth="true" hidden="false" outlineLevel="0" max="19" min="19" style="181" width="8.49"/>
    <col collapsed="false" customWidth="true" hidden="false" outlineLevel="0" max="20" min="20" style="180" width="13.82"/>
    <col collapsed="false" customWidth="true" hidden="false" outlineLevel="0" max="21" min="21" style="181" width="8.66"/>
    <col collapsed="false" customWidth="false" hidden="false" outlineLevel="0" max="257" min="22" style="180" width="9.15"/>
  </cols>
  <sheetData>
    <row r="1" s="191" customFormat="true" ht="13.5" hidden="false" customHeight="true" outlineLevel="0" collapsed="false">
      <c r="A1" s="239" t="n">
        <f aca="false">E1+SalesApr!$D$1</f>
        <v>0</v>
      </c>
      <c r="B1" s="375" t="s">
        <v>243</v>
      </c>
      <c r="C1" s="376" t="s">
        <v>236</v>
      </c>
      <c r="D1" s="377" t="str">
        <f aca="false">IF((F1-SUM(G1:S1)&lt;&gt;0),(F1-SUM(G1:S1))," ")</f>
        <v> </v>
      </c>
      <c r="E1" s="353" t="n">
        <f aca="false">SUM(E5:E199)</f>
        <v>0</v>
      </c>
      <c r="F1" s="352" t="n">
        <f aca="false">SUM(F5:F199)</f>
        <v>2200</v>
      </c>
      <c r="G1" s="352" t="n">
        <f aca="false">SUM(G5:G199)</f>
        <v>300</v>
      </c>
      <c r="H1" s="352" t="n">
        <f aca="false">SUM(H5:H199)</f>
        <v>0</v>
      </c>
      <c r="I1" s="352" t="n">
        <f aca="false">SUM(I5:I199)</f>
        <v>0</v>
      </c>
      <c r="J1" s="352" t="n">
        <f aca="false">SUM(J5:J199)</f>
        <v>1380</v>
      </c>
      <c r="K1" s="352" t="n">
        <f aca="false">SUM(K5:K199)</f>
        <v>0</v>
      </c>
      <c r="L1" s="352" t="n">
        <f aca="false">SUM(L5:L199)</f>
        <v>0</v>
      </c>
      <c r="M1" s="352" t="n">
        <f aca="false">SUM(M5:M199)</f>
        <v>120</v>
      </c>
      <c r="N1" s="352" t="n">
        <f aca="false">SUM(N5:N199)</f>
        <v>0</v>
      </c>
      <c r="O1" s="352" t="n">
        <f aca="false">SUM(O5:O199)</f>
        <v>400</v>
      </c>
      <c r="P1" s="352" t="n">
        <f aca="false">SUM(P5:P199)</f>
        <v>0</v>
      </c>
      <c r="Q1" s="352" t="n">
        <f aca="false">SUM(Q5:Q199)</f>
        <v>0</v>
      </c>
      <c r="R1" s="352" t="n">
        <f aca="false">SUM(R5:R199)</f>
        <v>0</v>
      </c>
      <c r="S1" s="378" t="n">
        <f aca="false">SUM(S5:S199)</f>
        <v>0</v>
      </c>
      <c r="T1" s="379" t="n">
        <f aca="false">S1</f>
        <v>0</v>
      </c>
      <c r="U1" s="378" t="n">
        <f aca="false">SUM(U4:U199)</f>
        <v>0</v>
      </c>
    </row>
    <row r="2" s="191" customFormat="true" ht="13.5" hidden="false" customHeight="true" outlineLevel="0" collapsed="false">
      <c r="A2" s="240" t="n">
        <f aca="false">U1</f>
        <v>0</v>
      </c>
      <c r="B2" s="240" t="s">
        <v>244</v>
      </c>
      <c r="C2" s="380" t="s">
        <v>245</v>
      </c>
      <c r="D2" s="380" t="s">
        <v>246</v>
      </c>
      <c r="E2" s="380" t="s">
        <v>247</v>
      </c>
      <c r="F2" s="207" t="s">
        <v>248</v>
      </c>
      <c r="G2" s="381" t="s">
        <v>249</v>
      </c>
      <c r="H2" s="381"/>
      <c r="I2" s="382" t="n">
        <f aca="false">G1+H1+I1+J1</f>
        <v>1680</v>
      </c>
      <c r="J2" s="382"/>
      <c r="K2" s="207" t="s">
        <v>250</v>
      </c>
      <c r="L2" s="207" t="s">
        <v>251</v>
      </c>
      <c r="M2" s="207" t="s">
        <v>252</v>
      </c>
      <c r="N2" s="207" t="s">
        <v>253</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79" t="n">
        <f aca="false">IF((A1&lt;Admin!$F$22),((A1)*Admin!$G$21),(A1*Admin!$G$21-(A1-Admin!$F$21)*(Admin!$G$21-Admin!$G$22)))</f>
        <v>0</v>
      </c>
    </row>
    <row r="5" s="373" customFormat="true" ht="12.75" hidden="false" customHeight="false" outlineLevel="0" collapsed="false">
      <c r="A5" s="372" t="n">
        <v>45762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45753</v>
      </c>
      <c r="B6" s="180" t="s">
        <v>277</v>
      </c>
      <c r="D6" s="373" t="s">
        <v>278</v>
      </c>
      <c r="F6" s="374" t="n">
        <v>180</v>
      </c>
      <c r="G6" s="181" t="str">
        <f aca="false">IF((D6="d"),F6," ")</f>
        <v> </v>
      </c>
      <c r="H6" s="181" t="str">
        <f aca="false">IF((D6="h"),F6," ")</f>
        <v> </v>
      </c>
      <c r="I6" s="181" t="str">
        <f aca="false">IF((D6="r"),F6," ")</f>
        <v> </v>
      </c>
      <c r="J6" s="181" t="n">
        <f aca="false">IF((D6="t"),F6," ")</f>
        <v>180</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45757</v>
      </c>
      <c r="B7" s="180" t="s">
        <v>279</v>
      </c>
      <c r="D7" s="373" t="s">
        <v>278</v>
      </c>
      <c r="F7" s="374" t="n">
        <v>1200</v>
      </c>
      <c r="G7" s="181" t="str">
        <f aca="false">IF((D7="d"),F7," ")</f>
        <v> </v>
      </c>
      <c r="H7" s="181" t="str">
        <f aca="false">IF((D7="h"),F7," ")</f>
        <v> </v>
      </c>
      <c r="I7" s="181" t="str">
        <f aca="false">IF((D7="r"),F7," ")</f>
        <v> </v>
      </c>
      <c r="J7" s="181" t="n">
        <f aca="false">IF((D7="t"),F7," ")</f>
        <v>1200</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A8" s="372" t="n">
        <v>45767</v>
      </c>
      <c r="B8" s="180" t="s">
        <v>280</v>
      </c>
      <c r="D8" s="373" t="s">
        <v>281</v>
      </c>
      <c r="F8" s="374" t="n">
        <v>120</v>
      </c>
      <c r="G8" s="181" t="str">
        <f aca="false">IF((D8="d"),F8," ")</f>
        <v> </v>
      </c>
      <c r="H8" s="181" t="str">
        <f aca="false">IF((D8="h"),F8," ")</f>
        <v> </v>
      </c>
      <c r="I8" s="181" t="str">
        <f aca="false">IF((D8="r"),F8," ")</f>
        <v> </v>
      </c>
      <c r="J8" s="181" t="str">
        <f aca="false">IF((D8="t"),F8," ")</f>
        <v> </v>
      </c>
      <c r="K8" s="181" t="str">
        <f aca="false">IF((D8="e"),F8," ")</f>
        <v> </v>
      </c>
      <c r="L8" s="181" t="str">
        <f aca="false">IF((D8="p"),F8," ")</f>
        <v> </v>
      </c>
      <c r="M8" s="181" t="n">
        <f aca="false">IF((D8="g"),F8," ")</f>
        <v>120</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A9" s="372" t="n">
        <v>45755</v>
      </c>
      <c r="B9" s="180" t="s">
        <v>282</v>
      </c>
      <c r="D9" s="373" t="s">
        <v>283</v>
      </c>
      <c r="F9" s="374" t="n">
        <v>400</v>
      </c>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n">
        <f aca="false">IF((D9="l"),F9," ")</f>
        <v>400</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43948</v>
      </c>
      <c r="B5" s="359" t="n">
        <v>43948</v>
      </c>
      <c r="C5" s="360"/>
      <c r="D5" s="361"/>
      <c r="E5" s="362"/>
      <c r="F5" s="363"/>
    </row>
    <row r="6" customFormat="false" ht="12.75" hidden="false" customHeight="false" outlineLevel="0" collapsed="false">
      <c r="A6" s="364" t="n">
        <v>43949</v>
      </c>
      <c r="B6" s="347" t="n">
        <v>43949</v>
      </c>
      <c r="F6" s="365"/>
    </row>
    <row r="7" customFormat="false" ht="12.75" hidden="false" customHeight="false" outlineLevel="0" collapsed="false">
      <c r="A7" s="364" t="n">
        <v>43950</v>
      </c>
      <c r="B7" s="347" t="n">
        <v>43950</v>
      </c>
      <c r="F7" s="365"/>
    </row>
    <row r="8" customFormat="false" ht="12.75" hidden="false" customHeight="false" outlineLevel="0" collapsed="false">
      <c r="A8" s="364" t="n">
        <v>43951</v>
      </c>
      <c r="B8" s="347" t="n">
        <v>43951</v>
      </c>
      <c r="F8" s="365"/>
    </row>
    <row r="9" customFormat="false" ht="12.75" hidden="false" customHeight="false" outlineLevel="0" collapsed="false">
      <c r="A9" s="364" t="n">
        <v>43952</v>
      </c>
      <c r="B9" s="347" t="n">
        <v>43952</v>
      </c>
      <c r="F9" s="365"/>
    </row>
    <row r="10" customFormat="false" ht="12.75" hidden="false" customHeight="false" outlineLevel="0" collapsed="false">
      <c r="A10" s="364" t="n">
        <v>43953</v>
      </c>
      <c r="B10" s="347" t="n">
        <v>43953</v>
      </c>
      <c r="F10" s="365"/>
    </row>
    <row r="11" customFormat="false" ht="12.75" hidden="false" customHeight="false" outlineLevel="0" collapsed="false">
      <c r="A11" s="364" t="n">
        <v>43954</v>
      </c>
      <c r="B11" s="347" t="n">
        <v>43954</v>
      </c>
      <c r="F11" s="365"/>
    </row>
    <row r="12" customFormat="false" ht="12.75" hidden="false" customHeight="false" outlineLevel="0" collapsed="false">
      <c r="A12" s="364" t="n">
        <v>43954</v>
      </c>
      <c r="B12" s="347" t="s">
        <v>241</v>
      </c>
      <c r="F12" s="365"/>
    </row>
    <row r="13" customFormat="false" ht="12.75" hidden="false" customHeight="false" outlineLevel="0" collapsed="false">
      <c r="A13" s="364" t="n">
        <v>43954</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43955</v>
      </c>
      <c r="B16" s="359" t="n">
        <v>43955</v>
      </c>
      <c r="C16" s="360"/>
      <c r="D16" s="361"/>
      <c r="E16" s="362"/>
      <c r="F16" s="363"/>
    </row>
    <row r="17" customFormat="false" ht="12.75" hidden="false" customHeight="false" outlineLevel="0" collapsed="false">
      <c r="A17" s="364" t="n">
        <v>43956</v>
      </c>
      <c r="B17" s="347" t="n">
        <v>43956</v>
      </c>
      <c r="E17" s="349" t="n">
        <v>200</v>
      </c>
      <c r="F17" s="365"/>
    </row>
    <row r="18" customFormat="false" ht="12.75" hidden="false" customHeight="false" outlineLevel="0" collapsed="false">
      <c r="A18" s="364" t="n">
        <v>43957</v>
      </c>
      <c r="B18" s="347" t="n">
        <v>43957</v>
      </c>
      <c r="E18" s="349" t="n">
        <v>200</v>
      </c>
      <c r="F18" s="365"/>
    </row>
    <row r="19" customFormat="false" ht="12.75" hidden="false" customHeight="false" outlineLevel="0" collapsed="false">
      <c r="A19" s="364" t="n">
        <v>43958</v>
      </c>
      <c r="B19" s="347" t="n">
        <v>43958</v>
      </c>
      <c r="E19" s="349" t="n">
        <v>200</v>
      </c>
      <c r="F19" s="365"/>
    </row>
    <row r="20" customFormat="false" ht="12.75" hidden="false" customHeight="false" outlineLevel="0" collapsed="false">
      <c r="A20" s="364" t="n">
        <v>43959</v>
      </c>
      <c r="B20" s="347" t="n">
        <v>43959</v>
      </c>
      <c r="E20" s="349" t="n">
        <v>200</v>
      </c>
      <c r="F20" s="365"/>
    </row>
    <row r="21" customFormat="false" ht="12.75" hidden="false" customHeight="false" outlineLevel="0" collapsed="false">
      <c r="A21" s="364" t="n">
        <v>43960</v>
      </c>
      <c r="B21" s="347" t="n">
        <v>43960</v>
      </c>
      <c r="E21" s="349" t="n">
        <v>200</v>
      </c>
      <c r="F21" s="365"/>
    </row>
    <row r="22" customFormat="false" ht="12.75" hidden="false" customHeight="false" outlineLevel="0" collapsed="false">
      <c r="A22" s="364" t="n">
        <v>43961</v>
      </c>
      <c r="B22" s="347" t="n">
        <v>43961</v>
      </c>
      <c r="F22" s="365"/>
    </row>
    <row r="23" customFormat="false" ht="12.75" hidden="false" customHeight="false" outlineLevel="0" collapsed="false">
      <c r="A23" s="364" t="n">
        <v>43961</v>
      </c>
      <c r="B23" s="347" t="s">
        <v>241</v>
      </c>
      <c r="F23" s="365"/>
    </row>
    <row r="24" customFormat="false" ht="12.75" hidden="false" customHeight="false" outlineLevel="0" collapsed="false">
      <c r="A24" s="364" t="n">
        <v>43961</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43962</v>
      </c>
      <c r="B27" s="359" t="n">
        <v>43962</v>
      </c>
      <c r="C27" s="360"/>
      <c r="D27" s="361"/>
      <c r="E27" s="362"/>
      <c r="F27" s="363"/>
    </row>
    <row r="28" customFormat="false" ht="12.75" hidden="false" customHeight="false" outlineLevel="0" collapsed="false">
      <c r="A28" s="364" t="n">
        <v>43963</v>
      </c>
      <c r="B28" s="347" t="n">
        <v>43963</v>
      </c>
      <c r="E28" s="349" t="n">
        <v>200</v>
      </c>
      <c r="F28" s="365"/>
    </row>
    <row r="29" customFormat="false" ht="12.75" hidden="false" customHeight="false" outlineLevel="0" collapsed="false">
      <c r="A29" s="364" t="n">
        <v>43964</v>
      </c>
      <c r="B29" s="347" t="n">
        <v>43964</v>
      </c>
      <c r="E29" s="349" t="n">
        <v>200</v>
      </c>
      <c r="F29" s="365"/>
    </row>
    <row r="30" customFormat="false" ht="12.75" hidden="false" customHeight="false" outlineLevel="0" collapsed="false">
      <c r="A30" s="364" t="n">
        <v>43965</v>
      </c>
      <c r="B30" s="347" t="n">
        <v>43965</v>
      </c>
      <c r="E30" s="349" t="n">
        <v>200</v>
      </c>
      <c r="F30" s="365"/>
    </row>
    <row r="31" customFormat="false" ht="12.75" hidden="false" customHeight="false" outlineLevel="0" collapsed="false">
      <c r="A31" s="364" t="n">
        <v>43966</v>
      </c>
      <c r="B31" s="347" t="n">
        <v>43966</v>
      </c>
      <c r="E31" s="349" t="n">
        <v>200</v>
      </c>
      <c r="F31" s="365"/>
    </row>
    <row r="32" customFormat="false" ht="12.75" hidden="false" customHeight="false" outlineLevel="0" collapsed="false">
      <c r="A32" s="364" t="n">
        <v>43967</v>
      </c>
      <c r="B32" s="347" t="n">
        <v>43967</v>
      </c>
      <c r="E32" s="349" t="n">
        <v>200</v>
      </c>
      <c r="F32" s="365"/>
    </row>
    <row r="33" customFormat="false" ht="12.75" hidden="false" customHeight="false" outlineLevel="0" collapsed="false">
      <c r="A33" s="364" t="n">
        <v>43968</v>
      </c>
      <c r="B33" s="347" t="n">
        <v>43968</v>
      </c>
      <c r="F33" s="365"/>
    </row>
    <row r="34" customFormat="false" ht="12.75" hidden="false" customHeight="false" outlineLevel="0" collapsed="false">
      <c r="A34" s="364" t="n">
        <v>43968</v>
      </c>
      <c r="B34" s="347" t="s">
        <v>241</v>
      </c>
      <c r="F34" s="365"/>
    </row>
    <row r="35" customFormat="false" ht="12.75" hidden="false" customHeight="false" outlineLevel="0" collapsed="false">
      <c r="A35" s="364" t="n">
        <v>43968</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43969</v>
      </c>
      <c r="B38" s="359" t="n">
        <v>43969</v>
      </c>
      <c r="C38" s="360"/>
      <c r="D38" s="361"/>
      <c r="E38" s="362"/>
      <c r="F38" s="363"/>
    </row>
    <row r="39" customFormat="false" ht="12.75" hidden="false" customHeight="false" outlineLevel="0" collapsed="false">
      <c r="A39" s="364" t="n">
        <v>43970</v>
      </c>
      <c r="B39" s="347" t="n">
        <v>43970</v>
      </c>
      <c r="E39" s="349" t="n">
        <v>200</v>
      </c>
      <c r="F39" s="365"/>
    </row>
    <row r="40" customFormat="false" ht="12.75" hidden="false" customHeight="false" outlineLevel="0" collapsed="false">
      <c r="A40" s="364" t="n">
        <v>43971</v>
      </c>
      <c r="B40" s="347" t="n">
        <v>43971</v>
      </c>
      <c r="E40" s="349" t="n">
        <v>200</v>
      </c>
      <c r="F40" s="365"/>
    </row>
    <row r="41" customFormat="false" ht="12.75" hidden="false" customHeight="false" outlineLevel="0" collapsed="false">
      <c r="A41" s="364" t="n">
        <v>43972</v>
      </c>
      <c r="B41" s="347" t="n">
        <v>43972</v>
      </c>
      <c r="E41" s="349" t="n">
        <v>200</v>
      </c>
      <c r="F41" s="365"/>
    </row>
    <row r="42" customFormat="false" ht="12.75" hidden="false" customHeight="false" outlineLevel="0" collapsed="false">
      <c r="A42" s="364" t="n">
        <v>43973</v>
      </c>
      <c r="B42" s="347" t="n">
        <v>43973</v>
      </c>
      <c r="E42" s="349" t="n">
        <v>200</v>
      </c>
      <c r="F42" s="365"/>
    </row>
    <row r="43" customFormat="false" ht="12.75" hidden="false" customHeight="false" outlineLevel="0" collapsed="false">
      <c r="A43" s="364" t="n">
        <v>43974</v>
      </c>
      <c r="B43" s="347" t="n">
        <v>43974</v>
      </c>
      <c r="E43" s="349" t="n">
        <v>200</v>
      </c>
      <c r="F43" s="365"/>
    </row>
    <row r="44" customFormat="false" ht="12.75" hidden="false" customHeight="false" outlineLevel="0" collapsed="false">
      <c r="A44" s="364" t="n">
        <v>43975</v>
      </c>
      <c r="B44" s="347" t="n">
        <v>43975</v>
      </c>
      <c r="F44" s="365"/>
    </row>
    <row r="45" customFormat="false" ht="12.75" hidden="false" customHeight="false" outlineLevel="0" collapsed="false">
      <c r="A45" s="364" t="n">
        <v>43975</v>
      </c>
      <c r="B45" s="347" t="s">
        <v>241</v>
      </c>
      <c r="F45" s="365"/>
    </row>
    <row r="46" customFormat="false" ht="12.75" hidden="false" customHeight="false" outlineLevel="0" collapsed="false">
      <c r="A46" s="364" t="n">
        <v>43975</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43976</v>
      </c>
      <c r="B49" s="359" t="n">
        <v>43976</v>
      </c>
      <c r="C49" s="360"/>
      <c r="D49" s="361"/>
      <c r="E49" s="362"/>
      <c r="F49" s="363"/>
    </row>
    <row r="50" customFormat="false" ht="12.75" hidden="false" customHeight="false" outlineLevel="0" collapsed="false">
      <c r="A50" s="364" t="n">
        <v>43977</v>
      </c>
      <c r="B50" s="347" t="n">
        <v>43977</v>
      </c>
      <c r="F50" s="365"/>
    </row>
    <row r="51" customFormat="false" ht="12.75" hidden="false" customHeight="false" outlineLevel="0" collapsed="false">
      <c r="A51" s="364" t="n">
        <v>43978</v>
      </c>
      <c r="B51" s="347" t="n">
        <v>43978</v>
      </c>
      <c r="F51" s="365"/>
    </row>
    <row r="52" customFormat="false" ht="12.75" hidden="false" customHeight="false" outlineLevel="0" collapsed="false">
      <c r="A52" s="364" t="n">
        <v>43979</v>
      </c>
      <c r="B52" s="347" t="n">
        <v>43979</v>
      </c>
      <c r="F52" s="365"/>
    </row>
    <row r="53" customFormat="false" ht="12.75" hidden="false" customHeight="false" outlineLevel="0" collapsed="false">
      <c r="A53" s="364" t="n">
        <v>43980</v>
      </c>
      <c r="B53" s="347" t="n">
        <v>43980</v>
      </c>
      <c r="F53" s="365"/>
    </row>
    <row r="54" customFormat="false" ht="12.75" hidden="false" customHeight="false" outlineLevel="0" collapsed="false">
      <c r="A54" s="364" t="n">
        <v>43981</v>
      </c>
      <c r="B54" s="347" t="n">
        <v>43981</v>
      </c>
      <c r="F54" s="365"/>
    </row>
    <row r="55" customFormat="false" ht="12.75" hidden="false" customHeight="false" outlineLevel="0" collapsed="false">
      <c r="A55" s="364" t="n">
        <v>43982</v>
      </c>
      <c r="B55" s="347" t="n">
        <v>43982</v>
      </c>
      <c r="F55" s="365"/>
    </row>
    <row r="56" customFormat="false" ht="12.75" hidden="false" customHeight="false" outlineLevel="0" collapsed="false">
      <c r="A56" s="364" t="n">
        <v>43982</v>
      </c>
      <c r="B56" s="347" t="s">
        <v>241</v>
      </c>
      <c r="F56" s="365"/>
    </row>
    <row r="57" customFormat="false" ht="12.75" hidden="false" customHeight="false" outlineLevel="0" collapsed="false">
      <c r="A57" s="364" t="n">
        <v>43982</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false" hidden="false" outlineLevel="0" max="1" min="1" style="372" width="9.15"/>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7" min="7" style="181" width="9.99"/>
    <col collapsed="false" customWidth="true" hidden="false" outlineLevel="0" max="8" min="8" style="181" width="9.49"/>
    <col collapsed="false" customWidth="true" hidden="false" outlineLevel="0" max="10" min="9" style="181" width="8.66"/>
    <col collapsed="false" customWidth="true" hidden="false" outlineLevel="0" max="11" min="11" style="181" width="7.99"/>
    <col collapsed="false" customWidth="true" hidden="false" outlineLevel="0" max="12" min="12" style="181" width="7.66"/>
    <col collapsed="false" customWidth="true" hidden="false" outlineLevel="0" max="13" min="13" style="181" width="8.66"/>
    <col collapsed="false" customWidth="true" hidden="false" outlineLevel="0" max="14" min="14" style="181" width="8.82"/>
    <col collapsed="false" customWidth="true" hidden="false" outlineLevel="0" max="15" min="15"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E1+SalesMay!$D$1+PurchasesApr!A1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S1+PurchasesApr!T1</f>
        <v>0</v>
      </c>
      <c r="U1" s="393" t="n">
        <f aca="false">SUM(U4:U199)</f>
        <v>0</v>
      </c>
    </row>
    <row r="2" s="181" customFormat="true" ht="13.5" hidden="false" customHeight="true" outlineLevel="0" collapsed="false">
      <c r="A2" s="395" t="n">
        <f aca="false">U1+PurchasesApr!A2</f>
        <v>0</v>
      </c>
      <c r="B2" s="240" t="s">
        <v>244</v>
      </c>
      <c r="C2" s="380" t="s">
        <v>245</v>
      </c>
      <c r="D2" s="380" t="s">
        <v>246</v>
      </c>
      <c r="E2" s="380" t="s">
        <v>247</v>
      </c>
      <c r="F2" s="207" t="s">
        <v>248</v>
      </c>
      <c r="G2" s="381" t="s">
        <v>249</v>
      </c>
      <c r="H2" s="381"/>
      <c r="I2" s="382" t="n">
        <f aca="false">G1+H1+I1+J1+PurchasesApr!I2</f>
        <v>1980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Motor Vehicles: make, model, date reg. and reg. Mark</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IF((A1&lt;Admin!$F$22),((A1-PurchasesApr!A1)*Admin!$G$21),(A1*Admin!$G$21-(A1-Admin!$F$21)*(Admin!$G$21-Admin!$G$22)-PurchasesApr!A2))</f>
        <v>0</v>
      </c>
    </row>
    <row r="5" s="373" customFormat="true" ht="12.75" hidden="false" customHeight="false" outlineLevel="0" collapsed="false">
      <c r="A5" s="372" t="n">
        <v>45792</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43983</v>
      </c>
      <c r="B5" s="359" t="n">
        <v>43983</v>
      </c>
      <c r="C5" s="360"/>
      <c r="D5" s="361"/>
      <c r="E5" s="362"/>
      <c r="F5" s="363"/>
    </row>
    <row r="6" customFormat="false" ht="12.75" hidden="false" customHeight="false" outlineLevel="0" collapsed="false">
      <c r="A6" s="364" t="n">
        <v>43984</v>
      </c>
      <c r="B6" s="347" t="n">
        <v>43984</v>
      </c>
      <c r="E6" s="349" t="n">
        <v>200</v>
      </c>
      <c r="F6" s="365"/>
    </row>
    <row r="7" customFormat="false" ht="12.75" hidden="false" customHeight="false" outlineLevel="0" collapsed="false">
      <c r="A7" s="364" t="n">
        <v>43985</v>
      </c>
      <c r="B7" s="347" t="n">
        <v>43985</v>
      </c>
      <c r="E7" s="349" t="n">
        <v>200</v>
      </c>
      <c r="F7" s="365"/>
    </row>
    <row r="8" customFormat="false" ht="12.75" hidden="false" customHeight="false" outlineLevel="0" collapsed="false">
      <c r="A8" s="364" t="n">
        <v>43986</v>
      </c>
      <c r="B8" s="347" t="n">
        <v>43986</v>
      </c>
      <c r="E8" s="349" t="n">
        <v>200</v>
      </c>
      <c r="F8" s="365"/>
    </row>
    <row r="9" customFormat="false" ht="12.75" hidden="false" customHeight="false" outlineLevel="0" collapsed="false">
      <c r="A9" s="364" t="n">
        <v>43987</v>
      </c>
      <c r="B9" s="347" t="n">
        <v>43987</v>
      </c>
      <c r="E9" s="349" t="n">
        <v>200</v>
      </c>
      <c r="F9" s="365"/>
    </row>
    <row r="10" customFormat="false" ht="12.75" hidden="false" customHeight="false" outlineLevel="0" collapsed="false">
      <c r="A10" s="364" t="n">
        <v>43988</v>
      </c>
      <c r="B10" s="347" t="n">
        <v>43988</v>
      </c>
      <c r="E10" s="349" t="n">
        <v>200</v>
      </c>
      <c r="F10" s="365"/>
    </row>
    <row r="11" customFormat="false" ht="12.75" hidden="false" customHeight="false" outlineLevel="0" collapsed="false">
      <c r="A11" s="364" t="n">
        <v>43989</v>
      </c>
      <c r="B11" s="347" t="n">
        <v>43989</v>
      </c>
      <c r="F11" s="365"/>
    </row>
    <row r="12" customFormat="false" ht="12.75" hidden="false" customHeight="false" outlineLevel="0" collapsed="false">
      <c r="A12" s="364" t="n">
        <v>43989</v>
      </c>
      <c r="B12" s="347" t="s">
        <v>241</v>
      </c>
      <c r="F12" s="365"/>
    </row>
    <row r="13" customFormat="false" ht="12.75" hidden="false" customHeight="false" outlineLevel="0" collapsed="false">
      <c r="A13" s="364" t="n">
        <v>43989</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43990</v>
      </c>
      <c r="B16" s="359" t="n">
        <v>43990</v>
      </c>
      <c r="C16" s="360"/>
      <c r="D16" s="361"/>
      <c r="E16" s="362"/>
      <c r="F16" s="363"/>
    </row>
    <row r="17" customFormat="false" ht="12.75" hidden="false" customHeight="false" outlineLevel="0" collapsed="false">
      <c r="A17" s="364" t="n">
        <v>43991</v>
      </c>
      <c r="B17" s="347" t="n">
        <v>43991</v>
      </c>
      <c r="E17" s="349" t="n">
        <v>200</v>
      </c>
      <c r="F17" s="365"/>
    </row>
    <row r="18" customFormat="false" ht="12.75" hidden="false" customHeight="false" outlineLevel="0" collapsed="false">
      <c r="A18" s="364" t="n">
        <v>43992</v>
      </c>
      <c r="B18" s="347" t="n">
        <v>43992</v>
      </c>
      <c r="E18" s="349" t="n">
        <v>200</v>
      </c>
      <c r="F18" s="365"/>
    </row>
    <row r="19" customFormat="false" ht="12.75" hidden="false" customHeight="false" outlineLevel="0" collapsed="false">
      <c r="A19" s="364" t="n">
        <v>43993</v>
      </c>
      <c r="B19" s="347" t="n">
        <v>43993</v>
      </c>
      <c r="E19" s="349" t="n">
        <v>200</v>
      </c>
      <c r="F19" s="365"/>
    </row>
    <row r="20" customFormat="false" ht="12.75" hidden="false" customHeight="false" outlineLevel="0" collapsed="false">
      <c r="A20" s="364" t="n">
        <v>43994</v>
      </c>
      <c r="B20" s="347" t="n">
        <v>43994</v>
      </c>
      <c r="E20" s="349" t="n">
        <v>200</v>
      </c>
      <c r="F20" s="365"/>
    </row>
    <row r="21" customFormat="false" ht="12.75" hidden="false" customHeight="false" outlineLevel="0" collapsed="false">
      <c r="A21" s="364" t="n">
        <v>43995</v>
      </c>
      <c r="B21" s="347" t="n">
        <v>43995</v>
      </c>
      <c r="E21" s="349" t="n">
        <v>200</v>
      </c>
      <c r="F21" s="365"/>
    </row>
    <row r="22" customFormat="false" ht="12.75" hidden="false" customHeight="false" outlineLevel="0" collapsed="false">
      <c r="A22" s="364" t="n">
        <v>43996</v>
      </c>
      <c r="B22" s="347" t="n">
        <v>43996</v>
      </c>
      <c r="F22" s="365"/>
    </row>
    <row r="23" customFormat="false" ht="12.75" hidden="false" customHeight="false" outlineLevel="0" collapsed="false">
      <c r="A23" s="364" t="n">
        <v>43996</v>
      </c>
      <c r="B23" s="347" t="s">
        <v>241</v>
      </c>
      <c r="F23" s="365"/>
    </row>
    <row r="24" customFormat="false" ht="12.75" hidden="false" customHeight="false" outlineLevel="0" collapsed="false">
      <c r="A24" s="364" t="n">
        <v>43996</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43997</v>
      </c>
      <c r="B27" s="359" t="n">
        <v>43997</v>
      </c>
      <c r="C27" s="360"/>
      <c r="D27" s="361"/>
      <c r="E27" s="362"/>
      <c r="F27" s="363"/>
    </row>
    <row r="28" customFormat="false" ht="12.75" hidden="false" customHeight="false" outlineLevel="0" collapsed="false">
      <c r="A28" s="364" t="n">
        <v>43998</v>
      </c>
      <c r="B28" s="347" t="n">
        <v>43998</v>
      </c>
      <c r="E28" s="349" t="n">
        <v>200</v>
      </c>
      <c r="F28" s="365"/>
    </row>
    <row r="29" customFormat="false" ht="12.75" hidden="false" customHeight="false" outlineLevel="0" collapsed="false">
      <c r="A29" s="364" t="n">
        <v>43999</v>
      </c>
      <c r="B29" s="347" t="n">
        <v>43999</v>
      </c>
      <c r="E29" s="349" t="n">
        <v>200</v>
      </c>
      <c r="F29" s="365"/>
    </row>
    <row r="30" customFormat="false" ht="12.75" hidden="false" customHeight="false" outlineLevel="0" collapsed="false">
      <c r="A30" s="364" t="n">
        <v>44000</v>
      </c>
      <c r="B30" s="347" t="n">
        <v>44000</v>
      </c>
      <c r="E30" s="349" t="n">
        <v>200</v>
      </c>
      <c r="F30" s="365"/>
    </row>
    <row r="31" customFormat="false" ht="12.75" hidden="false" customHeight="false" outlineLevel="0" collapsed="false">
      <c r="A31" s="364" t="n">
        <v>44001</v>
      </c>
      <c r="B31" s="347" t="n">
        <v>44001</v>
      </c>
      <c r="E31" s="349" t="n">
        <v>200</v>
      </c>
      <c r="F31" s="365"/>
    </row>
    <row r="32" customFormat="false" ht="12.75" hidden="false" customHeight="false" outlineLevel="0" collapsed="false">
      <c r="A32" s="364" t="n">
        <v>44002</v>
      </c>
      <c r="B32" s="347" t="n">
        <v>44002</v>
      </c>
      <c r="E32" s="349" t="n">
        <v>200</v>
      </c>
      <c r="F32" s="365"/>
    </row>
    <row r="33" customFormat="false" ht="12.75" hidden="false" customHeight="false" outlineLevel="0" collapsed="false">
      <c r="A33" s="364" t="n">
        <v>44003</v>
      </c>
      <c r="B33" s="347" t="n">
        <v>44003</v>
      </c>
      <c r="F33" s="365"/>
    </row>
    <row r="34" customFormat="false" ht="12.75" hidden="false" customHeight="false" outlineLevel="0" collapsed="false">
      <c r="A34" s="364" t="n">
        <v>44003</v>
      </c>
      <c r="B34" s="347" t="s">
        <v>241</v>
      </c>
      <c r="F34" s="365"/>
    </row>
    <row r="35" customFormat="false" ht="12.75" hidden="false" customHeight="false" outlineLevel="0" collapsed="false">
      <c r="A35" s="364" t="n">
        <v>44003</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44004</v>
      </c>
      <c r="B38" s="359" t="n">
        <v>44004</v>
      </c>
      <c r="C38" s="360"/>
      <c r="D38" s="361"/>
      <c r="E38" s="362"/>
      <c r="F38" s="363"/>
    </row>
    <row r="39" customFormat="false" ht="12.75" hidden="false" customHeight="false" outlineLevel="0" collapsed="false">
      <c r="A39" s="364" t="n">
        <v>44005</v>
      </c>
      <c r="B39" s="347" t="n">
        <v>44005</v>
      </c>
      <c r="F39" s="365"/>
    </row>
    <row r="40" customFormat="false" ht="12.75" hidden="false" customHeight="false" outlineLevel="0" collapsed="false">
      <c r="A40" s="364" t="n">
        <v>44006</v>
      </c>
      <c r="B40" s="347" t="n">
        <v>44006</v>
      </c>
      <c r="F40" s="365"/>
    </row>
    <row r="41" customFormat="false" ht="12.75" hidden="false" customHeight="false" outlineLevel="0" collapsed="false">
      <c r="A41" s="364" t="n">
        <v>44007</v>
      </c>
      <c r="B41" s="347" t="n">
        <v>44007</v>
      </c>
      <c r="F41" s="365"/>
    </row>
    <row r="42" customFormat="false" ht="12.75" hidden="false" customHeight="false" outlineLevel="0" collapsed="false">
      <c r="A42" s="364" t="n">
        <v>44008</v>
      </c>
      <c r="B42" s="347" t="n">
        <v>44008</v>
      </c>
      <c r="F42" s="365"/>
    </row>
    <row r="43" customFormat="false" ht="12.75" hidden="false" customHeight="false" outlineLevel="0" collapsed="false">
      <c r="A43" s="364" t="n">
        <v>44009</v>
      </c>
      <c r="B43" s="347" t="n">
        <v>44009</v>
      </c>
      <c r="F43" s="365"/>
    </row>
    <row r="44" customFormat="false" ht="12.75" hidden="false" customHeight="false" outlineLevel="0" collapsed="false">
      <c r="A44" s="364" t="n">
        <v>44010</v>
      </c>
      <c r="B44" s="347" t="n">
        <v>44010</v>
      </c>
      <c r="F44" s="365"/>
    </row>
    <row r="45" customFormat="false" ht="12.75" hidden="false" customHeight="false" outlineLevel="0" collapsed="false">
      <c r="A45" s="364" t="n">
        <v>44010</v>
      </c>
      <c r="B45" s="347" t="s">
        <v>241</v>
      </c>
      <c r="F45" s="365"/>
    </row>
    <row r="46" customFormat="false" ht="12.75" hidden="false" customHeight="false" outlineLevel="0" collapsed="false">
      <c r="A46" s="364" t="n">
        <v>44010</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49"/>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66"/>
    <col collapsed="false" customWidth="true" hidden="false" outlineLevel="0" max="12" min="11" style="181" width="7.66"/>
    <col collapsed="false" customWidth="true" hidden="false" outlineLevel="0" max="14" min="13" style="181" width="9.33"/>
    <col collapsed="false" customWidth="true" hidden="false" outlineLevel="0" max="15" min="15" style="181" width="9.49"/>
    <col collapsed="false" customWidth="true" hidden="false" outlineLevel="0" max="18" min="16" style="181" width="7.66"/>
    <col collapsed="false" customWidth="true" hidden="false" outlineLevel="0" max="19" min="19" style="181" width="8.66"/>
    <col collapsed="false" customWidth="true" hidden="false" outlineLevel="0" max="20" min="20" style="180" width="12.99"/>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E1+SalesJun!$D$1+PurchasesMay!A1</f>
        <v>0</v>
      </c>
      <c r="B1" s="391" t="s">
        <v>243</v>
      </c>
      <c r="C1" s="392" t="s">
        <v>236</v>
      </c>
      <c r="D1" s="377" t="str">
        <f aca="false">IF((F1-SUM(G1:S1)&lt;&gt;0),(F1-SUM(G1:S1))," ")</f>
        <v> </v>
      </c>
      <c r="E1" s="353" t="n">
        <f aca="false">SUM(E5:E199)</f>
        <v>0</v>
      </c>
      <c r="F1" s="352" t="n">
        <f aca="false">SUM(F5:F199)</f>
        <v>8300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8000</v>
      </c>
      <c r="T1" s="394" t="n">
        <f aca="false">S1+PurchasesMay!T1</f>
        <v>8000</v>
      </c>
      <c r="U1" s="393" t="n">
        <f aca="false">SUM(U4:U199)</f>
        <v>0</v>
      </c>
    </row>
    <row r="2" s="181" customFormat="true" ht="13.5" hidden="false" customHeight="true" outlineLevel="0" collapsed="false">
      <c r="A2" s="395" t="n">
        <f aca="false">U1+PurchasesMay!A2</f>
        <v>0</v>
      </c>
      <c r="B2" s="240" t="s">
        <v>244</v>
      </c>
      <c r="C2" s="380" t="s">
        <v>245</v>
      </c>
      <c r="D2" s="380" t="s">
        <v>246</v>
      </c>
      <c r="E2" s="380" t="s">
        <v>247</v>
      </c>
      <c r="F2" s="207" t="s">
        <v>248</v>
      </c>
      <c r="G2" s="381" t="s">
        <v>249</v>
      </c>
      <c r="H2" s="381"/>
      <c r="I2" s="382" t="n">
        <f aca="false">G1+H1+I1+J1+PurchasesMay!I2</f>
        <v>2280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IF((E1&lt;&gt;0),Admin!$B$7,"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IF((A1&lt;Admin!$F$22),((A1-PurchasesMay!A1)*Admin!$G$21),(A1*Admin!$G$21-(A1-Admin!$F$21)*(Admin!$G$21-Admin!$G$22)-PurchasesMay!A2))</f>
        <v>0</v>
      </c>
    </row>
    <row r="5" s="373" customFormat="true" ht="12.75" hidden="false" customHeight="false" outlineLevel="0" collapsed="false">
      <c r="A5" s="372" t="n">
        <v>45823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45809</v>
      </c>
      <c r="B6" s="180" t="s">
        <v>285</v>
      </c>
      <c r="D6" s="373" t="s">
        <v>286</v>
      </c>
      <c r="F6" s="374" t="n">
        <v>8000</v>
      </c>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n">
        <f aca="false">IF((D6="f"),F6," ")</f>
        <v>8000</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44011</v>
      </c>
      <c r="B5" s="359" t="n">
        <v>44011</v>
      </c>
      <c r="C5" s="360"/>
      <c r="D5" s="361"/>
      <c r="E5" s="362"/>
      <c r="F5" s="363"/>
    </row>
    <row r="6" customFormat="false" ht="12.75" hidden="false" customHeight="false" outlineLevel="0" collapsed="false">
      <c r="A6" s="364" t="n">
        <v>44012</v>
      </c>
      <c r="B6" s="347" t="n">
        <v>44012</v>
      </c>
      <c r="F6" s="365"/>
    </row>
    <row r="7" customFormat="false" ht="12.75" hidden="false" customHeight="false" outlineLevel="0" collapsed="false">
      <c r="A7" s="364" t="n">
        <v>44013</v>
      </c>
      <c r="B7" s="347" t="n">
        <v>44013</v>
      </c>
      <c r="F7" s="365"/>
    </row>
    <row r="8" customFormat="false" ht="12.75" hidden="false" customHeight="false" outlineLevel="0" collapsed="false">
      <c r="A8" s="364" t="n">
        <v>44014</v>
      </c>
      <c r="B8" s="347" t="n">
        <v>44014</v>
      </c>
      <c r="F8" s="365"/>
    </row>
    <row r="9" customFormat="false" ht="12.75" hidden="false" customHeight="false" outlineLevel="0" collapsed="false">
      <c r="A9" s="364" t="n">
        <v>44015</v>
      </c>
      <c r="B9" s="347" t="n">
        <v>44015</v>
      </c>
      <c r="F9" s="365"/>
    </row>
    <row r="10" customFormat="false" ht="12.75" hidden="false" customHeight="false" outlineLevel="0" collapsed="false">
      <c r="A10" s="364" t="n">
        <v>44016</v>
      </c>
      <c r="B10" s="347" t="n">
        <v>44016</v>
      </c>
      <c r="F10" s="365"/>
    </row>
    <row r="11" customFormat="false" ht="12.75" hidden="false" customHeight="false" outlineLevel="0" collapsed="false">
      <c r="A11" s="364" t="n">
        <v>44017</v>
      </c>
      <c r="B11" s="347" t="n">
        <v>44017</v>
      </c>
      <c r="F11" s="365"/>
    </row>
    <row r="12" customFormat="false" ht="12.75" hidden="false" customHeight="false" outlineLevel="0" collapsed="false">
      <c r="A12" s="364" t="n">
        <v>44017</v>
      </c>
      <c r="B12" s="347" t="s">
        <v>241</v>
      </c>
      <c r="F12" s="365"/>
    </row>
    <row r="13" customFormat="false" ht="12.75" hidden="false" customHeight="false" outlineLevel="0" collapsed="false">
      <c r="A13" s="364" t="n">
        <v>44017</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44018</v>
      </c>
      <c r="B16" s="359" t="n">
        <v>44018</v>
      </c>
      <c r="C16" s="360"/>
      <c r="D16" s="361"/>
      <c r="E16" s="362"/>
      <c r="F16" s="363"/>
    </row>
    <row r="17" customFormat="false" ht="12.75" hidden="false" customHeight="false" outlineLevel="0" collapsed="false">
      <c r="A17" s="364" t="n">
        <v>44019</v>
      </c>
      <c r="B17" s="347" t="n">
        <v>44019</v>
      </c>
      <c r="E17" s="349" t="n">
        <v>200</v>
      </c>
      <c r="F17" s="365"/>
    </row>
    <row r="18" customFormat="false" ht="12.75" hidden="false" customHeight="false" outlineLevel="0" collapsed="false">
      <c r="A18" s="364" t="n">
        <v>44020</v>
      </c>
      <c r="B18" s="347" t="n">
        <v>44020</v>
      </c>
      <c r="E18" s="349" t="n">
        <v>200</v>
      </c>
      <c r="F18" s="365"/>
    </row>
    <row r="19" customFormat="false" ht="12.75" hidden="false" customHeight="false" outlineLevel="0" collapsed="false">
      <c r="A19" s="364" t="n">
        <v>44021</v>
      </c>
      <c r="B19" s="347" t="n">
        <v>44021</v>
      </c>
      <c r="E19" s="349" t="n">
        <v>200</v>
      </c>
      <c r="F19" s="365"/>
    </row>
    <row r="20" customFormat="false" ht="12.75" hidden="false" customHeight="false" outlineLevel="0" collapsed="false">
      <c r="A20" s="364" t="n">
        <v>44022</v>
      </c>
      <c r="B20" s="347" t="n">
        <v>44022</v>
      </c>
      <c r="E20" s="349" t="n">
        <v>200</v>
      </c>
      <c r="F20" s="365"/>
    </row>
    <row r="21" customFormat="false" ht="12.75" hidden="false" customHeight="false" outlineLevel="0" collapsed="false">
      <c r="A21" s="364" t="n">
        <v>44023</v>
      </c>
      <c r="B21" s="347" t="n">
        <v>44023</v>
      </c>
      <c r="E21" s="349" t="n">
        <v>200</v>
      </c>
      <c r="F21" s="365"/>
    </row>
    <row r="22" customFormat="false" ht="12.75" hidden="false" customHeight="false" outlineLevel="0" collapsed="false">
      <c r="A22" s="364" t="n">
        <v>44024</v>
      </c>
      <c r="B22" s="347" t="n">
        <v>44024</v>
      </c>
      <c r="F22" s="365"/>
    </row>
    <row r="23" customFormat="false" ht="12.75" hidden="false" customHeight="false" outlineLevel="0" collapsed="false">
      <c r="A23" s="364" t="n">
        <v>44024</v>
      </c>
      <c r="B23" s="347" t="s">
        <v>241</v>
      </c>
      <c r="F23" s="365"/>
    </row>
    <row r="24" customFormat="false" ht="12.75" hidden="false" customHeight="false" outlineLevel="0" collapsed="false">
      <c r="A24" s="364" t="n">
        <v>44024</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44025</v>
      </c>
      <c r="B27" s="359" t="n">
        <v>44025</v>
      </c>
      <c r="C27" s="360"/>
      <c r="D27" s="361"/>
      <c r="E27" s="362"/>
      <c r="F27" s="363"/>
    </row>
    <row r="28" customFormat="false" ht="12.75" hidden="false" customHeight="false" outlineLevel="0" collapsed="false">
      <c r="A28" s="364" t="n">
        <v>44026</v>
      </c>
      <c r="B28" s="347" t="n">
        <v>44026</v>
      </c>
      <c r="E28" s="349" t="n">
        <v>200</v>
      </c>
      <c r="F28" s="365"/>
    </row>
    <row r="29" customFormat="false" ht="12.75" hidden="false" customHeight="false" outlineLevel="0" collapsed="false">
      <c r="A29" s="364" t="n">
        <v>44027</v>
      </c>
      <c r="B29" s="347" t="n">
        <v>44027</v>
      </c>
      <c r="E29" s="349" t="n">
        <v>200</v>
      </c>
      <c r="F29" s="365"/>
    </row>
    <row r="30" customFormat="false" ht="12.75" hidden="false" customHeight="false" outlineLevel="0" collapsed="false">
      <c r="A30" s="364" t="n">
        <v>44028</v>
      </c>
      <c r="B30" s="347" t="n">
        <v>44028</v>
      </c>
      <c r="E30" s="349" t="n">
        <v>200</v>
      </c>
      <c r="F30" s="365"/>
    </row>
    <row r="31" customFormat="false" ht="12.75" hidden="false" customHeight="false" outlineLevel="0" collapsed="false">
      <c r="A31" s="364" t="n">
        <v>44029</v>
      </c>
      <c r="B31" s="347" t="n">
        <v>44029</v>
      </c>
      <c r="E31" s="349" t="n">
        <v>200</v>
      </c>
      <c r="F31" s="365"/>
    </row>
    <row r="32" customFormat="false" ht="12.75" hidden="false" customHeight="false" outlineLevel="0" collapsed="false">
      <c r="A32" s="364" t="n">
        <v>44030</v>
      </c>
      <c r="B32" s="347" t="n">
        <v>44030</v>
      </c>
      <c r="E32" s="349" t="n">
        <v>200</v>
      </c>
      <c r="F32" s="365"/>
    </row>
    <row r="33" customFormat="false" ht="12.75" hidden="false" customHeight="false" outlineLevel="0" collapsed="false">
      <c r="A33" s="364" t="n">
        <v>44031</v>
      </c>
      <c r="B33" s="347" t="n">
        <v>44031</v>
      </c>
      <c r="F33" s="365"/>
    </row>
    <row r="34" customFormat="false" ht="12.75" hidden="false" customHeight="false" outlineLevel="0" collapsed="false">
      <c r="A34" s="364" t="n">
        <v>44031</v>
      </c>
      <c r="B34" s="347" t="s">
        <v>241</v>
      </c>
      <c r="F34" s="365"/>
    </row>
    <row r="35" customFormat="false" ht="12.75" hidden="false" customHeight="false" outlineLevel="0" collapsed="false">
      <c r="A35" s="364" t="n">
        <v>44031</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44032</v>
      </c>
      <c r="B38" s="359" t="n">
        <v>44032</v>
      </c>
      <c r="C38" s="360"/>
      <c r="D38" s="361"/>
      <c r="E38" s="362"/>
      <c r="F38" s="363"/>
    </row>
    <row r="39" customFormat="false" ht="12.75" hidden="false" customHeight="false" outlineLevel="0" collapsed="false">
      <c r="A39" s="364" t="n">
        <v>44033</v>
      </c>
      <c r="B39" s="347" t="n">
        <v>44033</v>
      </c>
      <c r="E39" s="349" t="n">
        <v>200</v>
      </c>
      <c r="F39" s="365"/>
    </row>
    <row r="40" customFormat="false" ht="12.75" hidden="false" customHeight="false" outlineLevel="0" collapsed="false">
      <c r="A40" s="364" t="n">
        <v>44034</v>
      </c>
      <c r="B40" s="347" t="n">
        <v>44034</v>
      </c>
      <c r="E40" s="349" t="n">
        <v>200</v>
      </c>
      <c r="F40" s="365"/>
    </row>
    <row r="41" customFormat="false" ht="12.75" hidden="false" customHeight="false" outlineLevel="0" collapsed="false">
      <c r="A41" s="364" t="n">
        <v>44035</v>
      </c>
      <c r="B41" s="347" t="n">
        <v>44035</v>
      </c>
      <c r="E41" s="349" t="n">
        <v>200</v>
      </c>
      <c r="F41" s="365"/>
    </row>
    <row r="42" customFormat="false" ht="12.75" hidden="false" customHeight="false" outlineLevel="0" collapsed="false">
      <c r="A42" s="364" t="n">
        <v>44036</v>
      </c>
      <c r="B42" s="347" t="n">
        <v>44036</v>
      </c>
      <c r="E42" s="349" t="n">
        <v>200</v>
      </c>
      <c r="F42" s="365"/>
    </row>
    <row r="43" customFormat="false" ht="12.75" hidden="false" customHeight="false" outlineLevel="0" collapsed="false">
      <c r="A43" s="364" t="n">
        <v>44037</v>
      </c>
      <c r="B43" s="347" t="n">
        <v>44037</v>
      </c>
      <c r="E43" s="349" t="n">
        <v>200</v>
      </c>
      <c r="F43" s="365"/>
    </row>
    <row r="44" customFormat="false" ht="12.75" hidden="false" customHeight="false" outlineLevel="0" collapsed="false">
      <c r="A44" s="364" t="n">
        <v>44038</v>
      </c>
      <c r="B44" s="347" t="n">
        <v>44038</v>
      </c>
      <c r="F44" s="365"/>
    </row>
    <row r="45" customFormat="false" ht="12.75" hidden="false" customHeight="false" outlineLevel="0" collapsed="false">
      <c r="A45" s="364" t="n">
        <v>44038</v>
      </c>
      <c r="B45" s="347" t="s">
        <v>241</v>
      </c>
      <c r="F45" s="365"/>
    </row>
    <row r="46" customFormat="false" ht="12.75" hidden="false" customHeight="false" outlineLevel="0" collapsed="false">
      <c r="A46" s="364" t="n">
        <v>44038</v>
      </c>
      <c r="B46" s="347" t="s">
        <v>242</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true" hidden="false" outlineLevel="0" max="15" min="14" style="181" width="9.49"/>
    <col collapsed="false" customWidth="true" hidden="false" outlineLevel="0" max="18" min="16" style="181" width="7.66"/>
    <col collapsed="false" customWidth="true" hidden="false" outlineLevel="0" max="19" min="19" style="181" width="8.15"/>
    <col collapsed="false" customWidth="true" hidden="false" outlineLevel="0" max="20" min="20" style="180" width="13.15"/>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E1+SalesJul!$D$1+PurchasesJun!A1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S1+PurchasesJun!T1</f>
        <v>8000</v>
      </c>
      <c r="U1" s="393" t="n">
        <f aca="false">SUM(U4:U199)</f>
        <v>0</v>
      </c>
    </row>
    <row r="2" s="181" customFormat="true" ht="13.5" hidden="false" customHeight="true" outlineLevel="0" collapsed="false">
      <c r="A2" s="395" t="n">
        <f aca="false">U1+PurchasesJun!A2</f>
        <v>0</v>
      </c>
      <c r="B2" s="240" t="s">
        <v>244</v>
      </c>
      <c r="C2" s="380" t="s">
        <v>245</v>
      </c>
      <c r="D2" s="380" t="s">
        <v>246</v>
      </c>
      <c r="E2" s="380" t="s">
        <v>247</v>
      </c>
      <c r="F2" s="207" t="s">
        <v>248</v>
      </c>
      <c r="G2" s="381" t="s">
        <v>249</v>
      </c>
      <c r="H2" s="381"/>
      <c r="I2" s="382" t="n">
        <f aca="false">G1+H1+I1+J1+PurchasesJun!I2</f>
        <v>2580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IF((E1&lt;&gt;0),Admin!$B$8,"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IF((A1&lt;Admin!$F$22),((A1-PurchasesJun!A1)*Admin!$G$21),(A1*Admin!$G$21-(A1-Admin!$F$21)*(Admin!$G$21-Admin!$G$22)-PurchasesJun!A2))</f>
        <v>0</v>
      </c>
    </row>
    <row r="5" s="373" customFormat="true" ht="12.75" hidden="false" customHeight="false" outlineLevel="0" collapsed="false">
      <c r="A5" s="372" t="n">
        <v>45853</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45848</v>
      </c>
      <c r="B6" s="396"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44039</v>
      </c>
      <c r="B5" s="359" t="n">
        <v>44039</v>
      </c>
      <c r="C5" s="360"/>
      <c r="D5" s="361"/>
      <c r="E5" s="362"/>
      <c r="F5" s="363"/>
    </row>
    <row r="6" customFormat="false" ht="12.75" hidden="false" customHeight="false" outlineLevel="0" collapsed="false">
      <c r="A6" s="364" t="n">
        <v>44040</v>
      </c>
      <c r="B6" s="347" t="n">
        <v>44040</v>
      </c>
      <c r="F6" s="365"/>
    </row>
    <row r="7" customFormat="false" ht="12.75" hidden="false" customHeight="false" outlineLevel="0" collapsed="false">
      <c r="A7" s="364" t="n">
        <v>44041</v>
      </c>
      <c r="B7" s="347" t="n">
        <v>44041</v>
      </c>
      <c r="F7" s="365"/>
    </row>
    <row r="8" customFormat="false" ht="12.75" hidden="false" customHeight="false" outlineLevel="0" collapsed="false">
      <c r="A8" s="364" t="n">
        <v>44042</v>
      </c>
      <c r="B8" s="347" t="n">
        <v>44042</v>
      </c>
      <c r="F8" s="365"/>
    </row>
    <row r="9" customFormat="false" ht="12.75" hidden="false" customHeight="false" outlineLevel="0" collapsed="false">
      <c r="A9" s="364" t="n">
        <v>44043</v>
      </c>
      <c r="B9" s="347" t="n">
        <v>44043</v>
      </c>
      <c r="F9" s="365"/>
    </row>
    <row r="10" customFormat="false" ht="12.75" hidden="false" customHeight="false" outlineLevel="0" collapsed="false">
      <c r="A10" s="364" t="n">
        <v>44044</v>
      </c>
      <c r="B10" s="347" t="n">
        <v>44044</v>
      </c>
      <c r="F10" s="365"/>
    </row>
    <row r="11" customFormat="false" ht="12.75" hidden="false" customHeight="false" outlineLevel="0" collapsed="false">
      <c r="A11" s="364" t="n">
        <v>44045</v>
      </c>
      <c r="B11" s="347" t="n">
        <v>44045</v>
      </c>
      <c r="F11" s="365"/>
    </row>
    <row r="12" customFormat="false" ht="12.75" hidden="false" customHeight="false" outlineLevel="0" collapsed="false">
      <c r="A12" s="364" t="n">
        <v>44045</v>
      </c>
      <c r="B12" s="347" t="s">
        <v>241</v>
      </c>
      <c r="F12" s="365"/>
    </row>
    <row r="13" customFormat="false" ht="12.75" hidden="false" customHeight="false" outlineLevel="0" collapsed="false">
      <c r="A13" s="364" t="n">
        <v>44045</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44046</v>
      </c>
      <c r="B16" s="359" t="n">
        <v>44046</v>
      </c>
      <c r="C16" s="360"/>
      <c r="D16" s="361"/>
      <c r="E16" s="362"/>
      <c r="F16" s="363"/>
    </row>
    <row r="17" customFormat="false" ht="12.75" hidden="false" customHeight="false" outlineLevel="0" collapsed="false">
      <c r="A17" s="364" t="n">
        <v>44047</v>
      </c>
      <c r="B17" s="347" t="n">
        <v>44047</v>
      </c>
      <c r="E17" s="349" t="n">
        <v>200</v>
      </c>
      <c r="F17" s="365"/>
    </row>
    <row r="18" customFormat="false" ht="12.75" hidden="false" customHeight="false" outlineLevel="0" collapsed="false">
      <c r="A18" s="364" t="n">
        <v>44048</v>
      </c>
      <c r="B18" s="347" t="n">
        <v>44048</v>
      </c>
      <c r="E18" s="349" t="n">
        <v>200</v>
      </c>
      <c r="F18" s="365"/>
    </row>
    <row r="19" customFormat="false" ht="12.75" hidden="false" customHeight="false" outlineLevel="0" collapsed="false">
      <c r="A19" s="364" t="n">
        <v>44049</v>
      </c>
      <c r="B19" s="347" t="n">
        <v>44049</v>
      </c>
      <c r="E19" s="349" t="n">
        <v>200</v>
      </c>
      <c r="F19" s="365"/>
    </row>
    <row r="20" customFormat="false" ht="12.75" hidden="false" customHeight="false" outlineLevel="0" collapsed="false">
      <c r="A20" s="364" t="n">
        <v>44050</v>
      </c>
      <c r="B20" s="347" t="n">
        <v>44050</v>
      </c>
      <c r="E20" s="349" t="n">
        <v>200</v>
      </c>
      <c r="F20" s="365"/>
    </row>
    <row r="21" customFormat="false" ht="12.75" hidden="false" customHeight="false" outlineLevel="0" collapsed="false">
      <c r="A21" s="364" t="n">
        <v>44051</v>
      </c>
      <c r="B21" s="347" t="n">
        <v>44051</v>
      </c>
      <c r="E21" s="349" t="n">
        <v>200</v>
      </c>
      <c r="F21" s="365"/>
    </row>
    <row r="22" customFormat="false" ht="12.75" hidden="false" customHeight="false" outlineLevel="0" collapsed="false">
      <c r="A22" s="364" t="n">
        <v>44052</v>
      </c>
      <c r="B22" s="347" t="n">
        <v>44052</v>
      </c>
      <c r="F22" s="365"/>
    </row>
    <row r="23" customFormat="false" ht="12.75" hidden="false" customHeight="false" outlineLevel="0" collapsed="false">
      <c r="A23" s="364" t="n">
        <v>44052</v>
      </c>
      <c r="B23" s="347" t="s">
        <v>241</v>
      </c>
      <c r="F23" s="365"/>
    </row>
    <row r="24" customFormat="false" ht="12.75" hidden="false" customHeight="false" outlineLevel="0" collapsed="false">
      <c r="A24" s="364" t="n">
        <v>44052</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44053</v>
      </c>
      <c r="B27" s="359" t="n">
        <v>44053</v>
      </c>
      <c r="C27" s="360"/>
      <c r="D27" s="361"/>
      <c r="E27" s="362"/>
      <c r="F27" s="363"/>
    </row>
    <row r="28" customFormat="false" ht="12.75" hidden="false" customHeight="false" outlineLevel="0" collapsed="false">
      <c r="A28" s="364" t="n">
        <v>44054</v>
      </c>
      <c r="B28" s="347" t="n">
        <v>44054</v>
      </c>
      <c r="E28" s="349" t="n">
        <v>200</v>
      </c>
      <c r="F28" s="365"/>
    </row>
    <row r="29" customFormat="false" ht="12.75" hidden="false" customHeight="false" outlineLevel="0" collapsed="false">
      <c r="A29" s="364" t="n">
        <v>44055</v>
      </c>
      <c r="B29" s="347" t="n">
        <v>44055</v>
      </c>
      <c r="E29" s="349" t="n">
        <v>200</v>
      </c>
      <c r="F29" s="365"/>
    </row>
    <row r="30" customFormat="false" ht="12.75" hidden="false" customHeight="false" outlineLevel="0" collapsed="false">
      <c r="A30" s="364" t="n">
        <v>44056</v>
      </c>
      <c r="B30" s="347" t="n">
        <v>44056</v>
      </c>
      <c r="E30" s="349" t="n">
        <v>200</v>
      </c>
      <c r="F30" s="365"/>
    </row>
    <row r="31" customFormat="false" ht="12.75" hidden="false" customHeight="false" outlineLevel="0" collapsed="false">
      <c r="A31" s="364" t="n">
        <v>44057</v>
      </c>
      <c r="B31" s="347" t="n">
        <v>44057</v>
      </c>
      <c r="E31" s="349" t="n">
        <v>200</v>
      </c>
      <c r="F31" s="365"/>
    </row>
    <row r="32" customFormat="false" ht="12.75" hidden="false" customHeight="false" outlineLevel="0" collapsed="false">
      <c r="A32" s="364" t="n">
        <v>44058</v>
      </c>
      <c r="B32" s="347" t="n">
        <v>44058</v>
      </c>
      <c r="E32" s="349" t="n">
        <v>200</v>
      </c>
      <c r="F32" s="365"/>
    </row>
    <row r="33" customFormat="false" ht="12.75" hidden="false" customHeight="false" outlineLevel="0" collapsed="false">
      <c r="A33" s="364" t="n">
        <v>44059</v>
      </c>
      <c r="B33" s="347" t="n">
        <v>44059</v>
      </c>
      <c r="F33" s="365"/>
    </row>
    <row r="34" customFormat="false" ht="12.75" hidden="false" customHeight="false" outlineLevel="0" collapsed="false">
      <c r="A34" s="364" t="n">
        <v>44059</v>
      </c>
      <c r="B34" s="347" t="s">
        <v>241</v>
      </c>
      <c r="F34" s="365"/>
    </row>
    <row r="35" customFormat="false" ht="12.75" hidden="false" customHeight="false" outlineLevel="0" collapsed="false">
      <c r="A35" s="364" t="n">
        <v>44059</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44060</v>
      </c>
      <c r="B38" s="359" t="n">
        <v>44060</v>
      </c>
      <c r="C38" s="360"/>
      <c r="D38" s="361"/>
      <c r="E38" s="362"/>
      <c r="F38" s="363"/>
    </row>
    <row r="39" customFormat="false" ht="12.75" hidden="false" customHeight="false" outlineLevel="0" collapsed="false">
      <c r="A39" s="364" t="n">
        <v>44061</v>
      </c>
      <c r="B39" s="347" t="n">
        <v>44061</v>
      </c>
      <c r="E39" s="349" t="n">
        <v>200</v>
      </c>
      <c r="F39" s="365"/>
    </row>
    <row r="40" customFormat="false" ht="12.75" hidden="false" customHeight="false" outlineLevel="0" collapsed="false">
      <c r="A40" s="364" t="n">
        <v>44062</v>
      </c>
      <c r="B40" s="347" t="n">
        <v>44062</v>
      </c>
      <c r="E40" s="349" t="n">
        <v>200</v>
      </c>
      <c r="F40" s="365"/>
    </row>
    <row r="41" customFormat="false" ht="12.75" hidden="false" customHeight="false" outlineLevel="0" collapsed="false">
      <c r="A41" s="364" t="n">
        <v>44063</v>
      </c>
      <c r="B41" s="347" t="n">
        <v>44063</v>
      </c>
      <c r="E41" s="349" t="n">
        <v>200</v>
      </c>
      <c r="F41" s="365"/>
    </row>
    <row r="42" customFormat="false" ht="12.75" hidden="false" customHeight="false" outlineLevel="0" collapsed="false">
      <c r="A42" s="364" t="n">
        <v>44064</v>
      </c>
      <c r="B42" s="347" t="n">
        <v>44064</v>
      </c>
      <c r="E42" s="349" t="n">
        <v>200</v>
      </c>
      <c r="F42" s="365"/>
    </row>
    <row r="43" customFormat="false" ht="12.75" hidden="false" customHeight="false" outlineLevel="0" collapsed="false">
      <c r="A43" s="364" t="n">
        <v>44065</v>
      </c>
      <c r="B43" s="347" t="n">
        <v>44065</v>
      </c>
      <c r="E43" s="349" t="n">
        <v>200</v>
      </c>
      <c r="F43" s="365"/>
    </row>
    <row r="44" customFormat="false" ht="12.75" hidden="false" customHeight="false" outlineLevel="0" collapsed="false">
      <c r="A44" s="364" t="n">
        <v>44066</v>
      </c>
      <c r="B44" s="347" t="n">
        <v>44066</v>
      </c>
      <c r="F44" s="365"/>
    </row>
    <row r="45" customFormat="false" ht="12.75" hidden="false" customHeight="false" outlineLevel="0" collapsed="false">
      <c r="A45" s="364" t="n">
        <v>44066</v>
      </c>
      <c r="B45" s="347" t="s">
        <v>241</v>
      </c>
      <c r="F45" s="365"/>
    </row>
    <row r="46" customFormat="false" ht="12.75" hidden="false" customHeight="false" outlineLevel="0" collapsed="false">
      <c r="A46" s="364" t="n">
        <v>44066</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44067</v>
      </c>
      <c r="B49" s="359" t="n">
        <v>44067</v>
      </c>
      <c r="C49" s="360"/>
      <c r="D49" s="361"/>
      <c r="E49" s="362"/>
      <c r="F49" s="363"/>
    </row>
    <row r="50" customFormat="false" ht="12.75" hidden="false" customHeight="false" outlineLevel="0" collapsed="false">
      <c r="A50" s="364" t="n">
        <v>44068</v>
      </c>
      <c r="B50" s="347" t="n">
        <v>44068</v>
      </c>
      <c r="F50" s="365"/>
    </row>
    <row r="51" customFormat="false" ht="12.75" hidden="false" customHeight="false" outlineLevel="0" collapsed="false">
      <c r="A51" s="364" t="n">
        <v>44069</v>
      </c>
      <c r="B51" s="347" t="n">
        <v>44069</v>
      </c>
      <c r="F51" s="365"/>
    </row>
    <row r="52" customFormat="false" ht="12.75" hidden="false" customHeight="false" outlineLevel="0" collapsed="false">
      <c r="A52" s="364" t="n">
        <v>44070</v>
      </c>
      <c r="B52" s="347" t="n">
        <v>44070</v>
      </c>
      <c r="F52" s="365"/>
    </row>
    <row r="53" customFormat="false" ht="12.75" hidden="false" customHeight="false" outlineLevel="0" collapsed="false">
      <c r="A53" s="364" t="n">
        <v>44071</v>
      </c>
      <c r="B53" s="347" t="n">
        <v>44071</v>
      </c>
      <c r="F53" s="365"/>
    </row>
    <row r="54" customFormat="false" ht="12.75" hidden="false" customHeight="false" outlineLevel="0" collapsed="false">
      <c r="A54" s="364" t="n">
        <v>44072</v>
      </c>
      <c r="B54" s="347" t="n">
        <v>44072</v>
      </c>
      <c r="F54" s="365"/>
    </row>
    <row r="55" customFormat="false" ht="12.75" hidden="false" customHeight="false" outlineLevel="0" collapsed="false">
      <c r="A55" s="364" t="n">
        <v>44073</v>
      </c>
      <c r="B55" s="347" t="n">
        <v>44073</v>
      </c>
      <c r="F55" s="365"/>
    </row>
    <row r="56" customFormat="false" ht="12.75" hidden="false" customHeight="false" outlineLevel="0" collapsed="false">
      <c r="A56" s="364" t="n">
        <v>44073</v>
      </c>
      <c r="B56" s="347" t="s">
        <v>241</v>
      </c>
      <c r="F56" s="365"/>
    </row>
    <row r="57" customFormat="false" ht="12.75" hidden="false" customHeight="false" outlineLevel="0" collapsed="false">
      <c r="A57" s="364" t="n">
        <v>44073</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true" hidden="false" outlineLevel="0" max="14" min="14" style="181" width="8.99"/>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3.33"/>
    <col collapsed="false" customWidth="true" hidden="false" outlineLevel="0" max="21" min="21" style="181" width="8.33"/>
    <col collapsed="false" customWidth="false" hidden="false" outlineLevel="0" max="257" min="22" style="180" width="9.15"/>
  </cols>
  <sheetData>
    <row r="1" s="181" customFormat="true" ht="13.5" hidden="false" customHeight="true" outlineLevel="0" collapsed="false">
      <c r="A1" s="390" t="n">
        <f aca="false">E1+SalesAug!$D$1+PurchasesJul!A1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S1+PurchasesJul!T1</f>
        <v>8000</v>
      </c>
      <c r="U1" s="393" t="n">
        <f aca="false">SUM(U4:U199)</f>
        <v>0</v>
      </c>
    </row>
    <row r="2" s="181" customFormat="true" ht="13.5" hidden="false" customHeight="true" outlineLevel="0" collapsed="false">
      <c r="A2" s="395" t="n">
        <f aca="false">U1+PurchasesJul!A2</f>
        <v>0</v>
      </c>
      <c r="B2" s="240" t="s">
        <v>244</v>
      </c>
      <c r="C2" s="380" t="s">
        <v>245</v>
      </c>
      <c r="D2" s="380" t="s">
        <v>246</v>
      </c>
      <c r="E2" s="380" t="s">
        <v>247</v>
      </c>
      <c r="F2" s="207" t="s">
        <v>248</v>
      </c>
      <c r="G2" s="381" t="s">
        <v>249</v>
      </c>
      <c r="H2" s="381"/>
      <c r="I2" s="382" t="n">
        <f aca="false">G1+H1+I1+J1+PurchasesJul!I2</f>
        <v>2880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IF((E1&lt;&gt;0),Admin!$B$9,"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IF((A1&lt;Admin!$F$22),((A1-PurchasesJul!A1)*Admin!$G$21),(A1*Admin!$G$21-(A1-Admin!$F$21)*(Admin!$G$21-Admin!$G$22)-PurchasesJul!A2))</f>
        <v>0</v>
      </c>
    </row>
    <row r="5" s="373" customFormat="true" ht="12.75" hidden="false" customHeight="false" outlineLevel="0" collapsed="false">
      <c r="A5" s="372" t="n">
        <v>45884</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44074</v>
      </c>
      <c r="B5" s="359" t="n">
        <v>44074</v>
      </c>
      <c r="C5" s="360"/>
      <c r="D5" s="361"/>
      <c r="E5" s="362"/>
      <c r="F5" s="363"/>
    </row>
    <row r="6" customFormat="false" ht="12.75" hidden="false" customHeight="false" outlineLevel="0" collapsed="false">
      <c r="A6" s="364" t="n">
        <v>44075</v>
      </c>
      <c r="B6" s="347" t="n">
        <v>44075</v>
      </c>
      <c r="E6" s="349" t="n">
        <v>200</v>
      </c>
      <c r="F6" s="365"/>
    </row>
    <row r="7" customFormat="false" ht="12.75" hidden="false" customHeight="false" outlineLevel="0" collapsed="false">
      <c r="A7" s="364" t="n">
        <v>44076</v>
      </c>
      <c r="B7" s="347" t="n">
        <v>44076</v>
      </c>
      <c r="E7" s="349" t="n">
        <v>200</v>
      </c>
      <c r="F7" s="365"/>
    </row>
    <row r="8" customFormat="false" ht="12.75" hidden="false" customHeight="false" outlineLevel="0" collapsed="false">
      <c r="A8" s="364" t="n">
        <v>44077</v>
      </c>
      <c r="B8" s="347" t="n">
        <v>44077</v>
      </c>
      <c r="E8" s="349" t="n">
        <v>200</v>
      </c>
      <c r="F8" s="365"/>
    </row>
    <row r="9" customFormat="false" ht="12.75" hidden="false" customHeight="false" outlineLevel="0" collapsed="false">
      <c r="A9" s="364" t="n">
        <v>44078</v>
      </c>
      <c r="B9" s="347" t="n">
        <v>44078</v>
      </c>
      <c r="E9" s="349" t="n">
        <v>200</v>
      </c>
      <c r="F9" s="365"/>
    </row>
    <row r="10" customFormat="false" ht="12.75" hidden="false" customHeight="false" outlineLevel="0" collapsed="false">
      <c r="A10" s="364" t="n">
        <v>44079</v>
      </c>
      <c r="B10" s="347" t="n">
        <v>44079</v>
      </c>
      <c r="E10" s="349" t="n">
        <v>200</v>
      </c>
      <c r="F10" s="365"/>
    </row>
    <row r="11" customFormat="false" ht="12.75" hidden="false" customHeight="false" outlineLevel="0" collapsed="false">
      <c r="A11" s="364" t="n">
        <v>44080</v>
      </c>
      <c r="B11" s="347" t="n">
        <v>44080</v>
      </c>
      <c r="F11" s="365"/>
    </row>
    <row r="12" customFormat="false" ht="12.75" hidden="false" customHeight="false" outlineLevel="0" collapsed="false">
      <c r="A12" s="364" t="n">
        <v>44080</v>
      </c>
      <c r="B12" s="347" t="s">
        <v>241</v>
      </c>
      <c r="F12" s="365"/>
    </row>
    <row r="13" customFormat="false" ht="12.75" hidden="false" customHeight="false" outlineLevel="0" collapsed="false">
      <c r="A13" s="364" t="n">
        <v>44080</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44081</v>
      </c>
      <c r="B16" s="359" t="n">
        <v>44081</v>
      </c>
      <c r="C16" s="360"/>
      <c r="D16" s="361"/>
      <c r="E16" s="362"/>
      <c r="F16" s="363"/>
    </row>
    <row r="17" customFormat="false" ht="12.75" hidden="false" customHeight="false" outlineLevel="0" collapsed="false">
      <c r="A17" s="364" t="n">
        <v>44082</v>
      </c>
      <c r="B17" s="347" t="n">
        <v>44082</v>
      </c>
      <c r="E17" s="349" t="n">
        <v>200</v>
      </c>
      <c r="F17" s="365"/>
    </row>
    <row r="18" customFormat="false" ht="12.75" hidden="false" customHeight="false" outlineLevel="0" collapsed="false">
      <c r="A18" s="364" t="n">
        <v>44083</v>
      </c>
      <c r="B18" s="347" t="n">
        <v>44083</v>
      </c>
      <c r="E18" s="349" t="n">
        <v>200</v>
      </c>
      <c r="F18" s="365"/>
    </row>
    <row r="19" customFormat="false" ht="12.75" hidden="false" customHeight="false" outlineLevel="0" collapsed="false">
      <c r="A19" s="364" t="n">
        <v>44084</v>
      </c>
      <c r="B19" s="347" t="n">
        <v>44084</v>
      </c>
      <c r="E19" s="349" t="n">
        <v>200</v>
      </c>
      <c r="F19" s="365"/>
    </row>
    <row r="20" customFormat="false" ht="12.75" hidden="false" customHeight="false" outlineLevel="0" collapsed="false">
      <c r="A20" s="364" t="n">
        <v>44085</v>
      </c>
      <c r="B20" s="347" t="n">
        <v>44085</v>
      </c>
      <c r="E20" s="349" t="n">
        <v>200</v>
      </c>
      <c r="F20" s="365"/>
    </row>
    <row r="21" customFormat="false" ht="12.75" hidden="false" customHeight="false" outlineLevel="0" collapsed="false">
      <c r="A21" s="364" t="n">
        <v>44086</v>
      </c>
      <c r="B21" s="347" t="n">
        <v>44086</v>
      </c>
      <c r="E21" s="349" t="n">
        <v>200</v>
      </c>
      <c r="F21" s="365"/>
    </row>
    <row r="22" customFormat="false" ht="12.75" hidden="false" customHeight="false" outlineLevel="0" collapsed="false">
      <c r="A22" s="364" t="n">
        <v>44087</v>
      </c>
      <c r="B22" s="347" t="n">
        <v>44087</v>
      </c>
      <c r="F22" s="365"/>
    </row>
    <row r="23" customFormat="false" ht="12.75" hidden="false" customHeight="false" outlineLevel="0" collapsed="false">
      <c r="A23" s="364" t="n">
        <v>44087</v>
      </c>
      <c r="B23" s="347" t="s">
        <v>241</v>
      </c>
      <c r="F23" s="365"/>
    </row>
    <row r="24" customFormat="false" ht="12.75" hidden="false" customHeight="false" outlineLevel="0" collapsed="false">
      <c r="A24" s="364" t="n">
        <v>44087</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44088</v>
      </c>
      <c r="B27" s="359" t="n">
        <v>44088</v>
      </c>
      <c r="C27" s="360"/>
      <c r="D27" s="361"/>
      <c r="E27" s="362"/>
      <c r="F27" s="363"/>
    </row>
    <row r="28" customFormat="false" ht="12.75" hidden="false" customHeight="false" outlineLevel="0" collapsed="false">
      <c r="A28" s="364" t="n">
        <v>44089</v>
      </c>
      <c r="B28" s="347" t="n">
        <v>44089</v>
      </c>
      <c r="E28" s="349" t="n">
        <v>200</v>
      </c>
      <c r="F28" s="365"/>
    </row>
    <row r="29" customFormat="false" ht="12.75" hidden="false" customHeight="false" outlineLevel="0" collapsed="false">
      <c r="A29" s="364" t="n">
        <v>44090</v>
      </c>
      <c r="B29" s="347" t="n">
        <v>44090</v>
      </c>
      <c r="E29" s="349" t="n">
        <v>200</v>
      </c>
      <c r="F29" s="365"/>
    </row>
    <row r="30" customFormat="false" ht="12.75" hidden="false" customHeight="false" outlineLevel="0" collapsed="false">
      <c r="A30" s="364" t="n">
        <v>44091</v>
      </c>
      <c r="B30" s="347" t="n">
        <v>44091</v>
      </c>
      <c r="E30" s="349" t="n">
        <v>200</v>
      </c>
      <c r="F30" s="365"/>
    </row>
    <row r="31" customFormat="false" ht="12.75" hidden="false" customHeight="false" outlineLevel="0" collapsed="false">
      <c r="A31" s="364" t="n">
        <v>44092</v>
      </c>
      <c r="B31" s="347" t="n">
        <v>44092</v>
      </c>
      <c r="E31" s="349" t="n">
        <v>200</v>
      </c>
      <c r="F31" s="365"/>
    </row>
    <row r="32" customFormat="false" ht="12.75" hidden="false" customHeight="false" outlineLevel="0" collapsed="false">
      <c r="A32" s="364" t="n">
        <v>44093</v>
      </c>
      <c r="B32" s="347" t="n">
        <v>44093</v>
      </c>
      <c r="E32" s="349" t="n">
        <v>200</v>
      </c>
      <c r="F32" s="365"/>
    </row>
    <row r="33" customFormat="false" ht="12.75" hidden="false" customHeight="false" outlineLevel="0" collapsed="false">
      <c r="A33" s="364" t="n">
        <v>44094</v>
      </c>
      <c r="B33" s="347" t="n">
        <v>44094</v>
      </c>
      <c r="F33" s="365"/>
    </row>
    <row r="34" customFormat="false" ht="12.75" hidden="false" customHeight="false" outlineLevel="0" collapsed="false">
      <c r="A34" s="364" t="n">
        <v>44094</v>
      </c>
      <c r="B34" s="347" t="s">
        <v>241</v>
      </c>
      <c r="F34" s="365"/>
    </row>
    <row r="35" customFormat="false" ht="12.75" hidden="false" customHeight="false" outlineLevel="0" collapsed="false">
      <c r="A35" s="364" t="n">
        <v>44094</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44095</v>
      </c>
      <c r="B38" s="359" t="n">
        <v>44095</v>
      </c>
      <c r="C38" s="360"/>
      <c r="D38" s="361"/>
      <c r="E38" s="362"/>
      <c r="F38" s="363"/>
    </row>
    <row r="39" customFormat="false" ht="12.75" hidden="false" customHeight="false" outlineLevel="0" collapsed="false">
      <c r="A39" s="364" t="n">
        <v>44096</v>
      </c>
      <c r="B39" s="347" t="n">
        <v>44096</v>
      </c>
      <c r="F39" s="365"/>
    </row>
    <row r="40" customFormat="false" ht="12.75" hidden="false" customHeight="false" outlineLevel="0" collapsed="false">
      <c r="A40" s="364" t="n">
        <v>44097</v>
      </c>
      <c r="B40" s="347" t="n">
        <v>44097</v>
      </c>
      <c r="F40" s="365"/>
    </row>
    <row r="41" customFormat="false" ht="12.75" hidden="false" customHeight="false" outlineLevel="0" collapsed="false">
      <c r="A41" s="364" t="n">
        <v>44098</v>
      </c>
      <c r="B41" s="347" t="n">
        <v>44098</v>
      </c>
      <c r="F41" s="365"/>
    </row>
    <row r="42" customFormat="false" ht="12.75" hidden="false" customHeight="false" outlineLevel="0" collapsed="false">
      <c r="A42" s="364" t="n">
        <v>44099</v>
      </c>
      <c r="B42" s="347" t="n">
        <v>44099</v>
      </c>
      <c r="F42" s="365"/>
    </row>
    <row r="43" customFormat="false" ht="12.75" hidden="false" customHeight="false" outlineLevel="0" collapsed="false">
      <c r="A43" s="364" t="n">
        <v>44100</v>
      </c>
      <c r="B43" s="347" t="n">
        <v>44100</v>
      </c>
      <c r="F43" s="365"/>
    </row>
    <row r="44" customFormat="false" ht="12.75" hidden="false" customHeight="false" outlineLevel="0" collapsed="false">
      <c r="A44" s="364" t="n">
        <v>44101</v>
      </c>
      <c r="B44" s="347" t="n">
        <v>44101</v>
      </c>
      <c r="F44" s="365"/>
    </row>
    <row r="45" customFormat="false" ht="12.75" hidden="false" customHeight="false" outlineLevel="0" collapsed="false">
      <c r="A45" s="364" t="n">
        <v>44101</v>
      </c>
      <c r="B45" s="347" t="s">
        <v>241</v>
      </c>
      <c r="F45" s="365"/>
    </row>
    <row r="46" customFormat="false" ht="12.75" hidden="false" customHeight="false" outlineLevel="0" collapsed="false">
      <c r="A46" s="364" t="n">
        <v>44101</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49"/>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E1+SalesSep!$D$1+PurchasesAug!A1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S1+PurchasesAug!T1</f>
        <v>8000</v>
      </c>
      <c r="U1" s="393" t="n">
        <f aca="false">SUM(U4:U199)</f>
        <v>0</v>
      </c>
    </row>
    <row r="2" s="181" customFormat="true" ht="13.5" hidden="false" customHeight="true" outlineLevel="0" collapsed="false">
      <c r="A2" s="395" t="n">
        <f aca="false">U1+PurchasesAug!A2</f>
        <v>0</v>
      </c>
      <c r="B2" s="240" t="s">
        <v>244</v>
      </c>
      <c r="C2" s="380" t="s">
        <v>245</v>
      </c>
      <c r="D2" s="380" t="s">
        <v>246</v>
      </c>
      <c r="E2" s="380" t="s">
        <v>247</v>
      </c>
      <c r="F2" s="207" t="s">
        <v>248</v>
      </c>
      <c r="G2" s="381" t="s">
        <v>249</v>
      </c>
      <c r="H2" s="381"/>
      <c r="I2" s="382" t="n">
        <f aca="false">G1+H1+I1+J1+PurchasesAug!I2</f>
        <v>3180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IF((E1&lt;&gt;0),Admin!$B$10,"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IF((A1&lt;Admin!$F$22),((A1-PurchasesAug!A1)*Admin!$G$21),(A1*Admin!$G$21-(A1-Admin!$F$21)*(Admin!$G$21-Admin!$G$22)-PurchasesAug!A2))</f>
        <v>0</v>
      </c>
    </row>
    <row r="5" s="373" customFormat="true" ht="12.75" hidden="false" customHeight="false" outlineLevel="0" collapsed="false">
      <c r="A5" s="372" t="n">
        <v>45915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44102</v>
      </c>
      <c r="B5" s="359" t="n">
        <v>44102</v>
      </c>
      <c r="C5" s="360"/>
      <c r="D5" s="361"/>
      <c r="E5" s="362"/>
      <c r="F5" s="363"/>
    </row>
    <row r="6" customFormat="false" ht="12.75" hidden="false" customHeight="false" outlineLevel="0" collapsed="false">
      <c r="A6" s="364" t="n">
        <v>44103</v>
      </c>
      <c r="B6" s="347" t="n">
        <v>44103</v>
      </c>
      <c r="F6" s="365"/>
    </row>
    <row r="7" customFormat="false" ht="12.75" hidden="false" customHeight="false" outlineLevel="0" collapsed="false">
      <c r="A7" s="364" t="n">
        <v>44104</v>
      </c>
      <c r="B7" s="347" t="n">
        <v>44104</v>
      </c>
      <c r="F7" s="365"/>
    </row>
    <row r="8" customFormat="false" ht="12.75" hidden="false" customHeight="false" outlineLevel="0" collapsed="false">
      <c r="A8" s="364" t="n">
        <v>44105</v>
      </c>
      <c r="B8" s="347" t="n">
        <v>44105</v>
      </c>
      <c r="F8" s="365"/>
    </row>
    <row r="9" customFormat="false" ht="12.75" hidden="false" customHeight="false" outlineLevel="0" collapsed="false">
      <c r="A9" s="364" t="n">
        <v>44106</v>
      </c>
      <c r="B9" s="347" t="n">
        <v>44106</v>
      </c>
      <c r="F9" s="365"/>
    </row>
    <row r="10" customFormat="false" ht="12.75" hidden="false" customHeight="false" outlineLevel="0" collapsed="false">
      <c r="A10" s="364" t="n">
        <v>44107</v>
      </c>
      <c r="B10" s="347" t="n">
        <v>44107</v>
      </c>
      <c r="F10" s="365"/>
    </row>
    <row r="11" customFormat="false" ht="12.75" hidden="false" customHeight="false" outlineLevel="0" collapsed="false">
      <c r="A11" s="364" t="n">
        <v>44108</v>
      </c>
      <c r="B11" s="347" t="n">
        <v>44108</v>
      </c>
      <c r="F11" s="365"/>
    </row>
    <row r="12" customFormat="false" ht="12.75" hidden="false" customHeight="false" outlineLevel="0" collapsed="false">
      <c r="A12" s="364" t="n">
        <v>44108</v>
      </c>
      <c r="B12" s="347" t="s">
        <v>241</v>
      </c>
      <c r="F12" s="365"/>
    </row>
    <row r="13" customFormat="false" ht="12.75" hidden="false" customHeight="false" outlineLevel="0" collapsed="false">
      <c r="A13" s="364" t="n">
        <v>44108</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44109</v>
      </c>
      <c r="B16" s="359" t="n">
        <v>44109</v>
      </c>
      <c r="C16" s="360"/>
      <c r="D16" s="361"/>
      <c r="E16" s="362"/>
      <c r="F16" s="363"/>
    </row>
    <row r="17" customFormat="false" ht="12.75" hidden="false" customHeight="false" outlineLevel="0" collapsed="false">
      <c r="A17" s="364" t="n">
        <v>44110</v>
      </c>
      <c r="B17" s="347" t="n">
        <v>44110</v>
      </c>
      <c r="E17" s="349" t="n">
        <v>200</v>
      </c>
      <c r="F17" s="365"/>
    </row>
    <row r="18" customFormat="false" ht="12.75" hidden="false" customHeight="false" outlineLevel="0" collapsed="false">
      <c r="A18" s="364" t="n">
        <v>44111</v>
      </c>
      <c r="B18" s="347" t="n">
        <v>44111</v>
      </c>
      <c r="E18" s="349" t="n">
        <v>200</v>
      </c>
      <c r="F18" s="365"/>
    </row>
    <row r="19" customFormat="false" ht="12.75" hidden="false" customHeight="false" outlineLevel="0" collapsed="false">
      <c r="A19" s="364" t="n">
        <v>44112</v>
      </c>
      <c r="B19" s="347" t="n">
        <v>44112</v>
      </c>
      <c r="E19" s="349" t="n">
        <v>200</v>
      </c>
      <c r="F19" s="365"/>
    </row>
    <row r="20" customFormat="false" ht="12.75" hidden="false" customHeight="false" outlineLevel="0" collapsed="false">
      <c r="A20" s="364" t="n">
        <v>44113</v>
      </c>
      <c r="B20" s="347" t="n">
        <v>44113</v>
      </c>
      <c r="E20" s="349" t="n">
        <v>200</v>
      </c>
      <c r="F20" s="365"/>
    </row>
    <row r="21" customFormat="false" ht="12.75" hidden="false" customHeight="false" outlineLevel="0" collapsed="false">
      <c r="A21" s="364" t="n">
        <v>44114</v>
      </c>
      <c r="B21" s="347" t="n">
        <v>44114</v>
      </c>
      <c r="E21" s="349" t="n">
        <v>200</v>
      </c>
      <c r="F21" s="365"/>
    </row>
    <row r="22" customFormat="false" ht="12.75" hidden="false" customHeight="false" outlineLevel="0" collapsed="false">
      <c r="A22" s="364" t="n">
        <v>44115</v>
      </c>
      <c r="B22" s="347" t="n">
        <v>44115</v>
      </c>
      <c r="F22" s="365"/>
    </row>
    <row r="23" customFormat="false" ht="12.75" hidden="false" customHeight="false" outlineLevel="0" collapsed="false">
      <c r="A23" s="364" t="n">
        <v>44115</v>
      </c>
      <c r="B23" s="347" t="s">
        <v>241</v>
      </c>
      <c r="F23" s="365"/>
    </row>
    <row r="24" customFormat="false" ht="12.75" hidden="false" customHeight="false" outlineLevel="0" collapsed="false">
      <c r="A24" s="364" t="n">
        <v>44115</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44116</v>
      </c>
      <c r="B27" s="359" t="n">
        <v>44116</v>
      </c>
      <c r="C27" s="360"/>
      <c r="D27" s="361"/>
      <c r="E27" s="362"/>
      <c r="F27" s="363"/>
    </row>
    <row r="28" customFormat="false" ht="12.75" hidden="false" customHeight="false" outlineLevel="0" collapsed="false">
      <c r="A28" s="364" t="n">
        <v>44117</v>
      </c>
      <c r="B28" s="347" t="n">
        <v>44117</v>
      </c>
      <c r="E28" s="349" t="n">
        <v>200</v>
      </c>
      <c r="F28" s="365"/>
    </row>
    <row r="29" customFormat="false" ht="12.75" hidden="false" customHeight="false" outlineLevel="0" collapsed="false">
      <c r="A29" s="364" t="n">
        <v>44118</v>
      </c>
      <c r="B29" s="347" t="n">
        <v>44118</v>
      </c>
      <c r="E29" s="349" t="n">
        <v>200</v>
      </c>
      <c r="F29" s="365"/>
    </row>
    <row r="30" customFormat="false" ht="12.75" hidden="false" customHeight="false" outlineLevel="0" collapsed="false">
      <c r="A30" s="364" t="n">
        <v>44119</v>
      </c>
      <c r="B30" s="347" t="n">
        <v>44119</v>
      </c>
      <c r="E30" s="349" t="n">
        <v>200</v>
      </c>
      <c r="F30" s="365"/>
    </row>
    <row r="31" customFormat="false" ht="12.75" hidden="false" customHeight="false" outlineLevel="0" collapsed="false">
      <c r="A31" s="364" t="n">
        <v>44120</v>
      </c>
      <c r="B31" s="347" t="n">
        <v>44120</v>
      </c>
      <c r="E31" s="349" t="n">
        <v>200</v>
      </c>
      <c r="F31" s="365"/>
    </row>
    <row r="32" customFormat="false" ht="12.75" hidden="false" customHeight="false" outlineLevel="0" collapsed="false">
      <c r="A32" s="364" t="n">
        <v>44121</v>
      </c>
      <c r="B32" s="347" t="n">
        <v>44121</v>
      </c>
      <c r="E32" s="349" t="n">
        <v>200</v>
      </c>
      <c r="F32" s="365"/>
    </row>
    <row r="33" customFormat="false" ht="12.75" hidden="false" customHeight="false" outlineLevel="0" collapsed="false">
      <c r="A33" s="364" t="n">
        <v>44122</v>
      </c>
      <c r="B33" s="347" t="n">
        <v>44122</v>
      </c>
      <c r="F33" s="365"/>
    </row>
    <row r="34" customFormat="false" ht="12.75" hidden="false" customHeight="false" outlineLevel="0" collapsed="false">
      <c r="A34" s="364" t="n">
        <v>44122</v>
      </c>
      <c r="B34" s="347" t="s">
        <v>241</v>
      </c>
      <c r="F34" s="365"/>
    </row>
    <row r="35" customFormat="false" ht="12.75" hidden="false" customHeight="false" outlineLevel="0" collapsed="false">
      <c r="A35" s="364" t="n">
        <v>44122</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44123</v>
      </c>
      <c r="B38" s="359" t="n">
        <v>44123</v>
      </c>
      <c r="C38" s="360"/>
      <c r="D38" s="361"/>
      <c r="E38" s="362"/>
      <c r="F38" s="363"/>
    </row>
    <row r="39" customFormat="false" ht="12.75" hidden="false" customHeight="false" outlineLevel="0" collapsed="false">
      <c r="A39" s="364" t="n">
        <v>44124</v>
      </c>
      <c r="B39" s="347" t="n">
        <v>44124</v>
      </c>
      <c r="E39" s="349" t="n">
        <v>200</v>
      </c>
      <c r="F39" s="365"/>
    </row>
    <row r="40" customFormat="false" ht="12.75" hidden="false" customHeight="false" outlineLevel="0" collapsed="false">
      <c r="A40" s="364" t="n">
        <v>44125</v>
      </c>
      <c r="B40" s="347" t="n">
        <v>44125</v>
      </c>
      <c r="E40" s="349" t="n">
        <v>200</v>
      </c>
      <c r="F40" s="365"/>
    </row>
    <row r="41" customFormat="false" ht="12.75" hidden="false" customHeight="false" outlineLevel="0" collapsed="false">
      <c r="A41" s="364" t="n">
        <v>44126</v>
      </c>
      <c r="B41" s="347" t="n">
        <v>44126</v>
      </c>
      <c r="E41" s="349" t="n">
        <v>200</v>
      </c>
      <c r="F41" s="365"/>
    </row>
    <row r="42" customFormat="false" ht="12.75" hidden="false" customHeight="false" outlineLevel="0" collapsed="false">
      <c r="A42" s="364" t="n">
        <v>44127</v>
      </c>
      <c r="B42" s="347" t="n">
        <v>44127</v>
      </c>
      <c r="E42" s="349" t="n">
        <v>200</v>
      </c>
      <c r="F42" s="365"/>
    </row>
    <row r="43" customFormat="false" ht="12.75" hidden="false" customHeight="false" outlineLevel="0" collapsed="false">
      <c r="A43" s="364" t="n">
        <v>44128</v>
      </c>
      <c r="B43" s="347" t="n">
        <v>44128</v>
      </c>
      <c r="E43" s="349" t="n">
        <v>200</v>
      </c>
      <c r="F43" s="365"/>
    </row>
    <row r="44" customFormat="false" ht="12.75" hidden="false" customHeight="false" outlineLevel="0" collapsed="false">
      <c r="A44" s="364" t="n">
        <v>44129</v>
      </c>
      <c r="B44" s="347" t="n">
        <v>44129</v>
      </c>
      <c r="F44" s="365"/>
    </row>
    <row r="45" customFormat="false" ht="12.75" hidden="false" customHeight="false" outlineLevel="0" collapsed="false">
      <c r="A45" s="364" t="n">
        <v>44129</v>
      </c>
      <c r="B45" s="347" t="s">
        <v>241</v>
      </c>
      <c r="F45" s="365"/>
    </row>
    <row r="46" customFormat="false" ht="12.75" hidden="false" customHeight="false" outlineLevel="0" collapsed="false">
      <c r="A46" s="364" t="n">
        <v>44129</v>
      </c>
      <c r="B46" s="347" t="s">
        <v>242</v>
      </c>
      <c r="F46" s="365"/>
    </row>
    <row r="47" customFormat="false" ht="12.75" hidden="false" customHeight="false" outlineLevel="0" collapsed="false">
      <c r="A47" s="366"/>
      <c r="B47" s="367"/>
      <c r="C47" s="368"/>
      <c r="D47" s="369"/>
      <c r="E47" s="370" t="n">
        <f aca="false">SUM(E38:E46)</f>
        <v>1000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E1+SalesOct!$D$1+PurchasesSep!A1</f>
        <v>0</v>
      </c>
      <c r="B1" s="391" t="s">
        <v>243</v>
      </c>
      <c r="C1" s="392" t="s">
        <v>236</v>
      </c>
      <c r="D1" s="377" t="str">
        <f aca="false">IF((F1-SUM(G1:S1)&lt;&gt;0),(F1-SUM(G1:S1))," ")</f>
        <v> </v>
      </c>
      <c r="E1" s="353" t="n">
        <f aca="false">SUM(E5:E199)</f>
        <v>0</v>
      </c>
      <c r="F1" s="352" t="n">
        <f aca="false">SUM(F5:F199)</f>
        <v>420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S1+PurchasesSep!T1</f>
        <v>8000</v>
      </c>
      <c r="U1" s="393" t="n">
        <f aca="false">SUM(U4:U199)</f>
        <v>0</v>
      </c>
    </row>
    <row r="2" s="181" customFormat="true" ht="13.5" hidden="false" customHeight="true" outlineLevel="0" collapsed="false">
      <c r="A2" s="395" t="n">
        <f aca="false">U1+PurchasesSep!A2</f>
        <v>0</v>
      </c>
      <c r="B2" s="240" t="s">
        <v>244</v>
      </c>
      <c r="C2" s="380" t="s">
        <v>245</v>
      </c>
      <c r="D2" s="380" t="s">
        <v>246</v>
      </c>
      <c r="E2" s="380" t="s">
        <v>247</v>
      </c>
      <c r="F2" s="207" t="s">
        <v>248</v>
      </c>
      <c r="G2" s="381" t="s">
        <v>249</v>
      </c>
      <c r="H2" s="381"/>
      <c r="I2" s="382" t="n">
        <f aca="false">G1+H1+I1+J1+PurchasesSep!I2</f>
        <v>3480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IF((E1&lt;&gt;0),Admin!$B$11,"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IF((A1&lt;Admin!$F$22),((A1-PurchasesSep!A1)*Admin!$G$21),(A1*Admin!$G$21-(A1-Admin!$F$21)*(Admin!$G$21-Admin!$G$22)-PurchasesSep!A2))</f>
        <v>0</v>
      </c>
    </row>
    <row r="5" s="373" customFormat="true" ht="12.75" hidden="false" customHeight="false" outlineLevel="0" collapsed="false">
      <c r="A5" s="372" t="n">
        <v>45945</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45940</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44130</v>
      </c>
      <c r="B5" s="359" t="n">
        <v>44130</v>
      </c>
      <c r="C5" s="360"/>
      <c r="D5" s="361"/>
      <c r="E5" s="362"/>
      <c r="F5" s="363"/>
    </row>
    <row r="6" customFormat="false" ht="12.75" hidden="false" customHeight="false" outlineLevel="0" collapsed="false">
      <c r="A6" s="364" t="n">
        <v>44131</v>
      </c>
      <c r="B6" s="347" t="n">
        <v>44131</v>
      </c>
      <c r="F6" s="365"/>
    </row>
    <row r="7" customFormat="false" ht="12.75" hidden="false" customHeight="false" outlineLevel="0" collapsed="false">
      <c r="A7" s="364" t="n">
        <v>44132</v>
      </c>
      <c r="B7" s="347" t="n">
        <v>44132</v>
      </c>
      <c r="F7" s="365"/>
    </row>
    <row r="8" customFormat="false" ht="12.75" hidden="false" customHeight="false" outlineLevel="0" collapsed="false">
      <c r="A8" s="364" t="n">
        <v>44133</v>
      </c>
      <c r="B8" s="347" t="n">
        <v>44133</v>
      </c>
      <c r="F8" s="365"/>
    </row>
    <row r="9" customFormat="false" ht="12.75" hidden="false" customHeight="false" outlineLevel="0" collapsed="false">
      <c r="A9" s="364" t="n">
        <v>44134</v>
      </c>
      <c r="B9" s="347" t="n">
        <v>44134</v>
      </c>
      <c r="F9" s="365"/>
    </row>
    <row r="10" customFormat="false" ht="12.75" hidden="false" customHeight="false" outlineLevel="0" collapsed="false">
      <c r="A10" s="364" t="n">
        <v>44135</v>
      </c>
      <c r="B10" s="347" t="n">
        <v>44135</v>
      </c>
      <c r="F10" s="365"/>
    </row>
    <row r="11" customFormat="false" ht="12.75" hidden="false" customHeight="false" outlineLevel="0" collapsed="false">
      <c r="A11" s="364" t="n">
        <v>44136</v>
      </c>
      <c r="B11" s="347" t="n">
        <v>44136</v>
      </c>
      <c r="F11" s="365"/>
    </row>
    <row r="12" customFormat="false" ht="12.75" hidden="false" customHeight="false" outlineLevel="0" collapsed="false">
      <c r="A12" s="364" t="n">
        <v>44136</v>
      </c>
      <c r="B12" s="347" t="s">
        <v>241</v>
      </c>
      <c r="F12" s="365"/>
    </row>
    <row r="13" customFormat="false" ht="12.75" hidden="false" customHeight="false" outlineLevel="0" collapsed="false">
      <c r="A13" s="364" t="n">
        <v>44136</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44137</v>
      </c>
      <c r="B16" s="359" t="n">
        <v>44137</v>
      </c>
      <c r="C16" s="360"/>
      <c r="D16" s="361"/>
      <c r="E16" s="362"/>
      <c r="F16" s="363"/>
    </row>
    <row r="17" customFormat="false" ht="12.75" hidden="false" customHeight="false" outlineLevel="0" collapsed="false">
      <c r="A17" s="364" t="n">
        <v>44138</v>
      </c>
      <c r="B17" s="347" t="n">
        <v>44138</v>
      </c>
      <c r="E17" s="349" t="n">
        <v>200</v>
      </c>
      <c r="F17" s="365"/>
    </row>
    <row r="18" customFormat="false" ht="12.75" hidden="false" customHeight="false" outlineLevel="0" collapsed="false">
      <c r="A18" s="364" t="n">
        <v>44139</v>
      </c>
      <c r="B18" s="347" t="n">
        <v>44139</v>
      </c>
      <c r="E18" s="349" t="n">
        <v>200</v>
      </c>
      <c r="F18" s="365"/>
    </row>
    <row r="19" customFormat="false" ht="12.75" hidden="false" customHeight="false" outlineLevel="0" collapsed="false">
      <c r="A19" s="364" t="n">
        <v>44140</v>
      </c>
      <c r="B19" s="347" t="n">
        <v>44140</v>
      </c>
      <c r="E19" s="349" t="n">
        <v>200</v>
      </c>
      <c r="F19" s="365"/>
    </row>
    <row r="20" customFormat="false" ht="12.75" hidden="false" customHeight="false" outlineLevel="0" collapsed="false">
      <c r="A20" s="364" t="n">
        <v>44141</v>
      </c>
      <c r="B20" s="347" t="n">
        <v>44141</v>
      </c>
      <c r="E20" s="349" t="n">
        <v>200</v>
      </c>
      <c r="F20" s="365"/>
    </row>
    <row r="21" customFormat="false" ht="12.75" hidden="false" customHeight="false" outlineLevel="0" collapsed="false">
      <c r="A21" s="364" t="n">
        <v>44142</v>
      </c>
      <c r="B21" s="347" t="n">
        <v>44142</v>
      </c>
      <c r="E21" s="349" t="n">
        <v>200</v>
      </c>
      <c r="F21" s="365"/>
    </row>
    <row r="22" customFormat="false" ht="12.75" hidden="false" customHeight="false" outlineLevel="0" collapsed="false">
      <c r="A22" s="364" t="n">
        <v>44143</v>
      </c>
      <c r="B22" s="347" t="n">
        <v>44143</v>
      </c>
      <c r="F22" s="365"/>
    </row>
    <row r="23" customFormat="false" ht="12.75" hidden="false" customHeight="false" outlineLevel="0" collapsed="false">
      <c r="A23" s="364" t="n">
        <v>44143</v>
      </c>
      <c r="B23" s="347" t="s">
        <v>241</v>
      </c>
      <c r="F23" s="365"/>
    </row>
    <row r="24" customFormat="false" ht="12.75" hidden="false" customHeight="false" outlineLevel="0" collapsed="false">
      <c r="A24" s="364" t="n">
        <v>44143</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44144</v>
      </c>
      <c r="B27" s="359" t="n">
        <v>44144</v>
      </c>
      <c r="C27" s="360"/>
      <c r="D27" s="361"/>
      <c r="E27" s="362"/>
      <c r="F27" s="363"/>
    </row>
    <row r="28" customFormat="false" ht="12.75" hidden="false" customHeight="false" outlineLevel="0" collapsed="false">
      <c r="A28" s="364" t="n">
        <v>44145</v>
      </c>
      <c r="B28" s="347" t="n">
        <v>44145</v>
      </c>
      <c r="E28" s="349" t="n">
        <v>200</v>
      </c>
      <c r="F28" s="365"/>
    </row>
    <row r="29" customFormat="false" ht="12.75" hidden="false" customHeight="false" outlineLevel="0" collapsed="false">
      <c r="A29" s="364" t="n">
        <v>44146</v>
      </c>
      <c r="B29" s="347" t="n">
        <v>44146</v>
      </c>
      <c r="E29" s="349" t="n">
        <v>200</v>
      </c>
      <c r="F29" s="365"/>
    </row>
    <row r="30" customFormat="false" ht="12.75" hidden="false" customHeight="false" outlineLevel="0" collapsed="false">
      <c r="A30" s="364" t="n">
        <v>44147</v>
      </c>
      <c r="B30" s="347" t="n">
        <v>44147</v>
      </c>
      <c r="E30" s="349" t="n">
        <v>200</v>
      </c>
      <c r="F30" s="365"/>
    </row>
    <row r="31" customFormat="false" ht="12.75" hidden="false" customHeight="false" outlineLevel="0" collapsed="false">
      <c r="A31" s="364" t="n">
        <v>44148</v>
      </c>
      <c r="B31" s="347" t="n">
        <v>44148</v>
      </c>
      <c r="E31" s="349" t="n">
        <v>200</v>
      </c>
      <c r="F31" s="365"/>
    </row>
    <row r="32" customFormat="false" ht="12.75" hidden="false" customHeight="false" outlineLevel="0" collapsed="false">
      <c r="A32" s="364" t="n">
        <v>44149</v>
      </c>
      <c r="B32" s="347" t="n">
        <v>44149</v>
      </c>
      <c r="E32" s="349" t="n">
        <v>200</v>
      </c>
      <c r="F32" s="365"/>
    </row>
    <row r="33" customFormat="false" ht="12.75" hidden="false" customHeight="false" outlineLevel="0" collapsed="false">
      <c r="A33" s="364" t="n">
        <v>44150</v>
      </c>
      <c r="B33" s="347" t="n">
        <v>44150</v>
      </c>
      <c r="F33" s="365"/>
    </row>
    <row r="34" customFormat="false" ht="12.75" hidden="false" customHeight="false" outlineLevel="0" collapsed="false">
      <c r="A34" s="364" t="n">
        <v>44150</v>
      </c>
      <c r="B34" s="347" t="s">
        <v>241</v>
      </c>
      <c r="F34" s="365"/>
    </row>
    <row r="35" customFormat="false" ht="12.75" hidden="false" customHeight="false" outlineLevel="0" collapsed="false">
      <c r="A35" s="364" t="n">
        <v>44150</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44151</v>
      </c>
      <c r="B38" s="359" t="n">
        <v>44151</v>
      </c>
      <c r="C38" s="360"/>
      <c r="D38" s="361"/>
      <c r="E38" s="362"/>
      <c r="F38" s="363"/>
    </row>
    <row r="39" customFormat="false" ht="12.75" hidden="false" customHeight="false" outlineLevel="0" collapsed="false">
      <c r="A39" s="364" t="n">
        <v>44152</v>
      </c>
      <c r="B39" s="347" t="n">
        <v>44152</v>
      </c>
      <c r="E39" s="349" t="n">
        <v>200</v>
      </c>
      <c r="F39" s="365"/>
    </row>
    <row r="40" customFormat="false" ht="12.75" hidden="false" customHeight="false" outlineLevel="0" collapsed="false">
      <c r="A40" s="364" t="n">
        <v>44153</v>
      </c>
      <c r="B40" s="347" t="n">
        <v>44153</v>
      </c>
      <c r="E40" s="349" t="n">
        <v>200</v>
      </c>
      <c r="F40" s="365"/>
    </row>
    <row r="41" customFormat="false" ht="12.75" hidden="false" customHeight="false" outlineLevel="0" collapsed="false">
      <c r="A41" s="364" t="n">
        <v>44154</v>
      </c>
      <c r="B41" s="347" t="n">
        <v>44154</v>
      </c>
      <c r="E41" s="349" t="n">
        <v>200</v>
      </c>
      <c r="F41" s="365"/>
    </row>
    <row r="42" customFormat="false" ht="12.75" hidden="false" customHeight="false" outlineLevel="0" collapsed="false">
      <c r="A42" s="364" t="n">
        <v>44155</v>
      </c>
      <c r="B42" s="347" t="n">
        <v>44155</v>
      </c>
      <c r="E42" s="349" t="n">
        <v>200</v>
      </c>
      <c r="F42" s="365"/>
    </row>
    <row r="43" customFormat="false" ht="12.75" hidden="false" customHeight="false" outlineLevel="0" collapsed="false">
      <c r="A43" s="364" t="n">
        <v>44156</v>
      </c>
      <c r="B43" s="347" t="n">
        <v>44156</v>
      </c>
      <c r="E43" s="349" t="n">
        <v>200</v>
      </c>
      <c r="F43" s="365"/>
    </row>
    <row r="44" customFormat="false" ht="12.75" hidden="false" customHeight="false" outlineLevel="0" collapsed="false">
      <c r="A44" s="364" t="n">
        <v>44157</v>
      </c>
      <c r="B44" s="347" t="n">
        <v>44157</v>
      </c>
      <c r="F44" s="365"/>
    </row>
    <row r="45" customFormat="false" ht="12.75" hidden="false" customHeight="false" outlineLevel="0" collapsed="false">
      <c r="A45" s="364" t="n">
        <v>44157</v>
      </c>
      <c r="B45" s="347" t="s">
        <v>241</v>
      </c>
      <c r="F45" s="365"/>
    </row>
    <row r="46" customFormat="false" ht="12.75" hidden="false" customHeight="false" outlineLevel="0" collapsed="false">
      <c r="A46" s="364" t="n">
        <v>44157</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44158</v>
      </c>
      <c r="B49" s="359" t="n">
        <v>44158</v>
      </c>
      <c r="C49" s="360"/>
      <c r="D49" s="361"/>
      <c r="E49" s="362"/>
      <c r="F49" s="363"/>
    </row>
    <row r="50" customFormat="false" ht="12.75" hidden="false" customHeight="false" outlineLevel="0" collapsed="false">
      <c r="A50" s="364" t="n">
        <v>44159</v>
      </c>
      <c r="B50" s="347" t="n">
        <v>44159</v>
      </c>
      <c r="F50" s="365"/>
    </row>
    <row r="51" customFormat="false" ht="12.75" hidden="false" customHeight="false" outlineLevel="0" collapsed="false">
      <c r="A51" s="364" t="n">
        <v>44160</v>
      </c>
      <c r="B51" s="347" t="n">
        <v>44160</v>
      </c>
      <c r="F51" s="365"/>
    </row>
    <row r="52" customFormat="false" ht="12.75" hidden="false" customHeight="false" outlineLevel="0" collapsed="false">
      <c r="A52" s="364" t="n">
        <v>44161</v>
      </c>
      <c r="B52" s="347" t="n">
        <v>44161</v>
      </c>
      <c r="F52" s="365"/>
    </row>
    <row r="53" customFormat="false" ht="12.75" hidden="false" customHeight="false" outlineLevel="0" collapsed="false">
      <c r="A53" s="364" t="n">
        <v>44162</v>
      </c>
      <c r="B53" s="347" t="n">
        <v>44162</v>
      </c>
      <c r="F53" s="365"/>
    </row>
    <row r="54" customFormat="false" ht="12.75" hidden="false" customHeight="false" outlineLevel="0" collapsed="false">
      <c r="A54" s="364" t="n">
        <v>44163</v>
      </c>
      <c r="B54" s="347" t="n">
        <v>44163</v>
      </c>
      <c r="F54" s="365"/>
    </row>
    <row r="55" customFormat="false" ht="12.75" hidden="false" customHeight="false" outlineLevel="0" collapsed="false">
      <c r="A55" s="364" t="n">
        <v>44164</v>
      </c>
      <c r="B55" s="347" t="n">
        <v>44164</v>
      </c>
      <c r="F55" s="365"/>
    </row>
    <row r="56" customFormat="false" ht="12.75" hidden="false" customHeight="false" outlineLevel="0" collapsed="false">
      <c r="A56" s="364" t="n">
        <v>44164</v>
      </c>
      <c r="B56" s="347" t="s">
        <v>241</v>
      </c>
      <c r="F56" s="365"/>
    </row>
    <row r="57" customFormat="false" ht="12.75" hidden="false" customHeight="false" outlineLevel="0" collapsed="false">
      <c r="A57" s="364" t="n">
        <v>44164</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false" hidden="false" outlineLevel="0" max="13" min="13" style="181" width="9.15"/>
    <col collapsed="false" customWidth="true" hidden="false" outlineLevel="0" max="15" min="14"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99"/>
    <col collapsed="false" customWidth="true" hidden="false" outlineLevel="0" max="21" min="21" style="181" width="7.99"/>
    <col collapsed="false" customWidth="false" hidden="false" outlineLevel="0" max="257" min="22" style="180" width="9.15"/>
  </cols>
  <sheetData>
    <row r="1" s="181" customFormat="true" ht="13.5" hidden="false" customHeight="true" outlineLevel="0" collapsed="false">
      <c r="A1" s="390" t="n">
        <f aca="false">E1+SalesNov!$D$1+PurchasesOct!A1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S1+PurchasesOct!T1</f>
        <v>8000</v>
      </c>
      <c r="U1" s="393" t="n">
        <f aca="false">SUM(U4:U199)</f>
        <v>0</v>
      </c>
    </row>
    <row r="2" s="181" customFormat="true" ht="13.5" hidden="false" customHeight="true" outlineLevel="0" collapsed="false">
      <c r="A2" s="395" t="n">
        <f aca="false">U1+PurchasesOct!A2</f>
        <v>0</v>
      </c>
      <c r="B2" s="240" t="s">
        <v>244</v>
      </c>
      <c r="C2" s="380" t="s">
        <v>245</v>
      </c>
      <c r="D2" s="380" t="s">
        <v>246</v>
      </c>
      <c r="E2" s="380" t="s">
        <v>247</v>
      </c>
      <c r="F2" s="207" t="s">
        <v>248</v>
      </c>
      <c r="G2" s="381" t="s">
        <v>249</v>
      </c>
      <c r="H2" s="381"/>
      <c r="I2" s="382" t="n">
        <f aca="false">G1+H1+I1+J1+PurchasesOct!I2</f>
        <v>3780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IF((E1&lt;&gt;0),Admin!$B$12,"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IF((A1&lt;Admin!$F$22),((A1-PurchasesOct!A1)*Admin!$G$21),(A1*Admin!$G$21-(A1-Admin!$F$21)*(Admin!$G$21-Admin!$G$22)-PurchasesOct!A2))</f>
        <v>0</v>
      </c>
    </row>
    <row r="5" s="373" customFormat="true" ht="12.75" hidden="false" customHeight="false" outlineLevel="0" collapsed="false">
      <c r="A5" s="372" t="n">
        <v>45976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82"/>
    <col collapsed="false" customWidth="true" hidden="false" outlineLevel="0" max="2" min="2" style="347" width="14.66"/>
    <col collapsed="false" customWidth="true" hidden="false" outlineLevel="0" max="3" min="3" style="181" width="13.66"/>
    <col collapsed="false" customWidth="true" hidden="false" outlineLevel="0" max="4" min="4" style="348" width="13.66"/>
    <col collapsed="false" customWidth="true" hidden="false" outlineLevel="0" max="5" min="5" style="349" width="13.66"/>
    <col collapsed="false" customWidth="true" hidden="false" outlineLevel="0" max="6" min="6" style="181" width="13.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44165</v>
      </c>
      <c r="B5" s="359" t="n">
        <v>44165</v>
      </c>
      <c r="C5" s="360"/>
      <c r="D5" s="361"/>
      <c r="E5" s="362"/>
      <c r="F5" s="363"/>
    </row>
    <row r="6" customFormat="false" ht="12.75" hidden="false" customHeight="false" outlineLevel="0" collapsed="false">
      <c r="A6" s="364" t="n">
        <v>44166</v>
      </c>
      <c r="B6" s="347" t="n">
        <v>44166</v>
      </c>
      <c r="E6" s="349" t="n">
        <v>200</v>
      </c>
      <c r="F6" s="365"/>
    </row>
    <row r="7" customFormat="false" ht="12.75" hidden="false" customHeight="false" outlineLevel="0" collapsed="false">
      <c r="A7" s="364" t="n">
        <v>44167</v>
      </c>
      <c r="B7" s="347" t="n">
        <v>44167</v>
      </c>
      <c r="E7" s="349" t="n">
        <v>200</v>
      </c>
      <c r="F7" s="365"/>
    </row>
    <row r="8" customFormat="false" ht="12.75" hidden="false" customHeight="false" outlineLevel="0" collapsed="false">
      <c r="A8" s="364" t="n">
        <v>44168</v>
      </c>
      <c r="B8" s="347" t="n">
        <v>44168</v>
      </c>
      <c r="E8" s="349" t="n">
        <v>200</v>
      </c>
      <c r="F8" s="365"/>
    </row>
    <row r="9" customFormat="false" ht="12.75" hidden="false" customHeight="false" outlineLevel="0" collapsed="false">
      <c r="A9" s="364" t="n">
        <v>44169</v>
      </c>
      <c r="B9" s="347" t="n">
        <v>44169</v>
      </c>
      <c r="E9" s="349" t="n">
        <v>200</v>
      </c>
      <c r="F9" s="365"/>
    </row>
    <row r="10" customFormat="false" ht="12.75" hidden="false" customHeight="false" outlineLevel="0" collapsed="false">
      <c r="A10" s="364" t="n">
        <v>44170</v>
      </c>
      <c r="B10" s="347" t="n">
        <v>44170</v>
      </c>
      <c r="E10" s="349" t="n">
        <v>200</v>
      </c>
      <c r="F10" s="365"/>
    </row>
    <row r="11" customFormat="false" ht="12.75" hidden="false" customHeight="false" outlineLevel="0" collapsed="false">
      <c r="A11" s="364" t="n">
        <v>44171</v>
      </c>
      <c r="B11" s="347" t="n">
        <v>44171</v>
      </c>
      <c r="F11" s="365"/>
    </row>
    <row r="12" customFormat="false" ht="12.75" hidden="false" customHeight="false" outlineLevel="0" collapsed="false">
      <c r="A12" s="364" t="n">
        <v>44171</v>
      </c>
      <c r="B12" s="347" t="s">
        <v>241</v>
      </c>
      <c r="F12" s="365"/>
    </row>
    <row r="13" customFormat="false" ht="12.75" hidden="false" customHeight="false" outlineLevel="0" collapsed="false">
      <c r="A13" s="364" t="n">
        <v>44171</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44172</v>
      </c>
      <c r="B16" s="359" t="n">
        <v>44172</v>
      </c>
      <c r="C16" s="360"/>
      <c r="D16" s="361"/>
      <c r="E16" s="362"/>
      <c r="F16" s="363"/>
    </row>
    <row r="17" customFormat="false" ht="12.75" hidden="false" customHeight="false" outlineLevel="0" collapsed="false">
      <c r="A17" s="364" t="n">
        <v>44173</v>
      </c>
      <c r="B17" s="347" t="n">
        <v>44173</v>
      </c>
      <c r="E17" s="349" t="n">
        <v>200</v>
      </c>
      <c r="F17" s="365"/>
    </row>
    <row r="18" customFormat="false" ht="12.75" hidden="false" customHeight="false" outlineLevel="0" collapsed="false">
      <c r="A18" s="364" t="n">
        <v>44174</v>
      </c>
      <c r="B18" s="347" t="n">
        <v>44174</v>
      </c>
      <c r="E18" s="349" t="n">
        <v>200</v>
      </c>
      <c r="F18" s="365"/>
    </row>
    <row r="19" customFormat="false" ht="12.75" hidden="false" customHeight="false" outlineLevel="0" collapsed="false">
      <c r="A19" s="364" t="n">
        <v>44175</v>
      </c>
      <c r="B19" s="347" t="n">
        <v>44175</v>
      </c>
      <c r="E19" s="349" t="n">
        <v>200</v>
      </c>
      <c r="F19" s="365"/>
    </row>
    <row r="20" customFormat="false" ht="12.75" hidden="false" customHeight="false" outlineLevel="0" collapsed="false">
      <c r="A20" s="364" t="n">
        <v>44176</v>
      </c>
      <c r="B20" s="347" t="n">
        <v>44176</v>
      </c>
      <c r="E20" s="349" t="n">
        <v>200</v>
      </c>
      <c r="F20" s="365"/>
    </row>
    <row r="21" customFormat="false" ht="12.75" hidden="false" customHeight="false" outlineLevel="0" collapsed="false">
      <c r="A21" s="364" t="n">
        <v>44177</v>
      </c>
      <c r="B21" s="347" t="n">
        <v>44177</v>
      </c>
      <c r="E21" s="349" t="n">
        <v>200</v>
      </c>
      <c r="F21" s="365"/>
    </row>
    <row r="22" customFormat="false" ht="12.75" hidden="false" customHeight="false" outlineLevel="0" collapsed="false">
      <c r="A22" s="364" t="n">
        <v>44178</v>
      </c>
      <c r="B22" s="347" t="n">
        <v>44178</v>
      </c>
      <c r="F22" s="365"/>
    </row>
    <row r="23" customFormat="false" ht="12.75" hidden="false" customHeight="false" outlineLevel="0" collapsed="false">
      <c r="A23" s="364" t="n">
        <v>44178</v>
      </c>
      <c r="B23" s="347" t="s">
        <v>241</v>
      </c>
      <c r="F23" s="365"/>
    </row>
    <row r="24" customFormat="false" ht="12.75" hidden="false" customHeight="false" outlineLevel="0" collapsed="false">
      <c r="A24" s="364" t="n">
        <v>44178</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44179</v>
      </c>
      <c r="B27" s="359" t="n">
        <v>44179</v>
      </c>
      <c r="C27" s="360"/>
      <c r="D27" s="361"/>
      <c r="E27" s="362"/>
      <c r="F27" s="363"/>
    </row>
    <row r="28" customFormat="false" ht="12.75" hidden="false" customHeight="false" outlineLevel="0" collapsed="false">
      <c r="A28" s="364" t="n">
        <v>44180</v>
      </c>
      <c r="B28" s="347" t="n">
        <v>44180</v>
      </c>
      <c r="E28" s="349" t="n">
        <v>200</v>
      </c>
      <c r="F28" s="365"/>
    </row>
    <row r="29" customFormat="false" ht="12.75" hidden="false" customHeight="false" outlineLevel="0" collapsed="false">
      <c r="A29" s="364" t="n">
        <v>44181</v>
      </c>
      <c r="B29" s="347" t="n">
        <v>44181</v>
      </c>
      <c r="E29" s="349" t="n">
        <v>200</v>
      </c>
      <c r="F29" s="365"/>
    </row>
    <row r="30" customFormat="false" ht="12.75" hidden="false" customHeight="false" outlineLevel="0" collapsed="false">
      <c r="A30" s="364" t="n">
        <v>44182</v>
      </c>
      <c r="B30" s="347" t="n">
        <v>44182</v>
      </c>
      <c r="E30" s="349" t="n">
        <v>200</v>
      </c>
      <c r="F30" s="365"/>
    </row>
    <row r="31" customFormat="false" ht="12.75" hidden="false" customHeight="false" outlineLevel="0" collapsed="false">
      <c r="A31" s="364" t="n">
        <v>44183</v>
      </c>
      <c r="B31" s="347" t="n">
        <v>44183</v>
      </c>
      <c r="E31" s="349" t="n">
        <v>200</v>
      </c>
      <c r="F31" s="365"/>
    </row>
    <row r="32" customFormat="false" ht="12.75" hidden="false" customHeight="false" outlineLevel="0" collapsed="false">
      <c r="A32" s="364" t="n">
        <v>44184</v>
      </c>
      <c r="B32" s="347" t="n">
        <v>44184</v>
      </c>
      <c r="E32" s="349" t="n">
        <v>200</v>
      </c>
      <c r="F32" s="365"/>
    </row>
    <row r="33" customFormat="false" ht="12.75" hidden="false" customHeight="false" outlineLevel="0" collapsed="false">
      <c r="A33" s="364" t="n">
        <v>44185</v>
      </c>
      <c r="B33" s="347" t="n">
        <v>44185</v>
      </c>
      <c r="F33" s="365"/>
    </row>
    <row r="34" customFormat="false" ht="12.75" hidden="false" customHeight="false" outlineLevel="0" collapsed="false">
      <c r="A34" s="364" t="n">
        <v>44185</v>
      </c>
      <c r="B34" s="347" t="s">
        <v>241</v>
      </c>
      <c r="F34" s="365"/>
    </row>
    <row r="35" customFormat="false" ht="12.75" hidden="false" customHeight="false" outlineLevel="0" collapsed="false">
      <c r="A35" s="364" t="n">
        <v>44185</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44186</v>
      </c>
      <c r="B38" s="359" t="n">
        <v>44186</v>
      </c>
      <c r="C38" s="360"/>
      <c r="D38" s="361"/>
      <c r="E38" s="362"/>
      <c r="F38" s="363"/>
    </row>
    <row r="39" customFormat="false" ht="12.75" hidden="false" customHeight="false" outlineLevel="0" collapsed="false">
      <c r="A39" s="364" t="n">
        <v>44187</v>
      </c>
      <c r="B39" s="347" t="n">
        <v>44187</v>
      </c>
      <c r="F39" s="365"/>
    </row>
    <row r="40" customFormat="false" ht="12.75" hidden="false" customHeight="false" outlineLevel="0" collapsed="false">
      <c r="A40" s="364" t="n">
        <v>44188</v>
      </c>
      <c r="B40" s="347" t="n">
        <v>44188</v>
      </c>
      <c r="F40" s="365"/>
    </row>
    <row r="41" customFormat="false" ht="12.75" hidden="false" customHeight="false" outlineLevel="0" collapsed="false">
      <c r="A41" s="364" t="n">
        <v>44189</v>
      </c>
      <c r="B41" s="347" t="n">
        <v>44189</v>
      </c>
      <c r="F41" s="365"/>
    </row>
    <row r="42" customFormat="false" ht="12.75" hidden="false" customHeight="false" outlineLevel="0" collapsed="false">
      <c r="A42" s="364" t="n">
        <v>44190</v>
      </c>
      <c r="B42" s="347" t="n">
        <v>44190</v>
      </c>
      <c r="F42" s="365"/>
    </row>
    <row r="43" customFormat="false" ht="12.75" hidden="false" customHeight="false" outlineLevel="0" collapsed="false">
      <c r="A43" s="364" t="n">
        <v>44191</v>
      </c>
      <c r="B43" s="347" t="n">
        <v>44191</v>
      </c>
      <c r="F43" s="365"/>
    </row>
    <row r="44" customFormat="false" ht="12.75" hidden="false" customHeight="false" outlineLevel="0" collapsed="false">
      <c r="A44" s="364" t="n">
        <v>44192</v>
      </c>
      <c r="B44" s="347" t="n">
        <v>44192</v>
      </c>
      <c r="F44" s="365"/>
    </row>
    <row r="45" customFormat="false" ht="12.75" hidden="false" customHeight="false" outlineLevel="0" collapsed="false">
      <c r="A45" s="364" t="n">
        <v>44192</v>
      </c>
      <c r="B45" s="347" t="s">
        <v>241</v>
      </c>
      <c r="F45" s="365"/>
    </row>
    <row r="46" customFormat="false" ht="12.75" hidden="false" customHeight="false" outlineLevel="0" collapsed="false">
      <c r="A46" s="364" t="n">
        <v>44192</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66"/>
    <col collapsed="false" customWidth="true" hidden="false" outlineLevel="0" max="20" min="20" style="180" width="12.82"/>
    <col collapsed="false" customWidth="true" hidden="false" outlineLevel="0" max="21" min="21" style="181" width="8.49"/>
    <col collapsed="false" customWidth="false" hidden="false" outlineLevel="0" max="257" min="22" style="180" width="9.15"/>
  </cols>
  <sheetData>
    <row r="1" s="181" customFormat="true" ht="13.5" hidden="false" customHeight="true" outlineLevel="0" collapsed="false">
      <c r="A1" s="390" t="n">
        <f aca="false">E1+SalesDec!$D$1+PurchasesNov!A1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S1+PurchasesNov!T1</f>
        <v>8000</v>
      </c>
      <c r="U1" s="393" t="n">
        <f aca="false">SUM(U4:U199)</f>
        <v>0</v>
      </c>
    </row>
    <row r="2" s="181" customFormat="true" ht="13.5" hidden="false" customHeight="true" outlineLevel="0" collapsed="false">
      <c r="A2" s="395" t="n">
        <f aca="false">U1+PurchasesNov!A2</f>
        <v>0</v>
      </c>
      <c r="B2" s="240" t="s">
        <v>244</v>
      </c>
      <c r="C2" s="380" t="s">
        <v>245</v>
      </c>
      <c r="D2" s="380" t="s">
        <v>246</v>
      </c>
      <c r="E2" s="380" t="s">
        <v>247</v>
      </c>
      <c r="F2" s="207" t="s">
        <v>248</v>
      </c>
      <c r="G2" s="381" t="s">
        <v>249</v>
      </c>
      <c r="H2" s="381"/>
      <c r="I2" s="382" t="n">
        <f aca="false">G1+H1+I1+J1+PurchasesNov!I2</f>
        <v>4080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IF((E1&lt;&gt;0),Admin!$B$13,"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IF((A1&lt;Admin!$F$22),((A1-PurchasesNov!A1)*Admin!$G$21),(A1*Admin!$G$21-(A1-Admin!$F$21)*(Admin!$G$21-Admin!$G$22)-PurchasesNov!A2))</f>
        <v>0</v>
      </c>
    </row>
    <row r="5" s="373" customFormat="true" ht="12.75" hidden="false" customHeight="false" outlineLevel="0" collapsed="false">
      <c r="A5" s="372" t="n">
        <v>46006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SUM(D4:D58)</f>
        <v>0</v>
      </c>
      <c r="E1" s="352" t="n">
        <f aca="false">SUM(E4:E58)/2</f>
        <v>3000</v>
      </c>
      <c r="F1" s="352" t="n">
        <f aca="false">SUM(F4:F58)/2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44193</v>
      </c>
      <c r="B5" s="359" t="n">
        <v>44193</v>
      </c>
      <c r="C5" s="360"/>
      <c r="D5" s="361"/>
      <c r="E5" s="362"/>
      <c r="F5" s="363"/>
    </row>
    <row r="6" customFormat="false" ht="12.75" hidden="false" customHeight="false" outlineLevel="0" collapsed="false">
      <c r="A6" s="364" t="n">
        <v>44194</v>
      </c>
      <c r="B6" s="347" t="n">
        <v>44194</v>
      </c>
      <c r="F6" s="365"/>
    </row>
    <row r="7" customFormat="false" ht="12.75" hidden="false" customHeight="false" outlineLevel="0" collapsed="false">
      <c r="A7" s="364" t="n">
        <v>44195</v>
      </c>
      <c r="B7" s="347" t="n">
        <v>44195</v>
      </c>
      <c r="F7" s="365"/>
    </row>
    <row r="8" customFormat="false" ht="12.75" hidden="false" customHeight="false" outlineLevel="0" collapsed="false">
      <c r="A8" s="364" t="n">
        <v>44196</v>
      </c>
      <c r="B8" s="347" t="n">
        <v>44196</v>
      </c>
      <c r="F8" s="365"/>
    </row>
    <row r="9" customFormat="false" ht="12.75" hidden="false" customHeight="false" outlineLevel="0" collapsed="false">
      <c r="A9" s="364" t="n">
        <v>44197</v>
      </c>
      <c r="B9" s="347" t="n">
        <v>44197</v>
      </c>
      <c r="F9" s="365"/>
    </row>
    <row r="10" customFormat="false" ht="12.75" hidden="false" customHeight="false" outlineLevel="0" collapsed="false">
      <c r="A10" s="364" t="n">
        <v>44198</v>
      </c>
      <c r="B10" s="347" t="n">
        <v>44198</v>
      </c>
      <c r="F10" s="365"/>
    </row>
    <row r="11" customFormat="false" ht="12.75" hidden="false" customHeight="false" outlineLevel="0" collapsed="false">
      <c r="A11" s="364" t="n">
        <v>44199</v>
      </c>
      <c r="B11" s="347" t="n">
        <v>44199</v>
      </c>
      <c r="F11" s="365"/>
    </row>
    <row r="12" customFormat="false" ht="12.75" hidden="false" customHeight="false" outlineLevel="0" collapsed="false">
      <c r="A12" s="364" t="n">
        <v>44199</v>
      </c>
      <c r="B12" s="347" t="s">
        <v>241</v>
      </c>
      <c r="F12" s="365"/>
    </row>
    <row r="13" customFormat="false" ht="12.75" hidden="false" customHeight="false" outlineLevel="0" collapsed="false">
      <c r="A13" s="364" t="n">
        <v>44199</v>
      </c>
      <c r="B13" s="347" t="s">
        <v>242</v>
      </c>
      <c r="F13" s="365"/>
    </row>
    <row r="14" customFormat="false" ht="12.75" hidden="false" customHeight="false" outlineLevel="0" collapsed="false">
      <c r="A14" s="366"/>
      <c r="B14" s="367"/>
      <c r="C14" s="368"/>
      <c r="D14" s="369"/>
      <c r="E14" s="370" t="n">
        <f aca="false">SUM(E5:E13)</f>
        <v>0</v>
      </c>
      <c r="F14" s="371" t="n">
        <f aca="false">SUM(F5:F13)</f>
        <v>0</v>
      </c>
    </row>
    <row r="16" customFormat="false" ht="12.75" hidden="false" customHeight="false" outlineLevel="0" collapsed="false">
      <c r="A16" s="358" t="n">
        <v>44200</v>
      </c>
      <c r="B16" s="359" t="n">
        <v>44200</v>
      </c>
      <c r="C16" s="360"/>
      <c r="D16" s="361"/>
      <c r="E16" s="362"/>
      <c r="F16" s="363"/>
    </row>
    <row r="17" customFormat="false" ht="12.75" hidden="false" customHeight="false" outlineLevel="0" collapsed="false">
      <c r="A17" s="364" t="n">
        <v>44201</v>
      </c>
      <c r="B17" s="347" t="n">
        <v>44201</v>
      </c>
      <c r="E17" s="349" t="n">
        <v>200</v>
      </c>
      <c r="F17" s="365"/>
    </row>
    <row r="18" customFormat="false" ht="12.75" hidden="false" customHeight="false" outlineLevel="0" collapsed="false">
      <c r="A18" s="364" t="n">
        <v>44202</v>
      </c>
      <c r="B18" s="347" t="n">
        <v>44202</v>
      </c>
      <c r="E18" s="349" t="n">
        <v>200</v>
      </c>
      <c r="F18" s="365"/>
    </row>
    <row r="19" customFormat="false" ht="12.75" hidden="false" customHeight="false" outlineLevel="0" collapsed="false">
      <c r="A19" s="364" t="n">
        <v>44203</v>
      </c>
      <c r="B19" s="347" t="n">
        <v>44203</v>
      </c>
      <c r="E19" s="349" t="n">
        <v>200</v>
      </c>
      <c r="F19" s="365"/>
    </row>
    <row r="20" customFormat="false" ht="12.75" hidden="false" customHeight="false" outlineLevel="0" collapsed="false">
      <c r="A20" s="364" t="n">
        <v>44204</v>
      </c>
      <c r="B20" s="347" t="n">
        <v>44204</v>
      </c>
      <c r="E20" s="349" t="n">
        <v>200</v>
      </c>
      <c r="F20" s="365"/>
    </row>
    <row r="21" customFormat="false" ht="12.75" hidden="false" customHeight="false" outlineLevel="0" collapsed="false">
      <c r="A21" s="364" t="n">
        <v>44205</v>
      </c>
      <c r="B21" s="347" t="n">
        <v>44205</v>
      </c>
      <c r="E21" s="349" t="n">
        <v>200</v>
      </c>
      <c r="F21" s="365"/>
    </row>
    <row r="22" customFormat="false" ht="12.75" hidden="false" customHeight="false" outlineLevel="0" collapsed="false">
      <c r="A22" s="364" t="n">
        <v>44206</v>
      </c>
      <c r="B22" s="347" t="n">
        <v>44206</v>
      </c>
      <c r="F22" s="365"/>
    </row>
    <row r="23" customFormat="false" ht="12.75" hidden="false" customHeight="false" outlineLevel="0" collapsed="false">
      <c r="A23" s="364" t="n">
        <v>44206</v>
      </c>
      <c r="B23" s="347" t="s">
        <v>241</v>
      </c>
      <c r="F23" s="365"/>
    </row>
    <row r="24" customFormat="false" ht="12.75" hidden="false" customHeight="false" outlineLevel="0" collapsed="false">
      <c r="A24" s="364" t="n">
        <v>44206</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44207</v>
      </c>
      <c r="B27" s="359" t="n">
        <v>44207</v>
      </c>
      <c r="C27" s="360"/>
      <c r="D27" s="361"/>
      <c r="E27" s="362"/>
      <c r="F27" s="363"/>
    </row>
    <row r="28" customFormat="false" ht="12.75" hidden="false" customHeight="false" outlineLevel="0" collapsed="false">
      <c r="A28" s="364" t="n">
        <v>44208</v>
      </c>
      <c r="B28" s="347" t="n">
        <v>44208</v>
      </c>
      <c r="E28" s="349" t="n">
        <v>200</v>
      </c>
      <c r="F28" s="365"/>
    </row>
    <row r="29" customFormat="false" ht="12.75" hidden="false" customHeight="false" outlineLevel="0" collapsed="false">
      <c r="A29" s="364" t="n">
        <v>44209</v>
      </c>
      <c r="B29" s="347" t="n">
        <v>44209</v>
      </c>
      <c r="E29" s="349" t="n">
        <v>200</v>
      </c>
      <c r="F29" s="365"/>
    </row>
    <row r="30" customFormat="false" ht="12.75" hidden="false" customHeight="false" outlineLevel="0" collapsed="false">
      <c r="A30" s="364" t="n">
        <v>44210</v>
      </c>
      <c r="B30" s="347" t="n">
        <v>44210</v>
      </c>
      <c r="E30" s="349" t="n">
        <v>200</v>
      </c>
      <c r="F30" s="365"/>
    </row>
    <row r="31" customFormat="false" ht="12.75" hidden="false" customHeight="false" outlineLevel="0" collapsed="false">
      <c r="A31" s="364" t="n">
        <v>44211</v>
      </c>
      <c r="B31" s="347" t="n">
        <v>44211</v>
      </c>
      <c r="E31" s="349" t="n">
        <v>200</v>
      </c>
      <c r="F31" s="365"/>
    </row>
    <row r="32" customFormat="false" ht="12.75" hidden="false" customHeight="false" outlineLevel="0" collapsed="false">
      <c r="A32" s="364" t="n">
        <v>44212</v>
      </c>
      <c r="B32" s="347" t="n">
        <v>44212</v>
      </c>
      <c r="E32" s="349" t="n">
        <v>200</v>
      </c>
      <c r="F32" s="365"/>
    </row>
    <row r="33" customFormat="false" ht="12.75" hidden="false" customHeight="false" outlineLevel="0" collapsed="false">
      <c r="A33" s="364" t="n">
        <v>44213</v>
      </c>
      <c r="B33" s="347" t="n">
        <v>44213</v>
      </c>
      <c r="F33" s="365"/>
    </row>
    <row r="34" customFormat="false" ht="12.75" hidden="false" customHeight="false" outlineLevel="0" collapsed="false">
      <c r="A34" s="364" t="n">
        <v>44213</v>
      </c>
      <c r="B34" s="347" t="s">
        <v>241</v>
      </c>
      <c r="F34" s="365"/>
    </row>
    <row r="35" customFormat="false" ht="12.75" hidden="false" customHeight="false" outlineLevel="0" collapsed="false">
      <c r="A35" s="364" t="n">
        <v>44213</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44214</v>
      </c>
      <c r="B38" s="359" t="n">
        <v>44214</v>
      </c>
      <c r="C38" s="360"/>
      <c r="D38" s="361"/>
      <c r="E38" s="362"/>
      <c r="F38" s="363"/>
    </row>
    <row r="39" customFormat="false" ht="12.75" hidden="false" customHeight="false" outlineLevel="0" collapsed="false">
      <c r="A39" s="364" t="n">
        <v>44215</v>
      </c>
      <c r="B39" s="347" t="n">
        <v>44215</v>
      </c>
      <c r="E39" s="349" t="n">
        <v>200</v>
      </c>
      <c r="F39" s="365"/>
    </row>
    <row r="40" customFormat="false" ht="12.75" hidden="false" customHeight="false" outlineLevel="0" collapsed="false">
      <c r="A40" s="364" t="n">
        <v>44216</v>
      </c>
      <c r="B40" s="347" t="n">
        <v>44216</v>
      </c>
      <c r="E40" s="349" t="n">
        <v>200</v>
      </c>
      <c r="F40" s="365"/>
    </row>
    <row r="41" customFormat="false" ht="12.75" hidden="false" customHeight="false" outlineLevel="0" collapsed="false">
      <c r="A41" s="364" t="n">
        <v>44217</v>
      </c>
      <c r="B41" s="347" t="n">
        <v>44217</v>
      </c>
      <c r="E41" s="349" t="n">
        <v>200</v>
      </c>
      <c r="F41" s="365"/>
    </row>
    <row r="42" customFormat="false" ht="12.75" hidden="false" customHeight="false" outlineLevel="0" collapsed="false">
      <c r="A42" s="364" t="n">
        <v>44218</v>
      </c>
      <c r="B42" s="347" t="n">
        <v>44218</v>
      </c>
      <c r="E42" s="349" t="n">
        <v>200</v>
      </c>
      <c r="F42" s="365"/>
    </row>
    <row r="43" customFormat="false" ht="12.75" hidden="false" customHeight="false" outlineLevel="0" collapsed="false">
      <c r="A43" s="364" t="n">
        <v>44219</v>
      </c>
      <c r="B43" s="347" t="n">
        <v>44219</v>
      </c>
      <c r="E43" s="349" t="n">
        <v>200</v>
      </c>
      <c r="F43" s="365"/>
    </row>
    <row r="44" customFormat="false" ht="12.75" hidden="false" customHeight="false" outlineLevel="0" collapsed="false">
      <c r="A44" s="364" t="n">
        <v>44220</v>
      </c>
      <c r="B44" s="347" t="n">
        <v>44220</v>
      </c>
      <c r="F44" s="365"/>
    </row>
    <row r="45" customFormat="false" ht="12.75" hidden="false" customHeight="false" outlineLevel="0" collapsed="false">
      <c r="A45" s="364" t="n">
        <v>44220</v>
      </c>
      <c r="B45" s="347" t="s">
        <v>241</v>
      </c>
      <c r="F45" s="365"/>
    </row>
    <row r="46" customFormat="false" ht="12.75" hidden="false" customHeight="false" outlineLevel="0" collapsed="false">
      <c r="A46" s="364" t="n">
        <v>44220</v>
      </c>
      <c r="B46" s="347" t="s">
        <v>242</v>
      </c>
      <c r="F46" s="365"/>
    </row>
    <row r="47" customFormat="false" ht="12.75" hidden="false" customHeight="false" outlineLevel="0" collapsed="false">
      <c r="A47" s="366"/>
      <c r="B47" s="367"/>
      <c r="C47" s="368"/>
      <c r="D47" s="369"/>
      <c r="E47" s="370" t="n">
        <f aca="false">SUM(E38:E46)</f>
        <v>1000</v>
      </c>
      <c r="F47" s="371" t="n">
        <f aca="false">SUM(F38:F46)</f>
        <v>0</v>
      </c>
    </row>
    <row r="49" customFormat="false" ht="12.75" hidden="false" customHeight="false" outlineLevel="0" collapsed="false">
      <c r="A49" s="358" t="n">
        <v>44221</v>
      </c>
      <c r="B49" s="359" t="n">
        <v>44221</v>
      </c>
      <c r="C49" s="360"/>
      <c r="D49" s="361"/>
      <c r="E49" s="362"/>
      <c r="F49" s="363"/>
    </row>
    <row r="50" customFormat="false" ht="12.75" hidden="false" customHeight="false" outlineLevel="0" collapsed="false">
      <c r="A50" s="364" t="n">
        <v>44222</v>
      </c>
      <c r="B50" s="347" t="n">
        <v>44222</v>
      </c>
      <c r="F50" s="365"/>
    </row>
    <row r="51" customFormat="false" ht="12.75" hidden="false" customHeight="false" outlineLevel="0" collapsed="false">
      <c r="A51" s="364" t="n">
        <v>44223</v>
      </c>
      <c r="B51" s="347" t="n">
        <v>44223</v>
      </c>
      <c r="F51" s="365"/>
    </row>
    <row r="52" customFormat="false" ht="12.75" hidden="false" customHeight="false" outlineLevel="0" collapsed="false">
      <c r="A52" s="364" t="n">
        <v>44224</v>
      </c>
      <c r="B52" s="347" t="n">
        <v>44224</v>
      </c>
      <c r="F52" s="365"/>
    </row>
    <row r="53" customFormat="false" ht="12.75" hidden="false" customHeight="false" outlineLevel="0" collapsed="false">
      <c r="A53" s="364" t="n">
        <v>44225</v>
      </c>
      <c r="B53" s="347" t="n">
        <v>44225</v>
      </c>
      <c r="F53" s="365"/>
    </row>
    <row r="54" customFormat="false" ht="12.75" hidden="false" customHeight="false" outlineLevel="0" collapsed="false">
      <c r="A54" s="364" t="n">
        <v>44226</v>
      </c>
      <c r="B54" s="347" t="n">
        <v>44226</v>
      </c>
      <c r="F54" s="365"/>
    </row>
    <row r="55" customFormat="false" ht="12.75" hidden="false" customHeight="false" outlineLevel="0" collapsed="false">
      <c r="A55" s="364" t="n">
        <v>44227</v>
      </c>
      <c r="B55" s="347" t="n">
        <v>44227</v>
      </c>
      <c r="F55" s="365"/>
    </row>
    <row r="56" customFormat="false" ht="12.75" hidden="false" customHeight="false" outlineLevel="0" collapsed="false">
      <c r="A56" s="364" t="n">
        <v>44227</v>
      </c>
      <c r="B56" s="347" t="s">
        <v>241</v>
      </c>
      <c r="F56" s="365"/>
    </row>
    <row r="57" customFormat="false" ht="12.75" hidden="false" customHeight="false" outlineLevel="0" collapsed="false">
      <c r="A57" s="364" t="n">
        <v>44227</v>
      </c>
      <c r="B57" s="347" t="s">
        <v>242</v>
      </c>
      <c r="F57" s="365"/>
    </row>
    <row r="58" customFormat="false" ht="12.75" hidden="false" customHeight="false" outlineLevel="0" collapsed="false">
      <c r="A58" s="366"/>
      <c r="B58" s="367"/>
      <c r="C58" s="368"/>
      <c r="D58" s="369"/>
      <c r="E58" s="370" t="n">
        <f aca="false">SUM(E49:E57)</f>
        <v>0</v>
      </c>
      <c r="F58" s="371"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49"/>
    <col collapsed="false" customWidth="true" hidden="false" outlineLevel="0" max="20" min="20" style="180" width="12.82"/>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E1+SalesJan!$D$1+PurchasesDec!A1</f>
        <v>0</v>
      </c>
      <c r="B1" s="391" t="s">
        <v>243</v>
      </c>
      <c r="C1" s="392" t="s">
        <v>236</v>
      </c>
      <c r="D1" s="377" t="str">
        <f aca="false">IF((F1-SUM(G1:S1)&lt;&gt;0),(F1-SUM(G1:S1))," ")</f>
        <v> </v>
      </c>
      <c r="E1" s="353" t="n">
        <f aca="false">SUM(E5:E199)</f>
        <v>0</v>
      </c>
      <c r="F1" s="352" t="n">
        <f aca="false">SUM(F5:F199)</f>
        <v>920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120</v>
      </c>
      <c r="N1" s="352" t="n">
        <f aca="false">SUM(N5:N199)</f>
        <v>0</v>
      </c>
      <c r="O1" s="352" t="n">
        <f aca="false">SUM(O5:O199)</f>
        <v>500</v>
      </c>
      <c r="P1" s="352" t="n">
        <f aca="false">SUM(P5:P199)</f>
        <v>0</v>
      </c>
      <c r="Q1" s="352" t="n">
        <f aca="false">SUM(Q5:Q199)</f>
        <v>0</v>
      </c>
      <c r="R1" s="352" t="n">
        <f aca="false">SUM(R5:R199)</f>
        <v>0</v>
      </c>
      <c r="S1" s="393" t="n">
        <f aca="false">SUM(S5:S199)</f>
        <v>0</v>
      </c>
      <c r="T1" s="394" t="n">
        <f aca="false">S1+PurchasesDec!T1</f>
        <v>8000</v>
      </c>
      <c r="U1" s="393" t="n">
        <f aca="false">SUM(U4:U199)</f>
        <v>0</v>
      </c>
    </row>
    <row r="2" s="181" customFormat="true" ht="13.5" hidden="false" customHeight="true" outlineLevel="0" collapsed="false">
      <c r="A2" s="395" t="n">
        <f aca="false">U1+PurchasesDec!A2</f>
        <v>0</v>
      </c>
      <c r="B2" s="240" t="s">
        <v>244</v>
      </c>
      <c r="C2" s="380" t="s">
        <v>245</v>
      </c>
      <c r="D2" s="380" t="s">
        <v>246</v>
      </c>
      <c r="E2" s="380" t="s">
        <v>247</v>
      </c>
      <c r="F2" s="207" t="s">
        <v>248</v>
      </c>
      <c r="G2" s="381" t="s">
        <v>249</v>
      </c>
      <c r="H2" s="381"/>
      <c r="I2" s="382" t="n">
        <f aca="false">G1+H1+I1+J1+PurchasesDec!I2</f>
        <v>4380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IF((E1&lt;&gt;0),Admin!$B$14,"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IF((A1&lt;Admin!$F$22),((A1-PurchasesDec!A1)*Admin!$G$21),(A1*Admin!$G$21-(A1-Admin!$F$21)*(Admin!$G$21-Admin!$G$22)-PurchasesDec!A2))</f>
        <v>0</v>
      </c>
    </row>
    <row r="5" s="373" customFormat="true" ht="12.75" hidden="false" customHeight="false" outlineLevel="0" collapsed="false">
      <c r="A5" s="372" t="n">
        <v>46037</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A6" s="372" t="n">
        <v>46032</v>
      </c>
      <c r="B6" s="180" t="s">
        <v>280</v>
      </c>
      <c r="D6" s="373" t="s">
        <v>281</v>
      </c>
      <c r="F6" s="374" t="n">
        <v>120</v>
      </c>
      <c r="G6" s="181" t="str">
        <f aca="false">IF((D6="d"),F6," ")</f>
        <v> </v>
      </c>
      <c r="H6" s="181" t="str">
        <f aca="false">IF((D6="h"),F6," ")</f>
        <v> </v>
      </c>
      <c r="I6" s="181" t="str">
        <f aca="false">IF((D6="r"),F6," ")</f>
        <v> </v>
      </c>
      <c r="J6" s="181" t="str">
        <f aca="false">IF((D6="t"),F6," ")</f>
        <v> </v>
      </c>
      <c r="K6" s="181" t="str">
        <f aca="false">IF((D6="e"),F6," ")</f>
        <v> </v>
      </c>
      <c r="L6" s="181" t="str">
        <f aca="false">IF((D6="p"),F6," ")</f>
        <v> </v>
      </c>
      <c r="M6" s="181" t="n">
        <f aca="false">IF((D6="g"),F6," ")</f>
        <v>120</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A7" s="372" t="n">
        <v>46042</v>
      </c>
      <c r="B7" s="180" t="s">
        <v>287</v>
      </c>
      <c r="D7" s="373" t="s">
        <v>283</v>
      </c>
      <c r="F7" s="374" t="n">
        <v>500</v>
      </c>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n">
        <f aca="false">IF((D7="l"),F7," ")</f>
        <v>500</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5" min="5" style="349" width="12.66"/>
    <col collapsed="false" customWidth="true" hidden="false" outlineLevel="0" max="6" min="6" style="181" width="12.66"/>
    <col collapsed="false" customWidth="false" hidden="false" outlineLevel="0" max="257" min="7" style="181" width="9.15"/>
  </cols>
  <sheetData>
    <row r="1" s="354" customFormat="true" ht="12.75" hidden="false" customHeight="true" outlineLevel="0" collapsed="false">
      <c r="A1" s="350" t="s">
        <v>234</v>
      </c>
      <c r="B1" s="351" t="s">
        <v>235</v>
      </c>
      <c r="C1" s="352" t="s">
        <v>236</v>
      </c>
      <c r="D1" s="353" t="n">
        <f aca="false">SUM(D4:D47)</f>
        <v>0</v>
      </c>
      <c r="E1" s="352" t="n">
        <f aca="false">SUM(E4:E47)/2</f>
        <v>3000</v>
      </c>
      <c r="F1" s="352" t="n">
        <f aca="false">SUM(F4:F47)/2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44228</v>
      </c>
      <c r="B5" s="359" t="n">
        <v>44228</v>
      </c>
      <c r="C5" s="360"/>
      <c r="D5" s="361"/>
      <c r="E5" s="362"/>
      <c r="F5" s="363"/>
    </row>
    <row r="6" customFormat="false" ht="12.75" hidden="false" customHeight="false" outlineLevel="0" collapsed="false">
      <c r="A6" s="364" t="n">
        <v>44229</v>
      </c>
      <c r="B6" s="347" t="n">
        <v>44229</v>
      </c>
      <c r="E6" s="349" t="n">
        <v>200</v>
      </c>
      <c r="F6" s="365"/>
    </row>
    <row r="7" customFormat="false" ht="12.75" hidden="false" customHeight="false" outlineLevel="0" collapsed="false">
      <c r="A7" s="364" t="n">
        <v>44230</v>
      </c>
      <c r="B7" s="347" t="n">
        <v>44230</v>
      </c>
      <c r="E7" s="349" t="n">
        <v>200</v>
      </c>
      <c r="F7" s="365"/>
    </row>
    <row r="8" customFormat="false" ht="12.75" hidden="false" customHeight="false" outlineLevel="0" collapsed="false">
      <c r="A8" s="364" t="n">
        <v>44231</v>
      </c>
      <c r="B8" s="347" t="n">
        <v>44231</v>
      </c>
      <c r="E8" s="349" t="n">
        <v>200</v>
      </c>
      <c r="F8" s="365"/>
    </row>
    <row r="9" customFormat="false" ht="12.75" hidden="false" customHeight="false" outlineLevel="0" collapsed="false">
      <c r="A9" s="364" t="n">
        <v>44232</v>
      </c>
      <c r="B9" s="347" t="n">
        <v>44232</v>
      </c>
      <c r="E9" s="349" t="n">
        <v>200</v>
      </c>
      <c r="F9" s="365"/>
    </row>
    <row r="10" customFormat="false" ht="12.75" hidden="false" customHeight="false" outlineLevel="0" collapsed="false">
      <c r="A10" s="364" t="n">
        <v>44233</v>
      </c>
      <c r="B10" s="347" t="n">
        <v>44233</v>
      </c>
      <c r="E10" s="349" t="n">
        <v>200</v>
      </c>
      <c r="F10" s="365"/>
    </row>
    <row r="11" customFormat="false" ht="12.75" hidden="false" customHeight="false" outlineLevel="0" collapsed="false">
      <c r="A11" s="364" t="n">
        <v>44234</v>
      </c>
      <c r="B11" s="347" t="n">
        <v>44234</v>
      </c>
      <c r="F11" s="365"/>
    </row>
    <row r="12" customFormat="false" ht="12.75" hidden="false" customHeight="false" outlineLevel="0" collapsed="false">
      <c r="A12" s="364" t="n">
        <v>44234</v>
      </c>
      <c r="B12" s="347" t="s">
        <v>241</v>
      </c>
      <c r="F12" s="365"/>
    </row>
    <row r="13" customFormat="false" ht="12.75" hidden="false" customHeight="false" outlineLevel="0" collapsed="false">
      <c r="A13" s="364" t="n">
        <v>44234</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44235</v>
      </c>
      <c r="B16" s="359" t="n">
        <v>44235</v>
      </c>
      <c r="C16" s="360"/>
      <c r="D16" s="361"/>
      <c r="E16" s="362"/>
      <c r="F16" s="363"/>
    </row>
    <row r="17" customFormat="false" ht="12.75" hidden="false" customHeight="false" outlineLevel="0" collapsed="false">
      <c r="A17" s="364" t="n">
        <v>44236</v>
      </c>
      <c r="B17" s="347" t="n">
        <v>44236</v>
      </c>
      <c r="E17" s="349" t="n">
        <v>200</v>
      </c>
      <c r="F17" s="365"/>
    </row>
    <row r="18" customFormat="false" ht="12.75" hidden="false" customHeight="false" outlineLevel="0" collapsed="false">
      <c r="A18" s="364" t="n">
        <v>44237</v>
      </c>
      <c r="B18" s="347" t="n">
        <v>44237</v>
      </c>
      <c r="E18" s="349" t="n">
        <v>200</v>
      </c>
      <c r="F18" s="365"/>
    </row>
    <row r="19" customFormat="false" ht="12.75" hidden="false" customHeight="false" outlineLevel="0" collapsed="false">
      <c r="A19" s="364" t="n">
        <v>44238</v>
      </c>
      <c r="B19" s="347" t="n">
        <v>44238</v>
      </c>
      <c r="E19" s="349" t="n">
        <v>200</v>
      </c>
      <c r="F19" s="365"/>
    </row>
    <row r="20" customFormat="false" ht="12.75" hidden="false" customHeight="false" outlineLevel="0" collapsed="false">
      <c r="A20" s="364" t="n">
        <v>44239</v>
      </c>
      <c r="B20" s="347" t="n">
        <v>44239</v>
      </c>
      <c r="E20" s="349" t="n">
        <v>200</v>
      </c>
      <c r="F20" s="365"/>
    </row>
    <row r="21" customFormat="false" ht="12.75" hidden="false" customHeight="false" outlineLevel="0" collapsed="false">
      <c r="A21" s="364" t="n">
        <v>44240</v>
      </c>
      <c r="B21" s="347" t="n">
        <v>44240</v>
      </c>
      <c r="E21" s="349" t="n">
        <v>200</v>
      </c>
      <c r="F21" s="365"/>
    </row>
    <row r="22" customFormat="false" ht="12.75" hidden="false" customHeight="false" outlineLevel="0" collapsed="false">
      <c r="A22" s="364" t="n">
        <v>44241</v>
      </c>
      <c r="B22" s="347" t="n">
        <v>44241</v>
      </c>
      <c r="F22" s="365"/>
    </row>
    <row r="23" customFormat="false" ht="12.75" hidden="false" customHeight="false" outlineLevel="0" collapsed="false">
      <c r="A23" s="364" t="n">
        <v>44241</v>
      </c>
      <c r="B23" s="347" t="s">
        <v>241</v>
      </c>
      <c r="F23" s="365"/>
    </row>
    <row r="24" customFormat="false" ht="12.75" hidden="false" customHeight="false" outlineLevel="0" collapsed="false">
      <c r="A24" s="364" t="n">
        <v>44241</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44242</v>
      </c>
      <c r="B27" s="359" t="n">
        <v>44242</v>
      </c>
      <c r="C27" s="360"/>
      <c r="D27" s="361"/>
      <c r="E27" s="362"/>
      <c r="F27" s="363"/>
    </row>
    <row r="28" customFormat="false" ht="12.75" hidden="false" customHeight="false" outlineLevel="0" collapsed="false">
      <c r="A28" s="364" t="n">
        <v>44243</v>
      </c>
      <c r="B28" s="347" t="n">
        <v>44243</v>
      </c>
      <c r="E28" s="349" t="n">
        <v>200</v>
      </c>
      <c r="F28" s="365"/>
    </row>
    <row r="29" customFormat="false" ht="12.75" hidden="false" customHeight="false" outlineLevel="0" collapsed="false">
      <c r="A29" s="364" t="n">
        <v>44244</v>
      </c>
      <c r="B29" s="347" t="n">
        <v>44244</v>
      </c>
      <c r="E29" s="349" t="n">
        <v>200</v>
      </c>
      <c r="F29" s="365"/>
    </row>
    <row r="30" customFormat="false" ht="12.75" hidden="false" customHeight="false" outlineLevel="0" collapsed="false">
      <c r="A30" s="364" t="n">
        <v>44245</v>
      </c>
      <c r="B30" s="347" t="n">
        <v>44245</v>
      </c>
      <c r="E30" s="349" t="n">
        <v>200</v>
      </c>
      <c r="F30" s="365"/>
    </row>
    <row r="31" customFormat="false" ht="12.75" hidden="false" customHeight="false" outlineLevel="0" collapsed="false">
      <c r="A31" s="364" t="n">
        <v>44246</v>
      </c>
      <c r="B31" s="347" t="n">
        <v>44246</v>
      </c>
      <c r="E31" s="349" t="n">
        <v>200</v>
      </c>
      <c r="F31" s="365"/>
    </row>
    <row r="32" customFormat="false" ht="12.75" hidden="false" customHeight="false" outlineLevel="0" collapsed="false">
      <c r="A32" s="364" t="n">
        <v>44247</v>
      </c>
      <c r="B32" s="347" t="n">
        <v>44247</v>
      </c>
      <c r="E32" s="349" t="n">
        <v>200</v>
      </c>
      <c r="F32" s="365"/>
    </row>
    <row r="33" customFormat="false" ht="12.75" hidden="false" customHeight="false" outlineLevel="0" collapsed="false">
      <c r="A33" s="364" t="n">
        <v>44248</v>
      </c>
      <c r="B33" s="347" t="n">
        <v>44248</v>
      </c>
      <c r="F33" s="365"/>
    </row>
    <row r="34" customFormat="false" ht="12.75" hidden="false" customHeight="false" outlineLevel="0" collapsed="false">
      <c r="A34" s="364" t="n">
        <v>44248</v>
      </c>
      <c r="B34" s="347" t="s">
        <v>241</v>
      </c>
      <c r="F34" s="365"/>
    </row>
    <row r="35" customFormat="false" ht="12.75" hidden="false" customHeight="false" outlineLevel="0" collapsed="false">
      <c r="A35" s="364" t="n">
        <v>44248</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44249</v>
      </c>
      <c r="B38" s="359" t="n">
        <v>44249</v>
      </c>
      <c r="C38" s="360"/>
      <c r="D38" s="361"/>
      <c r="E38" s="362"/>
      <c r="F38" s="363"/>
    </row>
    <row r="39" customFormat="false" ht="12.75" hidden="false" customHeight="false" outlineLevel="0" collapsed="false">
      <c r="A39" s="364" t="n">
        <v>44250</v>
      </c>
      <c r="B39" s="347" t="n">
        <v>44250</v>
      </c>
      <c r="F39" s="365"/>
    </row>
    <row r="40" customFormat="false" ht="12.75" hidden="false" customHeight="false" outlineLevel="0" collapsed="false">
      <c r="A40" s="364" t="n">
        <v>44251</v>
      </c>
      <c r="B40" s="347" t="n">
        <v>44251</v>
      </c>
      <c r="F40" s="365"/>
    </row>
    <row r="41" customFormat="false" ht="12.75" hidden="false" customHeight="false" outlineLevel="0" collapsed="false">
      <c r="A41" s="364" t="n">
        <v>44252</v>
      </c>
      <c r="B41" s="347" t="n">
        <v>44252</v>
      </c>
      <c r="F41" s="365"/>
    </row>
    <row r="42" customFormat="false" ht="12.75" hidden="false" customHeight="false" outlineLevel="0" collapsed="false">
      <c r="A42" s="364" t="n">
        <v>44253</v>
      </c>
      <c r="B42" s="347" t="n">
        <v>44253</v>
      </c>
      <c r="F42" s="365"/>
    </row>
    <row r="43" customFormat="false" ht="12.75" hidden="false" customHeight="false" outlineLevel="0" collapsed="false">
      <c r="A43" s="364" t="n">
        <v>44254</v>
      </c>
      <c r="B43" s="347" t="n">
        <v>44254</v>
      </c>
      <c r="F43" s="365"/>
    </row>
    <row r="44" customFormat="false" ht="12.75" hidden="false" customHeight="false" outlineLevel="0" collapsed="false">
      <c r="A44" s="364" t="n">
        <v>44255</v>
      </c>
      <c r="B44" s="347" t="n">
        <v>44255</v>
      </c>
      <c r="F44" s="365"/>
    </row>
    <row r="45" customFormat="false" ht="12.75" hidden="false" customHeight="false" outlineLevel="0" collapsed="false">
      <c r="A45" s="364" t="n">
        <v>44255</v>
      </c>
      <c r="B45" s="347" t="s">
        <v>241</v>
      </c>
      <c r="F45" s="365"/>
    </row>
    <row r="46" customFormat="false" ht="12.75" hidden="false" customHeight="false" outlineLevel="0" collapsed="false">
      <c r="A46" s="364" t="n">
        <v>44255</v>
      </c>
      <c r="B46" s="347" t="s">
        <v>242</v>
      </c>
      <c r="F46" s="365"/>
    </row>
    <row r="47" customFormat="false" ht="12.75" hidden="false" customHeight="false" outlineLevel="0" collapsed="false">
      <c r="A47" s="366"/>
      <c r="B47" s="367"/>
      <c r="C47" s="368"/>
      <c r="D47" s="369"/>
      <c r="E47" s="370" t="n">
        <f aca="false">SUM(E38:E46)</f>
        <v>0</v>
      </c>
      <c r="F47" s="371"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82"/>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8.15"/>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E1+SalesFeb!$D$1+PurchasesJan!A1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S1+PurchasesJan!T1</f>
        <v>8000</v>
      </c>
      <c r="U1" s="393" t="n">
        <f aca="false">SUM(U4:U199)</f>
        <v>0</v>
      </c>
    </row>
    <row r="2" s="181" customFormat="true" ht="13.5" hidden="false" customHeight="true" outlineLevel="0" collapsed="false">
      <c r="A2" s="395" t="n">
        <f aca="false">U1+PurchasesJan!A2</f>
        <v>0</v>
      </c>
      <c r="B2" s="240" t="s">
        <v>244</v>
      </c>
      <c r="C2" s="380" t="s">
        <v>245</v>
      </c>
      <c r="D2" s="380" t="s">
        <v>246</v>
      </c>
      <c r="E2" s="380" t="s">
        <v>247</v>
      </c>
      <c r="F2" s="207" t="s">
        <v>248</v>
      </c>
      <c r="G2" s="381" t="s">
        <v>249</v>
      </c>
      <c r="H2" s="381"/>
      <c r="I2" s="382" t="n">
        <f aca="false">G1+H1+I1+J1+PurchasesJan!I2</f>
        <v>4680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IF((E1&lt;&gt;0),Admin!$B$15,"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IF((A1&lt;Admin!$F$22),((A1-PurchasesJan!A1)*Admin!$G$21),(A1*Admin!$G$21-(A1-Admin!$F$21)*(Admin!$G$21-Admin!$G$22)-PurchasesJan!A2))</f>
        <v>0</v>
      </c>
    </row>
    <row r="5" s="373" customFormat="true" ht="12.75" hidden="false" customHeight="false" outlineLevel="0" collapsed="false">
      <c r="A5" s="372" t="n">
        <v>46068</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46" width="9.66"/>
    <col collapsed="false" customWidth="true" hidden="false" outlineLevel="0" max="2" min="2" style="347" width="14.66"/>
    <col collapsed="false" customWidth="true" hidden="false" outlineLevel="0" max="3" min="3" style="181" width="13.66"/>
    <col collapsed="false" customWidth="true" hidden="false" outlineLevel="0" max="4" min="4" style="348" width="12.66"/>
    <col collapsed="false" customWidth="true" hidden="false" outlineLevel="0" max="6" min="5" style="181" width="12.66"/>
    <col collapsed="false" customWidth="true" hidden="false" outlineLevel="0" max="7" min="7" style="0" width="8.82"/>
    <col collapsed="false" customWidth="false" hidden="false" outlineLevel="0" max="257" min="8" style="181" width="9.15"/>
  </cols>
  <sheetData>
    <row r="1" s="354" customFormat="true" ht="12.75" hidden="false" customHeight="true" outlineLevel="0" collapsed="false">
      <c r="A1" s="350" t="s">
        <v>234</v>
      </c>
      <c r="B1" s="351" t="s">
        <v>235</v>
      </c>
      <c r="C1" s="352" t="s">
        <v>236</v>
      </c>
      <c r="D1" s="353" t="n">
        <f aca="false">SUM(D4:D63)</f>
        <v>0</v>
      </c>
      <c r="E1" s="352" t="n">
        <f aca="false">SUM(E4:E63)/2</f>
        <v>3000</v>
      </c>
      <c r="F1" s="352" t="n">
        <f aca="false">SUM(F4:F63)/2</f>
        <v>0</v>
      </c>
    </row>
    <row r="2" s="354" customFormat="true" ht="12.75" hidden="false" customHeight="true" outlineLevel="0" collapsed="false">
      <c r="A2" s="350"/>
      <c r="B2" s="351"/>
      <c r="C2" s="355" t="s">
        <v>237</v>
      </c>
      <c r="D2" s="356" t="s">
        <v>238</v>
      </c>
      <c r="E2" s="355" t="s">
        <v>239</v>
      </c>
      <c r="F2" s="355" t="s">
        <v>240</v>
      </c>
    </row>
    <row r="3" s="357" customFormat="true" ht="24" hidden="false" customHeight="true" outlineLevel="0" collapsed="false">
      <c r="A3" s="350"/>
      <c r="B3" s="351"/>
      <c r="C3" s="355"/>
      <c r="D3" s="356"/>
      <c r="E3" s="355"/>
      <c r="F3" s="355"/>
    </row>
    <row r="5" customFormat="false" ht="12.75" hidden="false" customHeight="false" outlineLevel="0" collapsed="false">
      <c r="A5" s="358" t="n">
        <v>44256</v>
      </c>
      <c r="B5" s="359" t="n">
        <v>44256</v>
      </c>
      <c r="C5" s="360"/>
      <c r="D5" s="361"/>
      <c r="E5" s="362"/>
      <c r="F5" s="363"/>
    </row>
    <row r="6" customFormat="false" ht="12.75" hidden="false" customHeight="false" outlineLevel="0" collapsed="false">
      <c r="A6" s="364" t="n">
        <v>44257</v>
      </c>
      <c r="B6" s="347" t="n">
        <v>44257</v>
      </c>
      <c r="E6" s="181" t="n">
        <v>200</v>
      </c>
      <c r="F6" s="365"/>
    </row>
    <row r="7" customFormat="false" ht="12.75" hidden="false" customHeight="false" outlineLevel="0" collapsed="false">
      <c r="A7" s="364" t="n">
        <v>44258</v>
      </c>
      <c r="B7" s="347" t="n">
        <v>44258</v>
      </c>
      <c r="E7" s="181" t="n">
        <v>200</v>
      </c>
      <c r="F7" s="365"/>
    </row>
    <row r="8" customFormat="false" ht="12.75" hidden="false" customHeight="false" outlineLevel="0" collapsed="false">
      <c r="A8" s="364" t="n">
        <v>44259</v>
      </c>
      <c r="B8" s="347" t="n">
        <v>44259</v>
      </c>
      <c r="E8" s="181" t="n">
        <v>200</v>
      </c>
      <c r="F8" s="365"/>
    </row>
    <row r="9" customFormat="false" ht="12.75" hidden="false" customHeight="false" outlineLevel="0" collapsed="false">
      <c r="A9" s="364" t="n">
        <v>44260</v>
      </c>
      <c r="B9" s="347" t="n">
        <v>44260</v>
      </c>
      <c r="E9" s="181" t="n">
        <v>200</v>
      </c>
      <c r="F9" s="365"/>
    </row>
    <row r="10" customFormat="false" ht="12.75" hidden="false" customHeight="false" outlineLevel="0" collapsed="false">
      <c r="A10" s="364" t="n">
        <v>44261</v>
      </c>
      <c r="B10" s="347" t="n">
        <v>44261</v>
      </c>
      <c r="E10" s="181" t="n">
        <v>200</v>
      </c>
      <c r="F10" s="365"/>
    </row>
    <row r="11" customFormat="false" ht="12.75" hidden="false" customHeight="false" outlineLevel="0" collapsed="false">
      <c r="A11" s="364" t="n">
        <v>44262</v>
      </c>
      <c r="B11" s="347" t="n">
        <v>44262</v>
      </c>
      <c r="F11" s="365"/>
    </row>
    <row r="12" customFormat="false" ht="12.75" hidden="false" customHeight="false" outlineLevel="0" collapsed="false">
      <c r="A12" s="364" t="n">
        <v>44262</v>
      </c>
      <c r="B12" s="347" t="s">
        <v>241</v>
      </c>
      <c r="F12" s="365"/>
    </row>
    <row r="13" customFormat="false" ht="12.75" hidden="false" customHeight="false" outlineLevel="0" collapsed="false">
      <c r="A13" s="364" t="n">
        <v>44262</v>
      </c>
      <c r="B13" s="347" t="s">
        <v>242</v>
      </c>
      <c r="F13" s="365"/>
    </row>
    <row r="14" customFormat="false" ht="12.75" hidden="false" customHeight="false" outlineLevel="0" collapsed="false">
      <c r="A14" s="366"/>
      <c r="B14" s="367"/>
      <c r="C14" s="368"/>
      <c r="D14" s="369"/>
      <c r="E14" s="370" t="n">
        <f aca="false">SUM(E5:E13)</f>
        <v>1000</v>
      </c>
      <c r="F14" s="371" t="n">
        <f aca="false">SUM(F5:F13)</f>
        <v>0</v>
      </c>
    </row>
    <row r="16" customFormat="false" ht="12.75" hidden="false" customHeight="false" outlineLevel="0" collapsed="false">
      <c r="A16" s="358" t="n">
        <v>44263</v>
      </c>
      <c r="B16" s="359" t="n">
        <v>44263</v>
      </c>
      <c r="C16" s="360"/>
      <c r="D16" s="361"/>
      <c r="E16" s="362"/>
      <c r="F16" s="363"/>
    </row>
    <row r="17" customFormat="false" ht="12.75" hidden="false" customHeight="false" outlineLevel="0" collapsed="false">
      <c r="A17" s="364" t="n">
        <v>44264</v>
      </c>
      <c r="B17" s="347" t="n">
        <v>44264</v>
      </c>
      <c r="E17" s="181" t="n">
        <v>200</v>
      </c>
      <c r="F17" s="365"/>
    </row>
    <row r="18" customFormat="false" ht="12.75" hidden="false" customHeight="false" outlineLevel="0" collapsed="false">
      <c r="A18" s="364" t="n">
        <v>44265</v>
      </c>
      <c r="B18" s="347" t="n">
        <v>44265</v>
      </c>
      <c r="E18" s="181" t="n">
        <v>200</v>
      </c>
      <c r="F18" s="365"/>
    </row>
    <row r="19" customFormat="false" ht="12.75" hidden="false" customHeight="false" outlineLevel="0" collapsed="false">
      <c r="A19" s="364" t="n">
        <v>44266</v>
      </c>
      <c r="B19" s="347" t="n">
        <v>44266</v>
      </c>
      <c r="E19" s="181" t="n">
        <v>200</v>
      </c>
      <c r="F19" s="365"/>
    </row>
    <row r="20" customFormat="false" ht="12.75" hidden="false" customHeight="false" outlineLevel="0" collapsed="false">
      <c r="A20" s="364" t="n">
        <v>44267</v>
      </c>
      <c r="B20" s="347" t="n">
        <v>44267</v>
      </c>
      <c r="E20" s="181" t="n">
        <v>200</v>
      </c>
      <c r="F20" s="365"/>
    </row>
    <row r="21" customFormat="false" ht="12.75" hidden="false" customHeight="false" outlineLevel="0" collapsed="false">
      <c r="A21" s="364" t="n">
        <v>44268</v>
      </c>
      <c r="B21" s="347" t="n">
        <v>44268</v>
      </c>
      <c r="E21" s="181" t="n">
        <v>200</v>
      </c>
      <c r="F21" s="365"/>
    </row>
    <row r="22" customFormat="false" ht="12.75" hidden="false" customHeight="false" outlineLevel="0" collapsed="false">
      <c r="A22" s="364" t="n">
        <v>44269</v>
      </c>
      <c r="B22" s="347" t="n">
        <v>44269</v>
      </c>
      <c r="F22" s="365"/>
    </row>
    <row r="23" customFormat="false" ht="12.75" hidden="false" customHeight="false" outlineLevel="0" collapsed="false">
      <c r="A23" s="364" t="n">
        <v>44269</v>
      </c>
      <c r="B23" s="347" t="s">
        <v>241</v>
      </c>
      <c r="F23" s="365"/>
    </row>
    <row r="24" customFormat="false" ht="12.75" hidden="false" customHeight="false" outlineLevel="0" collapsed="false">
      <c r="A24" s="364" t="n">
        <v>44269</v>
      </c>
      <c r="B24" s="347" t="s">
        <v>242</v>
      </c>
      <c r="F24" s="365"/>
    </row>
    <row r="25" customFormat="false" ht="12.75" hidden="false" customHeight="false" outlineLevel="0" collapsed="false">
      <c r="A25" s="366"/>
      <c r="B25" s="367"/>
      <c r="C25" s="368"/>
      <c r="D25" s="369"/>
      <c r="E25" s="370" t="n">
        <f aca="false">SUM(E16:E24)</f>
        <v>1000</v>
      </c>
      <c r="F25" s="371" t="n">
        <f aca="false">SUM(F16:F24)</f>
        <v>0</v>
      </c>
    </row>
    <row r="27" customFormat="false" ht="12.75" hidden="false" customHeight="false" outlineLevel="0" collapsed="false">
      <c r="A27" s="358" t="n">
        <v>44270</v>
      </c>
      <c r="B27" s="359" t="n">
        <v>44270</v>
      </c>
      <c r="C27" s="360"/>
      <c r="D27" s="361"/>
      <c r="E27" s="362"/>
      <c r="F27" s="363"/>
    </row>
    <row r="28" customFormat="false" ht="12.75" hidden="false" customHeight="false" outlineLevel="0" collapsed="false">
      <c r="A28" s="364" t="n">
        <v>44271</v>
      </c>
      <c r="B28" s="347" t="n">
        <v>44271</v>
      </c>
      <c r="E28" s="181" t="n">
        <v>200</v>
      </c>
      <c r="F28" s="365"/>
    </row>
    <row r="29" customFormat="false" ht="12.75" hidden="false" customHeight="false" outlineLevel="0" collapsed="false">
      <c r="A29" s="364" t="n">
        <v>44272</v>
      </c>
      <c r="B29" s="347" t="n">
        <v>44272</v>
      </c>
      <c r="E29" s="181" t="n">
        <v>200</v>
      </c>
      <c r="F29" s="365"/>
    </row>
    <row r="30" customFormat="false" ht="12.75" hidden="false" customHeight="false" outlineLevel="0" collapsed="false">
      <c r="A30" s="364" t="n">
        <v>44273</v>
      </c>
      <c r="B30" s="347" t="n">
        <v>44273</v>
      </c>
      <c r="E30" s="181" t="n">
        <v>200</v>
      </c>
      <c r="F30" s="365"/>
    </row>
    <row r="31" customFormat="false" ht="12.75" hidden="false" customHeight="false" outlineLevel="0" collapsed="false">
      <c r="A31" s="364" t="n">
        <v>44274</v>
      </c>
      <c r="B31" s="347" t="n">
        <v>44274</v>
      </c>
      <c r="E31" s="181" t="n">
        <v>200</v>
      </c>
      <c r="F31" s="365"/>
    </row>
    <row r="32" customFormat="false" ht="12.75" hidden="false" customHeight="false" outlineLevel="0" collapsed="false">
      <c r="A32" s="364" t="n">
        <v>44275</v>
      </c>
      <c r="B32" s="347" t="n">
        <v>44275</v>
      </c>
      <c r="E32" s="181" t="n">
        <v>200</v>
      </c>
      <c r="F32" s="365"/>
    </row>
    <row r="33" customFormat="false" ht="12.75" hidden="false" customHeight="false" outlineLevel="0" collapsed="false">
      <c r="A33" s="364" t="n">
        <v>44276</v>
      </c>
      <c r="B33" s="347" t="n">
        <v>44276</v>
      </c>
      <c r="F33" s="365"/>
    </row>
    <row r="34" customFormat="false" ht="12.75" hidden="false" customHeight="false" outlineLevel="0" collapsed="false">
      <c r="A34" s="364" t="n">
        <v>44276</v>
      </c>
      <c r="B34" s="347" t="s">
        <v>241</v>
      </c>
      <c r="F34" s="365"/>
    </row>
    <row r="35" customFormat="false" ht="12.75" hidden="false" customHeight="false" outlineLevel="0" collapsed="false">
      <c r="A35" s="364" t="n">
        <v>44276</v>
      </c>
      <c r="B35" s="347" t="s">
        <v>242</v>
      </c>
      <c r="F35" s="365"/>
    </row>
    <row r="36" customFormat="false" ht="12.75" hidden="false" customHeight="false" outlineLevel="0" collapsed="false">
      <c r="A36" s="366"/>
      <c r="B36" s="367"/>
      <c r="C36" s="368"/>
      <c r="D36" s="369"/>
      <c r="E36" s="370" t="n">
        <f aca="false">SUM(E27:E35)</f>
        <v>1000</v>
      </c>
      <c r="F36" s="371" t="n">
        <f aca="false">SUM(F27:F35)</f>
        <v>0</v>
      </c>
    </row>
    <row r="38" customFormat="false" ht="12.75" hidden="false" customHeight="false" outlineLevel="0" collapsed="false">
      <c r="A38" s="358" t="n">
        <v>44277</v>
      </c>
      <c r="B38" s="359" t="n">
        <v>44277</v>
      </c>
      <c r="C38" s="360"/>
      <c r="D38" s="361"/>
      <c r="E38" s="362"/>
      <c r="F38" s="363"/>
    </row>
    <row r="39" customFormat="false" ht="12.75" hidden="false" customHeight="false" outlineLevel="0" collapsed="false">
      <c r="A39" s="364" t="n">
        <v>44278</v>
      </c>
      <c r="B39" s="347" t="n">
        <v>44278</v>
      </c>
      <c r="F39" s="365"/>
    </row>
    <row r="40" customFormat="false" ht="12.75" hidden="false" customHeight="false" outlineLevel="0" collapsed="false">
      <c r="A40" s="364" t="n">
        <v>44279</v>
      </c>
      <c r="B40" s="347" t="n">
        <v>44279</v>
      </c>
      <c r="F40" s="365"/>
    </row>
    <row r="41" customFormat="false" ht="12.75" hidden="false" customHeight="false" outlineLevel="0" collapsed="false">
      <c r="A41" s="364" t="n">
        <v>44280</v>
      </c>
      <c r="B41" s="347" t="n">
        <v>44280</v>
      </c>
      <c r="F41" s="365"/>
    </row>
    <row r="42" customFormat="false" ht="12.75" hidden="false" customHeight="false" outlineLevel="0" collapsed="false">
      <c r="A42" s="364" t="n">
        <v>44281</v>
      </c>
      <c r="B42" s="347" t="n">
        <v>44281</v>
      </c>
      <c r="F42" s="365"/>
    </row>
    <row r="43" customFormat="false" ht="12.75" hidden="false" customHeight="false" outlineLevel="0" collapsed="false">
      <c r="A43" s="364" t="n">
        <v>44282</v>
      </c>
      <c r="B43" s="347" t="n">
        <v>44282</v>
      </c>
      <c r="F43" s="365"/>
    </row>
    <row r="44" customFormat="false" ht="12.75" hidden="false" customHeight="false" outlineLevel="0" collapsed="false">
      <c r="A44" s="364" t="n">
        <v>44283</v>
      </c>
      <c r="B44" s="347" t="n">
        <v>44283</v>
      </c>
      <c r="F44" s="365"/>
    </row>
    <row r="45" customFormat="false" ht="12.75" hidden="false" customHeight="false" outlineLevel="0" collapsed="false">
      <c r="A45" s="364" t="n">
        <v>44283</v>
      </c>
      <c r="B45" s="347" t="s">
        <v>241</v>
      </c>
      <c r="F45" s="365"/>
    </row>
    <row r="46" customFormat="false" ht="12.75" hidden="false" customHeight="false" outlineLevel="0" collapsed="false">
      <c r="A46" s="364" t="n">
        <v>44283</v>
      </c>
      <c r="B46" s="347" t="s">
        <v>242</v>
      </c>
      <c r="F46" s="365"/>
    </row>
    <row r="47" customFormat="false" ht="12.75" hidden="false" customHeight="false" outlineLevel="0" collapsed="false">
      <c r="A47" s="366"/>
      <c r="B47" s="367"/>
      <c r="C47" s="368"/>
      <c r="D47" s="369"/>
      <c r="E47" s="370" t="n">
        <f aca="false">SUM(E38:E46)</f>
        <v>0</v>
      </c>
      <c r="F47" s="371" t="n">
        <f aca="false">SUM(F38:F46)</f>
        <v>0</v>
      </c>
    </row>
    <row r="49" customFormat="false" ht="12.75" hidden="false" customHeight="false" outlineLevel="0" collapsed="false">
      <c r="A49" s="358" t="n">
        <v>44284</v>
      </c>
      <c r="B49" s="359" t="n">
        <v>44284</v>
      </c>
      <c r="C49" s="360"/>
      <c r="D49" s="361"/>
      <c r="E49" s="362"/>
      <c r="F49" s="363"/>
    </row>
    <row r="50" customFormat="false" ht="12.75" hidden="false" customHeight="false" outlineLevel="0" collapsed="false">
      <c r="A50" s="364" t="n">
        <v>44285</v>
      </c>
      <c r="B50" s="347" t="n">
        <v>44285</v>
      </c>
      <c r="F50" s="365"/>
    </row>
    <row r="51" customFormat="false" ht="12.75" hidden="false" customHeight="false" outlineLevel="0" collapsed="false">
      <c r="A51" s="364" t="n">
        <v>44286</v>
      </c>
      <c r="B51" s="347" t="n">
        <v>44286</v>
      </c>
      <c r="F51" s="365"/>
    </row>
    <row r="52" customFormat="false" ht="12.75" hidden="false" customHeight="false" outlineLevel="0" collapsed="false">
      <c r="A52" s="364" t="n">
        <v>44287</v>
      </c>
      <c r="B52" s="347" t="n">
        <v>44287</v>
      </c>
      <c r="F52" s="365"/>
    </row>
    <row r="53" customFormat="false" ht="12.75" hidden="false" customHeight="false" outlineLevel="0" collapsed="false">
      <c r="A53" s="364" t="n">
        <v>44288</v>
      </c>
      <c r="B53" s="347" t="n">
        <v>44288</v>
      </c>
      <c r="F53" s="365"/>
    </row>
    <row r="54" customFormat="false" ht="12.75" hidden="false" customHeight="false" outlineLevel="0" collapsed="false">
      <c r="A54" s="364" t="n">
        <v>44289</v>
      </c>
      <c r="B54" s="347" t="n">
        <v>44289</v>
      </c>
      <c r="F54" s="365"/>
    </row>
    <row r="55" customFormat="false" ht="12.75" hidden="false" customHeight="false" outlineLevel="0" collapsed="false">
      <c r="A55" s="364" t="n">
        <v>44290</v>
      </c>
      <c r="B55" s="347" t="n">
        <v>44290</v>
      </c>
      <c r="F55" s="365"/>
    </row>
    <row r="56" customFormat="false" ht="12.75" hidden="false" customHeight="false" outlineLevel="0" collapsed="false">
      <c r="A56" s="364" t="n">
        <v>44290</v>
      </c>
      <c r="B56" s="347" t="s">
        <v>241</v>
      </c>
      <c r="F56" s="365"/>
    </row>
    <row r="57" customFormat="false" ht="12.75" hidden="false" customHeight="false" outlineLevel="0" collapsed="false">
      <c r="A57" s="364" t="n">
        <v>44290</v>
      </c>
      <c r="B57" s="347" t="s">
        <v>242</v>
      </c>
      <c r="F57" s="365"/>
    </row>
    <row r="58" customFormat="false" ht="12.75" hidden="false" customHeight="false" outlineLevel="0" collapsed="false">
      <c r="A58" s="366"/>
      <c r="B58" s="367"/>
      <c r="C58" s="368"/>
      <c r="D58" s="369"/>
      <c r="E58" s="370" t="n">
        <f aca="false">SUM(E49:E57)</f>
        <v>0</v>
      </c>
      <c r="F58" s="371" t="n">
        <f aca="false">SUM(F49:F57)</f>
        <v>0</v>
      </c>
    </row>
    <row r="60" customFormat="false" ht="12.75" hidden="false" customHeight="false" outlineLevel="0" collapsed="false">
      <c r="A60" s="358" t="n">
        <v>44291</v>
      </c>
      <c r="B60" s="359" t="n">
        <v>44291</v>
      </c>
      <c r="C60" s="360"/>
      <c r="D60" s="361"/>
      <c r="E60" s="362"/>
      <c r="F60" s="363"/>
    </row>
    <row r="61" customFormat="false" ht="12.75" hidden="false" customHeight="false" outlineLevel="0" collapsed="false">
      <c r="A61" s="364" t="n">
        <v>44291</v>
      </c>
      <c r="B61" s="347" t="s">
        <v>241</v>
      </c>
      <c r="F61" s="365"/>
    </row>
    <row r="62" customFormat="false" ht="12.75" hidden="false" customHeight="false" outlineLevel="0" collapsed="false">
      <c r="A62" s="364" t="n">
        <v>44291</v>
      </c>
      <c r="B62" s="347" t="s">
        <v>242</v>
      </c>
      <c r="F62" s="365"/>
    </row>
    <row r="63" customFormat="false" ht="12.75" hidden="false" customHeight="false" outlineLevel="0" collapsed="false">
      <c r="A63" s="366"/>
      <c r="B63" s="367"/>
      <c r="C63" s="368"/>
      <c r="D63" s="369"/>
      <c r="E63" s="370" t="n">
        <f aca="false">SUM(E60:E62)</f>
        <v>0</v>
      </c>
      <c r="F63" s="371" t="n">
        <f aca="false">SUM(F60:F62)</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zeroHeight="false" outlineLevelRow="0" outlineLevelCol="0"/>
  <cols>
    <col collapsed="false" customWidth="true" hidden="false" outlineLevel="0" max="1" min="1" style="372" width="9.66"/>
    <col collapsed="false" customWidth="true" hidden="false" outlineLevel="0" max="2" min="2" style="180" width="23.99"/>
    <col collapsed="false" customWidth="true" hidden="false" outlineLevel="0" max="3" min="3" style="180" width="15.99"/>
    <col collapsed="false" customWidth="false" hidden="false" outlineLevel="0" max="5" min="4" style="373" width="9.15"/>
    <col collapsed="false" customWidth="true" hidden="false" outlineLevel="0" max="6" min="6" style="374" width="12.66"/>
    <col collapsed="false" customWidth="true" hidden="false" outlineLevel="0" max="8" min="7" style="181" width="9.82"/>
    <col collapsed="false" customWidth="true" hidden="false" outlineLevel="0" max="10" min="9" style="181" width="8.33"/>
    <col collapsed="false" customWidth="true" hidden="false" outlineLevel="0" max="12" min="11" style="181" width="7.66"/>
    <col collapsed="false" customWidth="true" hidden="false" outlineLevel="0" max="13" min="13" style="181" width="8.99"/>
    <col collapsed="false" customWidth="false" hidden="false" outlineLevel="0" max="14" min="14" style="181" width="9.15"/>
    <col collapsed="false" customWidth="true" hidden="false" outlineLevel="0" max="15" min="15" style="181" width="9.33"/>
    <col collapsed="false" customWidth="true" hidden="false" outlineLevel="0" max="18" min="16" style="181" width="7.66"/>
    <col collapsed="false" customWidth="true" hidden="false" outlineLevel="0" max="19" min="19" style="181" width="7.82"/>
    <col collapsed="false" customWidth="true" hidden="false" outlineLevel="0" max="20" min="20" style="180" width="12.5"/>
    <col collapsed="false" customWidth="true" hidden="false" outlineLevel="0" max="21" min="21" style="181" width="8.15"/>
    <col collapsed="false" customWidth="false" hidden="false" outlineLevel="0" max="257" min="22" style="180" width="9.15"/>
  </cols>
  <sheetData>
    <row r="1" s="181" customFormat="true" ht="13.5" hidden="false" customHeight="true" outlineLevel="0" collapsed="false">
      <c r="A1" s="390" t="n">
        <f aca="false">E1+SalesMar!$D$1+PurchasesFeb!A1</f>
        <v>0</v>
      </c>
      <c r="B1" s="391" t="s">
        <v>243</v>
      </c>
      <c r="C1" s="392" t="s">
        <v>236</v>
      </c>
      <c r="D1" s="377" t="str">
        <f aca="false">IF((F1-SUM(G1:S1)&lt;&gt;0),(F1-SUM(G1:S1))," ")</f>
        <v> </v>
      </c>
      <c r="E1" s="353" t="n">
        <f aca="false">SUM(E5:E199)</f>
        <v>0</v>
      </c>
      <c r="F1" s="352" t="n">
        <f aca="false">SUM(F5:F199)</f>
        <v>300</v>
      </c>
      <c r="G1" s="352" t="n">
        <f aca="false">SUM(G5:G199)</f>
        <v>300</v>
      </c>
      <c r="H1" s="352" t="n">
        <f aca="false">SUM(H5:H199)</f>
        <v>0</v>
      </c>
      <c r="I1" s="352" t="n">
        <f aca="false">SUM(I5:I199)</f>
        <v>0</v>
      </c>
      <c r="J1" s="352" t="n">
        <f aca="false">SUM(J5:J199)</f>
        <v>0</v>
      </c>
      <c r="K1" s="352" t="n">
        <f aca="false">SUM(K5:K199)</f>
        <v>0</v>
      </c>
      <c r="L1" s="352" t="n">
        <f aca="false">SUM(L5:L199)</f>
        <v>0</v>
      </c>
      <c r="M1" s="352" t="n">
        <f aca="false">SUM(M5:M199)</f>
        <v>0</v>
      </c>
      <c r="N1" s="352" t="n">
        <f aca="false">SUM(N5:N199)</f>
        <v>0</v>
      </c>
      <c r="O1" s="352" t="n">
        <f aca="false">SUM(O5:O199)</f>
        <v>0</v>
      </c>
      <c r="P1" s="352" t="n">
        <f aca="false">SUM(P5:P199)</f>
        <v>0</v>
      </c>
      <c r="Q1" s="352" t="n">
        <f aca="false">SUM(Q5:Q199)</f>
        <v>0</v>
      </c>
      <c r="R1" s="352" t="n">
        <f aca="false">SUM(R5:R199)</f>
        <v>0</v>
      </c>
      <c r="S1" s="393" t="n">
        <f aca="false">SUM(S5:S199)</f>
        <v>0</v>
      </c>
      <c r="T1" s="394" t="n">
        <f aca="false">S1+PurchasesFeb!T1</f>
        <v>8000</v>
      </c>
      <c r="U1" s="393" t="n">
        <f aca="false">SUM(U4:U199)</f>
        <v>0</v>
      </c>
    </row>
    <row r="2" s="181" customFormat="true" ht="13.5" hidden="false" customHeight="true" outlineLevel="0" collapsed="false">
      <c r="A2" s="395" t="n">
        <f aca="false">U1+PurchasesFeb!A2</f>
        <v>0</v>
      </c>
      <c r="B2" s="240" t="s">
        <v>244</v>
      </c>
      <c r="C2" s="380" t="s">
        <v>245</v>
      </c>
      <c r="D2" s="380" t="s">
        <v>246</v>
      </c>
      <c r="E2" s="380" t="s">
        <v>247</v>
      </c>
      <c r="F2" s="207" t="s">
        <v>248</v>
      </c>
      <c r="G2" s="381" t="s">
        <v>249</v>
      </c>
      <c r="H2" s="381"/>
      <c r="I2" s="382" t="n">
        <f aca="false">G1+H1+I1+J1+PurchasesFeb!I2</f>
        <v>4980</v>
      </c>
      <c r="J2" s="382"/>
      <c r="K2" s="207" t="s">
        <v>250</v>
      </c>
      <c r="L2" s="207" t="s">
        <v>251</v>
      </c>
      <c r="M2" s="207" t="s">
        <v>252</v>
      </c>
      <c r="N2" s="207" t="s">
        <v>284</v>
      </c>
      <c r="O2" s="207" t="s">
        <v>254</v>
      </c>
      <c r="P2" s="207" t="s">
        <v>255</v>
      </c>
      <c r="Q2" s="207" t="s">
        <v>256</v>
      </c>
      <c r="R2" s="207" t="s">
        <v>257</v>
      </c>
      <c r="S2" s="383" t="s">
        <v>258</v>
      </c>
      <c r="T2" s="384" t="str">
        <f aca="false">IF(T1&gt;'Fixed Assets'!$D$74,"ENTER VEHICLE CHANGES        on Fixed Asset schedule","Motor Vehicles: make, model, date reg. and reg. Mark")</f>
        <v>ENTER VEHICLE CHANGES        on Fixed Asset schedule</v>
      </c>
      <c r="U2" s="383" t="s">
        <v>116</v>
      </c>
    </row>
    <row r="3" s="386" customFormat="true" ht="45" hidden="false" customHeight="true" outlineLevel="0" collapsed="false">
      <c r="A3" s="385" t="s">
        <v>259</v>
      </c>
      <c r="B3" s="207" t="s">
        <v>260</v>
      </c>
      <c r="C3" s="380"/>
      <c r="D3" s="380"/>
      <c r="E3" s="380"/>
      <c r="F3" s="380"/>
      <c r="G3" s="207" t="s">
        <v>111</v>
      </c>
      <c r="H3" s="207" t="s">
        <v>261</v>
      </c>
      <c r="I3" s="207" t="s">
        <v>113</v>
      </c>
      <c r="J3" s="207" t="s">
        <v>114</v>
      </c>
      <c r="K3" s="207"/>
      <c r="L3" s="207"/>
      <c r="M3" s="207"/>
      <c r="N3" s="207"/>
      <c r="O3" s="207"/>
      <c r="P3" s="207"/>
      <c r="Q3" s="207"/>
      <c r="R3" s="207"/>
      <c r="S3" s="383"/>
      <c r="T3" s="384"/>
      <c r="U3" s="383"/>
    </row>
    <row r="4" s="389" customFormat="true" ht="12.75" hidden="false" customHeight="false" outlineLevel="0" collapsed="false">
      <c r="A4" s="387" t="str">
        <f aca="false">IF((E1&lt;&gt;0),Admin!$B$16," ")</f>
        <v> </v>
      </c>
      <c r="B4" s="207"/>
      <c r="C4" s="207"/>
      <c r="D4" s="207"/>
      <c r="E4" s="207"/>
      <c r="F4" s="207"/>
      <c r="G4" s="376" t="s">
        <v>262</v>
      </c>
      <c r="H4" s="376" t="s">
        <v>263</v>
      </c>
      <c r="I4" s="376" t="s">
        <v>264</v>
      </c>
      <c r="J4" s="376" t="s">
        <v>265</v>
      </c>
      <c r="K4" s="376" t="s">
        <v>266</v>
      </c>
      <c r="L4" s="376" t="s">
        <v>267</v>
      </c>
      <c r="M4" s="376" t="s">
        <v>268</v>
      </c>
      <c r="N4" s="376" t="s">
        <v>269</v>
      </c>
      <c r="O4" s="376" t="s">
        <v>270</v>
      </c>
      <c r="P4" s="376" t="s">
        <v>271</v>
      </c>
      <c r="Q4" s="376" t="s">
        <v>272</v>
      </c>
      <c r="R4" s="376" t="s">
        <v>273</v>
      </c>
      <c r="S4" s="388" t="s">
        <v>274</v>
      </c>
      <c r="T4" s="384"/>
      <c r="U4" s="394" t="n">
        <f aca="false">IF((A1&lt;Admin!$F$22),((A1-PurchasesFeb!A1)*Admin!$G$21),(A1*Admin!$G$21-(A1-Admin!$F$21)*(Admin!$G$21-Admin!$G$22)-PurchasesFeb!A2))</f>
        <v>0</v>
      </c>
    </row>
    <row r="5" s="373" customFormat="true" ht="12.75" hidden="false" customHeight="false" outlineLevel="0" collapsed="false">
      <c r="A5" s="372" t="n">
        <v>46096</v>
      </c>
      <c r="B5" s="373" t="s">
        <v>275</v>
      </c>
      <c r="D5" s="373" t="s">
        <v>276</v>
      </c>
      <c r="F5" s="373" t="n">
        <v>300</v>
      </c>
      <c r="G5" s="181" t="n">
        <f aca="false">IF((D5="d"),F5," ")</f>
        <v>300</v>
      </c>
      <c r="H5" s="181" t="str">
        <f aca="false">IF((D5="h"),F5," ")</f>
        <v> </v>
      </c>
      <c r="I5" s="181" t="str">
        <f aca="false">IF((D5="r"),F5," ")</f>
        <v> </v>
      </c>
      <c r="J5" s="181" t="str">
        <f aca="false">IF((D5="t"),F5," ")</f>
        <v> </v>
      </c>
      <c r="K5" s="181" t="str">
        <f aca="false">IF((D5="e"),F5," ")</f>
        <v> </v>
      </c>
      <c r="L5" s="181" t="str">
        <f aca="false">IF((D5="p"),F5," ")</f>
        <v> </v>
      </c>
      <c r="M5" s="181" t="str">
        <f aca="false">IF((D5="g"),F5," ")</f>
        <v> </v>
      </c>
      <c r="N5" s="181" t="str">
        <f aca="false">IF((D5="a"),F5," ")</f>
        <v> </v>
      </c>
      <c r="O5" s="181" t="str">
        <f aca="false">IF((D5="l"),F5," ")</f>
        <v> </v>
      </c>
      <c r="P5" s="181" t="str">
        <f aca="false">IF((D5="i"),F5," ")</f>
        <v> </v>
      </c>
      <c r="Q5" s="181" t="str">
        <f aca="false">IF((D5="b"),F5," ")</f>
        <v> </v>
      </c>
      <c r="R5" s="181" t="str">
        <f aca="false">IF((D5="o"),F5," ")</f>
        <v> </v>
      </c>
      <c r="S5" s="181" t="str">
        <f aca="false">IF((D5="f"),F5," ")</f>
        <v> </v>
      </c>
    </row>
    <row r="6" customFormat="false" ht="12.75" hidden="false" customHeight="false" outlineLevel="0" collapsed="false">
      <c r="G6" s="181" t="str">
        <f aca="false">IF((D6="d"),F6," ")</f>
        <v> </v>
      </c>
      <c r="H6" s="181" t="str">
        <f aca="false">IF((D6="h"),F6," ")</f>
        <v> </v>
      </c>
      <c r="I6" s="181" t="str">
        <f aca="false">IF((D6="r"),F6," ")</f>
        <v> </v>
      </c>
      <c r="J6" s="181" t="str">
        <f aca="false">IF((D6="t"),F6," ")</f>
        <v> </v>
      </c>
      <c r="K6" s="181" t="str">
        <f aca="false">IF((D6="e"),F6," ")</f>
        <v> </v>
      </c>
      <c r="L6" s="181" t="str">
        <f aca="false">IF((D6="p"),F6," ")</f>
        <v> </v>
      </c>
      <c r="M6" s="181" t="str">
        <f aca="false">IF((D6="g"),F6," ")</f>
        <v> </v>
      </c>
      <c r="N6" s="181" t="str">
        <f aca="false">IF((D6="a"),F6," ")</f>
        <v> </v>
      </c>
      <c r="O6" s="181" t="str">
        <f aca="false">IF((D6="l"),F6," ")</f>
        <v> </v>
      </c>
      <c r="P6" s="181" t="str">
        <f aca="false">IF((D6="i"),F6," ")</f>
        <v> </v>
      </c>
      <c r="Q6" s="181" t="str">
        <f aca="false">IF((D6="b"),F6," ")</f>
        <v> </v>
      </c>
      <c r="R6" s="181" t="str">
        <f aca="false">IF((D6="o"),F6," ")</f>
        <v> </v>
      </c>
      <c r="S6" s="181" t="str">
        <f aca="false">IF((D6="f"),F6," ")</f>
        <v> </v>
      </c>
      <c r="U6" s="373"/>
    </row>
    <row r="7" customFormat="false" ht="12.75" hidden="false" customHeight="false" outlineLevel="0" collapsed="false">
      <c r="G7" s="181" t="str">
        <f aca="false">IF((D7="d"),F7," ")</f>
        <v> </v>
      </c>
      <c r="H7" s="181" t="str">
        <f aca="false">IF((D7="h"),F7," ")</f>
        <v> </v>
      </c>
      <c r="I7" s="181" t="str">
        <f aca="false">IF((D7="r"),F7," ")</f>
        <v> </v>
      </c>
      <c r="J7" s="181" t="str">
        <f aca="false">IF((D7="t"),F7," ")</f>
        <v> </v>
      </c>
      <c r="K7" s="181" t="str">
        <f aca="false">IF((D7="e"),F7," ")</f>
        <v> </v>
      </c>
      <c r="L7" s="181" t="str">
        <f aca="false">IF((D7="p"),F7," ")</f>
        <v> </v>
      </c>
      <c r="M7" s="181" t="str">
        <f aca="false">IF((D7="g"),F7," ")</f>
        <v> </v>
      </c>
      <c r="N7" s="181" t="str">
        <f aca="false">IF((D7="a"),F7," ")</f>
        <v> </v>
      </c>
      <c r="O7" s="181" t="str">
        <f aca="false">IF((D7="l"),F7," ")</f>
        <v> </v>
      </c>
      <c r="P7" s="181" t="str">
        <f aca="false">IF((D7="i"),F7," ")</f>
        <v> </v>
      </c>
      <c r="Q7" s="181" t="str">
        <f aca="false">IF((D7="b"),F7," ")</f>
        <v> </v>
      </c>
      <c r="R7" s="181" t="str">
        <f aca="false">IF((D7="o"),F7," ")</f>
        <v> </v>
      </c>
      <c r="S7" s="181" t="str">
        <f aca="false">IF((D7="f"),F7," ")</f>
        <v> </v>
      </c>
      <c r="U7" s="373"/>
    </row>
    <row r="8" customFormat="false" ht="12.75" hidden="false" customHeight="false" outlineLevel="0" collapsed="false">
      <c r="G8" s="181" t="str">
        <f aca="false">IF((D8="d"),F8," ")</f>
        <v> </v>
      </c>
      <c r="H8" s="181" t="str">
        <f aca="false">IF((D8="h"),F8," ")</f>
        <v> </v>
      </c>
      <c r="I8" s="181" t="str">
        <f aca="false">IF((D8="r"),F8," ")</f>
        <v> </v>
      </c>
      <c r="J8" s="181" t="str">
        <f aca="false">IF((D8="t"),F8," ")</f>
        <v> </v>
      </c>
      <c r="K8" s="181" t="str">
        <f aca="false">IF((D8="e"),F8," ")</f>
        <v> </v>
      </c>
      <c r="L8" s="181" t="str">
        <f aca="false">IF((D8="p"),F8," ")</f>
        <v> </v>
      </c>
      <c r="M8" s="181" t="str">
        <f aca="false">IF((D8="g"),F8," ")</f>
        <v> </v>
      </c>
      <c r="N8" s="181" t="str">
        <f aca="false">IF((D8="a"),F8," ")</f>
        <v> </v>
      </c>
      <c r="O8" s="181" t="str">
        <f aca="false">IF((D8="l"),F8," ")</f>
        <v> </v>
      </c>
      <c r="P8" s="181" t="str">
        <f aca="false">IF((D8="i"),F8," ")</f>
        <v> </v>
      </c>
      <c r="Q8" s="181" t="str">
        <f aca="false">IF((D8="b"),F8," ")</f>
        <v> </v>
      </c>
      <c r="R8" s="181" t="str">
        <f aca="false">IF((D8="o"),F8," ")</f>
        <v> </v>
      </c>
      <c r="S8" s="181" t="str">
        <f aca="false">IF((D8="f"),F8," ")</f>
        <v> </v>
      </c>
      <c r="U8" s="373"/>
    </row>
    <row r="9" customFormat="false" ht="12.75" hidden="false" customHeight="false" outlineLevel="0" collapsed="false">
      <c r="G9" s="181" t="str">
        <f aca="false">IF((D9="d"),F9," ")</f>
        <v> </v>
      </c>
      <c r="H9" s="181" t="str">
        <f aca="false">IF((D9="h"),F9," ")</f>
        <v> </v>
      </c>
      <c r="I9" s="181" t="str">
        <f aca="false">IF((D9="r"),F9," ")</f>
        <v> </v>
      </c>
      <c r="J9" s="181" t="str">
        <f aca="false">IF((D9="t"),F9," ")</f>
        <v> </v>
      </c>
      <c r="K9" s="181" t="str">
        <f aca="false">IF((D9="e"),F9," ")</f>
        <v> </v>
      </c>
      <c r="L9" s="181" t="str">
        <f aca="false">IF((D9="p"),F9," ")</f>
        <v> </v>
      </c>
      <c r="M9" s="181" t="str">
        <f aca="false">IF((D9="g"),F9," ")</f>
        <v> </v>
      </c>
      <c r="N9" s="181" t="str">
        <f aca="false">IF((D9="a"),F9," ")</f>
        <v> </v>
      </c>
      <c r="O9" s="181" t="str">
        <f aca="false">IF((D9="l"),F9," ")</f>
        <v> </v>
      </c>
      <c r="P9" s="181" t="str">
        <f aca="false">IF((D9="i"),F9," ")</f>
        <v> </v>
      </c>
      <c r="Q9" s="181" t="str">
        <f aca="false">IF((D9="b"),F9," ")</f>
        <v> </v>
      </c>
      <c r="R9" s="181" t="str">
        <f aca="false">IF((D9="o"),F9," ")</f>
        <v> </v>
      </c>
      <c r="S9" s="181" t="str">
        <f aca="false">IF((D9="f"),F9," ")</f>
        <v> </v>
      </c>
      <c r="U9" s="373"/>
    </row>
    <row r="10" customFormat="false" ht="12.75" hidden="false" customHeight="false" outlineLevel="0" collapsed="false">
      <c r="G10" s="181" t="str">
        <f aca="false">IF((D10="d"),F10," ")</f>
        <v> </v>
      </c>
      <c r="H10" s="181" t="str">
        <f aca="false">IF((D10="h"),F10," ")</f>
        <v> </v>
      </c>
      <c r="I10" s="181" t="str">
        <f aca="false">IF((D10="r"),F10," ")</f>
        <v> </v>
      </c>
      <c r="J10" s="181" t="str">
        <f aca="false">IF((D10="t"),F10," ")</f>
        <v> </v>
      </c>
      <c r="K10" s="181" t="str">
        <f aca="false">IF((D10="e"),F10," ")</f>
        <v> </v>
      </c>
      <c r="L10" s="181" t="str">
        <f aca="false">IF((D10="p"),F10," ")</f>
        <v> </v>
      </c>
      <c r="M10" s="181" t="str">
        <f aca="false">IF((D10="g"),F10," ")</f>
        <v> </v>
      </c>
      <c r="N10" s="181" t="str">
        <f aca="false">IF((D10="a"),F10," ")</f>
        <v> </v>
      </c>
      <c r="O10" s="181" t="str">
        <f aca="false">IF((D10="l"),F10," ")</f>
        <v> </v>
      </c>
      <c r="P10" s="181" t="str">
        <f aca="false">IF((D10="i"),F10," ")</f>
        <v> </v>
      </c>
      <c r="Q10" s="181" t="str">
        <f aca="false">IF((D10="b"),F10," ")</f>
        <v> </v>
      </c>
      <c r="R10" s="181" t="str">
        <f aca="false">IF((D10="o"),F10," ")</f>
        <v> </v>
      </c>
      <c r="S10" s="181" t="str">
        <f aca="false">IF((D10="f"),F10," ")</f>
        <v> </v>
      </c>
      <c r="U10" s="373"/>
    </row>
    <row r="11" customFormat="false" ht="12.75" hidden="false" customHeight="false" outlineLevel="0" collapsed="false">
      <c r="G11" s="181" t="str">
        <f aca="false">IF((D11="d"),F11," ")</f>
        <v> </v>
      </c>
      <c r="H11" s="181" t="str">
        <f aca="false">IF((D11="h"),F11," ")</f>
        <v> </v>
      </c>
      <c r="I11" s="181" t="str">
        <f aca="false">IF((D11="r"),F11," ")</f>
        <v> </v>
      </c>
      <c r="J11" s="181" t="str">
        <f aca="false">IF((D11="t"),F11," ")</f>
        <v> </v>
      </c>
      <c r="K11" s="181" t="str">
        <f aca="false">IF((D11="e"),F11," ")</f>
        <v> </v>
      </c>
      <c r="L11" s="181" t="str">
        <f aca="false">IF((D11="p"),F11," ")</f>
        <v> </v>
      </c>
      <c r="M11" s="181" t="str">
        <f aca="false">IF((D11="g"),F11," ")</f>
        <v> </v>
      </c>
      <c r="N11" s="181" t="str">
        <f aca="false">IF((D11="a"),F11," ")</f>
        <v> </v>
      </c>
      <c r="O11" s="181" t="str">
        <f aca="false">IF((D11="l"),F11," ")</f>
        <v> </v>
      </c>
      <c r="P11" s="181" t="str">
        <f aca="false">IF((D11="i"),F11," ")</f>
        <v> </v>
      </c>
      <c r="Q11" s="181" t="str">
        <f aca="false">IF((D11="b"),F11," ")</f>
        <v> </v>
      </c>
      <c r="R11" s="181" t="str">
        <f aca="false">IF((D11="o"),F11," ")</f>
        <v> </v>
      </c>
      <c r="S11" s="181" t="str">
        <f aca="false">IF((D11="f"),F11," ")</f>
        <v> </v>
      </c>
      <c r="U11" s="373"/>
    </row>
    <row r="12" customFormat="false" ht="12.75" hidden="false" customHeight="false" outlineLevel="0" collapsed="false">
      <c r="G12" s="181" t="str">
        <f aca="false">IF((D12="d"),F12," ")</f>
        <v> </v>
      </c>
      <c r="H12" s="181" t="str">
        <f aca="false">IF((D12="h"),F12," ")</f>
        <v> </v>
      </c>
      <c r="I12" s="181" t="str">
        <f aca="false">IF((D12="r"),F12," ")</f>
        <v> </v>
      </c>
      <c r="J12" s="181" t="str">
        <f aca="false">IF((D12="t"),F12," ")</f>
        <v> </v>
      </c>
      <c r="K12" s="181" t="str">
        <f aca="false">IF((D12="e"),F12," ")</f>
        <v> </v>
      </c>
      <c r="L12" s="181" t="str">
        <f aca="false">IF((D12="p"),F12," ")</f>
        <v> </v>
      </c>
      <c r="M12" s="181" t="str">
        <f aca="false">IF((D12="g"),F12," ")</f>
        <v> </v>
      </c>
      <c r="N12" s="181" t="str">
        <f aca="false">IF((D12="a"),F12," ")</f>
        <v> </v>
      </c>
      <c r="O12" s="181" t="str">
        <f aca="false">IF((D12="l"),F12," ")</f>
        <v> </v>
      </c>
      <c r="P12" s="181" t="str">
        <f aca="false">IF((D12="i"),F12," ")</f>
        <v> </v>
      </c>
      <c r="Q12" s="181" t="str">
        <f aca="false">IF((D12="b"),F12," ")</f>
        <v> </v>
      </c>
      <c r="R12" s="181" t="str">
        <f aca="false">IF((D12="o"),F12," ")</f>
        <v> </v>
      </c>
      <c r="S12" s="181" t="str">
        <f aca="false">IF((D12="f"),F12," ")</f>
        <v> </v>
      </c>
      <c r="U12" s="373"/>
    </row>
    <row r="13" customFormat="false" ht="12.75" hidden="false" customHeight="false" outlineLevel="0" collapsed="false">
      <c r="G13" s="181" t="str">
        <f aca="false">IF((D13="d"),F13," ")</f>
        <v> </v>
      </c>
      <c r="H13" s="181" t="str">
        <f aca="false">IF((D13="h"),F13," ")</f>
        <v> </v>
      </c>
      <c r="I13" s="181" t="str">
        <f aca="false">IF((D13="r"),F13," ")</f>
        <v> </v>
      </c>
      <c r="J13" s="181" t="str">
        <f aca="false">IF((D13="t"),F13," ")</f>
        <v> </v>
      </c>
      <c r="K13" s="181" t="str">
        <f aca="false">IF((D13="e"),F13," ")</f>
        <v> </v>
      </c>
      <c r="L13" s="181" t="str">
        <f aca="false">IF((D13="p"),F13," ")</f>
        <v> </v>
      </c>
      <c r="M13" s="181" t="str">
        <f aca="false">IF((D13="g"),F13," ")</f>
        <v> </v>
      </c>
      <c r="N13" s="181" t="str">
        <f aca="false">IF((D13="a"),F13," ")</f>
        <v> </v>
      </c>
      <c r="O13" s="181" t="str">
        <f aca="false">IF((D13="l"),F13," ")</f>
        <v> </v>
      </c>
      <c r="P13" s="181" t="str">
        <f aca="false">IF((D13="i"),F13," ")</f>
        <v> </v>
      </c>
      <c r="Q13" s="181" t="str">
        <f aca="false">IF((D13="b"),F13," ")</f>
        <v> </v>
      </c>
      <c r="R13" s="181" t="str">
        <f aca="false">IF((D13="o"),F13," ")</f>
        <v> </v>
      </c>
      <c r="S13" s="181" t="str">
        <f aca="false">IF((D13="f"),F13," ")</f>
        <v> </v>
      </c>
      <c r="U13" s="373"/>
    </row>
    <row r="14" customFormat="false" ht="12.75" hidden="false" customHeight="false" outlineLevel="0" collapsed="false">
      <c r="G14" s="181" t="str">
        <f aca="false">IF((D14="d"),F14," ")</f>
        <v> </v>
      </c>
      <c r="H14" s="181" t="str">
        <f aca="false">IF((D14="h"),F14," ")</f>
        <v> </v>
      </c>
      <c r="I14" s="181" t="str">
        <f aca="false">IF((D14="r"),F14," ")</f>
        <v> </v>
      </c>
      <c r="J14" s="181" t="str">
        <f aca="false">IF((D14="t"),F14," ")</f>
        <v> </v>
      </c>
      <c r="K14" s="181" t="str">
        <f aca="false">IF((D14="e"),F14," ")</f>
        <v> </v>
      </c>
      <c r="L14" s="181" t="str">
        <f aca="false">IF((D14="p"),F14," ")</f>
        <v> </v>
      </c>
      <c r="M14" s="181" t="str">
        <f aca="false">IF((D14="g"),F14," ")</f>
        <v> </v>
      </c>
      <c r="N14" s="181" t="str">
        <f aca="false">IF((D14="a"),F14," ")</f>
        <v> </v>
      </c>
      <c r="O14" s="181" t="str">
        <f aca="false">IF((D14="l"),F14," ")</f>
        <v> </v>
      </c>
      <c r="P14" s="181" t="str">
        <f aca="false">IF((D14="i"),F14," ")</f>
        <v> </v>
      </c>
      <c r="Q14" s="181" t="str">
        <f aca="false">IF((D14="b"),F14," ")</f>
        <v> </v>
      </c>
      <c r="R14" s="181" t="str">
        <f aca="false">IF((D14="o"),F14," ")</f>
        <v> </v>
      </c>
      <c r="S14" s="181" t="str">
        <f aca="false">IF((D14="f"),F14," ")</f>
        <v> </v>
      </c>
      <c r="U14" s="373"/>
    </row>
    <row r="15" customFormat="false" ht="12.75" hidden="false" customHeight="false" outlineLevel="0" collapsed="false">
      <c r="G15" s="181" t="str">
        <f aca="false">IF((D15="d"),F15," ")</f>
        <v> </v>
      </c>
      <c r="H15" s="181" t="str">
        <f aca="false">IF((D15="h"),F15," ")</f>
        <v> </v>
      </c>
      <c r="I15" s="181" t="str">
        <f aca="false">IF((D15="r"),F15," ")</f>
        <v> </v>
      </c>
      <c r="J15" s="181" t="str">
        <f aca="false">IF((D15="t"),F15," ")</f>
        <v> </v>
      </c>
      <c r="K15" s="181" t="str">
        <f aca="false">IF((D15="e"),F15," ")</f>
        <v> </v>
      </c>
      <c r="L15" s="181" t="str">
        <f aca="false">IF((D15="p"),F15," ")</f>
        <v> </v>
      </c>
      <c r="M15" s="181" t="str">
        <f aca="false">IF((D15="g"),F15," ")</f>
        <v> </v>
      </c>
      <c r="N15" s="181" t="str">
        <f aca="false">IF((D15="a"),F15," ")</f>
        <v> </v>
      </c>
      <c r="O15" s="181" t="str">
        <f aca="false">IF((D15="l"),F15," ")</f>
        <v> </v>
      </c>
      <c r="P15" s="181" t="str">
        <f aca="false">IF((D15="i"),F15," ")</f>
        <v> </v>
      </c>
      <c r="Q15" s="181" t="str">
        <f aca="false">IF((D15="b"),F15," ")</f>
        <v> </v>
      </c>
      <c r="R15" s="181" t="str">
        <f aca="false">IF((D15="o"),F15," ")</f>
        <v> </v>
      </c>
      <c r="S15" s="181" t="str">
        <f aca="false">IF((D15="f"),F15," ")</f>
        <v> </v>
      </c>
      <c r="U15" s="373"/>
    </row>
    <row r="16" customFormat="false" ht="12.75" hidden="false" customHeight="false" outlineLevel="0" collapsed="false">
      <c r="G16" s="181" t="str">
        <f aca="false">IF((D16="d"),F16," ")</f>
        <v> </v>
      </c>
      <c r="H16" s="181" t="str">
        <f aca="false">IF((D16="h"),F16," ")</f>
        <v> </v>
      </c>
      <c r="I16" s="181" t="str">
        <f aca="false">IF((D16="r"),F16," ")</f>
        <v> </v>
      </c>
      <c r="J16" s="181" t="str">
        <f aca="false">IF((D16="t"),F16," ")</f>
        <v> </v>
      </c>
      <c r="K16" s="181" t="str">
        <f aca="false">IF((D16="e"),F16," ")</f>
        <v> </v>
      </c>
      <c r="L16" s="181" t="str">
        <f aca="false">IF((D16="p"),F16," ")</f>
        <v> </v>
      </c>
      <c r="M16" s="181" t="str">
        <f aca="false">IF((D16="g"),F16," ")</f>
        <v> </v>
      </c>
      <c r="N16" s="181" t="str">
        <f aca="false">IF((D16="a"),F16," ")</f>
        <v> </v>
      </c>
      <c r="O16" s="181" t="str">
        <f aca="false">IF((D16="l"),F16," ")</f>
        <v> </v>
      </c>
      <c r="P16" s="181" t="str">
        <f aca="false">IF((D16="i"),F16," ")</f>
        <v> </v>
      </c>
      <c r="Q16" s="181" t="str">
        <f aca="false">IF((D16="b"),F16," ")</f>
        <v> </v>
      </c>
      <c r="R16" s="181" t="str">
        <f aca="false">IF((D16="o"),F16," ")</f>
        <v> </v>
      </c>
      <c r="S16" s="181" t="str">
        <f aca="false">IF((D16="f"),F16," ")</f>
        <v> </v>
      </c>
      <c r="U16" s="373"/>
    </row>
    <row r="17" customFormat="false" ht="12.75" hidden="false" customHeight="false" outlineLevel="0" collapsed="false">
      <c r="G17" s="181" t="str">
        <f aca="false">IF((D17="d"),F17," ")</f>
        <v> </v>
      </c>
      <c r="H17" s="181" t="str">
        <f aca="false">IF((D17="h"),F17," ")</f>
        <v> </v>
      </c>
      <c r="I17" s="181" t="str">
        <f aca="false">IF((D17="r"),F17," ")</f>
        <v> </v>
      </c>
      <c r="J17" s="181" t="str">
        <f aca="false">IF((D17="t"),F17," ")</f>
        <v> </v>
      </c>
      <c r="K17" s="181" t="str">
        <f aca="false">IF((D17="e"),F17," ")</f>
        <v> </v>
      </c>
      <c r="L17" s="181" t="str">
        <f aca="false">IF((D17="p"),F17," ")</f>
        <v> </v>
      </c>
      <c r="M17" s="181" t="str">
        <f aca="false">IF((D17="g"),F17," ")</f>
        <v> </v>
      </c>
      <c r="N17" s="181" t="str">
        <f aca="false">IF((D17="a"),F17," ")</f>
        <v> </v>
      </c>
      <c r="O17" s="181" t="str">
        <f aca="false">IF((D17="l"),F17," ")</f>
        <v> </v>
      </c>
      <c r="P17" s="181" t="str">
        <f aca="false">IF((D17="i"),F17," ")</f>
        <v> </v>
      </c>
      <c r="Q17" s="181" t="str">
        <f aca="false">IF((D17="b"),F17," ")</f>
        <v> </v>
      </c>
      <c r="R17" s="181" t="str">
        <f aca="false">IF((D17="o"),F17," ")</f>
        <v> </v>
      </c>
      <c r="S17" s="181" t="str">
        <f aca="false">IF((D17="f"),F17," ")</f>
        <v> </v>
      </c>
      <c r="U17" s="373"/>
    </row>
    <row r="18" customFormat="false" ht="12.75" hidden="false" customHeight="false" outlineLevel="0" collapsed="false">
      <c r="G18" s="181" t="str">
        <f aca="false">IF((D18="d"),F18," ")</f>
        <v> </v>
      </c>
      <c r="H18" s="181" t="str">
        <f aca="false">IF((D18="h"),F18," ")</f>
        <v> </v>
      </c>
      <c r="I18" s="181" t="str">
        <f aca="false">IF((D18="r"),F18," ")</f>
        <v> </v>
      </c>
      <c r="J18" s="181" t="str">
        <f aca="false">IF((D18="t"),F18," ")</f>
        <v> </v>
      </c>
      <c r="K18" s="181" t="str">
        <f aca="false">IF((D18="e"),F18," ")</f>
        <v> </v>
      </c>
      <c r="L18" s="181" t="str">
        <f aca="false">IF((D18="p"),F18," ")</f>
        <v> </v>
      </c>
      <c r="M18" s="181" t="str">
        <f aca="false">IF((D18="g"),F18," ")</f>
        <v> </v>
      </c>
      <c r="N18" s="181" t="str">
        <f aca="false">IF((D18="a"),F18," ")</f>
        <v> </v>
      </c>
      <c r="O18" s="181" t="str">
        <f aca="false">IF((D18="l"),F18," ")</f>
        <v> </v>
      </c>
      <c r="P18" s="181" t="str">
        <f aca="false">IF((D18="i"),F18," ")</f>
        <v> </v>
      </c>
      <c r="Q18" s="181" t="str">
        <f aca="false">IF((D18="b"),F18," ")</f>
        <v> </v>
      </c>
      <c r="R18" s="181" t="str">
        <f aca="false">IF((D18="o"),F18," ")</f>
        <v> </v>
      </c>
      <c r="S18" s="181" t="str">
        <f aca="false">IF((D18="f"),F18," ")</f>
        <v> </v>
      </c>
      <c r="U18" s="373"/>
    </row>
    <row r="19" customFormat="false" ht="12.75" hidden="false" customHeight="false" outlineLevel="0" collapsed="false">
      <c r="G19" s="181" t="str">
        <f aca="false">IF((D19="d"),F19," ")</f>
        <v> </v>
      </c>
      <c r="H19" s="181" t="str">
        <f aca="false">IF((D19="h"),F19," ")</f>
        <v> </v>
      </c>
      <c r="I19" s="181" t="str">
        <f aca="false">IF((D19="r"),F19," ")</f>
        <v> </v>
      </c>
      <c r="J19" s="181" t="str">
        <f aca="false">IF((D19="t"),F19," ")</f>
        <v> </v>
      </c>
      <c r="K19" s="181" t="str">
        <f aca="false">IF((D19="e"),F19," ")</f>
        <v> </v>
      </c>
      <c r="L19" s="181" t="str">
        <f aca="false">IF((D19="p"),F19," ")</f>
        <v> </v>
      </c>
      <c r="M19" s="181" t="str">
        <f aca="false">IF((D19="g"),F19," ")</f>
        <v> </v>
      </c>
      <c r="N19" s="181" t="str">
        <f aca="false">IF((D19="a"),F19," ")</f>
        <v> </v>
      </c>
      <c r="O19" s="181" t="str">
        <f aca="false">IF((D19="l"),F19," ")</f>
        <v> </v>
      </c>
      <c r="P19" s="181" t="str">
        <f aca="false">IF((D19="i"),F19," ")</f>
        <v> </v>
      </c>
      <c r="Q19" s="181" t="str">
        <f aca="false">IF((D19="b"),F19," ")</f>
        <v> </v>
      </c>
      <c r="R19" s="181" t="str">
        <f aca="false">IF((D19="o"),F19," ")</f>
        <v> </v>
      </c>
      <c r="S19" s="181" t="str">
        <f aca="false">IF((D19="f"),F19," ")</f>
        <v> </v>
      </c>
      <c r="U19" s="373"/>
    </row>
    <row r="20" customFormat="false" ht="12.75" hidden="false" customHeight="false" outlineLevel="0" collapsed="false">
      <c r="G20" s="181" t="str">
        <f aca="false">IF((D20="d"),F20," ")</f>
        <v> </v>
      </c>
      <c r="H20" s="181" t="str">
        <f aca="false">IF((D20="h"),F20," ")</f>
        <v> </v>
      </c>
      <c r="I20" s="181" t="str">
        <f aca="false">IF((D20="r"),F20," ")</f>
        <v> </v>
      </c>
      <c r="J20" s="181" t="str">
        <f aca="false">IF((D20="t"),F20," ")</f>
        <v> </v>
      </c>
      <c r="K20" s="181" t="str">
        <f aca="false">IF((D20="e"),F20," ")</f>
        <v> </v>
      </c>
      <c r="L20" s="181" t="str">
        <f aca="false">IF((D20="p"),F20," ")</f>
        <v> </v>
      </c>
      <c r="M20" s="181" t="str">
        <f aca="false">IF((D20="g"),F20," ")</f>
        <v> </v>
      </c>
      <c r="N20" s="181" t="str">
        <f aca="false">IF((D20="a"),F20," ")</f>
        <v> </v>
      </c>
      <c r="O20" s="181" t="str">
        <f aca="false">IF((D20="l"),F20," ")</f>
        <v> </v>
      </c>
      <c r="P20" s="181" t="str">
        <f aca="false">IF((D20="i"),F20," ")</f>
        <v> </v>
      </c>
      <c r="Q20" s="181" t="str">
        <f aca="false">IF((D20="b"),F20," ")</f>
        <v> </v>
      </c>
      <c r="R20" s="181" t="str">
        <f aca="false">IF((D20="o"),F20," ")</f>
        <v> </v>
      </c>
      <c r="S20" s="181" t="str">
        <f aca="false">IF((D20="f"),F20," ")</f>
        <v> </v>
      </c>
      <c r="U20" s="373"/>
    </row>
    <row r="21" customFormat="false" ht="12.75" hidden="false" customHeight="false" outlineLevel="0" collapsed="false">
      <c r="G21" s="181" t="str">
        <f aca="false">IF((D21="d"),F21," ")</f>
        <v> </v>
      </c>
      <c r="H21" s="181" t="str">
        <f aca="false">IF((D21="h"),F21," ")</f>
        <v> </v>
      </c>
      <c r="I21" s="181" t="str">
        <f aca="false">IF((D21="r"),F21," ")</f>
        <v> </v>
      </c>
      <c r="J21" s="181" t="str">
        <f aca="false">IF((D21="t"),F21," ")</f>
        <v> </v>
      </c>
      <c r="K21" s="181" t="str">
        <f aca="false">IF((D21="e"),F21," ")</f>
        <v> </v>
      </c>
      <c r="L21" s="181" t="str">
        <f aca="false">IF((D21="p"),F21," ")</f>
        <v> </v>
      </c>
      <c r="M21" s="181" t="str">
        <f aca="false">IF((D21="g"),F21," ")</f>
        <v> </v>
      </c>
      <c r="N21" s="181" t="str">
        <f aca="false">IF((D21="a"),F21," ")</f>
        <v> </v>
      </c>
      <c r="O21" s="181" t="str">
        <f aca="false">IF((D21="l"),F21," ")</f>
        <v> </v>
      </c>
      <c r="P21" s="181" t="str">
        <f aca="false">IF((D21="i"),F21," ")</f>
        <v> </v>
      </c>
      <c r="Q21" s="181" t="str">
        <f aca="false">IF((D21="b"),F21," ")</f>
        <v> </v>
      </c>
      <c r="R21" s="181" t="str">
        <f aca="false">IF((D21="o"),F21," ")</f>
        <v> </v>
      </c>
      <c r="S21" s="181" t="str">
        <f aca="false">IF((D21="f"),F21," ")</f>
        <v> </v>
      </c>
      <c r="U21" s="373"/>
    </row>
    <row r="22" customFormat="false" ht="12.75" hidden="false" customHeight="false" outlineLevel="0" collapsed="false">
      <c r="G22" s="181" t="str">
        <f aca="false">IF((D22="d"),F22," ")</f>
        <v> </v>
      </c>
      <c r="H22" s="181" t="str">
        <f aca="false">IF((D22="h"),F22," ")</f>
        <v> </v>
      </c>
      <c r="I22" s="181" t="str">
        <f aca="false">IF((D22="r"),F22," ")</f>
        <v> </v>
      </c>
      <c r="J22" s="181" t="str">
        <f aca="false">IF((D22="t"),F22," ")</f>
        <v> </v>
      </c>
      <c r="K22" s="181" t="str">
        <f aca="false">IF((D22="e"),F22," ")</f>
        <v> </v>
      </c>
      <c r="L22" s="181" t="str">
        <f aca="false">IF((D22="p"),F22," ")</f>
        <v> </v>
      </c>
      <c r="M22" s="181" t="str">
        <f aca="false">IF((D22="g"),F22," ")</f>
        <v> </v>
      </c>
      <c r="N22" s="181" t="str">
        <f aca="false">IF((D22="a"),F22," ")</f>
        <v> </v>
      </c>
      <c r="O22" s="181" t="str">
        <f aca="false">IF((D22="l"),F22," ")</f>
        <v> </v>
      </c>
      <c r="P22" s="181" t="str">
        <f aca="false">IF((D22="i"),F22," ")</f>
        <v> </v>
      </c>
      <c r="Q22" s="181" t="str">
        <f aca="false">IF((D22="b"),F22," ")</f>
        <v> </v>
      </c>
      <c r="R22" s="181" t="str">
        <f aca="false">IF((D22="o"),F22," ")</f>
        <v> </v>
      </c>
      <c r="S22" s="181" t="str">
        <f aca="false">IF((D22="f"),F22," ")</f>
        <v> </v>
      </c>
      <c r="U22" s="373"/>
    </row>
    <row r="23" customFormat="false" ht="12.75" hidden="false" customHeight="false" outlineLevel="0" collapsed="false">
      <c r="G23" s="181" t="str">
        <f aca="false">IF((D23="d"),F23," ")</f>
        <v> </v>
      </c>
      <c r="H23" s="181" t="str">
        <f aca="false">IF((D23="h"),F23," ")</f>
        <v> </v>
      </c>
      <c r="I23" s="181" t="str">
        <f aca="false">IF((D23="r"),F23," ")</f>
        <v> </v>
      </c>
      <c r="J23" s="181" t="str">
        <f aca="false">IF((D23="t"),F23," ")</f>
        <v> </v>
      </c>
      <c r="K23" s="181" t="str">
        <f aca="false">IF((D23="e"),F23," ")</f>
        <v> </v>
      </c>
      <c r="L23" s="181" t="str">
        <f aca="false">IF((D23="p"),F23," ")</f>
        <v> </v>
      </c>
      <c r="M23" s="181" t="str">
        <f aca="false">IF((D23="g"),F23," ")</f>
        <v> </v>
      </c>
      <c r="N23" s="181" t="str">
        <f aca="false">IF((D23="a"),F23," ")</f>
        <v> </v>
      </c>
      <c r="O23" s="181" t="str">
        <f aca="false">IF((D23="l"),F23," ")</f>
        <v> </v>
      </c>
      <c r="P23" s="181" t="str">
        <f aca="false">IF((D23="i"),F23," ")</f>
        <v> </v>
      </c>
      <c r="Q23" s="181" t="str">
        <f aca="false">IF((D23="b"),F23," ")</f>
        <v> </v>
      </c>
      <c r="R23" s="181" t="str">
        <f aca="false">IF((D23="o"),F23," ")</f>
        <v> </v>
      </c>
      <c r="S23" s="181" t="str">
        <f aca="false">IF((D23="f"),F23," ")</f>
        <v> </v>
      </c>
      <c r="U23" s="373"/>
    </row>
    <row r="24" customFormat="false" ht="12.75" hidden="false" customHeight="false" outlineLevel="0" collapsed="false">
      <c r="G24" s="181" t="str">
        <f aca="false">IF((D24="d"),F24," ")</f>
        <v> </v>
      </c>
      <c r="H24" s="181" t="str">
        <f aca="false">IF((D24="h"),F24," ")</f>
        <v> </v>
      </c>
      <c r="I24" s="181" t="str">
        <f aca="false">IF((D24="r"),F24," ")</f>
        <v> </v>
      </c>
      <c r="J24" s="181" t="str">
        <f aca="false">IF((D24="t"),F24," ")</f>
        <v> </v>
      </c>
      <c r="K24" s="181" t="str">
        <f aca="false">IF((D24="e"),F24," ")</f>
        <v> </v>
      </c>
      <c r="L24" s="181" t="str">
        <f aca="false">IF((D24="p"),F24," ")</f>
        <v> </v>
      </c>
      <c r="M24" s="181" t="str">
        <f aca="false">IF((D24="g"),F24," ")</f>
        <v> </v>
      </c>
      <c r="N24" s="181" t="str">
        <f aca="false">IF((D24="a"),F24," ")</f>
        <v> </v>
      </c>
      <c r="O24" s="181" t="str">
        <f aca="false">IF((D24="l"),F24," ")</f>
        <v> </v>
      </c>
      <c r="P24" s="181" t="str">
        <f aca="false">IF((D24="i"),F24," ")</f>
        <v> </v>
      </c>
      <c r="Q24" s="181" t="str">
        <f aca="false">IF((D24="b"),F24," ")</f>
        <v> </v>
      </c>
      <c r="R24" s="181" t="str">
        <f aca="false">IF((D24="o"),F24," ")</f>
        <v> </v>
      </c>
      <c r="S24" s="181" t="str">
        <f aca="false">IF((D24="f"),F24," ")</f>
        <v> </v>
      </c>
      <c r="U24" s="373"/>
    </row>
    <row r="25" customFormat="false" ht="12.75" hidden="false" customHeight="false" outlineLevel="0" collapsed="false">
      <c r="G25" s="181" t="str">
        <f aca="false">IF((D25="d"),F25," ")</f>
        <v> </v>
      </c>
      <c r="H25" s="181" t="str">
        <f aca="false">IF((D25="h"),F25," ")</f>
        <v> </v>
      </c>
      <c r="I25" s="181" t="str">
        <f aca="false">IF((D25="r"),F25," ")</f>
        <v> </v>
      </c>
      <c r="J25" s="181" t="str">
        <f aca="false">IF((D25="t"),F25," ")</f>
        <v> </v>
      </c>
      <c r="K25" s="181" t="str">
        <f aca="false">IF((D25="e"),F25," ")</f>
        <v> </v>
      </c>
      <c r="L25" s="181" t="str">
        <f aca="false">IF((D25="p"),F25," ")</f>
        <v> </v>
      </c>
      <c r="M25" s="181" t="str">
        <f aca="false">IF((D25="g"),F25," ")</f>
        <v> </v>
      </c>
      <c r="N25" s="181" t="str">
        <f aca="false">IF((D25="a"),F25," ")</f>
        <v> </v>
      </c>
      <c r="O25" s="181" t="str">
        <f aca="false">IF((D25="l"),F25," ")</f>
        <v> </v>
      </c>
      <c r="P25" s="181" t="str">
        <f aca="false">IF((D25="i"),F25," ")</f>
        <v> </v>
      </c>
      <c r="Q25" s="181" t="str">
        <f aca="false">IF((D25="b"),F25," ")</f>
        <v> </v>
      </c>
      <c r="R25" s="181" t="str">
        <f aca="false">IF((D25="o"),F25," ")</f>
        <v> </v>
      </c>
      <c r="S25" s="181" t="str">
        <f aca="false">IF((D25="f"),F25," ")</f>
        <v> </v>
      </c>
      <c r="U25" s="373"/>
    </row>
    <row r="26" customFormat="false" ht="12.75" hidden="false" customHeight="false" outlineLevel="0" collapsed="false">
      <c r="G26" s="181" t="str">
        <f aca="false">IF((D26="d"),F26," ")</f>
        <v> </v>
      </c>
      <c r="H26" s="181" t="str">
        <f aca="false">IF((D26="h"),F26," ")</f>
        <v> </v>
      </c>
      <c r="I26" s="181" t="str">
        <f aca="false">IF((D26="r"),F26," ")</f>
        <v> </v>
      </c>
      <c r="J26" s="181" t="str">
        <f aca="false">IF((D26="t"),F26," ")</f>
        <v> </v>
      </c>
      <c r="K26" s="181" t="str">
        <f aca="false">IF((D26="e"),F26," ")</f>
        <v> </v>
      </c>
      <c r="L26" s="181" t="str">
        <f aca="false">IF((D26="p"),F26," ")</f>
        <v> </v>
      </c>
      <c r="M26" s="181" t="str">
        <f aca="false">IF((D26="g"),F26," ")</f>
        <v> </v>
      </c>
      <c r="N26" s="181" t="str">
        <f aca="false">IF((D26="a"),F26," ")</f>
        <v> </v>
      </c>
      <c r="O26" s="181" t="str">
        <f aca="false">IF((D26="l"),F26," ")</f>
        <v> </v>
      </c>
      <c r="P26" s="181" t="str">
        <f aca="false">IF((D26="i"),F26," ")</f>
        <v> </v>
      </c>
      <c r="Q26" s="181" t="str">
        <f aca="false">IF((D26="b"),F26," ")</f>
        <v> </v>
      </c>
      <c r="R26" s="181" t="str">
        <f aca="false">IF((D26="o"),F26," ")</f>
        <v> </v>
      </c>
      <c r="S26" s="181" t="str">
        <f aca="false">IF((D26="f"),F26," ")</f>
        <v> </v>
      </c>
      <c r="U26" s="373"/>
    </row>
    <row r="27" customFormat="false" ht="12.75" hidden="false" customHeight="false" outlineLevel="0" collapsed="false">
      <c r="G27" s="181" t="str">
        <f aca="false">IF((D27="d"),F27," ")</f>
        <v> </v>
      </c>
      <c r="H27" s="181" t="str">
        <f aca="false">IF((D27="h"),F27," ")</f>
        <v> </v>
      </c>
      <c r="I27" s="181" t="str">
        <f aca="false">IF((D27="r"),F27," ")</f>
        <v> </v>
      </c>
      <c r="J27" s="181" t="str">
        <f aca="false">IF((D27="t"),F27," ")</f>
        <v> </v>
      </c>
      <c r="K27" s="181" t="str">
        <f aca="false">IF((D27="e"),F27," ")</f>
        <v> </v>
      </c>
      <c r="L27" s="181" t="str">
        <f aca="false">IF((D27="p"),F27," ")</f>
        <v> </v>
      </c>
      <c r="M27" s="181" t="str">
        <f aca="false">IF((D27="g"),F27," ")</f>
        <v> </v>
      </c>
      <c r="N27" s="181" t="str">
        <f aca="false">IF((D27="a"),F27," ")</f>
        <v> </v>
      </c>
      <c r="O27" s="181" t="str">
        <f aca="false">IF((D27="l"),F27," ")</f>
        <v> </v>
      </c>
      <c r="P27" s="181" t="str">
        <f aca="false">IF((D27="i"),F27," ")</f>
        <v> </v>
      </c>
      <c r="Q27" s="181" t="str">
        <f aca="false">IF((D27="b"),F27," ")</f>
        <v> </v>
      </c>
      <c r="R27" s="181" t="str">
        <f aca="false">IF((D27="o"),F27," ")</f>
        <v> </v>
      </c>
      <c r="S27" s="181" t="str">
        <f aca="false">IF((D27="f"),F27," ")</f>
        <v> </v>
      </c>
      <c r="U27" s="373"/>
    </row>
    <row r="28" customFormat="false" ht="12.75" hidden="false" customHeight="false" outlineLevel="0" collapsed="false">
      <c r="G28" s="181" t="str">
        <f aca="false">IF((D28="d"),F28," ")</f>
        <v> </v>
      </c>
      <c r="H28" s="181" t="str">
        <f aca="false">IF((D28="h"),F28," ")</f>
        <v> </v>
      </c>
      <c r="I28" s="181" t="str">
        <f aca="false">IF((D28="r"),F28," ")</f>
        <v> </v>
      </c>
      <c r="J28" s="181" t="str">
        <f aca="false">IF((D28="t"),F28," ")</f>
        <v> </v>
      </c>
      <c r="K28" s="181" t="str">
        <f aca="false">IF((D28="e"),F28," ")</f>
        <v> </v>
      </c>
      <c r="L28" s="181" t="str">
        <f aca="false">IF((D28="p"),F28," ")</f>
        <v> </v>
      </c>
      <c r="M28" s="181" t="str">
        <f aca="false">IF((D28="g"),F28," ")</f>
        <v> </v>
      </c>
      <c r="N28" s="181" t="str">
        <f aca="false">IF((D28="a"),F28," ")</f>
        <v> </v>
      </c>
      <c r="O28" s="181" t="str">
        <f aca="false">IF((D28="l"),F28," ")</f>
        <v> </v>
      </c>
      <c r="P28" s="181" t="str">
        <f aca="false">IF((D28="i"),F28," ")</f>
        <v> </v>
      </c>
      <c r="Q28" s="181" t="str">
        <f aca="false">IF((D28="b"),F28," ")</f>
        <v> </v>
      </c>
      <c r="R28" s="181" t="str">
        <f aca="false">IF((D28="o"),F28," ")</f>
        <v> </v>
      </c>
      <c r="S28" s="181" t="str">
        <f aca="false">IF((D28="f"),F28," ")</f>
        <v> </v>
      </c>
      <c r="U28" s="373"/>
    </row>
    <row r="29" customFormat="false" ht="12.75" hidden="false" customHeight="false" outlineLevel="0" collapsed="false">
      <c r="G29" s="181" t="str">
        <f aca="false">IF((D29="d"),F29," ")</f>
        <v> </v>
      </c>
      <c r="H29" s="181" t="str">
        <f aca="false">IF((D29="h"),F29," ")</f>
        <v> </v>
      </c>
      <c r="I29" s="181" t="str">
        <f aca="false">IF((D29="r"),F29," ")</f>
        <v> </v>
      </c>
      <c r="J29" s="181" t="str">
        <f aca="false">IF((D29="t"),F29," ")</f>
        <v> </v>
      </c>
      <c r="K29" s="181" t="str">
        <f aca="false">IF((D29="e"),F29," ")</f>
        <v> </v>
      </c>
      <c r="L29" s="181" t="str">
        <f aca="false">IF((D29="p"),F29," ")</f>
        <v> </v>
      </c>
      <c r="M29" s="181" t="str">
        <f aca="false">IF((D29="g"),F29," ")</f>
        <v> </v>
      </c>
      <c r="N29" s="181" t="str">
        <f aca="false">IF((D29="a"),F29," ")</f>
        <v> </v>
      </c>
      <c r="O29" s="181" t="str">
        <f aca="false">IF((D29="l"),F29," ")</f>
        <v> </v>
      </c>
      <c r="P29" s="181" t="str">
        <f aca="false">IF((D29="i"),F29," ")</f>
        <v> </v>
      </c>
      <c r="Q29" s="181" t="str">
        <f aca="false">IF((D29="b"),F29," ")</f>
        <v> </v>
      </c>
      <c r="R29" s="181" t="str">
        <f aca="false">IF((D29="o"),F29," ")</f>
        <v> </v>
      </c>
      <c r="S29" s="181" t="str">
        <f aca="false">IF((D29="f"),F29," ")</f>
        <v> </v>
      </c>
      <c r="U29" s="373"/>
    </row>
    <row r="30" customFormat="false" ht="12.75" hidden="false" customHeight="false" outlineLevel="0" collapsed="false">
      <c r="G30" s="181" t="str">
        <f aca="false">IF((D30="d"),F30," ")</f>
        <v> </v>
      </c>
      <c r="H30" s="181" t="str">
        <f aca="false">IF((D30="h"),F30," ")</f>
        <v> </v>
      </c>
      <c r="I30" s="181" t="str">
        <f aca="false">IF((D30="r"),F30," ")</f>
        <v> </v>
      </c>
      <c r="J30" s="181" t="str">
        <f aca="false">IF((D30="t"),F30," ")</f>
        <v> </v>
      </c>
      <c r="K30" s="181" t="str">
        <f aca="false">IF((D30="e"),F30," ")</f>
        <v> </v>
      </c>
      <c r="L30" s="181" t="str">
        <f aca="false">IF((D30="p"),F30," ")</f>
        <v> </v>
      </c>
      <c r="M30" s="181" t="str">
        <f aca="false">IF((D30="g"),F30," ")</f>
        <v> </v>
      </c>
      <c r="N30" s="181" t="str">
        <f aca="false">IF((D30="a"),F30," ")</f>
        <v> </v>
      </c>
      <c r="O30" s="181" t="str">
        <f aca="false">IF((D30="l"),F30," ")</f>
        <v> </v>
      </c>
      <c r="P30" s="181" t="str">
        <f aca="false">IF((D30="i"),F30," ")</f>
        <v> </v>
      </c>
      <c r="Q30" s="181" t="str">
        <f aca="false">IF((D30="b"),F30," ")</f>
        <v> </v>
      </c>
      <c r="R30" s="181" t="str">
        <f aca="false">IF((D30="o"),F30," ")</f>
        <v> </v>
      </c>
      <c r="S30" s="181" t="str">
        <f aca="false">IF((D30="f"),F30," ")</f>
        <v> </v>
      </c>
      <c r="U30" s="373"/>
    </row>
    <row r="31" customFormat="false" ht="12.75" hidden="false" customHeight="false" outlineLevel="0" collapsed="false">
      <c r="G31" s="181" t="str">
        <f aca="false">IF((D31="d"),F31," ")</f>
        <v> </v>
      </c>
      <c r="H31" s="181" t="str">
        <f aca="false">IF((D31="h"),F31," ")</f>
        <v> </v>
      </c>
      <c r="I31" s="181" t="str">
        <f aca="false">IF((D31="r"),F31," ")</f>
        <v> </v>
      </c>
      <c r="J31" s="181" t="str">
        <f aca="false">IF((D31="t"),F31," ")</f>
        <v> </v>
      </c>
      <c r="K31" s="181" t="str">
        <f aca="false">IF((D31="e"),F31," ")</f>
        <v> </v>
      </c>
      <c r="L31" s="181" t="str">
        <f aca="false">IF((D31="p"),F31," ")</f>
        <v> </v>
      </c>
      <c r="M31" s="181" t="str">
        <f aca="false">IF((D31="g"),F31," ")</f>
        <v> </v>
      </c>
      <c r="N31" s="181" t="str">
        <f aca="false">IF((D31="a"),F31," ")</f>
        <v> </v>
      </c>
      <c r="O31" s="181" t="str">
        <f aca="false">IF((D31="l"),F31," ")</f>
        <v> </v>
      </c>
      <c r="P31" s="181" t="str">
        <f aca="false">IF((D31="i"),F31," ")</f>
        <v> </v>
      </c>
      <c r="Q31" s="181" t="str">
        <f aca="false">IF((D31="b"),F31," ")</f>
        <v> </v>
      </c>
      <c r="R31" s="181" t="str">
        <f aca="false">IF((D31="o"),F31," ")</f>
        <v> </v>
      </c>
      <c r="S31" s="181" t="str">
        <f aca="false">IF((D31="f"),F31," ")</f>
        <v> </v>
      </c>
      <c r="U31" s="373"/>
    </row>
    <row r="32" customFormat="false" ht="12.75" hidden="false" customHeight="false" outlineLevel="0" collapsed="false">
      <c r="G32" s="181" t="str">
        <f aca="false">IF((D32="d"),F32," ")</f>
        <v> </v>
      </c>
      <c r="H32" s="181" t="str">
        <f aca="false">IF((D32="h"),F32," ")</f>
        <v> </v>
      </c>
      <c r="I32" s="181" t="str">
        <f aca="false">IF((D32="r"),F32," ")</f>
        <v> </v>
      </c>
      <c r="J32" s="181" t="str">
        <f aca="false">IF((D32="t"),F32," ")</f>
        <v> </v>
      </c>
      <c r="K32" s="181" t="str">
        <f aca="false">IF((D32="e"),F32," ")</f>
        <v> </v>
      </c>
      <c r="L32" s="181" t="str">
        <f aca="false">IF((D32="p"),F32," ")</f>
        <v> </v>
      </c>
      <c r="M32" s="181" t="str">
        <f aca="false">IF((D32="g"),F32," ")</f>
        <v> </v>
      </c>
      <c r="N32" s="181" t="str">
        <f aca="false">IF((D32="a"),F32," ")</f>
        <v> </v>
      </c>
      <c r="O32" s="181" t="str">
        <f aca="false">IF((D32="l"),F32," ")</f>
        <v> </v>
      </c>
      <c r="P32" s="181" t="str">
        <f aca="false">IF((D32="i"),F32," ")</f>
        <v> </v>
      </c>
      <c r="Q32" s="181" t="str">
        <f aca="false">IF((D32="b"),F32," ")</f>
        <v> </v>
      </c>
      <c r="R32" s="181" t="str">
        <f aca="false">IF((D32="o"),F32," ")</f>
        <v> </v>
      </c>
      <c r="S32" s="181" t="str">
        <f aca="false">IF((D32="f"),F32," ")</f>
        <v> </v>
      </c>
      <c r="U32" s="373"/>
    </row>
    <row r="33" customFormat="false" ht="12.75" hidden="false" customHeight="false" outlineLevel="0" collapsed="false">
      <c r="G33" s="181" t="str">
        <f aca="false">IF((D33="d"),F33," ")</f>
        <v> </v>
      </c>
      <c r="H33" s="181" t="str">
        <f aca="false">IF((D33="h"),F33," ")</f>
        <v> </v>
      </c>
      <c r="I33" s="181" t="str">
        <f aca="false">IF((D33="r"),F33," ")</f>
        <v> </v>
      </c>
      <c r="J33" s="181" t="str">
        <f aca="false">IF((D33="t"),F33," ")</f>
        <v> </v>
      </c>
      <c r="K33" s="181" t="str">
        <f aca="false">IF((D33="e"),F33," ")</f>
        <v> </v>
      </c>
      <c r="L33" s="181" t="str">
        <f aca="false">IF((D33="p"),F33," ")</f>
        <v> </v>
      </c>
      <c r="M33" s="181" t="str">
        <f aca="false">IF((D33="g"),F33," ")</f>
        <v> </v>
      </c>
      <c r="N33" s="181" t="str">
        <f aca="false">IF((D33="a"),F33," ")</f>
        <v> </v>
      </c>
      <c r="O33" s="181" t="str">
        <f aca="false">IF((D33="l"),F33," ")</f>
        <v> </v>
      </c>
      <c r="P33" s="181" t="str">
        <f aca="false">IF((D33="i"),F33," ")</f>
        <v> </v>
      </c>
      <c r="Q33" s="181" t="str">
        <f aca="false">IF((D33="b"),F33," ")</f>
        <v> </v>
      </c>
      <c r="R33" s="181" t="str">
        <f aca="false">IF((D33="o"),F33," ")</f>
        <v> </v>
      </c>
      <c r="S33" s="181" t="str">
        <f aca="false">IF((D33="f"),F33," ")</f>
        <v> </v>
      </c>
      <c r="U33" s="373"/>
    </row>
    <row r="34" customFormat="false" ht="12.75" hidden="false" customHeight="false" outlineLevel="0" collapsed="false">
      <c r="G34" s="181" t="str">
        <f aca="false">IF((D34="d"),F34," ")</f>
        <v> </v>
      </c>
      <c r="H34" s="181" t="str">
        <f aca="false">IF((D34="h"),F34," ")</f>
        <v> </v>
      </c>
      <c r="I34" s="181" t="str">
        <f aca="false">IF((D34="r"),F34," ")</f>
        <v> </v>
      </c>
      <c r="J34" s="181" t="str">
        <f aca="false">IF((D34="t"),F34," ")</f>
        <v> </v>
      </c>
      <c r="K34" s="181" t="str">
        <f aca="false">IF((D34="e"),F34," ")</f>
        <v> </v>
      </c>
      <c r="L34" s="181" t="str">
        <f aca="false">IF((D34="p"),F34," ")</f>
        <v> </v>
      </c>
      <c r="M34" s="181" t="str">
        <f aca="false">IF((D34="g"),F34," ")</f>
        <v> </v>
      </c>
      <c r="N34" s="181" t="str">
        <f aca="false">IF((D34="a"),F34," ")</f>
        <v> </v>
      </c>
      <c r="O34" s="181" t="str">
        <f aca="false">IF((D34="l"),F34," ")</f>
        <v> </v>
      </c>
      <c r="P34" s="181" t="str">
        <f aca="false">IF((D34="i"),F34," ")</f>
        <v> </v>
      </c>
      <c r="Q34" s="181" t="str">
        <f aca="false">IF((D34="b"),F34," ")</f>
        <v> </v>
      </c>
      <c r="R34" s="181" t="str">
        <f aca="false">IF((D34="o"),F34," ")</f>
        <v> </v>
      </c>
      <c r="S34" s="181" t="str">
        <f aca="false">IF((D34="f"),F34," ")</f>
        <v> </v>
      </c>
      <c r="U34" s="373"/>
    </row>
    <row r="35" customFormat="false" ht="12.75" hidden="false" customHeight="false" outlineLevel="0" collapsed="false">
      <c r="G35" s="181" t="str">
        <f aca="false">IF((D35="d"),F35," ")</f>
        <v> </v>
      </c>
      <c r="H35" s="181" t="str">
        <f aca="false">IF((D35="h"),F35," ")</f>
        <v> </v>
      </c>
      <c r="I35" s="181" t="str">
        <f aca="false">IF((D35="r"),F35," ")</f>
        <v> </v>
      </c>
      <c r="J35" s="181" t="str">
        <f aca="false">IF((D35="t"),F35," ")</f>
        <v> </v>
      </c>
      <c r="K35" s="181" t="str">
        <f aca="false">IF((D35="e"),F35," ")</f>
        <v> </v>
      </c>
      <c r="L35" s="181" t="str">
        <f aca="false">IF((D35="p"),F35," ")</f>
        <v> </v>
      </c>
      <c r="M35" s="181" t="str">
        <f aca="false">IF((D35="g"),F35," ")</f>
        <v> </v>
      </c>
      <c r="N35" s="181" t="str">
        <f aca="false">IF((D35="a"),F35," ")</f>
        <v> </v>
      </c>
      <c r="O35" s="181" t="str">
        <f aca="false">IF((D35="l"),F35," ")</f>
        <v> </v>
      </c>
      <c r="P35" s="181" t="str">
        <f aca="false">IF((D35="i"),F35," ")</f>
        <v> </v>
      </c>
      <c r="Q35" s="181" t="str">
        <f aca="false">IF((D35="b"),F35," ")</f>
        <v> </v>
      </c>
      <c r="R35" s="181" t="str">
        <f aca="false">IF((D35="o"),F35," ")</f>
        <v> </v>
      </c>
      <c r="S35" s="181" t="str">
        <f aca="false">IF((D35="f"),F35," ")</f>
        <v> </v>
      </c>
      <c r="U35" s="373"/>
    </row>
    <row r="36" customFormat="false" ht="12.75" hidden="false" customHeight="false" outlineLevel="0" collapsed="false">
      <c r="G36" s="181" t="str">
        <f aca="false">IF((D36="d"),F36," ")</f>
        <v> </v>
      </c>
      <c r="H36" s="181" t="str">
        <f aca="false">IF((D36="h"),F36," ")</f>
        <v> </v>
      </c>
      <c r="I36" s="181" t="str">
        <f aca="false">IF((D36="r"),F36," ")</f>
        <v> </v>
      </c>
      <c r="J36" s="181" t="str">
        <f aca="false">IF((D36="t"),F36," ")</f>
        <v> </v>
      </c>
      <c r="K36" s="181" t="str">
        <f aca="false">IF((D36="e"),F36," ")</f>
        <v> </v>
      </c>
      <c r="L36" s="181" t="str">
        <f aca="false">IF((D36="p"),F36," ")</f>
        <v> </v>
      </c>
      <c r="M36" s="181" t="str">
        <f aca="false">IF((D36="g"),F36," ")</f>
        <v> </v>
      </c>
      <c r="N36" s="181" t="str">
        <f aca="false">IF((D36="a"),F36," ")</f>
        <v> </v>
      </c>
      <c r="O36" s="181" t="str">
        <f aca="false">IF((D36="l"),F36," ")</f>
        <v> </v>
      </c>
      <c r="P36" s="181" t="str">
        <f aca="false">IF((D36="i"),F36," ")</f>
        <v> </v>
      </c>
      <c r="Q36" s="181" t="str">
        <f aca="false">IF((D36="b"),F36," ")</f>
        <v> </v>
      </c>
      <c r="R36" s="181" t="str">
        <f aca="false">IF((D36="o"),F36," ")</f>
        <v> </v>
      </c>
      <c r="S36" s="181" t="str">
        <f aca="false">IF((D36="f"),F36," ")</f>
        <v> </v>
      </c>
      <c r="U36" s="373"/>
    </row>
    <row r="37" customFormat="false" ht="12.75" hidden="false" customHeight="false" outlineLevel="0" collapsed="false">
      <c r="D37" s="373" t="str">
        <f aca="false">IF((F37&lt;&gt;0),"Enter Letter"," ")</f>
        <v> </v>
      </c>
      <c r="G37" s="181" t="str">
        <f aca="false">IF((D37="d"),F37," ")</f>
        <v> </v>
      </c>
      <c r="H37" s="181" t="str">
        <f aca="false">IF((D37="h"),F37," ")</f>
        <v> </v>
      </c>
      <c r="I37" s="181" t="str">
        <f aca="false">IF((D37="r"),F37," ")</f>
        <v> </v>
      </c>
      <c r="J37" s="181" t="str">
        <f aca="false">IF((D37="t"),F37," ")</f>
        <v> </v>
      </c>
      <c r="K37" s="181" t="str">
        <f aca="false">IF((D37="e"),F37," ")</f>
        <v> </v>
      </c>
      <c r="L37" s="181" t="str">
        <f aca="false">IF((D37="p"),F37," ")</f>
        <v> </v>
      </c>
      <c r="M37" s="181" t="str">
        <f aca="false">IF((D37="g"),F37," ")</f>
        <v> </v>
      </c>
      <c r="N37" s="181" t="str">
        <f aca="false">IF((D37="a"),F37," ")</f>
        <v> </v>
      </c>
      <c r="O37" s="181" t="str">
        <f aca="false">IF((D37="l"),F37," ")</f>
        <v> </v>
      </c>
      <c r="P37" s="181" t="str">
        <f aca="false">IF((D37="i"),F37," ")</f>
        <v> </v>
      </c>
      <c r="Q37" s="181" t="str">
        <f aca="false">IF((D37="b"),F37," ")</f>
        <v> </v>
      </c>
      <c r="R37" s="181" t="str">
        <f aca="false">IF((D37="o"),F37," ")</f>
        <v> </v>
      </c>
      <c r="S37" s="181" t="str">
        <f aca="false">IF((D37="f"),F37," ")</f>
        <v> </v>
      </c>
      <c r="U37" s="373"/>
    </row>
    <row r="38" customFormat="false" ht="12.75" hidden="false" customHeight="false" outlineLevel="0" collapsed="false">
      <c r="D38" s="373" t="str">
        <f aca="false">IF((F38&lt;&gt;0),"Enter Letter"," ")</f>
        <v> </v>
      </c>
      <c r="G38" s="181" t="str">
        <f aca="false">IF((D38="d"),F38," ")</f>
        <v> </v>
      </c>
      <c r="H38" s="181" t="str">
        <f aca="false">IF((D38="h"),F38," ")</f>
        <v> </v>
      </c>
      <c r="I38" s="181" t="str">
        <f aca="false">IF((D38="r"),F38," ")</f>
        <v> </v>
      </c>
      <c r="J38" s="181" t="str">
        <f aca="false">IF((D38="t"),F38," ")</f>
        <v> </v>
      </c>
      <c r="K38" s="181" t="str">
        <f aca="false">IF((D38="e"),F38," ")</f>
        <v> </v>
      </c>
      <c r="L38" s="181" t="str">
        <f aca="false">IF((D38="p"),F38," ")</f>
        <v> </v>
      </c>
      <c r="M38" s="181" t="str">
        <f aca="false">IF((D38="g"),F38," ")</f>
        <v> </v>
      </c>
      <c r="N38" s="181" t="str">
        <f aca="false">IF((D38="a"),F38," ")</f>
        <v> </v>
      </c>
      <c r="O38" s="181" t="str">
        <f aca="false">IF((D38="l"),F38," ")</f>
        <v> </v>
      </c>
      <c r="P38" s="181" t="str">
        <f aca="false">IF((D38="i"),F38," ")</f>
        <v> </v>
      </c>
      <c r="Q38" s="181" t="str">
        <f aca="false">IF((D38="b"),F38," ")</f>
        <v> </v>
      </c>
      <c r="R38" s="181" t="str">
        <f aca="false">IF((D38="o"),F38," ")</f>
        <v> </v>
      </c>
      <c r="S38" s="181" t="str">
        <f aca="false">IF((D38="f"),F38," ")</f>
        <v> </v>
      </c>
      <c r="U38" s="373"/>
    </row>
    <row r="39" customFormat="false" ht="12.75" hidden="false" customHeight="false" outlineLevel="0" collapsed="false">
      <c r="D39" s="373" t="str">
        <f aca="false">IF((F39&lt;&gt;0),"Enter Letter"," ")</f>
        <v> </v>
      </c>
      <c r="G39" s="181" t="str">
        <f aca="false">IF((D39="d"),F39," ")</f>
        <v> </v>
      </c>
      <c r="H39" s="181" t="str">
        <f aca="false">IF((D39="h"),F39," ")</f>
        <v> </v>
      </c>
      <c r="I39" s="181" t="str">
        <f aca="false">IF((D39="r"),F39," ")</f>
        <v> </v>
      </c>
      <c r="J39" s="181" t="str">
        <f aca="false">IF((D39="t"),F39," ")</f>
        <v> </v>
      </c>
      <c r="K39" s="181" t="str">
        <f aca="false">IF((D39="e"),F39," ")</f>
        <v> </v>
      </c>
      <c r="L39" s="181" t="str">
        <f aca="false">IF((D39="p"),F39," ")</f>
        <v> </v>
      </c>
      <c r="M39" s="181" t="str">
        <f aca="false">IF((D39="g"),F39," ")</f>
        <v> </v>
      </c>
      <c r="N39" s="181" t="str">
        <f aca="false">IF((D39="a"),F39," ")</f>
        <v> </v>
      </c>
      <c r="O39" s="181" t="str">
        <f aca="false">IF((D39="l"),F39," ")</f>
        <v> </v>
      </c>
      <c r="P39" s="181" t="str">
        <f aca="false">IF((D39="i"),F39," ")</f>
        <v> </v>
      </c>
      <c r="Q39" s="181" t="str">
        <f aca="false">IF((D39="b"),F39," ")</f>
        <v> </v>
      </c>
      <c r="R39" s="181" t="str">
        <f aca="false">IF((D39="o"),F39," ")</f>
        <v> </v>
      </c>
      <c r="S39" s="181" t="str">
        <f aca="false">IF((D39="f"),F39," ")</f>
        <v> </v>
      </c>
      <c r="U39" s="373"/>
    </row>
    <row r="40" customFormat="false" ht="12.75" hidden="false" customHeight="false" outlineLevel="0" collapsed="false">
      <c r="D40" s="373" t="str">
        <f aca="false">IF((F40&lt;&gt;0),"Enter Letter"," ")</f>
        <v> </v>
      </c>
      <c r="G40" s="181" t="str">
        <f aca="false">IF((D40="d"),F40," ")</f>
        <v> </v>
      </c>
      <c r="H40" s="181" t="str">
        <f aca="false">IF((D40="h"),F40," ")</f>
        <v> </v>
      </c>
      <c r="I40" s="181" t="str">
        <f aca="false">IF((D40="r"),F40," ")</f>
        <v> </v>
      </c>
      <c r="J40" s="181" t="str">
        <f aca="false">IF((D40="t"),F40," ")</f>
        <v> </v>
      </c>
      <c r="K40" s="181" t="str">
        <f aca="false">IF((D40="e"),F40," ")</f>
        <v> </v>
      </c>
      <c r="L40" s="181" t="str">
        <f aca="false">IF((D40="p"),F40," ")</f>
        <v> </v>
      </c>
      <c r="M40" s="181" t="str">
        <f aca="false">IF((D40="g"),F40," ")</f>
        <v> </v>
      </c>
      <c r="N40" s="181" t="str">
        <f aca="false">IF((D40="a"),F40," ")</f>
        <v> </v>
      </c>
      <c r="O40" s="181" t="str">
        <f aca="false">IF((D40="l"),F40," ")</f>
        <v> </v>
      </c>
      <c r="P40" s="181" t="str">
        <f aca="false">IF((D40="i"),F40," ")</f>
        <v> </v>
      </c>
      <c r="Q40" s="181" t="str">
        <f aca="false">IF((D40="b"),F40," ")</f>
        <v> </v>
      </c>
      <c r="R40" s="181" t="str">
        <f aca="false">IF((D40="o"),F40," ")</f>
        <v> </v>
      </c>
      <c r="S40" s="181" t="str">
        <f aca="false">IF((D40="f"),F40," ")</f>
        <v> </v>
      </c>
      <c r="U40" s="373"/>
    </row>
    <row r="41" customFormat="false" ht="12.75" hidden="false" customHeight="false" outlineLevel="0" collapsed="false">
      <c r="D41" s="373" t="str">
        <f aca="false">IF((F41&lt;&gt;0),"Enter Letter"," ")</f>
        <v> </v>
      </c>
      <c r="G41" s="181" t="str">
        <f aca="false">IF((D41="d"),F41," ")</f>
        <v> </v>
      </c>
      <c r="H41" s="181" t="str">
        <f aca="false">IF((D41="h"),F41," ")</f>
        <v> </v>
      </c>
      <c r="I41" s="181" t="str">
        <f aca="false">IF((D41="r"),F41," ")</f>
        <v> </v>
      </c>
      <c r="J41" s="181" t="str">
        <f aca="false">IF((D41="t"),F41," ")</f>
        <v> </v>
      </c>
      <c r="K41" s="181" t="str">
        <f aca="false">IF((D41="e"),F41," ")</f>
        <v> </v>
      </c>
      <c r="L41" s="181" t="str">
        <f aca="false">IF((D41="p"),F41," ")</f>
        <v> </v>
      </c>
      <c r="M41" s="181" t="str">
        <f aca="false">IF((D41="g"),F41," ")</f>
        <v> </v>
      </c>
      <c r="N41" s="181" t="str">
        <f aca="false">IF((D41="a"),F41," ")</f>
        <v> </v>
      </c>
      <c r="O41" s="181" t="str">
        <f aca="false">IF((D41="l"),F41," ")</f>
        <v> </v>
      </c>
      <c r="P41" s="181" t="str">
        <f aca="false">IF((D41="i"),F41," ")</f>
        <v> </v>
      </c>
      <c r="Q41" s="181" t="str">
        <f aca="false">IF((D41="b"),F41," ")</f>
        <v> </v>
      </c>
      <c r="R41" s="181" t="str">
        <f aca="false">IF((D41="o"),F41," ")</f>
        <v> </v>
      </c>
      <c r="S41" s="181" t="str">
        <f aca="false">IF((D41="f"),F41," ")</f>
        <v> </v>
      </c>
      <c r="U41" s="373"/>
    </row>
    <row r="42" customFormat="false" ht="12.75" hidden="false" customHeight="false" outlineLevel="0" collapsed="false">
      <c r="D42" s="373" t="str">
        <f aca="false">IF((F42&lt;&gt;0),"Enter Letter"," ")</f>
        <v> </v>
      </c>
      <c r="G42" s="181" t="str">
        <f aca="false">IF((D42="d"),F42," ")</f>
        <v> </v>
      </c>
      <c r="H42" s="181" t="str">
        <f aca="false">IF((D42="h"),F42," ")</f>
        <v> </v>
      </c>
      <c r="I42" s="181" t="str">
        <f aca="false">IF((D42="r"),F42," ")</f>
        <v> </v>
      </c>
      <c r="J42" s="181" t="str">
        <f aca="false">IF((D42="t"),F42," ")</f>
        <v> </v>
      </c>
      <c r="K42" s="181" t="str">
        <f aca="false">IF((D42="e"),F42," ")</f>
        <v> </v>
      </c>
      <c r="L42" s="181" t="str">
        <f aca="false">IF((D42="p"),F42," ")</f>
        <v> </v>
      </c>
      <c r="M42" s="181" t="str">
        <f aca="false">IF((D42="g"),F42," ")</f>
        <v> </v>
      </c>
      <c r="N42" s="181" t="str">
        <f aca="false">IF((D42="a"),F42," ")</f>
        <v> </v>
      </c>
      <c r="O42" s="181" t="str">
        <f aca="false">IF((D42="l"),F42," ")</f>
        <v> </v>
      </c>
      <c r="P42" s="181" t="str">
        <f aca="false">IF((D42="i"),F42," ")</f>
        <v> </v>
      </c>
      <c r="Q42" s="181" t="str">
        <f aca="false">IF((D42="b"),F42," ")</f>
        <v> </v>
      </c>
      <c r="R42" s="181" t="str">
        <f aca="false">IF((D42="o"),F42," ")</f>
        <v> </v>
      </c>
      <c r="S42" s="181" t="str">
        <f aca="false">IF((D42="f"),F42," ")</f>
        <v> </v>
      </c>
      <c r="U42" s="373"/>
    </row>
    <row r="43" customFormat="false" ht="12.75" hidden="false" customHeight="false" outlineLevel="0" collapsed="false">
      <c r="D43" s="373" t="str">
        <f aca="false">IF((F43&lt;&gt;0),"Enter Letter"," ")</f>
        <v> </v>
      </c>
      <c r="G43" s="181" t="str">
        <f aca="false">IF((D43="d"),F43," ")</f>
        <v> </v>
      </c>
      <c r="H43" s="181" t="str">
        <f aca="false">IF((D43="h"),F43," ")</f>
        <v> </v>
      </c>
      <c r="I43" s="181" t="str">
        <f aca="false">IF((D43="r"),F43," ")</f>
        <v> </v>
      </c>
      <c r="J43" s="181" t="str">
        <f aca="false">IF((D43="t"),F43," ")</f>
        <v> </v>
      </c>
      <c r="K43" s="181" t="str">
        <f aca="false">IF((D43="e"),F43," ")</f>
        <v> </v>
      </c>
      <c r="L43" s="181" t="str">
        <f aca="false">IF((D43="p"),F43," ")</f>
        <v> </v>
      </c>
      <c r="M43" s="181" t="str">
        <f aca="false">IF((D43="g"),F43," ")</f>
        <v> </v>
      </c>
      <c r="N43" s="181" t="str">
        <f aca="false">IF((D43="a"),F43," ")</f>
        <v> </v>
      </c>
      <c r="O43" s="181" t="str">
        <f aca="false">IF((D43="l"),F43," ")</f>
        <v> </v>
      </c>
      <c r="P43" s="181" t="str">
        <f aca="false">IF((D43="i"),F43," ")</f>
        <v> </v>
      </c>
      <c r="Q43" s="181" t="str">
        <f aca="false">IF((D43="b"),F43," ")</f>
        <v> </v>
      </c>
      <c r="R43" s="181" t="str">
        <f aca="false">IF((D43="o"),F43," ")</f>
        <v> </v>
      </c>
      <c r="S43" s="181" t="str">
        <f aca="false">IF((D43="f"),F43," ")</f>
        <v> </v>
      </c>
      <c r="U43" s="373"/>
    </row>
    <row r="44" customFormat="false" ht="12.75" hidden="false" customHeight="false" outlineLevel="0" collapsed="false">
      <c r="D44" s="373" t="str">
        <f aca="false">IF((F44&lt;&gt;0),"Enter Letter"," ")</f>
        <v> </v>
      </c>
      <c r="G44" s="181" t="str">
        <f aca="false">IF((D44="d"),F44," ")</f>
        <v> </v>
      </c>
      <c r="H44" s="181" t="str">
        <f aca="false">IF((D44="h"),F44," ")</f>
        <v> </v>
      </c>
      <c r="I44" s="181" t="str">
        <f aca="false">IF((D44="r"),F44," ")</f>
        <v> </v>
      </c>
      <c r="J44" s="181" t="str">
        <f aca="false">IF((D44="t"),F44," ")</f>
        <v> </v>
      </c>
      <c r="K44" s="181" t="str">
        <f aca="false">IF((D44="e"),F44," ")</f>
        <v> </v>
      </c>
      <c r="L44" s="181" t="str">
        <f aca="false">IF((D44="p"),F44," ")</f>
        <v> </v>
      </c>
      <c r="M44" s="181" t="str">
        <f aca="false">IF((D44="g"),F44," ")</f>
        <v> </v>
      </c>
      <c r="N44" s="181" t="str">
        <f aca="false">IF((D44="a"),F44," ")</f>
        <v> </v>
      </c>
      <c r="O44" s="181" t="str">
        <f aca="false">IF((D44="l"),F44," ")</f>
        <v> </v>
      </c>
      <c r="P44" s="181" t="str">
        <f aca="false">IF((D44="i"),F44," ")</f>
        <v> </v>
      </c>
      <c r="Q44" s="181" t="str">
        <f aca="false">IF((D44="b"),F44," ")</f>
        <v> </v>
      </c>
      <c r="R44" s="181" t="str">
        <f aca="false">IF((D44="o"),F44," ")</f>
        <v> </v>
      </c>
      <c r="S44" s="181" t="str">
        <f aca="false">IF((D44="f"),F44," ")</f>
        <v> </v>
      </c>
      <c r="U44" s="373"/>
    </row>
    <row r="45" customFormat="false" ht="12.75" hidden="false" customHeight="false" outlineLevel="0" collapsed="false">
      <c r="D45" s="373" t="str">
        <f aca="false">IF((F45&lt;&gt;0),"Enter Letter"," ")</f>
        <v> </v>
      </c>
      <c r="G45" s="181" t="str">
        <f aca="false">IF((D45="d"),F45," ")</f>
        <v> </v>
      </c>
      <c r="H45" s="181" t="str">
        <f aca="false">IF((D45="h"),F45," ")</f>
        <v> </v>
      </c>
      <c r="I45" s="181" t="str">
        <f aca="false">IF((D45="r"),F45," ")</f>
        <v> </v>
      </c>
      <c r="J45" s="181" t="str">
        <f aca="false">IF((D45="t"),F45," ")</f>
        <v> </v>
      </c>
      <c r="K45" s="181" t="str">
        <f aca="false">IF((D45="e"),F45," ")</f>
        <v> </v>
      </c>
      <c r="L45" s="181" t="str">
        <f aca="false">IF((D45="p"),F45," ")</f>
        <v> </v>
      </c>
      <c r="M45" s="181" t="str">
        <f aca="false">IF((D45="g"),F45," ")</f>
        <v> </v>
      </c>
      <c r="N45" s="181" t="str">
        <f aca="false">IF((D45="a"),F45," ")</f>
        <v> </v>
      </c>
      <c r="O45" s="181" t="str">
        <f aca="false">IF((D45="l"),F45," ")</f>
        <v> </v>
      </c>
      <c r="P45" s="181" t="str">
        <f aca="false">IF((D45="i"),F45," ")</f>
        <v> </v>
      </c>
      <c r="Q45" s="181" t="str">
        <f aca="false">IF((D45="b"),F45," ")</f>
        <v> </v>
      </c>
      <c r="R45" s="181" t="str">
        <f aca="false">IF((D45="o"),F45," ")</f>
        <v> </v>
      </c>
      <c r="S45" s="181" t="str">
        <f aca="false">IF((D45="f"),F45," ")</f>
        <v> </v>
      </c>
      <c r="U45" s="373"/>
    </row>
    <row r="46" customFormat="false" ht="12.75" hidden="false" customHeight="false" outlineLevel="0" collapsed="false">
      <c r="D46" s="373" t="str">
        <f aca="false">IF((F46&lt;&gt;0),"Enter Letter"," ")</f>
        <v> </v>
      </c>
      <c r="G46" s="181" t="str">
        <f aca="false">IF((D46="d"),F46," ")</f>
        <v> </v>
      </c>
      <c r="H46" s="181" t="str">
        <f aca="false">IF((D46="h"),F46," ")</f>
        <v> </v>
      </c>
      <c r="I46" s="181" t="str">
        <f aca="false">IF((D46="r"),F46," ")</f>
        <v> </v>
      </c>
      <c r="J46" s="181" t="str">
        <f aca="false">IF((D46="t"),F46," ")</f>
        <v> </v>
      </c>
      <c r="K46" s="181" t="str">
        <f aca="false">IF((D46="e"),F46," ")</f>
        <v> </v>
      </c>
      <c r="L46" s="181" t="str">
        <f aca="false">IF((D46="p"),F46," ")</f>
        <v> </v>
      </c>
      <c r="M46" s="181" t="str">
        <f aca="false">IF((D46="g"),F46," ")</f>
        <v> </v>
      </c>
      <c r="N46" s="181" t="str">
        <f aca="false">IF((D46="a"),F46," ")</f>
        <v> </v>
      </c>
      <c r="O46" s="181" t="str">
        <f aca="false">IF((D46="l"),F46," ")</f>
        <v> </v>
      </c>
      <c r="P46" s="181" t="str">
        <f aca="false">IF((D46="i"),F46," ")</f>
        <v> </v>
      </c>
      <c r="Q46" s="181" t="str">
        <f aca="false">IF((D46="b"),F46," ")</f>
        <v> </v>
      </c>
      <c r="R46" s="181" t="str">
        <f aca="false">IF((D46="o"),F46," ")</f>
        <v> </v>
      </c>
      <c r="S46" s="181" t="str">
        <f aca="false">IF((D46="f"),F46," ")</f>
        <v> </v>
      </c>
      <c r="U46" s="373"/>
    </row>
    <row r="47" customFormat="false" ht="12.75" hidden="false" customHeight="false" outlineLevel="0" collapsed="false">
      <c r="D47" s="373" t="str">
        <f aca="false">IF((F47&lt;&gt;0),"Enter Letter"," ")</f>
        <v> </v>
      </c>
      <c r="G47" s="181" t="str">
        <f aca="false">IF((D47="d"),F47," ")</f>
        <v> </v>
      </c>
      <c r="H47" s="181" t="str">
        <f aca="false">IF((D47="h"),F47," ")</f>
        <v> </v>
      </c>
      <c r="I47" s="181" t="str">
        <f aca="false">IF((D47="r"),F47," ")</f>
        <v> </v>
      </c>
      <c r="J47" s="181" t="str">
        <f aca="false">IF((D47="t"),F47," ")</f>
        <v> </v>
      </c>
      <c r="K47" s="181" t="str">
        <f aca="false">IF((D47="e"),F47," ")</f>
        <v> </v>
      </c>
      <c r="L47" s="181" t="str">
        <f aca="false">IF((D47="p"),F47," ")</f>
        <v> </v>
      </c>
      <c r="M47" s="181" t="str">
        <f aca="false">IF((D47="g"),F47," ")</f>
        <v> </v>
      </c>
      <c r="N47" s="181" t="str">
        <f aca="false">IF((D47="a"),F47," ")</f>
        <v> </v>
      </c>
      <c r="O47" s="181" t="str">
        <f aca="false">IF((D47="l"),F47," ")</f>
        <v> </v>
      </c>
      <c r="P47" s="181" t="str">
        <f aca="false">IF((D47="i"),F47," ")</f>
        <v> </v>
      </c>
      <c r="Q47" s="181" t="str">
        <f aca="false">IF((D47="b"),F47," ")</f>
        <v> </v>
      </c>
      <c r="R47" s="181" t="str">
        <f aca="false">IF((D47="o"),F47," ")</f>
        <v> </v>
      </c>
      <c r="S47" s="181" t="str">
        <f aca="false">IF((D47="f"),F47," ")</f>
        <v> </v>
      </c>
      <c r="U47" s="373"/>
    </row>
    <row r="48" customFormat="false" ht="12.75" hidden="false" customHeight="false" outlineLevel="0" collapsed="false">
      <c r="D48" s="373" t="str">
        <f aca="false">IF((F48&lt;&gt;0),"Enter Letter"," ")</f>
        <v> </v>
      </c>
      <c r="G48" s="181" t="str">
        <f aca="false">IF((D48="d"),F48," ")</f>
        <v> </v>
      </c>
      <c r="H48" s="181" t="str">
        <f aca="false">IF((D48="h"),F48," ")</f>
        <v> </v>
      </c>
      <c r="I48" s="181" t="str">
        <f aca="false">IF((D48="r"),F48," ")</f>
        <v> </v>
      </c>
      <c r="J48" s="181" t="str">
        <f aca="false">IF((D48="t"),F48," ")</f>
        <v> </v>
      </c>
      <c r="K48" s="181" t="str">
        <f aca="false">IF((D48="e"),F48," ")</f>
        <v> </v>
      </c>
      <c r="L48" s="181" t="str">
        <f aca="false">IF((D48="p"),F48," ")</f>
        <v> </v>
      </c>
      <c r="M48" s="181" t="str">
        <f aca="false">IF((D48="g"),F48," ")</f>
        <v> </v>
      </c>
      <c r="N48" s="181" t="str">
        <f aca="false">IF((D48="a"),F48," ")</f>
        <v> </v>
      </c>
      <c r="O48" s="181" t="str">
        <f aca="false">IF((D48="l"),F48," ")</f>
        <v> </v>
      </c>
      <c r="P48" s="181" t="str">
        <f aca="false">IF((D48="i"),F48," ")</f>
        <v> </v>
      </c>
      <c r="Q48" s="181" t="str">
        <f aca="false">IF((D48="b"),F48," ")</f>
        <v> </v>
      </c>
      <c r="R48" s="181" t="str">
        <f aca="false">IF((D48="o"),F48," ")</f>
        <v> </v>
      </c>
      <c r="S48" s="181" t="str">
        <f aca="false">IF((D48="f"),F48," ")</f>
        <v> </v>
      </c>
      <c r="U48" s="373"/>
    </row>
    <row r="49" customFormat="false" ht="12.75" hidden="false" customHeight="false" outlineLevel="0" collapsed="false">
      <c r="D49" s="373" t="str">
        <f aca="false">IF((F49&lt;&gt;0),"Enter Letter"," ")</f>
        <v> </v>
      </c>
      <c r="G49" s="181" t="str">
        <f aca="false">IF((D49="d"),F49," ")</f>
        <v> </v>
      </c>
      <c r="H49" s="181" t="str">
        <f aca="false">IF((D49="h"),F49," ")</f>
        <v> </v>
      </c>
      <c r="I49" s="181" t="str">
        <f aca="false">IF((D49="r"),F49," ")</f>
        <v> </v>
      </c>
      <c r="J49" s="181" t="str">
        <f aca="false">IF((D49="t"),F49," ")</f>
        <v> </v>
      </c>
      <c r="K49" s="181" t="str">
        <f aca="false">IF((D49="e"),F49," ")</f>
        <v> </v>
      </c>
      <c r="L49" s="181" t="str">
        <f aca="false">IF((D49="p"),F49," ")</f>
        <v> </v>
      </c>
      <c r="M49" s="181" t="str">
        <f aca="false">IF((D49="g"),F49," ")</f>
        <v> </v>
      </c>
      <c r="N49" s="181" t="str">
        <f aca="false">IF((D49="a"),F49," ")</f>
        <v> </v>
      </c>
      <c r="O49" s="181" t="str">
        <f aca="false">IF((D49="l"),F49," ")</f>
        <v> </v>
      </c>
      <c r="P49" s="181" t="str">
        <f aca="false">IF((D49="i"),F49," ")</f>
        <v> </v>
      </c>
      <c r="Q49" s="181" t="str">
        <f aca="false">IF((D49="b"),F49," ")</f>
        <v> </v>
      </c>
      <c r="R49" s="181" t="str">
        <f aca="false">IF((D49="o"),F49," ")</f>
        <v> </v>
      </c>
      <c r="S49" s="181" t="str">
        <f aca="false">IF((D49="f"),F49," ")</f>
        <v> </v>
      </c>
      <c r="U49" s="373"/>
    </row>
    <row r="50" customFormat="false" ht="12.75" hidden="false" customHeight="false" outlineLevel="0" collapsed="false">
      <c r="D50" s="373" t="str">
        <f aca="false">IF((F50&lt;&gt;0),"Enter Letter"," ")</f>
        <v> </v>
      </c>
      <c r="G50" s="181" t="str">
        <f aca="false">IF((D50="d"),F50," ")</f>
        <v> </v>
      </c>
      <c r="H50" s="181" t="str">
        <f aca="false">IF((D50="h"),F50," ")</f>
        <v> </v>
      </c>
      <c r="I50" s="181" t="str">
        <f aca="false">IF((D50="r"),F50," ")</f>
        <v> </v>
      </c>
      <c r="J50" s="181" t="str">
        <f aca="false">IF((D50="t"),F50," ")</f>
        <v> </v>
      </c>
      <c r="K50" s="181" t="str">
        <f aca="false">IF((D50="e"),F50," ")</f>
        <v> </v>
      </c>
      <c r="L50" s="181" t="str">
        <f aca="false">IF((D50="p"),F50," ")</f>
        <v> </v>
      </c>
      <c r="M50" s="181" t="str">
        <f aca="false">IF((D50="g"),F50," ")</f>
        <v> </v>
      </c>
      <c r="N50" s="181" t="str">
        <f aca="false">IF((D50="a"),F50," ")</f>
        <v> </v>
      </c>
      <c r="O50" s="181" t="str">
        <f aca="false">IF((D50="l"),F50," ")</f>
        <v> </v>
      </c>
      <c r="P50" s="181" t="str">
        <f aca="false">IF((D50="i"),F50," ")</f>
        <v> </v>
      </c>
      <c r="Q50" s="181" t="str">
        <f aca="false">IF((D50="b"),F50," ")</f>
        <v> </v>
      </c>
      <c r="R50" s="181" t="str">
        <f aca="false">IF((D50="o"),F50," ")</f>
        <v> </v>
      </c>
      <c r="S50" s="181" t="str">
        <f aca="false">IF((D50="f"),F50," ")</f>
        <v> </v>
      </c>
      <c r="U50" s="373"/>
    </row>
    <row r="51" customFormat="false" ht="12.75" hidden="false" customHeight="false" outlineLevel="0" collapsed="false">
      <c r="D51" s="373" t="str">
        <f aca="false">IF((F51&lt;&gt;0),"Enter Letter"," ")</f>
        <v> </v>
      </c>
      <c r="G51" s="181" t="str">
        <f aca="false">IF((D51="d"),F51," ")</f>
        <v> </v>
      </c>
      <c r="H51" s="181" t="str">
        <f aca="false">IF((D51="h"),F51," ")</f>
        <v> </v>
      </c>
      <c r="I51" s="181" t="str">
        <f aca="false">IF((D51="r"),F51," ")</f>
        <v> </v>
      </c>
      <c r="J51" s="181" t="str">
        <f aca="false">IF((D51="t"),F51," ")</f>
        <v> </v>
      </c>
      <c r="K51" s="181" t="str">
        <f aca="false">IF((D51="e"),F51," ")</f>
        <v> </v>
      </c>
      <c r="L51" s="181" t="str">
        <f aca="false">IF((D51="p"),F51," ")</f>
        <v> </v>
      </c>
      <c r="M51" s="181" t="str">
        <f aca="false">IF((D51="g"),F51," ")</f>
        <v> </v>
      </c>
      <c r="N51" s="181" t="str">
        <f aca="false">IF((D51="a"),F51," ")</f>
        <v> </v>
      </c>
      <c r="O51" s="181" t="str">
        <f aca="false">IF((D51="l"),F51," ")</f>
        <v> </v>
      </c>
      <c r="P51" s="181" t="str">
        <f aca="false">IF((D51="i"),F51," ")</f>
        <v> </v>
      </c>
      <c r="Q51" s="181" t="str">
        <f aca="false">IF((D51="b"),F51," ")</f>
        <v> </v>
      </c>
      <c r="R51" s="181" t="str">
        <f aca="false">IF((D51="o"),F51," ")</f>
        <v> </v>
      </c>
      <c r="S51" s="181" t="str">
        <f aca="false">IF((D51="f"),F51," ")</f>
        <v> </v>
      </c>
      <c r="U51" s="373"/>
    </row>
    <row r="52" customFormat="false" ht="12.75" hidden="false" customHeight="false" outlineLevel="0" collapsed="false">
      <c r="D52" s="373" t="str">
        <f aca="false">IF((F52&lt;&gt;0),"Enter Letter"," ")</f>
        <v> </v>
      </c>
      <c r="G52" s="181" t="str">
        <f aca="false">IF((D52="d"),F52," ")</f>
        <v> </v>
      </c>
      <c r="H52" s="181" t="str">
        <f aca="false">IF((D52="h"),F52," ")</f>
        <v> </v>
      </c>
      <c r="I52" s="181" t="str">
        <f aca="false">IF((D52="r"),F52," ")</f>
        <v> </v>
      </c>
      <c r="J52" s="181" t="str">
        <f aca="false">IF((D52="t"),F52," ")</f>
        <v> </v>
      </c>
      <c r="K52" s="181" t="str">
        <f aca="false">IF((D52="e"),F52," ")</f>
        <v> </v>
      </c>
      <c r="L52" s="181" t="str">
        <f aca="false">IF((D52="p"),F52," ")</f>
        <v> </v>
      </c>
      <c r="M52" s="181" t="str">
        <f aca="false">IF((D52="g"),F52," ")</f>
        <v> </v>
      </c>
      <c r="N52" s="181" t="str">
        <f aca="false">IF((D52="a"),F52," ")</f>
        <v> </v>
      </c>
      <c r="O52" s="181" t="str">
        <f aca="false">IF((D52="l"),F52," ")</f>
        <v> </v>
      </c>
      <c r="P52" s="181" t="str">
        <f aca="false">IF((D52="i"),F52," ")</f>
        <v> </v>
      </c>
      <c r="Q52" s="181" t="str">
        <f aca="false">IF((D52="b"),F52," ")</f>
        <v> </v>
      </c>
      <c r="R52" s="181" t="str">
        <f aca="false">IF((D52="o"),F52," ")</f>
        <v> </v>
      </c>
      <c r="S52" s="181" t="str">
        <f aca="false">IF((D52="f"),F52," ")</f>
        <v> </v>
      </c>
      <c r="U52" s="373"/>
    </row>
    <row r="53" customFormat="false" ht="12.75" hidden="false" customHeight="false" outlineLevel="0" collapsed="false">
      <c r="D53" s="373" t="str">
        <f aca="false">IF((F53&lt;&gt;0),"Enter Letter"," ")</f>
        <v> </v>
      </c>
      <c r="G53" s="181" t="str">
        <f aca="false">IF((D53="d"),F53," ")</f>
        <v> </v>
      </c>
      <c r="H53" s="181" t="str">
        <f aca="false">IF((D53="h"),F53," ")</f>
        <v> </v>
      </c>
      <c r="I53" s="181" t="str">
        <f aca="false">IF((D53="r"),F53," ")</f>
        <v> </v>
      </c>
      <c r="J53" s="181" t="str">
        <f aca="false">IF((D53="t"),F53," ")</f>
        <v> </v>
      </c>
      <c r="K53" s="181" t="str">
        <f aca="false">IF((D53="e"),F53," ")</f>
        <v> </v>
      </c>
      <c r="L53" s="181" t="str">
        <f aca="false">IF((D53="p"),F53," ")</f>
        <v> </v>
      </c>
      <c r="M53" s="181" t="str">
        <f aca="false">IF((D53="g"),F53," ")</f>
        <v> </v>
      </c>
      <c r="N53" s="181" t="str">
        <f aca="false">IF((D53="a"),F53," ")</f>
        <v> </v>
      </c>
      <c r="O53" s="181" t="str">
        <f aca="false">IF((D53="l"),F53," ")</f>
        <v> </v>
      </c>
      <c r="P53" s="181" t="str">
        <f aca="false">IF((D53="i"),F53," ")</f>
        <v> </v>
      </c>
      <c r="Q53" s="181" t="str">
        <f aca="false">IF((D53="b"),F53," ")</f>
        <v> </v>
      </c>
      <c r="R53" s="181" t="str">
        <f aca="false">IF((D53="o"),F53," ")</f>
        <v> </v>
      </c>
      <c r="S53" s="181" t="str">
        <f aca="false">IF((D53="f"),F53," ")</f>
        <v> </v>
      </c>
      <c r="U53" s="373"/>
    </row>
    <row r="54" customFormat="false" ht="12.75" hidden="false" customHeight="false" outlineLevel="0" collapsed="false">
      <c r="D54" s="373" t="str">
        <f aca="false">IF((F54&lt;&gt;0),"Enter Letter"," ")</f>
        <v> </v>
      </c>
      <c r="G54" s="181" t="str">
        <f aca="false">IF((D54="d"),F54," ")</f>
        <v> </v>
      </c>
      <c r="H54" s="181" t="str">
        <f aca="false">IF((D54="h"),F54," ")</f>
        <v> </v>
      </c>
      <c r="I54" s="181" t="str">
        <f aca="false">IF((D54="r"),F54," ")</f>
        <v> </v>
      </c>
      <c r="J54" s="181" t="str">
        <f aca="false">IF((D54="t"),F54," ")</f>
        <v> </v>
      </c>
      <c r="K54" s="181" t="str">
        <f aca="false">IF((D54="e"),F54," ")</f>
        <v> </v>
      </c>
      <c r="L54" s="181" t="str">
        <f aca="false">IF((D54="p"),F54," ")</f>
        <v> </v>
      </c>
      <c r="M54" s="181" t="str">
        <f aca="false">IF((D54="g"),F54," ")</f>
        <v> </v>
      </c>
      <c r="N54" s="181" t="str">
        <f aca="false">IF((D54="a"),F54," ")</f>
        <v> </v>
      </c>
      <c r="O54" s="181" t="str">
        <f aca="false">IF((D54="l"),F54," ")</f>
        <v> </v>
      </c>
      <c r="P54" s="181" t="str">
        <f aca="false">IF((D54="i"),F54," ")</f>
        <v> </v>
      </c>
      <c r="Q54" s="181" t="str">
        <f aca="false">IF((D54="b"),F54," ")</f>
        <v> </v>
      </c>
      <c r="R54" s="181" t="str">
        <f aca="false">IF((D54="o"),F54," ")</f>
        <v> </v>
      </c>
      <c r="S54" s="181" t="str">
        <f aca="false">IF((D54="f"),F54," ")</f>
        <v> </v>
      </c>
      <c r="U54" s="373"/>
    </row>
    <row r="55" customFormat="false" ht="12.75" hidden="false" customHeight="false" outlineLevel="0" collapsed="false">
      <c r="D55" s="373" t="str">
        <f aca="false">IF((F55&lt;&gt;0),"Enter Letter"," ")</f>
        <v> </v>
      </c>
      <c r="G55" s="181" t="str">
        <f aca="false">IF((D55="d"),F55," ")</f>
        <v> </v>
      </c>
      <c r="H55" s="181" t="str">
        <f aca="false">IF((D55="h"),F55," ")</f>
        <v> </v>
      </c>
      <c r="I55" s="181" t="str">
        <f aca="false">IF((D55="r"),F55," ")</f>
        <v> </v>
      </c>
      <c r="J55" s="181" t="str">
        <f aca="false">IF((D55="t"),F55," ")</f>
        <v> </v>
      </c>
      <c r="K55" s="181" t="str">
        <f aca="false">IF((D55="e"),F55," ")</f>
        <v> </v>
      </c>
      <c r="L55" s="181" t="str">
        <f aca="false">IF((D55="p"),F55," ")</f>
        <v> </v>
      </c>
      <c r="M55" s="181" t="str">
        <f aca="false">IF((D55="g"),F55," ")</f>
        <v> </v>
      </c>
      <c r="N55" s="181" t="str">
        <f aca="false">IF((D55="a"),F55," ")</f>
        <v> </v>
      </c>
      <c r="O55" s="181" t="str">
        <f aca="false">IF((D55="l"),F55," ")</f>
        <v> </v>
      </c>
      <c r="P55" s="181" t="str">
        <f aca="false">IF((D55="i"),F55," ")</f>
        <v> </v>
      </c>
      <c r="Q55" s="181" t="str">
        <f aca="false">IF((D55="b"),F55," ")</f>
        <v> </v>
      </c>
      <c r="R55" s="181" t="str">
        <f aca="false">IF((D55="o"),F55," ")</f>
        <v> </v>
      </c>
      <c r="S55" s="181" t="str">
        <f aca="false">IF((D55="f"),F55," ")</f>
        <v> </v>
      </c>
      <c r="U55" s="373"/>
    </row>
    <row r="56" customFormat="false" ht="12.75" hidden="false" customHeight="false" outlineLevel="0" collapsed="false">
      <c r="D56" s="373" t="str">
        <f aca="false">IF((F56&lt;&gt;0),"Enter Letter"," ")</f>
        <v> </v>
      </c>
      <c r="G56" s="181" t="str">
        <f aca="false">IF((D56="d"),F56," ")</f>
        <v> </v>
      </c>
      <c r="H56" s="181" t="str">
        <f aca="false">IF((D56="h"),F56," ")</f>
        <v> </v>
      </c>
      <c r="I56" s="181" t="str">
        <f aca="false">IF((D56="r"),F56," ")</f>
        <v> </v>
      </c>
      <c r="J56" s="181" t="str">
        <f aca="false">IF((D56="t"),F56," ")</f>
        <v> </v>
      </c>
      <c r="K56" s="181" t="str">
        <f aca="false">IF((D56="e"),F56," ")</f>
        <v> </v>
      </c>
      <c r="L56" s="181" t="str">
        <f aca="false">IF((D56="p"),F56," ")</f>
        <v> </v>
      </c>
      <c r="M56" s="181" t="str">
        <f aca="false">IF((D56="g"),F56," ")</f>
        <v> </v>
      </c>
      <c r="N56" s="181" t="str">
        <f aca="false">IF((D56="a"),F56," ")</f>
        <v> </v>
      </c>
      <c r="O56" s="181" t="str">
        <f aca="false">IF((D56="l"),F56," ")</f>
        <v> </v>
      </c>
      <c r="P56" s="181" t="str">
        <f aca="false">IF((D56="i"),F56," ")</f>
        <v> </v>
      </c>
      <c r="Q56" s="181" t="str">
        <f aca="false">IF((D56="b"),F56," ")</f>
        <v> </v>
      </c>
      <c r="R56" s="181" t="str">
        <f aca="false">IF((D56="o"),F56," ")</f>
        <v> </v>
      </c>
      <c r="S56" s="181" t="str">
        <f aca="false">IF((D56="f"),F56," ")</f>
        <v> </v>
      </c>
      <c r="U56" s="373"/>
    </row>
    <row r="57" customFormat="false" ht="12.75" hidden="false" customHeight="false" outlineLevel="0" collapsed="false">
      <c r="D57" s="373" t="str">
        <f aca="false">IF((F57&lt;&gt;0),"Enter Letter"," ")</f>
        <v> </v>
      </c>
      <c r="G57" s="181" t="str">
        <f aca="false">IF((D57="d"),F57," ")</f>
        <v> </v>
      </c>
      <c r="H57" s="181" t="str">
        <f aca="false">IF((D57="h"),F57," ")</f>
        <v> </v>
      </c>
      <c r="I57" s="181" t="str">
        <f aca="false">IF((D57="r"),F57," ")</f>
        <v> </v>
      </c>
      <c r="J57" s="181" t="str">
        <f aca="false">IF((D57="t"),F57," ")</f>
        <v> </v>
      </c>
      <c r="K57" s="181" t="str">
        <f aca="false">IF((D57="e"),F57," ")</f>
        <v> </v>
      </c>
      <c r="L57" s="181" t="str">
        <f aca="false">IF((D57="p"),F57," ")</f>
        <v> </v>
      </c>
      <c r="M57" s="181" t="str">
        <f aca="false">IF((D57="g"),F57," ")</f>
        <v> </v>
      </c>
      <c r="N57" s="181" t="str">
        <f aca="false">IF((D57="a"),F57," ")</f>
        <v> </v>
      </c>
      <c r="O57" s="181" t="str">
        <f aca="false">IF((D57="l"),F57," ")</f>
        <v> </v>
      </c>
      <c r="P57" s="181" t="str">
        <f aca="false">IF((D57="i"),F57," ")</f>
        <v> </v>
      </c>
      <c r="Q57" s="181" t="str">
        <f aca="false">IF((D57="b"),F57," ")</f>
        <v> </v>
      </c>
      <c r="R57" s="181" t="str">
        <f aca="false">IF((D57="o"),F57," ")</f>
        <v> </v>
      </c>
      <c r="S57" s="181" t="str">
        <f aca="false">IF((D57="f"),F57," ")</f>
        <v> </v>
      </c>
      <c r="U57" s="373"/>
    </row>
    <row r="58" customFormat="false" ht="12.75" hidden="false" customHeight="false" outlineLevel="0" collapsed="false">
      <c r="D58" s="373" t="str">
        <f aca="false">IF((F58&lt;&gt;0),"Enter Letter"," ")</f>
        <v> </v>
      </c>
      <c r="G58" s="181" t="str">
        <f aca="false">IF((D58="d"),F58," ")</f>
        <v> </v>
      </c>
      <c r="H58" s="181" t="str">
        <f aca="false">IF((D58="h"),F58," ")</f>
        <v> </v>
      </c>
      <c r="I58" s="181" t="str">
        <f aca="false">IF((D58="r"),F58," ")</f>
        <v> </v>
      </c>
      <c r="J58" s="181" t="str">
        <f aca="false">IF((D58="t"),F58," ")</f>
        <v> </v>
      </c>
      <c r="K58" s="181" t="str">
        <f aca="false">IF((D58="e"),F58," ")</f>
        <v> </v>
      </c>
      <c r="L58" s="181" t="str">
        <f aca="false">IF((D58="p"),F58," ")</f>
        <v> </v>
      </c>
      <c r="M58" s="181" t="str">
        <f aca="false">IF((D58="g"),F58," ")</f>
        <v> </v>
      </c>
      <c r="N58" s="181" t="str">
        <f aca="false">IF((D58="a"),F58," ")</f>
        <v> </v>
      </c>
      <c r="O58" s="181" t="str">
        <f aca="false">IF((D58="l"),F58," ")</f>
        <v> </v>
      </c>
      <c r="P58" s="181" t="str">
        <f aca="false">IF((D58="i"),F58," ")</f>
        <v> </v>
      </c>
      <c r="Q58" s="181" t="str">
        <f aca="false">IF((D58="b"),F58," ")</f>
        <v> </v>
      </c>
      <c r="R58" s="181" t="str">
        <f aca="false">IF((D58="o"),F58," ")</f>
        <v> </v>
      </c>
      <c r="S58" s="181" t="str">
        <f aca="false">IF((D58="f"),F58," ")</f>
        <v> </v>
      </c>
      <c r="U58" s="373"/>
    </row>
    <row r="59" customFormat="false" ht="12.75" hidden="false" customHeight="false" outlineLevel="0" collapsed="false">
      <c r="D59" s="373" t="str">
        <f aca="false">IF((F59&lt;&gt;0),"Enter Letter"," ")</f>
        <v> </v>
      </c>
      <c r="G59" s="181" t="str">
        <f aca="false">IF((D59="d"),F59," ")</f>
        <v> </v>
      </c>
      <c r="H59" s="181" t="str">
        <f aca="false">IF((D59="h"),F59," ")</f>
        <v> </v>
      </c>
      <c r="I59" s="181" t="str">
        <f aca="false">IF((D59="r"),F59," ")</f>
        <v> </v>
      </c>
      <c r="J59" s="181" t="str">
        <f aca="false">IF((D59="t"),F59," ")</f>
        <v> </v>
      </c>
      <c r="K59" s="181" t="str">
        <f aca="false">IF((D59="e"),F59," ")</f>
        <v> </v>
      </c>
      <c r="L59" s="181" t="str">
        <f aca="false">IF((D59="p"),F59," ")</f>
        <v> </v>
      </c>
      <c r="M59" s="181" t="str">
        <f aca="false">IF((D59="g"),F59," ")</f>
        <v> </v>
      </c>
      <c r="N59" s="181" t="str">
        <f aca="false">IF((D59="a"),F59," ")</f>
        <v> </v>
      </c>
      <c r="O59" s="181" t="str">
        <f aca="false">IF((D59="l"),F59," ")</f>
        <v> </v>
      </c>
      <c r="P59" s="181" t="str">
        <f aca="false">IF((D59="i"),F59," ")</f>
        <v> </v>
      </c>
      <c r="Q59" s="181" t="str">
        <f aca="false">IF((D59="b"),F59," ")</f>
        <v> </v>
      </c>
      <c r="R59" s="181" t="str">
        <f aca="false">IF((D59="o"),F59," ")</f>
        <v> </v>
      </c>
      <c r="S59" s="181" t="str">
        <f aca="false">IF((D59="f"),F59," ")</f>
        <v> </v>
      </c>
      <c r="U59" s="373"/>
    </row>
    <row r="60" customFormat="false" ht="12.75" hidden="false" customHeight="false" outlineLevel="0" collapsed="false">
      <c r="D60" s="373" t="str">
        <f aca="false">IF((F60&lt;&gt;0),"Enter Letter"," ")</f>
        <v> </v>
      </c>
      <c r="G60" s="181" t="str">
        <f aca="false">IF((D60="d"),F60," ")</f>
        <v> </v>
      </c>
      <c r="H60" s="181" t="str">
        <f aca="false">IF((D60="h"),F60," ")</f>
        <v> </v>
      </c>
      <c r="I60" s="181" t="str">
        <f aca="false">IF((D60="r"),F60," ")</f>
        <v> </v>
      </c>
      <c r="J60" s="181" t="str">
        <f aca="false">IF((D60="t"),F60," ")</f>
        <v> </v>
      </c>
      <c r="K60" s="181" t="str">
        <f aca="false">IF((D60="e"),F60," ")</f>
        <v> </v>
      </c>
      <c r="L60" s="181" t="str">
        <f aca="false">IF((D60="p"),F60," ")</f>
        <v> </v>
      </c>
      <c r="M60" s="181" t="str">
        <f aca="false">IF((D60="g"),F60," ")</f>
        <v> </v>
      </c>
      <c r="N60" s="181" t="str">
        <f aca="false">IF((D60="a"),F60," ")</f>
        <v> </v>
      </c>
      <c r="O60" s="181" t="str">
        <f aca="false">IF((D60="l"),F60," ")</f>
        <v> </v>
      </c>
      <c r="P60" s="181" t="str">
        <f aca="false">IF((D60="i"),F60," ")</f>
        <v> </v>
      </c>
      <c r="Q60" s="181" t="str">
        <f aca="false">IF((D60="b"),F60," ")</f>
        <v> </v>
      </c>
      <c r="R60" s="181" t="str">
        <f aca="false">IF((D60="o"),F60," ")</f>
        <v> </v>
      </c>
      <c r="S60" s="181" t="str">
        <f aca="false">IF((D60="f"),F60," ")</f>
        <v> </v>
      </c>
      <c r="U60" s="373"/>
    </row>
    <row r="61" customFormat="false" ht="12.75" hidden="false" customHeight="false" outlineLevel="0" collapsed="false">
      <c r="D61" s="373" t="str">
        <f aca="false">IF((F61&lt;&gt;0),"Enter Letter"," ")</f>
        <v> </v>
      </c>
      <c r="G61" s="181" t="str">
        <f aca="false">IF((D61="d"),F61," ")</f>
        <v> </v>
      </c>
      <c r="H61" s="181" t="str">
        <f aca="false">IF((D61="h"),F61," ")</f>
        <v> </v>
      </c>
      <c r="I61" s="181" t="str">
        <f aca="false">IF((D61="r"),F61," ")</f>
        <v> </v>
      </c>
      <c r="J61" s="181" t="str">
        <f aca="false">IF((D61="t"),F61," ")</f>
        <v> </v>
      </c>
      <c r="K61" s="181" t="str">
        <f aca="false">IF((D61="e"),F61," ")</f>
        <v> </v>
      </c>
      <c r="L61" s="181" t="str">
        <f aca="false">IF((D61="p"),F61," ")</f>
        <v> </v>
      </c>
      <c r="M61" s="181" t="str">
        <f aca="false">IF((D61="g"),F61," ")</f>
        <v> </v>
      </c>
      <c r="N61" s="181" t="str">
        <f aca="false">IF((D61="a"),F61," ")</f>
        <v> </v>
      </c>
      <c r="O61" s="181" t="str">
        <f aca="false">IF((D61="l"),F61," ")</f>
        <v> </v>
      </c>
      <c r="P61" s="181" t="str">
        <f aca="false">IF((D61="i"),F61," ")</f>
        <v> </v>
      </c>
      <c r="Q61" s="181" t="str">
        <f aca="false">IF((D61="b"),F61," ")</f>
        <v> </v>
      </c>
      <c r="R61" s="181" t="str">
        <f aca="false">IF((D61="o"),F61," ")</f>
        <v> </v>
      </c>
      <c r="S61" s="181" t="str">
        <f aca="false">IF((D61="f"),F61," ")</f>
        <v> </v>
      </c>
      <c r="U61" s="373"/>
    </row>
    <row r="62" customFormat="false" ht="12.75" hidden="false" customHeight="false" outlineLevel="0" collapsed="false">
      <c r="D62" s="373" t="str">
        <f aca="false">IF((F62&lt;&gt;0),"Enter Letter"," ")</f>
        <v> </v>
      </c>
      <c r="G62" s="181" t="str">
        <f aca="false">IF((D62="d"),F62," ")</f>
        <v> </v>
      </c>
      <c r="H62" s="181" t="str">
        <f aca="false">IF((D62="h"),F62," ")</f>
        <v> </v>
      </c>
      <c r="I62" s="181" t="str">
        <f aca="false">IF((D62="r"),F62," ")</f>
        <v> </v>
      </c>
      <c r="J62" s="181" t="str">
        <f aca="false">IF((D62="t"),F62," ")</f>
        <v> </v>
      </c>
      <c r="K62" s="181" t="str">
        <f aca="false">IF((D62="e"),F62," ")</f>
        <v> </v>
      </c>
      <c r="L62" s="181" t="str">
        <f aca="false">IF((D62="p"),F62," ")</f>
        <v> </v>
      </c>
      <c r="M62" s="181" t="str">
        <f aca="false">IF((D62="g"),F62," ")</f>
        <v> </v>
      </c>
      <c r="N62" s="181" t="str">
        <f aca="false">IF((D62="a"),F62," ")</f>
        <v> </v>
      </c>
      <c r="O62" s="181" t="str">
        <f aca="false">IF((D62="l"),F62," ")</f>
        <v> </v>
      </c>
      <c r="P62" s="181" t="str">
        <f aca="false">IF((D62="i"),F62," ")</f>
        <v> </v>
      </c>
      <c r="Q62" s="181" t="str">
        <f aca="false">IF((D62="b"),F62," ")</f>
        <v> </v>
      </c>
      <c r="R62" s="181" t="str">
        <f aca="false">IF((D62="o"),F62," ")</f>
        <v> </v>
      </c>
      <c r="S62" s="181" t="str">
        <f aca="false">IF((D62="f"),F62," ")</f>
        <v> </v>
      </c>
      <c r="U62" s="373"/>
    </row>
    <row r="63" customFormat="false" ht="12.75" hidden="false" customHeight="false" outlineLevel="0" collapsed="false">
      <c r="D63" s="373" t="str">
        <f aca="false">IF((F63&lt;&gt;0),"Enter Letter"," ")</f>
        <v> </v>
      </c>
      <c r="G63" s="181" t="str">
        <f aca="false">IF((D63="d"),F63," ")</f>
        <v> </v>
      </c>
      <c r="H63" s="181" t="str">
        <f aca="false">IF((D63="h"),F63," ")</f>
        <v> </v>
      </c>
      <c r="I63" s="181" t="str">
        <f aca="false">IF((D63="r"),F63," ")</f>
        <v> </v>
      </c>
      <c r="J63" s="181" t="str">
        <f aca="false">IF((D63="t"),F63," ")</f>
        <v> </v>
      </c>
      <c r="K63" s="181" t="str">
        <f aca="false">IF((D63="e"),F63," ")</f>
        <v> </v>
      </c>
      <c r="L63" s="181" t="str">
        <f aca="false">IF((D63="p"),F63," ")</f>
        <v> </v>
      </c>
      <c r="M63" s="181" t="str">
        <f aca="false">IF((D63="g"),F63," ")</f>
        <v> </v>
      </c>
      <c r="N63" s="181" t="str">
        <f aca="false">IF((D63="a"),F63," ")</f>
        <v> </v>
      </c>
      <c r="O63" s="181" t="str">
        <f aca="false">IF((D63="l"),F63," ")</f>
        <v> </v>
      </c>
      <c r="P63" s="181" t="str">
        <f aca="false">IF((D63="i"),F63," ")</f>
        <v> </v>
      </c>
      <c r="Q63" s="181" t="str">
        <f aca="false">IF((D63="b"),F63," ")</f>
        <v> </v>
      </c>
      <c r="R63" s="181" t="str">
        <f aca="false">IF((D63="o"),F63," ")</f>
        <v> </v>
      </c>
      <c r="S63" s="181" t="str">
        <f aca="false">IF((D63="f"),F63," ")</f>
        <v> </v>
      </c>
      <c r="U63" s="373"/>
    </row>
    <row r="64" customFormat="false" ht="12.75" hidden="false" customHeight="false" outlineLevel="0" collapsed="false">
      <c r="D64" s="373" t="str">
        <f aca="false">IF((F64&lt;&gt;0),"Enter Letter"," ")</f>
        <v> </v>
      </c>
      <c r="G64" s="181" t="str">
        <f aca="false">IF((D64="d"),F64," ")</f>
        <v> </v>
      </c>
      <c r="H64" s="181" t="str">
        <f aca="false">IF((D64="h"),F64," ")</f>
        <v> </v>
      </c>
      <c r="I64" s="181" t="str">
        <f aca="false">IF((D64="r"),F64," ")</f>
        <v> </v>
      </c>
      <c r="J64" s="181" t="str">
        <f aca="false">IF((D64="t"),F64," ")</f>
        <v> </v>
      </c>
      <c r="K64" s="181" t="str">
        <f aca="false">IF((D64="e"),F64," ")</f>
        <v> </v>
      </c>
      <c r="L64" s="181" t="str">
        <f aca="false">IF((D64="p"),F64," ")</f>
        <v> </v>
      </c>
      <c r="M64" s="181" t="str">
        <f aca="false">IF((D64="g"),F64," ")</f>
        <v> </v>
      </c>
      <c r="N64" s="181" t="str">
        <f aca="false">IF((D64="a"),F64," ")</f>
        <v> </v>
      </c>
      <c r="O64" s="181" t="str">
        <f aca="false">IF((D64="l"),F64," ")</f>
        <v> </v>
      </c>
      <c r="P64" s="181" t="str">
        <f aca="false">IF((D64="i"),F64," ")</f>
        <v> </v>
      </c>
      <c r="Q64" s="181" t="str">
        <f aca="false">IF((D64="b"),F64," ")</f>
        <v> </v>
      </c>
      <c r="R64" s="181" t="str">
        <f aca="false">IF((D64="o"),F64," ")</f>
        <v> </v>
      </c>
      <c r="S64" s="181" t="str">
        <f aca="false">IF((D64="f"),F64," ")</f>
        <v> </v>
      </c>
      <c r="U64" s="373"/>
    </row>
    <row r="65" customFormat="false" ht="12.75" hidden="false" customHeight="false" outlineLevel="0" collapsed="false">
      <c r="D65" s="373" t="str">
        <f aca="false">IF((F65&lt;&gt;0),"Enter Letter"," ")</f>
        <v> </v>
      </c>
      <c r="G65" s="181" t="str">
        <f aca="false">IF((D65="d"),F65," ")</f>
        <v> </v>
      </c>
      <c r="H65" s="181" t="str">
        <f aca="false">IF((D65="h"),F65," ")</f>
        <v> </v>
      </c>
      <c r="I65" s="181" t="str">
        <f aca="false">IF((D65="r"),F65," ")</f>
        <v> </v>
      </c>
      <c r="J65" s="181" t="str">
        <f aca="false">IF((D65="t"),F65," ")</f>
        <v> </v>
      </c>
      <c r="K65" s="181" t="str">
        <f aca="false">IF((D65="e"),F65," ")</f>
        <v> </v>
      </c>
      <c r="L65" s="181" t="str">
        <f aca="false">IF((D65="p"),F65," ")</f>
        <v> </v>
      </c>
      <c r="M65" s="181" t="str">
        <f aca="false">IF((D65="g"),F65," ")</f>
        <v> </v>
      </c>
      <c r="N65" s="181" t="str">
        <f aca="false">IF((D65="a"),F65," ")</f>
        <v> </v>
      </c>
      <c r="O65" s="181" t="str">
        <f aca="false">IF((D65="l"),F65," ")</f>
        <v> </v>
      </c>
      <c r="P65" s="181" t="str">
        <f aca="false">IF((D65="i"),F65," ")</f>
        <v> </v>
      </c>
      <c r="Q65" s="181" t="str">
        <f aca="false">IF((D65="b"),F65," ")</f>
        <v> </v>
      </c>
      <c r="R65" s="181" t="str">
        <f aca="false">IF((D65="o"),F65," ")</f>
        <v> </v>
      </c>
      <c r="S65" s="181" t="str">
        <f aca="false">IF((D65="f"),F65," ")</f>
        <v> </v>
      </c>
      <c r="U65" s="373"/>
    </row>
    <row r="66" customFormat="false" ht="12.75" hidden="false" customHeight="false" outlineLevel="0" collapsed="false">
      <c r="D66" s="373" t="str">
        <f aca="false">IF((F66&lt;&gt;0),"Enter Letter"," ")</f>
        <v> </v>
      </c>
      <c r="G66" s="181" t="str">
        <f aca="false">IF((D66="d"),F66," ")</f>
        <v> </v>
      </c>
      <c r="H66" s="181" t="str">
        <f aca="false">IF((D66="h"),F66," ")</f>
        <v> </v>
      </c>
      <c r="I66" s="181" t="str">
        <f aca="false">IF((D66="r"),F66," ")</f>
        <v> </v>
      </c>
      <c r="J66" s="181" t="str">
        <f aca="false">IF((D66="t"),F66," ")</f>
        <v> </v>
      </c>
      <c r="K66" s="181" t="str">
        <f aca="false">IF((D66="e"),F66," ")</f>
        <v> </v>
      </c>
      <c r="L66" s="181" t="str">
        <f aca="false">IF((D66="p"),F66," ")</f>
        <v> </v>
      </c>
      <c r="M66" s="181" t="str">
        <f aca="false">IF((D66="g"),F66," ")</f>
        <v> </v>
      </c>
      <c r="N66" s="181" t="str">
        <f aca="false">IF((D66="a"),F66," ")</f>
        <v> </v>
      </c>
      <c r="O66" s="181" t="str">
        <f aca="false">IF((D66="l"),F66," ")</f>
        <v> </v>
      </c>
      <c r="P66" s="181" t="str">
        <f aca="false">IF((D66="i"),F66," ")</f>
        <v> </v>
      </c>
      <c r="Q66" s="181" t="str">
        <f aca="false">IF((D66="b"),F66," ")</f>
        <v> </v>
      </c>
      <c r="R66" s="181" t="str">
        <f aca="false">IF((D66="o"),F66," ")</f>
        <v> </v>
      </c>
      <c r="S66" s="181" t="str">
        <f aca="false">IF((D66="f"),F66," ")</f>
        <v> </v>
      </c>
      <c r="U66" s="373"/>
    </row>
    <row r="67" customFormat="false" ht="12.75" hidden="false" customHeight="false" outlineLevel="0" collapsed="false">
      <c r="D67" s="373" t="str">
        <f aca="false">IF((F67&lt;&gt;0),"Enter Letter"," ")</f>
        <v> </v>
      </c>
      <c r="G67" s="181" t="str">
        <f aca="false">IF((D67="d"),F67," ")</f>
        <v> </v>
      </c>
      <c r="H67" s="181" t="str">
        <f aca="false">IF((D67="h"),F67," ")</f>
        <v> </v>
      </c>
      <c r="I67" s="181" t="str">
        <f aca="false">IF((D67="r"),F67," ")</f>
        <v> </v>
      </c>
      <c r="J67" s="181" t="str">
        <f aca="false">IF((D67="t"),F67," ")</f>
        <v> </v>
      </c>
      <c r="K67" s="181" t="str">
        <f aca="false">IF((D67="e"),F67," ")</f>
        <v> </v>
      </c>
      <c r="L67" s="181" t="str">
        <f aca="false">IF((D67="p"),F67," ")</f>
        <v> </v>
      </c>
      <c r="M67" s="181" t="str">
        <f aca="false">IF((D67="g"),F67," ")</f>
        <v> </v>
      </c>
      <c r="N67" s="181" t="str">
        <f aca="false">IF((D67="a"),F67," ")</f>
        <v> </v>
      </c>
      <c r="O67" s="181" t="str">
        <f aca="false">IF((D67="l"),F67," ")</f>
        <v> </v>
      </c>
      <c r="P67" s="181" t="str">
        <f aca="false">IF((D67="i"),F67," ")</f>
        <v> </v>
      </c>
      <c r="Q67" s="181" t="str">
        <f aca="false">IF((D67="b"),F67," ")</f>
        <v> </v>
      </c>
      <c r="R67" s="181" t="str">
        <f aca="false">IF((D67="o"),F67," ")</f>
        <v> </v>
      </c>
      <c r="S67" s="181" t="str">
        <f aca="false">IF((D67="f"),F67," ")</f>
        <v> </v>
      </c>
      <c r="U67" s="373"/>
    </row>
    <row r="68" customFormat="false" ht="12.75" hidden="false" customHeight="false" outlineLevel="0" collapsed="false">
      <c r="D68" s="373" t="str">
        <f aca="false">IF((F68&lt;&gt;0),"Enter Letter"," ")</f>
        <v> </v>
      </c>
      <c r="G68" s="181" t="str">
        <f aca="false">IF((D68="d"),F68," ")</f>
        <v> </v>
      </c>
      <c r="H68" s="181" t="str">
        <f aca="false">IF((D68="h"),F68," ")</f>
        <v> </v>
      </c>
      <c r="I68" s="181" t="str">
        <f aca="false">IF((D68="r"),F68," ")</f>
        <v> </v>
      </c>
      <c r="J68" s="181" t="str">
        <f aca="false">IF((D68="t"),F68," ")</f>
        <v> </v>
      </c>
      <c r="K68" s="181" t="str">
        <f aca="false">IF((D68="e"),F68," ")</f>
        <v> </v>
      </c>
      <c r="L68" s="181" t="str">
        <f aca="false">IF((D68="p"),F68," ")</f>
        <v> </v>
      </c>
      <c r="M68" s="181" t="str">
        <f aca="false">IF((D68="g"),F68," ")</f>
        <v> </v>
      </c>
      <c r="N68" s="181" t="str">
        <f aca="false">IF((D68="a"),F68," ")</f>
        <v> </v>
      </c>
      <c r="O68" s="181" t="str">
        <f aca="false">IF((D68="l"),F68," ")</f>
        <v> </v>
      </c>
      <c r="P68" s="181" t="str">
        <f aca="false">IF((D68="i"),F68," ")</f>
        <v> </v>
      </c>
      <c r="Q68" s="181" t="str">
        <f aca="false">IF((D68="b"),F68," ")</f>
        <v> </v>
      </c>
      <c r="R68" s="181" t="str">
        <f aca="false">IF((D68="o"),F68," ")</f>
        <v> </v>
      </c>
      <c r="S68" s="181" t="str">
        <f aca="false">IF((D68="f"),F68," ")</f>
        <v> </v>
      </c>
      <c r="U68" s="373"/>
    </row>
    <row r="69" customFormat="false" ht="12.75" hidden="false" customHeight="false" outlineLevel="0" collapsed="false">
      <c r="D69" s="373" t="str">
        <f aca="false">IF((F69&lt;&gt;0),"Enter Letter"," ")</f>
        <v> </v>
      </c>
      <c r="G69" s="181" t="str">
        <f aca="false">IF((D69="d"),F69," ")</f>
        <v> </v>
      </c>
      <c r="H69" s="181" t="str">
        <f aca="false">IF((D69="h"),F69," ")</f>
        <v> </v>
      </c>
      <c r="I69" s="181" t="str">
        <f aca="false">IF((D69="r"),F69," ")</f>
        <v> </v>
      </c>
      <c r="J69" s="181" t="str">
        <f aca="false">IF((D69="t"),F69," ")</f>
        <v> </v>
      </c>
      <c r="K69" s="181" t="str">
        <f aca="false">IF((D69="e"),F69," ")</f>
        <v> </v>
      </c>
      <c r="L69" s="181" t="str">
        <f aca="false">IF((D69="p"),F69," ")</f>
        <v> </v>
      </c>
      <c r="M69" s="181" t="str">
        <f aca="false">IF((D69="g"),F69," ")</f>
        <v> </v>
      </c>
      <c r="N69" s="181" t="str">
        <f aca="false">IF((D69="a"),F69," ")</f>
        <v> </v>
      </c>
      <c r="O69" s="181" t="str">
        <f aca="false">IF((D69="l"),F69," ")</f>
        <v> </v>
      </c>
      <c r="P69" s="181" t="str">
        <f aca="false">IF((D69="i"),F69," ")</f>
        <v> </v>
      </c>
      <c r="Q69" s="181" t="str">
        <f aca="false">IF((D69="b"),F69," ")</f>
        <v> </v>
      </c>
      <c r="R69" s="181" t="str">
        <f aca="false">IF((D69="o"),F69," ")</f>
        <v> </v>
      </c>
      <c r="S69" s="181" t="str">
        <f aca="false">IF((D69="f"),F69," ")</f>
        <v> </v>
      </c>
      <c r="U69" s="373"/>
    </row>
    <row r="70" customFormat="false" ht="12.75" hidden="false" customHeight="false" outlineLevel="0" collapsed="false">
      <c r="D70" s="373" t="str">
        <f aca="false">IF((F70&lt;&gt;0),"Enter Letter"," ")</f>
        <v> </v>
      </c>
      <c r="G70" s="181" t="str">
        <f aca="false">IF((D70="d"),F70," ")</f>
        <v> </v>
      </c>
      <c r="H70" s="181" t="str">
        <f aca="false">IF((D70="h"),F70," ")</f>
        <v> </v>
      </c>
      <c r="I70" s="181" t="str">
        <f aca="false">IF((D70="r"),F70," ")</f>
        <v> </v>
      </c>
      <c r="J70" s="181" t="str">
        <f aca="false">IF((D70="t"),F70," ")</f>
        <v> </v>
      </c>
      <c r="K70" s="181" t="str">
        <f aca="false">IF((D70="e"),F70," ")</f>
        <v> </v>
      </c>
      <c r="L70" s="181" t="str">
        <f aca="false">IF((D70="p"),F70," ")</f>
        <v> </v>
      </c>
      <c r="M70" s="181" t="str">
        <f aca="false">IF((D70="g"),F70," ")</f>
        <v> </v>
      </c>
      <c r="N70" s="181" t="str">
        <f aca="false">IF((D70="a"),F70," ")</f>
        <v> </v>
      </c>
      <c r="O70" s="181" t="str">
        <f aca="false">IF((D70="l"),F70," ")</f>
        <v> </v>
      </c>
      <c r="P70" s="181" t="str">
        <f aca="false">IF((D70="i"),F70," ")</f>
        <v> </v>
      </c>
      <c r="Q70" s="181" t="str">
        <f aca="false">IF((D70="b"),F70," ")</f>
        <v> </v>
      </c>
      <c r="R70" s="181" t="str">
        <f aca="false">IF((D70="o"),F70," ")</f>
        <v> </v>
      </c>
      <c r="S70" s="181" t="str">
        <f aca="false">IF((D70="f"),F70," ")</f>
        <v> </v>
      </c>
      <c r="U70" s="373"/>
    </row>
    <row r="71" customFormat="false" ht="12.75" hidden="false" customHeight="false" outlineLevel="0" collapsed="false">
      <c r="D71" s="373" t="str">
        <f aca="false">IF((F71&lt;&gt;0),"Enter Letter"," ")</f>
        <v> </v>
      </c>
      <c r="G71" s="181" t="str">
        <f aca="false">IF((D71="d"),F71," ")</f>
        <v> </v>
      </c>
      <c r="H71" s="181" t="str">
        <f aca="false">IF((D71="h"),F71," ")</f>
        <v> </v>
      </c>
      <c r="I71" s="181" t="str">
        <f aca="false">IF((D71="r"),F71," ")</f>
        <v> </v>
      </c>
      <c r="J71" s="181" t="str">
        <f aca="false">IF((D71="t"),F71," ")</f>
        <v> </v>
      </c>
      <c r="K71" s="181" t="str">
        <f aca="false">IF((D71="e"),F71," ")</f>
        <v> </v>
      </c>
      <c r="L71" s="181" t="str">
        <f aca="false">IF((D71="p"),F71," ")</f>
        <v> </v>
      </c>
      <c r="M71" s="181" t="str">
        <f aca="false">IF((D71="g"),F71," ")</f>
        <v> </v>
      </c>
      <c r="N71" s="181" t="str">
        <f aca="false">IF((D71="a"),F71," ")</f>
        <v> </v>
      </c>
      <c r="O71" s="181" t="str">
        <f aca="false">IF((D71="l"),F71," ")</f>
        <v> </v>
      </c>
      <c r="P71" s="181" t="str">
        <f aca="false">IF((D71="i"),F71," ")</f>
        <v> </v>
      </c>
      <c r="Q71" s="181" t="str">
        <f aca="false">IF((D71="b"),F71," ")</f>
        <v> </v>
      </c>
      <c r="R71" s="181" t="str">
        <f aca="false">IF((D71="o"),F71," ")</f>
        <v> </v>
      </c>
      <c r="S71" s="181" t="str">
        <f aca="false">IF((D71="f"),F71," ")</f>
        <v> </v>
      </c>
      <c r="U71" s="373"/>
    </row>
    <row r="72" customFormat="false" ht="12.75" hidden="false" customHeight="false" outlineLevel="0" collapsed="false">
      <c r="D72" s="373" t="str">
        <f aca="false">IF((F72&lt;&gt;0),"Enter Letter"," ")</f>
        <v> </v>
      </c>
      <c r="G72" s="181" t="str">
        <f aca="false">IF((D72="d"),F72," ")</f>
        <v> </v>
      </c>
      <c r="H72" s="181" t="str">
        <f aca="false">IF((D72="h"),F72," ")</f>
        <v> </v>
      </c>
      <c r="I72" s="181" t="str">
        <f aca="false">IF((D72="r"),F72," ")</f>
        <v> </v>
      </c>
      <c r="J72" s="181" t="str">
        <f aca="false">IF((D72="t"),F72," ")</f>
        <v> </v>
      </c>
      <c r="K72" s="181" t="str">
        <f aca="false">IF((D72="e"),F72," ")</f>
        <v> </v>
      </c>
      <c r="L72" s="181" t="str">
        <f aca="false">IF((D72="p"),F72," ")</f>
        <v> </v>
      </c>
      <c r="M72" s="181" t="str">
        <f aca="false">IF((D72="g"),F72," ")</f>
        <v> </v>
      </c>
      <c r="N72" s="181" t="str">
        <f aca="false">IF((D72="a"),F72," ")</f>
        <v> </v>
      </c>
      <c r="O72" s="181" t="str">
        <f aca="false">IF((D72="l"),F72," ")</f>
        <v> </v>
      </c>
      <c r="P72" s="181" t="str">
        <f aca="false">IF((D72="i"),F72," ")</f>
        <v> </v>
      </c>
      <c r="Q72" s="181" t="str">
        <f aca="false">IF((D72="b"),F72," ")</f>
        <v> </v>
      </c>
      <c r="R72" s="181" t="str">
        <f aca="false">IF((D72="o"),F72," ")</f>
        <v> </v>
      </c>
      <c r="S72" s="181" t="str">
        <f aca="false">IF((D72="f"),F72," ")</f>
        <v> </v>
      </c>
      <c r="U72" s="373"/>
    </row>
    <row r="73" customFormat="false" ht="12.75" hidden="false" customHeight="false" outlineLevel="0" collapsed="false">
      <c r="D73" s="373" t="str">
        <f aca="false">IF((F73&lt;&gt;0),"Enter Letter"," ")</f>
        <v> </v>
      </c>
      <c r="G73" s="181" t="str">
        <f aca="false">IF((D73="d"),F73," ")</f>
        <v> </v>
      </c>
      <c r="H73" s="181" t="str">
        <f aca="false">IF((D73="h"),F73," ")</f>
        <v> </v>
      </c>
      <c r="I73" s="181" t="str">
        <f aca="false">IF((D73="r"),F73," ")</f>
        <v> </v>
      </c>
      <c r="J73" s="181" t="str">
        <f aca="false">IF((D73="t"),F73," ")</f>
        <v> </v>
      </c>
      <c r="K73" s="181" t="str">
        <f aca="false">IF((D73="e"),F73," ")</f>
        <v> </v>
      </c>
      <c r="L73" s="181" t="str">
        <f aca="false">IF((D73="p"),F73," ")</f>
        <v> </v>
      </c>
      <c r="M73" s="181" t="str">
        <f aca="false">IF((D73="g"),F73," ")</f>
        <v> </v>
      </c>
      <c r="N73" s="181" t="str">
        <f aca="false">IF((D73="a"),F73," ")</f>
        <v> </v>
      </c>
      <c r="O73" s="181" t="str">
        <f aca="false">IF((D73="l"),F73," ")</f>
        <v> </v>
      </c>
      <c r="P73" s="181" t="str">
        <f aca="false">IF((D73="i"),F73," ")</f>
        <v> </v>
      </c>
      <c r="Q73" s="181" t="str">
        <f aca="false">IF((D73="b"),F73," ")</f>
        <v> </v>
      </c>
      <c r="R73" s="181" t="str">
        <f aca="false">IF((D73="o"),F73," ")</f>
        <v> </v>
      </c>
      <c r="S73" s="181" t="str">
        <f aca="false">IF((D73="f"),F73," ")</f>
        <v> </v>
      </c>
      <c r="U73" s="373"/>
    </row>
    <row r="74" customFormat="false" ht="12.75" hidden="false" customHeight="false" outlineLevel="0" collapsed="false">
      <c r="D74" s="373" t="str">
        <f aca="false">IF((F74&lt;&gt;0),"Enter Letter"," ")</f>
        <v> </v>
      </c>
      <c r="G74" s="181" t="str">
        <f aca="false">IF((D74="d"),F74," ")</f>
        <v> </v>
      </c>
      <c r="H74" s="181" t="str">
        <f aca="false">IF((D74="h"),F74," ")</f>
        <v> </v>
      </c>
      <c r="I74" s="181" t="str">
        <f aca="false">IF((D74="r"),F74," ")</f>
        <v> </v>
      </c>
      <c r="J74" s="181" t="str">
        <f aca="false">IF((D74="t"),F74," ")</f>
        <v> </v>
      </c>
      <c r="K74" s="181" t="str">
        <f aca="false">IF((D74="e"),F74," ")</f>
        <v> </v>
      </c>
      <c r="L74" s="181" t="str">
        <f aca="false">IF((D74="p"),F74," ")</f>
        <v> </v>
      </c>
      <c r="M74" s="181" t="str">
        <f aca="false">IF((D74="g"),F74," ")</f>
        <v> </v>
      </c>
      <c r="N74" s="181" t="str">
        <f aca="false">IF((D74="a"),F74," ")</f>
        <v> </v>
      </c>
      <c r="O74" s="181" t="str">
        <f aca="false">IF((D74="l"),F74," ")</f>
        <v> </v>
      </c>
      <c r="P74" s="181" t="str">
        <f aca="false">IF((D74="i"),F74," ")</f>
        <v> </v>
      </c>
      <c r="Q74" s="181" t="str">
        <f aca="false">IF((D74="b"),F74," ")</f>
        <v> </v>
      </c>
      <c r="R74" s="181" t="str">
        <f aca="false">IF((D74="o"),F74," ")</f>
        <v> </v>
      </c>
      <c r="S74" s="181" t="str">
        <f aca="false">IF((D74="f"),F74," ")</f>
        <v> </v>
      </c>
      <c r="U74" s="373"/>
    </row>
    <row r="75" customFormat="false" ht="12.75" hidden="false" customHeight="false" outlineLevel="0" collapsed="false">
      <c r="D75" s="373" t="str">
        <f aca="false">IF((F75&lt;&gt;0),"Enter Letter"," ")</f>
        <v> </v>
      </c>
      <c r="G75" s="181" t="str">
        <f aca="false">IF((D75="d"),F75," ")</f>
        <v> </v>
      </c>
      <c r="H75" s="181" t="str">
        <f aca="false">IF((D75="h"),F75," ")</f>
        <v> </v>
      </c>
      <c r="I75" s="181" t="str">
        <f aca="false">IF((D75="r"),F75," ")</f>
        <v> </v>
      </c>
      <c r="J75" s="181" t="str">
        <f aca="false">IF((D75="t"),F75," ")</f>
        <v> </v>
      </c>
      <c r="K75" s="181" t="str">
        <f aca="false">IF((D75="e"),F75," ")</f>
        <v> </v>
      </c>
      <c r="L75" s="181" t="str">
        <f aca="false">IF((D75="p"),F75," ")</f>
        <v> </v>
      </c>
      <c r="M75" s="181" t="str">
        <f aca="false">IF((D75="g"),F75," ")</f>
        <v> </v>
      </c>
      <c r="N75" s="181" t="str">
        <f aca="false">IF((D75="a"),F75," ")</f>
        <v> </v>
      </c>
      <c r="O75" s="181" t="str">
        <f aca="false">IF((D75="l"),F75," ")</f>
        <v> </v>
      </c>
      <c r="P75" s="181" t="str">
        <f aca="false">IF((D75="i"),F75," ")</f>
        <v> </v>
      </c>
      <c r="Q75" s="181" t="str">
        <f aca="false">IF((D75="b"),F75," ")</f>
        <v> </v>
      </c>
      <c r="R75" s="181" t="str">
        <f aca="false">IF((D75="o"),F75," ")</f>
        <v> </v>
      </c>
      <c r="S75" s="181" t="str">
        <f aca="false">IF((D75="f"),F75," ")</f>
        <v> </v>
      </c>
      <c r="U75" s="373"/>
    </row>
    <row r="76" customFormat="false" ht="12.75" hidden="false" customHeight="false" outlineLevel="0" collapsed="false">
      <c r="D76" s="373" t="str">
        <f aca="false">IF((F76&lt;&gt;0),"Enter Letter"," ")</f>
        <v> </v>
      </c>
      <c r="G76" s="181" t="str">
        <f aca="false">IF((D76="d"),F76," ")</f>
        <v> </v>
      </c>
      <c r="H76" s="181" t="str">
        <f aca="false">IF((D76="h"),F76," ")</f>
        <v> </v>
      </c>
      <c r="I76" s="181" t="str">
        <f aca="false">IF((D76="r"),F76," ")</f>
        <v> </v>
      </c>
      <c r="J76" s="181" t="str">
        <f aca="false">IF((D76="t"),F76," ")</f>
        <v> </v>
      </c>
      <c r="K76" s="181" t="str">
        <f aca="false">IF((D76="e"),F76," ")</f>
        <v> </v>
      </c>
      <c r="L76" s="181" t="str">
        <f aca="false">IF((D76="p"),F76," ")</f>
        <v> </v>
      </c>
      <c r="M76" s="181" t="str">
        <f aca="false">IF((D76="g"),F76," ")</f>
        <v> </v>
      </c>
      <c r="N76" s="181" t="str">
        <f aca="false">IF((D76="a"),F76," ")</f>
        <v> </v>
      </c>
      <c r="O76" s="181" t="str">
        <f aca="false">IF((D76="l"),F76," ")</f>
        <v> </v>
      </c>
      <c r="P76" s="181" t="str">
        <f aca="false">IF((D76="i"),F76," ")</f>
        <v> </v>
      </c>
      <c r="Q76" s="181" t="str">
        <f aca="false">IF((D76="b"),F76," ")</f>
        <v> </v>
      </c>
      <c r="R76" s="181" t="str">
        <f aca="false">IF((D76="o"),F76," ")</f>
        <v> </v>
      </c>
      <c r="S76" s="181" t="str">
        <f aca="false">IF((D76="f"),F76," ")</f>
        <v> </v>
      </c>
      <c r="U76" s="373"/>
    </row>
    <row r="77" customFormat="false" ht="12.75" hidden="false" customHeight="false" outlineLevel="0" collapsed="false">
      <c r="D77" s="373" t="str">
        <f aca="false">IF((F77&lt;&gt;0),"Enter Letter"," ")</f>
        <v> </v>
      </c>
      <c r="G77" s="181" t="str">
        <f aca="false">IF((D77="d"),F77," ")</f>
        <v> </v>
      </c>
      <c r="H77" s="181" t="str">
        <f aca="false">IF((D77="h"),F77," ")</f>
        <v> </v>
      </c>
      <c r="I77" s="181" t="str">
        <f aca="false">IF((D77="r"),F77," ")</f>
        <v> </v>
      </c>
      <c r="J77" s="181" t="str">
        <f aca="false">IF((D77="t"),F77," ")</f>
        <v> </v>
      </c>
      <c r="K77" s="181" t="str">
        <f aca="false">IF((D77="e"),F77," ")</f>
        <v> </v>
      </c>
      <c r="L77" s="181" t="str">
        <f aca="false">IF((D77="p"),F77," ")</f>
        <v> </v>
      </c>
      <c r="M77" s="181" t="str">
        <f aca="false">IF((D77="g"),F77," ")</f>
        <v> </v>
      </c>
      <c r="N77" s="181" t="str">
        <f aca="false">IF((D77="a"),F77," ")</f>
        <v> </v>
      </c>
      <c r="O77" s="181" t="str">
        <f aca="false">IF((D77="l"),F77," ")</f>
        <v> </v>
      </c>
      <c r="P77" s="181" t="str">
        <f aca="false">IF((D77="i"),F77," ")</f>
        <v> </v>
      </c>
      <c r="Q77" s="181" t="str">
        <f aca="false">IF((D77="b"),F77," ")</f>
        <v> </v>
      </c>
      <c r="R77" s="181" t="str">
        <f aca="false">IF((D77="o"),F77," ")</f>
        <v> </v>
      </c>
      <c r="S77" s="181" t="str">
        <f aca="false">IF((D77="f"),F77," ")</f>
        <v> </v>
      </c>
      <c r="U77" s="373"/>
    </row>
    <row r="78" customFormat="false" ht="12.75" hidden="false" customHeight="false" outlineLevel="0" collapsed="false">
      <c r="D78" s="373" t="str">
        <f aca="false">IF((F78&lt;&gt;0),"Enter Letter"," ")</f>
        <v> </v>
      </c>
      <c r="G78" s="181" t="str">
        <f aca="false">IF((D78="d"),F78," ")</f>
        <v> </v>
      </c>
      <c r="H78" s="181" t="str">
        <f aca="false">IF((D78="h"),F78," ")</f>
        <v> </v>
      </c>
      <c r="I78" s="181" t="str">
        <f aca="false">IF((D78="r"),F78," ")</f>
        <v> </v>
      </c>
      <c r="J78" s="181" t="str">
        <f aca="false">IF((D78="t"),F78," ")</f>
        <v> </v>
      </c>
      <c r="K78" s="181" t="str">
        <f aca="false">IF((D78="e"),F78," ")</f>
        <v> </v>
      </c>
      <c r="L78" s="181" t="str">
        <f aca="false">IF((D78="p"),F78," ")</f>
        <v> </v>
      </c>
      <c r="M78" s="181" t="str">
        <f aca="false">IF((D78="g"),F78," ")</f>
        <v> </v>
      </c>
      <c r="N78" s="181" t="str">
        <f aca="false">IF((D78="a"),F78," ")</f>
        <v> </v>
      </c>
      <c r="O78" s="181" t="str">
        <f aca="false">IF((D78="l"),F78," ")</f>
        <v> </v>
      </c>
      <c r="P78" s="181" t="str">
        <f aca="false">IF((D78="i"),F78," ")</f>
        <v> </v>
      </c>
      <c r="Q78" s="181" t="str">
        <f aca="false">IF((D78="b"),F78," ")</f>
        <v> </v>
      </c>
      <c r="R78" s="181" t="str">
        <f aca="false">IF((D78="o"),F78," ")</f>
        <v> </v>
      </c>
      <c r="S78" s="181" t="str">
        <f aca="false">IF((D78="f"),F78," ")</f>
        <v> </v>
      </c>
      <c r="U78" s="373"/>
    </row>
    <row r="79" customFormat="false" ht="12.75" hidden="false" customHeight="false" outlineLevel="0" collapsed="false">
      <c r="D79" s="373" t="str">
        <f aca="false">IF((F79&lt;&gt;0),"Enter Letter"," ")</f>
        <v> </v>
      </c>
      <c r="G79" s="181" t="str">
        <f aca="false">IF((D79="d"),F79," ")</f>
        <v> </v>
      </c>
      <c r="H79" s="181" t="str">
        <f aca="false">IF((D79="h"),F79," ")</f>
        <v> </v>
      </c>
      <c r="I79" s="181" t="str">
        <f aca="false">IF((D79="r"),F79," ")</f>
        <v> </v>
      </c>
      <c r="J79" s="181" t="str">
        <f aca="false">IF((D79="t"),F79," ")</f>
        <v> </v>
      </c>
      <c r="K79" s="181" t="str">
        <f aca="false">IF((D79="e"),F79," ")</f>
        <v> </v>
      </c>
      <c r="L79" s="181" t="str">
        <f aca="false">IF((D79="p"),F79," ")</f>
        <v> </v>
      </c>
      <c r="M79" s="181" t="str">
        <f aca="false">IF((D79="g"),F79," ")</f>
        <v> </v>
      </c>
      <c r="N79" s="181" t="str">
        <f aca="false">IF((D79="a"),F79," ")</f>
        <v> </v>
      </c>
      <c r="O79" s="181" t="str">
        <f aca="false">IF((D79="l"),F79," ")</f>
        <v> </v>
      </c>
      <c r="P79" s="181" t="str">
        <f aca="false">IF((D79="i"),F79," ")</f>
        <v> </v>
      </c>
      <c r="Q79" s="181" t="str">
        <f aca="false">IF((D79="b"),F79," ")</f>
        <v> </v>
      </c>
      <c r="R79" s="181" t="str">
        <f aca="false">IF((D79="o"),F79," ")</f>
        <v> </v>
      </c>
      <c r="S79" s="181" t="str">
        <f aca="false">IF((D79="f"),F79," ")</f>
        <v> </v>
      </c>
      <c r="U79" s="373"/>
    </row>
    <row r="80" customFormat="false" ht="12.75" hidden="false" customHeight="false" outlineLevel="0" collapsed="false">
      <c r="D80" s="373" t="str">
        <f aca="false">IF((F80&lt;&gt;0),"Enter Letter"," ")</f>
        <v> </v>
      </c>
      <c r="G80" s="181" t="str">
        <f aca="false">IF((D80="d"),F80," ")</f>
        <v> </v>
      </c>
      <c r="H80" s="181" t="str">
        <f aca="false">IF((D80="h"),F80," ")</f>
        <v> </v>
      </c>
      <c r="I80" s="181" t="str">
        <f aca="false">IF((D80="r"),F80," ")</f>
        <v> </v>
      </c>
      <c r="J80" s="181" t="str">
        <f aca="false">IF((D80="t"),F80," ")</f>
        <v> </v>
      </c>
      <c r="K80" s="181" t="str">
        <f aca="false">IF((D80="e"),F80," ")</f>
        <v> </v>
      </c>
      <c r="L80" s="181" t="str">
        <f aca="false">IF((D80="p"),F80," ")</f>
        <v> </v>
      </c>
      <c r="M80" s="181" t="str">
        <f aca="false">IF((D80="g"),F80," ")</f>
        <v> </v>
      </c>
      <c r="N80" s="181" t="str">
        <f aca="false">IF((D80="a"),F80," ")</f>
        <v> </v>
      </c>
      <c r="O80" s="181" t="str">
        <f aca="false">IF((D80="l"),F80," ")</f>
        <v> </v>
      </c>
      <c r="P80" s="181" t="str">
        <f aca="false">IF((D80="i"),F80," ")</f>
        <v> </v>
      </c>
      <c r="Q80" s="181" t="str">
        <f aca="false">IF((D80="b"),F80," ")</f>
        <v> </v>
      </c>
      <c r="R80" s="181" t="str">
        <f aca="false">IF((D80="o"),F80," ")</f>
        <v> </v>
      </c>
      <c r="S80" s="181" t="str">
        <f aca="false">IF((D80="f"),F80," ")</f>
        <v> </v>
      </c>
      <c r="U80" s="373"/>
    </row>
    <row r="81" customFormat="false" ht="12.75" hidden="false" customHeight="false" outlineLevel="0" collapsed="false">
      <c r="D81" s="373" t="str">
        <f aca="false">IF((F81&lt;&gt;0),"Enter Letter"," ")</f>
        <v> </v>
      </c>
      <c r="G81" s="181" t="str">
        <f aca="false">IF((D81="d"),F81," ")</f>
        <v> </v>
      </c>
      <c r="H81" s="181" t="str">
        <f aca="false">IF((D81="h"),F81," ")</f>
        <v> </v>
      </c>
      <c r="I81" s="181" t="str">
        <f aca="false">IF((D81="r"),F81," ")</f>
        <v> </v>
      </c>
      <c r="J81" s="181" t="str">
        <f aca="false">IF((D81="t"),F81," ")</f>
        <v> </v>
      </c>
      <c r="K81" s="181" t="str">
        <f aca="false">IF((D81="e"),F81," ")</f>
        <v> </v>
      </c>
      <c r="L81" s="181" t="str">
        <f aca="false">IF((D81="p"),F81," ")</f>
        <v> </v>
      </c>
      <c r="M81" s="181" t="str">
        <f aca="false">IF((D81="g"),F81," ")</f>
        <v> </v>
      </c>
      <c r="N81" s="181" t="str">
        <f aca="false">IF((D81="a"),F81," ")</f>
        <v> </v>
      </c>
      <c r="O81" s="181" t="str">
        <f aca="false">IF((D81="l"),F81," ")</f>
        <v> </v>
      </c>
      <c r="P81" s="181" t="str">
        <f aca="false">IF((D81="i"),F81," ")</f>
        <v> </v>
      </c>
      <c r="Q81" s="181" t="str">
        <f aca="false">IF((D81="b"),F81," ")</f>
        <v> </v>
      </c>
      <c r="R81" s="181" t="str">
        <f aca="false">IF((D81="o"),F81," ")</f>
        <v> </v>
      </c>
      <c r="S81" s="181" t="str">
        <f aca="false">IF((D81="f"),F81," ")</f>
        <v> </v>
      </c>
      <c r="U81" s="373"/>
    </row>
    <row r="82" customFormat="false" ht="12.75" hidden="false" customHeight="false" outlineLevel="0" collapsed="false">
      <c r="D82" s="373" t="str">
        <f aca="false">IF((F82&lt;&gt;0),"Enter Letter"," ")</f>
        <v> </v>
      </c>
      <c r="G82" s="181" t="str">
        <f aca="false">IF((D82="d"),F82," ")</f>
        <v> </v>
      </c>
      <c r="H82" s="181" t="str">
        <f aca="false">IF((D82="h"),F82," ")</f>
        <v> </v>
      </c>
      <c r="I82" s="181" t="str">
        <f aca="false">IF((D82="r"),F82," ")</f>
        <v> </v>
      </c>
      <c r="J82" s="181" t="str">
        <f aca="false">IF((D82="t"),F82," ")</f>
        <v> </v>
      </c>
      <c r="K82" s="181" t="str">
        <f aca="false">IF((D82="e"),F82," ")</f>
        <v> </v>
      </c>
      <c r="L82" s="181" t="str">
        <f aca="false">IF((D82="p"),F82," ")</f>
        <v> </v>
      </c>
      <c r="M82" s="181" t="str">
        <f aca="false">IF((D82="g"),F82," ")</f>
        <v> </v>
      </c>
      <c r="N82" s="181" t="str">
        <f aca="false">IF((D82="a"),F82," ")</f>
        <v> </v>
      </c>
      <c r="O82" s="181" t="str">
        <f aca="false">IF((D82="l"),F82," ")</f>
        <v> </v>
      </c>
      <c r="P82" s="181" t="str">
        <f aca="false">IF((D82="i"),F82," ")</f>
        <v> </v>
      </c>
      <c r="Q82" s="181" t="str">
        <f aca="false">IF((D82="b"),F82," ")</f>
        <v> </v>
      </c>
      <c r="R82" s="181" t="str">
        <f aca="false">IF((D82="o"),F82," ")</f>
        <v> </v>
      </c>
      <c r="S82" s="181" t="str">
        <f aca="false">IF((D82="f"),F82," ")</f>
        <v> </v>
      </c>
      <c r="U82" s="373"/>
    </row>
    <row r="83" customFormat="false" ht="12.75" hidden="false" customHeight="false" outlineLevel="0" collapsed="false">
      <c r="D83" s="373" t="str">
        <f aca="false">IF((F83&lt;&gt;0),"Enter Letter"," ")</f>
        <v> </v>
      </c>
      <c r="G83" s="181" t="str">
        <f aca="false">IF((D83="d"),F83," ")</f>
        <v> </v>
      </c>
      <c r="H83" s="181" t="str">
        <f aca="false">IF((D83="h"),F83," ")</f>
        <v> </v>
      </c>
      <c r="I83" s="181" t="str">
        <f aca="false">IF((D83="r"),F83," ")</f>
        <v> </v>
      </c>
      <c r="J83" s="181" t="str">
        <f aca="false">IF((D83="t"),F83," ")</f>
        <v> </v>
      </c>
      <c r="K83" s="181" t="str">
        <f aca="false">IF((D83="e"),F83," ")</f>
        <v> </v>
      </c>
      <c r="L83" s="181" t="str">
        <f aca="false">IF((D83="p"),F83," ")</f>
        <v> </v>
      </c>
      <c r="M83" s="181" t="str">
        <f aca="false">IF((D83="g"),F83," ")</f>
        <v> </v>
      </c>
      <c r="N83" s="181" t="str">
        <f aca="false">IF((D83="a"),F83," ")</f>
        <v> </v>
      </c>
      <c r="O83" s="181" t="str">
        <f aca="false">IF((D83="l"),F83," ")</f>
        <v> </v>
      </c>
      <c r="P83" s="181" t="str">
        <f aca="false">IF((D83="i"),F83," ")</f>
        <v> </v>
      </c>
      <c r="Q83" s="181" t="str">
        <f aca="false">IF((D83="b"),F83," ")</f>
        <v> </v>
      </c>
      <c r="R83" s="181" t="str">
        <f aca="false">IF((D83="o"),F83," ")</f>
        <v> </v>
      </c>
      <c r="S83" s="181" t="str">
        <f aca="false">IF((D83="f"),F83," ")</f>
        <v> </v>
      </c>
      <c r="U83" s="373"/>
    </row>
    <row r="84" customFormat="false" ht="12.75" hidden="false" customHeight="false" outlineLevel="0" collapsed="false">
      <c r="D84" s="373" t="str">
        <f aca="false">IF((F84&lt;&gt;0),"Enter Letter"," ")</f>
        <v> </v>
      </c>
      <c r="G84" s="181" t="str">
        <f aca="false">IF((D84="d"),F84," ")</f>
        <v> </v>
      </c>
      <c r="H84" s="181" t="str">
        <f aca="false">IF((D84="h"),F84," ")</f>
        <v> </v>
      </c>
      <c r="I84" s="181" t="str">
        <f aca="false">IF((D84="r"),F84," ")</f>
        <v> </v>
      </c>
      <c r="J84" s="181" t="str">
        <f aca="false">IF((D84="t"),F84," ")</f>
        <v> </v>
      </c>
      <c r="K84" s="181" t="str">
        <f aca="false">IF((D84="e"),F84," ")</f>
        <v> </v>
      </c>
      <c r="L84" s="181" t="str">
        <f aca="false">IF((D84="p"),F84," ")</f>
        <v> </v>
      </c>
      <c r="M84" s="181" t="str">
        <f aca="false">IF((D84="g"),F84," ")</f>
        <v> </v>
      </c>
      <c r="N84" s="181" t="str">
        <f aca="false">IF((D84="a"),F84," ")</f>
        <v> </v>
      </c>
      <c r="O84" s="181" t="str">
        <f aca="false">IF((D84="l"),F84," ")</f>
        <v> </v>
      </c>
      <c r="P84" s="181" t="str">
        <f aca="false">IF((D84="i"),F84," ")</f>
        <v> </v>
      </c>
      <c r="Q84" s="181" t="str">
        <f aca="false">IF((D84="b"),F84," ")</f>
        <v> </v>
      </c>
      <c r="R84" s="181" t="str">
        <f aca="false">IF((D84="o"),F84," ")</f>
        <v> </v>
      </c>
      <c r="S84" s="181" t="str">
        <f aca="false">IF((D84="f"),F84," ")</f>
        <v> </v>
      </c>
      <c r="U84" s="373"/>
    </row>
    <row r="85" customFormat="false" ht="12.75" hidden="false" customHeight="false" outlineLevel="0" collapsed="false">
      <c r="D85" s="373" t="str">
        <f aca="false">IF((F85&lt;&gt;0),"Enter Letter"," ")</f>
        <v> </v>
      </c>
      <c r="G85" s="181" t="str">
        <f aca="false">IF((D85="d"),F85," ")</f>
        <v> </v>
      </c>
      <c r="H85" s="181" t="str">
        <f aca="false">IF((D85="h"),F85," ")</f>
        <v> </v>
      </c>
      <c r="I85" s="181" t="str">
        <f aca="false">IF((D85="r"),F85," ")</f>
        <v> </v>
      </c>
      <c r="J85" s="181" t="str">
        <f aca="false">IF((D85="t"),F85," ")</f>
        <v> </v>
      </c>
      <c r="K85" s="181" t="str">
        <f aca="false">IF((D85="e"),F85," ")</f>
        <v> </v>
      </c>
      <c r="L85" s="181" t="str">
        <f aca="false">IF((D85="p"),F85," ")</f>
        <v> </v>
      </c>
      <c r="M85" s="181" t="str">
        <f aca="false">IF((D85="g"),F85," ")</f>
        <v> </v>
      </c>
      <c r="N85" s="181" t="str">
        <f aca="false">IF((D85="a"),F85," ")</f>
        <v> </v>
      </c>
      <c r="O85" s="181" t="str">
        <f aca="false">IF((D85="l"),F85," ")</f>
        <v> </v>
      </c>
      <c r="P85" s="181" t="str">
        <f aca="false">IF((D85="i"),F85," ")</f>
        <v> </v>
      </c>
      <c r="Q85" s="181" t="str">
        <f aca="false">IF((D85="b"),F85," ")</f>
        <v> </v>
      </c>
      <c r="R85" s="181" t="str">
        <f aca="false">IF((D85="o"),F85," ")</f>
        <v> </v>
      </c>
      <c r="S85" s="181" t="str">
        <f aca="false">IF((D85="f"),F85," ")</f>
        <v> </v>
      </c>
      <c r="U85" s="373"/>
    </row>
    <row r="86" customFormat="false" ht="12.75" hidden="false" customHeight="false" outlineLevel="0" collapsed="false">
      <c r="D86" s="373" t="str">
        <f aca="false">IF((F86&lt;&gt;0),"Enter Letter"," ")</f>
        <v> </v>
      </c>
      <c r="G86" s="181" t="str">
        <f aca="false">IF((D86="d"),F86," ")</f>
        <v> </v>
      </c>
      <c r="H86" s="181" t="str">
        <f aca="false">IF((D86="h"),F86," ")</f>
        <v> </v>
      </c>
      <c r="I86" s="181" t="str">
        <f aca="false">IF((D86="r"),F86," ")</f>
        <v> </v>
      </c>
      <c r="J86" s="181" t="str">
        <f aca="false">IF((D86="t"),F86," ")</f>
        <v> </v>
      </c>
      <c r="K86" s="181" t="str">
        <f aca="false">IF((D86="e"),F86," ")</f>
        <v> </v>
      </c>
      <c r="L86" s="181" t="str">
        <f aca="false">IF((D86="p"),F86," ")</f>
        <v> </v>
      </c>
      <c r="M86" s="181" t="str">
        <f aca="false">IF((D86="g"),F86," ")</f>
        <v> </v>
      </c>
      <c r="N86" s="181" t="str">
        <f aca="false">IF((D86="a"),F86," ")</f>
        <v> </v>
      </c>
      <c r="O86" s="181" t="str">
        <f aca="false">IF((D86="l"),F86," ")</f>
        <v> </v>
      </c>
      <c r="P86" s="181" t="str">
        <f aca="false">IF((D86="i"),F86," ")</f>
        <v> </v>
      </c>
      <c r="Q86" s="181" t="str">
        <f aca="false">IF((D86="b"),F86," ")</f>
        <v> </v>
      </c>
      <c r="R86" s="181" t="str">
        <f aca="false">IF((D86="o"),F86," ")</f>
        <v> </v>
      </c>
      <c r="S86" s="181" t="str">
        <f aca="false">IF((D86="f"),F86," ")</f>
        <v> </v>
      </c>
      <c r="U86" s="373"/>
    </row>
    <row r="87" customFormat="false" ht="12.75" hidden="false" customHeight="false" outlineLevel="0" collapsed="false">
      <c r="D87" s="373" t="str">
        <f aca="false">IF((F87&lt;&gt;0),"Enter Letter"," ")</f>
        <v> </v>
      </c>
      <c r="G87" s="181" t="str">
        <f aca="false">IF((D87="d"),F87," ")</f>
        <v> </v>
      </c>
      <c r="H87" s="181" t="str">
        <f aca="false">IF((D87="h"),F87," ")</f>
        <v> </v>
      </c>
      <c r="I87" s="181" t="str">
        <f aca="false">IF((D87="r"),F87," ")</f>
        <v> </v>
      </c>
      <c r="J87" s="181" t="str">
        <f aca="false">IF((D87="t"),F87," ")</f>
        <v> </v>
      </c>
      <c r="K87" s="181" t="str">
        <f aca="false">IF((D87="e"),F87," ")</f>
        <v> </v>
      </c>
      <c r="L87" s="181" t="str">
        <f aca="false">IF((D87="p"),F87," ")</f>
        <v> </v>
      </c>
      <c r="M87" s="181" t="str">
        <f aca="false">IF((D87="g"),F87," ")</f>
        <v> </v>
      </c>
      <c r="N87" s="181" t="str">
        <f aca="false">IF((D87="a"),F87," ")</f>
        <v> </v>
      </c>
      <c r="O87" s="181" t="str">
        <f aca="false">IF((D87="l"),F87," ")</f>
        <v> </v>
      </c>
      <c r="P87" s="181" t="str">
        <f aca="false">IF((D87="i"),F87," ")</f>
        <v> </v>
      </c>
      <c r="Q87" s="181" t="str">
        <f aca="false">IF((D87="b"),F87," ")</f>
        <v> </v>
      </c>
      <c r="R87" s="181" t="str">
        <f aca="false">IF((D87="o"),F87," ")</f>
        <v> </v>
      </c>
      <c r="S87" s="181" t="str">
        <f aca="false">IF((D87="f"),F87," ")</f>
        <v> </v>
      </c>
      <c r="U87" s="373"/>
    </row>
    <row r="88" customFormat="false" ht="12.75" hidden="false" customHeight="false" outlineLevel="0" collapsed="false">
      <c r="D88" s="373" t="str">
        <f aca="false">IF((F88&lt;&gt;0),"Enter Letter"," ")</f>
        <v> </v>
      </c>
      <c r="G88" s="181" t="str">
        <f aca="false">IF((D88="d"),F88," ")</f>
        <v> </v>
      </c>
      <c r="H88" s="181" t="str">
        <f aca="false">IF((D88="h"),F88," ")</f>
        <v> </v>
      </c>
      <c r="I88" s="181" t="str">
        <f aca="false">IF((D88="r"),F88," ")</f>
        <v> </v>
      </c>
      <c r="J88" s="181" t="str">
        <f aca="false">IF((D88="t"),F88," ")</f>
        <v> </v>
      </c>
      <c r="K88" s="181" t="str">
        <f aca="false">IF((D88="e"),F88," ")</f>
        <v> </v>
      </c>
      <c r="L88" s="181" t="str">
        <f aca="false">IF((D88="p"),F88," ")</f>
        <v> </v>
      </c>
      <c r="M88" s="181" t="str">
        <f aca="false">IF((D88="g"),F88," ")</f>
        <v> </v>
      </c>
      <c r="N88" s="181" t="str">
        <f aca="false">IF((D88="a"),F88," ")</f>
        <v> </v>
      </c>
      <c r="O88" s="181" t="str">
        <f aca="false">IF((D88="l"),F88," ")</f>
        <v> </v>
      </c>
      <c r="P88" s="181" t="str">
        <f aca="false">IF((D88="i"),F88," ")</f>
        <v> </v>
      </c>
      <c r="Q88" s="181" t="str">
        <f aca="false">IF((D88="b"),F88," ")</f>
        <v> </v>
      </c>
      <c r="R88" s="181" t="str">
        <f aca="false">IF((D88="o"),F88," ")</f>
        <v> </v>
      </c>
      <c r="S88" s="181" t="str">
        <f aca="false">IF((D88="f"),F88," ")</f>
        <v> </v>
      </c>
      <c r="U88" s="373"/>
    </row>
    <row r="89" customFormat="false" ht="12.75" hidden="false" customHeight="false" outlineLevel="0" collapsed="false">
      <c r="D89" s="373" t="str">
        <f aca="false">IF((F89&lt;&gt;0),"Enter Letter"," ")</f>
        <v> </v>
      </c>
      <c r="G89" s="181" t="str">
        <f aca="false">IF((D89="d"),F89," ")</f>
        <v> </v>
      </c>
      <c r="H89" s="181" t="str">
        <f aca="false">IF((D89="h"),F89," ")</f>
        <v> </v>
      </c>
      <c r="I89" s="181" t="str">
        <f aca="false">IF((D89="r"),F89," ")</f>
        <v> </v>
      </c>
      <c r="J89" s="181" t="str">
        <f aca="false">IF((D89="t"),F89," ")</f>
        <v> </v>
      </c>
      <c r="K89" s="181" t="str">
        <f aca="false">IF((D89="e"),F89," ")</f>
        <v> </v>
      </c>
      <c r="L89" s="181" t="str">
        <f aca="false">IF((D89="p"),F89," ")</f>
        <v> </v>
      </c>
      <c r="M89" s="181" t="str">
        <f aca="false">IF((D89="g"),F89," ")</f>
        <v> </v>
      </c>
      <c r="N89" s="181" t="str">
        <f aca="false">IF((D89="a"),F89," ")</f>
        <v> </v>
      </c>
      <c r="O89" s="181" t="str">
        <f aca="false">IF((D89="l"),F89," ")</f>
        <v> </v>
      </c>
      <c r="P89" s="181" t="str">
        <f aca="false">IF((D89="i"),F89," ")</f>
        <v> </v>
      </c>
      <c r="Q89" s="181" t="str">
        <f aca="false">IF((D89="b"),F89," ")</f>
        <v> </v>
      </c>
      <c r="R89" s="181" t="str">
        <f aca="false">IF((D89="o"),F89," ")</f>
        <v> </v>
      </c>
      <c r="S89" s="181" t="str">
        <f aca="false">IF((D89="f"),F89," ")</f>
        <v> </v>
      </c>
      <c r="U89" s="373"/>
    </row>
    <row r="90" customFormat="false" ht="12.75" hidden="false" customHeight="false" outlineLevel="0" collapsed="false">
      <c r="D90" s="373" t="str">
        <f aca="false">IF((F90&lt;&gt;0),"Enter Letter"," ")</f>
        <v> </v>
      </c>
      <c r="G90" s="181" t="str">
        <f aca="false">IF((D90="d"),F90," ")</f>
        <v> </v>
      </c>
      <c r="H90" s="181" t="str">
        <f aca="false">IF((D90="h"),F90," ")</f>
        <v> </v>
      </c>
      <c r="I90" s="181" t="str">
        <f aca="false">IF((D90="r"),F90," ")</f>
        <v> </v>
      </c>
      <c r="J90" s="181" t="str">
        <f aca="false">IF((D90="t"),F90," ")</f>
        <v> </v>
      </c>
      <c r="K90" s="181" t="str">
        <f aca="false">IF((D90="e"),F90," ")</f>
        <v> </v>
      </c>
      <c r="L90" s="181" t="str">
        <f aca="false">IF((D90="p"),F90," ")</f>
        <v> </v>
      </c>
      <c r="M90" s="181" t="str">
        <f aca="false">IF((D90="g"),F90," ")</f>
        <v> </v>
      </c>
      <c r="N90" s="181" t="str">
        <f aca="false">IF((D90="a"),F90," ")</f>
        <v> </v>
      </c>
      <c r="O90" s="181" t="str">
        <f aca="false">IF((D90="l"),F90," ")</f>
        <v> </v>
      </c>
      <c r="P90" s="181" t="str">
        <f aca="false">IF((D90="i"),F90," ")</f>
        <v> </v>
      </c>
      <c r="Q90" s="181" t="str">
        <f aca="false">IF((D90="b"),F90," ")</f>
        <v> </v>
      </c>
      <c r="R90" s="181" t="str">
        <f aca="false">IF((D90="o"),F90," ")</f>
        <v> </v>
      </c>
      <c r="S90" s="181" t="str">
        <f aca="false">IF((D90="f"),F90," ")</f>
        <v> </v>
      </c>
      <c r="U90" s="373"/>
    </row>
    <row r="91" customFormat="false" ht="12.75" hidden="false" customHeight="false" outlineLevel="0" collapsed="false">
      <c r="D91" s="373" t="str">
        <f aca="false">IF((F91&lt;&gt;0),"Enter Letter"," ")</f>
        <v> </v>
      </c>
      <c r="G91" s="181" t="str">
        <f aca="false">IF((D91="d"),F91," ")</f>
        <v> </v>
      </c>
      <c r="H91" s="181" t="str">
        <f aca="false">IF((D91="h"),F91," ")</f>
        <v> </v>
      </c>
      <c r="I91" s="181" t="str">
        <f aca="false">IF((D91="r"),F91," ")</f>
        <v> </v>
      </c>
      <c r="J91" s="181" t="str">
        <f aca="false">IF((D91="t"),F91," ")</f>
        <v> </v>
      </c>
      <c r="K91" s="181" t="str">
        <f aca="false">IF((D91="e"),F91," ")</f>
        <v> </v>
      </c>
      <c r="L91" s="181" t="str">
        <f aca="false">IF((D91="p"),F91," ")</f>
        <v> </v>
      </c>
      <c r="M91" s="181" t="str">
        <f aca="false">IF((D91="g"),F91," ")</f>
        <v> </v>
      </c>
      <c r="N91" s="181" t="str">
        <f aca="false">IF((D91="a"),F91," ")</f>
        <v> </v>
      </c>
      <c r="O91" s="181" t="str">
        <f aca="false">IF((D91="l"),F91," ")</f>
        <v> </v>
      </c>
      <c r="P91" s="181" t="str">
        <f aca="false">IF((D91="i"),F91," ")</f>
        <v> </v>
      </c>
      <c r="Q91" s="181" t="str">
        <f aca="false">IF((D91="b"),F91," ")</f>
        <v> </v>
      </c>
      <c r="R91" s="181" t="str">
        <f aca="false">IF((D91="o"),F91," ")</f>
        <v> </v>
      </c>
      <c r="S91" s="181" t="str">
        <f aca="false">IF((D91="f"),F91," ")</f>
        <v> </v>
      </c>
      <c r="U91" s="373"/>
    </row>
    <row r="92" customFormat="false" ht="12.75" hidden="false" customHeight="false" outlineLevel="0" collapsed="false">
      <c r="D92" s="373" t="str">
        <f aca="false">IF((F92&lt;&gt;0),"Enter Letter"," ")</f>
        <v> </v>
      </c>
      <c r="G92" s="181" t="str">
        <f aca="false">IF((D92="d"),F92," ")</f>
        <v> </v>
      </c>
      <c r="H92" s="181" t="str">
        <f aca="false">IF((D92="h"),F92," ")</f>
        <v> </v>
      </c>
      <c r="I92" s="181" t="str">
        <f aca="false">IF((D92="r"),F92," ")</f>
        <v> </v>
      </c>
      <c r="J92" s="181" t="str">
        <f aca="false">IF((D92="t"),F92," ")</f>
        <v> </v>
      </c>
      <c r="K92" s="181" t="str">
        <f aca="false">IF((D92="e"),F92," ")</f>
        <v> </v>
      </c>
      <c r="L92" s="181" t="str">
        <f aca="false">IF((D92="p"),F92," ")</f>
        <v> </v>
      </c>
      <c r="M92" s="181" t="str">
        <f aca="false">IF((D92="g"),F92," ")</f>
        <v> </v>
      </c>
      <c r="N92" s="181" t="str">
        <f aca="false">IF((D92="a"),F92," ")</f>
        <v> </v>
      </c>
      <c r="O92" s="181" t="str">
        <f aca="false">IF((D92="l"),F92," ")</f>
        <v> </v>
      </c>
      <c r="P92" s="181" t="str">
        <f aca="false">IF((D92="i"),F92," ")</f>
        <v> </v>
      </c>
      <c r="Q92" s="181" t="str">
        <f aca="false">IF((D92="b"),F92," ")</f>
        <v> </v>
      </c>
      <c r="R92" s="181" t="str">
        <f aca="false">IF((D92="o"),F92," ")</f>
        <v> </v>
      </c>
      <c r="S92" s="181" t="str">
        <f aca="false">IF((D92="f"),F92," ")</f>
        <v> </v>
      </c>
      <c r="U92" s="373"/>
    </row>
    <row r="93" customFormat="false" ht="12.75" hidden="false" customHeight="false" outlineLevel="0" collapsed="false">
      <c r="D93" s="373" t="str">
        <f aca="false">IF((F93&lt;&gt;0),"Enter Letter"," ")</f>
        <v> </v>
      </c>
      <c r="G93" s="181" t="str">
        <f aca="false">IF((D93="d"),F93," ")</f>
        <v> </v>
      </c>
      <c r="H93" s="181" t="str">
        <f aca="false">IF((D93="h"),F93," ")</f>
        <v> </v>
      </c>
      <c r="I93" s="181" t="str">
        <f aca="false">IF((D93="r"),F93," ")</f>
        <v> </v>
      </c>
      <c r="J93" s="181" t="str">
        <f aca="false">IF((D93="t"),F93," ")</f>
        <v> </v>
      </c>
      <c r="K93" s="181" t="str">
        <f aca="false">IF((D93="e"),F93," ")</f>
        <v> </v>
      </c>
      <c r="L93" s="181" t="str">
        <f aca="false">IF((D93="p"),F93," ")</f>
        <v> </v>
      </c>
      <c r="M93" s="181" t="str">
        <f aca="false">IF((D93="g"),F93," ")</f>
        <v> </v>
      </c>
      <c r="N93" s="181" t="str">
        <f aca="false">IF((D93="a"),F93," ")</f>
        <v> </v>
      </c>
      <c r="O93" s="181" t="str">
        <f aca="false">IF((D93="l"),F93," ")</f>
        <v> </v>
      </c>
      <c r="P93" s="181" t="str">
        <f aca="false">IF((D93="i"),F93," ")</f>
        <v> </v>
      </c>
      <c r="Q93" s="181" t="str">
        <f aca="false">IF((D93="b"),F93," ")</f>
        <v> </v>
      </c>
      <c r="R93" s="181" t="str">
        <f aca="false">IF((D93="o"),F93," ")</f>
        <v> </v>
      </c>
      <c r="S93" s="181" t="str">
        <f aca="false">IF((D93="f"),F93," ")</f>
        <v> </v>
      </c>
      <c r="U93" s="373"/>
    </row>
    <row r="94" customFormat="false" ht="12.75" hidden="false" customHeight="false" outlineLevel="0" collapsed="false">
      <c r="D94" s="373" t="str">
        <f aca="false">IF((F94&lt;&gt;0),"Enter Letter"," ")</f>
        <v> </v>
      </c>
      <c r="G94" s="181" t="str">
        <f aca="false">IF((D94="d"),F94," ")</f>
        <v> </v>
      </c>
      <c r="H94" s="181" t="str">
        <f aca="false">IF((D94="h"),F94," ")</f>
        <v> </v>
      </c>
      <c r="I94" s="181" t="str">
        <f aca="false">IF((D94="r"),F94," ")</f>
        <v> </v>
      </c>
      <c r="J94" s="181" t="str">
        <f aca="false">IF((D94="t"),F94," ")</f>
        <v> </v>
      </c>
      <c r="K94" s="181" t="str">
        <f aca="false">IF((D94="e"),F94," ")</f>
        <v> </v>
      </c>
      <c r="L94" s="181" t="str">
        <f aca="false">IF((D94="p"),F94," ")</f>
        <v> </v>
      </c>
      <c r="M94" s="181" t="str">
        <f aca="false">IF((D94="g"),F94," ")</f>
        <v> </v>
      </c>
      <c r="N94" s="181" t="str">
        <f aca="false">IF((D94="a"),F94," ")</f>
        <v> </v>
      </c>
      <c r="O94" s="181" t="str">
        <f aca="false">IF((D94="l"),F94," ")</f>
        <v> </v>
      </c>
      <c r="P94" s="181" t="str">
        <f aca="false">IF((D94="i"),F94," ")</f>
        <v> </v>
      </c>
      <c r="Q94" s="181" t="str">
        <f aca="false">IF((D94="b"),F94," ")</f>
        <v> </v>
      </c>
      <c r="R94" s="181" t="str">
        <f aca="false">IF((D94="o"),F94," ")</f>
        <v> </v>
      </c>
      <c r="S94" s="181" t="str">
        <f aca="false">IF((D94="f"),F94," ")</f>
        <v> </v>
      </c>
      <c r="U94" s="373"/>
    </row>
    <row r="95" customFormat="false" ht="12.75" hidden="false" customHeight="false" outlineLevel="0" collapsed="false">
      <c r="D95" s="373" t="str">
        <f aca="false">IF((F95&lt;&gt;0),"Enter Letter"," ")</f>
        <v> </v>
      </c>
      <c r="G95" s="181" t="str">
        <f aca="false">IF((D95="d"),F95," ")</f>
        <v> </v>
      </c>
      <c r="H95" s="181" t="str">
        <f aca="false">IF((D95="h"),F95," ")</f>
        <v> </v>
      </c>
      <c r="I95" s="181" t="str">
        <f aca="false">IF((D95="r"),F95," ")</f>
        <v> </v>
      </c>
      <c r="J95" s="181" t="str">
        <f aca="false">IF((D95="t"),F95," ")</f>
        <v> </v>
      </c>
      <c r="K95" s="181" t="str">
        <f aca="false">IF((D95="e"),F95," ")</f>
        <v> </v>
      </c>
      <c r="L95" s="181" t="str">
        <f aca="false">IF((D95="p"),F95," ")</f>
        <v> </v>
      </c>
      <c r="M95" s="181" t="str">
        <f aca="false">IF((D95="g"),F95," ")</f>
        <v> </v>
      </c>
      <c r="N95" s="181" t="str">
        <f aca="false">IF((D95="a"),F95," ")</f>
        <v> </v>
      </c>
      <c r="O95" s="181" t="str">
        <f aca="false">IF((D95="l"),F95," ")</f>
        <v> </v>
      </c>
      <c r="P95" s="181" t="str">
        <f aca="false">IF((D95="i"),F95," ")</f>
        <v> </v>
      </c>
      <c r="Q95" s="181" t="str">
        <f aca="false">IF((D95="b"),F95," ")</f>
        <v> </v>
      </c>
      <c r="R95" s="181" t="str">
        <f aca="false">IF((D95="o"),F95," ")</f>
        <v> </v>
      </c>
      <c r="S95" s="181" t="str">
        <f aca="false">IF((D95="f"),F95," ")</f>
        <v> </v>
      </c>
      <c r="U95" s="373"/>
    </row>
    <row r="96" customFormat="false" ht="12.75" hidden="false" customHeight="false" outlineLevel="0" collapsed="false">
      <c r="D96" s="373" t="str">
        <f aca="false">IF((F96&lt;&gt;0),"Enter Letter"," ")</f>
        <v> </v>
      </c>
      <c r="G96" s="181" t="str">
        <f aca="false">IF((D96="d"),F96," ")</f>
        <v> </v>
      </c>
      <c r="H96" s="181" t="str">
        <f aca="false">IF((D96="h"),F96," ")</f>
        <v> </v>
      </c>
      <c r="I96" s="181" t="str">
        <f aca="false">IF((D96="r"),F96," ")</f>
        <v> </v>
      </c>
      <c r="J96" s="181" t="str">
        <f aca="false">IF((D96="t"),F96," ")</f>
        <v> </v>
      </c>
      <c r="K96" s="181" t="str">
        <f aca="false">IF((D96="e"),F96," ")</f>
        <v> </v>
      </c>
      <c r="L96" s="181" t="str">
        <f aca="false">IF((D96="p"),F96," ")</f>
        <v> </v>
      </c>
      <c r="M96" s="181" t="str">
        <f aca="false">IF((D96="g"),F96," ")</f>
        <v> </v>
      </c>
      <c r="N96" s="181" t="str">
        <f aca="false">IF((D96="a"),F96," ")</f>
        <v> </v>
      </c>
      <c r="O96" s="181" t="str">
        <f aca="false">IF((D96="l"),F96," ")</f>
        <v> </v>
      </c>
      <c r="P96" s="181" t="str">
        <f aca="false">IF((D96="i"),F96," ")</f>
        <v> </v>
      </c>
      <c r="Q96" s="181" t="str">
        <f aca="false">IF((D96="b"),F96," ")</f>
        <v> </v>
      </c>
      <c r="R96" s="181" t="str">
        <f aca="false">IF((D96="o"),F96," ")</f>
        <v> </v>
      </c>
      <c r="S96" s="181" t="str">
        <f aca="false">IF((D96="f"),F96," ")</f>
        <v> </v>
      </c>
      <c r="U96" s="373"/>
    </row>
    <row r="97" customFormat="false" ht="12.75" hidden="false" customHeight="false" outlineLevel="0" collapsed="false">
      <c r="D97" s="373" t="str">
        <f aca="false">IF((F97&lt;&gt;0),"Enter Letter"," ")</f>
        <v> </v>
      </c>
      <c r="G97" s="181" t="str">
        <f aca="false">IF((D97="d"),F97," ")</f>
        <v> </v>
      </c>
      <c r="H97" s="181" t="str">
        <f aca="false">IF((D97="h"),F97," ")</f>
        <v> </v>
      </c>
      <c r="I97" s="181" t="str">
        <f aca="false">IF((D97="r"),F97," ")</f>
        <v> </v>
      </c>
      <c r="J97" s="181" t="str">
        <f aca="false">IF((D97="t"),F97," ")</f>
        <v> </v>
      </c>
      <c r="K97" s="181" t="str">
        <f aca="false">IF((D97="e"),F97," ")</f>
        <v> </v>
      </c>
      <c r="L97" s="181" t="str">
        <f aca="false">IF((D97="p"),F97," ")</f>
        <v> </v>
      </c>
      <c r="M97" s="181" t="str">
        <f aca="false">IF((D97="g"),F97," ")</f>
        <v> </v>
      </c>
      <c r="N97" s="181" t="str">
        <f aca="false">IF((D97="a"),F97," ")</f>
        <v> </v>
      </c>
      <c r="O97" s="181" t="str">
        <f aca="false">IF((D97="l"),F97," ")</f>
        <v> </v>
      </c>
      <c r="P97" s="181" t="str">
        <f aca="false">IF((D97="i"),F97," ")</f>
        <v> </v>
      </c>
      <c r="Q97" s="181" t="str">
        <f aca="false">IF((D97="b"),F97," ")</f>
        <v> </v>
      </c>
      <c r="R97" s="181" t="str">
        <f aca="false">IF((D97="o"),F97," ")</f>
        <v> </v>
      </c>
      <c r="S97" s="181" t="str">
        <f aca="false">IF((D97="f"),F97," ")</f>
        <v> </v>
      </c>
      <c r="U97" s="373"/>
    </row>
    <row r="98" customFormat="false" ht="12.75" hidden="false" customHeight="false" outlineLevel="0" collapsed="false">
      <c r="D98" s="373" t="str">
        <f aca="false">IF((F98&lt;&gt;0),"Enter Letter"," ")</f>
        <v> </v>
      </c>
      <c r="G98" s="181" t="str">
        <f aca="false">IF((D98="d"),F98," ")</f>
        <v> </v>
      </c>
      <c r="H98" s="181" t="str">
        <f aca="false">IF((D98="h"),F98," ")</f>
        <v> </v>
      </c>
      <c r="I98" s="181" t="str">
        <f aca="false">IF((D98="r"),F98," ")</f>
        <v> </v>
      </c>
      <c r="J98" s="181" t="str">
        <f aca="false">IF((D98="t"),F98," ")</f>
        <v> </v>
      </c>
      <c r="K98" s="181" t="str">
        <f aca="false">IF((D98="e"),F98," ")</f>
        <v> </v>
      </c>
      <c r="L98" s="181" t="str">
        <f aca="false">IF((D98="p"),F98," ")</f>
        <v> </v>
      </c>
      <c r="M98" s="181" t="str">
        <f aca="false">IF((D98="g"),F98," ")</f>
        <v> </v>
      </c>
      <c r="N98" s="181" t="str">
        <f aca="false">IF((D98="a"),F98," ")</f>
        <v> </v>
      </c>
      <c r="O98" s="181" t="str">
        <f aca="false">IF((D98="l"),F98," ")</f>
        <v> </v>
      </c>
      <c r="P98" s="181" t="str">
        <f aca="false">IF((D98="i"),F98," ")</f>
        <v> </v>
      </c>
      <c r="Q98" s="181" t="str">
        <f aca="false">IF((D98="b"),F98," ")</f>
        <v> </v>
      </c>
      <c r="R98" s="181" t="str">
        <f aca="false">IF((D98="o"),F98," ")</f>
        <v> </v>
      </c>
      <c r="S98" s="181" t="str">
        <f aca="false">IF((D98="f"),F98," ")</f>
        <v> </v>
      </c>
      <c r="U98" s="373"/>
    </row>
    <row r="99" customFormat="false" ht="12.75" hidden="false" customHeight="false" outlineLevel="0" collapsed="false">
      <c r="D99" s="373" t="str">
        <f aca="false">IF((F99&lt;&gt;0),"Enter Letter"," ")</f>
        <v> </v>
      </c>
      <c r="G99" s="181" t="str">
        <f aca="false">IF((D99="d"),F99," ")</f>
        <v> </v>
      </c>
      <c r="H99" s="181" t="str">
        <f aca="false">IF((D99="h"),F99," ")</f>
        <v> </v>
      </c>
      <c r="I99" s="181" t="str">
        <f aca="false">IF((D99="r"),F99," ")</f>
        <v> </v>
      </c>
      <c r="J99" s="181" t="str">
        <f aca="false">IF((D99="t"),F99," ")</f>
        <v> </v>
      </c>
      <c r="K99" s="181" t="str">
        <f aca="false">IF((D99="e"),F99," ")</f>
        <v> </v>
      </c>
      <c r="L99" s="181" t="str">
        <f aca="false">IF((D99="p"),F99," ")</f>
        <v> </v>
      </c>
      <c r="M99" s="181" t="str">
        <f aca="false">IF((D99="g"),F99," ")</f>
        <v> </v>
      </c>
      <c r="N99" s="181" t="str">
        <f aca="false">IF((D99="a"),F99," ")</f>
        <v> </v>
      </c>
      <c r="O99" s="181" t="str">
        <f aca="false">IF((D99="l"),F99," ")</f>
        <v> </v>
      </c>
      <c r="P99" s="181" t="str">
        <f aca="false">IF((D99="i"),F99," ")</f>
        <v> </v>
      </c>
      <c r="Q99" s="181" t="str">
        <f aca="false">IF((D99="b"),F99," ")</f>
        <v> </v>
      </c>
      <c r="R99" s="181" t="str">
        <f aca="false">IF((D99="o"),F99," ")</f>
        <v> </v>
      </c>
      <c r="S99" s="181" t="str">
        <f aca="false">IF((D99="f"),F99," ")</f>
        <v> </v>
      </c>
      <c r="U99" s="373"/>
    </row>
    <row r="100" customFormat="false" ht="12.75" hidden="false" customHeight="false" outlineLevel="0" collapsed="false">
      <c r="D100" s="373" t="str">
        <f aca="false">IF((F100&lt;&gt;0),"Enter Letter"," ")</f>
        <v> </v>
      </c>
      <c r="G100" s="181" t="str">
        <f aca="false">IF((D100="d"),F100," ")</f>
        <v> </v>
      </c>
      <c r="H100" s="181" t="str">
        <f aca="false">IF((D100="h"),F100," ")</f>
        <v> </v>
      </c>
      <c r="I100" s="181" t="str">
        <f aca="false">IF((D100="r"),F100," ")</f>
        <v> </v>
      </c>
      <c r="J100" s="181" t="str">
        <f aca="false">IF((D100="t"),F100," ")</f>
        <v> </v>
      </c>
      <c r="K100" s="181" t="str">
        <f aca="false">IF((D100="e"),F100," ")</f>
        <v> </v>
      </c>
      <c r="L100" s="181" t="str">
        <f aca="false">IF((D100="p"),F100," ")</f>
        <v> </v>
      </c>
      <c r="M100" s="181" t="str">
        <f aca="false">IF((D100="g"),F100," ")</f>
        <v> </v>
      </c>
      <c r="N100" s="181" t="str">
        <f aca="false">IF((D100="a"),F100," ")</f>
        <v> </v>
      </c>
      <c r="O100" s="181" t="str">
        <f aca="false">IF((D100="l"),F100," ")</f>
        <v> </v>
      </c>
      <c r="P100" s="181" t="str">
        <f aca="false">IF((D100="i"),F100," ")</f>
        <v> </v>
      </c>
      <c r="Q100" s="181" t="str">
        <f aca="false">IF((D100="b"),F100," ")</f>
        <v> </v>
      </c>
      <c r="R100" s="181" t="str">
        <f aca="false">IF((D100="o"),F100," ")</f>
        <v> </v>
      </c>
      <c r="S100" s="181" t="str">
        <f aca="false">IF((D100="f"),F100," ")</f>
        <v> </v>
      </c>
      <c r="U100" s="373"/>
    </row>
    <row r="101" customFormat="false" ht="12.75" hidden="false" customHeight="false" outlineLevel="0" collapsed="false">
      <c r="D101" s="373" t="str">
        <f aca="false">IF((F101&lt;&gt;0),"Enter Letter"," ")</f>
        <v> </v>
      </c>
      <c r="G101" s="181" t="str">
        <f aca="false">IF((D101="d"),F101," ")</f>
        <v> </v>
      </c>
      <c r="H101" s="181" t="str">
        <f aca="false">IF((D101="h"),F101," ")</f>
        <v> </v>
      </c>
      <c r="I101" s="181" t="str">
        <f aca="false">IF((D101="r"),F101," ")</f>
        <v> </v>
      </c>
      <c r="J101" s="181" t="str">
        <f aca="false">IF((D101="t"),F101," ")</f>
        <v> </v>
      </c>
      <c r="K101" s="181" t="str">
        <f aca="false">IF((D101="e"),F101," ")</f>
        <v> </v>
      </c>
      <c r="L101" s="181" t="str">
        <f aca="false">IF((D101="p"),F101," ")</f>
        <v> </v>
      </c>
      <c r="M101" s="181" t="str">
        <f aca="false">IF((D101="g"),F101," ")</f>
        <v> </v>
      </c>
      <c r="N101" s="181" t="str">
        <f aca="false">IF((D101="a"),F101," ")</f>
        <v> </v>
      </c>
      <c r="O101" s="181" t="str">
        <f aca="false">IF((D101="l"),F101," ")</f>
        <v> </v>
      </c>
      <c r="P101" s="181" t="str">
        <f aca="false">IF((D101="i"),F101," ")</f>
        <v> </v>
      </c>
      <c r="Q101" s="181" t="str">
        <f aca="false">IF((D101="b"),F101," ")</f>
        <v> </v>
      </c>
      <c r="R101" s="181" t="str">
        <f aca="false">IF((D101="o"),F101," ")</f>
        <v> </v>
      </c>
      <c r="S101" s="181" t="str">
        <f aca="false">IF((D101="f"),F101," ")</f>
        <v> </v>
      </c>
      <c r="U101" s="373"/>
    </row>
    <row r="102" customFormat="false" ht="12.75" hidden="false" customHeight="false" outlineLevel="0" collapsed="false">
      <c r="D102" s="373" t="str">
        <f aca="false">IF((F102&lt;&gt;0),"Enter Letter"," ")</f>
        <v> </v>
      </c>
      <c r="G102" s="181" t="str">
        <f aca="false">IF((D102="d"),F102," ")</f>
        <v> </v>
      </c>
      <c r="H102" s="181" t="str">
        <f aca="false">IF((D102="h"),F102," ")</f>
        <v> </v>
      </c>
      <c r="I102" s="181" t="str">
        <f aca="false">IF((D102="r"),F102," ")</f>
        <v> </v>
      </c>
      <c r="J102" s="181" t="str">
        <f aca="false">IF((D102="t"),F102," ")</f>
        <v> </v>
      </c>
      <c r="K102" s="181" t="str">
        <f aca="false">IF((D102="e"),F102," ")</f>
        <v> </v>
      </c>
      <c r="L102" s="181" t="str">
        <f aca="false">IF((D102="p"),F102," ")</f>
        <v> </v>
      </c>
      <c r="M102" s="181" t="str">
        <f aca="false">IF((D102="g"),F102," ")</f>
        <v> </v>
      </c>
      <c r="N102" s="181" t="str">
        <f aca="false">IF((D102="a"),F102," ")</f>
        <v> </v>
      </c>
      <c r="O102" s="181" t="str">
        <f aca="false">IF((D102="l"),F102," ")</f>
        <v> </v>
      </c>
      <c r="P102" s="181" t="str">
        <f aca="false">IF((D102="i"),F102," ")</f>
        <v> </v>
      </c>
      <c r="Q102" s="181" t="str">
        <f aca="false">IF((D102="b"),F102," ")</f>
        <v> </v>
      </c>
      <c r="R102" s="181" t="str">
        <f aca="false">IF((D102="o"),F102," ")</f>
        <v> </v>
      </c>
      <c r="S102" s="181" t="str">
        <f aca="false">IF((D102="f"),F102," ")</f>
        <v> </v>
      </c>
      <c r="U102" s="373"/>
    </row>
    <row r="103" customFormat="false" ht="12.75" hidden="false" customHeight="false" outlineLevel="0" collapsed="false">
      <c r="D103" s="373" t="str">
        <f aca="false">IF((F103&lt;&gt;0),"Enter Letter"," ")</f>
        <v> </v>
      </c>
      <c r="G103" s="181" t="str">
        <f aca="false">IF((D103="d"),F103," ")</f>
        <v> </v>
      </c>
      <c r="H103" s="181" t="str">
        <f aca="false">IF((D103="h"),F103," ")</f>
        <v> </v>
      </c>
      <c r="I103" s="181" t="str">
        <f aca="false">IF((D103="r"),F103," ")</f>
        <v> </v>
      </c>
      <c r="J103" s="181" t="str">
        <f aca="false">IF((D103="t"),F103," ")</f>
        <v> </v>
      </c>
      <c r="K103" s="181" t="str">
        <f aca="false">IF((D103="e"),F103," ")</f>
        <v> </v>
      </c>
      <c r="L103" s="181" t="str">
        <f aca="false">IF((D103="p"),F103," ")</f>
        <v> </v>
      </c>
      <c r="M103" s="181" t="str">
        <f aca="false">IF((D103="g"),F103," ")</f>
        <v> </v>
      </c>
      <c r="N103" s="181" t="str">
        <f aca="false">IF((D103="a"),F103," ")</f>
        <v> </v>
      </c>
      <c r="O103" s="181" t="str">
        <f aca="false">IF((D103="l"),F103," ")</f>
        <v> </v>
      </c>
      <c r="P103" s="181" t="str">
        <f aca="false">IF((D103="i"),F103," ")</f>
        <v> </v>
      </c>
      <c r="Q103" s="181" t="str">
        <f aca="false">IF((D103="b"),F103," ")</f>
        <v> </v>
      </c>
      <c r="R103" s="181" t="str">
        <f aca="false">IF((D103="o"),F103," ")</f>
        <v> </v>
      </c>
      <c r="S103" s="181" t="str">
        <f aca="false">IF((D103="f"),F103," ")</f>
        <v> </v>
      </c>
      <c r="U103" s="373"/>
    </row>
    <row r="104" customFormat="false" ht="12.75" hidden="false" customHeight="false" outlineLevel="0" collapsed="false">
      <c r="D104" s="373" t="str">
        <f aca="false">IF((F104&lt;&gt;0),"Enter Letter"," ")</f>
        <v> </v>
      </c>
      <c r="G104" s="181" t="str">
        <f aca="false">IF((D104="d"),F104," ")</f>
        <v> </v>
      </c>
      <c r="H104" s="181" t="str">
        <f aca="false">IF((D104="h"),F104," ")</f>
        <v> </v>
      </c>
      <c r="I104" s="181" t="str">
        <f aca="false">IF((D104="r"),F104," ")</f>
        <v> </v>
      </c>
      <c r="J104" s="181" t="str">
        <f aca="false">IF((D104="t"),F104," ")</f>
        <v> </v>
      </c>
      <c r="K104" s="181" t="str">
        <f aca="false">IF((D104="e"),F104," ")</f>
        <v> </v>
      </c>
      <c r="L104" s="181" t="str">
        <f aca="false">IF((D104="p"),F104," ")</f>
        <v> </v>
      </c>
      <c r="M104" s="181" t="str">
        <f aca="false">IF((D104="g"),F104," ")</f>
        <v> </v>
      </c>
      <c r="N104" s="181" t="str">
        <f aca="false">IF((D104="a"),F104," ")</f>
        <v> </v>
      </c>
      <c r="O104" s="181" t="str">
        <f aca="false">IF((D104="l"),F104," ")</f>
        <v> </v>
      </c>
      <c r="P104" s="181" t="str">
        <f aca="false">IF((D104="i"),F104," ")</f>
        <v> </v>
      </c>
      <c r="Q104" s="181" t="str">
        <f aca="false">IF((D104="b"),F104," ")</f>
        <v> </v>
      </c>
      <c r="R104" s="181" t="str">
        <f aca="false">IF((D104="o"),F104," ")</f>
        <v> </v>
      </c>
      <c r="S104" s="181" t="str">
        <f aca="false">IF((D104="f"),F104," ")</f>
        <v> </v>
      </c>
      <c r="U104" s="373"/>
    </row>
    <row r="105" customFormat="false" ht="12.75" hidden="false" customHeight="false" outlineLevel="0" collapsed="false">
      <c r="D105" s="373" t="str">
        <f aca="false">IF((F105&lt;&gt;0),"Enter Letter"," ")</f>
        <v> </v>
      </c>
      <c r="G105" s="181" t="str">
        <f aca="false">IF((D105="d"),F105," ")</f>
        <v> </v>
      </c>
      <c r="H105" s="181" t="str">
        <f aca="false">IF((D105="h"),F105," ")</f>
        <v> </v>
      </c>
      <c r="I105" s="181" t="str">
        <f aca="false">IF((D105="r"),F105," ")</f>
        <v> </v>
      </c>
      <c r="J105" s="181" t="str">
        <f aca="false">IF((D105="t"),F105," ")</f>
        <v> </v>
      </c>
      <c r="K105" s="181" t="str">
        <f aca="false">IF((D105="e"),F105," ")</f>
        <v> </v>
      </c>
      <c r="L105" s="181" t="str">
        <f aca="false">IF((D105="p"),F105," ")</f>
        <v> </v>
      </c>
      <c r="M105" s="181" t="str">
        <f aca="false">IF((D105="g"),F105," ")</f>
        <v> </v>
      </c>
      <c r="N105" s="181" t="str">
        <f aca="false">IF((D105="a"),F105," ")</f>
        <v> </v>
      </c>
      <c r="O105" s="181" t="str">
        <f aca="false">IF((D105="l"),F105," ")</f>
        <v> </v>
      </c>
      <c r="P105" s="181" t="str">
        <f aca="false">IF((D105="i"),F105," ")</f>
        <v> </v>
      </c>
      <c r="Q105" s="181" t="str">
        <f aca="false">IF((D105="b"),F105," ")</f>
        <v> </v>
      </c>
      <c r="R105" s="181" t="str">
        <f aca="false">IF((D105="o"),F105," ")</f>
        <v> </v>
      </c>
      <c r="S105" s="181" t="str">
        <f aca="false">IF((D105="f"),F105," ")</f>
        <v> </v>
      </c>
      <c r="U105" s="373"/>
    </row>
    <row r="106" customFormat="false" ht="12.75" hidden="false" customHeight="false" outlineLevel="0" collapsed="false">
      <c r="D106" s="373" t="str">
        <f aca="false">IF((F106&lt;&gt;0),"Enter Letter"," ")</f>
        <v> </v>
      </c>
      <c r="G106" s="181" t="str">
        <f aca="false">IF((D106="d"),F106," ")</f>
        <v> </v>
      </c>
      <c r="H106" s="181" t="str">
        <f aca="false">IF((D106="h"),F106," ")</f>
        <v> </v>
      </c>
      <c r="I106" s="181" t="str">
        <f aca="false">IF((D106="r"),F106," ")</f>
        <v> </v>
      </c>
      <c r="J106" s="181" t="str">
        <f aca="false">IF((D106="t"),F106," ")</f>
        <v> </v>
      </c>
      <c r="K106" s="181" t="str">
        <f aca="false">IF((D106="e"),F106," ")</f>
        <v> </v>
      </c>
      <c r="L106" s="181" t="str">
        <f aca="false">IF((D106="p"),F106," ")</f>
        <v> </v>
      </c>
      <c r="M106" s="181" t="str">
        <f aca="false">IF((D106="g"),F106," ")</f>
        <v> </v>
      </c>
      <c r="N106" s="181" t="str">
        <f aca="false">IF((D106="a"),F106," ")</f>
        <v> </v>
      </c>
      <c r="O106" s="181" t="str">
        <f aca="false">IF((D106="l"),F106," ")</f>
        <v> </v>
      </c>
      <c r="P106" s="181" t="str">
        <f aca="false">IF((D106="i"),F106," ")</f>
        <v> </v>
      </c>
      <c r="Q106" s="181" t="str">
        <f aca="false">IF((D106="b"),F106," ")</f>
        <v> </v>
      </c>
      <c r="R106" s="181" t="str">
        <f aca="false">IF((D106="o"),F106," ")</f>
        <v> </v>
      </c>
      <c r="S106" s="181" t="str">
        <f aca="false">IF((D106="f"),F106," ")</f>
        <v> </v>
      </c>
      <c r="U106" s="373"/>
    </row>
    <row r="107" customFormat="false" ht="12.75" hidden="false" customHeight="false" outlineLevel="0" collapsed="false">
      <c r="D107" s="373" t="str">
        <f aca="false">IF((F107&lt;&gt;0),"Enter Letter"," ")</f>
        <v> </v>
      </c>
      <c r="G107" s="181" t="str">
        <f aca="false">IF((D107="d"),F107," ")</f>
        <v> </v>
      </c>
      <c r="H107" s="181" t="str">
        <f aca="false">IF((D107="h"),F107," ")</f>
        <v> </v>
      </c>
      <c r="I107" s="181" t="str">
        <f aca="false">IF((D107="r"),F107," ")</f>
        <v> </v>
      </c>
      <c r="J107" s="181" t="str">
        <f aca="false">IF((D107="t"),F107," ")</f>
        <v> </v>
      </c>
      <c r="K107" s="181" t="str">
        <f aca="false">IF((D107="e"),F107," ")</f>
        <v> </v>
      </c>
      <c r="L107" s="181" t="str">
        <f aca="false">IF((D107="p"),F107," ")</f>
        <v> </v>
      </c>
      <c r="M107" s="181" t="str">
        <f aca="false">IF((D107="g"),F107," ")</f>
        <v> </v>
      </c>
      <c r="N107" s="181" t="str">
        <f aca="false">IF((D107="a"),F107," ")</f>
        <v> </v>
      </c>
      <c r="O107" s="181" t="str">
        <f aca="false">IF((D107="l"),F107," ")</f>
        <v> </v>
      </c>
      <c r="P107" s="181" t="str">
        <f aca="false">IF((D107="i"),F107," ")</f>
        <v> </v>
      </c>
      <c r="Q107" s="181" t="str">
        <f aca="false">IF((D107="b"),F107," ")</f>
        <v> </v>
      </c>
      <c r="R107" s="181" t="str">
        <f aca="false">IF((D107="o"),F107," ")</f>
        <v> </v>
      </c>
      <c r="S107" s="181" t="str">
        <f aca="false">IF((D107="f"),F107," ")</f>
        <v> </v>
      </c>
      <c r="U107" s="373"/>
    </row>
    <row r="108" customFormat="false" ht="12.75" hidden="false" customHeight="false" outlineLevel="0" collapsed="false">
      <c r="D108" s="373" t="str">
        <f aca="false">IF((F108&lt;&gt;0),"Enter Letter"," ")</f>
        <v> </v>
      </c>
      <c r="G108" s="181" t="str">
        <f aca="false">IF((D108="d"),F108," ")</f>
        <v> </v>
      </c>
      <c r="H108" s="181" t="str">
        <f aca="false">IF((D108="h"),F108," ")</f>
        <v> </v>
      </c>
      <c r="I108" s="181" t="str">
        <f aca="false">IF((D108="r"),F108," ")</f>
        <v> </v>
      </c>
      <c r="J108" s="181" t="str">
        <f aca="false">IF((D108="t"),F108," ")</f>
        <v> </v>
      </c>
      <c r="K108" s="181" t="str">
        <f aca="false">IF((D108="e"),F108," ")</f>
        <v> </v>
      </c>
      <c r="L108" s="181" t="str">
        <f aca="false">IF((D108="p"),F108," ")</f>
        <v> </v>
      </c>
      <c r="M108" s="181" t="str">
        <f aca="false">IF((D108="g"),F108," ")</f>
        <v> </v>
      </c>
      <c r="N108" s="181" t="str">
        <f aca="false">IF((D108="a"),F108," ")</f>
        <v> </v>
      </c>
      <c r="O108" s="181" t="str">
        <f aca="false">IF((D108="l"),F108," ")</f>
        <v> </v>
      </c>
      <c r="P108" s="181" t="str">
        <f aca="false">IF((D108="i"),F108," ")</f>
        <v> </v>
      </c>
      <c r="Q108" s="181" t="str">
        <f aca="false">IF((D108="b"),F108," ")</f>
        <v> </v>
      </c>
      <c r="R108" s="181" t="str">
        <f aca="false">IF((D108="o"),F108," ")</f>
        <v> </v>
      </c>
      <c r="S108" s="181" t="str">
        <f aca="false">IF((D108="f"),F108," ")</f>
        <v> </v>
      </c>
      <c r="U108" s="373"/>
    </row>
    <row r="109" customFormat="false" ht="12.75" hidden="false" customHeight="false" outlineLevel="0" collapsed="false">
      <c r="D109" s="373" t="str">
        <f aca="false">IF((F109&lt;&gt;0),"Enter Letter"," ")</f>
        <v> </v>
      </c>
      <c r="G109" s="181" t="str">
        <f aca="false">IF((D109="d"),F109," ")</f>
        <v> </v>
      </c>
      <c r="H109" s="181" t="str">
        <f aca="false">IF((D109="h"),F109," ")</f>
        <v> </v>
      </c>
      <c r="I109" s="181" t="str">
        <f aca="false">IF((D109="r"),F109," ")</f>
        <v> </v>
      </c>
      <c r="J109" s="181" t="str">
        <f aca="false">IF((D109="t"),F109," ")</f>
        <v> </v>
      </c>
      <c r="K109" s="181" t="str">
        <f aca="false">IF((D109="e"),F109," ")</f>
        <v> </v>
      </c>
      <c r="L109" s="181" t="str">
        <f aca="false">IF((D109="p"),F109," ")</f>
        <v> </v>
      </c>
      <c r="M109" s="181" t="str">
        <f aca="false">IF((D109="g"),F109," ")</f>
        <v> </v>
      </c>
      <c r="N109" s="181" t="str">
        <f aca="false">IF((D109="a"),F109," ")</f>
        <v> </v>
      </c>
      <c r="O109" s="181" t="str">
        <f aca="false">IF((D109="l"),F109," ")</f>
        <v> </v>
      </c>
      <c r="P109" s="181" t="str">
        <f aca="false">IF((D109="i"),F109," ")</f>
        <v> </v>
      </c>
      <c r="Q109" s="181" t="str">
        <f aca="false">IF((D109="b"),F109," ")</f>
        <v> </v>
      </c>
      <c r="R109" s="181" t="str">
        <f aca="false">IF((D109="o"),F109," ")</f>
        <v> </v>
      </c>
      <c r="S109" s="181" t="str">
        <f aca="false">IF((D109="f"),F109," ")</f>
        <v> </v>
      </c>
      <c r="U109" s="373"/>
    </row>
    <row r="110" customFormat="false" ht="12.75" hidden="false" customHeight="false" outlineLevel="0" collapsed="false">
      <c r="D110" s="373" t="str">
        <f aca="false">IF((F110&lt;&gt;0),"Enter Letter"," ")</f>
        <v> </v>
      </c>
      <c r="G110" s="181" t="str">
        <f aca="false">IF((D110="d"),F110," ")</f>
        <v> </v>
      </c>
      <c r="H110" s="181" t="str">
        <f aca="false">IF((D110="h"),F110," ")</f>
        <v> </v>
      </c>
      <c r="I110" s="181" t="str">
        <f aca="false">IF((D110="r"),F110," ")</f>
        <v> </v>
      </c>
      <c r="J110" s="181" t="str">
        <f aca="false">IF((D110="t"),F110," ")</f>
        <v> </v>
      </c>
      <c r="K110" s="181" t="str">
        <f aca="false">IF((D110="e"),F110," ")</f>
        <v> </v>
      </c>
      <c r="L110" s="181" t="str">
        <f aca="false">IF((D110="p"),F110," ")</f>
        <v> </v>
      </c>
      <c r="M110" s="181" t="str">
        <f aca="false">IF((D110="g"),F110," ")</f>
        <v> </v>
      </c>
      <c r="N110" s="181" t="str">
        <f aca="false">IF((D110="a"),F110," ")</f>
        <v> </v>
      </c>
      <c r="O110" s="181" t="str">
        <f aca="false">IF((D110="l"),F110," ")</f>
        <v> </v>
      </c>
      <c r="P110" s="181" t="str">
        <f aca="false">IF((D110="i"),F110," ")</f>
        <v> </v>
      </c>
      <c r="Q110" s="181" t="str">
        <f aca="false">IF((D110="b"),F110," ")</f>
        <v> </v>
      </c>
      <c r="R110" s="181" t="str">
        <f aca="false">IF((D110="o"),F110," ")</f>
        <v> </v>
      </c>
      <c r="S110" s="181" t="str">
        <f aca="false">IF((D110="f"),F110," ")</f>
        <v> </v>
      </c>
      <c r="U110" s="373"/>
    </row>
    <row r="111" customFormat="false" ht="12.75" hidden="false" customHeight="false" outlineLevel="0" collapsed="false">
      <c r="D111" s="373" t="str">
        <f aca="false">IF((F111&lt;&gt;0),"Enter Letter"," ")</f>
        <v> </v>
      </c>
      <c r="G111" s="181" t="str">
        <f aca="false">IF((D111="d"),F111," ")</f>
        <v> </v>
      </c>
      <c r="H111" s="181" t="str">
        <f aca="false">IF((D111="h"),F111," ")</f>
        <v> </v>
      </c>
      <c r="I111" s="181" t="str">
        <f aca="false">IF((D111="r"),F111," ")</f>
        <v> </v>
      </c>
      <c r="J111" s="181" t="str">
        <f aca="false">IF((D111="t"),F111," ")</f>
        <v> </v>
      </c>
      <c r="K111" s="181" t="str">
        <f aca="false">IF((D111="e"),F111," ")</f>
        <v> </v>
      </c>
      <c r="L111" s="181" t="str">
        <f aca="false">IF((D111="p"),F111," ")</f>
        <v> </v>
      </c>
      <c r="M111" s="181" t="str">
        <f aca="false">IF((D111="g"),F111," ")</f>
        <v> </v>
      </c>
      <c r="N111" s="181" t="str">
        <f aca="false">IF((D111="a"),F111," ")</f>
        <v> </v>
      </c>
      <c r="O111" s="181" t="str">
        <f aca="false">IF((D111="l"),F111," ")</f>
        <v> </v>
      </c>
      <c r="P111" s="181" t="str">
        <f aca="false">IF((D111="i"),F111," ")</f>
        <v> </v>
      </c>
      <c r="Q111" s="181" t="str">
        <f aca="false">IF((D111="b"),F111," ")</f>
        <v> </v>
      </c>
      <c r="R111" s="181" t="str">
        <f aca="false">IF((D111="o"),F111," ")</f>
        <v> </v>
      </c>
      <c r="S111" s="181" t="str">
        <f aca="false">IF((D111="f"),F111," ")</f>
        <v> </v>
      </c>
      <c r="U111" s="373"/>
    </row>
    <row r="112" customFormat="false" ht="12.75" hidden="false" customHeight="false" outlineLevel="0" collapsed="false">
      <c r="D112" s="373" t="str">
        <f aca="false">IF((F112&lt;&gt;0),"Enter Letter"," ")</f>
        <v> </v>
      </c>
      <c r="G112" s="181" t="str">
        <f aca="false">IF((D112="d"),F112," ")</f>
        <v> </v>
      </c>
      <c r="H112" s="181" t="str">
        <f aca="false">IF((D112="h"),F112," ")</f>
        <v> </v>
      </c>
      <c r="I112" s="181" t="str">
        <f aca="false">IF((D112="r"),F112," ")</f>
        <v> </v>
      </c>
      <c r="J112" s="181" t="str">
        <f aca="false">IF((D112="t"),F112," ")</f>
        <v> </v>
      </c>
      <c r="K112" s="181" t="str">
        <f aca="false">IF((D112="e"),F112," ")</f>
        <v> </v>
      </c>
      <c r="L112" s="181" t="str">
        <f aca="false">IF((D112="p"),F112," ")</f>
        <v> </v>
      </c>
      <c r="M112" s="181" t="str">
        <f aca="false">IF((D112="g"),F112," ")</f>
        <v> </v>
      </c>
      <c r="N112" s="181" t="str">
        <f aca="false">IF((D112="a"),F112," ")</f>
        <v> </v>
      </c>
      <c r="O112" s="181" t="str">
        <f aca="false">IF((D112="l"),F112," ")</f>
        <v> </v>
      </c>
      <c r="P112" s="181" t="str">
        <f aca="false">IF((D112="i"),F112," ")</f>
        <v> </v>
      </c>
      <c r="Q112" s="181" t="str">
        <f aca="false">IF((D112="b"),F112," ")</f>
        <v> </v>
      </c>
      <c r="R112" s="181" t="str">
        <f aca="false">IF((D112="o"),F112," ")</f>
        <v> </v>
      </c>
      <c r="S112" s="181" t="str">
        <f aca="false">IF((D112="f"),F112," ")</f>
        <v> </v>
      </c>
      <c r="U112" s="373"/>
    </row>
    <row r="113" customFormat="false" ht="12.75" hidden="false" customHeight="false" outlineLevel="0" collapsed="false">
      <c r="D113" s="373" t="str">
        <f aca="false">IF((F113&lt;&gt;0),"Enter Letter"," ")</f>
        <v> </v>
      </c>
      <c r="G113" s="181" t="str">
        <f aca="false">IF((D113="d"),F113," ")</f>
        <v> </v>
      </c>
      <c r="H113" s="181" t="str">
        <f aca="false">IF((D113="h"),F113," ")</f>
        <v> </v>
      </c>
      <c r="I113" s="181" t="str">
        <f aca="false">IF((D113="r"),F113," ")</f>
        <v> </v>
      </c>
      <c r="J113" s="181" t="str">
        <f aca="false">IF((D113="t"),F113," ")</f>
        <v> </v>
      </c>
      <c r="K113" s="181" t="str">
        <f aca="false">IF((D113="e"),F113," ")</f>
        <v> </v>
      </c>
      <c r="L113" s="181" t="str">
        <f aca="false">IF((D113="p"),F113," ")</f>
        <v> </v>
      </c>
      <c r="M113" s="181" t="str">
        <f aca="false">IF((D113="g"),F113," ")</f>
        <v> </v>
      </c>
      <c r="N113" s="181" t="str">
        <f aca="false">IF((D113="a"),F113," ")</f>
        <v> </v>
      </c>
      <c r="O113" s="181" t="str">
        <f aca="false">IF((D113="l"),F113," ")</f>
        <v> </v>
      </c>
      <c r="P113" s="181" t="str">
        <f aca="false">IF((D113="i"),F113," ")</f>
        <v> </v>
      </c>
      <c r="Q113" s="181" t="str">
        <f aca="false">IF((D113="b"),F113," ")</f>
        <v> </v>
      </c>
      <c r="R113" s="181" t="str">
        <f aca="false">IF((D113="o"),F113," ")</f>
        <v> </v>
      </c>
      <c r="S113" s="181" t="str">
        <f aca="false">IF((D113="f"),F113," ")</f>
        <v> </v>
      </c>
      <c r="U113" s="373"/>
    </row>
    <row r="114" customFormat="false" ht="12.75" hidden="false" customHeight="false" outlineLevel="0" collapsed="false">
      <c r="D114" s="373" t="str">
        <f aca="false">IF((F114&lt;&gt;0),"Enter Letter"," ")</f>
        <v> </v>
      </c>
      <c r="G114" s="181" t="str">
        <f aca="false">IF((D114="d"),F114," ")</f>
        <v> </v>
      </c>
      <c r="H114" s="181" t="str">
        <f aca="false">IF((D114="h"),F114," ")</f>
        <v> </v>
      </c>
      <c r="I114" s="181" t="str">
        <f aca="false">IF((D114="r"),F114," ")</f>
        <v> </v>
      </c>
      <c r="J114" s="181" t="str">
        <f aca="false">IF((D114="t"),F114," ")</f>
        <v> </v>
      </c>
      <c r="K114" s="181" t="str">
        <f aca="false">IF((D114="e"),F114," ")</f>
        <v> </v>
      </c>
      <c r="L114" s="181" t="str">
        <f aca="false">IF((D114="p"),F114," ")</f>
        <v> </v>
      </c>
      <c r="M114" s="181" t="str">
        <f aca="false">IF((D114="g"),F114," ")</f>
        <v> </v>
      </c>
      <c r="N114" s="181" t="str">
        <f aca="false">IF((D114="a"),F114," ")</f>
        <v> </v>
      </c>
      <c r="O114" s="181" t="str">
        <f aca="false">IF((D114="l"),F114," ")</f>
        <v> </v>
      </c>
      <c r="P114" s="181" t="str">
        <f aca="false">IF((D114="i"),F114," ")</f>
        <v> </v>
      </c>
      <c r="Q114" s="181" t="str">
        <f aca="false">IF((D114="b"),F114," ")</f>
        <v> </v>
      </c>
      <c r="R114" s="181" t="str">
        <f aca="false">IF((D114="o"),F114," ")</f>
        <v> </v>
      </c>
      <c r="S114" s="181" t="str">
        <f aca="false">IF((D114="f"),F114," ")</f>
        <v> </v>
      </c>
      <c r="U114" s="373"/>
    </row>
    <row r="115" customFormat="false" ht="12.75" hidden="false" customHeight="false" outlineLevel="0" collapsed="false">
      <c r="D115" s="373" t="str">
        <f aca="false">IF((F115&lt;&gt;0),"Enter Letter"," ")</f>
        <v> </v>
      </c>
      <c r="G115" s="181" t="str">
        <f aca="false">IF((D115="d"),F115," ")</f>
        <v> </v>
      </c>
      <c r="H115" s="181" t="str">
        <f aca="false">IF((D115="h"),F115," ")</f>
        <v> </v>
      </c>
      <c r="I115" s="181" t="str">
        <f aca="false">IF((D115="r"),F115," ")</f>
        <v> </v>
      </c>
      <c r="J115" s="181" t="str">
        <f aca="false">IF((D115="t"),F115," ")</f>
        <v> </v>
      </c>
      <c r="K115" s="181" t="str">
        <f aca="false">IF((D115="e"),F115," ")</f>
        <v> </v>
      </c>
      <c r="L115" s="181" t="str">
        <f aca="false">IF((D115="p"),F115," ")</f>
        <v> </v>
      </c>
      <c r="M115" s="181" t="str">
        <f aca="false">IF((D115="g"),F115," ")</f>
        <v> </v>
      </c>
      <c r="N115" s="181" t="str">
        <f aca="false">IF((D115="a"),F115," ")</f>
        <v> </v>
      </c>
      <c r="O115" s="181" t="str">
        <f aca="false">IF((D115="l"),F115," ")</f>
        <v> </v>
      </c>
      <c r="P115" s="181" t="str">
        <f aca="false">IF((D115="i"),F115," ")</f>
        <v> </v>
      </c>
      <c r="Q115" s="181" t="str">
        <f aca="false">IF((D115="b"),F115," ")</f>
        <v> </v>
      </c>
      <c r="R115" s="181" t="str">
        <f aca="false">IF((D115="o"),F115," ")</f>
        <v> </v>
      </c>
      <c r="S115" s="181" t="str">
        <f aca="false">IF((D115="f"),F115," ")</f>
        <v> </v>
      </c>
      <c r="U115" s="373"/>
    </row>
    <row r="116" customFormat="false" ht="12.75" hidden="false" customHeight="false" outlineLevel="0" collapsed="false">
      <c r="D116" s="373" t="str">
        <f aca="false">IF((F116&lt;&gt;0),"Enter Letter"," ")</f>
        <v> </v>
      </c>
      <c r="G116" s="181" t="str">
        <f aca="false">IF((D116="d"),F116," ")</f>
        <v> </v>
      </c>
      <c r="H116" s="181" t="str">
        <f aca="false">IF((D116="h"),F116," ")</f>
        <v> </v>
      </c>
      <c r="I116" s="181" t="str">
        <f aca="false">IF((D116="r"),F116," ")</f>
        <v> </v>
      </c>
      <c r="J116" s="181" t="str">
        <f aca="false">IF((D116="t"),F116," ")</f>
        <v> </v>
      </c>
      <c r="K116" s="181" t="str">
        <f aca="false">IF((D116="e"),F116," ")</f>
        <v> </v>
      </c>
      <c r="L116" s="181" t="str">
        <f aca="false">IF((D116="p"),F116," ")</f>
        <v> </v>
      </c>
      <c r="M116" s="181" t="str">
        <f aca="false">IF((D116="g"),F116," ")</f>
        <v> </v>
      </c>
      <c r="N116" s="181" t="str">
        <f aca="false">IF((D116="a"),F116," ")</f>
        <v> </v>
      </c>
      <c r="O116" s="181" t="str">
        <f aca="false">IF((D116="l"),F116," ")</f>
        <v> </v>
      </c>
      <c r="P116" s="181" t="str">
        <f aca="false">IF((D116="i"),F116," ")</f>
        <v> </v>
      </c>
      <c r="Q116" s="181" t="str">
        <f aca="false">IF((D116="b"),F116," ")</f>
        <v> </v>
      </c>
      <c r="R116" s="181" t="str">
        <f aca="false">IF((D116="o"),F116," ")</f>
        <v> </v>
      </c>
      <c r="S116" s="181" t="str">
        <f aca="false">IF((D116="f"),F116," ")</f>
        <v> </v>
      </c>
      <c r="U116" s="373"/>
    </row>
    <row r="117" customFormat="false" ht="12.75" hidden="false" customHeight="false" outlineLevel="0" collapsed="false">
      <c r="D117" s="373" t="str">
        <f aca="false">IF((F117&lt;&gt;0),"Enter Letter"," ")</f>
        <v> </v>
      </c>
      <c r="G117" s="181" t="str">
        <f aca="false">IF((D117="d"),F117," ")</f>
        <v> </v>
      </c>
      <c r="H117" s="181" t="str">
        <f aca="false">IF((D117="h"),F117," ")</f>
        <v> </v>
      </c>
      <c r="I117" s="181" t="str">
        <f aca="false">IF((D117="r"),F117," ")</f>
        <v> </v>
      </c>
      <c r="J117" s="181" t="str">
        <f aca="false">IF((D117="t"),F117," ")</f>
        <v> </v>
      </c>
      <c r="K117" s="181" t="str">
        <f aca="false">IF((D117="e"),F117," ")</f>
        <v> </v>
      </c>
      <c r="L117" s="181" t="str">
        <f aca="false">IF((D117="p"),F117," ")</f>
        <v> </v>
      </c>
      <c r="M117" s="181" t="str">
        <f aca="false">IF((D117="g"),F117," ")</f>
        <v> </v>
      </c>
      <c r="N117" s="181" t="str">
        <f aca="false">IF((D117="a"),F117," ")</f>
        <v> </v>
      </c>
      <c r="O117" s="181" t="str">
        <f aca="false">IF((D117="l"),F117," ")</f>
        <v> </v>
      </c>
      <c r="P117" s="181" t="str">
        <f aca="false">IF((D117="i"),F117," ")</f>
        <v> </v>
      </c>
      <c r="Q117" s="181" t="str">
        <f aca="false">IF((D117="b"),F117," ")</f>
        <v> </v>
      </c>
      <c r="R117" s="181" t="str">
        <f aca="false">IF((D117="o"),F117," ")</f>
        <v> </v>
      </c>
      <c r="S117" s="181" t="str">
        <f aca="false">IF((D117="f"),F117," ")</f>
        <v> </v>
      </c>
      <c r="U117" s="373"/>
    </row>
    <row r="118" customFormat="false" ht="12.75" hidden="false" customHeight="false" outlineLevel="0" collapsed="false">
      <c r="D118" s="373" t="str">
        <f aca="false">IF((F118&lt;&gt;0),"Enter Letter"," ")</f>
        <v> </v>
      </c>
      <c r="G118" s="181" t="str">
        <f aca="false">IF((D118="d"),F118," ")</f>
        <v> </v>
      </c>
      <c r="H118" s="181" t="str">
        <f aca="false">IF((D118="h"),F118," ")</f>
        <v> </v>
      </c>
      <c r="I118" s="181" t="str">
        <f aca="false">IF((D118="r"),F118," ")</f>
        <v> </v>
      </c>
      <c r="J118" s="181" t="str">
        <f aca="false">IF((D118="t"),F118," ")</f>
        <v> </v>
      </c>
      <c r="K118" s="181" t="str">
        <f aca="false">IF((D118="e"),F118," ")</f>
        <v> </v>
      </c>
      <c r="L118" s="181" t="str">
        <f aca="false">IF((D118="p"),F118," ")</f>
        <v> </v>
      </c>
      <c r="M118" s="181" t="str">
        <f aca="false">IF((D118="g"),F118," ")</f>
        <v> </v>
      </c>
      <c r="N118" s="181" t="str">
        <f aca="false">IF((D118="a"),F118," ")</f>
        <v> </v>
      </c>
      <c r="O118" s="181" t="str">
        <f aca="false">IF((D118="l"),F118," ")</f>
        <v> </v>
      </c>
      <c r="P118" s="181" t="str">
        <f aca="false">IF((D118="i"),F118," ")</f>
        <v> </v>
      </c>
      <c r="Q118" s="181" t="str">
        <f aca="false">IF((D118="b"),F118," ")</f>
        <v> </v>
      </c>
      <c r="R118" s="181" t="str">
        <f aca="false">IF((D118="o"),F118," ")</f>
        <v> </v>
      </c>
      <c r="S118" s="181" t="str">
        <f aca="false">IF((D118="f"),F118," ")</f>
        <v> </v>
      </c>
      <c r="U118" s="373"/>
    </row>
    <row r="119" customFormat="false" ht="12.75" hidden="false" customHeight="false" outlineLevel="0" collapsed="false">
      <c r="D119" s="373" t="str">
        <f aca="false">IF((F119&lt;&gt;0),"Enter Letter"," ")</f>
        <v> </v>
      </c>
      <c r="G119" s="181" t="str">
        <f aca="false">IF((D119="d"),F119," ")</f>
        <v> </v>
      </c>
      <c r="H119" s="181" t="str">
        <f aca="false">IF((D119="h"),F119," ")</f>
        <v> </v>
      </c>
      <c r="I119" s="181" t="str">
        <f aca="false">IF((D119="r"),F119," ")</f>
        <v> </v>
      </c>
      <c r="J119" s="181" t="str">
        <f aca="false">IF((D119="t"),F119," ")</f>
        <v> </v>
      </c>
      <c r="K119" s="181" t="str">
        <f aca="false">IF((D119="e"),F119," ")</f>
        <v> </v>
      </c>
      <c r="L119" s="181" t="str">
        <f aca="false">IF((D119="p"),F119," ")</f>
        <v> </v>
      </c>
      <c r="M119" s="181" t="str">
        <f aca="false">IF((D119="g"),F119," ")</f>
        <v> </v>
      </c>
      <c r="N119" s="181" t="str">
        <f aca="false">IF((D119="a"),F119," ")</f>
        <v> </v>
      </c>
      <c r="O119" s="181" t="str">
        <f aca="false">IF((D119="l"),F119," ")</f>
        <v> </v>
      </c>
      <c r="P119" s="181" t="str">
        <f aca="false">IF((D119="i"),F119," ")</f>
        <v> </v>
      </c>
      <c r="Q119" s="181" t="str">
        <f aca="false">IF((D119="b"),F119," ")</f>
        <v> </v>
      </c>
      <c r="R119" s="181" t="str">
        <f aca="false">IF((D119="o"),F119," ")</f>
        <v> </v>
      </c>
      <c r="S119" s="181" t="str">
        <f aca="false">IF((D119="f"),F119," ")</f>
        <v> </v>
      </c>
      <c r="U119" s="373"/>
    </row>
    <row r="120" customFormat="false" ht="12.75" hidden="false" customHeight="false" outlineLevel="0" collapsed="false">
      <c r="D120" s="373" t="str">
        <f aca="false">IF((F120&lt;&gt;0),"Enter Letter"," ")</f>
        <v> </v>
      </c>
      <c r="G120" s="181" t="str">
        <f aca="false">IF((D120="d"),F120," ")</f>
        <v> </v>
      </c>
      <c r="H120" s="181" t="str">
        <f aca="false">IF((D120="h"),F120," ")</f>
        <v> </v>
      </c>
      <c r="I120" s="181" t="str">
        <f aca="false">IF((D120="r"),F120," ")</f>
        <v> </v>
      </c>
      <c r="J120" s="181" t="str">
        <f aca="false">IF((D120="t"),F120," ")</f>
        <v> </v>
      </c>
      <c r="K120" s="181" t="str">
        <f aca="false">IF((D120="e"),F120," ")</f>
        <v> </v>
      </c>
      <c r="L120" s="181" t="str">
        <f aca="false">IF((D120="p"),F120," ")</f>
        <v> </v>
      </c>
      <c r="M120" s="181" t="str">
        <f aca="false">IF((D120="g"),F120," ")</f>
        <v> </v>
      </c>
      <c r="N120" s="181" t="str">
        <f aca="false">IF((D120="a"),F120," ")</f>
        <v> </v>
      </c>
      <c r="O120" s="181" t="str">
        <f aca="false">IF((D120="l"),F120," ")</f>
        <v> </v>
      </c>
      <c r="P120" s="181" t="str">
        <f aca="false">IF((D120="i"),F120," ")</f>
        <v> </v>
      </c>
      <c r="Q120" s="181" t="str">
        <f aca="false">IF((D120="b"),F120," ")</f>
        <v> </v>
      </c>
      <c r="R120" s="181" t="str">
        <f aca="false">IF((D120="o"),F120," ")</f>
        <v> </v>
      </c>
      <c r="S120" s="181" t="str">
        <f aca="false">IF((D120="f"),F120," ")</f>
        <v> </v>
      </c>
      <c r="U120" s="373"/>
    </row>
    <row r="121" customFormat="false" ht="12.75" hidden="false" customHeight="false" outlineLevel="0" collapsed="false">
      <c r="D121" s="373" t="str">
        <f aca="false">IF((F121&lt;&gt;0),"Enter Letter"," ")</f>
        <v> </v>
      </c>
      <c r="G121" s="181" t="str">
        <f aca="false">IF((D121="d"),F121," ")</f>
        <v> </v>
      </c>
      <c r="H121" s="181" t="str">
        <f aca="false">IF((D121="h"),F121," ")</f>
        <v> </v>
      </c>
      <c r="I121" s="181" t="str">
        <f aca="false">IF((D121="r"),F121," ")</f>
        <v> </v>
      </c>
      <c r="J121" s="181" t="str">
        <f aca="false">IF((D121="t"),F121," ")</f>
        <v> </v>
      </c>
      <c r="K121" s="181" t="str">
        <f aca="false">IF((D121="e"),F121," ")</f>
        <v> </v>
      </c>
      <c r="L121" s="181" t="str">
        <f aca="false">IF((D121="p"),F121," ")</f>
        <v> </v>
      </c>
      <c r="M121" s="181" t="str">
        <f aca="false">IF((D121="g"),F121," ")</f>
        <v> </v>
      </c>
      <c r="N121" s="181" t="str">
        <f aca="false">IF((D121="a"),F121," ")</f>
        <v> </v>
      </c>
      <c r="O121" s="181" t="str">
        <f aca="false">IF((D121="l"),F121," ")</f>
        <v> </v>
      </c>
      <c r="P121" s="181" t="str">
        <f aca="false">IF((D121="i"),F121," ")</f>
        <v> </v>
      </c>
      <c r="Q121" s="181" t="str">
        <f aca="false">IF((D121="b"),F121," ")</f>
        <v> </v>
      </c>
      <c r="R121" s="181" t="str">
        <f aca="false">IF((D121="o"),F121," ")</f>
        <v> </v>
      </c>
      <c r="S121" s="181" t="str">
        <f aca="false">IF((D121="f"),F121," ")</f>
        <v> </v>
      </c>
      <c r="U121" s="373"/>
    </row>
    <row r="122" customFormat="false" ht="12.75" hidden="false" customHeight="false" outlineLevel="0" collapsed="false">
      <c r="D122" s="373" t="str">
        <f aca="false">IF((F122&lt;&gt;0),"Enter Letter"," ")</f>
        <v> </v>
      </c>
      <c r="G122" s="181" t="str">
        <f aca="false">IF((D122="d"),F122," ")</f>
        <v> </v>
      </c>
      <c r="H122" s="181" t="str">
        <f aca="false">IF((D122="h"),F122," ")</f>
        <v> </v>
      </c>
      <c r="I122" s="181" t="str">
        <f aca="false">IF((D122="r"),F122," ")</f>
        <v> </v>
      </c>
      <c r="J122" s="181" t="str">
        <f aca="false">IF((D122="t"),F122," ")</f>
        <v> </v>
      </c>
      <c r="K122" s="181" t="str">
        <f aca="false">IF((D122="e"),F122," ")</f>
        <v> </v>
      </c>
      <c r="L122" s="181" t="str">
        <f aca="false">IF((D122="p"),F122," ")</f>
        <v> </v>
      </c>
      <c r="M122" s="181" t="str">
        <f aca="false">IF((D122="g"),F122," ")</f>
        <v> </v>
      </c>
      <c r="N122" s="181" t="str">
        <f aca="false">IF((D122="a"),F122," ")</f>
        <v> </v>
      </c>
      <c r="O122" s="181" t="str">
        <f aca="false">IF((D122="l"),F122," ")</f>
        <v> </v>
      </c>
      <c r="P122" s="181" t="str">
        <f aca="false">IF((D122="i"),F122," ")</f>
        <v> </v>
      </c>
      <c r="Q122" s="181" t="str">
        <f aca="false">IF((D122="b"),F122," ")</f>
        <v> </v>
      </c>
      <c r="R122" s="181" t="str">
        <f aca="false">IF((D122="o"),F122," ")</f>
        <v> </v>
      </c>
      <c r="S122" s="181" t="str">
        <f aca="false">IF((D122="f"),F122," ")</f>
        <v> </v>
      </c>
      <c r="U122" s="373"/>
    </row>
    <row r="123" customFormat="false" ht="12.75" hidden="false" customHeight="false" outlineLevel="0" collapsed="false">
      <c r="D123" s="373" t="str">
        <f aca="false">IF((F123&lt;&gt;0),"Enter Letter"," ")</f>
        <v> </v>
      </c>
      <c r="G123" s="181" t="str">
        <f aca="false">IF((D123="d"),F123," ")</f>
        <v> </v>
      </c>
      <c r="H123" s="181" t="str">
        <f aca="false">IF((D123="h"),F123," ")</f>
        <v> </v>
      </c>
      <c r="I123" s="181" t="str">
        <f aca="false">IF((D123="r"),F123," ")</f>
        <v> </v>
      </c>
      <c r="J123" s="181" t="str">
        <f aca="false">IF((D123="t"),F123," ")</f>
        <v> </v>
      </c>
      <c r="K123" s="181" t="str">
        <f aca="false">IF((D123="e"),F123," ")</f>
        <v> </v>
      </c>
      <c r="L123" s="181" t="str">
        <f aca="false">IF((D123="p"),F123," ")</f>
        <v> </v>
      </c>
      <c r="M123" s="181" t="str">
        <f aca="false">IF((D123="g"),F123," ")</f>
        <v> </v>
      </c>
      <c r="N123" s="181" t="str">
        <f aca="false">IF((D123="a"),F123," ")</f>
        <v> </v>
      </c>
      <c r="O123" s="181" t="str">
        <f aca="false">IF((D123="l"),F123," ")</f>
        <v> </v>
      </c>
      <c r="P123" s="181" t="str">
        <f aca="false">IF((D123="i"),F123," ")</f>
        <v> </v>
      </c>
      <c r="Q123" s="181" t="str">
        <f aca="false">IF((D123="b"),F123," ")</f>
        <v> </v>
      </c>
      <c r="R123" s="181" t="str">
        <f aca="false">IF((D123="o"),F123," ")</f>
        <v> </v>
      </c>
      <c r="S123" s="181" t="str">
        <f aca="false">IF((D123="f"),F123," ")</f>
        <v> </v>
      </c>
      <c r="U123" s="373"/>
    </row>
    <row r="124" customFormat="false" ht="12.75" hidden="false" customHeight="false" outlineLevel="0" collapsed="false">
      <c r="D124" s="373" t="str">
        <f aca="false">IF((F124&lt;&gt;0),"Enter Letter"," ")</f>
        <v> </v>
      </c>
      <c r="G124" s="181" t="str">
        <f aca="false">IF((D124="d"),F124," ")</f>
        <v> </v>
      </c>
      <c r="H124" s="181" t="str">
        <f aca="false">IF((D124="h"),F124," ")</f>
        <v> </v>
      </c>
      <c r="I124" s="181" t="str">
        <f aca="false">IF((D124="r"),F124," ")</f>
        <v> </v>
      </c>
      <c r="J124" s="181" t="str">
        <f aca="false">IF((D124="t"),F124," ")</f>
        <v> </v>
      </c>
      <c r="K124" s="181" t="str">
        <f aca="false">IF((D124="e"),F124," ")</f>
        <v> </v>
      </c>
      <c r="L124" s="181" t="str">
        <f aca="false">IF((D124="p"),F124," ")</f>
        <v> </v>
      </c>
      <c r="M124" s="181" t="str">
        <f aca="false">IF((D124="g"),F124," ")</f>
        <v> </v>
      </c>
      <c r="N124" s="181" t="str">
        <f aca="false">IF((D124="a"),F124," ")</f>
        <v> </v>
      </c>
      <c r="O124" s="181" t="str">
        <f aca="false">IF((D124="l"),F124," ")</f>
        <v> </v>
      </c>
      <c r="P124" s="181" t="str">
        <f aca="false">IF((D124="i"),F124," ")</f>
        <v> </v>
      </c>
      <c r="Q124" s="181" t="str">
        <f aca="false">IF((D124="b"),F124," ")</f>
        <v> </v>
      </c>
      <c r="R124" s="181" t="str">
        <f aca="false">IF((D124="o"),F124," ")</f>
        <v> </v>
      </c>
      <c r="S124" s="181" t="str">
        <f aca="false">IF((D124="f"),F124," ")</f>
        <v> </v>
      </c>
      <c r="U124" s="373"/>
    </row>
    <row r="125" customFormat="false" ht="12.75" hidden="false" customHeight="false" outlineLevel="0" collapsed="false">
      <c r="D125" s="373" t="str">
        <f aca="false">IF((F125&lt;&gt;0),"Enter Letter"," ")</f>
        <v> </v>
      </c>
      <c r="G125" s="181" t="str">
        <f aca="false">IF((D125="d"),F125," ")</f>
        <v> </v>
      </c>
      <c r="H125" s="181" t="str">
        <f aca="false">IF((D125="h"),F125," ")</f>
        <v> </v>
      </c>
      <c r="I125" s="181" t="str">
        <f aca="false">IF((D125="r"),F125," ")</f>
        <v> </v>
      </c>
      <c r="J125" s="181" t="str">
        <f aca="false">IF((D125="t"),F125," ")</f>
        <v> </v>
      </c>
      <c r="K125" s="181" t="str">
        <f aca="false">IF((D125="e"),F125," ")</f>
        <v> </v>
      </c>
      <c r="L125" s="181" t="str">
        <f aca="false">IF((D125="p"),F125," ")</f>
        <v> </v>
      </c>
      <c r="M125" s="181" t="str">
        <f aca="false">IF((D125="g"),F125," ")</f>
        <v> </v>
      </c>
      <c r="N125" s="181" t="str">
        <f aca="false">IF((D125="a"),F125," ")</f>
        <v> </v>
      </c>
      <c r="O125" s="181" t="str">
        <f aca="false">IF((D125="l"),F125," ")</f>
        <v> </v>
      </c>
      <c r="P125" s="181" t="str">
        <f aca="false">IF((D125="i"),F125," ")</f>
        <v> </v>
      </c>
      <c r="Q125" s="181" t="str">
        <f aca="false">IF((D125="b"),F125," ")</f>
        <v> </v>
      </c>
      <c r="R125" s="181" t="str">
        <f aca="false">IF((D125="o"),F125," ")</f>
        <v> </v>
      </c>
      <c r="S125" s="181" t="str">
        <f aca="false">IF((D125="f"),F125," ")</f>
        <v> </v>
      </c>
      <c r="U125" s="373"/>
    </row>
    <row r="126" customFormat="false" ht="12.75" hidden="false" customHeight="false" outlineLevel="0" collapsed="false">
      <c r="D126" s="373" t="str">
        <f aca="false">IF((F126&lt;&gt;0),"Enter Letter"," ")</f>
        <v> </v>
      </c>
      <c r="G126" s="181" t="str">
        <f aca="false">IF((D126="d"),F126," ")</f>
        <v> </v>
      </c>
      <c r="H126" s="181" t="str">
        <f aca="false">IF((D126="h"),F126," ")</f>
        <v> </v>
      </c>
      <c r="I126" s="181" t="str">
        <f aca="false">IF((D126="r"),F126," ")</f>
        <v> </v>
      </c>
      <c r="J126" s="181" t="str">
        <f aca="false">IF((D126="t"),F126," ")</f>
        <v> </v>
      </c>
      <c r="K126" s="181" t="str">
        <f aca="false">IF((D126="e"),F126," ")</f>
        <v> </v>
      </c>
      <c r="L126" s="181" t="str">
        <f aca="false">IF((D126="p"),F126," ")</f>
        <v> </v>
      </c>
      <c r="M126" s="181" t="str">
        <f aca="false">IF((D126="g"),F126," ")</f>
        <v> </v>
      </c>
      <c r="N126" s="181" t="str">
        <f aca="false">IF((D126="a"),F126," ")</f>
        <v> </v>
      </c>
      <c r="O126" s="181" t="str">
        <f aca="false">IF((D126="l"),F126," ")</f>
        <v> </v>
      </c>
      <c r="P126" s="181" t="str">
        <f aca="false">IF((D126="i"),F126," ")</f>
        <v> </v>
      </c>
      <c r="Q126" s="181" t="str">
        <f aca="false">IF((D126="b"),F126," ")</f>
        <v> </v>
      </c>
      <c r="R126" s="181" t="str">
        <f aca="false">IF((D126="o"),F126," ")</f>
        <v> </v>
      </c>
      <c r="S126" s="181" t="str">
        <f aca="false">IF((D126="f"),F126," ")</f>
        <v> </v>
      </c>
      <c r="U126" s="373"/>
    </row>
    <row r="127" customFormat="false" ht="12.75" hidden="false" customHeight="false" outlineLevel="0" collapsed="false">
      <c r="D127" s="373" t="str">
        <f aca="false">IF((F127&lt;&gt;0),"Enter Letter"," ")</f>
        <v> </v>
      </c>
      <c r="G127" s="181" t="str">
        <f aca="false">IF((D127="d"),F127," ")</f>
        <v> </v>
      </c>
      <c r="H127" s="181" t="str">
        <f aca="false">IF((D127="h"),F127," ")</f>
        <v> </v>
      </c>
      <c r="I127" s="181" t="str">
        <f aca="false">IF((D127="r"),F127," ")</f>
        <v> </v>
      </c>
      <c r="J127" s="181" t="str">
        <f aca="false">IF((D127="t"),F127," ")</f>
        <v> </v>
      </c>
      <c r="K127" s="181" t="str">
        <f aca="false">IF((D127="e"),F127," ")</f>
        <v> </v>
      </c>
      <c r="L127" s="181" t="str">
        <f aca="false">IF((D127="p"),F127," ")</f>
        <v> </v>
      </c>
      <c r="M127" s="181" t="str">
        <f aca="false">IF((D127="g"),F127," ")</f>
        <v> </v>
      </c>
      <c r="N127" s="181" t="str">
        <f aca="false">IF((D127="a"),F127," ")</f>
        <v> </v>
      </c>
      <c r="O127" s="181" t="str">
        <f aca="false">IF((D127="l"),F127," ")</f>
        <v> </v>
      </c>
      <c r="P127" s="181" t="str">
        <f aca="false">IF((D127="i"),F127," ")</f>
        <v> </v>
      </c>
      <c r="Q127" s="181" t="str">
        <f aca="false">IF((D127="b"),F127," ")</f>
        <v> </v>
      </c>
      <c r="R127" s="181" t="str">
        <f aca="false">IF((D127="o"),F127," ")</f>
        <v> </v>
      </c>
      <c r="S127" s="181" t="str">
        <f aca="false">IF((D127="f"),F127," ")</f>
        <v> </v>
      </c>
      <c r="U127" s="373"/>
    </row>
    <row r="128" customFormat="false" ht="12.75" hidden="false" customHeight="false" outlineLevel="0" collapsed="false">
      <c r="D128" s="373" t="str">
        <f aca="false">IF((F128&lt;&gt;0),"Enter Letter"," ")</f>
        <v> </v>
      </c>
      <c r="G128" s="181" t="str">
        <f aca="false">IF((D128="d"),F128," ")</f>
        <v> </v>
      </c>
      <c r="H128" s="181" t="str">
        <f aca="false">IF((D128="h"),F128," ")</f>
        <v> </v>
      </c>
      <c r="I128" s="181" t="str">
        <f aca="false">IF((D128="r"),F128," ")</f>
        <v> </v>
      </c>
      <c r="J128" s="181" t="str">
        <f aca="false">IF((D128="t"),F128," ")</f>
        <v> </v>
      </c>
      <c r="K128" s="181" t="str">
        <f aca="false">IF((D128="e"),F128," ")</f>
        <v> </v>
      </c>
      <c r="L128" s="181" t="str">
        <f aca="false">IF((D128="p"),F128," ")</f>
        <v> </v>
      </c>
      <c r="M128" s="181" t="str">
        <f aca="false">IF((D128="g"),F128," ")</f>
        <v> </v>
      </c>
      <c r="N128" s="181" t="str">
        <f aca="false">IF((D128="a"),F128," ")</f>
        <v> </v>
      </c>
      <c r="O128" s="181" t="str">
        <f aca="false">IF((D128="l"),F128," ")</f>
        <v> </v>
      </c>
      <c r="P128" s="181" t="str">
        <f aca="false">IF((D128="i"),F128," ")</f>
        <v> </v>
      </c>
      <c r="Q128" s="181" t="str">
        <f aca="false">IF((D128="b"),F128," ")</f>
        <v> </v>
      </c>
      <c r="R128" s="181" t="str">
        <f aca="false">IF((D128="o"),F128," ")</f>
        <v> </v>
      </c>
      <c r="S128" s="181" t="str">
        <f aca="false">IF((D128="f"),F128," ")</f>
        <v> </v>
      </c>
      <c r="U128" s="373"/>
    </row>
    <row r="129" customFormat="false" ht="12.75" hidden="false" customHeight="false" outlineLevel="0" collapsed="false">
      <c r="D129" s="373" t="str">
        <f aca="false">IF((F129&lt;&gt;0),"Enter Letter"," ")</f>
        <v> </v>
      </c>
      <c r="G129" s="181" t="str">
        <f aca="false">IF((D129="d"),F129," ")</f>
        <v> </v>
      </c>
      <c r="H129" s="181" t="str">
        <f aca="false">IF((D129="h"),F129," ")</f>
        <v> </v>
      </c>
      <c r="I129" s="181" t="str">
        <f aca="false">IF((D129="r"),F129," ")</f>
        <v> </v>
      </c>
      <c r="J129" s="181" t="str">
        <f aca="false">IF((D129="t"),F129," ")</f>
        <v> </v>
      </c>
      <c r="K129" s="181" t="str">
        <f aca="false">IF((D129="e"),F129," ")</f>
        <v> </v>
      </c>
      <c r="L129" s="181" t="str">
        <f aca="false">IF((D129="p"),F129," ")</f>
        <v> </v>
      </c>
      <c r="M129" s="181" t="str">
        <f aca="false">IF((D129="g"),F129," ")</f>
        <v> </v>
      </c>
      <c r="N129" s="181" t="str">
        <f aca="false">IF((D129="a"),F129," ")</f>
        <v> </v>
      </c>
      <c r="O129" s="181" t="str">
        <f aca="false">IF((D129="l"),F129," ")</f>
        <v> </v>
      </c>
      <c r="P129" s="181" t="str">
        <f aca="false">IF((D129="i"),F129," ")</f>
        <v> </v>
      </c>
      <c r="Q129" s="181" t="str">
        <f aca="false">IF((D129="b"),F129," ")</f>
        <v> </v>
      </c>
      <c r="R129" s="181" t="str">
        <f aca="false">IF((D129="o"),F129," ")</f>
        <v> </v>
      </c>
      <c r="S129" s="181" t="str">
        <f aca="false">IF((D129="f"),F129," ")</f>
        <v> </v>
      </c>
      <c r="U129" s="373"/>
    </row>
    <row r="130" customFormat="false" ht="12.75" hidden="false" customHeight="false" outlineLevel="0" collapsed="false">
      <c r="D130" s="373" t="str">
        <f aca="false">IF((F130&lt;&gt;0),"Enter Letter"," ")</f>
        <v> </v>
      </c>
      <c r="G130" s="181" t="str">
        <f aca="false">IF((D130="d"),F130," ")</f>
        <v> </v>
      </c>
      <c r="H130" s="181" t="str">
        <f aca="false">IF((D130="h"),F130," ")</f>
        <v> </v>
      </c>
      <c r="I130" s="181" t="str">
        <f aca="false">IF((D130="r"),F130," ")</f>
        <v> </v>
      </c>
      <c r="J130" s="181" t="str">
        <f aca="false">IF((D130="t"),F130," ")</f>
        <v> </v>
      </c>
      <c r="K130" s="181" t="str">
        <f aca="false">IF((D130="e"),F130," ")</f>
        <v> </v>
      </c>
      <c r="L130" s="181" t="str">
        <f aca="false">IF((D130="p"),F130," ")</f>
        <v> </v>
      </c>
      <c r="M130" s="181" t="str">
        <f aca="false">IF((D130="g"),F130," ")</f>
        <v> </v>
      </c>
      <c r="N130" s="181" t="str">
        <f aca="false">IF((D130="a"),F130," ")</f>
        <v> </v>
      </c>
      <c r="O130" s="181" t="str">
        <f aca="false">IF((D130="l"),F130," ")</f>
        <v> </v>
      </c>
      <c r="P130" s="181" t="str">
        <f aca="false">IF((D130="i"),F130," ")</f>
        <v> </v>
      </c>
      <c r="Q130" s="181" t="str">
        <f aca="false">IF((D130="b"),F130," ")</f>
        <v> </v>
      </c>
      <c r="R130" s="181" t="str">
        <f aca="false">IF((D130="o"),F130," ")</f>
        <v> </v>
      </c>
      <c r="S130" s="181" t="str">
        <f aca="false">IF((D130="f"),F130," ")</f>
        <v> </v>
      </c>
      <c r="U130" s="373"/>
    </row>
    <row r="131" customFormat="false" ht="12.75" hidden="false" customHeight="false" outlineLevel="0" collapsed="false">
      <c r="D131" s="373" t="str">
        <f aca="false">IF((F131&lt;&gt;0),"Enter Letter"," ")</f>
        <v> </v>
      </c>
      <c r="G131" s="181" t="str">
        <f aca="false">IF((D131="d"),F131," ")</f>
        <v> </v>
      </c>
      <c r="H131" s="181" t="str">
        <f aca="false">IF((D131="h"),F131," ")</f>
        <v> </v>
      </c>
      <c r="I131" s="181" t="str">
        <f aca="false">IF((D131="r"),F131," ")</f>
        <v> </v>
      </c>
      <c r="J131" s="181" t="str">
        <f aca="false">IF((D131="t"),F131," ")</f>
        <v> </v>
      </c>
      <c r="K131" s="181" t="str">
        <f aca="false">IF((D131="e"),F131," ")</f>
        <v> </v>
      </c>
      <c r="L131" s="181" t="str">
        <f aca="false">IF((D131="p"),F131," ")</f>
        <v> </v>
      </c>
      <c r="M131" s="181" t="str">
        <f aca="false">IF((D131="g"),F131," ")</f>
        <v> </v>
      </c>
      <c r="N131" s="181" t="str">
        <f aca="false">IF((D131="a"),F131," ")</f>
        <v> </v>
      </c>
      <c r="O131" s="181" t="str">
        <f aca="false">IF((D131="l"),F131," ")</f>
        <v> </v>
      </c>
      <c r="P131" s="181" t="str">
        <f aca="false">IF((D131="i"),F131," ")</f>
        <v> </v>
      </c>
      <c r="Q131" s="181" t="str">
        <f aca="false">IF((D131="b"),F131," ")</f>
        <v> </v>
      </c>
      <c r="R131" s="181" t="str">
        <f aca="false">IF((D131="o"),F131," ")</f>
        <v> </v>
      </c>
      <c r="S131" s="181" t="str">
        <f aca="false">IF((D131="f"),F131," ")</f>
        <v> </v>
      </c>
      <c r="U131" s="373"/>
    </row>
    <row r="132" customFormat="false" ht="12.75" hidden="false" customHeight="false" outlineLevel="0" collapsed="false">
      <c r="D132" s="373" t="str">
        <f aca="false">IF((F132&lt;&gt;0),"Enter Letter"," ")</f>
        <v> </v>
      </c>
      <c r="G132" s="181" t="str">
        <f aca="false">IF((D132="d"),F132," ")</f>
        <v> </v>
      </c>
      <c r="H132" s="181" t="str">
        <f aca="false">IF((D132="h"),F132," ")</f>
        <v> </v>
      </c>
      <c r="I132" s="181" t="str">
        <f aca="false">IF((D132="r"),F132," ")</f>
        <v> </v>
      </c>
      <c r="J132" s="181" t="str">
        <f aca="false">IF((D132="t"),F132," ")</f>
        <v> </v>
      </c>
      <c r="K132" s="181" t="str">
        <f aca="false">IF((D132="e"),F132," ")</f>
        <v> </v>
      </c>
      <c r="L132" s="181" t="str">
        <f aca="false">IF((D132="p"),F132," ")</f>
        <v> </v>
      </c>
      <c r="M132" s="181" t="str">
        <f aca="false">IF((D132="g"),F132," ")</f>
        <v> </v>
      </c>
      <c r="N132" s="181" t="str">
        <f aca="false">IF((D132="a"),F132," ")</f>
        <v> </v>
      </c>
      <c r="O132" s="181" t="str">
        <f aca="false">IF((D132="l"),F132," ")</f>
        <v> </v>
      </c>
      <c r="P132" s="181" t="str">
        <f aca="false">IF((D132="i"),F132," ")</f>
        <v> </v>
      </c>
      <c r="Q132" s="181" t="str">
        <f aca="false">IF((D132="b"),F132," ")</f>
        <v> </v>
      </c>
      <c r="R132" s="181" t="str">
        <f aca="false">IF((D132="o"),F132," ")</f>
        <v> </v>
      </c>
      <c r="S132" s="181" t="str">
        <f aca="false">IF((D132="f"),F132," ")</f>
        <v> </v>
      </c>
      <c r="U132" s="373"/>
    </row>
    <row r="133" customFormat="false" ht="12.75" hidden="false" customHeight="false" outlineLevel="0" collapsed="false">
      <c r="D133" s="373" t="str">
        <f aca="false">IF((F133&lt;&gt;0),"Enter Letter"," ")</f>
        <v> </v>
      </c>
      <c r="G133" s="181" t="str">
        <f aca="false">IF((D133="d"),F133," ")</f>
        <v> </v>
      </c>
      <c r="H133" s="181" t="str">
        <f aca="false">IF((D133="h"),F133," ")</f>
        <v> </v>
      </c>
      <c r="I133" s="181" t="str">
        <f aca="false">IF((D133="r"),F133," ")</f>
        <v> </v>
      </c>
      <c r="J133" s="181" t="str">
        <f aca="false">IF((D133="t"),F133," ")</f>
        <v> </v>
      </c>
      <c r="K133" s="181" t="str">
        <f aca="false">IF((D133="e"),F133," ")</f>
        <v> </v>
      </c>
      <c r="L133" s="181" t="str">
        <f aca="false">IF((D133="p"),F133," ")</f>
        <v> </v>
      </c>
      <c r="M133" s="181" t="str">
        <f aca="false">IF((D133="g"),F133," ")</f>
        <v> </v>
      </c>
      <c r="N133" s="181" t="str">
        <f aca="false">IF((D133="a"),F133," ")</f>
        <v> </v>
      </c>
      <c r="O133" s="181" t="str">
        <f aca="false">IF((D133="l"),F133," ")</f>
        <v> </v>
      </c>
      <c r="P133" s="181" t="str">
        <f aca="false">IF((D133="i"),F133," ")</f>
        <v> </v>
      </c>
      <c r="Q133" s="181" t="str">
        <f aca="false">IF((D133="b"),F133," ")</f>
        <v> </v>
      </c>
      <c r="R133" s="181" t="str">
        <f aca="false">IF((D133="o"),F133," ")</f>
        <v> </v>
      </c>
      <c r="S133" s="181" t="str">
        <f aca="false">IF((D133="f"),F133," ")</f>
        <v> </v>
      </c>
      <c r="U133" s="373"/>
    </row>
    <row r="134" customFormat="false" ht="12.75" hidden="false" customHeight="false" outlineLevel="0" collapsed="false">
      <c r="D134" s="373" t="str">
        <f aca="false">IF((F134&lt;&gt;0),"Enter Letter"," ")</f>
        <v> </v>
      </c>
      <c r="G134" s="181" t="str">
        <f aca="false">IF((D134="d"),F134," ")</f>
        <v> </v>
      </c>
      <c r="H134" s="181" t="str">
        <f aca="false">IF((D134="h"),F134," ")</f>
        <v> </v>
      </c>
      <c r="I134" s="181" t="str">
        <f aca="false">IF((D134="r"),F134," ")</f>
        <v> </v>
      </c>
      <c r="J134" s="181" t="str">
        <f aca="false">IF((D134="t"),F134," ")</f>
        <v> </v>
      </c>
      <c r="K134" s="181" t="str">
        <f aca="false">IF((D134="e"),F134," ")</f>
        <v> </v>
      </c>
      <c r="L134" s="181" t="str">
        <f aca="false">IF((D134="p"),F134," ")</f>
        <v> </v>
      </c>
      <c r="M134" s="181" t="str">
        <f aca="false">IF((D134="g"),F134," ")</f>
        <v> </v>
      </c>
      <c r="N134" s="181" t="str">
        <f aca="false">IF((D134="a"),F134," ")</f>
        <v> </v>
      </c>
      <c r="O134" s="181" t="str">
        <f aca="false">IF((D134="l"),F134," ")</f>
        <v> </v>
      </c>
      <c r="P134" s="181" t="str">
        <f aca="false">IF((D134="i"),F134," ")</f>
        <v> </v>
      </c>
      <c r="Q134" s="181" t="str">
        <f aca="false">IF((D134="b"),F134," ")</f>
        <v> </v>
      </c>
      <c r="R134" s="181" t="str">
        <f aca="false">IF((D134="o"),F134," ")</f>
        <v> </v>
      </c>
      <c r="S134" s="181" t="str">
        <f aca="false">IF((D134="f"),F134," ")</f>
        <v> </v>
      </c>
      <c r="U134" s="373"/>
    </row>
    <row r="135" customFormat="false" ht="12.75" hidden="false" customHeight="false" outlineLevel="0" collapsed="false">
      <c r="D135" s="373" t="str">
        <f aca="false">IF((F135&lt;&gt;0),"Enter Letter"," ")</f>
        <v> </v>
      </c>
      <c r="G135" s="181" t="str">
        <f aca="false">IF((D135="d"),F135," ")</f>
        <v> </v>
      </c>
      <c r="H135" s="181" t="str">
        <f aca="false">IF((D135="h"),F135," ")</f>
        <v> </v>
      </c>
      <c r="I135" s="181" t="str">
        <f aca="false">IF((D135="r"),F135," ")</f>
        <v> </v>
      </c>
      <c r="J135" s="181" t="str">
        <f aca="false">IF((D135="t"),F135," ")</f>
        <v> </v>
      </c>
      <c r="K135" s="181" t="str">
        <f aca="false">IF((D135="e"),F135," ")</f>
        <v> </v>
      </c>
      <c r="L135" s="181" t="str">
        <f aca="false">IF((D135="p"),F135," ")</f>
        <v> </v>
      </c>
      <c r="M135" s="181" t="str">
        <f aca="false">IF((D135="g"),F135," ")</f>
        <v> </v>
      </c>
      <c r="N135" s="181" t="str">
        <f aca="false">IF((D135="a"),F135," ")</f>
        <v> </v>
      </c>
      <c r="O135" s="181" t="str">
        <f aca="false">IF((D135="l"),F135," ")</f>
        <v> </v>
      </c>
      <c r="P135" s="181" t="str">
        <f aca="false">IF((D135="i"),F135," ")</f>
        <v> </v>
      </c>
      <c r="Q135" s="181" t="str">
        <f aca="false">IF((D135="b"),F135," ")</f>
        <v> </v>
      </c>
      <c r="R135" s="181" t="str">
        <f aca="false">IF((D135="o"),F135," ")</f>
        <v> </v>
      </c>
      <c r="S135" s="181" t="str">
        <f aca="false">IF((D135="f"),F135," ")</f>
        <v> </v>
      </c>
      <c r="U135" s="373"/>
    </row>
    <row r="136" customFormat="false" ht="12.75" hidden="false" customHeight="false" outlineLevel="0" collapsed="false">
      <c r="D136" s="373" t="str">
        <f aca="false">IF((F136&lt;&gt;0),"Enter Letter"," ")</f>
        <v> </v>
      </c>
      <c r="G136" s="181" t="str">
        <f aca="false">IF((D136="d"),F136," ")</f>
        <v> </v>
      </c>
      <c r="H136" s="181" t="str">
        <f aca="false">IF((D136="h"),F136," ")</f>
        <v> </v>
      </c>
      <c r="I136" s="181" t="str">
        <f aca="false">IF((D136="r"),F136," ")</f>
        <v> </v>
      </c>
      <c r="J136" s="181" t="str">
        <f aca="false">IF((D136="t"),F136," ")</f>
        <v> </v>
      </c>
      <c r="K136" s="181" t="str">
        <f aca="false">IF((D136="e"),F136," ")</f>
        <v> </v>
      </c>
      <c r="L136" s="181" t="str">
        <f aca="false">IF((D136="p"),F136," ")</f>
        <v> </v>
      </c>
      <c r="M136" s="181" t="str">
        <f aca="false">IF((D136="g"),F136," ")</f>
        <v> </v>
      </c>
      <c r="N136" s="181" t="str">
        <f aca="false">IF((D136="a"),F136," ")</f>
        <v> </v>
      </c>
      <c r="O136" s="181" t="str">
        <f aca="false">IF((D136="l"),F136," ")</f>
        <v> </v>
      </c>
      <c r="P136" s="181" t="str">
        <f aca="false">IF((D136="i"),F136," ")</f>
        <v> </v>
      </c>
      <c r="Q136" s="181" t="str">
        <f aca="false">IF((D136="b"),F136," ")</f>
        <v> </v>
      </c>
      <c r="R136" s="181" t="str">
        <f aca="false">IF((D136="o"),F136," ")</f>
        <v> </v>
      </c>
      <c r="S136" s="181" t="str">
        <f aca="false">IF((D136="f"),F136," ")</f>
        <v> </v>
      </c>
      <c r="U136" s="373"/>
    </row>
    <row r="137" customFormat="false" ht="12.75" hidden="false" customHeight="false" outlineLevel="0" collapsed="false">
      <c r="D137" s="373" t="str">
        <f aca="false">IF((F137&lt;&gt;0),"Enter Letter"," ")</f>
        <v> </v>
      </c>
      <c r="G137" s="181" t="str">
        <f aca="false">IF((D137="d"),F137," ")</f>
        <v> </v>
      </c>
      <c r="H137" s="181" t="str">
        <f aca="false">IF((D137="h"),F137," ")</f>
        <v> </v>
      </c>
      <c r="I137" s="181" t="str">
        <f aca="false">IF((D137="r"),F137," ")</f>
        <v> </v>
      </c>
      <c r="J137" s="181" t="str">
        <f aca="false">IF((D137="t"),F137," ")</f>
        <v> </v>
      </c>
      <c r="K137" s="181" t="str">
        <f aca="false">IF((D137="e"),F137," ")</f>
        <v> </v>
      </c>
      <c r="L137" s="181" t="str">
        <f aca="false">IF((D137="p"),F137," ")</f>
        <v> </v>
      </c>
      <c r="M137" s="181" t="str">
        <f aca="false">IF((D137="g"),F137," ")</f>
        <v> </v>
      </c>
      <c r="N137" s="181" t="str">
        <f aca="false">IF((D137="a"),F137," ")</f>
        <v> </v>
      </c>
      <c r="O137" s="181" t="str">
        <f aca="false">IF((D137="l"),F137," ")</f>
        <v> </v>
      </c>
      <c r="P137" s="181" t="str">
        <f aca="false">IF((D137="i"),F137," ")</f>
        <v> </v>
      </c>
      <c r="Q137" s="181" t="str">
        <f aca="false">IF((D137="b"),F137," ")</f>
        <v> </v>
      </c>
      <c r="R137" s="181" t="str">
        <f aca="false">IF((D137="o"),F137," ")</f>
        <v> </v>
      </c>
      <c r="S137" s="181" t="str">
        <f aca="false">IF((D137="f"),F137," ")</f>
        <v> </v>
      </c>
      <c r="U137" s="373"/>
    </row>
    <row r="138" customFormat="false" ht="12.75" hidden="false" customHeight="false" outlineLevel="0" collapsed="false">
      <c r="D138" s="373" t="str">
        <f aca="false">IF((F138&lt;&gt;0),"Enter Letter"," ")</f>
        <v> </v>
      </c>
      <c r="G138" s="181" t="str">
        <f aca="false">IF((D138="d"),F138," ")</f>
        <v> </v>
      </c>
      <c r="H138" s="181" t="str">
        <f aca="false">IF((D138="h"),F138," ")</f>
        <v> </v>
      </c>
      <c r="I138" s="181" t="str">
        <f aca="false">IF((D138="r"),F138," ")</f>
        <v> </v>
      </c>
      <c r="J138" s="181" t="str">
        <f aca="false">IF((D138="t"),F138," ")</f>
        <v> </v>
      </c>
      <c r="K138" s="181" t="str">
        <f aca="false">IF((D138="e"),F138," ")</f>
        <v> </v>
      </c>
      <c r="L138" s="181" t="str">
        <f aca="false">IF((D138="p"),F138," ")</f>
        <v> </v>
      </c>
      <c r="M138" s="181" t="str">
        <f aca="false">IF((D138="g"),F138," ")</f>
        <v> </v>
      </c>
      <c r="N138" s="181" t="str">
        <f aca="false">IF((D138="a"),F138," ")</f>
        <v> </v>
      </c>
      <c r="O138" s="181" t="str">
        <f aca="false">IF((D138="l"),F138," ")</f>
        <v> </v>
      </c>
      <c r="P138" s="181" t="str">
        <f aca="false">IF((D138="i"),F138," ")</f>
        <v> </v>
      </c>
      <c r="Q138" s="181" t="str">
        <f aca="false">IF((D138="b"),F138," ")</f>
        <v> </v>
      </c>
      <c r="R138" s="181" t="str">
        <f aca="false">IF((D138="o"),F138," ")</f>
        <v> </v>
      </c>
      <c r="S138" s="181" t="str">
        <f aca="false">IF((D138="f"),F138," ")</f>
        <v> </v>
      </c>
      <c r="U138" s="373"/>
    </row>
    <row r="139" customFormat="false" ht="12.75" hidden="false" customHeight="false" outlineLevel="0" collapsed="false">
      <c r="D139" s="373" t="str">
        <f aca="false">IF((F139&lt;&gt;0),"Enter Letter"," ")</f>
        <v> </v>
      </c>
      <c r="G139" s="181" t="str">
        <f aca="false">IF((D139="d"),F139," ")</f>
        <v> </v>
      </c>
      <c r="H139" s="181" t="str">
        <f aca="false">IF((D139="h"),F139," ")</f>
        <v> </v>
      </c>
      <c r="I139" s="181" t="str">
        <f aca="false">IF((D139="r"),F139," ")</f>
        <v> </v>
      </c>
      <c r="J139" s="181" t="str">
        <f aca="false">IF((D139="t"),F139," ")</f>
        <v> </v>
      </c>
      <c r="K139" s="181" t="str">
        <f aca="false">IF((D139="e"),F139," ")</f>
        <v> </v>
      </c>
      <c r="L139" s="181" t="str">
        <f aca="false">IF((D139="p"),F139," ")</f>
        <v> </v>
      </c>
      <c r="M139" s="181" t="str">
        <f aca="false">IF((D139="g"),F139," ")</f>
        <v> </v>
      </c>
      <c r="N139" s="181" t="str">
        <f aca="false">IF((D139="a"),F139," ")</f>
        <v> </v>
      </c>
      <c r="O139" s="181" t="str">
        <f aca="false">IF((D139="l"),F139," ")</f>
        <v> </v>
      </c>
      <c r="P139" s="181" t="str">
        <f aca="false">IF((D139="i"),F139," ")</f>
        <v> </v>
      </c>
      <c r="Q139" s="181" t="str">
        <f aca="false">IF((D139="b"),F139," ")</f>
        <v> </v>
      </c>
      <c r="R139" s="181" t="str">
        <f aca="false">IF((D139="o"),F139," ")</f>
        <v> </v>
      </c>
      <c r="S139" s="181" t="str">
        <f aca="false">IF((D139="f"),F139," ")</f>
        <v> </v>
      </c>
      <c r="U139" s="373"/>
    </row>
    <row r="140" customFormat="false" ht="12.75" hidden="false" customHeight="false" outlineLevel="0" collapsed="false">
      <c r="D140" s="373" t="str">
        <f aca="false">IF((F140&lt;&gt;0),"Enter Letter"," ")</f>
        <v> </v>
      </c>
      <c r="G140" s="181" t="str">
        <f aca="false">IF((D140="d"),F140," ")</f>
        <v> </v>
      </c>
      <c r="H140" s="181" t="str">
        <f aca="false">IF((D140="h"),F140," ")</f>
        <v> </v>
      </c>
      <c r="I140" s="181" t="str">
        <f aca="false">IF((D140="r"),F140," ")</f>
        <v> </v>
      </c>
      <c r="J140" s="181" t="str">
        <f aca="false">IF((D140="t"),F140," ")</f>
        <v> </v>
      </c>
      <c r="K140" s="181" t="str">
        <f aca="false">IF((D140="e"),F140," ")</f>
        <v> </v>
      </c>
      <c r="L140" s="181" t="str">
        <f aca="false">IF((D140="p"),F140," ")</f>
        <v> </v>
      </c>
      <c r="M140" s="181" t="str">
        <f aca="false">IF((D140="g"),F140," ")</f>
        <v> </v>
      </c>
      <c r="N140" s="181" t="str">
        <f aca="false">IF((D140="a"),F140," ")</f>
        <v> </v>
      </c>
      <c r="O140" s="181" t="str">
        <f aca="false">IF((D140="l"),F140," ")</f>
        <v> </v>
      </c>
      <c r="P140" s="181" t="str">
        <f aca="false">IF((D140="i"),F140," ")</f>
        <v> </v>
      </c>
      <c r="Q140" s="181" t="str">
        <f aca="false">IF((D140="b"),F140," ")</f>
        <v> </v>
      </c>
      <c r="R140" s="181" t="str">
        <f aca="false">IF((D140="o"),F140," ")</f>
        <v> </v>
      </c>
      <c r="S140" s="181" t="str">
        <f aca="false">IF((D140="f"),F140," ")</f>
        <v> </v>
      </c>
      <c r="U140" s="373"/>
    </row>
    <row r="141" customFormat="false" ht="12.75" hidden="false" customHeight="false" outlineLevel="0" collapsed="false">
      <c r="D141" s="373" t="str">
        <f aca="false">IF((F141&lt;&gt;0),"Enter Letter"," ")</f>
        <v> </v>
      </c>
      <c r="G141" s="181" t="str">
        <f aca="false">IF((D141="d"),F141," ")</f>
        <v> </v>
      </c>
      <c r="H141" s="181" t="str">
        <f aca="false">IF((D141="h"),F141," ")</f>
        <v> </v>
      </c>
      <c r="I141" s="181" t="str">
        <f aca="false">IF((D141="r"),F141," ")</f>
        <v> </v>
      </c>
      <c r="J141" s="181" t="str">
        <f aca="false">IF((D141="t"),F141," ")</f>
        <v> </v>
      </c>
      <c r="K141" s="181" t="str">
        <f aca="false">IF((D141="e"),F141," ")</f>
        <v> </v>
      </c>
      <c r="L141" s="181" t="str">
        <f aca="false">IF((D141="p"),F141," ")</f>
        <v> </v>
      </c>
      <c r="M141" s="181" t="str">
        <f aca="false">IF((D141="g"),F141," ")</f>
        <v> </v>
      </c>
      <c r="N141" s="181" t="str">
        <f aca="false">IF((D141="a"),F141," ")</f>
        <v> </v>
      </c>
      <c r="O141" s="181" t="str">
        <f aca="false">IF((D141="l"),F141," ")</f>
        <v> </v>
      </c>
      <c r="P141" s="181" t="str">
        <f aca="false">IF((D141="i"),F141," ")</f>
        <v> </v>
      </c>
      <c r="Q141" s="181" t="str">
        <f aca="false">IF((D141="b"),F141," ")</f>
        <v> </v>
      </c>
      <c r="R141" s="181" t="str">
        <f aca="false">IF((D141="o"),F141," ")</f>
        <v> </v>
      </c>
      <c r="S141" s="181" t="str">
        <f aca="false">IF((D141="f"),F141," ")</f>
        <v> </v>
      </c>
      <c r="U141" s="373"/>
    </row>
    <row r="142" customFormat="false" ht="12.75" hidden="false" customHeight="false" outlineLevel="0" collapsed="false">
      <c r="D142" s="373" t="str">
        <f aca="false">IF((F142&lt;&gt;0),"Enter Letter"," ")</f>
        <v> </v>
      </c>
      <c r="G142" s="181" t="str">
        <f aca="false">IF((D142="d"),F142," ")</f>
        <v> </v>
      </c>
      <c r="H142" s="181" t="str">
        <f aca="false">IF((D142="h"),F142," ")</f>
        <v> </v>
      </c>
      <c r="I142" s="181" t="str">
        <f aca="false">IF((D142="r"),F142," ")</f>
        <v> </v>
      </c>
      <c r="J142" s="181" t="str">
        <f aca="false">IF((D142="t"),F142," ")</f>
        <v> </v>
      </c>
      <c r="K142" s="181" t="str">
        <f aca="false">IF((D142="e"),F142," ")</f>
        <v> </v>
      </c>
      <c r="L142" s="181" t="str">
        <f aca="false">IF((D142="p"),F142," ")</f>
        <v> </v>
      </c>
      <c r="M142" s="181" t="str">
        <f aca="false">IF((D142="g"),F142," ")</f>
        <v> </v>
      </c>
      <c r="N142" s="181" t="str">
        <f aca="false">IF((D142="a"),F142," ")</f>
        <v> </v>
      </c>
      <c r="O142" s="181" t="str">
        <f aca="false">IF((D142="l"),F142," ")</f>
        <v> </v>
      </c>
      <c r="P142" s="181" t="str">
        <f aca="false">IF((D142="i"),F142," ")</f>
        <v> </v>
      </c>
      <c r="Q142" s="181" t="str">
        <f aca="false">IF((D142="b"),F142," ")</f>
        <v> </v>
      </c>
      <c r="R142" s="181" t="str">
        <f aca="false">IF((D142="o"),F142," ")</f>
        <v> </v>
      </c>
      <c r="S142" s="181" t="str">
        <f aca="false">IF((D142="f"),F142," ")</f>
        <v> </v>
      </c>
      <c r="U142" s="373"/>
    </row>
    <row r="143" customFormat="false" ht="12.75" hidden="false" customHeight="false" outlineLevel="0" collapsed="false">
      <c r="D143" s="373" t="str">
        <f aca="false">IF((F143&lt;&gt;0),"Enter Letter"," ")</f>
        <v> </v>
      </c>
      <c r="G143" s="181" t="str">
        <f aca="false">IF((D143="d"),F143," ")</f>
        <v> </v>
      </c>
      <c r="H143" s="181" t="str">
        <f aca="false">IF((D143="h"),F143," ")</f>
        <v> </v>
      </c>
      <c r="I143" s="181" t="str">
        <f aca="false">IF((D143="r"),F143," ")</f>
        <v> </v>
      </c>
      <c r="J143" s="181" t="str">
        <f aca="false">IF((D143="t"),F143," ")</f>
        <v> </v>
      </c>
      <c r="K143" s="181" t="str">
        <f aca="false">IF((D143="e"),F143," ")</f>
        <v> </v>
      </c>
      <c r="L143" s="181" t="str">
        <f aca="false">IF((D143="p"),F143," ")</f>
        <v> </v>
      </c>
      <c r="M143" s="181" t="str">
        <f aca="false">IF((D143="g"),F143," ")</f>
        <v> </v>
      </c>
      <c r="N143" s="181" t="str">
        <f aca="false">IF((D143="a"),F143," ")</f>
        <v> </v>
      </c>
      <c r="O143" s="181" t="str">
        <f aca="false">IF((D143="l"),F143," ")</f>
        <v> </v>
      </c>
      <c r="P143" s="181" t="str">
        <f aca="false">IF((D143="i"),F143," ")</f>
        <v> </v>
      </c>
      <c r="Q143" s="181" t="str">
        <f aca="false">IF((D143="b"),F143," ")</f>
        <v> </v>
      </c>
      <c r="R143" s="181" t="str">
        <f aca="false">IF((D143="o"),F143," ")</f>
        <v> </v>
      </c>
      <c r="S143" s="181" t="str">
        <f aca="false">IF((D143="f"),F143," ")</f>
        <v> </v>
      </c>
      <c r="U143" s="373"/>
    </row>
    <row r="144" customFormat="false" ht="12.75" hidden="false" customHeight="false" outlineLevel="0" collapsed="false">
      <c r="D144" s="373" t="str">
        <f aca="false">IF((F144&lt;&gt;0),"Enter Letter"," ")</f>
        <v> </v>
      </c>
      <c r="G144" s="181" t="str">
        <f aca="false">IF((D144="d"),F144," ")</f>
        <v> </v>
      </c>
      <c r="H144" s="181" t="str">
        <f aca="false">IF((D144="h"),F144," ")</f>
        <v> </v>
      </c>
      <c r="I144" s="181" t="str">
        <f aca="false">IF((D144="r"),F144," ")</f>
        <v> </v>
      </c>
      <c r="J144" s="181" t="str">
        <f aca="false">IF((D144="t"),F144," ")</f>
        <v> </v>
      </c>
      <c r="K144" s="181" t="str">
        <f aca="false">IF((D144="e"),F144," ")</f>
        <v> </v>
      </c>
      <c r="L144" s="181" t="str">
        <f aca="false">IF((D144="p"),F144," ")</f>
        <v> </v>
      </c>
      <c r="M144" s="181" t="str">
        <f aca="false">IF((D144="g"),F144," ")</f>
        <v> </v>
      </c>
      <c r="N144" s="181" t="str">
        <f aca="false">IF((D144="a"),F144," ")</f>
        <v> </v>
      </c>
      <c r="O144" s="181" t="str">
        <f aca="false">IF((D144="l"),F144," ")</f>
        <v> </v>
      </c>
      <c r="P144" s="181" t="str">
        <f aca="false">IF((D144="i"),F144," ")</f>
        <v> </v>
      </c>
      <c r="Q144" s="181" t="str">
        <f aca="false">IF((D144="b"),F144," ")</f>
        <v> </v>
      </c>
      <c r="R144" s="181" t="str">
        <f aca="false">IF((D144="o"),F144," ")</f>
        <v> </v>
      </c>
      <c r="S144" s="181" t="str">
        <f aca="false">IF((D144="f"),F144," ")</f>
        <v> </v>
      </c>
      <c r="U144" s="373"/>
    </row>
    <row r="145" customFormat="false" ht="12.75" hidden="false" customHeight="false" outlineLevel="0" collapsed="false">
      <c r="D145" s="373" t="str">
        <f aca="false">IF((F145&lt;&gt;0),"Enter Letter"," ")</f>
        <v> </v>
      </c>
      <c r="G145" s="181" t="str">
        <f aca="false">IF((D145="d"),F145," ")</f>
        <v> </v>
      </c>
      <c r="H145" s="181" t="str">
        <f aca="false">IF((D145="h"),F145," ")</f>
        <v> </v>
      </c>
      <c r="I145" s="181" t="str">
        <f aca="false">IF((D145="r"),F145," ")</f>
        <v> </v>
      </c>
      <c r="J145" s="181" t="str">
        <f aca="false">IF((D145="t"),F145," ")</f>
        <v> </v>
      </c>
      <c r="K145" s="181" t="str">
        <f aca="false">IF((D145="e"),F145," ")</f>
        <v> </v>
      </c>
      <c r="L145" s="181" t="str">
        <f aca="false">IF((D145="p"),F145," ")</f>
        <v> </v>
      </c>
      <c r="M145" s="181" t="str">
        <f aca="false">IF((D145="g"),F145," ")</f>
        <v> </v>
      </c>
      <c r="N145" s="181" t="str">
        <f aca="false">IF((D145="a"),F145," ")</f>
        <v> </v>
      </c>
      <c r="O145" s="181" t="str">
        <f aca="false">IF((D145="l"),F145," ")</f>
        <v> </v>
      </c>
      <c r="P145" s="181" t="str">
        <f aca="false">IF((D145="i"),F145," ")</f>
        <v> </v>
      </c>
      <c r="Q145" s="181" t="str">
        <f aca="false">IF((D145="b"),F145," ")</f>
        <v> </v>
      </c>
      <c r="R145" s="181" t="str">
        <f aca="false">IF((D145="o"),F145," ")</f>
        <v> </v>
      </c>
      <c r="S145" s="181" t="str">
        <f aca="false">IF((D145="f"),F145," ")</f>
        <v> </v>
      </c>
      <c r="U145" s="373"/>
    </row>
    <row r="146" customFormat="false" ht="12.75" hidden="false" customHeight="false" outlineLevel="0" collapsed="false">
      <c r="D146" s="373" t="str">
        <f aca="false">IF((F146&lt;&gt;0),"Enter Letter"," ")</f>
        <v> </v>
      </c>
      <c r="G146" s="181" t="str">
        <f aca="false">IF((D146="d"),F146," ")</f>
        <v> </v>
      </c>
      <c r="H146" s="181" t="str">
        <f aca="false">IF((D146="h"),F146," ")</f>
        <v> </v>
      </c>
      <c r="I146" s="181" t="str">
        <f aca="false">IF((D146="r"),F146," ")</f>
        <v> </v>
      </c>
      <c r="J146" s="181" t="str">
        <f aca="false">IF((D146="t"),F146," ")</f>
        <v> </v>
      </c>
      <c r="K146" s="181" t="str">
        <f aca="false">IF((D146="e"),F146," ")</f>
        <v> </v>
      </c>
      <c r="L146" s="181" t="str">
        <f aca="false">IF((D146="p"),F146," ")</f>
        <v> </v>
      </c>
      <c r="M146" s="181" t="str">
        <f aca="false">IF((D146="g"),F146," ")</f>
        <v> </v>
      </c>
      <c r="N146" s="181" t="str">
        <f aca="false">IF((D146="a"),F146," ")</f>
        <v> </v>
      </c>
      <c r="O146" s="181" t="str">
        <f aca="false">IF((D146="l"),F146," ")</f>
        <v> </v>
      </c>
      <c r="P146" s="181" t="str">
        <f aca="false">IF((D146="i"),F146," ")</f>
        <v> </v>
      </c>
      <c r="Q146" s="181" t="str">
        <f aca="false">IF((D146="b"),F146," ")</f>
        <v> </v>
      </c>
      <c r="R146" s="181" t="str">
        <f aca="false">IF((D146="o"),F146," ")</f>
        <v> </v>
      </c>
      <c r="S146" s="181" t="str">
        <f aca="false">IF((D146="f"),F146," ")</f>
        <v> </v>
      </c>
      <c r="U146" s="373"/>
    </row>
    <row r="147" customFormat="false" ht="12.75" hidden="false" customHeight="false" outlineLevel="0" collapsed="false">
      <c r="D147" s="373" t="str">
        <f aca="false">IF((F147&lt;&gt;0),"Enter Letter"," ")</f>
        <v> </v>
      </c>
      <c r="G147" s="181" t="str">
        <f aca="false">IF((D147="d"),F147," ")</f>
        <v> </v>
      </c>
      <c r="H147" s="181" t="str">
        <f aca="false">IF((D147="h"),F147," ")</f>
        <v> </v>
      </c>
      <c r="I147" s="181" t="str">
        <f aca="false">IF((D147="r"),F147," ")</f>
        <v> </v>
      </c>
      <c r="J147" s="181" t="str">
        <f aca="false">IF((D147="t"),F147," ")</f>
        <v> </v>
      </c>
      <c r="K147" s="181" t="str">
        <f aca="false">IF((D147="e"),F147," ")</f>
        <v> </v>
      </c>
      <c r="L147" s="181" t="str">
        <f aca="false">IF((D147="p"),F147," ")</f>
        <v> </v>
      </c>
      <c r="M147" s="181" t="str">
        <f aca="false">IF((D147="g"),F147," ")</f>
        <v> </v>
      </c>
      <c r="N147" s="181" t="str">
        <f aca="false">IF((D147="a"),F147," ")</f>
        <v> </v>
      </c>
      <c r="O147" s="181" t="str">
        <f aca="false">IF((D147="l"),F147," ")</f>
        <v> </v>
      </c>
      <c r="P147" s="181" t="str">
        <f aca="false">IF((D147="i"),F147," ")</f>
        <v> </v>
      </c>
      <c r="Q147" s="181" t="str">
        <f aca="false">IF((D147="b"),F147," ")</f>
        <v> </v>
      </c>
      <c r="R147" s="181" t="str">
        <f aca="false">IF((D147="o"),F147," ")</f>
        <v> </v>
      </c>
      <c r="S147" s="181" t="str">
        <f aca="false">IF((D147="f"),F147," ")</f>
        <v> </v>
      </c>
      <c r="U147" s="373"/>
    </row>
    <row r="148" customFormat="false" ht="12.75" hidden="false" customHeight="false" outlineLevel="0" collapsed="false">
      <c r="D148" s="373" t="str">
        <f aca="false">IF((F148&lt;&gt;0),"Enter Letter"," ")</f>
        <v> </v>
      </c>
      <c r="G148" s="181" t="str">
        <f aca="false">IF((D148="d"),F148," ")</f>
        <v> </v>
      </c>
      <c r="H148" s="181" t="str">
        <f aca="false">IF((D148="h"),F148," ")</f>
        <v> </v>
      </c>
      <c r="I148" s="181" t="str">
        <f aca="false">IF((D148="r"),F148," ")</f>
        <v> </v>
      </c>
      <c r="J148" s="181" t="str">
        <f aca="false">IF((D148="t"),F148," ")</f>
        <v> </v>
      </c>
      <c r="K148" s="181" t="str">
        <f aca="false">IF((D148="e"),F148," ")</f>
        <v> </v>
      </c>
      <c r="L148" s="181" t="str">
        <f aca="false">IF((D148="p"),F148," ")</f>
        <v> </v>
      </c>
      <c r="M148" s="181" t="str">
        <f aca="false">IF((D148="g"),F148," ")</f>
        <v> </v>
      </c>
      <c r="N148" s="181" t="str">
        <f aca="false">IF((D148="a"),F148," ")</f>
        <v> </v>
      </c>
      <c r="O148" s="181" t="str">
        <f aca="false">IF((D148="l"),F148," ")</f>
        <v> </v>
      </c>
      <c r="P148" s="181" t="str">
        <f aca="false">IF((D148="i"),F148," ")</f>
        <v> </v>
      </c>
      <c r="Q148" s="181" t="str">
        <f aca="false">IF((D148="b"),F148," ")</f>
        <v> </v>
      </c>
      <c r="R148" s="181" t="str">
        <f aca="false">IF((D148="o"),F148," ")</f>
        <v> </v>
      </c>
      <c r="S148" s="181" t="str">
        <f aca="false">IF((D148="f"),F148," ")</f>
        <v> </v>
      </c>
      <c r="U148" s="373"/>
    </row>
    <row r="149" customFormat="false" ht="12.75" hidden="false" customHeight="false" outlineLevel="0" collapsed="false">
      <c r="D149" s="373" t="str">
        <f aca="false">IF((F149&lt;&gt;0),"Enter Letter"," ")</f>
        <v> </v>
      </c>
      <c r="G149" s="181" t="str">
        <f aca="false">IF((D149="d"),F149," ")</f>
        <v> </v>
      </c>
      <c r="H149" s="181" t="str">
        <f aca="false">IF((D149="h"),F149," ")</f>
        <v> </v>
      </c>
      <c r="I149" s="181" t="str">
        <f aca="false">IF((D149="r"),F149," ")</f>
        <v> </v>
      </c>
      <c r="J149" s="181" t="str">
        <f aca="false">IF((D149="t"),F149," ")</f>
        <v> </v>
      </c>
      <c r="K149" s="181" t="str">
        <f aca="false">IF((D149="e"),F149," ")</f>
        <v> </v>
      </c>
      <c r="L149" s="181" t="str">
        <f aca="false">IF((D149="p"),F149," ")</f>
        <v> </v>
      </c>
      <c r="M149" s="181" t="str">
        <f aca="false">IF((D149="g"),F149," ")</f>
        <v> </v>
      </c>
      <c r="N149" s="181" t="str">
        <f aca="false">IF((D149="a"),F149," ")</f>
        <v> </v>
      </c>
      <c r="O149" s="181" t="str">
        <f aca="false">IF((D149="l"),F149," ")</f>
        <v> </v>
      </c>
      <c r="P149" s="181" t="str">
        <f aca="false">IF((D149="i"),F149," ")</f>
        <v> </v>
      </c>
      <c r="Q149" s="181" t="str">
        <f aca="false">IF((D149="b"),F149," ")</f>
        <v> </v>
      </c>
      <c r="R149" s="181" t="str">
        <f aca="false">IF((D149="o"),F149," ")</f>
        <v> </v>
      </c>
      <c r="S149" s="181" t="str">
        <f aca="false">IF((D149="f"),F149," ")</f>
        <v> </v>
      </c>
      <c r="U149" s="373"/>
    </row>
    <row r="150" customFormat="false" ht="12.75" hidden="false" customHeight="false" outlineLevel="0" collapsed="false">
      <c r="D150" s="373" t="str">
        <f aca="false">IF((F150&lt;&gt;0),"Enter Letter"," ")</f>
        <v> </v>
      </c>
      <c r="G150" s="181" t="str">
        <f aca="false">IF((D150="d"),F150," ")</f>
        <v> </v>
      </c>
      <c r="H150" s="181" t="str">
        <f aca="false">IF((D150="h"),F150," ")</f>
        <v> </v>
      </c>
      <c r="I150" s="181" t="str">
        <f aca="false">IF((D150="r"),F150," ")</f>
        <v> </v>
      </c>
      <c r="J150" s="181" t="str">
        <f aca="false">IF((D150="t"),F150," ")</f>
        <v> </v>
      </c>
      <c r="K150" s="181" t="str">
        <f aca="false">IF((D150="e"),F150," ")</f>
        <v> </v>
      </c>
      <c r="L150" s="181" t="str">
        <f aca="false">IF((D150="p"),F150," ")</f>
        <v> </v>
      </c>
      <c r="M150" s="181" t="str">
        <f aca="false">IF((D150="g"),F150," ")</f>
        <v> </v>
      </c>
      <c r="N150" s="181" t="str">
        <f aca="false">IF((D150="a"),F150," ")</f>
        <v> </v>
      </c>
      <c r="O150" s="181" t="str">
        <f aca="false">IF((D150="l"),F150," ")</f>
        <v> </v>
      </c>
      <c r="P150" s="181" t="str">
        <f aca="false">IF((D150="i"),F150," ")</f>
        <v> </v>
      </c>
      <c r="Q150" s="181" t="str">
        <f aca="false">IF((D150="b"),F150," ")</f>
        <v> </v>
      </c>
      <c r="R150" s="181" t="str">
        <f aca="false">IF((D150="o"),F150," ")</f>
        <v> </v>
      </c>
      <c r="S150" s="181" t="str">
        <f aca="false">IF((D150="f"),F150," ")</f>
        <v> </v>
      </c>
      <c r="U150" s="373"/>
    </row>
    <row r="151" customFormat="false" ht="12.75" hidden="false" customHeight="false" outlineLevel="0" collapsed="false">
      <c r="D151" s="373" t="str">
        <f aca="false">IF((F151&lt;&gt;0),"Enter Letter"," ")</f>
        <v> </v>
      </c>
      <c r="G151" s="181" t="str">
        <f aca="false">IF((D151="d"),F151," ")</f>
        <v> </v>
      </c>
      <c r="H151" s="181" t="str">
        <f aca="false">IF((D151="h"),F151," ")</f>
        <v> </v>
      </c>
      <c r="I151" s="181" t="str">
        <f aca="false">IF((D151="r"),F151," ")</f>
        <v> </v>
      </c>
      <c r="J151" s="181" t="str">
        <f aca="false">IF((D151="t"),F151," ")</f>
        <v> </v>
      </c>
      <c r="K151" s="181" t="str">
        <f aca="false">IF((D151="e"),F151," ")</f>
        <v> </v>
      </c>
      <c r="L151" s="181" t="str">
        <f aca="false">IF((D151="p"),F151," ")</f>
        <v> </v>
      </c>
      <c r="M151" s="181" t="str">
        <f aca="false">IF((D151="g"),F151," ")</f>
        <v> </v>
      </c>
      <c r="N151" s="181" t="str">
        <f aca="false">IF((D151="a"),F151," ")</f>
        <v> </v>
      </c>
      <c r="O151" s="181" t="str">
        <f aca="false">IF((D151="l"),F151," ")</f>
        <v> </v>
      </c>
      <c r="P151" s="181" t="str">
        <f aca="false">IF((D151="i"),F151," ")</f>
        <v> </v>
      </c>
      <c r="Q151" s="181" t="str">
        <f aca="false">IF((D151="b"),F151," ")</f>
        <v> </v>
      </c>
      <c r="R151" s="181" t="str">
        <f aca="false">IF((D151="o"),F151," ")</f>
        <v> </v>
      </c>
      <c r="S151" s="181" t="str">
        <f aca="false">IF((D151="f"),F151," ")</f>
        <v> </v>
      </c>
      <c r="U151" s="373"/>
    </row>
    <row r="152" customFormat="false" ht="12.75" hidden="false" customHeight="false" outlineLevel="0" collapsed="false">
      <c r="D152" s="373" t="str">
        <f aca="false">IF((F152&lt;&gt;0),"Enter Letter"," ")</f>
        <v> </v>
      </c>
      <c r="G152" s="181" t="str">
        <f aca="false">IF((D152="d"),F152," ")</f>
        <v> </v>
      </c>
      <c r="H152" s="181" t="str">
        <f aca="false">IF((D152="h"),F152," ")</f>
        <v> </v>
      </c>
      <c r="I152" s="181" t="str">
        <f aca="false">IF((D152="r"),F152," ")</f>
        <v> </v>
      </c>
      <c r="J152" s="181" t="str">
        <f aca="false">IF((D152="t"),F152," ")</f>
        <v> </v>
      </c>
      <c r="K152" s="181" t="str">
        <f aca="false">IF((D152="e"),F152," ")</f>
        <v> </v>
      </c>
      <c r="L152" s="181" t="str">
        <f aca="false">IF((D152="p"),F152," ")</f>
        <v> </v>
      </c>
      <c r="M152" s="181" t="str">
        <f aca="false">IF((D152="g"),F152," ")</f>
        <v> </v>
      </c>
      <c r="N152" s="181" t="str">
        <f aca="false">IF((D152="a"),F152," ")</f>
        <v> </v>
      </c>
      <c r="O152" s="181" t="str">
        <f aca="false">IF((D152="l"),F152," ")</f>
        <v> </v>
      </c>
      <c r="P152" s="181" t="str">
        <f aca="false">IF((D152="i"),F152," ")</f>
        <v> </v>
      </c>
      <c r="Q152" s="181" t="str">
        <f aca="false">IF((D152="b"),F152," ")</f>
        <v> </v>
      </c>
      <c r="R152" s="181" t="str">
        <f aca="false">IF((D152="o"),F152," ")</f>
        <v> </v>
      </c>
      <c r="S152" s="181" t="str">
        <f aca="false">IF((D152="f"),F152," ")</f>
        <v> </v>
      </c>
      <c r="U152" s="373"/>
    </row>
    <row r="153" customFormat="false" ht="12.75" hidden="false" customHeight="false" outlineLevel="0" collapsed="false">
      <c r="D153" s="373" t="str">
        <f aca="false">IF((F153&lt;&gt;0),"Enter Letter"," ")</f>
        <v> </v>
      </c>
      <c r="G153" s="181" t="str">
        <f aca="false">IF((D153="d"),F153," ")</f>
        <v> </v>
      </c>
      <c r="H153" s="181" t="str">
        <f aca="false">IF((D153="h"),F153," ")</f>
        <v> </v>
      </c>
      <c r="I153" s="181" t="str">
        <f aca="false">IF((D153="r"),F153," ")</f>
        <v> </v>
      </c>
      <c r="J153" s="181" t="str">
        <f aca="false">IF((D153="t"),F153," ")</f>
        <v> </v>
      </c>
      <c r="K153" s="181" t="str">
        <f aca="false">IF((D153="e"),F153," ")</f>
        <v> </v>
      </c>
      <c r="L153" s="181" t="str">
        <f aca="false">IF((D153="p"),F153," ")</f>
        <v> </v>
      </c>
      <c r="M153" s="181" t="str">
        <f aca="false">IF((D153="g"),F153," ")</f>
        <v> </v>
      </c>
      <c r="N153" s="181" t="str">
        <f aca="false">IF((D153="a"),F153," ")</f>
        <v> </v>
      </c>
      <c r="O153" s="181" t="str">
        <f aca="false">IF((D153="l"),F153," ")</f>
        <v> </v>
      </c>
      <c r="P153" s="181" t="str">
        <f aca="false">IF((D153="i"),F153," ")</f>
        <v> </v>
      </c>
      <c r="Q153" s="181" t="str">
        <f aca="false">IF((D153="b"),F153," ")</f>
        <v> </v>
      </c>
      <c r="R153" s="181" t="str">
        <f aca="false">IF((D153="o"),F153," ")</f>
        <v> </v>
      </c>
      <c r="S153" s="181" t="str">
        <f aca="false">IF((D153="f"),F153," ")</f>
        <v> </v>
      </c>
      <c r="U153" s="373"/>
    </row>
    <row r="154" customFormat="false" ht="12.75" hidden="false" customHeight="false" outlineLevel="0" collapsed="false">
      <c r="D154" s="373" t="str">
        <f aca="false">IF((F154&lt;&gt;0),"Enter Letter"," ")</f>
        <v> </v>
      </c>
      <c r="G154" s="181" t="str">
        <f aca="false">IF((D154="d"),F154," ")</f>
        <v> </v>
      </c>
      <c r="H154" s="181" t="str">
        <f aca="false">IF((D154="h"),F154," ")</f>
        <v> </v>
      </c>
      <c r="I154" s="181" t="str">
        <f aca="false">IF((D154="r"),F154," ")</f>
        <v> </v>
      </c>
      <c r="J154" s="181" t="str">
        <f aca="false">IF((D154="t"),F154," ")</f>
        <v> </v>
      </c>
      <c r="K154" s="181" t="str">
        <f aca="false">IF((D154="e"),F154," ")</f>
        <v> </v>
      </c>
      <c r="L154" s="181" t="str">
        <f aca="false">IF((D154="p"),F154," ")</f>
        <v> </v>
      </c>
      <c r="M154" s="181" t="str">
        <f aca="false">IF((D154="g"),F154," ")</f>
        <v> </v>
      </c>
      <c r="N154" s="181" t="str">
        <f aca="false">IF((D154="a"),F154," ")</f>
        <v> </v>
      </c>
      <c r="O154" s="181" t="str">
        <f aca="false">IF((D154="l"),F154," ")</f>
        <v> </v>
      </c>
      <c r="P154" s="181" t="str">
        <f aca="false">IF((D154="i"),F154," ")</f>
        <v> </v>
      </c>
      <c r="Q154" s="181" t="str">
        <f aca="false">IF((D154="b"),F154," ")</f>
        <v> </v>
      </c>
      <c r="R154" s="181" t="str">
        <f aca="false">IF((D154="o"),F154," ")</f>
        <v> </v>
      </c>
      <c r="S154" s="181" t="str">
        <f aca="false">IF((D154="f"),F154," ")</f>
        <v> </v>
      </c>
      <c r="U154" s="373"/>
    </row>
    <row r="155" customFormat="false" ht="12.75" hidden="false" customHeight="false" outlineLevel="0" collapsed="false">
      <c r="D155" s="373" t="str">
        <f aca="false">IF((F155&lt;&gt;0),"Enter Letter"," ")</f>
        <v> </v>
      </c>
      <c r="G155" s="181" t="str">
        <f aca="false">IF((D155="d"),F155," ")</f>
        <v> </v>
      </c>
      <c r="H155" s="181" t="str">
        <f aca="false">IF((D155="h"),F155," ")</f>
        <v> </v>
      </c>
      <c r="I155" s="181" t="str">
        <f aca="false">IF((D155="r"),F155," ")</f>
        <v> </v>
      </c>
      <c r="J155" s="181" t="str">
        <f aca="false">IF((D155="t"),F155," ")</f>
        <v> </v>
      </c>
      <c r="K155" s="181" t="str">
        <f aca="false">IF((D155="e"),F155," ")</f>
        <v> </v>
      </c>
      <c r="L155" s="181" t="str">
        <f aca="false">IF((D155="p"),F155," ")</f>
        <v> </v>
      </c>
      <c r="M155" s="181" t="str">
        <f aca="false">IF((D155="g"),F155," ")</f>
        <v> </v>
      </c>
      <c r="N155" s="181" t="str">
        <f aca="false">IF((D155="a"),F155," ")</f>
        <v> </v>
      </c>
      <c r="O155" s="181" t="str">
        <f aca="false">IF((D155="l"),F155," ")</f>
        <v> </v>
      </c>
      <c r="P155" s="181" t="str">
        <f aca="false">IF((D155="i"),F155," ")</f>
        <v> </v>
      </c>
      <c r="Q155" s="181" t="str">
        <f aca="false">IF((D155="b"),F155," ")</f>
        <v> </v>
      </c>
      <c r="R155" s="181" t="str">
        <f aca="false">IF((D155="o"),F155," ")</f>
        <v> </v>
      </c>
      <c r="S155" s="181" t="str">
        <f aca="false">IF((D155="f"),F155," ")</f>
        <v> </v>
      </c>
      <c r="U155" s="373"/>
    </row>
    <row r="156" customFormat="false" ht="12.75" hidden="false" customHeight="false" outlineLevel="0" collapsed="false">
      <c r="D156" s="373" t="str">
        <f aca="false">IF((F156&lt;&gt;0),"Enter Letter"," ")</f>
        <v> </v>
      </c>
      <c r="G156" s="181" t="str">
        <f aca="false">IF((D156="d"),F156," ")</f>
        <v> </v>
      </c>
      <c r="H156" s="181" t="str">
        <f aca="false">IF((D156="h"),F156," ")</f>
        <v> </v>
      </c>
      <c r="I156" s="181" t="str">
        <f aca="false">IF((D156="r"),F156," ")</f>
        <v> </v>
      </c>
      <c r="J156" s="181" t="str">
        <f aca="false">IF((D156="t"),F156," ")</f>
        <v> </v>
      </c>
      <c r="K156" s="181" t="str">
        <f aca="false">IF((D156="e"),F156," ")</f>
        <v> </v>
      </c>
      <c r="L156" s="181" t="str">
        <f aca="false">IF((D156="p"),F156," ")</f>
        <v> </v>
      </c>
      <c r="M156" s="181" t="str">
        <f aca="false">IF((D156="g"),F156," ")</f>
        <v> </v>
      </c>
      <c r="N156" s="181" t="str">
        <f aca="false">IF((D156="a"),F156," ")</f>
        <v> </v>
      </c>
      <c r="O156" s="181" t="str">
        <f aca="false">IF((D156="l"),F156," ")</f>
        <v> </v>
      </c>
      <c r="P156" s="181" t="str">
        <f aca="false">IF((D156="i"),F156," ")</f>
        <v> </v>
      </c>
      <c r="Q156" s="181" t="str">
        <f aca="false">IF((D156="b"),F156," ")</f>
        <v> </v>
      </c>
      <c r="R156" s="181" t="str">
        <f aca="false">IF((D156="o"),F156," ")</f>
        <v> </v>
      </c>
      <c r="S156" s="181" t="str">
        <f aca="false">IF((D156="f"),F156," ")</f>
        <v> </v>
      </c>
      <c r="U156" s="373"/>
    </row>
    <row r="157" customFormat="false" ht="12.75" hidden="false" customHeight="false" outlineLevel="0" collapsed="false">
      <c r="D157" s="373" t="str">
        <f aca="false">IF((F157&lt;&gt;0),"Enter Letter"," ")</f>
        <v> </v>
      </c>
      <c r="G157" s="181" t="str">
        <f aca="false">IF((D157="d"),F157," ")</f>
        <v> </v>
      </c>
      <c r="H157" s="181" t="str">
        <f aca="false">IF((D157="h"),F157," ")</f>
        <v> </v>
      </c>
      <c r="I157" s="181" t="str">
        <f aca="false">IF((D157="r"),F157," ")</f>
        <v> </v>
      </c>
      <c r="J157" s="181" t="str">
        <f aca="false">IF((D157="t"),F157," ")</f>
        <v> </v>
      </c>
      <c r="K157" s="181" t="str">
        <f aca="false">IF((D157="e"),F157," ")</f>
        <v> </v>
      </c>
      <c r="L157" s="181" t="str">
        <f aca="false">IF((D157="p"),F157," ")</f>
        <v> </v>
      </c>
      <c r="M157" s="181" t="str">
        <f aca="false">IF((D157="g"),F157," ")</f>
        <v> </v>
      </c>
      <c r="N157" s="181" t="str">
        <f aca="false">IF((D157="a"),F157," ")</f>
        <v> </v>
      </c>
      <c r="O157" s="181" t="str">
        <f aca="false">IF((D157="l"),F157," ")</f>
        <v> </v>
      </c>
      <c r="P157" s="181" t="str">
        <f aca="false">IF((D157="i"),F157," ")</f>
        <v> </v>
      </c>
      <c r="Q157" s="181" t="str">
        <f aca="false">IF((D157="b"),F157," ")</f>
        <v> </v>
      </c>
      <c r="R157" s="181" t="str">
        <f aca="false">IF((D157="o"),F157," ")</f>
        <v> </v>
      </c>
      <c r="S157" s="181" t="str">
        <f aca="false">IF((D157="f"),F157," ")</f>
        <v> </v>
      </c>
      <c r="U157" s="373"/>
    </row>
    <row r="158" customFormat="false" ht="12.75" hidden="false" customHeight="false" outlineLevel="0" collapsed="false">
      <c r="D158" s="373" t="str">
        <f aca="false">IF((F158&lt;&gt;0),"Enter Letter"," ")</f>
        <v> </v>
      </c>
      <c r="G158" s="181" t="str">
        <f aca="false">IF((D158="d"),F158," ")</f>
        <v> </v>
      </c>
      <c r="H158" s="181" t="str">
        <f aca="false">IF((D158="h"),F158," ")</f>
        <v> </v>
      </c>
      <c r="I158" s="181" t="str">
        <f aca="false">IF((D158="r"),F158," ")</f>
        <v> </v>
      </c>
      <c r="J158" s="181" t="str">
        <f aca="false">IF((D158="t"),F158," ")</f>
        <v> </v>
      </c>
      <c r="K158" s="181" t="str">
        <f aca="false">IF((D158="e"),F158," ")</f>
        <v> </v>
      </c>
      <c r="L158" s="181" t="str">
        <f aca="false">IF((D158="p"),F158," ")</f>
        <v> </v>
      </c>
      <c r="M158" s="181" t="str">
        <f aca="false">IF((D158="g"),F158," ")</f>
        <v> </v>
      </c>
      <c r="N158" s="181" t="str">
        <f aca="false">IF((D158="a"),F158," ")</f>
        <v> </v>
      </c>
      <c r="O158" s="181" t="str">
        <f aca="false">IF((D158="l"),F158," ")</f>
        <v> </v>
      </c>
      <c r="P158" s="181" t="str">
        <f aca="false">IF((D158="i"),F158," ")</f>
        <v> </v>
      </c>
      <c r="Q158" s="181" t="str">
        <f aca="false">IF((D158="b"),F158," ")</f>
        <v> </v>
      </c>
      <c r="R158" s="181" t="str">
        <f aca="false">IF((D158="o"),F158," ")</f>
        <v> </v>
      </c>
      <c r="S158" s="181" t="str">
        <f aca="false">IF((D158="f"),F158," ")</f>
        <v> </v>
      </c>
      <c r="U158" s="373"/>
    </row>
    <row r="159" customFormat="false" ht="12.75" hidden="false" customHeight="false" outlineLevel="0" collapsed="false">
      <c r="D159" s="373" t="str">
        <f aca="false">IF((F159&lt;&gt;0),"Enter Letter"," ")</f>
        <v> </v>
      </c>
      <c r="G159" s="181" t="str">
        <f aca="false">IF((D159="d"),F159," ")</f>
        <v> </v>
      </c>
      <c r="H159" s="181" t="str">
        <f aca="false">IF((D159="h"),F159," ")</f>
        <v> </v>
      </c>
      <c r="I159" s="181" t="str">
        <f aca="false">IF((D159="r"),F159," ")</f>
        <v> </v>
      </c>
      <c r="J159" s="181" t="str">
        <f aca="false">IF((D159="t"),F159," ")</f>
        <v> </v>
      </c>
      <c r="K159" s="181" t="str">
        <f aca="false">IF((D159="e"),F159," ")</f>
        <v> </v>
      </c>
      <c r="L159" s="181" t="str">
        <f aca="false">IF((D159="p"),F159," ")</f>
        <v> </v>
      </c>
      <c r="M159" s="181" t="str">
        <f aca="false">IF((D159="g"),F159," ")</f>
        <v> </v>
      </c>
      <c r="N159" s="181" t="str">
        <f aca="false">IF((D159="a"),F159," ")</f>
        <v> </v>
      </c>
      <c r="O159" s="181" t="str">
        <f aca="false">IF((D159="l"),F159," ")</f>
        <v> </v>
      </c>
      <c r="P159" s="181" t="str">
        <f aca="false">IF((D159="i"),F159," ")</f>
        <v> </v>
      </c>
      <c r="Q159" s="181" t="str">
        <f aca="false">IF((D159="b"),F159," ")</f>
        <v> </v>
      </c>
      <c r="R159" s="181" t="str">
        <f aca="false">IF((D159="o"),F159," ")</f>
        <v> </v>
      </c>
      <c r="S159" s="181" t="str">
        <f aca="false">IF((D159="f"),F159," ")</f>
        <v> </v>
      </c>
      <c r="U159" s="373"/>
    </row>
    <row r="160" customFormat="false" ht="12.75" hidden="false" customHeight="false" outlineLevel="0" collapsed="false">
      <c r="D160" s="373" t="str">
        <f aca="false">IF((F160&lt;&gt;0),"Enter Letter"," ")</f>
        <v> </v>
      </c>
      <c r="G160" s="181" t="str">
        <f aca="false">IF((D160="d"),F160," ")</f>
        <v> </v>
      </c>
      <c r="H160" s="181" t="str">
        <f aca="false">IF((D160="h"),F160," ")</f>
        <v> </v>
      </c>
      <c r="I160" s="181" t="str">
        <f aca="false">IF((D160="r"),F160," ")</f>
        <v> </v>
      </c>
      <c r="J160" s="181" t="str">
        <f aca="false">IF((D160="t"),F160," ")</f>
        <v> </v>
      </c>
      <c r="K160" s="181" t="str">
        <f aca="false">IF((D160="e"),F160," ")</f>
        <v> </v>
      </c>
      <c r="L160" s="181" t="str">
        <f aca="false">IF((D160="p"),F160," ")</f>
        <v> </v>
      </c>
      <c r="M160" s="181" t="str">
        <f aca="false">IF((D160="g"),F160," ")</f>
        <v> </v>
      </c>
      <c r="N160" s="181" t="str">
        <f aca="false">IF((D160="a"),F160," ")</f>
        <v> </v>
      </c>
      <c r="O160" s="181" t="str">
        <f aca="false">IF((D160="l"),F160," ")</f>
        <v> </v>
      </c>
      <c r="P160" s="181" t="str">
        <f aca="false">IF((D160="i"),F160," ")</f>
        <v> </v>
      </c>
      <c r="Q160" s="181" t="str">
        <f aca="false">IF((D160="b"),F160," ")</f>
        <v> </v>
      </c>
      <c r="R160" s="181" t="str">
        <f aca="false">IF((D160="o"),F160," ")</f>
        <v> </v>
      </c>
      <c r="S160" s="181" t="str">
        <f aca="false">IF((D160="f"),F160," ")</f>
        <v> </v>
      </c>
      <c r="U160" s="373"/>
    </row>
    <row r="161" customFormat="false" ht="12.75" hidden="false" customHeight="false" outlineLevel="0" collapsed="false">
      <c r="D161" s="373" t="str">
        <f aca="false">IF((F161&lt;&gt;0),"Enter Letter"," ")</f>
        <v> </v>
      </c>
      <c r="G161" s="181" t="str">
        <f aca="false">IF((D161="d"),F161," ")</f>
        <v> </v>
      </c>
      <c r="H161" s="181" t="str">
        <f aca="false">IF((D161="h"),F161," ")</f>
        <v> </v>
      </c>
      <c r="I161" s="181" t="str">
        <f aca="false">IF((D161="r"),F161," ")</f>
        <v> </v>
      </c>
      <c r="J161" s="181" t="str">
        <f aca="false">IF((D161="t"),F161," ")</f>
        <v> </v>
      </c>
      <c r="K161" s="181" t="str">
        <f aca="false">IF((D161="e"),F161," ")</f>
        <v> </v>
      </c>
      <c r="L161" s="181" t="str">
        <f aca="false">IF((D161="p"),F161," ")</f>
        <v> </v>
      </c>
      <c r="M161" s="181" t="str">
        <f aca="false">IF((D161="g"),F161," ")</f>
        <v> </v>
      </c>
      <c r="N161" s="181" t="str">
        <f aca="false">IF((D161="a"),F161," ")</f>
        <v> </v>
      </c>
      <c r="O161" s="181" t="str">
        <f aca="false">IF((D161="l"),F161," ")</f>
        <v> </v>
      </c>
      <c r="P161" s="181" t="str">
        <f aca="false">IF((D161="i"),F161," ")</f>
        <v> </v>
      </c>
      <c r="Q161" s="181" t="str">
        <f aca="false">IF((D161="b"),F161," ")</f>
        <v> </v>
      </c>
      <c r="R161" s="181" t="str">
        <f aca="false">IF((D161="o"),F161," ")</f>
        <v> </v>
      </c>
      <c r="S161" s="181" t="str">
        <f aca="false">IF((D161="f"),F161," ")</f>
        <v> </v>
      </c>
      <c r="U161" s="373"/>
    </row>
    <row r="162" customFormat="false" ht="12.75" hidden="false" customHeight="false" outlineLevel="0" collapsed="false">
      <c r="D162" s="373" t="str">
        <f aca="false">IF((F162&lt;&gt;0),"Enter Letter"," ")</f>
        <v> </v>
      </c>
      <c r="G162" s="181" t="str">
        <f aca="false">IF((D162="d"),F162," ")</f>
        <v> </v>
      </c>
      <c r="H162" s="181" t="str">
        <f aca="false">IF((D162="h"),F162," ")</f>
        <v> </v>
      </c>
      <c r="I162" s="181" t="str">
        <f aca="false">IF((D162="r"),F162," ")</f>
        <v> </v>
      </c>
      <c r="J162" s="181" t="str">
        <f aca="false">IF((D162="t"),F162," ")</f>
        <v> </v>
      </c>
      <c r="K162" s="181" t="str">
        <f aca="false">IF((D162="e"),F162," ")</f>
        <v> </v>
      </c>
      <c r="L162" s="181" t="str">
        <f aca="false">IF((D162="p"),F162," ")</f>
        <v> </v>
      </c>
      <c r="M162" s="181" t="str">
        <f aca="false">IF((D162="g"),F162," ")</f>
        <v> </v>
      </c>
      <c r="N162" s="181" t="str">
        <f aca="false">IF((D162="a"),F162," ")</f>
        <v> </v>
      </c>
      <c r="O162" s="181" t="str">
        <f aca="false">IF((D162="l"),F162," ")</f>
        <v> </v>
      </c>
      <c r="P162" s="181" t="str">
        <f aca="false">IF((D162="i"),F162," ")</f>
        <v> </v>
      </c>
      <c r="Q162" s="181" t="str">
        <f aca="false">IF((D162="b"),F162," ")</f>
        <v> </v>
      </c>
      <c r="R162" s="181" t="str">
        <f aca="false">IF((D162="o"),F162," ")</f>
        <v> </v>
      </c>
      <c r="S162" s="181" t="str">
        <f aca="false">IF((D162="f"),F162," ")</f>
        <v> </v>
      </c>
      <c r="U162" s="373"/>
    </row>
    <row r="163" customFormat="false" ht="12.75" hidden="false" customHeight="false" outlineLevel="0" collapsed="false">
      <c r="D163" s="373" t="str">
        <f aca="false">IF((F163&lt;&gt;0),"Enter Letter"," ")</f>
        <v> </v>
      </c>
      <c r="G163" s="181" t="str">
        <f aca="false">IF((D163="d"),F163," ")</f>
        <v> </v>
      </c>
      <c r="H163" s="181" t="str">
        <f aca="false">IF((D163="h"),F163," ")</f>
        <v> </v>
      </c>
      <c r="I163" s="181" t="str">
        <f aca="false">IF((D163="r"),F163," ")</f>
        <v> </v>
      </c>
      <c r="J163" s="181" t="str">
        <f aca="false">IF((D163="t"),F163," ")</f>
        <v> </v>
      </c>
      <c r="K163" s="181" t="str">
        <f aca="false">IF((D163="e"),F163," ")</f>
        <v> </v>
      </c>
      <c r="L163" s="181" t="str">
        <f aca="false">IF((D163="p"),F163," ")</f>
        <v> </v>
      </c>
      <c r="M163" s="181" t="str">
        <f aca="false">IF((D163="g"),F163," ")</f>
        <v> </v>
      </c>
      <c r="N163" s="181" t="str">
        <f aca="false">IF((D163="a"),F163," ")</f>
        <v> </v>
      </c>
      <c r="O163" s="181" t="str">
        <f aca="false">IF((D163="l"),F163," ")</f>
        <v> </v>
      </c>
      <c r="P163" s="181" t="str">
        <f aca="false">IF((D163="i"),F163," ")</f>
        <v> </v>
      </c>
      <c r="Q163" s="181" t="str">
        <f aca="false">IF((D163="b"),F163," ")</f>
        <v> </v>
      </c>
      <c r="R163" s="181" t="str">
        <f aca="false">IF((D163="o"),F163," ")</f>
        <v> </v>
      </c>
      <c r="S163" s="181" t="str">
        <f aca="false">IF((D163="f"),F163," ")</f>
        <v> </v>
      </c>
      <c r="U163" s="373"/>
    </row>
    <row r="164" customFormat="false" ht="12.75" hidden="false" customHeight="false" outlineLevel="0" collapsed="false">
      <c r="D164" s="373" t="str">
        <f aca="false">IF((F164&lt;&gt;0),"Enter Letter"," ")</f>
        <v> </v>
      </c>
      <c r="G164" s="181" t="str">
        <f aca="false">IF((D164="d"),F164," ")</f>
        <v> </v>
      </c>
      <c r="H164" s="181" t="str">
        <f aca="false">IF((D164="h"),F164," ")</f>
        <v> </v>
      </c>
      <c r="I164" s="181" t="str">
        <f aca="false">IF((D164="r"),F164," ")</f>
        <v> </v>
      </c>
      <c r="J164" s="181" t="str">
        <f aca="false">IF((D164="t"),F164," ")</f>
        <v> </v>
      </c>
      <c r="K164" s="181" t="str">
        <f aca="false">IF((D164="e"),F164," ")</f>
        <v> </v>
      </c>
      <c r="L164" s="181" t="str">
        <f aca="false">IF((D164="p"),F164," ")</f>
        <v> </v>
      </c>
      <c r="M164" s="181" t="str">
        <f aca="false">IF((D164="g"),F164," ")</f>
        <v> </v>
      </c>
      <c r="N164" s="181" t="str">
        <f aca="false">IF((D164="a"),F164," ")</f>
        <v> </v>
      </c>
      <c r="O164" s="181" t="str">
        <f aca="false">IF((D164="l"),F164," ")</f>
        <v> </v>
      </c>
      <c r="P164" s="181" t="str">
        <f aca="false">IF((D164="i"),F164," ")</f>
        <v> </v>
      </c>
      <c r="Q164" s="181" t="str">
        <f aca="false">IF((D164="b"),F164," ")</f>
        <v> </v>
      </c>
      <c r="R164" s="181" t="str">
        <f aca="false">IF((D164="o"),F164," ")</f>
        <v> </v>
      </c>
      <c r="S164" s="181" t="str">
        <f aca="false">IF((D164="f"),F164," ")</f>
        <v> </v>
      </c>
      <c r="U164" s="373"/>
    </row>
    <row r="165" customFormat="false" ht="12.75" hidden="false" customHeight="false" outlineLevel="0" collapsed="false">
      <c r="D165" s="373" t="str">
        <f aca="false">IF((F165&lt;&gt;0),"Enter Letter"," ")</f>
        <v> </v>
      </c>
      <c r="G165" s="181" t="str">
        <f aca="false">IF((D165="d"),F165," ")</f>
        <v> </v>
      </c>
      <c r="H165" s="181" t="str">
        <f aca="false">IF((D165="h"),F165," ")</f>
        <v> </v>
      </c>
      <c r="I165" s="181" t="str">
        <f aca="false">IF((D165="r"),F165," ")</f>
        <v> </v>
      </c>
      <c r="J165" s="181" t="str">
        <f aca="false">IF((D165="t"),F165," ")</f>
        <v> </v>
      </c>
      <c r="K165" s="181" t="str">
        <f aca="false">IF((D165="e"),F165," ")</f>
        <v> </v>
      </c>
      <c r="L165" s="181" t="str">
        <f aca="false">IF((D165="p"),F165," ")</f>
        <v> </v>
      </c>
      <c r="M165" s="181" t="str">
        <f aca="false">IF((D165="g"),F165," ")</f>
        <v> </v>
      </c>
      <c r="N165" s="181" t="str">
        <f aca="false">IF((D165="a"),F165," ")</f>
        <v> </v>
      </c>
      <c r="O165" s="181" t="str">
        <f aca="false">IF((D165="l"),F165," ")</f>
        <v> </v>
      </c>
      <c r="P165" s="181" t="str">
        <f aca="false">IF((D165="i"),F165," ")</f>
        <v> </v>
      </c>
      <c r="Q165" s="181" t="str">
        <f aca="false">IF((D165="b"),F165," ")</f>
        <v> </v>
      </c>
      <c r="R165" s="181" t="str">
        <f aca="false">IF((D165="o"),F165," ")</f>
        <v> </v>
      </c>
      <c r="S165" s="181" t="str">
        <f aca="false">IF((D165="f"),F165," ")</f>
        <v> </v>
      </c>
      <c r="U165" s="373"/>
    </row>
    <row r="166" customFormat="false" ht="12.75" hidden="false" customHeight="false" outlineLevel="0" collapsed="false">
      <c r="D166" s="373" t="str">
        <f aca="false">IF((F166&lt;&gt;0),"Enter Letter"," ")</f>
        <v> </v>
      </c>
      <c r="G166" s="181" t="str">
        <f aca="false">IF((D166="d"),F166," ")</f>
        <v> </v>
      </c>
      <c r="H166" s="181" t="str">
        <f aca="false">IF((D166="h"),F166," ")</f>
        <v> </v>
      </c>
      <c r="I166" s="181" t="str">
        <f aca="false">IF((D166="r"),F166," ")</f>
        <v> </v>
      </c>
      <c r="J166" s="181" t="str">
        <f aca="false">IF((D166="t"),F166," ")</f>
        <v> </v>
      </c>
      <c r="K166" s="181" t="str">
        <f aca="false">IF((D166="e"),F166," ")</f>
        <v> </v>
      </c>
      <c r="L166" s="181" t="str">
        <f aca="false">IF((D166="p"),F166," ")</f>
        <v> </v>
      </c>
      <c r="M166" s="181" t="str">
        <f aca="false">IF((D166="g"),F166," ")</f>
        <v> </v>
      </c>
      <c r="N166" s="181" t="str">
        <f aca="false">IF((D166="a"),F166," ")</f>
        <v> </v>
      </c>
      <c r="O166" s="181" t="str">
        <f aca="false">IF((D166="l"),F166," ")</f>
        <v> </v>
      </c>
      <c r="P166" s="181" t="str">
        <f aca="false">IF((D166="i"),F166," ")</f>
        <v> </v>
      </c>
      <c r="Q166" s="181" t="str">
        <f aca="false">IF((D166="b"),F166," ")</f>
        <v> </v>
      </c>
      <c r="R166" s="181" t="str">
        <f aca="false">IF((D166="o"),F166," ")</f>
        <v> </v>
      </c>
      <c r="S166" s="181" t="str">
        <f aca="false">IF((D166="f"),F166," ")</f>
        <v> </v>
      </c>
      <c r="U166" s="373"/>
    </row>
    <row r="167" customFormat="false" ht="12.75" hidden="false" customHeight="false" outlineLevel="0" collapsed="false">
      <c r="D167" s="373" t="str">
        <f aca="false">IF((F167&lt;&gt;0),"Enter Letter"," ")</f>
        <v> </v>
      </c>
      <c r="G167" s="181" t="str">
        <f aca="false">IF((D167="d"),F167," ")</f>
        <v> </v>
      </c>
      <c r="H167" s="181" t="str">
        <f aca="false">IF((D167="h"),F167," ")</f>
        <v> </v>
      </c>
      <c r="I167" s="181" t="str">
        <f aca="false">IF((D167="r"),F167," ")</f>
        <v> </v>
      </c>
      <c r="J167" s="181" t="str">
        <f aca="false">IF((D167="t"),F167," ")</f>
        <v> </v>
      </c>
      <c r="K167" s="181" t="str">
        <f aca="false">IF((D167="e"),F167," ")</f>
        <v> </v>
      </c>
      <c r="L167" s="181" t="str">
        <f aca="false">IF((D167="p"),F167," ")</f>
        <v> </v>
      </c>
      <c r="M167" s="181" t="str">
        <f aca="false">IF((D167="g"),F167," ")</f>
        <v> </v>
      </c>
      <c r="N167" s="181" t="str">
        <f aca="false">IF((D167="a"),F167," ")</f>
        <v> </v>
      </c>
      <c r="O167" s="181" t="str">
        <f aca="false">IF((D167="l"),F167," ")</f>
        <v> </v>
      </c>
      <c r="P167" s="181" t="str">
        <f aca="false">IF((D167="i"),F167," ")</f>
        <v> </v>
      </c>
      <c r="Q167" s="181" t="str">
        <f aca="false">IF((D167="b"),F167," ")</f>
        <v> </v>
      </c>
      <c r="R167" s="181" t="str">
        <f aca="false">IF((D167="o"),F167," ")</f>
        <v> </v>
      </c>
      <c r="S167" s="181" t="str">
        <f aca="false">IF((D167="f"),F167," ")</f>
        <v> </v>
      </c>
      <c r="U167" s="373"/>
    </row>
    <row r="168" customFormat="false" ht="12.75" hidden="false" customHeight="false" outlineLevel="0" collapsed="false">
      <c r="D168" s="373" t="str">
        <f aca="false">IF((F168&lt;&gt;0),"Enter Letter"," ")</f>
        <v> </v>
      </c>
      <c r="G168" s="181" t="str">
        <f aca="false">IF((D168="d"),F168," ")</f>
        <v> </v>
      </c>
      <c r="H168" s="181" t="str">
        <f aca="false">IF((D168="h"),F168," ")</f>
        <v> </v>
      </c>
      <c r="I168" s="181" t="str">
        <f aca="false">IF((D168="r"),F168," ")</f>
        <v> </v>
      </c>
      <c r="J168" s="181" t="str">
        <f aca="false">IF((D168="t"),F168," ")</f>
        <v> </v>
      </c>
      <c r="K168" s="181" t="str">
        <f aca="false">IF((D168="e"),F168," ")</f>
        <v> </v>
      </c>
      <c r="L168" s="181" t="str">
        <f aca="false">IF((D168="p"),F168," ")</f>
        <v> </v>
      </c>
      <c r="M168" s="181" t="str">
        <f aca="false">IF((D168="g"),F168," ")</f>
        <v> </v>
      </c>
      <c r="N168" s="181" t="str">
        <f aca="false">IF((D168="a"),F168," ")</f>
        <v> </v>
      </c>
      <c r="O168" s="181" t="str">
        <f aca="false">IF((D168="l"),F168," ")</f>
        <v> </v>
      </c>
      <c r="P168" s="181" t="str">
        <f aca="false">IF((D168="i"),F168," ")</f>
        <v> </v>
      </c>
      <c r="Q168" s="181" t="str">
        <f aca="false">IF((D168="b"),F168," ")</f>
        <v> </v>
      </c>
      <c r="R168" s="181" t="str">
        <f aca="false">IF((D168="o"),F168," ")</f>
        <v> </v>
      </c>
      <c r="S168" s="181" t="str">
        <f aca="false">IF((D168="f"),F168," ")</f>
        <v> </v>
      </c>
      <c r="U168" s="373"/>
    </row>
    <row r="169" customFormat="false" ht="12.75" hidden="false" customHeight="false" outlineLevel="0" collapsed="false">
      <c r="D169" s="373" t="str">
        <f aca="false">IF((F169&lt;&gt;0),"Enter Letter"," ")</f>
        <v> </v>
      </c>
      <c r="G169" s="181" t="str">
        <f aca="false">IF((D169="d"),F169," ")</f>
        <v> </v>
      </c>
      <c r="H169" s="181" t="str">
        <f aca="false">IF((D169="h"),F169," ")</f>
        <v> </v>
      </c>
      <c r="I169" s="181" t="str">
        <f aca="false">IF((D169="r"),F169," ")</f>
        <v> </v>
      </c>
      <c r="J169" s="181" t="str">
        <f aca="false">IF((D169="t"),F169," ")</f>
        <v> </v>
      </c>
      <c r="K169" s="181" t="str">
        <f aca="false">IF((D169="e"),F169," ")</f>
        <v> </v>
      </c>
      <c r="L169" s="181" t="str">
        <f aca="false">IF((D169="p"),F169," ")</f>
        <v> </v>
      </c>
      <c r="M169" s="181" t="str">
        <f aca="false">IF((D169="g"),F169," ")</f>
        <v> </v>
      </c>
      <c r="N169" s="181" t="str">
        <f aca="false">IF((D169="a"),F169," ")</f>
        <v> </v>
      </c>
      <c r="O169" s="181" t="str">
        <f aca="false">IF((D169="l"),F169," ")</f>
        <v> </v>
      </c>
      <c r="P169" s="181" t="str">
        <f aca="false">IF((D169="i"),F169," ")</f>
        <v> </v>
      </c>
      <c r="Q169" s="181" t="str">
        <f aca="false">IF((D169="b"),F169," ")</f>
        <v> </v>
      </c>
      <c r="R169" s="181" t="str">
        <f aca="false">IF((D169="o"),F169," ")</f>
        <v> </v>
      </c>
      <c r="S169" s="181" t="str">
        <f aca="false">IF((D169="f"),F169," ")</f>
        <v> </v>
      </c>
      <c r="U169" s="373"/>
    </row>
    <row r="170" customFormat="false" ht="12.75" hidden="false" customHeight="false" outlineLevel="0" collapsed="false">
      <c r="D170" s="373" t="str">
        <f aca="false">IF((F170&lt;&gt;0),"Enter Letter"," ")</f>
        <v> </v>
      </c>
      <c r="G170" s="181" t="str">
        <f aca="false">IF((D170="d"),F170," ")</f>
        <v> </v>
      </c>
      <c r="H170" s="181" t="str">
        <f aca="false">IF((D170="h"),F170," ")</f>
        <v> </v>
      </c>
      <c r="I170" s="181" t="str">
        <f aca="false">IF((D170="r"),F170," ")</f>
        <v> </v>
      </c>
      <c r="J170" s="181" t="str">
        <f aca="false">IF((D170="t"),F170," ")</f>
        <v> </v>
      </c>
      <c r="K170" s="181" t="str">
        <f aca="false">IF((D170="e"),F170," ")</f>
        <v> </v>
      </c>
      <c r="L170" s="181" t="str">
        <f aca="false">IF((D170="p"),F170," ")</f>
        <v> </v>
      </c>
      <c r="M170" s="181" t="str">
        <f aca="false">IF((D170="g"),F170," ")</f>
        <v> </v>
      </c>
      <c r="N170" s="181" t="str">
        <f aca="false">IF((D170="a"),F170," ")</f>
        <v> </v>
      </c>
      <c r="O170" s="181" t="str">
        <f aca="false">IF((D170="l"),F170," ")</f>
        <v> </v>
      </c>
      <c r="P170" s="181" t="str">
        <f aca="false">IF((D170="i"),F170," ")</f>
        <v> </v>
      </c>
      <c r="Q170" s="181" t="str">
        <f aca="false">IF((D170="b"),F170," ")</f>
        <v> </v>
      </c>
      <c r="R170" s="181" t="str">
        <f aca="false">IF((D170="o"),F170," ")</f>
        <v> </v>
      </c>
      <c r="S170" s="181" t="str">
        <f aca="false">IF((D170="f"),F170," ")</f>
        <v> </v>
      </c>
      <c r="U170" s="373"/>
    </row>
    <row r="171" customFormat="false" ht="12.75" hidden="false" customHeight="false" outlineLevel="0" collapsed="false">
      <c r="D171" s="373" t="str">
        <f aca="false">IF((F171&lt;&gt;0),"Enter Letter"," ")</f>
        <v> </v>
      </c>
      <c r="G171" s="181" t="str">
        <f aca="false">IF((D171="d"),F171," ")</f>
        <v> </v>
      </c>
      <c r="H171" s="181" t="str">
        <f aca="false">IF((D171="h"),F171," ")</f>
        <v> </v>
      </c>
      <c r="I171" s="181" t="str">
        <f aca="false">IF((D171="r"),F171," ")</f>
        <v> </v>
      </c>
      <c r="J171" s="181" t="str">
        <f aca="false">IF((D171="t"),F171," ")</f>
        <v> </v>
      </c>
      <c r="K171" s="181" t="str">
        <f aca="false">IF((D171="e"),F171," ")</f>
        <v> </v>
      </c>
      <c r="L171" s="181" t="str">
        <f aca="false">IF((D171="p"),F171," ")</f>
        <v> </v>
      </c>
      <c r="M171" s="181" t="str">
        <f aca="false">IF((D171="g"),F171," ")</f>
        <v> </v>
      </c>
      <c r="N171" s="181" t="str">
        <f aca="false">IF((D171="a"),F171," ")</f>
        <v> </v>
      </c>
      <c r="O171" s="181" t="str">
        <f aca="false">IF((D171="l"),F171," ")</f>
        <v> </v>
      </c>
      <c r="P171" s="181" t="str">
        <f aca="false">IF((D171="i"),F171," ")</f>
        <v> </v>
      </c>
      <c r="Q171" s="181" t="str">
        <f aca="false">IF((D171="b"),F171," ")</f>
        <v> </v>
      </c>
      <c r="R171" s="181" t="str">
        <f aca="false">IF((D171="o"),F171," ")</f>
        <v> </v>
      </c>
      <c r="S171" s="181" t="str">
        <f aca="false">IF((D171="f"),F171," ")</f>
        <v> </v>
      </c>
      <c r="U171" s="373"/>
    </row>
    <row r="172" customFormat="false" ht="12.75" hidden="false" customHeight="false" outlineLevel="0" collapsed="false">
      <c r="D172" s="373" t="str">
        <f aca="false">IF((F172&lt;&gt;0),"Enter Letter"," ")</f>
        <v> </v>
      </c>
      <c r="G172" s="181" t="str">
        <f aca="false">IF((D172="d"),F172," ")</f>
        <v> </v>
      </c>
      <c r="H172" s="181" t="str">
        <f aca="false">IF((D172="h"),F172," ")</f>
        <v> </v>
      </c>
      <c r="I172" s="181" t="str">
        <f aca="false">IF((D172="r"),F172," ")</f>
        <v> </v>
      </c>
      <c r="J172" s="181" t="str">
        <f aca="false">IF((D172="t"),F172," ")</f>
        <v> </v>
      </c>
      <c r="K172" s="181" t="str">
        <f aca="false">IF((D172="e"),F172," ")</f>
        <v> </v>
      </c>
      <c r="L172" s="181" t="str">
        <f aca="false">IF((D172="p"),F172," ")</f>
        <v> </v>
      </c>
      <c r="M172" s="181" t="str">
        <f aca="false">IF((D172="g"),F172," ")</f>
        <v> </v>
      </c>
      <c r="N172" s="181" t="str">
        <f aca="false">IF((D172="a"),F172," ")</f>
        <v> </v>
      </c>
      <c r="O172" s="181" t="str">
        <f aca="false">IF((D172="l"),F172," ")</f>
        <v> </v>
      </c>
      <c r="P172" s="181" t="str">
        <f aca="false">IF((D172="i"),F172," ")</f>
        <v> </v>
      </c>
      <c r="Q172" s="181" t="str">
        <f aca="false">IF((D172="b"),F172," ")</f>
        <v> </v>
      </c>
      <c r="R172" s="181" t="str">
        <f aca="false">IF((D172="o"),F172," ")</f>
        <v> </v>
      </c>
      <c r="S172" s="181" t="str">
        <f aca="false">IF((D172="f"),F172," ")</f>
        <v> </v>
      </c>
      <c r="U172" s="373"/>
    </row>
    <row r="173" customFormat="false" ht="12.75" hidden="false" customHeight="false" outlineLevel="0" collapsed="false">
      <c r="D173" s="373" t="str">
        <f aca="false">IF((F173&lt;&gt;0),"Enter Letter"," ")</f>
        <v> </v>
      </c>
      <c r="G173" s="181" t="str">
        <f aca="false">IF((D173="d"),F173," ")</f>
        <v> </v>
      </c>
      <c r="H173" s="181" t="str">
        <f aca="false">IF((D173="h"),F173," ")</f>
        <v> </v>
      </c>
      <c r="I173" s="181" t="str">
        <f aca="false">IF((D173="r"),F173," ")</f>
        <v> </v>
      </c>
      <c r="J173" s="181" t="str">
        <f aca="false">IF((D173="t"),F173," ")</f>
        <v> </v>
      </c>
      <c r="K173" s="181" t="str">
        <f aca="false">IF((D173="e"),F173," ")</f>
        <v> </v>
      </c>
      <c r="L173" s="181" t="str">
        <f aca="false">IF((D173="p"),F173," ")</f>
        <v> </v>
      </c>
      <c r="M173" s="181" t="str">
        <f aca="false">IF((D173="g"),F173," ")</f>
        <v> </v>
      </c>
      <c r="N173" s="181" t="str">
        <f aca="false">IF((D173="a"),F173," ")</f>
        <v> </v>
      </c>
      <c r="O173" s="181" t="str">
        <f aca="false">IF((D173="l"),F173," ")</f>
        <v> </v>
      </c>
      <c r="P173" s="181" t="str">
        <f aca="false">IF((D173="i"),F173," ")</f>
        <v> </v>
      </c>
      <c r="Q173" s="181" t="str">
        <f aca="false">IF((D173="b"),F173," ")</f>
        <v> </v>
      </c>
      <c r="R173" s="181" t="str">
        <f aca="false">IF((D173="o"),F173," ")</f>
        <v> </v>
      </c>
      <c r="S173" s="181" t="str">
        <f aca="false">IF((D173="f"),F173," ")</f>
        <v> </v>
      </c>
      <c r="U173" s="373"/>
    </row>
    <row r="174" customFormat="false" ht="12.75" hidden="false" customHeight="false" outlineLevel="0" collapsed="false">
      <c r="D174" s="373" t="str">
        <f aca="false">IF((F174&lt;&gt;0),"Enter Letter"," ")</f>
        <v> </v>
      </c>
      <c r="G174" s="181" t="str">
        <f aca="false">IF((D174="d"),F174," ")</f>
        <v> </v>
      </c>
      <c r="H174" s="181" t="str">
        <f aca="false">IF((D174="h"),F174," ")</f>
        <v> </v>
      </c>
      <c r="I174" s="181" t="str">
        <f aca="false">IF((D174="r"),F174," ")</f>
        <v> </v>
      </c>
      <c r="J174" s="181" t="str">
        <f aca="false">IF((D174="t"),F174," ")</f>
        <v> </v>
      </c>
      <c r="K174" s="181" t="str">
        <f aca="false">IF((D174="e"),F174," ")</f>
        <v> </v>
      </c>
      <c r="L174" s="181" t="str">
        <f aca="false">IF((D174="p"),F174," ")</f>
        <v> </v>
      </c>
      <c r="M174" s="181" t="str">
        <f aca="false">IF((D174="g"),F174," ")</f>
        <v> </v>
      </c>
      <c r="N174" s="181" t="str">
        <f aca="false">IF((D174="a"),F174," ")</f>
        <v> </v>
      </c>
      <c r="O174" s="181" t="str">
        <f aca="false">IF((D174="l"),F174," ")</f>
        <v> </v>
      </c>
      <c r="P174" s="181" t="str">
        <f aca="false">IF((D174="i"),F174," ")</f>
        <v> </v>
      </c>
      <c r="Q174" s="181" t="str">
        <f aca="false">IF((D174="b"),F174," ")</f>
        <v> </v>
      </c>
      <c r="R174" s="181" t="str">
        <f aca="false">IF((D174="o"),F174," ")</f>
        <v> </v>
      </c>
      <c r="S174" s="181" t="str">
        <f aca="false">IF((D174="f"),F174," ")</f>
        <v> </v>
      </c>
      <c r="U174" s="373"/>
    </row>
    <row r="175" customFormat="false" ht="12.75" hidden="false" customHeight="false" outlineLevel="0" collapsed="false">
      <c r="D175" s="373" t="str">
        <f aca="false">IF((F175&lt;&gt;0),"Enter Letter"," ")</f>
        <v> </v>
      </c>
      <c r="G175" s="181" t="str">
        <f aca="false">IF((D175="d"),F175," ")</f>
        <v> </v>
      </c>
      <c r="H175" s="181" t="str">
        <f aca="false">IF((D175="h"),F175," ")</f>
        <v> </v>
      </c>
      <c r="I175" s="181" t="str">
        <f aca="false">IF((D175="r"),F175," ")</f>
        <v> </v>
      </c>
      <c r="J175" s="181" t="str">
        <f aca="false">IF((D175="t"),F175," ")</f>
        <v> </v>
      </c>
      <c r="K175" s="181" t="str">
        <f aca="false">IF((D175="e"),F175," ")</f>
        <v> </v>
      </c>
      <c r="L175" s="181" t="str">
        <f aca="false">IF((D175="p"),F175," ")</f>
        <v> </v>
      </c>
      <c r="M175" s="181" t="str">
        <f aca="false">IF((D175="g"),F175," ")</f>
        <v> </v>
      </c>
      <c r="N175" s="181" t="str">
        <f aca="false">IF((D175="a"),F175," ")</f>
        <v> </v>
      </c>
      <c r="O175" s="181" t="str">
        <f aca="false">IF((D175="l"),F175," ")</f>
        <v> </v>
      </c>
      <c r="P175" s="181" t="str">
        <f aca="false">IF((D175="i"),F175," ")</f>
        <v> </v>
      </c>
      <c r="Q175" s="181" t="str">
        <f aca="false">IF((D175="b"),F175," ")</f>
        <v> </v>
      </c>
      <c r="R175" s="181" t="str">
        <f aca="false">IF((D175="o"),F175," ")</f>
        <v> </v>
      </c>
      <c r="S175" s="181" t="str">
        <f aca="false">IF((D175="f"),F175," ")</f>
        <v> </v>
      </c>
      <c r="U175" s="373"/>
    </row>
    <row r="176" customFormat="false" ht="12.75" hidden="false" customHeight="false" outlineLevel="0" collapsed="false">
      <c r="D176" s="373" t="str">
        <f aca="false">IF((F176&lt;&gt;0),"Enter Letter"," ")</f>
        <v> </v>
      </c>
      <c r="G176" s="181" t="str">
        <f aca="false">IF((D176="d"),F176," ")</f>
        <v> </v>
      </c>
      <c r="H176" s="181" t="str">
        <f aca="false">IF((D176="h"),F176," ")</f>
        <v> </v>
      </c>
      <c r="I176" s="181" t="str">
        <f aca="false">IF((D176="r"),F176," ")</f>
        <v> </v>
      </c>
      <c r="J176" s="181" t="str">
        <f aca="false">IF((D176="t"),F176," ")</f>
        <v> </v>
      </c>
      <c r="K176" s="181" t="str">
        <f aca="false">IF((D176="e"),F176," ")</f>
        <v> </v>
      </c>
      <c r="L176" s="181" t="str">
        <f aca="false">IF((D176="p"),F176," ")</f>
        <v> </v>
      </c>
      <c r="M176" s="181" t="str">
        <f aca="false">IF((D176="g"),F176," ")</f>
        <v> </v>
      </c>
      <c r="N176" s="181" t="str">
        <f aca="false">IF((D176="a"),F176," ")</f>
        <v> </v>
      </c>
      <c r="O176" s="181" t="str">
        <f aca="false">IF((D176="l"),F176," ")</f>
        <v> </v>
      </c>
      <c r="P176" s="181" t="str">
        <f aca="false">IF((D176="i"),F176," ")</f>
        <v> </v>
      </c>
      <c r="Q176" s="181" t="str">
        <f aca="false">IF((D176="b"),F176," ")</f>
        <v> </v>
      </c>
      <c r="R176" s="181" t="str">
        <f aca="false">IF((D176="o"),F176," ")</f>
        <v> </v>
      </c>
      <c r="S176" s="181" t="str">
        <f aca="false">IF((D176="f"),F176," ")</f>
        <v> </v>
      </c>
      <c r="U176" s="373"/>
    </row>
    <row r="177" customFormat="false" ht="12.75" hidden="false" customHeight="false" outlineLevel="0" collapsed="false">
      <c r="D177" s="373" t="str">
        <f aca="false">IF((F177&lt;&gt;0),"Enter Letter"," ")</f>
        <v> </v>
      </c>
      <c r="G177" s="181" t="str">
        <f aca="false">IF((D177="d"),F177," ")</f>
        <v> </v>
      </c>
      <c r="H177" s="181" t="str">
        <f aca="false">IF((D177="h"),F177," ")</f>
        <v> </v>
      </c>
      <c r="I177" s="181" t="str">
        <f aca="false">IF((D177="r"),F177," ")</f>
        <v> </v>
      </c>
      <c r="J177" s="181" t="str">
        <f aca="false">IF((D177="t"),F177," ")</f>
        <v> </v>
      </c>
      <c r="K177" s="181" t="str">
        <f aca="false">IF((D177="e"),F177," ")</f>
        <v> </v>
      </c>
      <c r="L177" s="181" t="str">
        <f aca="false">IF((D177="p"),F177," ")</f>
        <v> </v>
      </c>
      <c r="M177" s="181" t="str">
        <f aca="false">IF((D177="g"),F177," ")</f>
        <v> </v>
      </c>
      <c r="N177" s="181" t="str">
        <f aca="false">IF((D177="a"),F177," ")</f>
        <v> </v>
      </c>
      <c r="O177" s="181" t="str">
        <f aca="false">IF((D177="l"),F177," ")</f>
        <v> </v>
      </c>
      <c r="P177" s="181" t="str">
        <f aca="false">IF((D177="i"),F177," ")</f>
        <v> </v>
      </c>
      <c r="Q177" s="181" t="str">
        <f aca="false">IF((D177="b"),F177," ")</f>
        <v> </v>
      </c>
      <c r="R177" s="181" t="str">
        <f aca="false">IF((D177="o"),F177," ")</f>
        <v> </v>
      </c>
      <c r="S177" s="181" t="str">
        <f aca="false">IF((D177="f"),F177," ")</f>
        <v> </v>
      </c>
      <c r="U177" s="373"/>
    </row>
    <row r="178" customFormat="false" ht="12.75" hidden="false" customHeight="false" outlineLevel="0" collapsed="false">
      <c r="D178" s="373" t="str">
        <f aca="false">IF((F178&lt;&gt;0),"Enter Letter"," ")</f>
        <v> </v>
      </c>
      <c r="G178" s="181" t="str">
        <f aca="false">IF((D178="d"),F178," ")</f>
        <v> </v>
      </c>
      <c r="H178" s="181" t="str">
        <f aca="false">IF((D178="h"),F178," ")</f>
        <v> </v>
      </c>
      <c r="I178" s="181" t="str">
        <f aca="false">IF((D178="r"),F178," ")</f>
        <v> </v>
      </c>
      <c r="J178" s="181" t="str">
        <f aca="false">IF((D178="t"),F178," ")</f>
        <v> </v>
      </c>
      <c r="K178" s="181" t="str">
        <f aca="false">IF((D178="e"),F178," ")</f>
        <v> </v>
      </c>
      <c r="L178" s="181" t="str">
        <f aca="false">IF((D178="p"),F178," ")</f>
        <v> </v>
      </c>
      <c r="M178" s="181" t="str">
        <f aca="false">IF((D178="g"),F178," ")</f>
        <v> </v>
      </c>
      <c r="N178" s="181" t="str">
        <f aca="false">IF((D178="a"),F178," ")</f>
        <v> </v>
      </c>
      <c r="O178" s="181" t="str">
        <f aca="false">IF((D178="l"),F178," ")</f>
        <v> </v>
      </c>
      <c r="P178" s="181" t="str">
        <f aca="false">IF((D178="i"),F178," ")</f>
        <v> </v>
      </c>
      <c r="Q178" s="181" t="str">
        <f aca="false">IF((D178="b"),F178," ")</f>
        <v> </v>
      </c>
      <c r="R178" s="181" t="str">
        <f aca="false">IF((D178="o"),F178," ")</f>
        <v> </v>
      </c>
      <c r="S178" s="181" t="str">
        <f aca="false">IF((D178="f"),F178," ")</f>
        <v> </v>
      </c>
      <c r="U178" s="373"/>
    </row>
    <row r="179" customFormat="false" ht="12.75" hidden="false" customHeight="false" outlineLevel="0" collapsed="false">
      <c r="D179" s="373" t="str">
        <f aca="false">IF((F179&lt;&gt;0),"Enter Letter"," ")</f>
        <v> </v>
      </c>
      <c r="G179" s="181" t="str">
        <f aca="false">IF((D179="d"),F179," ")</f>
        <v> </v>
      </c>
      <c r="H179" s="181" t="str">
        <f aca="false">IF((D179="h"),F179," ")</f>
        <v> </v>
      </c>
      <c r="I179" s="181" t="str">
        <f aca="false">IF((D179="r"),F179," ")</f>
        <v> </v>
      </c>
      <c r="J179" s="181" t="str">
        <f aca="false">IF((D179="t"),F179," ")</f>
        <v> </v>
      </c>
      <c r="K179" s="181" t="str">
        <f aca="false">IF((D179="e"),F179," ")</f>
        <v> </v>
      </c>
      <c r="L179" s="181" t="str">
        <f aca="false">IF((D179="p"),F179," ")</f>
        <v> </v>
      </c>
      <c r="M179" s="181" t="str">
        <f aca="false">IF((D179="g"),F179," ")</f>
        <v> </v>
      </c>
      <c r="N179" s="181" t="str">
        <f aca="false">IF((D179="a"),F179," ")</f>
        <v> </v>
      </c>
      <c r="O179" s="181" t="str">
        <f aca="false">IF((D179="l"),F179," ")</f>
        <v> </v>
      </c>
      <c r="P179" s="181" t="str">
        <f aca="false">IF((D179="i"),F179," ")</f>
        <v> </v>
      </c>
      <c r="Q179" s="181" t="str">
        <f aca="false">IF((D179="b"),F179," ")</f>
        <v> </v>
      </c>
      <c r="R179" s="181" t="str">
        <f aca="false">IF((D179="o"),F179," ")</f>
        <v> </v>
      </c>
      <c r="S179" s="181" t="str">
        <f aca="false">IF((D179="f"),F179," ")</f>
        <v> </v>
      </c>
      <c r="U179" s="373"/>
    </row>
    <row r="180" customFormat="false" ht="12.75" hidden="false" customHeight="false" outlineLevel="0" collapsed="false">
      <c r="D180" s="373" t="str">
        <f aca="false">IF((F180&lt;&gt;0),"Enter Letter"," ")</f>
        <v> </v>
      </c>
      <c r="G180" s="181" t="str">
        <f aca="false">IF((D180="d"),F180," ")</f>
        <v> </v>
      </c>
      <c r="H180" s="181" t="str">
        <f aca="false">IF((D180="h"),F180," ")</f>
        <v> </v>
      </c>
      <c r="I180" s="181" t="str">
        <f aca="false">IF((D180="r"),F180," ")</f>
        <v> </v>
      </c>
      <c r="J180" s="181" t="str">
        <f aca="false">IF((D180="t"),F180," ")</f>
        <v> </v>
      </c>
      <c r="K180" s="181" t="str">
        <f aca="false">IF((D180="e"),F180," ")</f>
        <v> </v>
      </c>
      <c r="L180" s="181" t="str">
        <f aca="false">IF((D180="p"),F180," ")</f>
        <v> </v>
      </c>
      <c r="M180" s="181" t="str">
        <f aca="false">IF((D180="g"),F180," ")</f>
        <v> </v>
      </c>
      <c r="N180" s="181" t="str">
        <f aca="false">IF((D180="a"),F180," ")</f>
        <v> </v>
      </c>
      <c r="O180" s="181" t="str">
        <f aca="false">IF((D180="l"),F180," ")</f>
        <v> </v>
      </c>
      <c r="P180" s="181" t="str">
        <f aca="false">IF((D180="i"),F180," ")</f>
        <v> </v>
      </c>
      <c r="Q180" s="181" t="str">
        <f aca="false">IF((D180="b"),F180," ")</f>
        <v> </v>
      </c>
      <c r="R180" s="181" t="str">
        <f aca="false">IF((D180="o"),F180," ")</f>
        <v> </v>
      </c>
      <c r="S180" s="181" t="str">
        <f aca="false">IF((D180="f"),F180," ")</f>
        <v> </v>
      </c>
      <c r="U180" s="373"/>
    </row>
    <row r="181" customFormat="false" ht="12.75" hidden="false" customHeight="false" outlineLevel="0" collapsed="false">
      <c r="D181" s="373" t="str">
        <f aca="false">IF((F181&lt;&gt;0),"Enter Letter"," ")</f>
        <v> </v>
      </c>
      <c r="G181" s="181" t="str">
        <f aca="false">IF((D181="d"),F181," ")</f>
        <v> </v>
      </c>
      <c r="H181" s="181" t="str">
        <f aca="false">IF((D181="h"),F181," ")</f>
        <v> </v>
      </c>
      <c r="I181" s="181" t="str">
        <f aca="false">IF((D181="r"),F181," ")</f>
        <v> </v>
      </c>
      <c r="J181" s="181" t="str">
        <f aca="false">IF((D181="t"),F181," ")</f>
        <v> </v>
      </c>
      <c r="K181" s="181" t="str">
        <f aca="false">IF((D181="e"),F181," ")</f>
        <v> </v>
      </c>
      <c r="L181" s="181" t="str">
        <f aca="false">IF((D181="p"),F181," ")</f>
        <v> </v>
      </c>
      <c r="M181" s="181" t="str">
        <f aca="false">IF((D181="g"),F181," ")</f>
        <v> </v>
      </c>
      <c r="N181" s="181" t="str">
        <f aca="false">IF((D181="a"),F181," ")</f>
        <v> </v>
      </c>
      <c r="O181" s="181" t="str">
        <f aca="false">IF((D181="l"),F181," ")</f>
        <v> </v>
      </c>
      <c r="P181" s="181" t="str">
        <f aca="false">IF((D181="i"),F181," ")</f>
        <v> </v>
      </c>
      <c r="Q181" s="181" t="str">
        <f aca="false">IF((D181="b"),F181," ")</f>
        <v> </v>
      </c>
      <c r="R181" s="181" t="str">
        <f aca="false">IF((D181="o"),F181," ")</f>
        <v> </v>
      </c>
      <c r="S181" s="181" t="str">
        <f aca="false">IF((D181="f"),F181," ")</f>
        <v> </v>
      </c>
      <c r="U181" s="373"/>
    </row>
    <row r="182" customFormat="false" ht="12.75" hidden="false" customHeight="false" outlineLevel="0" collapsed="false">
      <c r="D182" s="373" t="str">
        <f aca="false">IF((F182&lt;&gt;0),"Enter Letter"," ")</f>
        <v> </v>
      </c>
      <c r="G182" s="181" t="str">
        <f aca="false">IF((D182="d"),F182," ")</f>
        <v> </v>
      </c>
      <c r="H182" s="181" t="str">
        <f aca="false">IF((D182="h"),F182," ")</f>
        <v> </v>
      </c>
      <c r="I182" s="181" t="str">
        <f aca="false">IF((D182="r"),F182," ")</f>
        <v> </v>
      </c>
      <c r="J182" s="181" t="str">
        <f aca="false">IF((D182="t"),F182," ")</f>
        <v> </v>
      </c>
      <c r="K182" s="181" t="str">
        <f aca="false">IF((D182="e"),F182," ")</f>
        <v> </v>
      </c>
      <c r="L182" s="181" t="str">
        <f aca="false">IF((D182="p"),F182," ")</f>
        <v> </v>
      </c>
      <c r="M182" s="181" t="str">
        <f aca="false">IF((D182="g"),F182," ")</f>
        <v> </v>
      </c>
      <c r="N182" s="181" t="str">
        <f aca="false">IF((D182="a"),F182," ")</f>
        <v> </v>
      </c>
      <c r="O182" s="181" t="str">
        <f aca="false">IF((D182="l"),F182," ")</f>
        <v> </v>
      </c>
      <c r="P182" s="181" t="str">
        <f aca="false">IF((D182="i"),F182," ")</f>
        <v> </v>
      </c>
      <c r="Q182" s="181" t="str">
        <f aca="false">IF((D182="b"),F182," ")</f>
        <v> </v>
      </c>
      <c r="R182" s="181" t="str">
        <f aca="false">IF((D182="o"),F182," ")</f>
        <v> </v>
      </c>
      <c r="S182" s="181" t="str">
        <f aca="false">IF((D182="f"),F182," ")</f>
        <v> </v>
      </c>
      <c r="U182" s="373"/>
    </row>
    <row r="183" customFormat="false" ht="12.75" hidden="false" customHeight="false" outlineLevel="0" collapsed="false">
      <c r="D183" s="373" t="str">
        <f aca="false">IF((F183&lt;&gt;0),"Enter Letter"," ")</f>
        <v> </v>
      </c>
      <c r="G183" s="181" t="str">
        <f aca="false">IF((D183="d"),F183," ")</f>
        <v> </v>
      </c>
      <c r="H183" s="181" t="str">
        <f aca="false">IF((D183="h"),F183," ")</f>
        <v> </v>
      </c>
      <c r="I183" s="181" t="str">
        <f aca="false">IF((D183="r"),F183," ")</f>
        <v> </v>
      </c>
      <c r="J183" s="181" t="str">
        <f aca="false">IF((D183="t"),F183," ")</f>
        <v> </v>
      </c>
      <c r="K183" s="181" t="str">
        <f aca="false">IF((D183="e"),F183," ")</f>
        <v> </v>
      </c>
      <c r="L183" s="181" t="str">
        <f aca="false">IF((D183="p"),F183," ")</f>
        <v> </v>
      </c>
      <c r="M183" s="181" t="str">
        <f aca="false">IF((D183="g"),F183," ")</f>
        <v> </v>
      </c>
      <c r="N183" s="181" t="str">
        <f aca="false">IF((D183="a"),F183," ")</f>
        <v> </v>
      </c>
      <c r="O183" s="181" t="str">
        <f aca="false">IF((D183="l"),F183," ")</f>
        <v> </v>
      </c>
      <c r="P183" s="181" t="str">
        <f aca="false">IF((D183="i"),F183," ")</f>
        <v> </v>
      </c>
      <c r="Q183" s="181" t="str">
        <f aca="false">IF((D183="b"),F183," ")</f>
        <v> </v>
      </c>
      <c r="R183" s="181" t="str">
        <f aca="false">IF((D183="o"),F183," ")</f>
        <v> </v>
      </c>
      <c r="S183" s="181" t="str">
        <f aca="false">IF((D183="f"),F183," ")</f>
        <v> </v>
      </c>
      <c r="U183" s="373"/>
    </row>
    <row r="184" customFormat="false" ht="12.75" hidden="false" customHeight="false" outlineLevel="0" collapsed="false">
      <c r="D184" s="373" t="str">
        <f aca="false">IF((F184&lt;&gt;0),"Enter Letter"," ")</f>
        <v> </v>
      </c>
      <c r="G184" s="181" t="str">
        <f aca="false">IF((D184="d"),F184," ")</f>
        <v> </v>
      </c>
      <c r="H184" s="181" t="str">
        <f aca="false">IF((D184="h"),F184," ")</f>
        <v> </v>
      </c>
      <c r="I184" s="181" t="str">
        <f aca="false">IF((D184="r"),F184," ")</f>
        <v> </v>
      </c>
      <c r="J184" s="181" t="str">
        <f aca="false">IF((D184="t"),F184," ")</f>
        <v> </v>
      </c>
      <c r="K184" s="181" t="str">
        <f aca="false">IF((D184="e"),F184," ")</f>
        <v> </v>
      </c>
      <c r="L184" s="181" t="str">
        <f aca="false">IF((D184="p"),F184," ")</f>
        <v> </v>
      </c>
      <c r="M184" s="181" t="str">
        <f aca="false">IF((D184="g"),F184," ")</f>
        <v> </v>
      </c>
      <c r="N184" s="181" t="str">
        <f aca="false">IF((D184="a"),F184," ")</f>
        <v> </v>
      </c>
      <c r="O184" s="181" t="str">
        <f aca="false">IF((D184="l"),F184," ")</f>
        <v> </v>
      </c>
      <c r="P184" s="181" t="str">
        <f aca="false">IF((D184="i"),F184," ")</f>
        <v> </v>
      </c>
      <c r="Q184" s="181" t="str">
        <f aca="false">IF((D184="b"),F184," ")</f>
        <v> </v>
      </c>
      <c r="R184" s="181" t="str">
        <f aca="false">IF((D184="o"),F184," ")</f>
        <v> </v>
      </c>
      <c r="S184" s="181" t="str">
        <f aca="false">IF((D184="f"),F184," ")</f>
        <v> </v>
      </c>
      <c r="U184" s="373"/>
    </row>
    <row r="185" customFormat="false" ht="12.75" hidden="false" customHeight="false" outlineLevel="0" collapsed="false">
      <c r="D185" s="373" t="str">
        <f aca="false">IF((F185&lt;&gt;0),"Enter Letter"," ")</f>
        <v> </v>
      </c>
      <c r="G185" s="181" t="str">
        <f aca="false">IF((D185="d"),F185," ")</f>
        <v> </v>
      </c>
      <c r="H185" s="181" t="str">
        <f aca="false">IF((D185="h"),F185," ")</f>
        <v> </v>
      </c>
      <c r="I185" s="181" t="str">
        <f aca="false">IF((D185="r"),F185," ")</f>
        <v> </v>
      </c>
      <c r="J185" s="181" t="str">
        <f aca="false">IF((D185="t"),F185," ")</f>
        <v> </v>
      </c>
      <c r="K185" s="181" t="str">
        <f aca="false">IF((D185="e"),F185," ")</f>
        <v> </v>
      </c>
      <c r="L185" s="181" t="str">
        <f aca="false">IF((D185="p"),F185," ")</f>
        <v> </v>
      </c>
      <c r="M185" s="181" t="str">
        <f aca="false">IF((D185="g"),F185," ")</f>
        <v> </v>
      </c>
      <c r="N185" s="181" t="str">
        <f aca="false">IF((D185="a"),F185," ")</f>
        <v> </v>
      </c>
      <c r="O185" s="181" t="str">
        <f aca="false">IF((D185="l"),F185," ")</f>
        <v> </v>
      </c>
      <c r="P185" s="181" t="str">
        <f aca="false">IF((D185="i"),F185," ")</f>
        <v> </v>
      </c>
      <c r="Q185" s="181" t="str">
        <f aca="false">IF((D185="b"),F185," ")</f>
        <v> </v>
      </c>
      <c r="R185" s="181" t="str">
        <f aca="false">IF((D185="o"),F185," ")</f>
        <v> </v>
      </c>
      <c r="S185" s="181" t="str">
        <f aca="false">IF((D185="f"),F185," ")</f>
        <v> </v>
      </c>
      <c r="U185" s="373"/>
    </row>
    <row r="186" customFormat="false" ht="12.75" hidden="false" customHeight="false" outlineLevel="0" collapsed="false">
      <c r="D186" s="373" t="str">
        <f aca="false">IF((F186&lt;&gt;0),"Enter Letter"," ")</f>
        <v> </v>
      </c>
      <c r="G186" s="181" t="str">
        <f aca="false">IF((D186="d"),F186," ")</f>
        <v> </v>
      </c>
      <c r="H186" s="181" t="str">
        <f aca="false">IF((D186="h"),F186," ")</f>
        <v> </v>
      </c>
      <c r="I186" s="181" t="str">
        <f aca="false">IF((D186="r"),F186," ")</f>
        <v> </v>
      </c>
      <c r="J186" s="181" t="str">
        <f aca="false">IF((D186="t"),F186," ")</f>
        <v> </v>
      </c>
      <c r="K186" s="181" t="str">
        <f aca="false">IF((D186="e"),F186," ")</f>
        <v> </v>
      </c>
      <c r="L186" s="181" t="str">
        <f aca="false">IF((D186="p"),F186," ")</f>
        <v> </v>
      </c>
      <c r="M186" s="181" t="str">
        <f aca="false">IF((D186="g"),F186," ")</f>
        <v> </v>
      </c>
      <c r="N186" s="181" t="str">
        <f aca="false">IF((D186="a"),F186," ")</f>
        <v> </v>
      </c>
      <c r="O186" s="181" t="str">
        <f aca="false">IF((D186="l"),F186," ")</f>
        <v> </v>
      </c>
      <c r="P186" s="181" t="str">
        <f aca="false">IF((D186="i"),F186," ")</f>
        <v> </v>
      </c>
      <c r="Q186" s="181" t="str">
        <f aca="false">IF((D186="b"),F186," ")</f>
        <v> </v>
      </c>
      <c r="R186" s="181" t="str">
        <f aca="false">IF((D186="o"),F186," ")</f>
        <v> </v>
      </c>
      <c r="S186" s="181" t="str">
        <f aca="false">IF((D186="f"),F186," ")</f>
        <v> </v>
      </c>
      <c r="U186" s="373"/>
    </row>
    <row r="187" customFormat="false" ht="12.75" hidden="false" customHeight="false" outlineLevel="0" collapsed="false">
      <c r="D187" s="373" t="str">
        <f aca="false">IF((F187&lt;&gt;0),"Enter Letter"," ")</f>
        <v> </v>
      </c>
      <c r="G187" s="181" t="str">
        <f aca="false">IF((D187="d"),F187," ")</f>
        <v> </v>
      </c>
      <c r="H187" s="181" t="str">
        <f aca="false">IF((D187="h"),F187," ")</f>
        <v> </v>
      </c>
      <c r="I187" s="181" t="str">
        <f aca="false">IF((D187="r"),F187," ")</f>
        <v> </v>
      </c>
      <c r="J187" s="181" t="str">
        <f aca="false">IF((D187="t"),F187," ")</f>
        <v> </v>
      </c>
      <c r="K187" s="181" t="str">
        <f aca="false">IF((D187="e"),F187," ")</f>
        <v> </v>
      </c>
      <c r="L187" s="181" t="str">
        <f aca="false">IF((D187="p"),F187," ")</f>
        <v> </v>
      </c>
      <c r="M187" s="181" t="str">
        <f aca="false">IF((D187="g"),F187," ")</f>
        <v> </v>
      </c>
      <c r="N187" s="181" t="str">
        <f aca="false">IF((D187="a"),F187," ")</f>
        <v> </v>
      </c>
      <c r="O187" s="181" t="str">
        <f aca="false">IF((D187="l"),F187," ")</f>
        <v> </v>
      </c>
      <c r="P187" s="181" t="str">
        <f aca="false">IF((D187="i"),F187," ")</f>
        <v> </v>
      </c>
      <c r="Q187" s="181" t="str">
        <f aca="false">IF((D187="b"),F187," ")</f>
        <v> </v>
      </c>
      <c r="R187" s="181" t="str">
        <f aca="false">IF((D187="o"),F187," ")</f>
        <v> </v>
      </c>
      <c r="S187" s="181" t="str">
        <f aca="false">IF((D187="f"),F187," ")</f>
        <v> </v>
      </c>
      <c r="U187" s="373"/>
    </row>
    <row r="188" customFormat="false" ht="12.75" hidden="false" customHeight="false" outlineLevel="0" collapsed="false">
      <c r="D188" s="373" t="str">
        <f aca="false">IF((F188&lt;&gt;0),"Enter Letter"," ")</f>
        <v> </v>
      </c>
      <c r="G188" s="181" t="str">
        <f aca="false">IF((D188="d"),F188," ")</f>
        <v> </v>
      </c>
      <c r="H188" s="181" t="str">
        <f aca="false">IF((D188="h"),F188," ")</f>
        <v> </v>
      </c>
      <c r="I188" s="181" t="str">
        <f aca="false">IF((D188="r"),F188," ")</f>
        <v> </v>
      </c>
      <c r="J188" s="181" t="str">
        <f aca="false">IF((D188="t"),F188," ")</f>
        <v> </v>
      </c>
      <c r="K188" s="181" t="str">
        <f aca="false">IF((D188="e"),F188," ")</f>
        <v> </v>
      </c>
      <c r="L188" s="181" t="str">
        <f aca="false">IF((D188="p"),F188," ")</f>
        <v> </v>
      </c>
      <c r="M188" s="181" t="str">
        <f aca="false">IF((D188="g"),F188," ")</f>
        <v> </v>
      </c>
      <c r="N188" s="181" t="str">
        <f aca="false">IF((D188="a"),F188," ")</f>
        <v> </v>
      </c>
      <c r="O188" s="181" t="str">
        <f aca="false">IF((D188="l"),F188," ")</f>
        <v> </v>
      </c>
      <c r="P188" s="181" t="str">
        <f aca="false">IF((D188="i"),F188," ")</f>
        <v> </v>
      </c>
      <c r="Q188" s="181" t="str">
        <f aca="false">IF((D188="b"),F188," ")</f>
        <v> </v>
      </c>
      <c r="R188" s="181" t="str">
        <f aca="false">IF((D188="o"),F188," ")</f>
        <v> </v>
      </c>
      <c r="S188" s="181" t="str">
        <f aca="false">IF((D188="f"),F188," ")</f>
        <v> </v>
      </c>
      <c r="U188" s="373"/>
    </row>
    <row r="189" customFormat="false" ht="12.75" hidden="false" customHeight="false" outlineLevel="0" collapsed="false">
      <c r="D189" s="373" t="str">
        <f aca="false">IF((F189&lt;&gt;0),"Enter Letter"," ")</f>
        <v> </v>
      </c>
      <c r="G189" s="181" t="str">
        <f aca="false">IF((D189="d"),F189," ")</f>
        <v> </v>
      </c>
      <c r="H189" s="181" t="str">
        <f aca="false">IF((D189="h"),F189," ")</f>
        <v> </v>
      </c>
      <c r="I189" s="181" t="str">
        <f aca="false">IF((D189="r"),F189," ")</f>
        <v> </v>
      </c>
      <c r="J189" s="181" t="str">
        <f aca="false">IF((D189="t"),F189," ")</f>
        <v> </v>
      </c>
      <c r="K189" s="181" t="str">
        <f aca="false">IF((D189="e"),F189," ")</f>
        <v> </v>
      </c>
      <c r="L189" s="181" t="str">
        <f aca="false">IF((D189="p"),F189," ")</f>
        <v> </v>
      </c>
      <c r="M189" s="181" t="str">
        <f aca="false">IF((D189="g"),F189," ")</f>
        <v> </v>
      </c>
      <c r="N189" s="181" t="str">
        <f aca="false">IF((D189="a"),F189," ")</f>
        <v> </v>
      </c>
      <c r="O189" s="181" t="str">
        <f aca="false">IF((D189="l"),F189," ")</f>
        <v> </v>
      </c>
      <c r="P189" s="181" t="str">
        <f aca="false">IF((D189="i"),F189," ")</f>
        <v> </v>
      </c>
      <c r="Q189" s="181" t="str">
        <f aca="false">IF((D189="b"),F189," ")</f>
        <v> </v>
      </c>
      <c r="R189" s="181" t="str">
        <f aca="false">IF((D189="o"),F189," ")</f>
        <v> </v>
      </c>
      <c r="S189" s="181" t="str">
        <f aca="false">IF((D189="f"),F189," ")</f>
        <v> </v>
      </c>
      <c r="U189" s="373"/>
    </row>
    <row r="190" customFormat="false" ht="12.75" hidden="false" customHeight="false" outlineLevel="0" collapsed="false">
      <c r="D190" s="373" t="str">
        <f aca="false">IF((F190&lt;&gt;0),"Enter Letter"," ")</f>
        <v> </v>
      </c>
      <c r="G190" s="181" t="str">
        <f aca="false">IF((D190="d"),F190," ")</f>
        <v> </v>
      </c>
      <c r="H190" s="181" t="str">
        <f aca="false">IF((D190="h"),F190," ")</f>
        <v> </v>
      </c>
      <c r="I190" s="181" t="str">
        <f aca="false">IF((D190="r"),F190," ")</f>
        <v> </v>
      </c>
      <c r="J190" s="181" t="str">
        <f aca="false">IF((D190="t"),F190," ")</f>
        <v> </v>
      </c>
      <c r="K190" s="181" t="str">
        <f aca="false">IF((D190="e"),F190," ")</f>
        <v> </v>
      </c>
      <c r="L190" s="181" t="str">
        <f aca="false">IF((D190="p"),F190," ")</f>
        <v> </v>
      </c>
      <c r="M190" s="181" t="str">
        <f aca="false">IF((D190="g"),F190," ")</f>
        <v> </v>
      </c>
      <c r="N190" s="181" t="str">
        <f aca="false">IF((D190="a"),F190," ")</f>
        <v> </v>
      </c>
      <c r="O190" s="181" t="str">
        <f aca="false">IF((D190="l"),F190," ")</f>
        <v> </v>
      </c>
      <c r="P190" s="181" t="str">
        <f aca="false">IF((D190="i"),F190," ")</f>
        <v> </v>
      </c>
      <c r="Q190" s="181" t="str">
        <f aca="false">IF((D190="b"),F190," ")</f>
        <v> </v>
      </c>
      <c r="R190" s="181" t="str">
        <f aca="false">IF((D190="o"),F190," ")</f>
        <v> </v>
      </c>
      <c r="S190" s="181" t="str">
        <f aca="false">IF((D190="f"),F190," ")</f>
        <v> </v>
      </c>
      <c r="U190" s="373"/>
    </row>
    <row r="191" customFormat="false" ht="12.75" hidden="false" customHeight="false" outlineLevel="0" collapsed="false">
      <c r="D191" s="373" t="str">
        <f aca="false">IF((F191&lt;&gt;0),"Enter Letter"," ")</f>
        <v> </v>
      </c>
      <c r="G191" s="181" t="str">
        <f aca="false">IF((D191="d"),F191," ")</f>
        <v> </v>
      </c>
      <c r="H191" s="181" t="str">
        <f aca="false">IF((D191="h"),F191," ")</f>
        <v> </v>
      </c>
      <c r="I191" s="181" t="str">
        <f aca="false">IF((D191="r"),F191," ")</f>
        <v> </v>
      </c>
      <c r="J191" s="181" t="str">
        <f aca="false">IF((D191="t"),F191," ")</f>
        <v> </v>
      </c>
      <c r="K191" s="181" t="str">
        <f aca="false">IF((D191="e"),F191," ")</f>
        <v> </v>
      </c>
      <c r="L191" s="181" t="str">
        <f aca="false">IF((D191="p"),F191," ")</f>
        <v> </v>
      </c>
      <c r="M191" s="181" t="str">
        <f aca="false">IF((D191="g"),F191," ")</f>
        <v> </v>
      </c>
      <c r="N191" s="181" t="str">
        <f aca="false">IF((D191="a"),F191," ")</f>
        <v> </v>
      </c>
      <c r="O191" s="181" t="str">
        <f aca="false">IF((D191="l"),F191," ")</f>
        <v> </v>
      </c>
      <c r="P191" s="181" t="str">
        <f aca="false">IF((D191="i"),F191," ")</f>
        <v> </v>
      </c>
      <c r="Q191" s="181" t="str">
        <f aca="false">IF((D191="b"),F191," ")</f>
        <v> </v>
      </c>
      <c r="R191" s="181" t="str">
        <f aca="false">IF((D191="o"),F191," ")</f>
        <v> </v>
      </c>
      <c r="S191" s="181" t="str">
        <f aca="false">IF((D191="f"),F191," ")</f>
        <v> </v>
      </c>
      <c r="U191" s="373"/>
    </row>
    <row r="192" customFormat="false" ht="12.75" hidden="false" customHeight="false" outlineLevel="0" collapsed="false">
      <c r="D192" s="373" t="str">
        <f aca="false">IF((F192&lt;&gt;0),"Enter Letter"," ")</f>
        <v> </v>
      </c>
      <c r="G192" s="181" t="str">
        <f aca="false">IF((D192="d"),F192," ")</f>
        <v> </v>
      </c>
      <c r="H192" s="181" t="str">
        <f aca="false">IF((D192="h"),F192," ")</f>
        <v> </v>
      </c>
      <c r="I192" s="181" t="str">
        <f aca="false">IF((D192="r"),F192," ")</f>
        <v> </v>
      </c>
      <c r="J192" s="181" t="str">
        <f aca="false">IF((D192="t"),F192," ")</f>
        <v> </v>
      </c>
      <c r="K192" s="181" t="str">
        <f aca="false">IF((D192="e"),F192," ")</f>
        <v> </v>
      </c>
      <c r="L192" s="181" t="str">
        <f aca="false">IF((D192="p"),F192," ")</f>
        <v> </v>
      </c>
      <c r="M192" s="181" t="str">
        <f aca="false">IF((D192="g"),F192," ")</f>
        <v> </v>
      </c>
      <c r="N192" s="181" t="str">
        <f aca="false">IF((D192="a"),F192," ")</f>
        <v> </v>
      </c>
      <c r="O192" s="181" t="str">
        <f aca="false">IF((D192="l"),F192," ")</f>
        <v> </v>
      </c>
      <c r="P192" s="181" t="str">
        <f aca="false">IF((D192="i"),F192," ")</f>
        <v> </v>
      </c>
      <c r="Q192" s="181" t="str">
        <f aca="false">IF((D192="b"),F192," ")</f>
        <v> </v>
      </c>
      <c r="R192" s="181" t="str">
        <f aca="false">IF((D192="o"),F192," ")</f>
        <v> </v>
      </c>
      <c r="S192" s="181" t="str">
        <f aca="false">IF((D192="f"),F192," ")</f>
        <v> </v>
      </c>
      <c r="U192" s="373"/>
    </row>
    <row r="193" customFormat="false" ht="12.75" hidden="false" customHeight="false" outlineLevel="0" collapsed="false">
      <c r="D193" s="373" t="str">
        <f aca="false">IF((F193&lt;&gt;0),"Enter Letter"," ")</f>
        <v> </v>
      </c>
      <c r="G193" s="181" t="str">
        <f aca="false">IF((D193="d"),F193," ")</f>
        <v> </v>
      </c>
      <c r="H193" s="181" t="str">
        <f aca="false">IF((D193="h"),F193," ")</f>
        <v> </v>
      </c>
      <c r="I193" s="181" t="str">
        <f aca="false">IF((D193="r"),F193," ")</f>
        <v> </v>
      </c>
      <c r="J193" s="181" t="str">
        <f aca="false">IF((D193="t"),F193," ")</f>
        <v> </v>
      </c>
      <c r="K193" s="181" t="str">
        <f aca="false">IF((D193="e"),F193," ")</f>
        <v> </v>
      </c>
      <c r="L193" s="181" t="str">
        <f aca="false">IF((D193="p"),F193," ")</f>
        <v> </v>
      </c>
      <c r="M193" s="181" t="str">
        <f aca="false">IF((D193="g"),F193," ")</f>
        <v> </v>
      </c>
      <c r="N193" s="181" t="str">
        <f aca="false">IF((D193="a"),F193," ")</f>
        <v> </v>
      </c>
      <c r="O193" s="181" t="str">
        <f aca="false">IF((D193="l"),F193," ")</f>
        <v> </v>
      </c>
      <c r="P193" s="181" t="str">
        <f aca="false">IF((D193="i"),F193," ")</f>
        <v> </v>
      </c>
      <c r="Q193" s="181" t="str">
        <f aca="false">IF((D193="b"),F193," ")</f>
        <v> </v>
      </c>
      <c r="R193" s="181" t="str">
        <f aca="false">IF((D193="o"),F193," ")</f>
        <v> </v>
      </c>
      <c r="S193" s="181" t="str">
        <f aca="false">IF((D193="f"),F193," ")</f>
        <v> </v>
      </c>
      <c r="U193" s="373"/>
    </row>
    <row r="194" customFormat="false" ht="12.75" hidden="false" customHeight="false" outlineLevel="0" collapsed="false">
      <c r="D194" s="373" t="str">
        <f aca="false">IF((F194&lt;&gt;0),"Enter Letter"," ")</f>
        <v> </v>
      </c>
      <c r="G194" s="181" t="str">
        <f aca="false">IF((D194="d"),F194," ")</f>
        <v> </v>
      </c>
      <c r="H194" s="181" t="str">
        <f aca="false">IF((D194="h"),F194," ")</f>
        <v> </v>
      </c>
      <c r="I194" s="181" t="str">
        <f aca="false">IF((D194="r"),F194," ")</f>
        <v> </v>
      </c>
      <c r="J194" s="181" t="str">
        <f aca="false">IF((D194="t"),F194," ")</f>
        <v> </v>
      </c>
      <c r="K194" s="181" t="str">
        <f aca="false">IF((D194="e"),F194," ")</f>
        <v> </v>
      </c>
      <c r="L194" s="181" t="str">
        <f aca="false">IF((D194="p"),F194," ")</f>
        <v> </v>
      </c>
      <c r="M194" s="181" t="str">
        <f aca="false">IF((D194="g"),F194," ")</f>
        <v> </v>
      </c>
      <c r="N194" s="181" t="str">
        <f aca="false">IF((D194="a"),F194," ")</f>
        <v> </v>
      </c>
      <c r="O194" s="181" t="str">
        <f aca="false">IF((D194="l"),F194," ")</f>
        <v> </v>
      </c>
      <c r="P194" s="181" t="str">
        <f aca="false">IF((D194="i"),F194," ")</f>
        <v> </v>
      </c>
      <c r="Q194" s="181" t="str">
        <f aca="false">IF((D194="b"),F194," ")</f>
        <v> </v>
      </c>
      <c r="R194" s="181" t="str">
        <f aca="false">IF((D194="o"),F194," ")</f>
        <v> </v>
      </c>
      <c r="S194" s="181" t="str">
        <f aca="false">IF((D194="f"),F194," ")</f>
        <v> </v>
      </c>
      <c r="U194" s="373"/>
    </row>
    <row r="195" customFormat="false" ht="12.75" hidden="false" customHeight="false" outlineLevel="0" collapsed="false">
      <c r="D195" s="373" t="str">
        <f aca="false">IF((F195&lt;&gt;0),"Enter Letter"," ")</f>
        <v> </v>
      </c>
      <c r="G195" s="181" t="str">
        <f aca="false">IF((D195="d"),F195," ")</f>
        <v> </v>
      </c>
      <c r="H195" s="181" t="str">
        <f aca="false">IF((D195="h"),F195," ")</f>
        <v> </v>
      </c>
      <c r="I195" s="181" t="str">
        <f aca="false">IF((D195="r"),F195," ")</f>
        <v> </v>
      </c>
      <c r="J195" s="181" t="str">
        <f aca="false">IF((D195="t"),F195," ")</f>
        <v> </v>
      </c>
      <c r="K195" s="181" t="str">
        <f aca="false">IF((D195="e"),F195," ")</f>
        <v> </v>
      </c>
      <c r="L195" s="181" t="str">
        <f aca="false">IF((D195="p"),F195," ")</f>
        <v> </v>
      </c>
      <c r="M195" s="181" t="str">
        <f aca="false">IF((D195="g"),F195," ")</f>
        <v> </v>
      </c>
      <c r="N195" s="181" t="str">
        <f aca="false">IF((D195="a"),F195," ")</f>
        <v> </v>
      </c>
      <c r="O195" s="181" t="str">
        <f aca="false">IF((D195="l"),F195," ")</f>
        <v> </v>
      </c>
      <c r="P195" s="181" t="str">
        <f aca="false">IF((D195="i"),F195," ")</f>
        <v> </v>
      </c>
      <c r="Q195" s="181" t="str">
        <f aca="false">IF((D195="b"),F195," ")</f>
        <v> </v>
      </c>
      <c r="R195" s="181" t="str">
        <f aca="false">IF((D195="o"),F195," ")</f>
        <v> </v>
      </c>
      <c r="S195" s="181" t="str">
        <f aca="false">IF((D195="f"),F195," ")</f>
        <v> </v>
      </c>
      <c r="U195" s="373"/>
    </row>
    <row r="196" customFormat="false" ht="12.75" hidden="false" customHeight="false" outlineLevel="0" collapsed="false">
      <c r="D196" s="373" t="str">
        <f aca="false">IF((F196&lt;&gt;0),"Enter Letter"," ")</f>
        <v> </v>
      </c>
      <c r="G196" s="181" t="str">
        <f aca="false">IF((D196="d"),F196," ")</f>
        <v> </v>
      </c>
      <c r="H196" s="181" t="str">
        <f aca="false">IF((D196="h"),F196," ")</f>
        <v> </v>
      </c>
      <c r="I196" s="181" t="str">
        <f aca="false">IF((D196="r"),F196," ")</f>
        <v> </v>
      </c>
      <c r="J196" s="181" t="str">
        <f aca="false">IF((D196="t"),F196," ")</f>
        <v> </v>
      </c>
      <c r="K196" s="181" t="str">
        <f aca="false">IF((D196="e"),F196," ")</f>
        <v> </v>
      </c>
      <c r="L196" s="181" t="str">
        <f aca="false">IF((D196="p"),F196," ")</f>
        <v> </v>
      </c>
      <c r="M196" s="181" t="str">
        <f aca="false">IF((D196="g"),F196," ")</f>
        <v> </v>
      </c>
      <c r="N196" s="181" t="str">
        <f aca="false">IF((D196="a"),F196," ")</f>
        <v> </v>
      </c>
      <c r="O196" s="181" t="str">
        <f aca="false">IF((D196="l"),F196," ")</f>
        <v> </v>
      </c>
      <c r="P196" s="181" t="str">
        <f aca="false">IF((D196="i"),F196," ")</f>
        <v> </v>
      </c>
      <c r="Q196" s="181" t="str">
        <f aca="false">IF((D196="b"),F196," ")</f>
        <v> </v>
      </c>
      <c r="R196" s="181" t="str">
        <f aca="false">IF((D196="o"),F196," ")</f>
        <v> </v>
      </c>
      <c r="S196" s="181" t="str">
        <f aca="false">IF((D196="f"),F196," ")</f>
        <v> </v>
      </c>
      <c r="U196" s="373"/>
    </row>
    <row r="197" customFormat="false" ht="12.75" hidden="false" customHeight="false" outlineLevel="0" collapsed="false">
      <c r="D197" s="373" t="str">
        <f aca="false">IF((F197&lt;&gt;0),"Enter Letter"," ")</f>
        <v> </v>
      </c>
      <c r="G197" s="181" t="str">
        <f aca="false">IF((D197="d"),F197," ")</f>
        <v> </v>
      </c>
      <c r="H197" s="181" t="str">
        <f aca="false">IF((D197="h"),F197," ")</f>
        <v> </v>
      </c>
      <c r="I197" s="181" t="str">
        <f aca="false">IF((D197="r"),F197," ")</f>
        <v> </v>
      </c>
      <c r="J197" s="181" t="str">
        <f aca="false">IF((D197="t"),F197," ")</f>
        <v> </v>
      </c>
      <c r="K197" s="181" t="str">
        <f aca="false">IF((D197="e"),F197," ")</f>
        <v> </v>
      </c>
      <c r="L197" s="181" t="str">
        <f aca="false">IF((D197="p"),F197," ")</f>
        <v> </v>
      </c>
      <c r="M197" s="181" t="str">
        <f aca="false">IF((D197="g"),F197," ")</f>
        <v> </v>
      </c>
      <c r="N197" s="181" t="str">
        <f aca="false">IF((D197="a"),F197," ")</f>
        <v> </v>
      </c>
      <c r="O197" s="181" t="str">
        <f aca="false">IF((D197="l"),F197," ")</f>
        <v> </v>
      </c>
      <c r="P197" s="181" t="str">
        <f aca="false">IF((D197="i"),F197," ")</f>
        <v> </v>
      </c>
      <c r="Q197" s="181" t="str">
        <f aca="false">IF((D197="b"),F197," ")</f>
        <v> </v>
      </c>
      <c r="R197" s="181" t="str">
        <f aca="false">IF((D197="o"),F197," ")</f>
        <v> </v>
      </c>
      <c r="S197" s="181" t="str">
        <f aca="false">IF((D197="f"),F197," ")</f>
        <v> </v>
      </c>
      <c r="U197" s="373"/>
    </row>
    <row r="198" customFormat="false" ht="12.75" hidden="false" customHeight="false" outlineLevel="0" collapsed="false">
      <c r="D198" s="373" t="str">
        <f aca="false">IF((F198&lt;&gt;0),"Enter Letter"," ")</f>
        <v> </v>
      </c>
      <c r="G198" s="181" t="str">
        <f aca="false">IF((D198="d"),F198," ")</f>
        <v> </v>
      </c>
      <c r="H198" s="181" t="str">
        <f aca="false">IF((D198="h"),F198," ")</f>
        <v> </v>
      </c>
      <c r="I198" s="181" t="str">
        <f aca="false">IF((D198="r"),F198," ")</f>
        <v> </v>
      </c>
      <c r="J198" s="181" t="str">
        <f aca="false">IF((D198="t"),F198," ")</f>
        <v> </v>
      </c>
      <c r="K198" s="181" t="str">
        <f aca="false">IF((D198="e"),F198," ")</f>
        <v> </v>
      </c>
      <c r="L198" s="181" t="str">
        <f aca="false">IF((D198="p"),F198," ")</f>
        <v> </v>
      </c>
      <c r="M198" s="181" t="str">
        <f aca="false">IF((D198="g"),F198," ")</f>
        <v> </v>
      </c>
      <c r="N198" s="181" t="str">
        <f aca="false">IF((D198="a"),F198," ")</f>
        <v> </v>
      </c>
      <c r="O198" s="181" t="str">
        <f aca="false">IF((D198="l"),F198," ")</f>
        <v> </v>
      </c>
      <c r="P198" s="181" t="str">
        <f aca="false">IF((D198="i"),F198," ")</f>
        <v> </v>
      </c>
      <c r="Q198" s="181" t="str">
        <f aca="false">IF((D198="b"),F198," ")</f>
        <v> </v>
      </c>
      <c r="R198" s="181" t="str">
        <f aca="false">IF((D198="o"),F198," ")</f>
        <v> </v>
      </c>
      <c r="S198" s="181" t="str">
        <f aca="false">IF((D198="f"),F198," ")</f>
        <v> </v>
      </c>
      <c r="U198" s="373"/>
    </row>
    <row r="199" customFormat="false" ht="12.75" hidden="false" customHeight="false" outlineLevel="0" collapsed="false">
      <c r="D199" s="373" t="str">
        <f aca="false">IF((F199&lt;&gt;0),"Enter Letter"," ")</f>
        <v> </v>
      </c>
      <c r="G199" s="181" t="str">
        <f aca="false">IF((D199="d"),F199," ")</f>
        <v> </v>
      </c>
      <c r="H199" s="181" t="str">
        <f aca="false">IF((D199="h"),F199," ")</f>
        <v> </v>
      </c>
      <c r="I199" s="181" t="str">
        <f aca="false">IF((D199="r"),F199," ")</f>
        <v> </v>
      </c>
      <c r="J199" s="181" t="str">
        <f aca="false">IF((D199="t"),F199," ")</f>
        <v> </v>
      </c>
      <c r="K199" s="181" t="str">
        <f aca="false">IF((D199="e"),F199," ")</f>
        <v> </v>
      </c>
      <c r="L199" s="181" t="str">
        <f aca="false">IF((D199="p"),F199," ")</f>
        <v> </v>
      </c>
      <c r="M199" s="181" t="str">
        <f aca="false">IF((D199="g"),F199," ")</f>
        <v> </v>
      </c>
      <c r="N199" s="181" t="str">
        <f aca="false">IF((D199="a"),F199," ")</f>
        <v> </v>
      </c>
      <c r="O199" s="181" t="str">
        <f aca="false">IF((D199="l"),F199," ")</f>
        <v> </v>
      </c>
      <c r="P199" s="181" t="str">
        <f aca="false">IF((D199="i"),F199," ")</f>
        <v> </v>
      </c>
      <c r="Q199" s="181" t="str">
        <f aca="false">IF((D199="b"),F199," ")</f>
        <v> </v>
      </c>
      <c r="R199" s="181" t="str">
        <f aca="false">IF((D199="o"),F199," ")</f>
        <v> </v>
      </c>
      <c r="S199" s="181" t="str">
        <f aca="false">IF((D199="f"),F199," ")</f>
        <v> </v>
      </c>
      <c r="U199" s="373"/>
    </row>
    <row r="200" customFormat="false" ht="12.75" hidden="false" customHeight="false" outlineLevel="0" collapsed="false">
      <c r="D200" s="373" t="str">
        <f aca="false">IF((F200&lt;&gt;0),"Enter Letter"," ")</f>
        <v> </v>
      </c>
      <c r="G200" s="181" t="str">
        <f aca="false">IF((D200="d"),F200," ")</f>
        <v> </v>
      </c>
      <c r="H200" s="181" t="str">
        <f aca="false">IF((D200="h"),F200," ")</f>
        <v> </v>
      </c>
      <c r="I200" s="181" t="str">
        <f aca="false">IF((D200="r"),F200," ")</f>
        <v> </v>
      </c>
      <c r="J200" s="181" t="str">
        <f aca="false">IF((D200="t"),F200," ")</f>
        <v> </v>
      </c>
      <c r="K200" s="181" t="str">
        <f aca="false">IF((D200="e"),F200," ")</f>
        <v> </v>
      </c>
      <c r="L200" s="181" t="str">
        <f aca="false">IF((D200="p"),F200," ")</f>
        <v> </v>
      </c>
      <c r="M200" s="181" t="str">
        <f aca="false">IF((D200="g"),F200," ")</f>
        <v> </v>
      </c>
      <c r="N200" s="181" t="str">
        <f aca="false">IF((D200="a"),F200," ")</f>
        <v> </v>
      </c>
      <c r="O200" s="181" t="str">
        <f aca="false">IF((D200="l"),F200," ")</f>
        <v> </v>
      </c>
      <c r="P200" s="181" t="str">
        <f aca="false">IF((D200="i"),F200," ")</f>
        <v> </v>
      </c>
      <c r="Q200" s="181" t="str">
        <f aca="false">IF((D200="b"),F200," ")</f>
        <v> </v>
      </c>
      <c r="R200" s="181" t="str">
        <f aca="false">IF((D200="o"),F200," ")</f>
        <v> </v>
      </c>
      <c r="S200" s="181" t="str">
        <f aca="false">IF((D200="f"),F200," ")</f>
        <v> </v>
      </c>
      <c r="U200" s="373"/>
    </row>
    <row r="201" customFormat="false" ht="12.75" hidden="false" customHeight="false" outlineLevel="0" collapsed="false">
      <c r="D201" s="373" t="str">
        <f aca="false">IF((F201&lt;&gt;0),"Enter Letter"," ")</f>
        <v> </v>
      </c>
      <c r="G201" s="181" t="str">
        <f aca="false">IF((D201="d"),F201," ")</f>
        <v> </v>
      </c>
      <c r="H201" s="181" t="str">
        <f aca="false">IF((D201="h"),F201," ")</f>
        <v> </v>
      </c>
      <c r="I201" s="181" t="str">
        <f aca="false">IF((D201="r"),F201," ")</f>
        <v> </v>
      </c>
      <c r="J201" s="181" t="str">
        <f aca="false">IF((D201="t"),F201," ")</f>
        <v> </v>
      </c>
      <c r="K201" s="181" t="str">
        <f aca="false">IF((D201="e"),F201," ")</f>
        <v> </v>
      </c>
      <c r="L201" s="181" t="str">
        <f aca="false">IF((D201="p"),F201," ")</f>
        <v> </v>
      </c>
      <c r="M201" s="181" t="str">
        <f aca="false">IF((D201="g"),F201," ")</f>
        <v> </v>
      </c>
      <c r="N201" s="181" t="str">
        <f aca="false">IF((D201="a"),F201," ")</f>
        <v> </v>
      </c>
      <c r="O201" s="181" t="str">
        <f aca="false">IF((D201="l"),F201," ")</f>
        <v> </v>
      </c>
      <c r="P201" s="181" t="str">
        <f aca="false">IF((D201="i"),F201," ")</f>
        <v> </v>
      </c>
      <c r="Q201" s="181" t="str">
        <f aca="false">IF((D201="b"),F201," ")</f>
        <v> </v>
      </c>
      <c r="R201" s="181" t="str">
        <f aca="false">IF((D201="o"),F201," ")</f>
        <v> </v>
      </c>
      <c r="S201" s="181" t="str">
        <f aca="false">IF((D201="f"),F201," ")</f>
        <v> </v>
      </c>
      <c r="U201" s="373"/>
    </row>
    <row r="202" customFormat="false" ht="12.75" hidden="false" customHeight="false" outlineLevel="0" collapsed="false">
      <c r="D202" s="373" t="str">
        <f aca="false">IF((F202&lt;&gt;0),"Enter Letter"," ")</f>
        <v> </v>
      </c>
      <c r="G202" s="181" t="str">
        <f aca="false">IF((D202="d"),F202," ")</f>
        <v> </v>
      </c>
      <c r="H202" s="181" t="str">
        <f aca="false">IF((D202="h"),F202," ")</f>
        <v> </v>
      </c>
      <c r="I202" s="181" t="str">
        <f aca="false">IF((D202="r"),F202," ")</f>
        <v> </v>
      </c>
      <c r="J202" s="181" t="str">
        <f aca="false">IF((D202="t"),F202," ")</f>
        <v> </v>
      </c>
      <c r="K202" s="181" t="str">
        <f aca="false">IF((D202="e"),F202," ")</f>
        <v> </v>
      </c>
      <c r="L202" s="181" t="str">
        <f aca="false">IF((D202="p"),F202," ")</f>
        <v> </v>
      </c>
      <c r="M202" s="181" t="str">
        <f aca="false">IF((D202="g"),F202," ")</f>
        <v> </v>
      </c>
      <c r="N202" s="181" t="str">
        <f aca="false">IF((D202="a"),F202," ")</f>
        <v> </v>
      </c>
      <c r="O202" s="181" t="str">
        <f aca="false">IF((D202="l"),F202," ")</f>
        <v> </v>
      </c>
      <c r="P202" s="181" t="str">
        <f aca="false">IF((D202="i"),F202," ")</f>
        <v> </v>
      </c>
      <c r="Q202" s="181" t="str">
        <f aca="false">IF((D202="b"),F202," ")</f>
        <v> </v>
      </c>
      <c r="R202" s="181" t="str">
        <f aca="false">IF((D202="o"),F202," ")</f>
        <v> </v>
      </c>
      <c r="S202" s="181" t="str">
        <f aca="false">IF((D202="f"),F202," ")</f>
        <v> </v>
      </c>
      <c r="U202" s="373"/>
    </row>
    <row r="203" customFormat="false" ht="12.75" hidden="false" customHeight="false" outlineLevel="0" collapsed="false">
      <c r="D203" s="373" t="str">
        <f aca="false">IF((F203&lt;&gt;0),"Enter Letter"," ")</f>
        <v> </v>
      </c>
      <c r="G203" s="181" t="str">
        <f aca="false">IF((D203="d"),F203," ")</f>
        <v> </v>
      </c>
      <c r="H203" s="181" t="str">
        <f aca="false">IF((D203="h"),F203," ")</f>
        <v> </v>
      </c>
      <c r="I203" s="181" t="str">
        <f aca="false">IF((D203="r"),F203," ")</f>
        <v> </v>
      </c>
      <c r="J203" s="181" t="str">
        <f aca="false">IF((D203="t"),F203," ")</f>
        <v> </v>
      </c>
      <c r="K203" s="181" t="str">
        <f aca="false">IF((D203="e"),F203," ")</f>
        <v> </v>
      </c>
      <c r="L203" s="181" t="str">
        <f aca="false">IF((D203="p"),F203," ")</f>
        <v> </v>
      </c>
      <c r="M203" s="181" t="str">
        <f aca="false">IF((D203="g"),F203," ")</f>
        <v> </v>
      </c>
      <c r="N203" s="181" t="str">
        <f aca="false">IF((D203="a"),F203," ")</f>
        <v> </v>
      </c>
      <c r="O203" s="181" t="str">
        <f aca="false">IF((D203="l"),F203," ")</f>
        <v> </v>
      </c>
      <c r="P203" s="181" t="str">
        <f aca="false">IF((D203="i"),F203," ")</f>
        <v> </v>
      </c>
      <c r="Q203" s="181" t="str">
        <f aca="false">IF((D203="b"),F203," ")</f>
        <v> </v>
      </c>
      <c r="R203" s="181" t="str">
        <f aca="false">IF((D203="o"),F203," ")</f>
        <v> </v>
      </c>
      <c r="S203" s="181" t="str">
        <f aca="false">IF((D203="f"),F203," ")</f>
        <v> </v>
      </c>
      <c r="U203" s="373"/>
    </row>
    <row r="204" customFormat="false" ht="12.75" hidden="false" customHeight="false" outlineLevel="0" collapsed="false">
      <c r="D204" s="373" t="str">
        <f aca="false">IF((F204&lt;&gt;0),"Enter Letter"," ")</f>
        <v> </v>
      </c>
      <c r="G204" s="181" t="str">
        <f aca="false">IF((D204="d"),F204," ")</f>
        <v> </v>
      </c>
      <c r="H204" s="181" t="str">
        <f aca="false">IF((D204="h"),F204," ")</f>
        <v> </v>
      </c>
      <c r="I204" s="181" t="str">
        <f aca="false">IF((D204="r"),F204," ")</f>
        <v> </v>
      </c>
      <c r="J204" s="181" t="str">
        <f aca="false">IF((D204="t"),F204," ")</f>
        <v> </v>
      </c>
      <c r="K204" s="181" t="str">
        <f aca="false">IF((D204="e"),F204," ")</f>
        <v> </v>
      </c>
      <c r="L204" s="181" t="str">
        <f aca="false">IF((D204="p"),F204," ")</f>
        <v> </v>
      </c>
      <c r="M204" s="181" t="str">
        <f aca="false">IF((D204="g"),F204," ")</f>
        <v> </v>
      </c>
      <c r="N204" s="181" t="str">
        <f aca="false">IF((D204="a"),F204," ")</f>
        <v> </v>
      </c>
      <c r="O204" s="181" t="str">
        <f aca="false">IF((D204="l"),F204," ")</f>
        <v> </v>
      </c>
      <c r="P204" s="181" t="str">
        <f aca="false">IF((D204="i"),F204," ")</f>
        <v> </v>
      </c>
      <c r="Q204" s="181" t="str">
        <f aca="false">IF((D204="b"),F204," ")</f>
        <v> </v>
      </c>
      <c r="R204" s="181" t="str">
        <f aca="false">IF((D204="o"),F204," ")</f>
        <v> </v>
      </c>
      <c r="S204" s="181" t="str">
        <f aca="false">IF((D204="f"),F204," ")</f>
        <v> </v>
      </c>
      <c r="U204" s="373"/>
    </row>
    <row r="205" customFormat="false" ht="12.75" hidden="false" customHeight="false" outlineLevel="0" collapsed="false">
      <c r="U205" s="373"/>
    </row>
    <row r="206" customFormat="false" ht="12.75" hidden="false" customHeight="false" outlineLevel="0" collapsed="false">
      <c r="U206" s="373"/>
    </row>
    <row r="207" customFormat="false" ht="12.75" hidden="false" customHeight="false" outlineLevel="0" collapsed="false">
      <c r="U207" s="373"/>
    </row>
    <row r="208" customFormat="false" ht="12.75" hidden="false" customHeight="false" outlineLevel="0" collapsed="false">
      <c r="U208" s="373"/>
    </row>
    <row r="209" customFormat="false" ht="12.75" hidden="false" customHeight="false" outlineLevel="0" collapsed="false">
      <c r="U209" s="373"/>
    </row>
    <row r="210" customFormat="false" ht="12.75" hidden="false" customHeight="false" outlineLevel="0" collapsed="false">
      <c r="U210" s="373"/>
    </row>
    <row r="211" customFormat="false" ht="12.75" hidden="false" customHeight="false" outlineLevel="0" collapsed="false">
      <c r="U211" s="373"/>
    </row>
    <row r="212" customFormat="false" ht="12.75" hidden="false" customHeight="false" outlineLevel="0" collapsed="false">
      <c r="U212" s="373"/>
    </row>
    <row r="213" customFormat="false" ht="12.75" hidden="false" customHeight="false" outlineLevel="0" collapsed="false">
      <c r="U213" s="373"/>
    </row>
    <row r="214" customFormat="false" ht="12.75" hidden="false" customHeight="false" outlineLevel="0" collapsed="false">
      <c r="U214" s="373"/>
    </row>
    <row r="215" customFormat="false" ht="12.75" hidden="false" customHeight="false" outlineLevel="0" collapsed="false">
      <c r="U215" s="373"/>
    </row>
    <row r="216" customFormat="false" ht="12.75" hidden="false" customHeight="false" outlineLevel="0" collapsed="false">
      <c r="U216" s="373"/>
    </row>
    <row r="217" customFormat="false" ht="12.75" hidden="false" customHeight="false" outlineLevel="0" collapsed="false">
      <c r="U217" s="373"/>
    </row>
    <row r="218" customFormat="false" ht="12.75" hidden="false" customHeight="false" outlineLevel="0" collapsed="false">
      <c r="U218" s="373"/>
    </row>
    <row r="219" customFormat="false" ht="12.75" hidden="false" customHeight="false" outlineLevel="0" collapsed="false">
      <c r="U219" s="373"/>
    </row>
    <row r="220" customFormat="false" ht="12.75" hidden="false" customHeight="false" outlineLevel="0" collapsed="false">
      <c r="U220" s="373"/>
    </row>
    <row r="221" customFormat="false" ht="12.75" hidden="false" customHeight="false" outlineLevel="0" collapsed="false">
      <c r="U221" s="373"/>
    </row>
    <row r="222" customFormat="false" ht="12.75" hidden="false" customHeight="false" outlineLevel="0" collapsed="false">
      <c r="U222" s="373"/>
    </row>
    <row r="223" customFormat="false" ht="12.75" hidden="false" customHeight="false" outlineLevel="0" collapsed="false">
      <c r="U223" s="373"/>
    </row>
    <row r="224" customFormat="false" ht="12.75" hidden="false" customHeight="false" outlineLevel="0" collapsed="false">
      <c r="U224" s="373"/>
    </row>
    <row r="225" customFormat="false" ht="12.75" hidden="false" customHeight="false" outlineLevel="0" collapsed="false">
      <c r="U225" s="373"/>
    </row>
    <row r="226" customFormat="false" ht="12.75" hidden="false" customHeight="false" outlineLevel="0" collapsed="false">
      <c r="U226" s="373"/>
    </row>
    <row r="227" customFormat="false" ht="12.75" hidden="false" customHeight="false" outlineLevel="0" collapsed="false">
      <c r="U227" s="373"/>
    </row>
    <row r="228" customFormat="false" ht="12.75" hidden="false" customHeight="false" outlineLevel="0" collapsed="false">
      <c r="U228" s="373"/>
    </row>
    <row r="229" customFormat="false" ht="12.75" hidden="false" customHeight="false" outlineLevel="0" collapsed="false">
      <c r="U229" s="373"/>
    </row>
    <row r="230" customFormat="false" ht="12.75" hidden="false" customHeight="false" outlineLevel="0" collapsed="false">
      <c r="U230" s="373"/>
    </row>
    <row r="231" customFormat="false" ht="12.75" hidden="false" customHeight="false" outlineLevel="0" collapsed="false">
      <c r="U231" s="373"/>
    </row>
    <row r="232" customFormat="false" ht="12.75" hidden="false" customHeight="false" outlineLevel="0" collapsed="false">
      <c r="U232" s="373"/>
    </row>
    <row r="233" customFormat="false" ht="12.75" hidden="false" customHeight="false" outlineLevel="0" collapsed="false">
      <c r="U233" s="373"/>
    </row>
    <row r="234" customFormat="false" ht="12.75" hidden="false" customHeight="false" outlineLevel="0" collapsed="false">
      <c r="U234" s="373"/>
    </row>
    <row r="235" customFormat="false" ht="12.75" hidden="false" customHeight="false" outlineLevel="0" collapsed="false">
      <c r="U235" s="373"/>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zeroHeight="false" outlineLevelRow="0" outlineLevelCol="0"/>
  <cols>
    <col collapsed="false" customWidth="true" hidden="false" outlineLevel="0" max="1" min="1" style="55" width="1.5"/>
    <col collapsed="false" customWidth="true" hidden="false" outlineLevel="0" max="2" min="2" style="397" width="10.15"/>
    <col collapsed="false" customWidth="true" hidden="false" outlineLevel="0" max="3" min="3" style="55" width="4.66"/>
    <col collapsed="false" customWidth="true" hidden="false" outlineLevel="0" max="5" min="4" style="55" width="11.15"/>
    <col collapsed="false" customWidth="true" hidden="false" outlineLevel="0" max="6" min="6" style="55" width="10.99"/>
    <col collapsed="false" customWidth="false" hidden="false" outlineLevel="0" max="7" min="7" style="398" width="9.15"/>
    <col collapsed="false" customWidth="true" hidden="false" outlineLevel="0" max="8" min="8" style="55" width="4.66"/>
    <col collapsed="false" customWidth="false" hidden="false" outlineLevel="0" max="12" min="9" style="55" width="9.15"/>
    <col collapsed="false" customWidth="true" hidden="false" outlineLevel="0" max="13" min="13" style="55" width="11.5"/>
    <col collapsed="false" customWidth="false" hidden="false" outlineLevel="0" max="14" min="14" style="55" width="9.15"/>
    <col collapsed="false" customWidth="true" hidden="false" outlineLevel="0" max="15" min="15" style="55" width="5.99"/>
    <col collapsed="false" customWidth="false" hidden="false" outlineLevel="0" max="257" min="16" style="55" width="9.15"/>
  </cols>
  <sheetData>
    <row r="1" customFormat="false" ht="12" hidden="false" customHeight="true" outlineLevel="0" collapsed="false">
      <c r="A1" s="68"/>
      <c r="B1" s="399" t="s">
        <v>288</v>
      </c>
      <c r="C1" s="68"/>
      <c r="D1" s="400"/>
      <c r="E1" s="400"/>
      <c r="F1" s="400"/>
      <c r="G1" s="401"/>
      <c r="H1" s="68"/>
      <c r="I1" s="68"/>
      <c r="J1" s="68"/>
      <c r="K1" s="68"/>
      <c r="L1" s="68"/>
      <c r="M1" s="68"/>
      <c r="N1" s="68"/>
      <c r="O1" s="68"/>
    </row>
    <row r="2" customFormat="false" ht="12" hidden="false" customHeight="true" outlineLevel="0" collapsed="false">
      <c r="A2" s="68"/>
      <c r="B2" s="402" t="n">
        <v>43890</v>
      </c>
      <c r="C2" s="68"/>
      <c r="D2" s="403" t="s">
        <v>289</v>
      </c>
      <c r="E2" s="403"/>
      <c r="F2" s="403"/>
      <c r="G2" s="404" t="str">
        <f aca="false">B23</f>
        <v>2020-21</v>
      </c>
      <c r="H2" s="68"/>
      <c r="I2" s="405" t="s">
        <v>290</v>
      </c>
      <c r="J2" s="405"/>
      <c r="K2" s="406" t="str">
        <f aca="false">G2</f>
        <v>2020-21</v>
      </c>
      <c r="L2" s="68"/>
      <c r="M2" s="68"/>
      <c r="N2" s="68"/>
      <c r="O2" s="68"/>
    </row>
    <row r="3" customFormat="false" ht="12" hidden="false" customHeight="true" outlineLevel="0" collapsed="false">
      <c r="A3" s="68"/>
      <c r="B3" s="402" t="n">
        <v>43921</v>
      </c>
      <c r="C3" s="68"/>
      <c r="D3" s="68"/>
      <c r="E3" s="68"/>
      <c r="F3" s="68"/>
      <c r="G3" s="407"/>
      <c r="H3" s="68"/>
      <c r="I3" s="68"/>
      <c r="J3" s="408"/>
      <c r="K3" s="408"/>
      <c r="L3" s="401"/>
      <c r="M3" s="68"/>
      <c r="N3" s="68"/>
      <c r="O3" s="68"/>
    </row>
    <row r="4" customFormat="false" ht="12" hidden="false" customHeight="true" outlineLevel="0" collapsed="false">
      <c r="A4" s="68"/>
      <c r="B4" s="409" t="n">
        <v>43927</v>
      </c>
      <c r="C4" s="68"/>
      <c r="D4" s="410" t="s">
        <v>68</v>
      </c>
      <c r="E4" s="410"/>
      <c r="F4" s="410"/>
      <c r="G4" s="411" t="n">
        <v>1</v>
      </c>
      <c r="H4" s="68"/>
      <c r="I4" s="410" t="s">
        <v>291</v>
      </c>
      <c r="J4" s="410"/>
      <c r="K4" s="410"/>
      <c r="L4" s="410"/>
      <c r="M4" s="410"/>
      <c r="N4" s="412" t="n">
        <v>12500</v>
      </c>
      <c r="O4" s="407" t="s">
        <v>28</v>
      </c>
    </row>
    <row r="5" customFormat="false" ht="12" hidden="false" customHeight="true" outlineLevel="0" collapsed="false">
      <c r="A5" s="68"/>
      <c r="B5" s="402" t="n">
        <v>43951</v>
      </c>
      <c r="C5" s="68"/>
      <c r="D5" s="410" t="s">
        <v>292</v>
      </c>
      <c r="E5" s="410"/>
      <c r="F5" s="410"/>
      <c r="G5" s="411" t="n">
        <v>0.18</v>
      </c>
      <c r="H5" s="68"/>
      <c r="I5" s="68"/>
      <c r="J5" s="68"/>
      <c r="K5" s="68"/>
      <c r="L5" s="68"/>
      <c r="M5" s="68"/>
      <c r="N5" s="407"/>
      <c r="O5" s="407"/>
    </row>
    <row r="6" customFormat="false" ht="12" hidden="false" customHeight="true" outlineLevel="0" collapsed="false">
      <c r="A6" s="68"/>
      <c r="B6" s="402" t="n">
        <v>43982</v>
      </c>
      <c r="C6" s="68"/>
      <c r="D6" s="68"/>
      <c r="E6" s="68"/>
      <c r="F6" s="68"/>
      <c r="G6" s="407"/>
      <c r="H6" s="68"/>
      <c r="I6" s="410" t="s">
        <v>293</v>
      </c>
      <c r="J6" s="410"/>
      <c r="K6" s="410"/>
      <c r="L6" s="410"/>
      <c r="M6" s="410"/>
      <c r="N6" s="411" t="n">
        <v>0</v>
      </c>
      <c r="O6" s="407" t="s">
        <v>294</v>
      </c>
    </row>
    <row r="7" customFormat="false" ht="12" hidden="false" customHeight="true" outlineLevel="0" collapsed="false">
      <c r="A7" s="68"/>
      <c r="B7" s="402" t="n">
        <v>44012</v>
      </c>
      <c r="C7" s="68"/>
      <c r="D7" s="410" t="s">
        <v>295</v>
      </c>
      <c r="E7" s="410"/>
      <c r="F7" s="410"/>
      <c r="G7" s="407"/>
      <c r="H7" s="68"/>
      <c r="I7" s="410" t="s">
        <v>296</v>
      </c>
      <c r="J7" s="410"/>
      <c r="K7" s="410"/>
      <c r="L7" s="410"/>
      <c r="M7" s="410"/>
      <c r="N7" s="411" t="n">
        <v>0.2</v>
      </c>
      <c r="O7" s="407" t="s">
        <v>294</v>
      </c>
    </row>
    <row r="8" customFormat="false" ht="12" hidden="false" customHeight="true" outlineLevel="0" collapsed="false">
      <c r="A8" s="68"/>
      <c r="B8" s="402" t="n">
        <v>44043</v>
      </c>
      <c r="C8" s="68"/>
      <c r="D8" s="68" t="s">
        <v>297</v>
      </c>
      <c r="E8" s="413" t="n">
        <v>12000</v>
      </c>
      <c r="F8" s="68" t="s">
        <v>298</v>
      </c>
      <c r="G8" s="413" t="n">
        <v>3000</v>
      </c>
      <c r="H8" s="68"/>
      <c r="I8" s="68"/>
      <c r="J8" s="68"/>
      <c r="K8" s="68"/>
      <c r="L8" s="68"/>
      <c r="M8" s="68"/>
      <c r="N8" s="407" t="n">
        <v>0.4</v>
      </c>
      <c r="O8" s="407"/>
    </row>
    <row r="9" customFormat="false" ht="12" hidden="false" customHeight="true" outlineLevel="0" collapsed="false">
      <c r="A9" s="68"/>
      <c r="B9" s="402" t="n">
        <v>44074</v>
      </c>
      <c r="C9" s="68"/>
      <c r="D9" s="68"/>
      <c r="E9" s="407"/>
      <c r="F9" s="68"/>
      <c r="G9" s="407"/>
      <c r="H9" s="68"/>
      <c r="I9" s="410" t="s">
        <v>299</v>
      </c>
      <c r="J9" s="410"/>
      <c r="K9" s="410"/>
      <c r="L9" s="414" t="s">
        <v>300</v>
      </c>
      <c r="M9" s="414" t="s">
        <v>301</v>
      </c>
      <c r="N9" s="415" t="s">
        <v>302</v>
      </c>
      <c r="O9" s="407"/>
    </row>
    <row r="10" customFormat="false" ht="12" hidden="false" customHeight="true" outlineLevel="0" collapsed="false">
      <c r="A10" s="68"/>
      <c r="B10" s="402" t="n">
        <v>44104</v>
      </c>
      <c r="C10" s="68"/>
      <c r="D10" s="68"/>
      <c r="E10" s="407"/>
      <c r="F10" s="68"/>
      <c r="G10" s="407"/>
      <c r="H10" s="68"/>
      <c r="I10" s="68"/>
      <c r="J10" s="68"/>
      <c r="K10" s="68"/>
      <c r="L10" s="68"/>
      <c r="M10" s="68"/>
      <c r="N10" s="407"/>
      <c r="O10" s="407"/>
    </row>
    <row r="11" customFormat="false" ht="12" hidden="false" customHeight="true" outlineLevel="0" collapsed="false">
      <c r="A11" s="68"/>
      <c r="B11" s="402" t="n">
        <v>44135</v>
      </c>
      <c r="C11" s="68"/>
      <c r="D11" s="403" t="s">
        <v>303</v>
      </c>
      <c r="E11" s="403"/>
      <c r="F11" s="403"/>
      <c r="G11" s="407" t="s">
        <v>294</v>
      </c>
      <c r="H11" s="68"/>
      <c r="I11" s="68" t="s">
        <v>304</v>
      </c>
      <c r="J11" s="68"/>
      <c r="K11" s="416" t="n">
        <v>0.2</v>
      </c>
      <c r="L11" s="407" t="n">
        <f aca="false">N11</f>
        <v>0</v>
      </c>
      <c r="M11" s="407" t="n">
        <v>37700</v>
      </c>
      <c r="N11" s="413" t="n">
        <v>0</v>
      </c>
      <c r="O11" s="407"/>
    </row>
    <row r="12" customFormat="false" ht="12" hidden="false" customHeight="true" outlineLevel="0" collapsed="false">
      <c r="A12" s="68"/>
      <c r="B12" s="402" t="n">
        <v>44165</v>
      </c>
      <c r="C12" s="68"/>
      <c r="D12" s="68"/>
      <c r="E12" s="68"/>
      <c r="F12" s="68"/>
      <c r="G12" s="407"/>
      <c r="H12" s="68"/>
      <c r="I12" s="68" t="s">
        <v>305</v>
      </c>
      <c r="J12" s="68"/>
      <c r="K12" s="416" t="n">
        <v>0.4</v>
      </c>
      <c r="L12" s="407" t="n">
        <v>37701</v>
      </c>
      <c r="M12" s="68" t="n">
        <v>37500</v>
      </c>
      <c r="N12" s="413" t="n">
        <v>0</v>
      </c>
      <c r="O12" s="407"/>
    </row>
    <row r="13" customFormat="false" ht="12" hidden="false" customHeight="true" outlineLevel="0" collapsed="false">
      <c r="A13" s="68"/>
      <c r="B13" s="402" t="n">
        <v>44196</v>
      </c>
      <c r="C13" s="68"/>
      <c r="D13" s="410" t="s">
        <v>306</v>
      </c>
      <c r="E13" s="410"/>
      <c r="F13" s="410"/>
      <c r="G13" s="411" t="n">
        <v>0</v>
      </c>
      <c r="H13" s="68"/>
      <c r="I13" s="68"/>
      <c r="J13" s="68"/>
      <c r="K13" s="68"/>
      <c r="L13" s="68" t="n">
        <v>37501</v>
      </c>
      <c r="M13" s="68"/>
      <c r="N13" s="68" t="n">
        <v>37501</v>
      </c>
      <c r="O13" s="68"/>
    </row>
    <row r="14" customFormat="false" ht="12" hidden="false" customHeight="true" outlineLevel="0" collapsed="false">
      <c r="A14" s="68"/>
      <c r="B14" s="402" t="n">
        <v>44227</v>
      </c>
      <c r="C14" s="68"/>
      <c r="D14" s="410" t="s">
        <v>307</v>
      </c>
      <c r="E14" s="410"/>
      <c r="F14" s="410"/>
      <c r="G14" s="411" t="n">
        <v>0.1</v>
      </c>
      <c r="H14" s="68"/>
      <c r="I14" s="403" t="s">
        <v>308</v>
      </c>
      <c r="J14" s="403"/>
      <c r="K14" s="403"/>
      <c r="L14" s="406" t="str">
        <f aca="false">G2</f>
        <v>2020-21</v>
      </c>
      <c r="M14" s="68"/>
      <c r="N14" s="68"/>
      <c r="O14" s="68"/>
    </row>
    <row r="15" customFormat="false" ht="12" hidden="false" customHeight="true" outlineLevel="0" collapsed="false">
      <c r="A15" s="68"/>
      <c r="B15" s="402" t="n">
        <v>44255</v>
      </c>
      <c r="C15" s="68"/>
      <c r="D15" s="410" t="s">
        <v>309</v>
      </c>
      <c r="E15" s="410"/>
      <c r="F15" s="410"/>
      <c r="G15" s="411" t="n">
        <v>0.2</v>
      </c>
      <c r="H15" s="68"/>
      <c r="I15" s="68"/>
      <c r="J15" s="68"/>
      <c r="K15" s="68"/>
      <c r="L15" s="68"/>
      <c r="M15" s="68"/>
      <c r="N15" s="68"/>
      <c r="O15" s="68"/>
    </row>
    <row r="16" customFormat="false" ht="12" hidden="false" customHeight="true" outlineLevel="0" collapsed="false">
      <c r="A16" s="68"/>
      <c r="B16" s="402" t="n">
        <v>44286</v>
      </c>
      <c r="C16" s="68"/>
      <c r="D16" s="410" t="s">
        <v>310</v>
      </c>
      <c r="E16" s="410"/>
      <c r="F16" s="410"/>
      <c r="G16" s="411" t="n">
        <v>0.33</v>
      </c>
      <c r="H16" s="68"/>
      <c r="I16" s="410" t="s">
        <v>311</v>
      </c>
      <c r="J16" s="410"/>
      <c r="K16" s="410"/>
      <c r="L16" s="417" t="n">
        <v>0</v>
      </c>
      <c r="M16" s="68" t="s">
        <v>312</v>
      </c>
      <c r="N16" s="68"/>
      <c r="O16" s="68"/>
    </row>
    <row r="17" customFormat="false" ht="12" hidden="false" customHeight="true" outlineLevel="0" collapsed="false">
      <c r="A17" s="68"/>
      <c r="B17" s="409" t="n">
        <v>44291</v>
      </c>
      <c r="C17" s="68"/>
      <c r="D17" s="410" t="s">
        <v>313</v>
      </c>
      <c r="E17" s="410"/>
      <c r="F17" s="410"/>
      <c r="G17" s="411" t="n">
        <v>0.25</v>
      </c>
      <c r="H17" s="68"/>
      <c r="I17" s="68"/>
      <c r="J17" s="68"/>
      <c r="K17" s="68"/>
      <c r="L17" s="418" t="n">
        <v>3.05</v>
      </c>
      <c r="M17" s="68"/>
      <c r="N17" s="68"/>
      <c r="O17" s="68"/>
    </row>
    <row r="18" customFormat="false" ht="12" hidden="false" customHeight="true" outlineLevel="0" collapsed="false">
      <c r="A18" s="68"/>
      <c r="B18" s="402" t="n">
        <v>44316</v>
      </c>
      <c r="C18" s="68"/>
      <c r="D18" s="68"/>
      <c r="E18" s="68"/>
      <c r="F18" s="68"/>
      <c r="G18" s="407"/>
      <c r="H18" s="68"/>
      <c r="I18" s="68"/>
      <c r="J18" s="68"/>
      <c r="K18" s="68"/>
      <c r="L18" s="68"/>
      <c r="M18" s="68"/>
      <c r="N18" s="68"/>
      <c r="O18" s="68"/>
    </row>
    <row r="19" customFormat="false" ht="12" hidden="false" customHeight="true" outlineLevel="0" collapsed="false">
      <c r="A19" s="68"/>
      <c r="B19" s="402" t="n">
        <v>44347</v>
      </c>
      <c r="C19" s="68"/>
      <c r="D19" s="403" t="s">
        <v>314</v>
      </c>
      <c r="E19" s="403"/>
      <c r="F19" s="407" t="s">
        <v>315</v>
      </c>
      <c r="G19" s="407" t="s">
        <v>316</v>
      </c>
      <c r="H19" s="68"/>
      <c r="I19" s="419" t="s">
        <v>317</v>
      </c>
      <c r="J19" s="419"/>
      <c r="K19" s="419"/>
      <c r="L19" s="68"/>
      <c r="M19" s="420" t="s">
        <v>318</v>
      </c>
      <c r="N19" s="68"/>
      <c r="O19" s="68"/>
    </row>
    <row r="20" customFormat="false" ht="12" hidden="false" customHeight="true" outlineLevel="0" collapsed="false">
      <c r="A20" s="68"/>
      <c r="B20" s="402" t="n">
        <v>44377</v>
      </c>
      <c r="C20" s="68"/>
      <c r="D20" s="401"/>
      <c r="E20" s="401"/>
      <c r="F20" s="407"/>
      <c r="G20" s="407"/>
      <c r="H20" s="68"/>
      <c r="I20" s="419"/>
      <c r="J20" s="419"/>
      <c r="K20" s="419"/>
      <c r="L20" s="421" t="n">
        <v>0.09</v>
      </c>
      <c r="M20" s="420"/>
      <c r="N20" s="413" t="n">
        <v>9500</v>
      </c>
      <c r="O20" s="407" t="s">
        <v>28</v>
      </c>
    </row>
    <row r="21" customFormat="false" ht="12" hidden="false" customHeight="true" outlineLevel="0" collapsed="false">
      <c r="A21" s="68"/>
      <c r="B21" s="402" t="n">
        <v>44592</v>
      </c>
      <c r="C21" s="68"/>
      <c r="D21" s="410" t="s">
        <v>319</v>
      </c>
      <c r="E21" s="410"/>
      <c r="F21" s="413" t="n">
        <v>10000</v>
      </c>
      <c r="G21" s="417" t="n">
        <v>0.45</v>
      </c>
      <c r="H21" s="68"/>
      <c r="I21" s="422"/>
      <c r="J21" s="422"/>
      <c r="K21" s="422"/>
      <c r="L21" s="416"/>
      <c r="M21" s="68"/>
      <c r="N21" s="68"/>
      <c r="O21" s="68"/>
    </row>
    <row r="22" customFormat="false" ht="12" hidden="false" customHeight="true" outlineLevel="0" collapsed="false">
      <c r="A22" s="68"/>
      <c r="B22" s="402" t="n">
        <v>44773</v>
      </c>
      <c r="C22" s="68"/>
      <c r="D22" s="68" t="s">
        <v>320</v>
      </c>
      <c r="E22" s="68"/>
      <c r="F22" s="413" t="n">
        <v>10001</v>
      </c>
      <c r="G22" s="417" t="n">
        <v>0.25</v>
      </c>
      <c r="H22" s="68"/>
      <c r="I22" s="419" t="s">
        <v>321</v>
      </c>
      <c r="J22" s="419"/>
      <c r="K22" s="419"/>
      <c r="L22" s="68"/>
      <c r="M22" s="420" t="s">
        <v>322</v>
      </c>
      <c r="N22" s="68"/>
      <c r="O22" s="68"/>
    </row>
    <row r="23" customFormat="false" ht="12" hidden="false" customHeight="true" outlineLevel="0" collapsed="false">
      <c r="A23" s="68"/>
      <c r="B23" s="409" t="s">
        <v>323</v>
      </c>
      <c r="C23" s="68"/>
      <c r="D23" s="68"/>
      <c r="E23" s="68"/>
      <c r="F23" s="407"/>
      <c r="G23" s="418"/>
      <c r="H23" s="68"/>
      <c r="I23" s="419"/>
      <c r="J23" s="419"/>
      <c r="K23" s="419"/>
      <c r="L23" s="421" t="n">
        <v>0.02</v>
      </c>
      <c r="M23" s="420"/>
      <c r="N23" s="413" t="n">
        <v>50000</v>
      </c>
      <c r="O23" s="407" t="s">
        <v>28</v>
      </c>
    </row>
    <row r="24" customFormat="false" ht="12" hidden="false" customHeight="true" outlineLevel="0" collapsed="false">
      <c r="A24" s="68"/>
      <c r="B24" s="409" t="s">
        <v>324</v>
      </c>
      <c r="C24" s="68"/>
      <c r="D24" s="403" t="s">
        <v>314</v>
      </c>
      <c r="E24" s="403"/>
      <c r="F24" s="68"/>
      <c r="G24" s="68"/>
      <c r="H24" s="68"/>
      <c r="I24" s="68"/>
      <c r="J24" s="68"/>
      <c r="K24" s="68"/>
      <c r="L24" s="68"/>
      <c r="M24" s="68"/>
      <c r="N24" s="68"/>
      <c r="O24" s="68"/>
    </row>
    <row r="25" customFormat="false" ht="12" hidden="false" customHeight="true" outlineLevel="0" collapsed="false">
      <c r="A25" s="68"/>
      <c r="B25" s="68"/>
      <c r="C25" s="68"/>
      <c r="D25" s="68"/>
      <c r="E25" s="68"/>
      <c r="F25" s="68"/>
      <c r="G25" s="68"/>
      <c r="H25" s="68"/>
      <c r="I25" s="68"/>
      <c r="J25" s="68"/>
      <c r="K25" s="68"/>
      <c r="L25" s="68"/>
      <c r="M25" s="68"/>
      <c r="N25" s="68"/>
      <c r="O25" s="68"/>
    </row>
    <row r="26" customFormat="false" ht="12" hidden="false" customHeight="true" outlineLevel="0" collapsed="false">
      <c r="A26" s="68"/>
      <c r="B26" s="423"/>
      <c r="C26" s="68"/>
      <c r="D26" s="410" t="s">
        <v>325</v>
      </c>
      <c r="E26" s="410"/>
      <c r="F26" s="413" t="n">
        <v>85000</v>
      </c>
      <c r="G26" s="68"/>
      <c r="H26" s="68"/>
      <c r="I26" s="68"/>
      <c r="J26" s="68"/>
      <c r="K26" s="68"/>
      <c r="L26" s="68"/>
      <c r="M26" s="68"/>
      <c r="N26" s="68"/>
      <c r="O26" s="68"/>
    </row>
    <row r="27" customFormat="false" ht="12" hidden="false" customHeight="false" outlineLevel="0" collapsed="false">
      <c r="A27" s="68"/>
      <c r="B27" s="423"/>
      <c r="C27" s="68"/>
      <c r="D27" s="68"/>
      <c r="E27" s="68"/>
      <c r="F27" s="68"/>
      <c r="G27" s="407"/>
      <c r="H27" s="68"/>
      <c r="I27" s="68"/>
      <c r="J27" s="68"/>
      <c r="K27" s="68"/>
      <c r="L27" s="68"/>
      <c r="M27" s="68"/>
      <c r="N27" s="68"/>
      <c r="O27" s="68"/>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Terry Cartwright</dc:creator>
  <dc:description/>
  <dc:language>en-US</dc:language>
  <cp:lastModifiedBy>Cartwright, Antony</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