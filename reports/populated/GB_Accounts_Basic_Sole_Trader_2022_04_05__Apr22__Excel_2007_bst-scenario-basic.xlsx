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19.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29.xml" ContentType="application/vnd.openxmlformats-officedocument.spreadsheetml.worksheet+xml"/>
  <Override PartName="/xl/worksheets/sheet24.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20.xml" ContentType="application/vnd.openxmlformats-officedocument.spreadsheetml.worksheet+xml"/>
  <Override PartName="/xl/worksheets/sheet27.xml" ContentType="application/vnd.openxmlformats-officedocument.spreadsheetml.worksheet+xml"/>
  <Override PartName="/xl/worksheets/sheet22.xml" ContentType="application/vnd.openxmlformats-officedocument.spreadsheetml.worksheet+xml"/>
  <Override PartName="/xl/worksheets/sheet28.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1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3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<sst xmlns="http://schemas.openxmlformats.org/spreadsheetml/2006/main" count="1163" uniqueCount="341">
  <si>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</si>
  <si>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</si>
  <si>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</si>
  <si>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</si>
  <si>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</si>
  <si>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</si>
  <si>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</si>
  <si>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</si>
  <si>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</si>
  <si>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</si>
  <si>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</si>
  <si>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</si>
  <si>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</si>
  <si>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</si>
  <si>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</si>
  <si>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</si>
  <si>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</si>
  <si>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</si>
  <si>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</si>
  <si>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</si>
  <si>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</si>
  <si>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</si>
  <si>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</si>
  <si>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</si>
  <si>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</si>
  <si>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</si>
  <si>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</si>
  <si>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</si>
  <si>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</si>
  <si>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</si>
  <si>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</si>
  <si>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</si>
  <si>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</si>
  <si>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</si>
  <si>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</si>
  <si>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</si>
  <si>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</si>
  <si>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</si>
  <si>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</si>
  <si>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</si>
  <si>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</si>
  <si>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</si>
  <si>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</si>
  <si>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</si>
  <si>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</si>
  <si>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</si>
  <si>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</si>
  <si>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</si>
  <si>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</si>
  <si>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</si>
  <si>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</si>
  <si>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</si>
  <si>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</si>
  <si>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</si>
  <si>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</si>
  <si>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</si>
  <si>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</si>
  <si>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</si>
  <si>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</si>
  <si>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</si>
  <si>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</si>
  <si>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</si>
  <si>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</si>
  <si>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</si>
  <si>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</si>
  <si>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</si>
  <si>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</si>
  <si>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</si>
  <si>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</si>
  <si>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</si>
  <si>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</si>
  <si>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</si>
  <si>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</si>
  <si>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</si>
  <si>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</si>
  <si>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</si>
  <si>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</si>
  <si>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</si>
  <si>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</si>
  <si>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</si>
  <si>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</si>
  <si>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</si>
  <si>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</si>
  <si>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</si>
  <si>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</si>
  <si>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</si>
  <si>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</si>
  <si>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</si>
  <si>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</si>
  <si>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</si>
  <si>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</si>
  <si>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</si>
  <si>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</si>
  <si>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</si>
  <si>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</si>
  <si>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</si>
  <si>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</si>
  <si>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</si>
  <si>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</si>
  <si>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</si>
  <si>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</si>
  <si>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</si>
  <si>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</si>
  <si>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</si>
  <si>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</si>
  <si>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</si>
  <si>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</si>
  <si>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</si>
  <si>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</si>
  <si>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</si>
  <si>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</si>
  <si>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</si>
  <si>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</si>
  <si>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</si>
  <si>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</si>
  <si>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</si>
  <si>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</si>
  <si>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</si>
  <si>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</si>
  <si>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</si>
  <si>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</si>
  <si>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</si>
  <si>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</si>
  <si>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</si>
  <si>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</si>
  <si>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</si>
  <si>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</si>
  <si>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</si>
  <si>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</si>
  <si>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</si>
  <si>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</si>
  <si>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</si>
  <si>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</si>
  <si>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</si>
  <si>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</si>
  <si>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</si>
  <si>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</si>
  <si>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</si>
  <si>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</si>
  <si>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</si>
  <si>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</si>
  <si>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</si>
  <si>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</si>
  <si>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</si>
  <si>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</si>
  <si>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</si>
  <si>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</si>
  <si>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</si>
  <si>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</si>
  <si>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</si>
  <si>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</si>
  <si>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</si>
  <si>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</si>
  <si>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</si>
  <si>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</si>
  <si>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</si>
  <si>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</si>
  <si>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</si>
  <si>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</si>
  <si>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</si>
  <si>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</si>
  <si>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</si>
  <si>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</si>
  <si>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</si>
  <si>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</si>
  <si>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</si>
  <si>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</si>
  <si>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</si>
  <si>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</si>
  <si>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</si>
  <si>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</si>
  <si>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</si>
  <si>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</si>
  <si>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</si>
  <si>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</si>
  <si>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</si>
  <si>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</si>
  <si>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</si>
  <si>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</si>
  <si>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</si>
  <si>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</si>
  <si>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</si>
  <si>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</si>
  <si>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</si>
  <si>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</si>
  <si>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</si>
  <si>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</si>
  <si>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</si>
  <si>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</si>
  <si>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</si>
  <si>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</si>
  <si>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</si>
  <si>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</si>
  <si>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</si>
  <si>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</si>
  <si>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</si>
  <si>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</si>
  <si>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</si>
  <si>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</si>
  <si>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</si>
  <si>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</si>
  <si>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</si>
  <si>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</si>
  <si>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</si>
  <si>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</si>
  <si>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</si>
  <si>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</si>
  <si>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</si>
  <si>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</si>
  <si>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</si>
  <si>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</si>
  <si>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</si>
  <si>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</si>
  <si>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</si>
  <si>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</si>
  <si>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</si>
  <si>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</si>
  <si>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</si>
  <si>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</si>
  <si>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</si>
  <si>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</si>
  <si>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</si>
  <si>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</si>
  <si>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</si>
  <si>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</si>
  <si>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</si>
  <si>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</si>
  <si>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</si>
  <si>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</si>
  <si>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</si>
  <si>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</si>
  <si>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</si>
  <si>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</si>
  <si>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</si>
  <si>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</si>
  <si>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</si>
  <si>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</si>
  <si>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</si>
  <si>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</si>
  <si>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</si>
  <si>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</si>
  <si>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</si>
  <si>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</si>
  <si>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</si>
  <si>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</si>
  <si>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</si>
  <si>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</si>
  <si>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</si>
  <si>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</si>
  <si>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</si>
  <si>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</si>
  <si>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</si>
  <si>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</si>
  <si>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</si>
  <si>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</si>
  <si>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</si>
  <si>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</si>
  <si>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</si>
  <si>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</si>
  <si>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</si>
  <si>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</si>
  <si>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</si>
  <si>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</si>
  <si>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</si>
  <si>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</si>
  <si>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</si>
  <si>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</si>
  <si>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</si>
  <si>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</si>
  <si>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</si>
  <si>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</si>
  <si>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</si>
  <si>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</si>
  <si>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</si>
  <si>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</si>
  <si>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</si>
  <si>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</si>
  <si>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</si>
  <si>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</si>
  <si>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</si>
  <si>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</si>
  <si>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</si>
  <si>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</si>
  <si>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</si>
  <si>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</si>
  <si>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</si>
  <si>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</si>
  <si>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</si>
  <si>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</si>
  <si>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</si>
  <si>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</si>
  <si>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</si>
  <si>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</si>
  <si>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</si>
  <si>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</si>
  <si>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</si>
  <si>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</si>
  <si>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</si>
  <si>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</si>
  <si>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</si>
  <si>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</si>
  <si>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</si>
  <si>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</si>
  <si>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</si>
  <si>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</si>
  <si>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</si>
  <si>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</si>
  <si>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</si>
  <si>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</si>
  <si>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</si>
  <si>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</si>
  <si>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</si>
  <si>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</si>
  <si>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</si>
  <si>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</si>
  <si>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</si>
  <si>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</si>
  <si>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</si>
  <si>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</si>
  <si>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</si>
  <si>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</si>
  <si>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</si>
  <si>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</si>
  <si>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</si>
  <si>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</si>
  <si>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</si>
  <si>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</si>
  <si>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</si>
  <si>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</si>
  <si>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</si>
  <si>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</si>
  <si>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</si>
  <si>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</si>
  <si>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</si>
  <si>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</si>
  <si>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</si>
  <si>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</si>
  <si>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2021-22</t>
  </si>
  <si>
    <t xml:space="preserve">2022-23</t>
  </si>
  <si>
    <t xml:space="preserve">VAT</t>
  </si>
  <si>
    <t xml:space="preserve">VAT Registration threshold</t>
  </si>
</sst>
</file>

<file path=xl/styles.xml><?xml version="1.0" encoding="utf-8"?>
<styleSheet xmlns="http://schemas.openxmlformats.org/spreadsheetml/2006/main">
  <numFmts count="16">
    <numFmt numFmtId="164" formatCode="General"/>
    <numFmt numFmtId="165" formatCode="dd/mm/yyyy"/>
    <numFmt numFmtId="166" formatCode="mmm\-yy"/>
    <numFmt numFmtId="167" formatCode="[$-F800]dddd&quot;, &quot;mmmm\ dd&quot;, &quot;yyyy"/>
    <numFmt numFmtId="168" formatCode="dd/mm/yyyy;@"/>
    <numFmt numFmtId="169" formatCode="#,##0"/>
    <numFmt numFmtId="170" formatCode="0"/>
    <numFmt numFmtId="171" formatCode="dd\-mmm\-yy"/>
    <numFmt numFmtId="172" formatCode="0.00_ ;[RED]\-0.00\ "/>
    <numFmt numFmtId="173" formatCode="#,##0_ ;[RED]\-#,##0\ "/>
    <numFmt numFmtId="174" formatCode="#,##0.00"/>
    <numFmt numFmtId="175" formatCode="0.00"/>
    <numFmt numFmtId="176" formatCode="#,##0.00_ ;[RED]\-#,##0.00\ "/>
    <numFmt numFmtId="177" formatCode="0_ ;[RED]\-0\ "/>
    <numFmt numFmtId="178" formatCode="0%"/>
    <numFmt numFmtId="179"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general" vertical="center" textRotation="0" wrapText="false" indent="0" shrinkToFit="false"/>
      <protection locked="true" hidden="true"/>
    </xf>
    <xf numFmtId="164"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9" fillId="0" borderId="7" xfId="0" applyFont="true" applyBorder="true" applyAlignment="true" applyProtection="true">
      <alignment horizontal="left"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4"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6" fontId="27" fillId="3" borderId="19" xfId="0" applyFont="true" applyBorder="true" applyAlignment="true" applyProtection="true">
      <alignment horizontal="center" vertical="bottom" textRotation="0" wrapText="false" indent="0" shrinkToFit="false"/>
      <protection locked="true" hidden="true"/>
    </xf>
    <xf numFmtId="166" fontId="27" fillId="3" borderId="20" xfId="0" applyFont="true" applyBorder="true" applyAlignment="true" applyProtection="true">
      <alignment horizontal="center" vertical="center" textRotation="0" wrapText="true" indent="0" shrinkToFit="false"/>
      <protection locked="true" hidden="true"/>
    </xf>
    <xf numFmtId="166" fontId="26" fillId="3" borderId="19" xfId="0" applyFont="true" applyBorder="true" applyAlignment="true" applyProtection="true">
      <alignment horizontal="center" vertical="center" textRotation="0" wrapText="true" indent="0" shrinkToFit="false"/>
      <protection locked="true" hidden="true"/>
    </xf>
    <xf numFmtId="166" fontId="26" fillId="3" borderId="0" xfId="0" applyFont="true" applyBorder="false" applyAlignment="true" applyProtection="true">
      <alignment horizontal="center" vertical="bottom" textRotation="0" wrapText="false" indent="0" shrinkToFit="false"/>
      <protection locked="true" hidden="true"/>
    </xf>
    <xf numFmtId="166"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27" fillId="3" borderId="21" xfId="0" applyFont="true" applyBorder="true" applyAlignment="true" applyProtection="true">
      <alignment horizontal="center" vertical="center" textRotation="0" wrapText="true" indent="0"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2" fontId="27" fillId="0" borderId="0" xfId="0" applyFont="true" applyBorder="false" applyAlignment="true" applyProtection="true">
      <alignment horizontal="center" vertical="bottom" textRotation="0" wrapText="true" indent="0" shrinkToFit="false"/>
      <protection locked="true" hidden="true"/>
    </xf>
    <xf numFmtId="173" fontId="27" fillId="0" borderId="19" xfId="0" applyFont="true" applyBorder="true" applyAlignment="true" applyProtection="true">
      <alignment horizontal="right" vertical="bottom" textRotation="0" wrapText="false" indent="1"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2" fontId="26" fillId="0" borderId="0" xfId="0" applyFont="true" applyBorder="false" applyAlignment="true" applyProtection="true">
      <alignment horizontal="center" vertical="bottom" textRotation="0" wrapText="true" indent="0" shrinkToFit="false"/>
      <protection locked="true" hidden="true"/>
    </xf>
    <xf numFmtId="173" fontId="26" fillId="3" borderId="0" xfId="0" applyFont="true" applyBorder="fals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3" fontId="26" fillId="0" borderId="19" xfId="0" applyFont="true" applyBorder="true" applyAlignment="true" applyProtection="true">
      <alignment horizontal="right" vertical="bottom" textRotation="0" wrapText="false" indent="1" shrinkToFit="false"/>
      <protection locked="true" hidden="true"/>
    </xf>
    <xf numFmtId="175" fontId="26"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2" fontId="27"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3" fontId="27" fillId="0" borderId="22" xfId="0" applyFont="true" applyBorder="true" applyAlignment="true" applyProtection="true">
      <alignment horizontal="right" vertical="bottom" textRotation="0" wrapText="false" indent="1" shrinkToFit="false"/>
      <protection locked="true" hidden="true"/>
    </xf>
    <xf numFmtId="173" fontId="26" fillId="0" borderId="23" xfId="0" applyFont="true" applyBorder="true" applyAlignment="true" applyProtection="true">
      <alignment horizontal="right" vertical="bottom" textRotation="0" wrapText="false" indent="1" shrinkToFit="false"/>
      <protection locked="true" hidden="true"/>
    </xf>
    <xf numFmtId="173" fontId="26" fillId="3" borderId="24" xfId="0" applyFont="true" applyBorder="true" applyAlignment="true" applyProtection="true">
      <alignment horizontal="right" vertical="bottom" textRotation="0" wrapText="false" indent="1" shrinkToFit="false"/>
      <protection locked="true" hidden="true"/>
    </xf>
    <xf numFmtId="173" fontId="26" fillId="0" borderId="25" xfId="0" applyFont="true" applyBorder="true" applyAlignment="true" applyProtection="true">
      <alignment horizontal="right" vertical="bottom" textRotation="0" wrapText="false" indent="1"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3" fontId="27" fillId="0" borderId="26" xfId="0" applyFont="true" applyBorder="true" applyAlignment="true" applyProtection="true">
      <alignment horizontal="right" vertical="bottom" textRotation="0" wrapText="false" indent="1" shrinkToFit="false"/>
      <protection locked="true" hidden="true"/>
    </xf>
    <xf numFmtId="173"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true" applyProtection="true">
      <alignment horizontal="center"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5"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4" fontId="5" fillId="3" borderId="29" xfId="0" applyFont="true" applyBorder="true" applyAlignment="true" applyProtection="false">
      <alignment horizontal="left" vertical="center" textRotation="0" wrapText="true" indent="1" shrinkToFit="false"/>
      <protection locked="true" hidden="false"/>
    </xf>
    <xf numFmtId="175"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6" fontId="26" fillId="0" borderId="19" xfId="0" applyFont="true" applyBorder="tru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6" fontId="27" fillId="0" borderId="26" xfId="0" applyFont="true" applyBorder="true" applyAlignment="true" applyProtection="true">
      <alignment horizontal="center"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0" fontId="31" fillId="3" borderId="0" xfId="0" applyFont="true" applyBorder="false" applyAlignment="true" applyProtection="true">
      <alignment horizontal="center" vertical="bottom" textRotation="0" wrapText="false" indent="0"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7" fontId="32"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8"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3" fontId="26" fillId="3" borderId="26" xfId="0" applyFont="true" applyBorder="true" applyAlignment="true" applyProtection="true">
      <alignment horizontal="center" vertical="center" textRotation="0" wrapText="true" indent="0" shrinkToFit="false"/>
      <protection locked="true" hidden="true"/>
    </xf>
    <xf numFmtId="175" fontId="26" fillId="3" borderId="19" xfId="0" applyFont="true" applyBorder="true" applyAlignment="true" applyProtection="true">
      <alignment horizontal="center" vertical="bottom"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5" fontId="26" fillId="3" borderId="19" xfId="0" applyFont="true" applyBorder="true" applyAlignment="true" applyProtection="true">
      <alignment horizontal="center" vertical="bottom" textRotation="0" wrapText="false" indent="0" shrinkToFit="false"/>
      <protection locked="true" hidden="true"/>
    </xf>
    <xf numFmtId="171"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29"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0" fontId="29" fillId="0" borderId="0" xfId="0" applyFont="true" applyBorder="false" applyAlignment="false" applyProtection="false">
      <alignment horizontal="general" vertical="bottom" textRotation="0" wrapText="false" indent="0" shrinkToFit="false"/>
      <protection locked="true" hidden="false"/>
    </xf>
    <xf numFmtId="176" fontId="29" fillId="0" borderId="0" xfId="0" applyFont="true" applyBorder="false" applyAlignment="fals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center" vertical="bottom" textRotation="0" wrapText="false" indent="0" shrinkToFit="false"/>
      <protection locked="true" hidden="false"/>
    </xf>
    <xf numFmtId="176" fontId="29" fillId="0" borderId="0" xfId="0" applyFont="true" applyBorder="false" applyAlignment="true" applyProtection="false">
      <alignment horizontal="center" vertical="bottom" textRotation="0" wrapText="false" indent="0" shrinkToFit="false"/>
      <protection locked="true" hidden="false"/>
    </xf>
    <xf numFmtId="170"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6" fontId="33" fillId="3" borderId="19" xfId="0" applyFont="true" applyBorder="true" applyAlignment="true" applyProtection="false">
      <alignment horizontal="center" vertical="bottom" textRotation="0" wrapText="false" indent="0" shrinkToFit="false"/>
      <protection locked="true" hidden="false"/>
    </xf>
    <xf numFmtId="176" fontId="33" fillId="3" borderId="31" xfId="0" applyFont="true" applyBorder="true" applyAlignment="true" applyProtection="false">
      <alignment horizontal="center" vertical="bottom" textRotation="0" wrapText="false" indent="0" shrinkToFit="false"/>
      <protection locked="true" hidden="false"/>
    </xf>
    <xf numFmtId="178" fontId="34" fillId="3" borderId="31" xfId="0" applyFont="true" applyBorder="true" applyAlignment="true" applyProtection="false">
      <alignment horizontal="center" vertical="center" textRotation="0" wrapText="true" indent="0" shrinkToFit="false"/>
      <protection locked="true" hidden="false"/>
    </xf>
    <xf numFmtId="170" fontId="29" fillId="3" borderId="32" xfId="0" applyFont="true" applyBorder="true" applyAlignment="true" applyProtection="false">
      <alignment horizontal="center" vertical="center" textRotation="0" wrapText="true" indent="0" shrinkToFit="false"/>
      <protection locked="true" hidden="false"/>
    </xf>
    <xf numFmtId="176" fontId="33" fillId="3" borderId="32" xfId="0" applyFont="true" applyBorder="true" applyAlignment="true" applyProtection="false">
      <alignment horizontal="center" vertical="bottom" textRotation="0" wrapText="false" indent="0" shrinkToFit="false"/>
      <protection locked="true" hidden="false"/>
    </xf>
    <xf numFmtId="171"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0" fontId="29" fillId="3" borderId="19" xfId="0" applyFont="true" applyBorder="true" applyAlignment="true" applyProtection="false">
      <alignment horizontal="center" vertical="center" textRotation="0" wrapText="true" indent="0" shrinkToFit="false"/>
      <protection locked="true" hidden="false"/>
    </xf>
    <xf numFmtId="176" fontId="29" fillId="3" borderId="19" xfId="0" applyFont="true" applyBorder="true" applyAlignment="true" applyProtection="false">
      <alignment horizontal="center" vertical="center" textRotation="0" wrapText="true" indent="0" shrinkToFit="false"/>
      <protection locked="true" hidden="false"/>
    </xf>
    <xf numFmtId="176"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1" fontId="34" fillId="3" borderId="19" xfId="0" applyFont="true" applyBorder="true" applyAlignment="true" applyProtection="false">
      <alignment horizontal="center" vertical="center" textRotation="0" wrapText="true" indent="0" shrinkToFit="false"/>
      <protection locked="true" hidden="false"/>
    </xf>
    <xf numFmtId="178" fontId="35" fillId="3" borderId="21" xfId="0" applyFont="true" applyBorder="true" applyAlignment="true" applyProtection="false">
      <alignment horizontal="center" vertical="bottom" textRotation="0" wrapText="true" indent="0" shrinkToFit="false"/>
      <protection locked="true" hidden="false"/>
    </xf>
    <xf numFmtId="178"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0"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8" fontId="29" fillId="3" borderId="0" xfId="0" applyFont="true" applyBorder="fals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center" vertical="center" textRotation="0" wrapText="false" indent="0" shrinkToFit="false"/>
      <protection locked="true" hidden="false"/>
    </xf>
    <xf numFmtId="178"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7" fontId="35" fillId="3" borderId="29" xfId="0" applyFont="true" applyBorder="true" applyAlignment="true" applyProtection="false">
      <alignment horizontal="center" vertical="center" textRotation="0" wrapText="true" indent="0" shrinkToFit="false"/>
      <protection locked="true" hidden="false"/>
    </xf>
    <xf numFmtId="176" fontId="29" fillId="3" borderId="0" xfId="0" applyFont="true" applyBorder="false" applyAlignment="true" applyProtection="false">
      <alignment horizontal="left" vertical="center" textRotation="0" wrapText="false" indent="2" shrinkToFit="false"/>
      <protection locked="true" hidden="false"/>
    </xf>
    <xf numFmtId="178" fontId="29" fillId="3" borderId="0" xfId="0" applyFont="true" applyBorder="false" applyAlignment="true" applyProtection="false">
      <alignment horizontal="center" vertical="center" textRotation="0" wrapText="false" indent="0" shrinkToFit="false"/>
      <protection locked="true" hidden="false"/>
    </xf>
    <xf numFmtId="176" fontId="29" fillId="3" borderId="0" xfId="0" applyFont="true" applyBorder="false" applyAlignment="true" applyProtection="false">
      <alignment horizontal="center" vertical="bottom" textRotation="0" wrapText="false" indent="0" shrinkToFit="false"/>
      <protection locked="true" hidden="false"/>
    </xf>
    <xf numFmtId="170"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6"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0" fontId="29" fillId="3" borderId="0" xfId="0" applyFont="true" applyBorder="false" applyAlignment="true" applyProtection="false">
      <alignment horizontal="general" vertical="center"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0" fontId="29" fillId="0" borderId="19" xfId="0" applyFont="true" applyBorder="true" applyAlignment="false" applyProtection="false">
      <alignment horizontal="general" vertical="bottom" textRotation="0" wrapText="false" indent="0" shrinkToFit="false"/>
      <protection locked="true" hidden="false"/>
    </xf>
    <xf numFmtId="176" fontId="29" fillId="0" borderId="19" xfId="0" applyFont="true" applyBorder="true" applyAlignment="false" applyProtection="false">
      <alignment horizontal="general" vertical="bottom" textRotation="0" wrapText="false" indent="0" shrinkToFit="false"/>
      <protection locked="true" hidden="false"/>
    </xf>
    <xf numFmtId="178" fontId="29" fillId="3" borderId="0" xfId="0" applyFont="true" applyBorder="false" applyAlignment="true" applyProtection="false">
      <alignment horizontal="center" vertical="bottom" textRotation="0" wrapText="false" indent="0" shrinkToFit="false"/>
      <protection locked="true" hidden="false"/>
    </xf>
    <xf numFmtId="171" fontId="29" fillId="3" borderId="36" xfId="0" applyFont="true" applyBorder="true" applyAlignment="true" applyProtection="false">
      <alignment horizontal="left" vertical="bottom" textRotation="0" wrapText="true" indent="7" shrinkToFit="false"/>
      <protection locked="true" hidden="false"/>
    </xf>
    <xf numFmtId="176" fontId="29" fillId="3" borderId="21" xfId="0" applyFont="true" applyBorder="true" applyAlignment="false" applyProtection="false">
      <alignment horizontal="general" vertical="bottom" textRotation="0" wrapText="false" indent="0" shrinkToFit="false"/>
      <protection locked="true" hidden="false"/>
    </xf>
    <xf numFmtId="176" fontId="29" fillId="3" borderId="19" xfId="0" applyFont="true" applyBorder="true" applyAlignment="false" applyProtection="false">
      <alignment horizontal="general" vertical="bottom" textRotation="0" wrapText="false" indent="0" shrinkToFit="false"/>
      <protection locked="true" hidden="false"/>
    </xf>
    <xf numFmtId="170" fontId="29" fillId="3" borderId="0" xfId="0" applyFont="true" applyBorder="false" applyAlignment="false" applyProtection="false">
      <alignment horizontal="general" vertical="bottom" textRotation="0" wrapText="false" indent="0" shrinkToFit="false"/>
      <protection locked="true" hidden="false"/>
    </xf>
    <xf numFmtId="171"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6" fontId="29" fillId="0" borderId="19" xfId="0" applyFont="true" applyBorder="true" applyAlignment="true" applyProtection="false">
      <alignment horizontal="center" vertical="bottom" textRotation="0" wrapText="false" indent="0" shrinkToFit="false"/>
      <protection locked="true" hidden="false"/>
    </xf>
    <xf numFmtId="170"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69" fontId="33" fillId="3" borderId="0" xfId="0" applyFont="true" applyBorder="false" applyAlignment="true" applyProtection="false">
      <alignment horizontal="left" vertical="bottom" textRotation="0" wrapText="false" indent="0" shrinkToFit="false"/>
      <protection locked="true" hidden="false"/>
    </xf>
    <xf numFmtId="178"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8"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6" fontId="29" fillId="3" borderId="26" xfId="0" applyFont="true" applyBorder="tru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0" fontId="33" fillId="3" borderId="0" xfId="0" applyFont="true" applyBorder="false" applyAlignment="true" applyProtection="false">
      <alignment horizontal="general" vertical="bottom" textRotation="0" wrapText="true" indent="0" shrinkToFit="false"/>
      <protection locked="true" hidden="false"/>
    </xf>
    <xf numFmtId="170" fontId="33" fillId="0" borderId="19" xfId="0" applyFont="true" applyBorder="true" applyAlignment="false" applyProtection="false">
      <alignment horizontal="general" vertical="bottom" textRotation="0" wrapText="false" indent="0" shrinkToFit="false"/>
      <protection locked="true" hidden="false"/>
    </xf>
    <xf numFmtId="170" fontId="29" fillId="3" borderId="19" xfId="0" applyFont="true" applyBorder="true" applyAlignment="false" applyProtection="false">
      <alignment horizontal="general" vertical="bottom" textRotation="0" wrapText="false" indent="0" shrinkToFit="false"/>
      <protection locked="true" hidden="false"/>
    </xf>
    <xf numFmtId="164" fontId="33" fillId="3" borderId="27" xfId="0" applyFont="true" applyBorder="true" applyAlignment="true" applyProtection="false">
      <alignment horizontal="right" vertical="center" textRotation="0" wrapText="true" indent="0" shrinkToFit="false"/>
      <protection locked="true" hidden="false"/>
    </xf>
    <xf numFmtId="176"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0" fontId="29" fillId="3" borderId="38" xfId="0" applyFont="true" applyBorder="true" applyAlignment="false" applyProtection="false">
      <alignment horizontal="general" vertical="bottom" textRotation="0" wrapText="false" indent="0" shrinkToFit="false"/>
      <protection locked="true" hidden="false"/>
    </xf>
    <xf numFmtId="176" fontId="29" fillId="3" borderId="38" xfId="0" applyFont="true" applyBorder="true" applyAlignment="false" applyProtection="false">
      <alignment horizontal="general" vertical="bottom" textRotation="0" wrapText="false" indent="0" shrinkToFit="false"/>
      <protection locked="true" hidden="false"/>
    </xf>
    <xf numFmtId="178" fontId="29" fillId="3" borderId="38" xfId="0" applyFont="true" applyBorder="true" applyAlignment="true" applyProtection="false">
      <alignment horizontal="center" vertical="bottom" textRotation="0" wrapText="false" indent="0" shrinkToFit="false"/>
      <protection locked="true" hidden="false"/>
    </xf>
    <xf numFmtId="176" fontId="29" fillId="3" borderId="38" xfId="0" applyFont="true" applyBorder="true" applyAlignment="true" applyProtection="false">
      <alignment horizontal="center" vertical="bottom" textRotation="0" wrapText="false" indent="0" shrinkToFit="false"/>
      <protection locked="true" hidden="false"/>
    </xf>
    <xf numFmtId="170"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1" fontId="9" fillId="0" borderId="0" xfId="21" applyFont="true" applyBorder="false" applyAlignment="false" applyProtection="false">
      <alignment horizontal="general" vertical="bottom" textRotation="0" wrapText="false" indent="0" shrinkToFit="false"/>
      <protection locked="true" hidden="false"/>
    </xf>
    <xf numFmtId="173"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1" fontId="9" fillId="3" borderId="0" xfId="21" applyFont="true" applyBorder="false" applyAlignment="false" applyProtection="false">
      <alignment horizontal="general" vertical="bottom" textRotation="0" wrapText="false" indent="0" shrinkToFit="false"/>
      <protection locked="true" hidden="false"/>
    </xf>
    <xf numFmtId="173" fontId="9" fillId="3" borderId="0" xfId="21" applyFont="true" applyBorder="false" applyAlignment="false" applyProtection="false">
      <alignment horizontal="general" vertical="bottom" textRotation="0" wrapText="false" indent="0" shrinkToFit="false"/>
      <protection locked="true" hidden="false"/>
    </xf>
    <xf numFmtId="171" fontId="10" fillId="3" borderId="19" xfId="21" applyFont="true" applyBorder="true" applyAlignment="true" applyProtection="false">
      <alignment horizontal="center" vertical="bottom" textRotation="0" wrapText="true" indent="0" shrinkToFit="false"/>
      <protection locked="true" hidden="false"/>
    </xf>
    <xf numFmtId="171" fontId="9" fillId="3" borderId="0" xfId="21" applyFont="true" applyBorder="false" applyAlignment="true" applyProtection="false">
      <alignment horizontal="center" vertical="bottom" textRotation="0" wrapText="true" indent="0" shrinkToFit="false"/>
      <protection locked="true" hidden="false"/>
    </xf>
    <xf numFmtId="173" fontId="10" fillId="3" borderId="19" xfId="21" applyFont="true" applyBorder="true" applyAlignment="true" applyProtection="false">
      <alignment horizontal="center" vertical="bottom" textRotation="0" wrapText="true" indent="0" shrinkToFit="false"/>
      <protection locked="true" hidden="false"/>
    </xf>
    <xf numFmtId="173" fontId="9" fillId="3" borderId="0" xfId="21" applyFont="true" applyBorder="false" applyAlignment="true" applyProtection="false">
      <alignment horizontal="center" vertical="bottom" textRotation="0" wrapText="true" indent="0" shrinkToFit="false"/>
      <protection locked="true" hidden="false"/>
    </xf>
    <xf numFmtId="171" fontId="10" fillId="3" borderId="40" xfId="21" applyFont="true" applyBorder="true" applyAlignment="true" applyProtection="false">
      <alignment horizontal="center" vertical="bottom" textRotation="0" wrapText="false" indent="0" shrinkToFit="false"/>
      <protection locked="true" hidden="false"/>
    </xf>
    <xf numFmtId="171" fontId="10" fillId="3" borderId="41" xfId="21" applyFont="true" applyBorder="true" applyAlignment="true" applyProtection="false">
      <alignment horizontal="left" vertical="bottom" textRotation="0" wrapText="false" indent="1" shrinkToFit="false"/>
      <protection locked="true" hidden="false"/>
    </xf>
    <xf numFmtId="171" fontId="9" fillId="3" borderId="0" xfId="21" applyFont="true" applyBorder="false" applyAlignment="true" applyProtection="false">
      <alignment horizontal="left" vertical="bottom" textRotation="0" wrapText="false" indent="1" shrinkToFit="false"/>
      <protection locked="true" hidden="false"/>
    </xf>
    <xf numFmtId="173" fontId="9" fillId="0" borderId="26" xfId="21" applyFont="true" applyBorder="true" applyAlignment="false" applyProtection="false">
      <alignment horizontal="general" vertical="bottom" textRotation="0" wrapText="false" indent="0" shrinkToFit="false"/>
      <protection locked="true" hidden="false"/>
    </xf>
    <xf numFmtId="171"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6"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6"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6"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false">
      <alignment horizontal="general" vertical="bottom" textRotation="0" wrapText="false" indent="0" shrinkToFit="false"/>
      <protection locked="true" hidden="false"/>
    </xf>
    <xf numFmtId="166" fontId="26" fillId="0" borderId="19" xfId="0" applyFont="true" applyBorder="true" applyAlignment="true" applyProtection="false">
      <alignment horizontal="center" vertical="bottom" textRotation="0" wrapText="false" indent="0" shrinkToFit="false"/>
      <protection locked="true" hidden="false"/>
    </xf>
    <xf numFmtId="176"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6" fontId="26" fillId="0" borderId="26" xfId="0" applyFont="true" applyBorder="true" applyAlignment="true" applyProtection="false">
      <alignment horizontal="center" vertical="center" textRotation="0" wrapText="tru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6" fontId="26" fillId="0" borderId="0" xfId="21" applyFont="true" applyBorder="false" applyAlignment="false" applyProtection="false">
      <alignment horizontal="general" vertical="bottom" textRotation="0" wrapText="false" indent="0" shrinkToFit="false"/>
      <protection locked="true" hidden="false"/>
    </xf>
    <xf numFmtId="170"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3" fontId="26" fillId="0" borderId="0" xfId="21" applyFont="true" applyBorder="false" applyAlignment="true" applyProtection="false">
      <alignment horizontal="center" vertical="bottom" textRotation="0" wrapText="false" indent="0" shrinkToFit="false"/>
      <protection locked="true" hidden="false"/>
    </xf>
    <xf numFmtId="176" fontId="28" fillId="0" borderId="0" xfId="21" applyFont="true" applyBorder="false" applyAlignment="true" applyProtection="false">
      <alignment horizontal="center" vertical="bottom" textRotation="0" wrapText="false" indent="0" shrinkToFit="false"/>
      <protection locked="true" hidden="false"/>
    </xf>
    <xf numFmtId="170" fontId="28" fillId="0" borderId="0" xfId="21" applyFont="true" applyBorder="false" applyAlignment="true" applyProtection="false">
      <alignment horizontal="center" vertical="bottom" textRotation="0" wrapText="false" indent="0" shrinkToFit="false"/>
      <protection locked="true" hidden="false"/>
    </xf>
    <xf numFmtId="171" fontId="26" fillId="3" borderId="19" xfId="21" applyFont="true" applyBorder="true" applyAlignment="true" applyProtection="false">
      <alignment horizontal="center" vertical="center" textRotation="0" wrapText="true" indent="0" shrinkToFit="false"/>
      <protection locked="true" hidden="false"/>
    </xf>
    <xf numFmtId="176" fontId="26" fillId="3" borderId="19" xfId="21" applyFont="true" applyBorder="true" applyAlignment="true" applyProtection="false">
      <alignment horizontal="center" vertical="center" textRotation="0" wrapText="true" indent="0" shrinkToFit="false"/>
      <protection locked="true" hidden="false"/>
    </xf>
    <xf numFmtId="170" fontId="27" fillId="3" borderId="0" xfId="21" applyFont="true" applyBorder="false" applyAlignment="false" applyProtection="false">
      <alignment horizontal="general" vertical="bottom" textRotation="0" wrapText="false" indent="0" shrinkToFit="false"/>
      <protection locked="true" hidden="false"/>
    </xf>
    <xf numFmtId="176" fontId="27" fillId="3" borderId="19" xfId="21" applyFont="true" applyBorder="true" applyAlignment="true" applyProtection="false">
      <alignment horizontal="center" vertical="bottom" textRotation="0" wrapText="false" indent="0" shrinkToFit="false"/>
      <protection locked="true" hidden="false"/>
    </xf>
    <xf numFmtId="173" fontId="27" fillId="3" borderId="19" xfId="21" applyFont="true" applyBorder="true" applyAlignment="true" applyProtection="false">
      <alignment horizontal="center" vertical="bottom" textRotation="0" wrapText="false" indent="0" shrinkToFit="false"/>
      <protection locked="true" hidden="false"/>
    </xf>
    <xf numFmtId="176" fontId="27" fillId="5" borderId="19" xfId="21" applyFont="true" applyBorder="true" applyAlignment="true" applyProtection="false">
      <alignment horizontal="center" vertical="bottom" textRotation="0" wrapText="false" indent="0" shrinkToFit="false"/>
      <protection locked="true" hidden="false"/>
    </xf>
    <xf numFmtId="171" fontId="27" fillId="5" borderId="19" xfId="21" applyFont="true" applyBorder="true" applyAlignment="true" applyProtection="false">
      <alignment horizontal="center" vertical="bottom" textRotation="0" wrapText="false" indent="0" shrinkToFit="false"/>
      <protection locked="true" hidden="false"/>
    </xf>
    <xf numFmtId="176" fontId="27" fillId="3" borderId="30" xfId="21" applyFont="true" applyBorder="true" applyAlignment="true" applyProtection="false">
      <alignment horizontal="center" vertical="bottom" textRotation="0" wrapText="false" indent="0" shrinkToFit="false"/>
      <protection locked="true" hidden="false"/>
    </xf>
    <xf numFmtId="176" fontId="27" fillId="0" borderId="0" xfId="21" applyFont="true" applyBorder="false" applyAlignment="false" applyProtection="false">
      <alignment horizontal="general" vertical="bottom" textRotation="0" wrapText="false" indent="0" shrinkToFit="false"/>
      <protection locked="true" hidden="false"/>
    </xf>
    <xf numFmtId="170" fontId="26" fillId="3" borderId="21" xfId="21" applyFont="true" applyBorder="true" applyAlignment="true" applyProtection="false">
      <alignment horizontal="center" vertical="center" textRotation="0" wrapText="true" indent="0" shrinkToFit="false"/>
      <protection locked="true" hidden="false"/>
    </xf>
    <xf numFmtId="177" fontId="29" fillId="3" borderId="30" xfId="21" applyFont="true" applyBorder="true" applyAlignment="true" applyProtection="false">
      <alignment horizontal="center" vertical="center" textRotation="0" wrapText="true" indent="0" shrinkToFit="false"/>
      <protection locked="true" hidden="false"/>
    </xf>
    <xf numFmtId="173" fontId="26" fillId="3" borderId="19" xfId="21" applyFont="true" applyBorder="true" applyAlignment="true" applyProtection="false">
      <alignment horizontal="center" vertical="center" textRotation="0" wrapText="true" indent="0" shrinkToFit="false"/>
      <protection locked="true" hidden="false"/>
    </xf>
    <xf numFmtId="176" fontId="26" fillId="5" borderId="19" xfId="21" applyFont="true" applyBorder="true" applyAlignment="true" applyProtection="false">
      <alignment horizontal="center" vertical="center" textRotation="0" wrapText="true" indent="0" shrinkToFit="false"/>
      <protection locked="true" hidden="false"/>
    </xf>
    <xf numFmtId="170" fontId="26"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center" vertical="center" textRotation="0" wrapText="true" indent="0" shrinkToFit="false"/>
      <protection locked="true" hidden="false"/>
    </xf>
    <xf numFmtId="171" fontId="29" fillId="0" borderId="0" xfId="21" applyFont="true" applyBorder="false" applyAlignment="false" applyProtection="false">
      <alignment horizontal="general" vertical="bottom" textRotation="0" wrapText="false" indent="0" shrinkToFit="false"/>
      <protection locked="true" hidden="false"/>
    </xf>
    <xf numFmtId="176" fontId="26" fillId="0" borderId="38" xfId="21" applyFont="true" applyBorder="true" applyAlignment="false" applyProtection="false">
      <alignment horizontal="general" vertical="bottom" textRotation="0" wrapText="false" indent="0" shrinkToFit="false"/>
      <protection locked="true" hidden="false"/>
    </xf>
    <xf numFmtId="170" fontId="26" fillId="0" borderId="38" xfId="21" applyFont="true" applyBorder="tru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3" fontId="26" fillId="0" borderId="38" xfId="21" applyFont="true" applyBorder="true" applyAlignment="true" applyProtection="false">
      <alignment horizontal="center" vertical="bottom" textRotation="0" wrapText="false" indent="0" shrinkToFit="false"/>
      <protection locked="true" hidden="false"/>
    </xf>
    <xf numFmtId="176" fontId="28" fillId="0" borderId="38" xfId="21" applyFont="true" applyBorder="true" applyAlignment="true" applyProtection="false">
      <alignment horizontal="center" vertical="bottom" textRotation="0" wrapText="false" indent="0" shrinkToFit="false"/>
      <protection locked="true" hidden="false"/>
    </xf>
    <xf numFmtId="170" fontId="28" fillId="0" borderId="38" xfId="21" applyFont="true" applyBorder="true" applyAlignment="true" applyProtection="false">
      <alignment horizontal="center" vertical="bottom" textRotation="0" wrapText="false" indent="0" shrinkToFit="false"/>
      <protection locked="true" hidden="false"/>
    </xf>
    <xf numFmtId="171"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6" fontId="26" fillId="0" borderId="0" xfId="21" applyFont="true" applyBorder="false" applyAlignment="true" applyProtection="false">
      <alignment horizontal="right"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6" fontId="29" fillId="0" borderId="0" xfId="21" applyFont="true" applyBorder="false" applyAlignment="false" applyProtection="false">
      <alignment horizontal="general" vertical="bottom" textRotation="0" wrapText="false" indent="0" shrinkToFit="false"/>
      <protection locked="true" hidden="false"/>
    </xf>
    <xf numFmtId="176" fontId="26" fillId="3" borderId="19" xfId="21" applyFont="true" applyBorder="true" applyAlignment="true" applyProtection="false">
      <alignment horizontal="center" vertical="bottom" textRotation="0" wrapText="false" indent="0" shrinkToFit="false"/>
      <protection locked="true" hidden="false"/>
    </xf>
    <xf numFmtId="176" fontId="27" fillId="3" borderId="19" xfId="21" applyFont="true" applyBorder="true" applyAlignment="true" applyProtection="false">
      <alignment horizontal="center" vertical="center" textRotation="0" wrapText="false" indent="0" shrinkToFit="false"/>
      <protection locked="true" hidden="false"/>
    </xf>
    <xf numFmtId="176" fontId="28" fillId="3"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true" applyProtection="false">
      <alignment horizontal="center" vertical="bottom" textRotation="0" wrapText="false" indent="0" shrinkToFit="false"/>
      <protection locked="true" hidden="false"/>
    </xf>
    <xf numFmtId="171" fontId="26" fillId="5" borderId="19" xfId="21" applyFont="true" applyBorder="true" applyAlignment="true" applyProtection="false">
      <alignment horizontal="center" vertical="bottom" textRotation="0" wrapText="false" indent="0" shrinkToFit="false"/>
      <protection locked="true" hidden="false"/>
    </xf>
    <xf numFmtId="176" fontId="26" fillId="5" borderId="19" xfId="21" applyFont="true" applyBorder="true" applyAlignment="false" applyProtection="false">
      <alignment horizontal="general" vertical="bottom" textRotation="0" wrapText="false" indent="0" shrinkToFit="false"/>
      <protection locked="true" hidden="false"/>
    </xf>
    <xf numFmtId="176" fontId="33" fillId="3" borderId="19" xfId="21" applyFont="true" applyBorder="true" applyAlignment="true" applyProtection="false">
      <alignment horizontal="center" vertical="bottom" textRotation="0" wrapText="false" indent="0" shrinkToFit="false"/>
      <protection locked="true" hidden="false"/>
    </xf>
    <xf numFmtId="176" fontId="33" fillId="3" borderId="30" xfId="21" applyFont="true" applyBorder="true" applyAlignment="true" applyProtection="false">
      <alignment horizontal="center" vertical="bottom" textRotation="0" wrapText="false" indent="0" shrinkToFit="false"/>
      <protection locked="true" hidden="false"/>
    </xf>
    <xf numFmtId="171" fontId="29" fillId="3" borderId="19" xfId="21" applyFont="true" applyBorder="true" applyAlignment="true" applyProtection="false">
      <alignment horizontal="center" vertical="center" textRotation="0" wrapText="true" indent="0" shrinkToFit="false"/>
      <protection locked="true" hidden="false"/>
    </xf>
    <xf numFmtId="176"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6" fontId="29" fillId="3" borderId="19" xfId="21" applyFont="true" applyBorder="true" applyAlignment="true" applyProtection="false">
      <alignment horizontal="center" vertical="center" textRotation="0" wrapText="true" indent="0" shrinkToFit="false"/>
      <protection locked="true" hidden="false"/>
    </xf>
    <xf numFmtId="176" fontId="29" fillId="5"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64"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6"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6" fontId="26" fillId="3" borderId="19" xfId="21" applyFont="true" applyBorder="true" applyAlignment="true" applyProtection="false">
      <alignment horizontal="right" vertical="bottom" textRotation="0" wrapText="false" indent="0" shrinkToFit="false"/>
      <protection locked="true" hidden="false"/>
    </xf>
    <xf numFmtId="176" fontId="33" fillId="3" borderId="30" xfId="21" applyFont="true" applyBorder="true" applyAlignment="true" applyProtection="false">
      <alignment horizontal="center" vertical="center" textRotation="0" wrapText="true" indent="0" shrinkToFit="false"/>
      <protection locked="true" hidden="false"/>
    </xf>
    <xf numFmtId="176"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6" fontId="33" fillId="5" borderId="19" xfId="21" applyFont="true" applyBorder="true" applyAlignment="true" applyProtection="false">
      <alignment horizontal="center" vertical="center" textRotation="0" wrapText="true" indent="0" shrinkToFit="false"/>
      <protection locked="true" hidden="false"/>
    </xf>
    <xf numFmtId="175"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6" fontId="26" fillId="0" borderId="38" xfId="21" applyFont="true" applyBorder="true" applyAlignment="true" applyProtection="false">
      <alignment horizontal="right"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6" fontId="29" fillId="0" borderId="38" xfId="21" applyFont="true" applyBorder="true" applyAlignment="false" applyProtection="false">
      <alignment horizontal="general" vertical="bottom" textRotation="0" wrapText="false" indent="0" shrinkToFit="false"/>
      <protection locked="true" hidden="false"/>
    </xf>
    <xf numFmtId="175" fontId="12" fillId="3" borderId="0" xfId="21" applyFont="true" applyBorder="false" applyAlignment="false" applyProtection="false">
      <alignment horizontal="general" vertical="bottom" textRotation="0" wrapText="false" indent="0" shrinkToFit="false"/>
      <protection locked="true" hidden="false"/>
    </xf>
    <xf numFmtId="174" fontId="26" fillId="3" borderId="19"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false" applyProtection="false">
      <alignment horizontal="general"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1"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8" fontId="9" fillId="0" borderId="19" xfId="0" applyFont="true" applyBorder="true" applyAlignment="true" applyProtection="true">
      <alignment horizontal="center" vertical="bottom" textRotation="0" wrapText="false" indent="0" shrinkToFit="false"/>
      <protection locked="true" hidden="true"/>
    </xf>
    <xf numFmtId="170"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8" fontId="9" fillId="3" borderId="0" xfId="0" applyFont="true" applyBorder="false" applyAlignment="true" applyProtection="true">
      <alignment horizontal="center" vertical="bottom" textRotation="0" wrapText="false" indent="0" shrinkToFit="false"/>
      <protection locked="true" hidden="true"/>
    </xf>
    <xf numFmtId="175"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5" fontId="9" fillId="3" borderId="0" xfId="0" applyFont="true" applyBorder="false" applyAlignment="true" applyProtection="true">
      <alignment horizontal="center" vertical="bottom" textRotation="0" wrapText="fals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W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customHeight="false"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customFormat="false" ht="54.75" hidden="false" customHeight="true" outlineLevel="0" collapsed="false">
      <c r="A4" s="5"/>
      <c r="B4" s="6" t="s">
        <v>1</v>
      </c>
      <c r="C4" s="6"/>
      <c r="D4" s="6"/>
      <c r="E4" s="6"/>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44292</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44656</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44656</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customFormat="fals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c r="X31" s="49"/>
      <c r="Y31" s="49"/>
      <c r="Z31" s="49"/>
      <c r="AA31" s="49"/>
      <c r="AB31" s="49"/>
      <c r="AC31" s="49"/>
      <c r="AD31" s="49"/>
      <c r="AE31" s="49"/>
      <c r="AF31" s="49"/>
      <c r="AG31" s="49"/>
      <c r="AH31" s="49"/>
      <c r="AI31" s="49"/>
      <c r="AJ31" s="49"/>
      <c r="AK31" s="49"/>
      <c r="AL31" s="49"/>
      <c r="AM31" s="49"/>
      <c r="AN31" s="49"/>
      <c r="AO31" s="49"/>
      <c r="AP31" s="49"/>
      <c r="AQ31" s="49"/>
      <c r="AR31" s="49"/>
      <c r="AS31" s="49"/>
      <c r="AT31" s="49"/>
      <c r="AU31" s="49"/>
      <c r="AV31" s="49"/>
      <c r="AW31" s="49"/>
      <c r="AX31" s="49"/>
      <c r="AY31" s="49"/>
      <c r="AZ31" s="49"/>
      <c r="BA31" s="49"/>
      <c r="BB31" s="49"/>
      <c r="BC31" s="49"/>
      <c r="BD31" s="49"/>
      <c r="BE31" s="49"/>
      <c r="BF31" s="49"/>
      <c r="BG31" s="49"/>
      <c r="BH31" s="49"/>
      <c r="BI31" s="49"/>
      <c r="BJ31" s="49"/>
      <c r="BK31" s="49"/>
      <c r="BL31" s="49"/>
      <c r="BM31" s="49"/>
      <c r="BN31" s="49"/>
      <c r="BO31" s="49"/>
      <c r="BP31" s="49"/>
      <c r="BQ31" s="49"/>
      <c r="BR31" s="49"/>
      <c r="BS31" s="49"/>
      <c r="BT31" s="49"/>
      <c r="BU31" s="49"/>
      <c r="BV31" s="49"/>
      <c r="BW31" s="49"/>
      <c r="BX31" s="49"/>
      <c r="BY31" s="49"/>
      <c r="BZ31" s="49"/>
      <c r="CA31" s="49"/>
      <c r="CB31" s="49"/>
      <c r="CC31" s="49"/>
      <c r="CD31" s="49"/>
      <c r="CE31" s="49"/>
      <c r="CF31" s="49"/>
      <c r="CG31" s="49"/>
      <c r="CH31" s="49"/>
      <c r="CI31" s="49"/>
      <c r="CJ31" s="49"/>
      <c r="CK31" s="49"/>
      <c r="CL31" s="49"/>
      <c r="CM31" s="49"/>
      <c r="CN31" s="49"/>
      <c r="CO31" s="49"/>
      <c r="CP31" s="49"/>
      <c r="CQ31" s="49"/>
      <c r="CR31" s="49"/>
      <c r="CS31" s="49"/>
      <c r="CT31" s="49"/>
      <c r="CU31" s="49"/>
      <c r="CV31" s="49"/>
      <c r="CW31" s="49"/>
      <c r="CX31" s="49"/>
      <c r="CY31" s="49"/>
      <c r="CZ31" s="49"/>
      <c r="DA31" s="49"/>
      <c r="DB31" s="49"/>
      <c r="DC31" s="49"/>
      <c r="DD31" s="49"/>
      <c r="DE31" s="49"/>
      <c r="DF31" s="49"/>
      <c r="DG31" s="49"/>
      <c r="DH31" s="49"/>
      <c r="DI31" s="49"/>
      <c r="DJ31" s="49"/>
      <c r="DK31" s="49"/>
      <c r="DL31" s="49"/>
      <c r="DM31" s="49"/>
      <c r="DN31" s="49"/>
      <c r="DO31" s="49"/>
      <c r="DP31" s="49"/>
      <c r="DQ31" s="49"/>
      <c r="DR31" s="49"/>
      <c r="DS31" s="49"/>
      <c r="DT31" s="49"/>
      <c r="DU31" s="49"/>
      <c r="DV31" s="49"/>
      <c r="DW31" s="49"/>
      <c r="DX31" s="49"/>
      <c r="DY31" s="49"/>
      <c r="DZ31" s="49"/>
      <c r="EA31" s="49"/>
      <c r="EB31" s="49"/>
      <c r="EC31" s="49"/>
      <c r="ED31" s="49"/>
      <c r="EE31" s="49"/>
      <c r="EF31" s="49"/>
      <c r="EG31" s="49"/>
      <c r="EH31" s="49"/>
      <c r="EI31" s="49"/>
      <c r="EJ31" s="49"/>
      <c r="EK31" s="49"/>
      <c r="EL31" s="49"/>
      <c r="EM31" s="49"/>
      <c r="EN31" s="49"/>
      <c r="EO31" s="49"/>
      <c r="EP31" s="49"/>
      <c r="EQ31" s="49"/>
      <c r="ER31" s="49"/>
      <c r="ES31" s="49"/>
      <c r="ET31" s="49"/>
      <c r="EU31" s="49"/>
      <c r="EV31" s="49"/>
      <c r="EW31" s="49"/>
      <c r="EX31" s="49"/>
      <c r="EY31" s="49"/>
      <c r="EZ31" s="49"/>
      <c r="FA31" s="49"/>
      <c r="FB31" s="49"/>
      <c r="FC31" s="49"/>
      <c r="FD31" s="49"/>
      <c r="FE31" s="49"/>
      <c r="FF31" s="49"/>
      <c r="FG31" s="49"/>
      <c r="FH31" s="49"/>
      <c r="FI31" s="49"/>
      <c r="FJ31" s="49"/>
      <c r="FK31" s="49"/>
      <c r="FL31" s="49"/>
      <c r="FM31" s="49"/>
      <c r="FN31" s="49"/>
      <c r="FO31" s="49"/>
      <c r="FP31" s="49"/>
      <c r="FQ31" s="49"/>
      <c r="FR31" s="49"/>
      <c r="FS31" s="49"/>
      <c r="FT31" s="49"/>
      <c r="FU31" s="49"/>
      <c r="FV31" s="49"/>
      <c r="FW31" s="49"/>
      <c r="FX31" s="49"/>
      <c r="FY31" s="49"/>
      <c r="FZ31" s="49"/>
      <c r="GA31" s="49"/>
      <c r="GB31" s="49"/>
      <c r="GC31" s="49"/>
      <c r="GD31" s="49"/>
      <c r="GE31" s="49"/>
      <c r="GF31" s="49"/>
      <c r="GG31" s="49"/>
      <c r="GH31" s="49"/>
      <c r="GI31" s="49"/>
      <c r="GJ31" s="49"/>
      <c r="GK31" s="49"/>
      <c r="GL31" s="49"/>
      <c r="GM31" s="49"/>
      <c r="GN31" s="49"/>
      <c r="GO31" s="49"/>
      <c r="GP31" s="49"/>
      <c r="GQ31" s="49"/>
      <c r="GR31" s="49"/>
      <c r="GS31" s="49"/>
      <c r="GT31" s="49"/>
      <c r="GU31" s="49"/>
      <c r="GV31" s="49"/>
      <c r="GW31" s="49"/>
      <c r="GX31" s="49"/>
      <c r="GY31" s="49"/>
      <c r="GZ31" s="49"/>
      <c r="HA31" s="49"/>
      <c r="HB31" s="49"/>
      <c r="HC31" s="49"/>
      <c r="HD31" s="49"/>
      <c r="HE31" s="49"/>
      <c r="HF31" s="49"/>
      <c r="HG31" s="49"/>
      <c r="HH31" s="49"/>
      <c r="HI31" s="49"/>
      <c r="HJ31" s="49"/>
      <c r="HK31" s="49"/>
      <c r="HL31" s="49"/>
      <c r="HM31" s="49"/>
      <c r="HN31" s="49"/>
      <c r="HO31" s="49"/>
      <c r="HP31" s="49"/>
      <c r="HQ31" s="49"/>
      <c r="HR31" s="49"/>
      <c r="HS31" s="49"/>
      <c r="HT31" s="49"/>
      <c r="HU31" s="49"/>
      <c r="HV31" s="49"/>
      <c r="HW31" s="49"/>
      <c r="HX31" s="49"/>
      <c r="HY31" s="49"/>
      <c r="HZ31" s="49"/>
      <c r="IA31" s="49"/>
      <c r="IB31" s="49"/>
      <c r="IC31" s="49"/>
      <c r="ID31" s="49"/>
      <c r="IE31" s="49"/>
      <c r="IF31" s="49"/>
      <c r="IG31" s="49"/>
      <c r="IH31" s="49"/>
      <c r="II31" s="49"/>
      <c r="IJ31" s="49"/>
      <c r="IK31" s="49"/>
      <c r="IL31" s="49"/>
      <c r="IM31" s="49"/>
      <c r="IN31" s="49"/>
      <c r="IO31" s="49"/>
      <c r="IP31" s="49"/>
      <c r="IQ31" s="49"/>
      <c r="IR31" s="49"/>
      <c r="IS31" s="49"/>
      <c r="IT31" s="49"/>
      <c r="IU31" s="49"/>
      <c r="IV31" s="49"/>
      <c r="IW31" s="49"/>
    </row>
    <row r="32" customFormat="fals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c r="X32" s="49"/>
      <c r="Y32" s="49"/>
      <c r="Z32" s="49"/>
      <c r="AA32" s="49"/>
      <c r="AB32" s="49"/>
      <c r="AC32" s="49"/>
      <c r="AD32" s="49"/>
      <c r="AE32" s="49"/>
      <c r="AF32" s="49"/>
      <c r="AG32" s="49"/>
      <c r="AH32" s="49"/>
      <c r="AI32" s="49"/>
      <c r="AJ32" s="49"/>
      <c r="AK32" s="49"/>
      <c r="AL32" s="49"/>
      <c r="AM32" s="49"/>
      <c r="AN32" s="49"/>
      <c r="AO32" s="49"/>
      <c r="AP32" s="49"/>
      <c r="AQ32" s="49"/>
      <c r="AR32" s="49"/>
      <c r="AS32" s="49"/>
      <c r="AT32" s="49"/>
      <c r="AU32" s="49"/>
      <c r="AV32" s="49"/>
      <c r="AW32" s="49"/>
      <c r="AX32" s="49"/>
      <c r="AY32" s="49"/>
      <c r="AZ32" s="49"/>
      <c r="BA32" s="49"/>
      <c r="BB32" s="49"/>
      <c r="BC32" s="49"/>
      <c r="BD32" s="49"/>
      <c r="BE32" s="49"/>
      <c r="BF32" s="49"/>
      <c r="BG32" s="49"/>
      <c r="BH32" s="49"/>
      <c r="BI32" s="49"/>
      <c r="BJ32" s="49"/>
      <c r="BK32" s="49"/>
      <c r="BL32" s="49"/>
      <c r="BM32" s="49"/>
      <c r="BN32" s="49"/>
      <c r="BO32" s="49"/>
      <c r="BP32" s="49"/>
      <c r="BQ32" s="49"/>
      <c r="BR32" s="49"/>
      <c r="BS32" s="49"/>
      <c r="BT32" s="49"/>
      <c r="BU32" s="49"/>
      <c r="BV32" s="49"/>
      <c r="BW32" s="49"/>
      <c r="BX32" s="49"/>
      <c r="BY32" s="49"/>
      <c r="BZ32" s="49"/>
      <c r="CA32" s="49"/>
      <c r="CB32" s="49"/>
      <c r="CC32" s="49"/>
      <c r="CD32" s="49"/>
      <c r="CE32" s="49"/>
      <c r="CF32" s="49"/>
      <c r="CG32" s="49"/>
      <c r="CH32" s="49"/>
      <c r="CI32" s="49"/>
      <c r="CJ32" s="49"/>
      <c r="CK32" s="49"/>
      <c r="CL32" s="49"/>
      <c r="CM32" s="49"/>
      <c r="CN32" s="49"/>
      <c r="CO32" s="49"/>
      <c r="CP32" s="49"/>
      <c r="CQ32" s="49"/>
      <c r="CR32" s="49"/>
      <c r="CS32" s="49"/>
      <c r="CT32" s="49"/>
      <c r="CU32" s="49"/>
      <c r="CV32" s="49"/>
      <c r="CW32" s="49"/>
      <c r="CX32" s="49"/>
      <c r="CY32" s="49"/>
      <c r="CZ32" s="49"/>
      <c r="DA32" s="49"/>
      <c r="DB32" s="49"/>
      <c r="DC32" s="49"/>
      <c r="DD32" s="49"/>
      <c r="DE32" s="49"/>
      <c r="DF32" s="49"/>
      <c r="DG32" s="49"/>
      <c r="DH32" s="49"/>
      <c r="DI32" s="49"/>
      <c r="DJ32" s="49"/>
      <c r="DK32" s="49"/>
      <c r="DL32" s="49"/>
      <c r="DM32" s="49"/>
      <c r="DN32" s="49"/>
      <c r="DO32" s="49"/>
      <c r="DP32" s="49"/>
      <c r="DQ32" s="49"/>
      <c r="DR32" s="49"/>
      <c r="DS32" s="49"/>
      <c r="DT32" s="49"/>
      <c r="DU32" s="49"/>
      <c r="DV32" s="49"/>
      <c r="DW32" s="49"/>
      <c r="DX32" s="49"/>
      <c r="DY32" s="49"/>
      <c r="DZ32" s="49"/>
      <c r="EA32" s="49"/>
      <c r="EB32" s="49"/>
      <c r="EC32" s="49"/>
      <c r="ED32" s="49"/>
      <c r="EE32" s="49"/>
      <c r="EF32" s="49"/>
      <c r="EG32" s="49"/>
      <c r="EH32" s="49"/>
      <c r="EI32" s="49"/>
      <c r="EJ32" s="49"/>
      <c r="EK32" s="49"/>
      <c r="EL32" s="49"/>
      <c r="EM32" s="49"/>
      <c r="EN32" s="49"/>
      <c r="EO32" s="49"/>
      <c r="EP32" s="49"/>
      <c r="EQ32" s="49"/>
      <c r="ER32" s="49"/>
      <c r="ES32" s="49"/>
      <c r="ET32" s="49"/>
      <c r="EU32" s="49"/>
      <c r="EV32" s="49"/>
      <c r="EW32" s="49"/>
      <c r="EX32" s="49"/>
      <c r="EY32" s="49"/>
      <c r="EZ32" s="49"/>
      <c r="FA32" s="49"/>
      <c r="FB32" s="49"/>
      <c r="FC32" s="49"/>
      <c r="FD32" s="49"/>
      <c r="FE32" s="49"/>
      <c r="FF32" s="49"/>
      <c r="FG32" s="49"/>
      <c r="FH32" s="49"/>
      <c r="FI32" s="49"/>
      <c r="FJ32" s="49"/>
      <c r="FK32" s="49"/>
      <c r="FL32" s="49"/>
      <c r="FM32" s="49"/>
      <c r="FN32" s="49"/>
      <c r="FO32" s="49"/>
      <c r="FP32" s="49"/>
      <c r="FQ32" s="49"/>
      <c r="FR32" s="49"/>
      <c r="FS32" s="49"/>
      <c r="FT32" s="49"/>
      <c r="FU32" s="49"/>
      <c r="FV32" s="49"/>
      <c r="FW32" s="49"/>
      <c r="FX32" s="49"/>
      <c r="FY32" s="49"/>
      <c r="FZ32" s="49"/>
      <c r="GA32" s="49"/>
      <c r="GB32" s="49"/>
      <c r="GC32" s="49"/>
      <c r="GD32" s="49"/>
      <c r="GE32" s="49"/>
      <c r="GF32" s="49"/>
      <c r="GG32" s="49"/>
      <c r="GH32" s="49"/>
      <c r="GI32" s="49"/>
      <c r="GJ32" s="49"/>
      <c r="GK32" s="49"/>
      <c r="GL32" s="49"/>
      <c r="GM32" s="49"/>
      <c r="GN32" s="49"/>
      <c r="GO32" s="49"/>
      <c r="GP32" s="49"/>
      <c r="GQ32" s="49"/>
      <c r="GR32" s="49"/>
      <c r="GS32" s="49"/>
      <c r="GT32" s="49"/>
      <c r="GU32" s="49"/>
      <c r="GV32" s="49"/>
      <c r="GW32" s="49"/>
      <c r="GX32" s="49"/>
      <c r="GY32" s="49"/>
      <c r="GZ32" s="49"/>
      <c r="HA32" s="49"/>
      <c r="HB32" s="49"/>
      <c r="HC32" s="49"/>
      <c r="HD32" s="49"/>
      <c r="HE32" s="49"/>
      <c r="HF32" s="49"/>
      <c r="HG32" s="49"/>
      <c r="HH32" s="49"/>
      <c r="HI32" s="49"/>
      <c r="HJ32" s="49"/>
      <c r="HK32" s="49"/>
      <c r="HL32" s="49"/>
      <c r="HM32" s="49"/>
      <c r="HN32" s="49"/>
      <c r="HO32" s="49"/>
      <c r="HP32" s="49"/>
      <c r="HQ32" s="49"/>
      <c r="HR32" s="49"/>
      <c r="HS32" s="49"/>
      <c r="HT32" s="49"/>
      <c r="HU32" s="49"/>
      <c r="HV32" s="49"/>
      <c r="HW32" s="49"/>
      <c r="HX32" s="49"/>
      <c r="HY32" s="49"/>
      <c r="HZ32" s="49"/>
      <c r="IA32" s="49"/>
      <c r="IB32" s="49"/>
      <c r="IC32" s="49"/>
      <c r="ID32" s="49"/>
      <c r="IE32" s="49"/>
      <c r="IF32" s="49"/>
      <c r="IG32" s="49"/>
      <c r="IH32" s="49"/>
      <c r="II32" s="49"/>
      <c r="IJ32" s="49"/>
      <c r="IK32" s="49"/>
      <c r="IL32" s="49"/>
      <c r="IM32" s="49"/>
      <c r="IN32" s="49"/>
      <c r="IO32" s="49"/>
      <c r="IP32" s="49"/>
      <c r="IQ32" s="49"/>
      <c r="IR32" s="49"/>
      <c r="IS32" s="49"/>
      <c r="IT32" s="49"/>
      <c r="IU32" s="49"/>
      <c r="IV32" s="49"/>
      <c r="IW32" s="49"/>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2023</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44292</v>
      </c>
      <c r="R2" s="60"/>
      <c r="S2" s="60"/>
      <c r="T2" s="60"/>
      <c r="U2" s="61" t="s">
        <v>34</v>
      </c>
      <c r="V2" s="60" t="n">
        <f aca="false">Admin!B17</f>
        <v>44656</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44292</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44292</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44656</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£85000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customFormat="fals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c r="X41" s="108"/>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108"/>
      <c r="BH41" s="108"/>
      <c r="BI41" s="108"/>
      <c r="BJ41" s="108"/>
      <c r="BK41" s="108"/>
      <c r="BL41" s="108"/>
      <c r="BM41" s="108"/>
      <c r="BN41" s="108"/>
      <c r="BO41" s="108"/>
      <c r="BP41" s="108"/>
      <c r="BQ41" s="108"/>
      <c r="BR41" s="108"/>
      <c r="BS41" s="108"/>
      <c r="BT41" s="108"/>
      <c r="BU41" s="108"/>
      <c r="BV41" s="108"/>
      <c r="BW41" s="108"/>
      <c r="BX41" s="108"/>
      <c r="BY41" s="108"/>
      <c r="BZ41" s="108"/>
      <c r="CA41" s="108"/>
      <c r="CB41" s="108"/>
      <c r="CC41" s="108"/>
      <c r="CD41" s="108"/>
      <c r="CE41" s="108"/>
      <c r="CF41" s="108"/>
      <c r="CG41" s="108"/>
      <c r="CH41" s="108"/>
      <c r="CI41" s="108"/>
      <c r="CJ41" s="108"/>
      <c r="CK41" s="108"/>
      <c r="CL41" s="108"/>
      <c r="CM41" s="108"/>
      <c r="CN41" s="108"/>
      <c r="CO41" s="108"/>
      <c r="CP41" s="108"/>
      <c r="CQ41" s="108"/>
      <c r="CR41" s="108"/>
      <c r="CS41" s="108"/>
      <c r="CT41" s="108"/>
      <c r="CU41" s="108"/>
      <c r="CV41" s="108"/>
      <c r="CW41" s="108"/>
      <c r="CX41" s="108"/>
      <c r="CY41" s="108"/>
      <c r="CZ41" s="108"/>
      <c r="DA41" s="108"/>
      <c r="DB41" s="108"/>
      <c r="DC41" s="108"/>
      <c r="DD41" s="108"/>
      <c r="DE41" s="108"/>
      <c r="DF41" s="108"/>
      <c r="DG41" s="108"/>
      <c r="DH41" s="108"/>
      <c r="DI41" s="108"/>
      <c r="DJ41" s="108"/>
      <c r="DK41" s="108"/>
      <c r="DL41" s="108"/>
      <c r="DM41" s="108"/>
      <c r="DN41" s="108"/>
      <c r="DO41" s="108"/>
      <c r="DP41" s="108"/>
      <c r="DQ41" s="108"/>
      <c r="DR41" s="108"/>
      <c r="DS41" s="108"/>
      <c r="DT41" s="108"/>
      <c r="DU41" s="108"/>
      <c r="DV41" s="108"/>
      <c r="DW41" s="108"/>
      <c r="DX41" s="108"/>
      <c r="DY41" s="108"/>
      <c r="DZ41" s="108"/>
      <c r="EA41" s="108"/>
      <c r="EB41" s="108"/>
      <c r="EC41" s="108"/>
      <c r="ED41" s="108"/>
      <c r="EE41" s="108"/>
      <c r="EF41" s="108"/>
      <c r="EG41" s="108"/>
      <c r="EH41" s="108"/>
      <c r="EI41" s="108"/>
      <c r="EJ41" s="108"/>
      <c r="EK41" s="108"/>
      <c r="EL41" s="108"/>
      <c r="EM41" s="108"/>
      <c r="EN41" s="108"/>
      <c r="EO41" s="108"/>
      <c r="EP41" s="108"/>
      <c r="EQ41" s="108"/>
      <c r="ER41" s="108"/>
      <c r="ES41" s="108"/>
      <c r="ET41" s="108"/>
      <c r="EU41" s="108"/>
      <c r="EV41" s="108"/>
      <c r="EW41" s="108"/>
      <c r="EX41" s="108"/>
      <c r="EY41" s="108"/>
      <c r="EZ41" s="108"/>
      <c r="FA41" s="108"/>
      <c r="FB41" s="108"/>
      <c r="FC41" s="108"/>
      <c r="FD41" s="108"/>
      <c r="FE41" s="108"/>
      <c r="FF41" s="108"/>
      <c r="FG41" s="108"/>
      <c r="FH41" s="108"/>
      <c r="FI41" s="108"/>
      <c r="FJ41" s="108"/>
      <c r="FK41" s="108"/>
      <c r="FL41" s="108"/>
      <c r="FM41" s="108"/>
      <c r="FN41" s="108"/>
      <c r="FO41" s="108"/>
      <c r="FP41" s="108"/>
      <c r="FQ41" s="108"/>
      <c r="FR41" s="108"/>
      <c r="FS41" s="108"/>
      <c r="FT41" s="108"/>
      <c r="FU41" s="108"/>
      <c r="FV41" s="108"/>
      <c r="FW41" s="108"/>
      <c r="FX41" s="108"/>
      <c r="FY41" s="108"/>
      <c r="FZ41" s="108"/>
      <c r="GA41" s="108"/>
      <c r="GB41" s="108"/>
      <c r="GC41" s="108"/>
      <c r="GD41" s="108"/>
      <c r="GE41" s="108"/>
      <c r="GF41" s="108"/>
      <c r="GG41" s="108"/>
      <c r="GH41" s="108"/>
      <c r="GI41" s="108"/>
      <c r="GJ41" s="108"/>
      <c r="GK41" s="108"/>
      <c r="GL41" s="108"/>
      <c r="GM41" s="108"/>
      <c r="GN41" s="108"/>
      <c r="GO41" s="108"/>
      <c r="GP41" s="108"/>
      <c r="GQ41" s="108"/>
      <c r="GR41" s="108"/>
      <c r="GS41" s="108"/>
      <c r="GT41" s="108"/>
      <c r="GU41" s="108"/>
      <c r="GV41" s="108"/>
      <c r="GW41" s="108"/>
      <c r="GX41" s="108"/>
      <c r="GY41" s="108"/>
      <c r="GZ41" s="108"/>
      <c r="HA41" s="108"/>
      <c r="HB41" s="108"/>
      <c r="HC41" s="108"/>
      <c r="HD41" s="108"/>
      <c r="HE41" s="108"/>
      <c r="HF41" s="108"/>
      <c r="HG41" s="108"/>
      <c r="HH41" s="108"/>
      <c r="HI41" s="108"/>
      <c r="HJ41" s="108"/>
      <c r="HK41" s="108"/>
      <c r="HL41" s="108"/>
      <c r="HM41" s="108"/>
      <c r="HN41" s="108"/>
      <c r="HO41" s="108"/>
      <c r="HP41" s="108"/>
      <c r="HQ41" s="108"/>
      <c r="HR41" s="108"/>
      <c r="HS41" s="108"/>
      <c r="HT41" s="108"/>
      <c r="HU41" s="108"/>
      <c r="HV41" s="108"/>
      <c r="HW41" s="108"/>
      <c r="HX41" s="108"/>
      <c r="HY41" s="108"/>
      <c r="HZ41" s="108"/>
      <c r="IA41" s="108"/>
      <c r="IB41" s="108"/>
      <c r="IC41" s="108"/>
      <c r="ID41" s="108"/>
      <c r="IE41" s="108"/>
      <c r="IF41" s="108"/>
      <c r="IG41" s="108"/>
      <c r="IH41" s="108"/>
      <c r="II41" s="108"/>
      <c r="IJ41" s="108"/>
      <c r="IK41" s="108"/>
      <c r="IL41" s="108"/>
      <c r="IM41" s="108"/>
      <c r="IN41" s="108"/>
      <c r="IO41" s="108"/>
      <c r="IP41" s="108"/>
      <c r="IQ41" s="108"/>
      <c r="IR41" s="108"/>
      <c r="IS41" s="108"/>
      <c r="IT41" s="108"/>
      <c r="IU41" s="108"/>
      <c r="IV41" s="108"/>
      <c r="IW41" s="108"/>
    </row>
    <row r="42" customFormat="fals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c r="X42" s="108"/>
      <c r="Y42" s="108"/>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08"/>
      <c r="BX42" s="108"/>
      <c r="BY42" s="108"/>
      <c r="BZ42" s="108"/>
      <c r="CA42" s="108"/>
      <c r="CB42" s="108"/>
      <c r="CC42" s="108"/>
      <c r="CD42" s="108"/>
      <c r="CE42" s="108"/>
      <c r="CF42" s="108"/>
      <c r="CG42" s="108"/>
      <c r="CH42" s="108"/>
      <c r="CI42" s="108"/>
      <c r="CJ42" s="108"/>
      <c r="CK42" s="108"/>
      <c r="CL42" s="108"/>
      <c r="CM42" s="108"/>
      <c r="CN42" s="108"/>
      <c r="CO42" s="108"/>
      <c r="CP42" s="108"/>
      <c r="CQ42" s="108"/>
      <c r="CR42" s="108"/>
      <c r="CS42" s="108"/>
      <c r="CT42" s="108"/>
      <c r="CU42" s="108"/>
      <c r="CV42" s="108"/>
      <c r="CW42" s="108"/>
      <c r="CX42" s="108"/>
      <c r="CY42" s="108"/>
      <c r="CZ42" s="108"/>
      <c r="DA42" s="108"/>
      <c r="DB42" s="108"/>
      <c r="DC42" s="108"/>
      <c r="DD42" s="108"/>
      <c r="DE42" s="108"/>
      <c r="DF42" s="108"/>
      <c r="DG42" s="108"/>
      <c r="DH42" s="108"/>
      <c r="DI42" s="108"/>
      <c r="DJ42" s="108"/>
      <c r="DK42" s="108"/>
      <c r="DL42" s="108"/>
      <c r="DM42" s="108"/>
      <c r="DN42" s="108"/>
      <c r="DO42" s="108"/>
      <c r="DP42" s="108"/>
      <c r="DQ42" s="108"/>
      <c r="DR42" s="108"/>
      <c r="DS42" s="108"/>
      <c r="DT42" s="108"/>
      <c r="DU42" s="108"/>
      <c r="DV42" s="108"/>
      <c r="DW42" s="108"/>
      <c r="DX42" s="108"/>
      <c r="DY42" s="108"/>
      <c r="DZ42" s="108"/>
      <c r="EA42" s="108"/>
      <c r="EB42" s="108"/>
      <c r="EC42" s="108"/>
      <c r="ED42" s="108"/>
      <c r="EE42" s="108"/>
      <c r="EF42" s="108"/>
      <c r="EG42" s="108"/>
      <c r="EH42" s="108"/>
      <c r="EI42" s="108"/>
      <c r="EJ42" s="108"/>
      <c r="EK42" s="108"/>
      <c r="EL42" s="108"/>
      <c r="EM42" s="108"/>
      <c r="EN42" s="108"/>
      <c r="EO42" s="108"/>
      <c r="EP42" s="108"/>
      <c r="EQ42" s="108"/>
      <c r="ER42" s="108"/>
      <c r="ES42" s="108"/>
      <c r="ET42" s="108"/>
      <c r="EU42" s="108"/>
      <c r="EV42" s="108"/>
      <c r="EW42" s="108"/>
      <c r="EX42" s="108"/>
      <c r="EY42" s="108"/>
      <c r="EZ42" s="108"/>
      <c r="FA42" s="108"/>
      <c r="FB42" s="108"/>
      <c r="FC42" s="108"/>
      <c r="FD42" s="108"/>
      <c r="FE42" s="108"/>
      <c r="FF42" s="108"/>
      <c r="FG42" s="108"/>
      <c r="FH42" s="108"/>
      <c r="FI42" s="108"/>
      <c r="FJ42" s="108"/>
      <c r="FK42" s="108"/>
      <c r="FL42" s="108"/>
      <c r="FM42" s="108"/>
      <c r="FN42" s="108"/>
      <c r="FO42" s="108"/>
      <c r="FP42" s="108"/>
      <c r="FQ42" s="108"/>
      <c r="FR42" s="108"/>
      <c r="FS42" s="108"/>
      <c r="FT42" s="108"/>
      <c r="FU42" s="108"/>
      <c r="FV42" s="108"/>
      <c r="FW42" s="108"/>
      <c r="FX42" s="108"/>
      <c r="FY42" s="108"/>
      <c r="FZ42" s="108"/>
      <c r="GA42" s="108"/>
      <c r="GB42" s="108"/>
      <c r="GC42" s="108"/>
      <c r="GD42" s="108"/>
      <c r="GE42" s="108"/>
      <c r="GF42" s="108"/>
      <c r="GG42" s="108"/>
      <c r="GH42" s="108"/>
      <c r="GI42" s="108"/>
      <c r="GJ42" s="108"/>
      <c r="GK42" s="108"/>
      <c r="GL42" s="108"/>
      <c r="GM42" s="108"/>
      <c r="GN42" s="108"/>
      <c r="GO42" s="108"/>
      <c r="GP42" s="108"/>
      <c r="GQ42" s="108"/>
      <c r="GR42" s="108"/>
      <c r="GS42" s="108"/>
      <c r="GT42" s="108"/>
      <c r="GU42" s="108"/>
      <c r="GV42" s="108"/>
      <c r="GW42" s="108"/>
      <c r="GX42" s="108"/>
      <c r="GY42" s="108"/>
      <c r="GZ42" s="108"/>
      <c r="HA42" s="108"/>
      <c r="HB42" s="108"/>
      <c r="HC42" s="108"/>
      <c r="HD42" s="108"/>
      <c r="HE42" s="108"/>
      <c r="HF42" s="108"/>
      <c r="HG42" s="108"/>
      <c r="HH42" s="108"/>
      <c r="HI42" s="108"/>
      <c r="HJ42" s="108"/>
      <c r="HK42" s="108"/>
      <c r="HL42" s="108"/>
      <c r="HM42" s="108"/>
      <c r="HN42" s="108"/>
      <c r="HO42" s="108"/>
      <c r="HP42" s="108"/>
      <c r="HQ42" s="108"/>
      <c r="HR42" s="108"/>
      <c r="HS42" s="108"/>
      <c r="HT42" s="108"/>
      <c r="HU42" s="108"/>
      <c r="HV42" s="108"/>
      <c r="HW42" s="108"/>
      <c r="HX42" s="108"/>
      <c r="HY42" s="108"/>
      <c r="HZ42" s="108"/>
      <c r="IA42" s="108"/>
      <c r="IB42" s="108"/>
      <c r="IC42" s="108"/>
      <c r="ID42" s="108"/>
      <c r="IE42" s="108"/>
      <c r="IF42" s="108"/>
      <c r="IG42" s="108"/>
      <c r="IH42" s="108"/>
      <c r="II42" s="108"/>
      <c r="IJ42" s="108"/>
      <c r="IK42" s="108"/>
      <c r="IL42" s="108"/>
      <c r="IM42" s="108"/>
      <c r="IN42" s="108"/>
      <c r="IO42" s="108"/>
      <c r="IP42" s="108"/>
      <c r="IQ42" s="108"/>
      <c r="IR42" s="108"/>
      <c r="IS42" s="108"/>
      <c r="IT42" s="108"/>
      <c r="IU42" s="108"/>
      <c r="IV42" s="108"/>
      <c r="IW42" s="108"/>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2021-22</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customFormat="false" ht="12" hidden="false" customHeight="true" outlineLevel="0" collapsed="false">
      <c r="A1" s="126" t="s">
        <v>102</v>
      </c>
      <c r="B1" s="127" t="s">
        <v>103</v>
      </c>
      <c r="C1" s="128" t="s">
        <v>104</v>
      </c>
      <c r="D1" s="129" t="n">
        <f aca="false">Admin!B5</f>
        <v>44316</v>
      </c>
      <c r="E1" s="129" t="n">
        <f aca="false">Admin!B6</f>
        <v>44347</v>
      </c>
      <c r="F1" s="129" t="n">
        <f aca="false">Admin!B7</f>
        <v>44377</v>
      </c>
      <c r="G1" s="129" t="n">
        <f aca="false">Admin!B8</f>
        <v>44408</v>
      </c>
      <c r="H1" s="129" t="n">
        <f aca="false">Admin!B9</f>
        <v>44439</v>
      </c>
      <c r="I1" s="129" t="n">
        <f aca="false">Admin!B10</f>
        <v>44469</v>
      </c>
      <c r="J1" s="129" t="n">
        <f aca="false">Admin!B11</f>
        <v>44500</v>
      </c>
      <c r="K1" s="129" t="n">
        <f aca="false">Admin!B12</f>
        <v>44530</v>
      </c>
      <c r="L1" s="129" t="n">
        <f aca="false">Admin!B13</f>
        <v>44561</v>
      </c>
      <c r="M1" s="129" t="n">
        <f aca="false">Admin!B14</f>
        <v>44592</v>
      </c>
      <c r="N1" s="129" t="n">
        <f aca="false">Admin!B15</f>
        <v>44620</v>
      </c>
      <c r="O1" s="129" t="n">
        <f aca="false">Admin!B16</f>
        <v>44651</v>
      </c>
      <c r="P1" s="130"/>
      <c r="Q1" s="131"/>
      <c r="R1" s="132"/>
      <c r="S1" s="133" t="s">
        <v>105</v>
      </c>
      <c r="T1" s="133" t="s">
        <v>106</v>
      </c>
      <c r="U1" s="133" t="s">
        <v>107</v>
      </c>
      <c r="V1" s="133" t="s">
        <v>108</v>
      </c>
      <c r="W1" s="133" t="s">
        <v>109</v>
      </c>
      <c r="X1" s="133" t="s">
        <v>110</v>
      </c>
      <c r="Y1" s="133" t="s">
        <v>111</v>
      </c>
      <c r="Z1" s="132"/>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c r="BL1" s="131"/>
      <c r="BM1" s="131"/>
      <c r="BN1" s="131"/>
      <c r="BO1" s="131"/>
      <c r="BP1" s="131"/>
      <c r="BQ1" s="131"/>
      <c r="BR1" s="131"/>
      <c r="BS1" s="131"/>
      <c r="BT1" s="131"/>
      <c r="BU1" s="131"/>
      <c r="BV1" s="131"/>
      <c r="BW1" s="131"/>
      <c r="BX1" s="131"/>
      <c r="BY1" s="131"/>
      <c r="BZ1" s="131"/>
      <c r="CA1" s="131"/>
      <c r="CB1" s="131"/>
      <c r="CC1" s="131"/>
      <c r="CD1" s="131"/>
      <c r="CE1" s="131"/>
      <c r="CF1" s="131"/>
      <c r="CG1" s="131"/>
      <c r="CH1" s="131"/>
      <c r="CI1" s="131"/>
      <c r="CJ1" s="131"/>
      <c r="CK1" s="131"/>
      <c r="CL1" s="131"/>
      <c r="CM1" s="131"/>
      <c r="CN1" s="131"/>
      <c r="CO1" s="131"/>
      <c r="CP1" s="131"/>
      <c r="CQ1" s="131"/>
      <c r="CR1" s="131"/>
      <c r="CS1" s="131"/>
      <c r="CT1" s="131"/>
      <c r="CU1" s="131"/>
      <c r="CV1" s="131"/>
      <c r="CW1" s="131"/>
      <c r="CX1" s="131"/>
      <c r="CY1" s="131"/>
      <c r="CZ1" s="131"/>
      <c r="DA1" s="131"/>
      <c r="DB1" s="131"/>
      <c r="DC1" s="131"/>
      <c r="DD1" s="131"/>
      <c r="DE1" s="131"/>
      <c r="DF1" s="131"/>
      <c r="DG1" s="131"/>
      <c r="DH1" s="131"/>
      <c r="DI1" s="131"/>
      <c r="DJ1" s="131"/>
      <c r="DK1" s="131"/>
      <c r="DL1" s="131"/>
      <c r="DM1" s="131"/>
      <c r="DN1" s="131"/>
      <c r="DO1" s="131"/>
      <c r="DP1" s="131"/>
      <c r="DQ1" s="131"/>
      <c r="DR1" s="131"/>
      <c r="DS1" s="131"/>
      <c r="DT1" s="131"/>
      <c r="DU1" s="131"/>
      <c r="DV1" s="131"/>
      <c r="DW1" s="131"/>
      <c r="DX1" s="131"/>
      <c r="DY1" s="131"/>
      <c r="DZ1" s="131"/>
      <c r="EA1" s="131"/>
      <c r="EB1" s="131"/>
      <c r="EC1" s="131"/>
      <c r="ED1" s="131"/>
      <c r="EE1" s="131"/>
      <c r="EF1" s="131"/>
      <c r="EG1" s="131"/>
      <c r="EH1" s="131"/>
      <c r="EI1" s="131"/>
      <c r="EJ1" s="131"/>
      <c r="EK1" s="131"/>
      <c r="EL1" s="131"/>
      <c r="EM1" s="131"/>
      <c r="EN1" s="131"/>
      <c r="EO1" s="131"/>
      <c r="EP1" s="131"/>
      <c r="EQ1" s="131"/>
      <c r="ER1" s="131"/>
      <c r="ES1" s="131"/>
      <c r="ET1" s="131"/>
      <c r="EU1" s="131"/>
      <c r="EV1" s="131"/>
      <c r="EW1" s="131"/>
      <c r="EX1" s="131"/>
      <c r="EY1" s="131"/>
      <c r="EZ1" s="131"/>
      <c r="FA1" s="131"/>
      <c r="FB1" s="131"/>
      <c r="FC1" s="131"/>
      <c r="FD1" s="131"/>
      <c r="FE1" s="131"/>
      <c r="FF1" s="131"/>
      <c r="FG1" s="131"/>
      <c r="FH1" s="131"/>
      <c r="FI1" s="131"/>
      <c r="FJ1" s="131"/>
      <c r="FK1" s="131"/>
      <c r="FL1" s="131"/>
      <c r="FM1" s="131"/>
      <c r="FN1" s="131"/>
      <c r="FO1" s="131"/>
      <c r="FP1" s="131"/>
      <c r="FQ1" s="131"/>
      <c r="FR1" s="131"/>
      <c r="FS1" s="131"/>
      <c r="FT1" s="131"/>
      <c r="FU1" s="131"/>
      <c r="FV1" s="131"/>
      <c r="FW1" s="131"/>
      <c r="FX1" s="131"/>
      <c r="FY1" s="131"/>
      <c r="FZ1" s="131"/>
      <c r="GA1" s="131"/>
      <c r="GB1" s="131"/>
      <c r="GC1" s="131"/>
      <c r="GD1" s="131"/>
      <c r="GE1" s="131"/>
      <c r="GF1" s="131"/>
      <c r="GG1" s="131"/>
      <c r="GH1" s="131"/>
      <c r="GI1" s="131"/>
      <c r="GJ1" s="131"/>
      <c r="GK1" s="131"/>
      <c r="GL1" s="131"/>
      <c r="GM1" s="131"/>
      <c r="GN1" s="131"/>
      <c r="GO1" s="131"/>
      <c r="GP1" s="131"/>
      <c r="GQ1" s="131"/>
      <c r="GR1" s="131"/>
      <c r="GS1" s="131"/>
      <c r="GT1" s="131"/>
      <c r="GU1" s="131"/>
      <c r="GV1" s="131"/>
      <c r="GW1" s="131"/>
      <c r="GX1" s="131"/>
      <c r="GY1" s="131"/>
      <c r="GZ1" s="131"/>
      <c r="HA1" s="131"/>
      <c r="HB1" s="131"/>
      <c r="HC1" s="131"/>
      <c r="HD1" s="131"/>
      <c r="HE1" s="131"/>
      <c r="HF1" s="131"/>
      <c r="HG1" s="131"/>
      <c r="HH1" s="131"/>
      <c r="HI1" s="131"/>
      <c r="HJ1" s="131"/>
      <c r="HK1" s="131"/>
      <c r="HL1" s="131"/>
      <c r="HM1" s="131"/>
      <c r="HN1" s="131"/>
      <c r="HO1" s="131"/>
      <c r="HP1" s="131"/>
      <c r="HQ1" s="131"/>
      <c r="HR1" s="131"/>
      <c r="HS1" s="131"/>
      <c r="HT1" s="131"/>
      <c r="HU1" s="131"/>
      <c r="HV1" s="131"/>
      <c r="HW1" s="131"/>
      <c r="HX1" s="131"/>
      <c r="HY1" s="131"/>
      <c r="HZ1" s="131"/>
      <c r="IA1" s="131"/>
      <c r="IB1" s="131"/>
      <c r="IC1" s="131"/>
      <c r="ID1" s="131"/>
      <c r="IE1" s="131"/>
      <c r="IF1" s="131"/>
      <c r="IG1" s="131"/>
      <c r="IH1" s="131"/>
      <c r="II1" s="131"/>
      <c r="IJ1" s="131"/>
      <c r="IK1" s="131"/>
      <c r="IL1" s="131"/>
      <c r="IM1" s="131"/>
      <c r="IN1" s="131"/>
      <c r="IO1" s="131"/>
      <c r="IP1" s="131"/>
      <c r="IQ1" s="131"/>
      <c r="IR1" s="131"/>
      <c r="IS1" s="131"/>
      <c r="IT1" s="131"/>
      <c r="IU1" s="131"/>
      <c r="IV1" s="131"/>
      <c r="IW1" s="131"/>
    </row>
    <row r="2" customFormat="false" ht="12" hidden="false" customHeight="true" outlineLevel="0" collapsed="false">
      <c r="A2" s="126"/>
      <c r="B2" s="134"/>
      <c r="C2" s="135" t="str">
        <f aca="false">Admin!G2</f>
        <v>2021-22</v>
      </c>
      <c r="D2" s="129"/>
      <c r="E2" s="129"/>
      <c r="F2" s="129"/>
      <c r="G2" s="129"/>
      <c r="H2" s="129"/>
      <c r="I2" s="129"/>
      <c r="J2" s="129"/>
      <c r="K2" s="129"/>
      <c r="L2" s="129"/>
      <c r="M2" s="129"/>
      <c r="N2" s="129"/>
      <c r="O2" s="129"/>
      <c r="P2" s="132"/>
      <c r="R2" s="132"/>
      <c r="S2" s="133"/>
      <c r="T2" s="133"/>
      <c r="U2" s="133"/>
      <c r="V2" s="133"/>
      <c r="W2" s="133"/>
      <c r="X2" s="133"/>
      <c r="Y2" s="133"/>
      <c r="Z2" s="132"/>
    </row>
    <row r="3" customFormat="fals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Q3" s="139"/>
      <c r="R3" s="132"/>
      <c r="S3" s="132"/>
      <c r="T3" s="132"/>
      <c r="U3" s="132"/>
      <c r="V3" s="132"/>
      <c r="W3" s="132"/>
      <c r="X3" s="132"/>
      <c r="Y3" s="132"/>
      <c r="Z3" s="132"/>
      <c r="AA3" s="139"/>
      <c r="AB3" s="139"/>
      <c r="AC3" s="139"/>
      <c r="AD3" s="139"/>
      <c r="AE3" s="139"/>
      <c r="AF3" s="139"/>
      <c r="AG3" s="139"/>
      <c r="AH3" s="139"/>
      <c r="AI3" s="139"/>
      <c r="AJ3" s="139"/>
      <c r="AK3" s="139"/>
      <c r="AL3" s="139"/>
      <c r="AM3" s="139"/>
      <c r="AN3" s="139"/>
      <c r="AO3" s="139"/>
      <c r="AP3" s="139"/>
      <c r="AQ3" s="139"/>
      <c r="AR3" s="139"/>
      <c r="AS3" s="139"/>
      <c r="AT3" s="139"/>
      <c r="AU3" s="139"/>
      <c r="AV3" s="139"/>
      <c r="AW3" s="139"/>
      <c r="AX3" s="139"/>
      <c r="AY3" s="139"/>
      <c r="AZ3" s="139"/>
      <c r="BA3" s="139"/>
      <c r="BB3" s="139"/>
      <c r="BC3" s="139"/>
      <c r="BD3" s="139"/>
      <c r="BE3" s="139"/>
      <c r="BF3" s="139"/>
      <c r="BG3" s="139"/>
      <c r="BH3" s="139"/>
      <c r="BI3" s="139"/>
      <c r="BJ3" s="139"/>
      <c r="BK3" s="139"/>
      <c r="BL3" s="139"/>
      <c r="BM3" s="139"/>
      <c r="BN3" s="139"/>
      <c r="BO3" s="139"/>
      <c r="BP3" s="139"/>
      <c r="BQ3" s="139"/>
      <c r="BR3" s="139"/>
      <c r="BS3" s="139"/>
      <c r="BT3" s="139"/>
      <c r="BU3" s="139"/>
      <c r="BV3" s="139"/>
      <c r="BW3" s="139"/>
      <c r="BX3" s="139"/>
      <c r="BY3" s="139"/>
      <c r="BZ3" s="139"/>
      <c r="CA3" s="139"/>
      <c r="CB3" s="139"/>
      <c r="CC3" s="139"/>
      <c r="CD3" s="139"/>
      <c r="CE3" s="139"/>
      <c r="CF3" s="139"/>
      <c r="CG3" s="139"/>
      <c r="CH3" s="139"/>
      <c r="CI3" s="139"/>
      <c r="CJ3" s="139"/>
      <c r="CK3" s="139"/>
      <c r="CL3" s="139"/>
      <c r="CM3" s="139"/>
      <c r="CN3" s="139"/>
      <c r="CO3" s="139"/>
      <c r="CP3" s="139"/>
      <c r="CQ3" s="139"/>
      <c r="CR3" s="139"/>
      <c r="CS3" s="139"/>
      <c r="CT3" s="139"/>
      <c r="CU3" s="139"/>
      <c r="CV3" s="139"/>
      <c r="CW3" s="139"/>
      <c r="CX3" s="139"/>
      <c r="CY3" s="139"/>
      <c r="CZ3" s="139"/>
      <c r="DA3" s="139"/>
      <c r="DB3" s="139"/>
      <c r="DC3" s="139"/>
      <c r="DD3" s="139"/>
      <c r="DE3" s="139"/>
      <c r="DF3" s="139"/>
      <c r="DG3" s="139"/>
      <c r="DH3" s="139"/>
      <c r="DI3" s="139"/>
      <c r="DJ3" s="139"/>
      <c r="DK3" s="139"/>
      <c r="DL3" s="139"/>
      <c r="DM3" s="139"/>
      <c r="DN3" s="139"/>
      <c r="DO3" s="139"/>
      <c r="DP3" s="139"/>
      <c r="DQ3" s="139"/>
      <c r="DR3" s="139"/>
      <c r="DS3" s="139"/>
      <c r="DT3" s="139"/>
      <c r="DU3" s="139"/>
      <c r="DV3" s="139"/>
      <c r="DW3" s="139"/>
      <c r="DX3" s="139"/>
      <c r="DY3" s="139"/>
      <c r="DZ3" s="139"/>
      <c r="EA3" s="139"/>
      <c r="EB3" s="139"/>
      <c r="EC3" s="139"/>
      <c r="ED3" s="139"/>
      <c r="EE3" s="139"/>
      <c r="EF3" s="139"/>
      <c r="EG3" s="139"/>
      <c r="EH3" s="139"/>
      <c r="EI3" s="139"/>
      <c r="EJ3" s="139"/>
      <c r="EK3" s="139"/>
      <c r="EL3" s="139"/>
      <c r="EM3" s="139"/>
      <c r="EN3" s="139"/>
      <c r="EO3" s="139"/>
      <c r="EP3" s="139"/>
      <c r="EQ3" s="139"/>
      <c r="ER3" s="139"/>
      <c r="ES3" s="139"/>
      <c r="ET3" s="139"/>
      <c r="EU3" s="139"/>
      <c r="EV3" s="139"/>
      <c r="EW3" s="139"/>
      <c r="EX3" s="139"/>
      <c r="EY3" s="139"/>
      <c r="EZ3" s="139"/>
      <c r="FA3" s="139"/>
      <c r="FB3" s="139"/>
      <c r="FC3" s="139"/>
      <c r="FD3" s="139"/>
      <c r="FE3" s="139"/>
      <c r="FF3" s="139"/>
      <c r="FG3" s="139"/>
      <c r="FH3" s="139"/>
      <c r="FI3" s="139"/>
      <c r="FJ3" s="139"/>
      <c r="FK3" s="139"/>
      <c r="FL3" s="139"/>
      <c r="FM3" s="139"/>
      <c r="FN3" s="139"/>
      <c r="FO3" s="139"/>
      <c r="FP3" s="139"/>
      <c r="FQ3" s="139"/>
      <c r="FR3" s="139"/>
      <c r="FS3" s="139"/>
      <c r="FT3" s="139"/>
      <c r="FU3" s="139"/>
      <c r="FV3" s="139"/>
      <c r="FW3" s="139"/>
      <c r="FX3" s="139"/>
      <c r="FY3" s="139"/>
      <c r="FZ3" s="139"/>
      <c r="GA3" s="139"/>
      <c r="GB3" s="139"/>
      <c r="GC3" s="139"/>
      <c r="GD3" s="139"/>
      <c r="GE3" s="139"/>
      <c r="GF3" s="139"/>
      <c r="GG3" s="139"/>
      <c r="GH3" s="139"/>
      <c r="GI3" s="139"/>
      <c r="GJ3" s="139"/>
      <c r="GK3" s="139"/>
      <c r="GL3" s="139"/>
      <c r="GM3" s="139"/>
      <c r="GN3" s="139"/>
      <c r="GO3" s="139"/>
      <c r="GP3" s="139"/>
      <c r="GQ3" s="139"/>
      <c r="GR3" s="139"/>
      <c r="GS3" s="139"/>
      <c r="GT3" s="139"/>
      <c r="GU3" s="139"/>
      <c r="GV3" s="139"/>
      <c r="GW3" s="139"/>
      <c r="GX3" s="139"/>
      <c r="GY3" s="139"/>
      <c r="GZ3" s="139"/>
      <c r="HA3" s="139"/>
      <c r="HB3" s="139"/>
      <c r="HC3" s="139"/>
      <c r="HD3" s="139"/>
      <c r="HE3" s="139"/>
      <c r="HF3" s="139"/>
      <c r="HG3" s="139"/>
      <c r="HH3" s="139"/>
      <c r="HI3" s="139"/>
      <c r="HJ3" s="139"/>
      <c r="HK3" s="139"/>
      <c r="HL3" s="139"/>
      <c r="HM3" s="139"/>
      <c r="HN3" s="139"/>
      <c r="HO3" s="139"/>
      <c r="HP3" s="139"/>
      <c r="HQ3" s="139"/>
      <c r="HR3" s="139"/>
      <c r="HS3" s="139"/>
      <c r="HT3" s="139"/>
      <c r="HU3" s="139"/>
      <c r="HV3" s="139"/>
      <c r="HW3" s="139"/>
      <c r="HX3" s="139"/>
      <c r="HY3" s="139"/>
      <c r="HZ3" s="139"/>
      <c r="IA3" s="139"/>
      <c r="IB3" s="139"/>
      <c r="IC3" s="139"/>
      <c r="ID3" s="139"/>
      <c r="IE3" s="139"/>
      <c r="IF3" s="139"/>
      <c r="IG3" s="139"/>
      <c r="IH3" s="139"/>
      <c r="II3" s="139"/>
      <c r="IJ3" s="139"/>
      <c r="IK3" s="139"/>
      <c r="IL3" s="139"/>
      <c r="IM3" s="139"/>
      <c r="IN3" s="139"/>
      <c r="IO3" s="139"/>
      <c r="IP3" s="139"/>
      <c r="IQ3" s="139"/>
      <c r="IR3" s="139"/>
      <c r="IS3" s="139"/>
      <c r="IT3" s="139"/>
      <c r="IU3" s="139"/>
      <c r="IV3" s="139"/>
      <c r="IW3" s="139"/>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customFormat="fals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Q7" s="151"/>
      <c r="R7" s="132"/>
      <c r="S7" s="132"/>
      <c r="T7" s="132"/>
      <c r="U7" s="132"/>
      <c r="V7" s="132"/>
      <c r="W7" s="132"/>
      <c r="X7" s="132"/>
      <c r="Y7" s="132"/>
      <c r="Z7" s="132"/>
      <c r="AA7" s="151"/>
      <c r="AB7" s="151"/>
      <c r="AC7" s="151"/>
      <c r="AD7" s="151"/>
      <c r="AE7" s="151"/>
      <c r="AF7" s="151"/>
      <c r="AG7" s="151"/>
      <c r="AH7" s="151"/>
      <c r="AI7" s="151"/>
      <c r="AJ7" s="151"/>
      <c r="AK7" s="151"/>
      <c r="AL7" s="151"/>
      <c r="AM7" s="151"/>
      <c r="AN7" s="151"/>
      <c r="AO7" s="151"/>
      <c r="AP7" s="151"/>
      <c r="AQ7" s="151"/>
      <c r="AR7" s="151"/>
      <c r="AS7" s="151"/>
      <c r="AT7" s="151"/>
      <c r="AU7" s="151"/>
      <c r="AV7" s="151"/>
      <c r="AW7" s="151"/>
      <c r="AX7" s="151"/>
      <c r="AY7" s="151"/>
      <c r="AZ7" s="151"/>
      <c r="BA7" s="151"/>
      <c r="BB7" s="151"/>
      <c r="BC7" s="151"/>
      <c r="BD7" s="151"/>
      <c r="BE7" s="151"/>
      <c r="BF7" s="151"/>
      <c r="BG7" s="151"/>
      <c r="BH7" s="151"/>
      <c r="BI7" s="151"/>
      <c r="BJ7" s="151"/>
      <c r="BK7" s="151"/>
      <c r="BL7" s="151"/>
      <c r="BM7" s="151"/>
      <c r="BN7" s="151"/>
      <c r="BO7" s="151"/>
      <c r="BP7" s="151"/>
      <c r="BQ7" s="151"/>
      <c r="BR7" s="151"/>
      <c r="BS7" s="151"/>
      <c r="BT7" s="151"/>
      <c r="BU7" s="151"/>
      <c r="BV7" s="151"/>
      <c r="BW7" s="151"/>
      <c r="BX7" s="151"/>
      <c r="BY7" s="151"/>
      <c r="BZ7" s="151"/>
      <c r="CA7" s="151"/>
      <c r="CB7" s="151"/>
      <c r="CC7" s="151"/>
      <c r="CD7" s="151"/>
      <c r="CE7" s="151"/>
      <c r="CF7" s="151"/>
      <c r="CG7" s="151"/>
      <c r="CH7" s="151"/>
      <c r="CI7" s="151"/>
      <c r="CJ7" s="151"/>
      <c r="CK7" s="151"/>
      <c r="CL7" s="151"/>
      <c r="CM7" s="151"/>
      <c r="CN7" s="151"/>
      <c r="CO7" s="151"/>
      <c r="CP7" s="151"/>
      <c r="CQ7" s="151"/>
      <c r="CR7" s="151"/>
      <c r="CS7" s="151"/>
      <c r="CT7" s="151"/>
      <c r="CU7" s="151"/>
      <c r="CV7" s="151"/>
      <c r="CW7" s="151"/>
      <c r="CX7" s="151"/>
      <c r="CY7" s="151"/>
      <c r="CZ7" s="151"/>
      <c r="DA7" s="151"/>
      <c r="DB7" s="151"/>
      <c r="DC7" s="151"/>
      <c r="DD7" s="151"/>
      <c r="DE7" s="151"/>
      <c r="DF7" s="151"/>
      <c r="DG7" s="151"/>
      <c r="DH7" s="151"/>
      <c r="DI7" s="151"/>
      <c r="DJ7" s="151"/>
      <c r="DK7" s="151"/>
      <c r="DL7" s="151"/>
      <c r="DM7" s="151"/>
      <c r="DN7" s="151"/>
      <c r="DO7" s="151"/>
      <c r="DP7" s="151"/>
      <c r="DQ7" s="151"/>
      <c r="DR7" s="151"/>
      <c r="DS7" s="151"/>
      <c r="DT7" s="151"/>
      <c r="DU7" s="151"/>
      <c r="DV7" s="151"/>
      <c r="DW7" s="151"/>
      <c r="DX7" s="151"/>
      <c r="DY7" s="151"/>
      <c r="DZ7" s="151"/>
      <c r="EA7" s="151"/>
      <c r="EB7" s="151"/>
      <c r="EC7" s="151"/>
      <c r="ED7" s="151"/>
      <c r="EE7" s="151"/>
      <c r="EF7" s="151"/>
      <c r="EG7" s="151"/>
      <c r="EH7" s="151"/>
      <c r="EI7" s="151"/>
      <c r="EJ7" s="151"/>
      <c r="EK7" s="151"/>
      <c r="EL7" s="151"/>
      <c r="EM7" s="151"/>
      <c r="EN7" s="151"/>
      <c r="EO7" s="151"/>
      <c r="EP7" s="151"/>
      <c r="EQ7" s="151"/>
      <c r="ER7" s="151"/>
      <c r="ES7" s="151"/>
      <c r="ET7" s="151"/>
      <c r="EU7" s="151"/>
      <c r="EV7" s="151"/>
      <c r="EW7" s="151"/>
      <c r="EX7" s="151"/>
      <c r="EY7" s="151"/>
      <c r="EZ7" s="151"/>
      <c r="FA7" s="151"/>
      <c r="FB7" s="151"/>
      <c r="FC7" s="151"/>
      <c r="FD7" s="151"/>
      <c r="FE7" s="151"/>
      <c r="FF7" s="151"/>
      <c r="FG7" s="151"/>
      <c r="FH7" s="151"/>
      <c r="FI7" s="151"/>
      <c r="FJ7" s="151"/>
      <c r="FK7" s="151"/>
      <c r="FL7" s="151"/>
      <c r="FM7" s="151"/>
      <c r="FN7" s="151"/>
      <c r="FO7" s="151"/>
      <c r="FP7" s="151"/>
      <c r="FQ7" s="151"/>
      <c r="FR7" s="151"/>
      <c r="FS7" s="151"/>
      <c r="FT7" s="151"/>
      <c r="FU7" s="151"/>
      <c r="FV7" s="151"/>
      <c r="FW7" s="151"/>
      <c r="FX7" s="151"/>
      <c r="FY7" s="151"/>
      <c r="FZ7" s="151"/>
      <c r="GA7" s="151"/>
      <c r="GB7" s="151"/>
      <c r="GC7" s="151"/>
      <c r="GD7" s="151"/>
      <c r="GE7" s="151"/>
      <c r="GF7" s="151"/>
      <c r="GG7" s="151"/>
      <c r="GH7" s="151"/>
      <c r="GI7" s="151"/>
      <c r="GJ7" s="151"/>
      <c r="GK7" s="151"/>
      <c r="GL7" s="151"/>
      <c r="GM7" s="151"/>
      <c r="GN7" s="151"/>
      <c r="GO7" s="151"/>
      <c r="GP7" s="151"/>
      <c r="GQ7" s="151"/>
      <c r="GR7" s="151"/>
      <c r="GS7" s="151"/>
      <c r="GT7" s="151"/>
      <c r="GU7" s="151"/>
      <c r="GV7" s="151"/>
      <c r="GW7" s="151"/>
      <c r="GX7" s="151"/>
      <c r="GY7" s="151"/>
      <c r="GZ7" s="151"/>
      <c r="HA7" s="151"/>
      <c r="HB7" s="151"/>
      <c r="HC7" s="151"/>
      <c r="HD7" s="151"/>
      <c r="HE7" s="151"/>
      <c r="HF7" s="151"/>
      <c r="HG7" s="151"/>
      <c r="HH7" s="151"/>
      <c r="HI7" s="151"/>
      <c r="HJ7" s="151"/>
      <c r="HK7" s="151"/>
      <c r="HL7" s="151"/>
      <c r="HM7" s="151"/>
      <c r="HN7" s="151"/>
      <c r="HO7" s="151"/>
      <c r="HP7" s="151"/>
      <c r="HQ7" s="151"/>
      <c r="HR7" s="151"/>
      <c r="HS7" s="151"/>
      <c r="HT7" s="151"/>
      <c r="HU7" s="151"/>
      <c r="HV7" s="151"/>
      <c r="HW7" s="151"/>
      <c r="HX7" s="151"/>
      <c r="HY7" s="151"/>
      <c r="HZ7" s="151"/>
      <c r="IA7" s="151"/>
      <c r="IB7" s="151"/>
      <c r="IC7" s="151"/>
      <c r="ID7" s="151"/>
      <c r="IE7" s="151"/>
      <c r="IF7" s="151"/>
      <c r="IG7" s="151"/>
      <c r="IH7" s="151"/>
      <c r="II7" s="151"/>
      <c r="IJ7" s="151"/>
      <c r="IK7" s="151"/>
      <c r="IL7" s="151"/>
      <c r="IM7" s="151"/>
      <c r="IN7" s="151"/>
      <c r="IO7" s="151"/>
      <c r="IP7" s="151"/>
      <c r="IQ7" s="151"/>
      <c r="IR7" s="151"/>
      <c r="IS7" s="151"/>
      <c r="IT7" s="151"/>
      <c r="IU7" s="151"/>
      <c r="IV7" s="151"/>
      <c r="IW7" s="151"/>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1827.18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24582.82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2021-22</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2021-22</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44957</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0.09</v>
      </c>
      <c r="E15" s="197" t="n">
        <f aca="false">IF(E5&gt;Admin!N20,IF(E5&lt;Admin!N$23,(E5-Admin!N20)*D15,(Admin!N$23-Admin!N20)*D15),0)</f>
        <v>1827.18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5287.18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customFormat="false" ht="12.75" hidden="false" customHeight="true" outlineLevel="0" collapsed="false">
      <c r="A23" s="156"/>
      <c r="B23" s="178"/>
      <c r="C23" s="178"/>
      <c r="D23" s="202" t="s">
        <v>175</v>
      </c>
      <c r="E23" s="203" t="s">
        <v>176</v>
      </c>
      <c r="F23" s="182"/>
      <c r="G23" s="148"/>
      <c r="H23" s="204"/>
      <c r="I23" s="204"/>
      <c r="J23" s="204"/>
      <c r="K23" s="204"/>
      <c r="L23" s="204"/>
      <c r="M23" s="204"/>
      <c r="N23" s="204"/>
      <c r="O23" s="204"/>
      <c r="P23" s="204"/>
      <c r="Q23" s="204"/>
      <c r="R23" s="204"/>
      <c r="S23" s="204"/>
      <c r="T23" s="204"/>
      <c r="U23" s="204"/>
      <c r="V23" s="204"/>
      <c r="W23" s="204"/>
      <c r="X23" s="204"/>
      <c r="Y23" s="204"/>
      <c r="Z23" s="204"/>
      <c r="AA23" s="204"/>
      <c r="AB23" s="204"/>
      <c r="AC23" s="204"/>
      <c r="AD23" s="204"/>
      <c r="AE23" s="204"/>
      <c r="AF23" s="204"/>
      <c r="AG23" s="204"/>
      <c r="AH23" s="204"/>
      <c r="AI23" s="204"/>
      <c r="AJ23" s="204"/>
      <c r="AK23" s="204"/>
      <c r="AL23" s="204"/>
      <c r="AM23" s="204"/>
      <c r="AN23" s="204"/>
      <c r="AO23" s="204"/>
      <c r="AP23" s="204"/>
      <c r="AQ23" s="204"/>
      <c r="AR23" s="204"/>
      <c r="AS23" s="204"/>
      <c r="AT23" s="204"/>
      <c r="AU23" s="204"/>
      <c r="AV23" s="204"/>
      <c r="AW23" s="204"/>
      <c r="AX23" s="204"/>
      <c r="AY23" s="204"/>
      <c r="AZ23" s="204"/>
      <c r="BA23" s="204"/>
      <c r="BB23" s="204"/>
      <c r="BC23" s="204"/>
      <c r="BD23" s="204"/>
      <c r="BE23" s="204"/>
      <c r="BF23" s="204"/>
      <c r="BG23" s="204"/>
      <c r="BH23" s="204"/>
      <c r="BI23" s="204"/>
      <c r="BJ23" s="204"/>
      <c r="BK23" s="204"/>
      <c r="BL23" s="204"/>
      <c r="BM23" s="204"/>
      <c r="BN23" s="204"/>
      <c r="BO23" s="204"/>
      <c r="BP23" s="204"/>
      <c r="BQ23" s="204"/>
      <c r="BR23" s="204"/>
      <c r="BS23" s="204"/>
      <c r="BT23" s="204"/>
      <c r="BU23" s="204"/>
      <c r="BV23" s="204"/>
      <c r="BW23" s="204"/>
      <c r="BX23" s="204"/>
      <c r="BY23" s="204"/>
      <c r="BZ23" s="204"/>
      <c r="CA23" s="204"/>
      <c r="CB23" s="204"/>
      <c r="CC23" s="204"/>
      <c r="CD23" s="204"/>
      <c r="CE23" s="204"/>
      <c r="CF23" s="204"/>
      <c r="CG23" s="204"/>
      <c r="CH23" s="204"/>
      <c r="CI23" s="204"/>
      <c r="CJ23" s="204"/>
      <c r="CK23" s="204"/>
      <c r="CL23" s="204"/>
      <c r="CM23" s="204"/>
      <c r="CN23" s="204"/>
      <c r="CO23" s="204"/>
      <c r="CP23" s="204"/>
      <c r="CQ23" s="204"/>
      <c r="CR23" s="204"/>
      <c r="CS23" s="204"/>
      <c r="CT23" s="204"/>
      <c r="CU23" s="204"/>
      <c r="CV23" s="204"/>
      <c r="CW23" s="204"/>
      <c r="CX23" s="204"/>
      <c r="CY23" s="204"/>
      <c r="CZ23" s="204"/>
      <c r="DA23" s="204"/>
      <c r="DB23" s="204"/>
      <c r="DC23" s="204"/>
      <c r="DD23" s="204"/>
      <c r="DE23" s="204"/>
      <c r="DF23" s="204"/>
      <c r="DG23" s="204"/>
      <c r="DH23" s="204"/>
      <c r="DI23" s="204"/>
      <c r="DJ23" s="204"/>
      <c r="DK23" s="204"/>
      <c r="DL23" s="204"/>
      <c r="DM23" s="204"/>
      <c r="DN23" s="204"/>
      <c r="DO23" s="204"/>
      <c r="DP23" s="204"/>
      <c r="DQ23" s="204"/>
      <c r="DR23" s="204"/>
      <c r="DS23" s="204"/>
      <c r="DT23" s="204"/>
      <c r="DU23" s="204"/>
      <c r="DV23" s="204"/>
      <c r="DW23" s="204"/>
      <c r="DX23" s="204"/>
      <c r="DY23" s="204"/>
      <c r="DZ23" s="204"/>
      <c r="EA23" s="204"/>
      <c r="EB23" s="204"/>
      <c r="EC23" s="204"/>
      <c r="ED23" s="204"/>
      <c r="EE23" s="204"/>
      <c r="EF23" s="204"/>
      <c r="EG23" s="204"/>
      <c r="EH23" s="204"/>
      <c r="EI23" s="204"/>
      <c r="EJ23" s="204"/>
      <c r="EK23" s="204"/>
      <c r="EL23" s="204"/>
      <c r="EM23" s="204"/>
      <c r="EN23" s="204"/>
      <c r="EO23" s="204"/>
      <c r="EP23" s="204"/>
      <c r="EQ23" s="204"/>
      <c r="ER23" s="204"/>
      <c r="ES23" s="204"/>
      <c r="ET23" s="204"/>
      <c r="EU23" s="204"/>
      <c r="EV23" s="204"/>
      <c r="EW23" s="204"/>
      <c r="EX23" s="204"/>
      <c r="EY23" s="204"/>
      <c r="EZ23" s="204"/>
      <c r="FA23" s="204"/>
      <c r="FB23" s="204"/>
      <c r="FC23" s="204"/>
      <c r="FD23" s="204"/>
      <c r="FE23" s="204"/>
      <c r="FF23" s="204"/>
      <c r="FG23" s="204"/>
      <c r="FH23" s="204"/>
      <c r="FI23" s="204"/>
      <c r="FJ23" s="204"/>
      <c r="FK23" s="204"/>
      <c r="FL23" s="204"/>
      <c r="FM23" s="204"/>
      <c r="FN23" s="204"/>
      <c r="FO23" s="204"/>
      <c r="FP23" s="204"/>
      <c r="FQ23" s="204"/>
      <c r="FR23" s="204"/>
      <c r="FS23" s="204"/>
      <c r="FT23" s="204"/>
      <c r="FU23" s="204"/>
      <c r="FV23" s="204"/>
      <c r="FW23" s="204"/>
      <c r="FX23" s="204"/>
      <c r="FY23" s="204"/>
      <c r="FZ23" s="204"/>
      <c r="GA23" s="204"/>
      <c r="GB23" s="204"/>
      <c r="GC23" s="204"/>
      <c r="GD23" s="204"/>
      <c r="GE23" s="204"/>
      <c r="GF23" s="204"/>
      <c r="GG23" s="204"/>
      <c r="GH23" s="204"/>
      <c r="GI23" s="204"/>
      <c r="GJ23" s="204"/>
      <c r="GK23" s="204"/>
      <c r="GL23" s="204"/>
      <c r="GM23" s="204"/>
      <c r="GN23" s="204"/>
      <c r="GO23" s="204"/>
      <c r="GP23" s="204"/>
      <c r="GQ23" s="204"/>
      <c r="GR23" s="204"/>
      <c r="GS23" s="204"/>
      <c r="GT23" s="204"/>
      <c r="GU23" s="204"/>
      <c r="GV23" s="204"/>
      <c r="GW23" s="204"/>
      <c r="GX23" s="204"/>
      <c r="GY23" s="204"/>
      <c r="GZ23" s="204"/>
      <c r="HA23" s="204"/>
      <c r="HB23" s="204"/>
      <c r="HC23" s="204"/>
      <c r="HD23" s="204"/>
      <c r="HE23" s="204"/>
      <c r="HF23" s="204"/>
      <c r="HG23" s="204"/>
      <c r="HH23" s="204"/>
      <c r="HI23" s="204"/>
      <c r="HJ23" s="204"/>
      <c r="HK23" s="204"/>
      <c r="HL23" s="204"/>
      <c r="HM23" s="204"/>
      <c r="HN23" s="204"/>
      <c r="HO23" s="204"/>
      <c r="HP23" s="204"/>
      <c r="HQ23" s="204"/>
      <c r="HR23" s="204"/>
      <c r="HS23" s="204"/>
      <c r="HT23" s="204"/>
      <c r="HU23" s="204"/>
      <c r="HV23" s="204"/>
      <c r="HW23" s="204"/>
      <c r="HX23" s="204"/>
      <c r="HY23" s="204"/>
      <c r="HZ23" s="204"/>
      <c r="IA23" s="204"/>
      <c r="IB23" s="204"/>
      <c r="IC23" s="204"/>
      <c r="ID23" s="204"/>
      <c r="IE23" s="204"/>
      <c r="IF23" s="204"/>
      <c r="IG23" s="204"/>
      <c r="IH23" s="204"/>
      <c r="II23" s="204"/>
      <c r="IJ23" s="204"/>
      <c r="IK23" s="204"/>
      <c r="IL23" s="204"/>
      <c r="IM23" s="204"/>
      <c r="IN23" s="204"/>
      <c r="IO23" s="204"/>
      <c r="IP23" s="204"/>
      <c r="IQ23" s="204"/>
      <c r="IR23" s="204"/>
      <c r="IS23" s="204"/>
      <c r="IT23" s="204"/>
      <c r="IU23" s="204"/>
      <c r="IV23" s="204"/>
      <c r="IW23" s="204"/>
    </row>
    <row r="24" customFormat="false" ht="12.75" hidden="false" customHeight="false" outlineLevel="0" collapsed="false">
      <c r="A24" s="156"/>
      <c r="B24" s="178"/>
      <c r="C24" s="178"/>
      <c r="D24" s="202"/>
      <c r="E24" s="202"/>
      <c r="F24" s="182"/>
      <c r="G24" s="148"/>
      <c r="H24" s="204"/>
      <c r="I24" s="204"/>
      <c r="J24" s="204"/>
      <c r="K24" s="204"/>
      <c r="L24" s="204"/>
      <c r="M24" s="204"/>
      <c r="N24" s="204"/>
      <c r="O24" s="204"/>
      <c r="P24" s="204"/>
      <c r="Q24" s="204"/>
      <c r="R24" s="204"/>
      <c r="S24" s="204"/>
      <c r="T24" s="204"/>
      <c r="U24" s="204"/>
      <c r="V24" s="204"/>
      <c r="W24" s="204"/>
      <c r="X24" s="204"/>
      <c r="Y24" s="204"/>
      <c r="Z24" s="204"/>
      <c r="AA24" s="204"/>
      <c r="AB24" s="204"/>
      <c r="AC24" s="204"/>
      <c r="AD24" s="204"/>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c r="BU24" s="204"/>
      <c r="BV24" s="204"/>
      <c r="BW24" s="204"/>
      <c r="BX24" s="204"/>
      <c r="BY24" s="204"/>
      <c r="BZ24" s="204"/>
      <c r="CA24" s="204"/>
      <c r="CB24" s="204"/>
      <c r="CC24" s="204"/>
      <c r="CD24" s="204"/>
      <c r="CE24" s="204"/>
      <c r="CF24" s="204"/>
      <c r="CG24" s="204"/>
      <c r="CH24" s="204"/>
      <c r="CI24" s="204"/>
      <c r="CJ24" s="204"/>
      <c r="CK24" s="204"/>
      <c r="CL24" s="204"/>
      <c r="CM24" s="204"/>
      <c r="CN24" s="204"/>
      <c r="CO24" s="204"/>
      <c r="CP24" s="204"/>
      <c r="CQ24" s="204"/>
      <c r="CR24" s="204"/>
      <c r="CS24" s="204"/>
      <c r="CT24" s="204"/>
      <c r="CU24" s="204"/>
      <c r="CV24" s="204"/>
      <c r="CW24" s="204"/>
      <c r="CX24" s="204"/>
      <c r="CY24" s="204"/>
      <c r="CZ24" s="204"/>
      <c r="DA24" s="204"/>
      <c r="DB24" s="204"/>
      <c r="DC24" s="204"/>
      <c r="DD24" s="204"/>
      <c r="DE24" s="204"/>
      <c r="DF24" s="204"/>
      <c r="DG24" s="204"/>
      <c r="DH24" s="204"/>
      <c r="DI24" s="204"/>
      <c r="DJ24" s="204"/>
      <c r="DK24" s="204"/>
      <c r="DL24" s="204"/>
      <c r="DM24" s="204"/>
      <c r="DN24" s="204"/>
      <c r="DO24" s="204"/>
      <c r="DP24" s="204"/>
      <c r="DQ24" s="204"/>
      <c r="DR24" s="204"/>
      <c r="DS24" s="204"/>
      <c r="DT24" s="204"/>
      <c r="DU24" s="204"/>
      <c r="DV24" s="204"/>
      <c r="DW24" s="204"/>
      <c r="DX24" s="204"/>
      <c r="DY24" s="204"/>
      <c r="DZ24" s="204"/>
      <c r="EA24" s="204"/>
      <c r="EB24" s="204"/>
      <c r="EC24" s="204"/>
      <c r="ED24" s="204"/>
      <c r="EE24" s="204"/>
      <c r="EF24" s="204"/>
      <c r="EG24" s="204"/>
      <c r="EH24" s="204"/>
      <c r="EI24" s="204"/>
      <c r="EJ24" s="204"/>
      <c r="EK24" s="204"/>
      <c r="EL24" s="204"/>
      <c r="EM24" s="204"/>
      <c r="EN24" s="204"/>
      <c r="EO24" s="204"/>
      <c r="EP24" s="204"/>
      <c r="EQ24" s="204"/>
      <c r="ER24" s="204"/>
      <c r="ES24" s="204"/>
      <c r="ET24" s="204"/>
      <c r="EU24" s="204"/>
      <c r="EV24" s="204"/>
      <c r="EW24" s="204"/>
      <c r="EX24" s="204"/>
      <c r="EY24" s="204"/>
      <c r="EZ24" s="204"/>
      <c r="FA24" s="204"/>
      <c r="FB24" s="204"/>
      <c r="FC24" s="204"/>
      <c r="FD24" s="204"/>
      <c r="FE24" s="204"/>
      <c r="FF24" s="204"/>
      <c r="FG24" s="204"/>
      <c r="FH24" s="204"/>
      <c r="FI24" s="204"/>
      <c r="FJ24" s="204"/>
      <c r="FK24" s="204"/>
      <c r="FL24" s="204"/>
      <c r="FM24" s="204"/>
      <c r="FN24" s="204"/>
      <c r="FO24" s="204"/>
      <c r="FP24" s="204"/>
      <c r="FQ24" s="204"/>
      <c r="FR24" s="204"/>
      <c r="FS24" s="204"/>
      <c r="FT24" s="204"/>
      <c r="FU24" s="204"/>
      <c r="FV24" s="204"/>
      <c r="FW24" s="204"/>
      <c r="FX24" s="204"/>
      <c r="FY24" s="204"/>
      <c r="FZ24" s="204"/>
      <c r="GA24" s="204"/>
      <c r="GB24" s="204"/>
      <c r="GC24" s="204"/>
      <c r="GD24" s="204"/>
      <c r="GE24" s="204"/>
      <c r="GF24" s="204"/>
      <c r="GG24" s="204"/>
      <c r="GH24" s="204"/>
      <c r="GI24" s="204"/>
      <c r="GJ24" s="204"/>
      <c r="GK24" s="204"/>
      <c r="GL24" s="204"/>
      <c r="GM24" s="204"/>
      <c r="GN24" s="204"/>
      <c r="GO24" s="204"/>
      <c r="GP24" s="204"/>
      <c r="GQ24" s="204"/>
      <c r="GR24" s="204"/>
      <c r="GS24" s="204"/>
      <c r="GT24" s="204"/>
      <c r="GU24" s="204"/>
      <c r="GV24" s="204"/>
      <c r="GW24" s="204"/>
      <c r="GX24" s="204"/>
      <c r="GY24" s="204"/>
      <c r="GZ24" s="204"/>
      <c r="HA24" s="204"/>
      <c r="HB24" s="204"/>
      <c r="HC24" s="204"/>
      <c r="HD24" s="204"/>
      <c r="HE24" s="204"/>
      <c r="HF24" s="204"/>
      <c r="HG24" s="204"/>
      <c r="HH24" s="204"/>
      <c r="HI24" s="204"/>
      <c r="HJ24" s="204"/>
      <c r="HK24" s="204"/>
      <c r="HL24" s="204"/>
      <c r="HM24" s="204"/>
      <c r="HN24" s="204"/>
      <c r="HO24" s="204"/>
      <c r="HP24" s="204"/>
      <c r="HQ24" s="204"/>
      <c r="HR24" s="204"/>
      <c r="HS24" s="204"/>
      <c r="HT24" s="204"/>
      <c r="HU24" s="204"/>
      <c r="HV24" s="204"/>
      <c r="HW24" s="204"/>
      <c r="HX24" s="204"/>
      <c r="HY24" s="204"/>
      <c r="HZ24" s="204"/>
      <c r="IA24" s="204"/>
      <c r="IB24" s="204"/>
      <c r="IC24" s="204"/>
      <c r="ID24" s="204"/>
      <c r="IE24" s="204"/>
      <c r="IF24" s="204"/>
      <c r="IG24" s="204"/>
      <c r="IH24" s="204"/>
      <c r="II24" s="204"/>
      <c r="IJ24" s="204"/>
      <c r="IK24" s="204"/>
      <c r="IL24" s="204"/>
      <c r="IM24" s="204"/>
      <c r="IN24" s="204"/>
      <c r="IO24" s="204"/>
      <c r="IP24" s="204"/>
      <c r="IQ24" s="204"/>
      <c r="IR24" s="204"/>
      <c r="IS24" s="204"/>
      <c r="IT24" s="204"/>
      <c r="IU24" s="204"/>
      <c r="IV24" s="204"/>
      <c r="IW24" s="204"/>
    </row>
    <row r="25" customFormat="false" ht="12.75" hidden="false" customHeight="false" outlineLevel="0" collapsed="false">
      <c r="A25" s="132"/>
      <c r="B25" s="178" t="s">
        <v>177</v>
      </c>
      <c r="C25" s="205" t="str">
        <f aca="false">Admin!B24</f>
        <v>2022-23</v>
      </c>
      <c r="D25" s="206" t="s">
        <v>178</v>
      </c>
      <c r="E25" s="197" t="n">
        <f aca="false">E18</f>
        <v>5287.18</v>
      </c>
      <c r="F25" s="173"/>
      <c r="G25" s="148"/>
    </row>
    <row r="26" customFormat="false" ht="12.75" hidden="false" customHeight="false" outlineLevel="0" collapsed="false">
      <c r="A26" s="132"/>
      <c r="B26" s="178" t="s">
        <v>179</v>
      </c>
      <c r="C26" s="178"/>
      <c r="D26" s="207" t="n">
        <f aca="false">Admin!B21</f>
        <v>44957</v>
      </c>
      <c r="E26" s="180" t="n">
        <f aca="false">E25/2</f>
        <v>2643.59</v>
      </c>
      <c r="F26" s="173"/>
      <c r="G26" s="148"/>
    </row>
    <row r="27" customFormat="false" ht="12.75" hidden="false" customHeight="false" outlineLevel="0" collapsed="false">
      <c r="A27" s="132"/>
      <c r="B27" s="178" t="s">
        <v>179</v>
      </c>
      <c r="C27" s="178"/>
      <c r="D27" s="207" t="n">
        <f aca="false">Admin!B22</f>
        <v>45138</v>
      </c>
      <c r="E27" s="180" t="n">
        <f aca="false">E25/2</f>
        <v>2643.59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customFormat="fals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c r="T1" s="235"/>
      <c r="U1" s="235"/>
      <c r="V1" s="235"/>
      <c r="W1" s="235"/>
      <c r="X1" s="235"/>
      <c r="Y1" s="235"/>
      <c r="Z1" s="235"/>
      <c r="AA1" s="235"/>
      <c r="AB1" s="235"/>
      <c r="AC1" s="235"/>
      <c r="AD1" s="235"/>
      <c r="AE1" s="235"/>
      <c r="AF1" s="235"/>
      <c r="AG1" s="235"/>
      <c r="AH1" s="235"/>
      <c r="AI1" s="235"/>
      <c r="AJ1" s="235"/>
      <c r="AK1" s="235"/>
      <c r="AL1" s="235"/>
      <c r="AM1" s="235"/>
      <c r="AN1" s="235"/>
      <c r="AO1" s="235"/>
      <c r="AP1" s="235"/>
      <c r="AQ1" s="235"/>
      <c r="AR1" s="235"/>
      <c r="AS1" s="235"/>
      <c r="AT1" s="235"/>
      <c r="AU1" s="235"/>
      <c r="AV1" s="235"/>
      <c r="AW1" s="235"/>
      <c r="AX1" s="235"/>
      <c r="AY1" s="235"/>
      <c r="AZ1" s="235"/>
      <c r="BA1" s="235"/>
      <c r="BB1" s="235"/>
      <c r="BC1" s="235"/>
      <c r="BD1" s="235"/>
      <c r="BE1" s="235"/>
      <c r="BF1" s="235"/>
      <c r="BG1" s="235"/>
      <c r="BH1" s="235"/>
      <c r="BI1" s="235"/>
      <c r="BJ1" s="235"/>
      <c r="BK1" s="235"/>
      <c r="BL1" s="235"/>
      <c r="BM1" s="235"/>
      <c r="BN1" s="235"/>
      <c r="BO1" s="235"/>
      <c r="BP1" s="235"/>
      <c r="BQ1" s="235"/>
      <c r="BR1" s="235"/>
      <c r="BS1" s="235"/>
      <c r="BT1" s="235"/>
      <c r="BU1" s="235"/>
      <c r="BV1" s="235"/>
      <c r="BW1" s="235"/>
      <c r="BX1" s="235"/>
      <c r="BY1" s="235"/>
      <c r="BZ1" s="235"/>
      <c r="CA1" s="235"/>
      <c r="CB1" s="235"/>
      <c r="CC1" s="235"/>
      <c r="CD1" s="235"/>
      <c r="CE1" s="235"/>
      <c r="CF1" s="235"/>
      <c r="CG1" s="235"/>
      <c r="CH1" s="235"/>
      <c r="CI1" s="235"/>
      <c r="CJ1" s="235"/>
      <c r="CK1" s="235"/>
      <c r="CL1" s="235"/>
      <c r="CM1" s="235"/>
      <c r="CN1" s="235"/>
      <c r="CO1" s="235"/>
      <c r="CP1" s="235"/>
      <c r="CQ1" s="235"/>
      <c r="CR1" s="235"/>
      <c r="CS1" s="235"/>
      <c r="CT1" s="235"/>
      <c r="CU1" s="235"/>
      <c r="CV1" s="235"/>
      <c r="CW1" s="235"/>
      <c r="CX1" s="235"/>
      <c r="CY1" s="235"/>
      <c r="CZ1" s="235"/>
      <c r="DA1" s="235"/>
      <c r="DB1" s="235"/>
      <c r="DC1" s="235"/>
      <c r="DD1" s="235"/>
      <c r="DE1" s="235"/>
      <c r="DF1" s="235"/>
      <c r="DG1" s="235"/>
      <c r="DH1" s="235"/>
      <c r="DI1" s="235"/>
      <c r="DJ1" s="235"/>
      <c r="DK1" s="235"/>
      <c r="DL1" s="235"/>
      <c r="DM1" s="235"/>
      <c r="DN1" s="235"/>
      <c r="DO1" s="235"/>
      <c r="DP1" s="235"/>
      <c r="DQ1" s="235"/>
      <c r="DR1" s="235"/>
      <c r="DS1" s="235"/>
      <c r="DT1" s="235"/>
      <c r="DU1" s="235"/>
      <c r="DV1" s="235"/>
      <c r="DW1" s="235"/>
      <c r="DX1" s="235"/>
      <c r="DY1" s="235"/>
      <c r="DZ1" s="235"/>
      <c r="EA1" s="235"/>
      <c r="EB1" s="235"/>
      <c r="EC1" s="235"/>
      <c r="ED1" s="235"/>
      <c r="EE1" s="235"/>
      <c r="EF1" s="235"/>
      <c r="EG1" s="235"/>
      <c r="EH1" s="235"/>
      <c r="EI1" s="235"/>
      <c r="EJ1" s="235"/>
      <c r="EK1" s="235"/>
      <c r="EL1" s="235"/>
      <c r="EM1" s="235"/>
      <c r="EN1" s="235"/>
      <c r="EO1" s="235"/>
      <c r="EP1" s="235"/>
      <c r="EQ1" s="235"/>
      <c r="ER1" s="235"/>
      <c r="ES1" s="235"/>
      <c r="ET1" s="235"/>
      <c r="EU1" s="235"/>
      <c r="EV1" s="235"/>
      <c r="EW1" s="235"/>
      <c r="EX1" s="235"/>
      <c r="EY1" s="235"/>
      <c r="EZ1" s="235"/>
      <c r="FA1" s="235"/>
      <c r="FB1" s="235"/>
      <c r="FC1" s="235"/>
      <c r="FD1" s="235"/>
      <c r="FE1" s="235"/>
      <c r="FF1" s="235"/>
      <c r="FG1" s="235"/>
      <c r="FH1" s="235"/>
      <c r="FI1" s="235"/>
      <c r="FJ1" s="235"/>
      <c r="FK1" s="235"/>
      <c r="FL1" s="235"/>
      <c r="FM1" s="235"/>
      <c r="FN1" s="235"/>
      <c r="FO1" s="235"/>
      <c r="FP1" s="235"/>
      <c r="FQ1" s="235"/>
      <c r="FR1" s="235"/>
      <c r="FS1" s="235"/>
      <c r="FT1" s="235"/>
      <c r="FU1" s="235"/>
      <c r="FV1" s="235"/>
      <c r="FW1" s="235"/>
      <c r="FX1" s="235"/>
      <c r="FY1" s="235"/>
      <c r="FZ1" s="235"/>
      <c r="GA1" s="235"/>
      <c r="GB1" s="235"/>
      <c r="GC1" s="235"/>
      <c r="GD1" s="235"/>
      <c r="GE1" s="235"/>
      <c r="GF1" s="235"/>
      <c r="GG1" s="235"/>
      <c r="GH1" s="235"/>
      <c r="GI1" s="235"/>
      <c r="GJ1" s="235"/>
      <c r="GK1" s="235"/>
      <c r="GL1" s="235"/>
      <c r="GM1" s="235"/>
      <c r="GN1" s="235"/>
      <c r="GO1" s="235"/>
      <c r="GP1" s="235"/>
      <c r="GQ1" s="235"/>
      <c r="GR1" s="235"/>
      <c r="GS1" s="235"/>
      <c r="GT1" s="235"/>
      <c r="GU1" s="235"/>
      <c r="GV1" s="235"/>
      <c r="GW1" s="235"/>
      <c r="GX1" s="235"/>
      <c r="GY1" s="235"/>
      <c r="GZ1" s="235"/>
      <c r="HA1" s="235"/>
      <c r="HB1" s="235"/>
      <c r="HC1" s="235"/>
      <c r="HD1" s="235"/>
      <c r="HE1" s="235"/>
      <c r="HF1" s="235"/>
      <c r="HG1" s="235"/>
      <c r="HH1" s="235"/>
      <c r="HI1" s="235"/>
      <c r="HJ1" s="235"/>
      <c r="HK1" s="235"/>
      <c r="HL1" s="235"/>
      <c r="HM1" s="235"/>
      <c r="HN1" s="235"/>
      <c r="HO1" s="235"/>
      <c r="HP1" s="235"/>
      <c r="HQ1" s="235"/>
      <c r="HR1" s="235"/>
      <c r="HS1" s="235"/>
      <c r="HT1" s="235"/>
      <c r="HU1" s="235"/>
      <c r="HV1" s="235"/>
      <c r="HW1" s="235"/>
      <c r="HX1" s="235"/>
      <c r="HY1" s="235"/>
      <c r="HZ1" s="235"/>
      <c r="IA1" s="235"/>
      <c r="IB1" s="235"/>
      <c r="IC1" s="235"/>
      <c r="ID1" s="235"/>
      <c r="IE1" s="235"/>
      <c r="IF1" s="235"/>
      <c r="IG1" s="235"/>
      <c r="IH1" s="235"/>
      <c r="II1" s="235"/>
      <c r="IJ1" s="235"/>
      <c r="IK1" s="235"/>
      <c r="IL1" s="235"/>
      <c r="IM1" s="235"/>
      <c r="IN1" s="235"/>
      <c r="IO1" s="235"/>
      <c r="IP1" s="235"/>
      <c r="IQ1" s="235"/>
      <c r="IR1" s="235"/>
      <c r="IS1" s="235"/>
      <c r="IT1" s="235"/>
      <c r="IU1" s="235"/>
      <c r="IV1" s="235"/>
      <c r="IW1" s="235"/>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customFormat="false" ht="12.75" hidden="false" customHeight="true" outlineLevel="0" collapsed="false">
      <c r="A4" s="225"/>
      <c r="B4" s="226"/>
      <c r="C4" s="236"/>
      <c r="D4" s="237"/>
      <c r="E4" s="238"/>
      <c r="F4" s="229"/>
      <c r="G4" s="230"/>
      <c r="H4" s="229"/>
      <c r="I4" s="241" t="n">
        <f aca="false">Admin!B4</f>
        <v>44292</v>
      </c>
      <c r="J4" s="242" t="n">
        <f aca="false">Admin!G4</f>
        <v>1</v>
      </c>
      <c r="K4" s="238"/>
      <c r="L4" s="243" t="n">
        <f aca="false">Admin!G5</f>
        <v>0.18</v>
      </c>
      <c r="M4" s="241" t="n">
        <f aca="false">Admin!B17</f>
        <v>44656</v>
      </c>
      <c r="N4" s="232"/>
      <c r="O4" s="233"/>
      <c r="P4" s="239"/>
      <c r="Q4" s="239"/>
      <c r="R4" s="239"/>
      <c r="S4" s="244"/>
      <c r="T4" s="245"/>
      <c r="U4" s="245"/>
      <c r="V4" s="245"/>
      <c r="W4" s="245"/>
      <c r="X4" s="245"/>
      <c r="Y4" s="245"/>
      <c r="Z4" s="245"/>
      <c r="AA4" s="245"/>
      <c r="AB4" s="245"/>
      <c r="AC4" s="245"/>
      <c r="AD4" s="245"/>
      <c r="AE4" s="245"/>
      <c r="AF4" s="245"/>
      <c r="AG4" s="245"/>
      <c r="AH4" s="245"/>
      <c r="AI4" s="245"/>
      <c r="AJ4" s="245"/>
      <c r="AK4" s="245"/>
      <c r="AL4" s="245"/>
      <c r="AM4" s="245"/>
      <c r="AN4" s="245"/>
      <c r="AO4" s="245"/>
      <c r="AP4" s="245"/>
      <c r="AQ4" s="245"/>
      <c r="AR4" s="245"/>
      <c r="AS4" s="245"/>
      <c r="AT4" s="245"/>
      <c r="AU4" s="245"/>
      <c r="AV4" s="245"/>
      <c r="AW4" s="245"/>
      <c r="AX4" s="245"/>
      <c r="AY4" s="245"/>
      <c r="AZ4" s="245"/>
      <c r="BA4" s="245"/>
      <c r="BB4" s="245"/>
      <c r="BC4" s="245"/>
      <c r="BD4" s="245"/>
      <c r="BE4" s="245"/>
      <c r="BF4" s="245"/>
      <c r="BG4" s="245"/>
      <c r="BH4" s="245"/>
      <c r="BI4" s="245"/>
      <c r="BJ4" s="245"/>
      <c r="BK4" s="245"/>
      <c r="BL4" s="245"/>
      <c r="BM4" s="245"/>
      <c r="BN4" s="245"/>
      <c r="BO4" s="245"/>
      <c r="BP4" s="245"/>
      <c r="BQ4" s="245"/>
      <c r="BR4" s="245"/>
      <c r="BS4" s="245"/>
      <c r="BT4" s="245"/>
      <c r="BU4" s="245"/>
      <c r="BV4" s="245"/>
      <c r="BW4" s="245"/>
      <c r="BX4" s="245"/>
      <c r="BY4" s="245"/>
      <c r="BZ4" s="245"/>
      <c r="CA4" s="245"/>
      <c r="CB4" s="245"/>
      <c r="CC4" s="245"/>
      <c r="CD4" s="245"/>
      <c r="CE4" s="245"/>
      <c r="CF4" s="245"/>
      <c r="CG4" s="245"/>
      <c r="CH4" s="245"/>
      <c r="CI4" s="245"/>
      <c r="CJ4" s="245"/>
      <c r="CK4" s="245"/>
      <c r="CL4" s="245"/>
      <c r="CM4" s="245"/>
      <c r="CN4" s="245"/>
      <c r="CO4" s="245"/>
      <c r="CP4" s="245"/>
      <c r="CQ4" s="245"/>
      <c r="CR4" s="245"/>
      <c r="CS4" s="245"/>
      <c r="CT4" s="245"/>
      <c r="CU4" s="245"/>
      <c r="CV4" s="245"/>
      <c r="CW4" s="245"/>
      <c r="CX4" s="245"/>
      <c r="CY4" s="245"/>
      <c r="CZ4" s="245"/>
      <c r="DA4" s="245"/>
      <c r="DB4" s="245"/>
      <c r="DC4" s="245"/>
      <c r="DD4" s="245"/>
      <c r="DE4" s="245"/>
      <c r="DF4" s="245"/>
      <c r="DG4" s="245"/>
      <c r="DH4" s="245"/>
      <c r="DI4" s="245"/>
      <c r="DJ4" s="245"/>
      <c r="DK4" s="245"/>
      <c r="DL4" s="245"/>
      <c r="DM4" s="245"/>
      <c r="DN4" s="245"/>
      <c r="DO4" s="245"/>
      <c r="DP4" s="245"/>
      <c r="DQ4" s="245"/>
      <c r="DR4" s="245"/>
      <c r="DS4" s="245"/>
      <c r="DT4" s="245"/>
      <c r="DU4" s="245"/>
      <c r="DV4" s="245"/>
      <c r="DW4" s="245"/>
      <c r="DX4" s="245"/>
      <c r="DY4" s="245"/>
      <c r="DZ4" s="245"/>
      <c r="EA4" s="245"/>
      <c r="EB4" s="245"/>
      <c r="EC4" s="245"/>
      <c r="ED4" s="245"/>
      <c r="EE4" s="245"/>
      <c r="EF4" s="245"/>
      <c r="EG4" s="245"/>
      <c r="EH4" s="245"/>
      <c r="EI4" s="245"/>
      <c r="EJ4" s="245"/>
      <c r="EK4" s="245"/>
      <c r="EL4" s="245"/>
      <c r="EM4" s="245"/>
      <c r="EN4" s="245"/>
      <c r="EO4" s="245"/>
      <c r="EP4" s="245"/>
      <c r="EQ4" s="245"/>
      <c r="ER4" s="245"/>
      <c r="ES4" s="245"/>
      <c r="ET4" s="245"/>
      <c r="EU4" s="245"/>
      <c r="EV4" s="245"/>
      <c r="EW4" s="245"/>
      <c r="EX4" s="245"/>
      <c r="EY4" s="245"/>
      <c r="EZ4" s="245"/>
      <c r="FA4" s="245"/>
      <c r="FB4" s="245"/>
      <c r="FC4" s="245"/>
      <c r="FD4" s="245"/>
      <c r="FE4" s="245"/>
      <c r="FF4" s="245"/>
      <c r="FG4" s="245"/>
      <c r="FH4" s="245"/>
      <c r="FI4" s="245"/>
      <c r="FJ4" s="245"/>
      <c r="FK4" s="245"/>
      <c r="FL4" s="245"/>
      <c r="FM4" s="245"/>
      <c r="FN4" s="245"/>
      <c r="FO4" s="245"/>
      <c r="FP4" s="245"/>
      <c r="FQ4" s="245"/>
      <c r="FR4" s="245"/>
      <c r="FS4" s="245"/>
      <c r="FT4" s="245"/>
      <c r="FU4" s="245"/>
      <c r="FV4" s="245"/>
      <c r="FW4" s="245"/>
      <c r="FX4" s="245"/>
      <c r="FY4" s="245"/>
      <c r="FZ4" s="245"/>
      <c r="GA4" s="245"/>
      <c r="GB4" s="245"/>
      <c r="GC4" s="245"/>
      <c r="GD4" s="245"/>
      <c r="GE4" s="245"/>
      <c r="GF4" s="245"/>
      <c r="GG4" s="245"/>
      <c r="GH4" s="245"/>
      <c r="GI4" s="245"/>
      <c r="GJ4" s="245"/>
      <c r="GK4" s="245"/>
      <c r="GL4" s="245"/>
      <c r="GM4" s="245"/>
      <c r="GN4" s="245"/>
      <c r="GO4" s="245"/>
      <c r="GP4" s="245"/>
      <c r="GQ4" s="245"/>
      <c r="GR4" s="245"/>
      <c r="GS4" s="245"/>
      <c r="GT4" s="245"/>
      <c r="GU4" s="245"/>
      <c r="GV4" s="245"/>
      <c r="GW4" s="245"/>
      <c r="GX4" s="245"/>
      <c r="GY4" s="245"/>
      <c r="GZ4" s="245"/>
      <c r="HA4" s="245"/>
      <c r="HB4" s="245"/>
      <c r="HC4" s="245"/>
      <c r="HD4" s="245"/>
      <c r="HE4" s="245"/>
      <c r="HF4" s="245"/>
      <c r="HG4" s="245"/>
      <c r="HH4" s="245"/>
      <c r="HI4" s="245"/>
      <c r="HJ4" s="245"/>
      <c r="HK4" s="245"/>
      <c r="HL4" s="245"/>
      <c r="HM4" s="245"/>
      <c r="HN4" s="245"/>
      <c r="HO4" s="245"/>
      <c r="HP4" s="245"/>
      <c r="HQ4" s="245"/>
      <c r="HR4" s="245"/>
      <c r="HS4" s="245"/>
      <c r="HT4" s="245"/>
      <c r="HU4" s="245"/>
      <c r="HV4" s="245"/>
      <c r="HW4" s="245"/>
      <c r="HX4" s="245"/>
      <c r="HY4" s="245"/>
      <c r="HZ4" s="245"/>
      <c r="IA4" s="245"/>
      <c r="IB4" s="245"/>
      <c r="IC4" s="245"/>
      <c r="ID4" s="245"/>
      <c r="IE4" s="245"/>
      <c r="IF4" s="245"/>
      <c r="IG4" s="245"/>
      <c r="IH4" s="245"/>
      <c r="II4" s="245"/>
      <c r="IJ4" s="245"/>
      <c r="IK4" s="245"/>
      <c r="IL4" s="245"/>
      <c r="IM4" s="245"/>
      <c r="IN4" s="245"/>
      <c r="IO4" s="245"/>
      <c r="IP4" s="245"/>
      <c r="IQ4" s="245"/>
      <c r="IR4" s="245"/>
      <c r="IS4" s="245"/>
      <c r="IT4" s="245"/>
      <c r="IU4" s="245"/>
      <c r="IV4" s="245"/>
      <c r="IW4" s="245"/>
    </row>
    <row r="5" customFormat="false" ht="6" hidden="false" customHeight="true" outlineLevel="0" collapsed="false">
      <c r="A5" s="246"/>
      <c r="B5" s="247"/>
      <c r="C5" s="248"/>
      <c r="D5" s="249"/>
      <c r="E5" s="250"/>
      <c r="F5" s="251"/>
      <c r="G5" s="252"/>
      <c r="H5" s="251"/>
      <c r="I5" s="250"/>
      <c r="J5" s="249"/>
      <c r="K5" s="253"/>
      <c r="L5" s="254"/>
      <c r="M5" s="250"/>
      <c r="N5" s="251"/>
      <c r="O5" s="247"/>
      <c r="P5" s="250"/>
      <c r="Q5" s="250"/>
      <c r="R5" s="250"/>
      <c r="S5" s="244"/>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245"/>
      <c r="IH5" s="245"/>
      <c r="II5" s="245"/>
      <c r="IJ5" s="245"/>
      <c r="IK5" s="245"/>
      <c r="IL5" s="245"/>
      <c r="IM5" s="245"/>
      <c r="IN5" s="245"/>
      <c r="IO5" s="245"/>
      <c r="IP5" s="245"/>
      <c r="IQ5" s="245"/>
      <c r="IR5" s="245"/>
      <c r="IS5" s="245"/>
      <c r="IT5" s="245"/>
      <c r="IU5" s="245"/>
      <c r="IV5" s="245"/>
      <c r="IW5" s="245"/>
    </row>
    <row r="6" customFormat="false" ht="13.5" hidden="false" customHeight="true" outlineLevel="0" collapsed="false">
      <c r="A6" s="255"/>
      <c r="B6" s="256" t="s">
        <v>202</v>
      </c>
      <c r="C6" s="256"/>
      <c r="D6" s="257" t="n">
        <f aca="false">Admin!B$4</f>
        <v>44292</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44292</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44292</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44292</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44292</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44316</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44347</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44377</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44408</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44439</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44469</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44500</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44530</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44561</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44592</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44620</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44656</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customFormat="false" ht="24.75" hidden="false" customHeight="true" outlineLevel="0" collapsed="false">
      <c r="A1" s="321"/>
      <c r="B1" s="322" t="s">
        <v>225</v>
      </c>
      <c r="C1" s="323" t="s">
        <v>226</v>
      </c>
      <c r="D1" s="324"/>
      <c r="E1" s="322" t="s">
        <v>227</v>
      </c>
      <c r="F1" s="323" t="s">
        <v>228</v>
      </c>
      <c r="G1" s="321"/>
      <c r="H1" s="325"/>
      <c r="I1" s="325"/>
      <c r="J1" s="325"/>
      <c r="K1" s="325"/>
      <c r="L1" s="325"/>
      <c r="M1" s="325"/>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5"/>
      <c r="BA1" s="325"/>
      <c r="BB1" s="325"/>
      <c r="BC1" s="325"/>
      <c r="BD1" s="325"/>
      <c r="BE1" s="325"/>
      <c r="BF1" s="325"/>
      <c r="BG1" s="325"/>
      <c r="BH1" s="325"/>
      <c r="BI1" s="325"/>
      <c r="BJ1" s="325"/>
      <c r="BK1" s="325"/>
      <c r="BL1" s="325"/>
      <c r="BM1" s="325"/>
      <c r="BN1" s="325"/>
      <c r="BO1" s="325"/>
      <c r="BP1" s="325"/>
      <c r="BQ1" s="325"/>
      <c r="BR1" s="325"/>
      <c r="BS1" s="325"/>
      <c r="BT1" s="325"/>
      <c r="BU1" s="325"/>
      <c r="BV1" s="325"/>
      <c r="BW1" s="325"/>
      <c r="BX1" s="325"/>
      <c r="BY1" s="325"/>
      <c r="BZ1" s="325"/>
      <c r="CA1" s="325"/>
      <c r="CB1" s="325"/>
      <c r="CC1" s="325"/>
      <c r="CD1" s="325"/>
      <c r="CE1" s="325"/>
      <c r="CF1" s="325"/>
      <c r="CG1" s="325"/>
      <c r="CH1" s="325"/>
      <c r="CI1" s="325"/>
      <c r="CJ1" s="325"/>
      <c r="CK1" s="325"/>
      <c r="CL1" s="325"/>
      <c r="CM1" s="325"/>
      <c r="CN1" s="325"/>
      <c r="CO1" s="325"/>
      <c r="CP1" s="325"/>
      <c r="CQ1" s="325"/>
      <c r="CR1" s="325"/>
      <c r="CS1" s="325"/>
      <c r="CT1" s="325"/>
      <c r="CU1" s="325"/>
      <c r="CV1" s="325"/>
      <c r="CW1" s="325"/>
      <c r="CX1" s="325"/>
      <c r="CY1" s="325"/>
      <c r="CZ1" s="325"/>
      <c r="DA1" s="325"/>
      <c r="DB1" s="325"/>
      <c r="DC1" s="325"/>
      <c r="DD1" s="325"/>
      <c r="DE1" s="325"/>
      <c r="DF1" s="325"/>
      <c r="DG1" s="325"/>
      <c r="DH1" s="325"/>
      <c r="DI1" s="325"/>
      <c r="DJ1" s="325"/>
      <c r="DK1" s="325"/>
      <c r="DL1" s="325"/>
      <c r="DM1" s="325"/>
      <c r="DN1" s="325"/>
      <c r="DO1" s="325"/>
      <c r="DP1" s="325"/>
      <c r="DQ1" s="325"/>
      <c r="DR1" s="325"/>
      <c r="DS1" s="325"/>
      <c r="DT1" s="325"/>
      <c r="DU1" s="325"/>
      <c r="DV1" s="325"/>
      <c r="DW1" s="325"/>
      <c r="DX1" s="325"/>
      <c r="DY1" s="325"/>
      <c r="DZ1" s="325"/>
      <c r="EA1" s="325"/>
      <c r="EB1" s="325"/>
      <c r="EC1" s="325"/>
      <c r="ED1" s="325"/>
      <c r="EE1" s="325"/>
      <c r="EF1" s="325"/>
      <c r="EG1" s="325"/>
      <c r="EH1" s="325"/>
      <c r="EI1" s="325"/>
      <c r="EJ1" s="325"/>
      <c r="EK1" s="325"/>
      <c r="EL1" s="325"/>
      <c r="EM1" s="325"/>
      <c r="EN1" s="325"/>
      <c r="EO1" s="325"/>
      <c r="EP1" s="325"/>
      <c r="EQ1" s="325"/>
      <c r="ER1" s="325"/>
      <c r="ES1" s="325"/>
      <c r="ET1" s="325"/>
      <c r="EU1" s="325"/>
      <c r="EV1" s="325"/>
      <c r="EW1" s="325"/>
      <c r="EX1" s="325"/>
      <c r="EY1" s="325"/>
      <c r="EZ1" s="325"/>
      <c r="FA1" s="325"/>
      <c r="FB1" s="325"/>
      <c r="FC1" s="325"/>
      <c r="FD1" s="325"/>
      <c r="FE1" s="325"/>
      <c r="FF1" s="325"/>
      <c r="FG1" s="325"/>
      <c r="FH1" s="325"/>
      <c r="FI1" s="325"/>
      <c r="FJ1" s="325"/>
      <c r="FK1" s="325"/>
      <c r="FL1" s="325"/>
      <c r="FM1" s="325"/>
      <c r="FN1" s="325"/>
      <c r="FO1" s="325"/>
      <c r="FP1" s="325"/>
      <c r="FQ1" s="325"/>
      <c r="FR1" s="325"/>
      <c r="FS1" s="325"/>
      <c r="FT1" s="325"/>
      <c r="FU1" s="325"/>
      <c r="FV1" s="325"/>
      <c r="FW1" s="325"/>
      <c r="FX1" s="325"/>
      <c r="FY1" s="325"/>
      <c r="FZ1" s="325"/>
      <c r="GA1" s="325"/>
      <c r="GB1" s="325"/>
      <c r="GC1" s="325"/>
      <c r="GD1" s="325"/>
      <c r="GE1" s="325"/>
      <c r="GF1" s="325"/>
      <c r="GG1" s="325"/>
      <c r="GH1" s="325"/>
      <c r="GI1" s="325"/>
      <c r="GJ1" s="325"/>
      <c r="GK1" s="325"/>
      <c r="GL1" s="325"/>
      <c r="GM1" s="325"/>
      <c r="GN1" s="325"/>
      <c r="GO1" s="325"/>
      <c r="GP1" s="325"/>
      <c r="GQ1" s="325"/>
      <c r="GR1" s="325"/>
      <c r="GS1" s="325"/>
      <c r="GT1" s="325"/>
      <c r="GU1" s="325"/>
      <c r="GV1" s="325"/>
      <c r="GW1" s="325"/>
      <c r="GX1" s="325"/>
      <c r="GY1" s="325"/>
      <c r="GZ1" s="325"/>
      <c r="HA1" s="325"/>
      <c r="HB1" s="325"/>
      <c r="HC1" s="325"/>
      <c r="HD1" s="325"/>
      <c r="HE1" s="325"/>
      <c r="HF1" s="325"/>
      <c r="HG1" s="325"/>
      <c r="HH1" s="325"/>
      <c r="HI1" s="325"/>
      <c r="HJ1" s="325"/>
      <c r="HK1" s="325"/>
      <c r="HL1" s="325"/>
      <c r="HM1" s="325"/>
      <c r="HN1" s="325"/>
      <c r="HO1" s="325"/>
      <c r="HP1" s="325"/>
      <c r="HQ1" s="325"/>
      <c r="HR1" s="325"/>
      <c r="HS1" s="325"/>
      <c r="HT1" s="325"/>
      <c r="HU1" s="325"/>
      <c r="HV1" s="325"/>
      <c r="HW1" s="325"/>
      <c r="HX1" s="325"/>
      <c r="HY1" s="325"/>
      <c r="HZ1" s="325"/>
      <c r="IA1" s="325"/>
      <c r="IB1" s="325"/>
      <c r="IC1" s="325"/>
      <c r="ID1" s="325"/>
      <c r="IE1" s="325"/>
      <c r="IF1" s="325"/>
      <c r="IG1" s="325"/>
      <c r="IH1" s="325"/>
      <c r="II1" s="325"/>
      <c r="IJ1" s="325"/>
      <c r="IK1" s="325"/>
      <c r="IL1" s="325"/>
      <c r="IM1" s="325"/>
      <c r="IN1" s="325"/>
      <c r="IO1" s="325"/>
      <c r="IP1" s="325"/>
      <c r="IQ1" s="325"/>
      <c r="IR1" s="325"/>
      <c r="IS1" s="325"/>
      <c r="IT1" s="325"/>
      <c r="IU1" s="325"/>
      <c r="IV1" s="325"/>
      <c r="IW1" s="325"/>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44316</v>
      </c>
      <c r="C5" s="332" t="str">
        <f aca="false">IF((SalesApr!$H$1&gt;0),SalesApr!$H$1," ")</f>
        <v> </v>
      </c>
      <c r="D5" s="326"/>
      <c r="E5" s="331" t="n">
        <f aca="false">B5</f>
        <v>44316</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44347</v>
      </c>
      <c r="C7" s="330" t="str">
        <f aca="false">IF((SalesMay!$H$1&gt;0),SalesMay!$H$1," ")</f>
        <v> </v>
      </c>
      <c r="D7" s="326"/>
      <c r="E7" s="331" t="n">
        <f aca="false">B7</f>
        <v>44347</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44377</v>
      </c>
      <c r="C9" s="330" t="str">
        <f aca="false">IF((SalesJun!$H$1&gt;0),SalesJun!$H$1," ")</f>
        <v> </v>
      </c>
      <c r="D9" s="326"/>
      <c r="E9" s="331" t="n">
        <f aca="false">B9</f>
        <v>44377</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44408</v>
      </c>
      <c r="C11" s="330" t="str">
        <f aca="false">IF((SalesJul!$H$1&gt;0),SalesJul!$H$1," ")</f>
        <v> </v>
      </c>
      <c r="D11" s="326"/>
      <c r="E11" s="331" t="n">
        <f aca="false">B11</f>
        <v>44408</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44439</v>
      </c>
      <c r="C13" s="330" t="str">
        <f aca="false">IF((SalesAug!$H$1&gt;0),SalesAug!$H$1," ")</f>
        <v> </v>
      </c>
      <c r="D13" s="326"/>
      <c r="E13" s="331" t="n">
        <f aca="false">B13</f>
        <v>44439</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44469</v>
      </c>
      <c r="C15" s="330" t="str">
        <f aca="false">IF((SalesSep!$H$1&gt;0),SalesSep!$H$1," ")</f>
        <v> </v>
      </c>
      <c r="D15" s="326"/>
      <c r="E15" s="331" t="n">
        <f aca="false">B15</f>
        <v>44469</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44500</v>
      </c>
      <c r="C17" s="330" t="str">
        <f aca="false">IF((SalesOct!$H$1&gt;0),SalesOct!$H$1," ")</f>
        <v> </v>
      </c>
      <c r="D17" s="326"/>
      <c r="E17" s="331" t="n">
        <f aca="false">B17</f>
        <v>44500</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44530</v>
      </c>
      <c r="C19" s="330" t="str">
        <f aca="false">IF((SalesNov!$H$1&gt;0),SalesNov!$H$1," ")</f>
        <v> </v>
      </c>
      <c r="D19" s="326"/>
      <c r="E19" s="331" t="n">
        <f aca="false">B19</f>
        <v>44530</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44561</v>
      </c>
      <c r="C21" s="330" t="str">
        <f aca="false">IF((SalesDec!$H$1&gt;0),SalesDec!$H$1," ")</f>
        <v> </v>
      </c>
      <c r="D21" s="326"/>
      <c r="E21" s="331" t="n">
        <f aca="false">B21</f>
        <v>44561</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44592</v>
      </c>
      <c r="C23" s="330" t="str">
        <f aca="false">IF((SalesJan!$H$1&gt;0),SalesJan!$H$1," ")</f>
        <v> </v>
      </c>
      <c r="D23" s="326"/>
      <c r="E23" s="331" t="n">
        <f aca="false">B23</f>
        <v>44592</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44620</v>
      </c>
      <c r="C25" s="330" t="str">
        <f aca="false">IF((SalesFeb!$H$1&gt;0),SalesFeb!$H$1," ")</f>
        <v> </v>
      </c>
      <c r="D25" s="326"/>
      <c r="E25" s="331" t="n">
        <f aca="false">B25</f>
        <v>44620</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44651</v>
      </c>
      <c r="C27" s="330" t="str">
        <f aca="false">IF((SalesMar!$H$1&gt;0),SalesMar!$H$1," ")</f>
        <v> </v>
      </c>
      <c r="D27" s="326"/>
      <c r="E27" s="331" t="n">
        <f aca="false">B27</f>
        <v>44651</v>
      </c>
      <c r="F27" s="330" t="str">
        <f aca="false">IF((PurchasesMar!$H$1&gt;0),PurchasesMar!$H$1," ")</f>
        <v> </v>
      </c>
      <c r="G27" s="326"/>
    </row>
    <row r="28" customFormat="false" ht="12.75" hidden="false" customHeight="false" outlineLevel="0" collapsed="false">
      <c r="A28" s="326"/>
      <c r="B28" s="327"/>
      <c r="C28" s="328"/>
      <c r="D28" s="326"/>
      <c r="E28" s="327"/>
      <c r="F28" s="328"/>
      <c r="G28" s="326"/>
    </row>
    <row r="29" customFormat="false" ht="23.85" hidden="false" customHeight="false" outlineLevel="0" collapsed="false">
      <c r="A29" s="321"/>
      <c r="B29" s="333" t="s">
        <v>230</v>
      </c>
      <c r="C29" s="334" t="n">
        <f aca="false">SUM(C3:C28)</f>
        <v>0</v>
      </c>
      <c r="D29" s="321"/>
      <c r="E29" s="333" t="s">
        <v>231</v>
      </c>
      <c r="F29" s="334" t="n">
        <f aca="false">SUM(F3:F28)</f>
        <v>0</v>
      </c>
      <c r="G29" s="321"/>
      <c r="H29" s="325"/>
      <c r="I29" s="325"/>
      <c r="J29" s="325"/>
      <c r="K29" s="325"/>
      <c r="L29" s="325"/>
      <c r="M29" s="325"/>
      <c r="N29" s="325"/>
      <c r="O29" s="325"/>
      <c r="P29" s="325"/>
      <c r="Q29" s="325"/>
      <c r="R29" s="325"/>
      <c r="S29" s="325"/>
      <c r="T29" s="325"/>
      <c r="U29" s="325"/>
      <c r="V29" s="325"/>
      <c r="W29" s="325"/>
      <c r="X29" s="325"/>
      <c r="Y29" s="325"/>
      <c r="Z29" s="325"/>
      <c r="AA29" s="325"/>
      <c r="AB29" s="325"/>
      <c r="AC29" s="325"/>
      <c r="AD29" s="325"/>
      <c r="AE29" s="325"/>
      <c r="AF29" s="325"/>
      <c r="AG29" s="325"/>
      <c r="AH29" s="325"/>
      <c r="AI29" s="325"/>
      <c r="AJ29" s="325"/>
      <c r="AK29" s="325"/>
      <c r="AL29" s="325"/>
      <c r="AM29" s="325"/>
      <c r="AN29" s="325"/>
      <c r="AO29" s="325"/>
      <c r="AP29" s="325"/>
      <c r="AQ29" s="325"/>
      <c r="AR29" s="325"/>
      <c r="AS29" s="325"/>
      <c r="AT29" s="325"/>
      <c r="AU29" s="325"/>
      <c r="AV29" s="325"/>
      <c r="AW29" s="325"/>
      <c r="AX29" s="325"/>
      <c r="AY29" s="325"/>
      <c r="AZ29" s="325"/>
      <c r="BA29" s="325"/>
      <c r="BB29" s="325"/>
      <c r="BC29" s="325"/>
      <c r="BD29" s="325"/>
      <c r="BE29" s="325"/>
      <c r="BF29" s="325"/>
      <c r="BG29" s="325"/>
      <c r="BH29" s="325"/>
      <c r="BI29" s="325"/>
      <c r="BJ29" s="325"/>
      <c r="BK29" s="325"/>
      <c r="BL29" s="325"/>
      <c r="BM29" s="325"/>
      <c r="BN29" s="325"/>
      <c r="BO29" s="325"/>
      <c r="BP29" s="325"/>
      <c r="BQ29" s="325"/>
      <c r="BR29" s="325"/>
      <c r="BS29" s="325"/>
      <c r="BT29" s="325"/>
      <c r="BU29" s="325"/>
      <c r="BV29" s="325"/>
      <c r="BW29" s="325"/>
      <c r="BX29" s="325"/>
      <c r="BY29" s="325"/>
      <c r="BZ29" s="325"/>
      <c r="CA29" s="325"/>
      <c r="CB29" s="325"/>
      <c r="CC29" s="325"/>
      <c r="CD29" s="325"/>
      <c r="CE29" s="325"/>
      <c r="CF29" s="325"/>
      <c r="CG29" s="325"/>
      <c r="CH29" s="325"/>
      <c r="CI29" s="325"/>
      <c r="CJ29" s="325"/>
      <c r="CK29" s="325"/>
      <c r="CL29" s="325"/>
      <c r="CM29" s="325"/>
      <c r="CN29" s="325"/>
      <c r="CO29" s="325"/>
      <c r="CP29" s="325"/>
      <c r="CQ29" s="325"/>
      <c r="CR29" s="325"/>
      <c r="CS29" s="325"/>
      <c r="CT29" s="325"/>
      <c r="CU29" s="325"/>
      <c r="CV29" s="325"/>
      <c r="CW29" s="325"/>
      <c r="CX29" s="325"/>
      <c r="CY29" s="325"/>
      <c r="CZ29" s="325"/>
      <c r="DA29" s="325"/>
      <c r="DB29" s="325"/>
      <c r="DC29" s="325"/>
      <c r="DD29" s="325"/>
      <c r="DE29" s="325"/>
      <c r="DF29" s="325"/>
      <c r="DG29" s="325"/>
      <c r="DH29" s="325"/>
      <c r="DI29" s="325"/>
      <c r="DJ29" s="325"/>
      <c r="DK29" s="325"/>
      <c r="DL29" s="325"/>
      <c r="DM29" s="325"/>
      <c r="DN29" s="325"/>
      <c r="DO29" s="325"/>
      <c r="DP29" s="325"/>
      <c r="DQ29" s="325"/>
      <c r="DR29" s="325"/>
      <c r="DS29" s="325"/>
      <c r="DT29" s="325"/>
      <c r="DU29" s="325"/>
      <c r="DV29" s="325"/>
      <c r="DW29" s="325"/>
      <c r="DX29" s="325"/>
      <c r="DY29" s="325"/>
      <c r="DZ29" s="325"/>
      <c r="EA29" s="325"/>
      <c r="EB29" s="325"/>
      <c r="EC29" s="325"/>
      <c r="ED29" s="325"/>
      <c r="EE29" s="325"/>
      <c r="EF29" s="325"/>
      <c r="EG29" s="325"/>
      <c r="EH29" s="325"/>
      <c r="EI29" s="325"/>
      <c r="EJ29" s="325"/>
      <c r="EK29" s="325"/>
      <c r="EL29" s="325"/>
      <c r="EM29" s="325"/>
      <c r="EN29" s="325"/>
      <c r="EO29" s="325"/>
      <c r="EP29" s="325"/>
      <c r="EQ29" s="325"/>
      <c r="ER29" s="325"/>
      <c r="ES29" s="325"/>
      <c r="ET29" s="325"/>
      <c r="EU29" s="325"/>
      <c r="EV29" s="325"/>
      <c r="EW29" s="325"/>
      <c r="EX29" s="325"/>
      <c r="EY29" s="325"/>
      <c r="EZ29" s="325"/>
      <c r="FA29" s="325"/>
      <c r="FB29" s="325"/>
      <c r="FC29" s="325"/>
      <c r="FD29" s="325"/>
      <c r="FE29" s="325"/>
      <c r="FF29" s="325"/>
      <c r="FG29" s="325"/>
      <c r="FH29" s="325"/>
      <c r="FI29" s="325"/>
      <c r="FJ29" s="325"/>
      <c r="FK29" s="325"/>
      <c r="FL29" s="325"/>
      <c r="FM29" s="325"/>
      <c r="FN29" s="325"/>
      <c r="FO29" s="325"/>
      <c r="FP29" s="325"/>
      <c r="FQ29" s="325"/>
      <c r="FR29" s="325"/>
      <c r="FS29" s="325"/>
      <c r="FT29" s="325"/>
      <c r="FU29" s="325"/>
      <c r="FV29" s="325"/>
      <c r="FW29" s="325"/>
      <c r="FX29" s="325"/>
      <c r="FY29" s="325"/>
      <c r="FZ29" s="325"/>
      <c r="GA29" s="325"/>
      <c r="GB29" s="325"/>
      <c r="GC29" s="325"/>
      <c r="GD29" s="325"/>
      <c r="GE29" s="325"/>
      <c r="GF29" s="325"/>
      <c r="GG29" s="325"/>
      <c r="GH29" s="325"/>
      <c r="GI29" s="325"/>
      <c r="GJ29" s="325"/>
      <c r="GK29" s="325"/>
      <c r="GL29" s="325"/>
      <c r="GM29" s="325"/>
      <c r="GN29" s="325"/>
      <c r="GO29" s="325"/>
      <c r="GP29" s="325"/>
      <c r="GQ29" s="325"/>
      <c r="GR29" s="325"/>
      <c r="GS29" s="325"/>
      <c r="GT29" s="325"/>
      <c r="GU29" s="325"/>
      <c r="GV29" s="325"/>
      <c r="GW29" s="325"/>
      <c r="GX29" s="325"/>
      <c r="GY29" s="325"/>
      <c r="GZ29" s="325"/>
      <c r="HA29" s="325"/>
      <c r="HB29" s="325"/>
      <c r="HC29" s="325"/>
      <c r="HD29" s="325"/>
      <c r="HE29" s="325"/>
      <c r="HF29" s="325"/>
      <c r="HG29" s="325"/>
      <c r="HH29" s="325"/>
      <c r="HI29" s="325"/>
      <c r="HJ29" s="325"/>
      <c r="HK29" s="325"/>
      <c r="HL29" s="325"/>
      <c r="HM29" s="325"/>
      <c r="HN29" s="325"/>
      <c r="HO29" s="325"/>
      <c r="HP29" s="325"/>
      <c r="HQ29" s="325"/>
      <c r="HR29" s="325"/>
      <c r="HS29" s="325"/>
      <c r="HT29" s="325"/>
      <c r="HU29" s="325"/>
      <c r="HV29" s="325"/>
      <c r="HW29" s="325"/>
      <c r="HX29" s="325"/>
      <c r="HY29" s="325"/>
      <c r="HZ29" s="325"/>
      <c r="IA29" s="325"/>
      <c r="IB29" s="325"/>
      <c r="IC29" s="325"/>
      <c r="ID29" s="325"/>
      <c r="IE29" s="325"/>
      <c r="IF29" s="325"/>
      <c r="IG29" s="325"/>
      <c r="IH29" s="325"/>
      <c r="II29" s="325"/>
      <c r="IJ29" s="325"/>
      <c r="IK29" s="325"/>
      <c r="IL29" s="325"/>
      <c r="IM29" s="325"/>
      <c r="IN29" s="325"/>
      <c r="IO29" s="325"/>
      <c r="IP29" s="325"/>
      <c r="IQ29" s="325"/>
      <c r="IR29" s="325"/>
      <c r="IS29" s="325"/>
      <c r="IT29" s="325"/>
      <c r="IU29" s="325"/>
      <c r="IV29" s="325"/>
      <c r="IW29" s="325"/>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403"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customFormat="fals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c r="L1" s="350"/>
      <c r="M1" s="350"/>
      <c r="N1" s="350"/>
      <c r="O1" s="350"/>
      <c r="P1" s="350"/>
      <c r="Q1" s="350"/>
      <c r="R1" s="350"/>
      <c r="S1" s="350"/>
      <c r="T1" s="350"/>
      <c r="U1" s="350"/>
      <c r="V1" s="350"/>
      <c r="W1" s="350"/>
      <c r="X1" s="350"/>
      <c r="Y1" s="350"/>
      <c r="Z1" s="350"/>
      <c r="AA1" s="350"/>
      <c r="AB1" s="350"/>
      <c r="AC1" s="350"/>
      <c r="AD1" s="350"/>
      <c r="AE1" s="350"/>
      <c r="AF1" s="350"/>
      <c r="AG1" s="350"/>
      <c r="AH1" s="350"/>
      <c r="AI1" s="350"/>
      <c r="AJ1" s="350"/>
      <c r="AK1" s="350"/>
      <c r="AL1" s="350"/>
      <c r="AM1" s="350"/>
      <c r="AN1" s="350"/>
      <c r="AO1" s="350"/>
      <c r="AP1" s="350"/>
      <c r="AQ1" s="350"/>
      <c r="AR1" s="350"/>
      <c r="AS1" s="350"/>
      <c r="AT1" s="350"/>
      <c r="AU1" s="350"/>
      <c r="AV1" s="350"/>
      <c r="AW1" s="350"/>
      <c r="AX1" s="350"/>
      <c r="AY1" s="350"/>
      <c r="AZ1" s="350"/>
      <c r="BA1" s="350"/>
      <c r="BB1" s="350"/>
      <c r="BC1" s="350"/>
      <c r="BD1" s="350"/>
      <c r="BE1" s="350"/>
      <c r="BF1" s="350"/>
      <c r="BG1" s="350"/>
      <c r="BH1" s="350"/>
      <c r="BI1" s="350"/>
      <c r="BJ1" s="350"/>
      <c r="BK1" s="350"/>
      <c r="BL1" s="350"/>
      <c r="BM1" s="350"/>
      <c r="BN1" s="350"/>
      <c r="BO1" s="350"/>
      <c r="BP1" s="350"/>
      <c r="BQ1" s="350"/>
      <c r="BR1" s="350"/>
      <c r="BS1" s="350"/>
      <c r="BT1" s="350"/>
      <c r="BU1" s="350"/>
      <c r="BV1" s="350"/>
      <c r="BW1" s="350"/>
      <c r="BX1" s="350"/>
      <c r="BY1" s="350"/>
      <c r="BZ1" s="350"/>
      <c r="CA1" s="350"/>
      <c r="CB1" s="350"/>
      <c r="CC1" s="350"/>
      <c r="CD1" s="350"/>
      <c r="CE1" s="350"/>
      <c r="CF1" s="350"/>
      <c r="CG1" s="350"/>
      <c r="CH1" s="350"/>
      <c r="CI1" s="350"/>
      <c r="CJ1" s="350"/>
      <c r="CK1" s="350"/>
      <c r="CL1" s="350"/>
      <c r="CM1" s="350"/>
      <c r="CN1" s="350"/>
      <c r="CO1" s="350"/>
      <c r="CP1" s="350"/>
      <c r="CQ1" s="350"/>
      <c r="CR1" s="350"/>
      <c r="CS1" s="350"/>
      <c r="CT1" s="350"/>
      <c r="CU1" s="350"/>
      <c r="CV1" s="350"/>
      <c r="CW1" s="350"/>
      <c r="CX1" s="350"/>
      <c r="CY1" s="350"/>
      <c r="CZ1" s="350"/>
      <c r="DA1" s="350"/>
      <c r="DB1" s="350"/>
      <c r="DC1" s="350"/>
      <c r="DD1" s="350"/>
      <c r="DE1" s="350"/>
      <c r="DF1" s="350"/>
      <c r="DG1" s="350"/>
      <c r="DH1" s="350"/>
      <c r="DI1" s="350"/>
      <c r="DJ1" s="350"/>
      <c r="DK1" s="350"/>
      <c r="DL1" s="350"/>
      <c r="DM1" s="350"/>
      <c r="DN1" s="350"/>
      <c r="DO1" s="350"/>
      <c r="DP1" s="350"/>
      <c r="DQ1" s="350"/>
      <c r="DR1" s="350"/>
      <c r="DS1" s="350"/>
      <c r="DT1" s="350"/>
      <c r="DU1" s="350"/>
      <c r="DV1" s="350"/>
      <c r="DW1" s="350"/>
      <c r="DX1" s="350"/>
      <c r="DY1" s="350"/>
      <c r="DZ1" s="350"/>
      <c r="EA1" s="350"/>
      <c r="EB1" s="350"/>
      <c r="EC1" s="350"/>
      <c r="ED1" s="350"/>
      <c r="EE1" s="350"/>
      <c r="EF1" s="350"/>
      <c r="EG1" s="350"/>
      <c r="EH1" s="350"/>
      <c r="EI1" s="350"/>
      <c r="EJ1" s="350"/>
      <c r="EK1" s="350"/>
      <c r="EL1" s="350"/>
      <c r="EM1" s="350"/>
      <c r="EN1" s="350"/>
      <c r="EO1" s="350"/>
      <c r="EP1" s="350"/>
      <c r="EQ1" s="350"/>
      <c r="ER1" s="350"/>
      <c r="ES1" s="350"/>
      <c r="ET1" s="350"/>
      <c r="EU1" s="350"/>
      <c r="EV1" s="350"/>
      <c r="EW1" s="350"/>
      <c r="EX1" s="350"/>
      <c r="EY1" s="350"/>
      <c r="EZ1" s="350"/>
      <c r="FA1" s="350"/>
      <c r="FB1" s="350"/>
      <c r="FC1" s="350"/>
      <c r="FD1" s="350"/>
      <c r="FE1" s="350"/>
      <c r="FF1" s="350"/>
      <c r="FG1" s="350"/>
      <c r="FH1" s="350"/>
      <c r="FI1" s="350"/>
      <c r="FJ1" s="350"/>
      <c r="FK1" s="350"/>
      <c r="FL1" s="350"/>
      <c r="FM1" s="350"/>
      <c r="FN1" s="350"/>
      <c r="FO1" s="350"/>
      <c r="FP1" s="350"/>
      <c r="FQ1" s="350"/>
      <c r="FR1" s="350"/>
      <c r="FS1" s="350"/>
      <c r="FT1" s="350"/>
      <c r="FU1" s="350"/>
      <c r="FV1" s="350"/>
      <c r="FW1" s="350"/>
      <c r="FX1" s="350"/>
      <c r="FY1" s="350"/>
      <c r="FZ1" s="350"/>
      <c r="GA1" s="350"/>
      <c r="GB1" s="350"/>
      <c r="GC1" s="350"/>
      <c r="GD1" s="350"/>
      <c r="GE1" s="350"/>
      <c r="GF1" s="350"/>
      <c r="GG1" s="350"/>
      <c r="GH1" s="350"/>
      <c r="GI1" s="350"/>
      <c r="GJ1" s="350"/>
      <c r="GK1" s="350"/>
      <c r="GL1" s="350"/>
      <c r="GM1" s="350"/>
      <c r="GN1" s="350"/>
      <c r="GO1" s="350"/>
      <c r="GP1" s="350"/>
      <c r="GQ1" s="350"/>
      <c r="GR1" s="350"/>
      <c r="GS1" s="350"/>
      <c r="GT1" s="350"/>
      <c r="GU1" s="350"/>
      <c r="GV1" s="350"/>
      <c r="GW1" s="350"/>
      <c r="GX1" s="350"/>
      <c r="GY1" s="350"/>
      <c r="GZ1" s="350"/>
      <c r="HA1" s="350"/>
      <c r="HB1" s="350"/>
      <c r="HC1" s="350"/>
      <c r="HD1" s="350"/>
      <c r="HE1" s="350"/>
      <c r="HF1" s="350"/>
      <c r="HG1" s="350"/>
      <c r="HH1" s="350"/>
      <c r="HI1" s="350"/>
      <c r="HJ1" s="350"/>
      <c r="HK1" s="350"/>
      <c r="HL1" s="350"/>
      <c r="HM1" s="350"/>
      <c r="HN1" s="350"/>
      <c r="HO1" s="350"/>
      <c r="HP1" s="350"/>
      <c r="HQ1" s="350"/>
      <c r="HR1" s="350"/>
      <c r="HS1" s="350"/>
      <c r="HT1" s="350"/>
      <c r="HU1" s="350"/>
      <c r="HV1" s="350"/>
      <c r="HW1" s="350"/>
      <c r="HX1" s="350"/>
      <c r="HY1" s="350"/>
      <c r="HZ1" s="350"/>
      <c r="IA1" s="350"/>
      <c r="IB1" s="350"/>
      <c r="IC1" s="350"/>
      <c r="ID1" s="350"/>
      <c r="IE1" s="350"/>
      <c r="IF1" s="350"/>
      <c r="IG1" s="350"/>
      <c r="IH1" s="350"/>
      <c r="II1" s="350"/>
      <c r="IJ1" s="350"/>
      <c r="IK1" s="350"/>
      <c r="IL1" s="350"/>
      <c r="IM1" s="350"/>
      <c r="IN1" s="350"/>
      <c r="IO1" s="350"/>
      <c r="IP1" s="350"/>
      <c r="IQ1" s="350"/>
      <c r="IR1" s="350"/>
      <c r="IS1" s="350"/>
      <c r="IT1" s="350"/>
      <c r="IU1" s="350"/>
      <c r="IV1" s="350"/>
      <c r="IW1" s="350"/>
    </row>
    <row r="2" customFormat="false" ht="12.75" hidden="false" customHeight="true" outlineLevel="0" collapsed="false">
      <c r="A2" s="342"/>
      <c r="B2" s="343"/>
      <c r="C2" s="351" t="s">
        <v>235</v>
      </c>
      <c r="D2" s="352" t="s">
        <v>236</v>
      </c>
      <c r="E2" s="353" t="s">
        <v>237</v>
      </c>
      <c r="F2" s="343" t="s">
        <v>238</v>
      </c>
      <c r="G2" s="343" t="s">
        <v>239</v>
      </c>
      <c r="H2" s="354" t="s">
        <v>240</v>
      </c>
      <c r="I2" s="355" t="s">
        <v>241</v>
      </c>
      <c r="J2" s="343" t="s">
        <v>242</v>
      </c>
      <c r="K2" s="343"/>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c r="BR2" s="350"/>
      <c r="BS2" s="350"/>
      <c r="BT2" s="350"/>
      <c r="BU2" s="350"/>
      <c r="BV2" s="350"/>
      <c r="BW2" s="350"/>
      <c r="BX2" s="350"/>
      <c r="BY2" s="350"/>
      <c r="BZ2" s="350"/>
      <c r="CA2" s="350"/>
      <c r="CB2" s="350"/>
      <c r="CC2" s="350"/>
      <c r="CD2" s="350"/>
      <c r="CE2" s="350"/>
      <c r="CF2" s="350"/>
      <c r="CG2" s="350"/>
      <c r="CH2" s="350"/>
      <c r="CI2" s="350"/>
      <c r="CJ2" s="350"/>
      <c r="CK2" s="350"/>
      <c r="CL2" s="350"/>
      <c r="CM2" s="350"/>
      <c r="CN2" s="350"/>
      <c r="CO2" s="350"/>
      <c r="CP2" s="350"/>
      <c r="CQ2" s="350"/>
      <c r="CR2" s="350"/>
      <c r="CS2" s="350"/>
      <c r="CT2" s="350"/>
      <c r="CU2" s="350"/>
      <c r="CV2" s="350"/>
      <c r="CW2" s="350"/>
      <c r="CX2" s="350"/>
      <c r="CY2" s="350"/>
      <c r="CZ2" s="350"/>
      <c r="DA2" s="350"/>
      <c r="DB2" s="350"/>
      <c r="DC2" s="350"/>
      <c r="DD2" s="350"/>
      <c r="DE2" s="350"/>
      <c r="DF2" s="350"/>
      <c r="DG2" s="350"/>
      <c r="DH2" s="350"/>
      <c r="DI2" s="350"/>
      <c r="DJ2" s="350"/>
      <c r="DK2" s="350"/>
      <c r="DL2" s="350"/>
      <c r="DM2" s="350"/>
      <c r="DN2" s="350"/>
      <c r="DO2" s="350"/>
      <c r="DP2" s="350"/>
      <c r="DQ2" s="350"/>
      <c r="DR2" s="350"/>
      <c r="DS2" s="350"/>
      <c r="DT2" s="350"/>
      <c r="DU2" s="350"/>
      <c r="DV2" s="350"/>
      <c r="DW2" s="350"/>
      <c r="DX2" s="350"/>
      <c r="DY2" s="350"/>
      <c r="DZ2" s="350"/>
      <c r="EA2" s="350"/>
      <c r="EB2" s="350"/>
      <c r="EC2" s="350"/>
      <c r="ED2" s="350"/>
      <c r="EE2" s="350"/>
      <c r="EF2" s="350"/>
      <c r="EG2" s="350"/>
      <c r="EH2" s="350"/>
      <c r="EI2" s="350"/>
      <c r="EJ2" s="350"/>
      <c r="EK2" s="350"/>
      <c r="EL2" s="350"/>
      <c r="EM2" s="350"/>
      <c r="EN2" s="350"/>
      <c r="EO2" s="350"/>
      <c r="EP2" s="350"/>
      <c r="EQ2" s="350"/>
      <c r="ER2" s="350"/>
      <c r="ES2" s="350"/>
      <c r="ET2" s="350"/>
      <c r="EU2" s="350"/>
      <c r="EV2" s="350"/>
      <c r="EW2" s="350"/>
      <c r="EX2" s="350"/>
      <c r="EY2" s="350"/>
      <c r="EZ2" s="350"/>
      <c r="FA2" s="350"/>
      <c r="FB2" s="350"/>
      <c r="FC2" s="350"/>
      <c r="FD2" s="350"/>
      <c r="FE2" s="350"/>
      <c r="FF2" s="350"/>
      <c r="FG2" s="350"/>
      <c r="FH2" s="350"/>
      <c r="FI2" s="350"/>
      <c r="FJ2" s="350"/>
      <c r="FK2" s="350"/>
      <c r="FL2" s="350"/>
      <c r="FM2" s="350"/>
      <c r="FN2" s="350"/>
      <c r="FO2" s="350"/>
      <c r="FP2" s="350"/>
      <c r="FQ2" s="350"/>
      <c r="FR2" s="350"/>
      <c r="FS2" s="350"/>
      <c r="FT2" s="350"/>
      <c r="FU2" s="350"/>
      <c r="FV2" s="350"/>
      <c r="FW2" s="350"/>
      <c r="FX2" s="350"/>
      <c r="FY2" s="350"/>
      <c r="FZ2" s="350"/>
      <c r="GA2" s="350"/>
      <c r="GB2" s="350"/>
      <c r="GC2" s="350"/>
      <c r="GD2" s="350"/>
      <c r="GE2" s="350"/>
      <c r="GF2" s="350"/>
      <c r="GG2" s="350"/>
      <c r="GH2" s="350"/>
      <c r="GI2" s="350"/>
      <c r="GJ2" s="350"/>
      <c r="GK2" s="350"/>
      <c r="GL2" s="350"/>
      <c r="GM2" s="350"/>
      <c r="GN2" s="350"/>
      <c r="GO2" s="350"/>
      <c r="GP2" s="350"/>
      <c r="GQ2" s="350"/>
      <c r="GR2" s="350"/>
      <c r="GS2" s="350"/>
      <c r="GT2" s="350"/>
      <c r="GU2" s="350"/>
      <c r="GV2" s="350"/>
      <c r="GW2" s="350"/>
      <c r="GX2" s="350"/>
      <c r="GY2" s="350"/>
      <c r="GZ2" s="350"/>
      <c r="HA2" s="350"/>
      <c r="HB2" s="350"/>
      <c r="HC2" s="350"/>
      <c r="HD2" s="350"/>
      <c r="HE2" s="350"/>
      <c r="HF2" s="350"/>
      <c r="HG2" s="350"/>
      <c r="HH2" s="350"/>
      <c r="HI2" s="350"/>
      <c r="HJ2" s="350"/>
      <c r="HK2" s="350"/>
      <c r="HL2" s="350"/>
      <c r="HM2" s="350"/>
      <c r="HN2" s="350"/>
      <c r="HO2" s="350"/>
      <c r="HP2" s="350"/>
      <c r="HQ2" s="350"/>
      <c r="HR2" s="350"/>
      <c r="HS2" s="350"/>
      <c r="HT2" s="350"/>
      <c r="HU2" s="350"/>
      <c r="HV2" s="350"/>
      <c r="HW2" s="350"/>
      <c r="HX2" s="350"/>
      <c r="HY2" s="350"/>
      <c r="HZ2" s="350"/>
      <c r="IA2" s="350"/>
      <c r="IB2" s="350"/>
      <c r="IC2" s="350"/>
      <c r="ID2" s="350"/>
      <c r="IE2" s="350"/>
      <c r="IF2" s="350"/>
      <c r="IG2" s="350"/>
      <c r="IH2" s="350"/>
      <c r="II2" s="350"/>
      <c r="IJ2" s="350"/>
      <c r="IK2" s="350"/>
      <c r="IL2" s="350"/>
      <c r="IM2" s="350"/>
      <c r="IN2" s="350"/>
      <c r="IO2" s="350"/>
      <c r="IP2" s="350"/>
      <c r="IQ2" s="350"/>
      <c r="IR2" s="350"/>
      <c r="IS2" s="350"/>
      <c r="IT2" s="350"/>
      <c r="IU2" s="350"/>
      <c r="IV2" s="350"/>
      <c r="IW2" s="350"/>
    </row>
    <row r="3" customFormat="false" ht="38.25" hidden="false" customHeight="true" outlineLevel="0" collapsed="false">
      <c r="A3" s="342"/>
      <c r="B3" s="343"/>
      <c r="C3" s="351"/>
      <c r="D3" s="352"/>
      <c r="E3" s="353"/>
      <c r="F3" s="353"/>
      <c r="G3" s="353"/>
      <c r="H3" s="354"/>
      <c r="I3" s="355"/>
      <c r="J3" s="343" t="s">
        <v>243</v>
      </c>
      <c r="K3" s="343" t="s">
        <v>244</v>
      </c>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6"/>
      <c r="AM3" s="356"/>
      <c r="AN3" s="356"/>
      <c r="AO3" s="356"/>
      <c r="AP3" s="356"/>
      <c r="AQ3" s="356"/>
      <c r="AR3" s="356"/>
      <c r="AS3" s="356"/>
      <c r="AT3" s="356"/>
      <c r="AU3" s="356"/>
      <c r="AV3" s="356"/>
      <c r="AW3" s="356"/>
      <c r="AX3" s="356"/>
      <c r="AY3" s="356"/>
      <c r="AZ3" s="356"/>
      <c r="BA3" s="356"/>
      <c r="BB3" s="356"/>
      <c r="BC3" s="356"/>
      <c r="BD3" s="356"/>
      <c r="BE3" s="356"/>
      <c r="BF3" s="356"/>
      <c r="BG3" s="356"/>
      <c r="BH3" s="356"/>
      <c r="BI3" s="356"/>
      <c r="BJ3" s="356"/>
      <c r="BK3" s="356"/>
      <c r="BL3" s="356"/>
      <c r="BM3" s="356"/>
      <c r="BN3" s="356"/>
      <c r="BO3" s="356"/>
      <c r="BP3" s="356"/>
      <c r="BQ3" s="356"/>
      <c r="BR3" s="356"/>
      <c r="BS3" s="356"/>
      <c r="BT3" s="356"/>
      <c r="BU3" s="356"/>
      <c r="BV3" s="356"/>
      <c r="BW3" s="356"/>
      <c r="BX3" s="356"/>
      <c r="BY3" s="356"/>
      <c r="BZ3" s="356"/>
      <c r="CA3" s="356"/>
      <c r="CB3" s="356"/>
      <c r="CC3" s="356"/>
      <c r="CD3" s="356"/>
      <c r="CE3" s="356"/>
      <c r="CF3" s="356"/>
      <c r="CG3" s="356"/>
      <c r="CH3" s="356"/>
      <c r="CI3" s="356"/>
      <c r="CJ3" s="356"/>
      <c r="CK3" s="356"/>
      <c r="CL3" s="356"/>
      <c r="CM3" s="356"/>
      <c r="CN3" s="356"/>
      <c r="CO3" s="356"/>
      <c r="CP3" s="356"/>
      <c r="CQ3" s="356"/>
      <c r="CR3" s="356"/>
      <c r="CS3" s="356"/>
      <c r="CT3" s="356"/>
      <c r="CU3" s="356"/>
      <c r="CV3" s="356"/>
      <c r="CW3" s="356"/>
      <c r="CX3" s="356"/>
      <c r="CY3" s="356"/>
      <c r="CZ3" s="356"/>
      <c r="DA3" s="356"/>
      <c r="DB3" s="356"/>
      <c r="DC3" s="356"/>
      <c r="DD3" s="356"/>
      <c r="DE3" s="356"/>
      <c r="DF3" s="356"/>
      <c r="DG3" s="356"/>
      <c r="DH3" s="356"/>
      <c r="DI3" s="356"/>
      <c r="DJ3" s="356"/>
      <c r="DK3" s="356"/>
      <c r="DL3" s="356"/>
      <c r="DM3" s="356"/>
      <c r="DN3" s="356"/>
      <c r="DO3" s="356"/>
      <c r="DP3" s="356"/>
      <c r="DQ3" s="356"/>
      <c r="DR3" s="356"/>
      <c r="DS3" s="356"/>
      <c r="DT3" s="356"/>
      <c r="DU3" s="356"/>
      <c r="DV3" s="356"/>
      <c r="DW3" s="356"/>
      <c r="DX3" s="356"/>
      <c r="DY3" s="356"/>
      <c r="DZ3" s="356"/>
      <c r="EA3" s="356"/>
      <c r="EB3" s="356"/>
      <c r="EC3" s="356"/>
      <c r="ED3" s="356"/>
      <c r="EE3" s="356"/>
      <c r="EF3" s="356"/>
      <c r="EG3" s="356"/>
      <c r="EH3" s="356"/>
      <c r="EI3" s="356"/>
      <c r="EJ3" s="356"/>
      <c r="EK3" s="356"/>
      <c r="EL3" s="356"/>
      <c r="EM3" s="356"/>
      <c r="EN3" s="356"/>
      <c r="EO3" s="356"/>
      <c r="EP3" s="356"/>
      <c r="EQ3" s="356"/>
      <c r="ER3" s="356"/>
      <c r="ES3" s="356"/>
      <c r="ET3" s="356"/>
      <c r="EU3" s="356"/>
      <c r="EV3" s="356"/>
      <c r="EW3" s="356"/>
      <c r="EX3" s="356"/>
      <c r="EY3" s="356"/>
      <c r="EZ3" s="356"/>
      <c r="FA3" s="356"/>
      <c r="FB3" s="356"/>
      <c r="FC3" s="356"/>
      <c r="FD3" s="356"/>
      <c r="FE3" s="356"/>
      <c r="FF3" s="356"/>
      <c r="FG3" s="356"/>
      <c r="FH3" s="356"/>
      <c r="FI3" s="356"/>
      <c r="FJ3" s="356"/>
      <c r="FK3" s="356"/>
      <c r="FL3" s="356"/>
      <c r="FM3" s="356"/>
      <c r="FN3" s="356"/>
      <c r="FO3" s="356"/>
      <c r="FP3" s="356"/>
      <c r="FQ3" s="356"/>
      <c r="FR3" s="356"/>
      <c r="FS3" s="356"/>
      <c r="FT3" s="356"/>
      <c r="FU3" s="356"/>
      <c r="FV3" s="356"/>
      <c r="FW3" s="356"/>
      <c r="FX3" s="356"/>
      <c r="FY3" s="356"/>
      <c r="FZ3" s="356"/>
      <c r="GA3" s="356"/>
      <c r="GB3" s="356"/>
      <c r="GC3" s="356"/>
      <c r="GD3" s="356"/>
      <c r="GE3" s="356"/>
      <c r="GF3" s="356"/>
      <c r="GG3" s="356"/>
      <c r="GH3" s="356"/>
      <c r="GI3" s="356"/>
      <c r="GJ3" s="356"/>
      <c r="GK3" s="356"/>
      <c r="GL3" s="356"/>
      <c r="GM3" s="356"/>
      <c r="GN3" s="356"/>
      <c r="GO3" s="356"/>
      <c r="GP3" s="356"/>
      <c r="GQ3" s="356"/>
      <c r="GR3" s="356"/>
      <c r="GS3" s="356"/>
      <c r="GT3" s="356"/>
      <c r="GU3" s="356"/>
      <c r="GV3" s="356"/>
      <c r="GW3" s="356"/>
      <c r="GX3" s="356"/>
      <c r="GY3" s="356"/>
      <c r="GZ3" s="356"/>
      <c r="HA3" s="356"/>
      <c r="HB3" s="356"/>
      <c r="HC3" s="356"/>
      <c r="HD3" s="356"/>
      <c r="HE3" s="356"/>
      <c r="HF3" s="356"/>
      <c r="HG3" s="356"/>
      <c r="HH3" s="356"/>
      <c r="HI3" s="356"/>
      <c r="HJ3" s="356"/>
      <c r="HK3" s="356"/>
      <c r="HL3" s="356"/>
      <c r="HM3" s="356"/>
      <c r="HN3" s="356"/>
      <c r="HO3" s="356"/>
      <c r="HP3" s="356"/>
      <c r="HQ3" s="356"/>
      <c r="HR3" s="356"/>
      <c r="HS3" s="356"/>
      <c r="HT3" s="356"/>
      <c r="HU3" s="356"/>
      <c r="HV3" s="356"/>
      <c r="HW3" s="356"/>
      <c r="HX3" s="356"/>
      <c r="HY3" s="356"/>
      <c r="HZ3" s="356"/>
      <c r="IA3" s="356"/>
      <c r="IB3" s="356"/>
      <c r="IC3" s="356"/>
      <c r="ID3" s="356"/>
      <c r="IE3" s="356"/>
      <c r="IF3" s="356"/>
      <c r="IG3" s="356"/>
      <c r="IH3" s="356"/>
      <c r="II3" s="356"/>
      <c r="IJ3" s="356"/>
      <c r="IK3" s="356"/>
      <c r="IL3" s="356"/>
      <c r="IM3" s="356"/>
      <c r="IN3" s="356"/>
      <c r="IO3" s="356"/>
      <c r="IP3" s="356"/>
      <c r="IQ3" s="356"/>
      <c r="IR3" s="356"/>
      <c r="IS3" s="356"/>
      <c r="IT3" s="356"/>
      <c r="IU3" s="356"/>
      <c r="IV3" s="356"/>
      <c r="IW3" s="356"/>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customHeight="false"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customFormat="fals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c r="AA1" s="336"/>
      <c r="AB1" s="336"/>
      <c r="AC1" s="336"/>
      <c r="AD1" s="336"/>
      <c r="AE1" s="336"/>
      <c r="AF1" s="336"/>
      <c r="AG1" s="336"/>
      <c r="AH1" s="336"/>
      <c r="AI1" s="336"/>
      <c r="AJ1" s="336"/>
      <c r="AK1" s="336"/>
      <c r="AL1" s="336"/>
      <c r="AM1" s="336"/>
      <c r="AN1" s="336"/>
      <c r="AO1" s="336"/>
      <c r="AP1" s="336"/>
      <c r="AQ1" s="336"/>
      <c r="AR1" s="336"/>
      <c r="AS1" s="336"/>
      <c r="AT1" s="336"/>
      <c r="AU1" s="336"/>
      <c r="AV1" s="336"/>
      <c r="AW1" s="336"/>
      <c r="AX1" s="336"/>
      <c r="AY1" s="336"/>
      <c r="AZ1" s="336"/>
      <c r="BA1" s="336"/>
      <c r="BB1" s="336"/>
      <c r="BC1" s="336"/>
      <c r="BD1" s="336"/>
      <c r="BE1" s="336"/>
      <c r="BF1" s="336"/>
      <c r="BG1" s="336"/>
      <c r="BH1" s="336"/>
      <c r="BI1" s="336"/>
      <c r="BJ1" s="336"/>
      <c r="BK1" s="336"/>
      <c r="BL1" s="336"/>
      <c r="BM1" s="336"/>
      <c r="BN1" s="336"/>
      <c r="BO1" s="336"/>
      <c r="BP1" s="336"/>
      <c r="BQ1" s="336"/>
      <c r="BR1" s="336"/>
      <c r="BS1" s="336"/>
      <c r="BT1" s="336"/>
      <c r="BU1" s="336"/>
      <c r="BV1" s="336"/>
      <c r="BW1" s="336"/>
      <c r="BX1" s="336"/>
      <c r="BY1" s="336"/>
      <c r="BZ1" s="336"/>
      <c r="CA1" s="336"/>
      <c r="CB1" s="336"/>
      <c r="CC1" s="336"/>
      <c r="CD1" s="336"/>
      <c r="CE1" s="336"/>
      <c r="CF1" s="336"/>
      <c r="CG1" s="336"/>
      <c r="CH1" s="336"/>
      <c r="CI1" s="336"/>
      <c r="CJ1" s="336"/>
      <c r="CK1" s="336"/>
      <c r="CL1" s="336"/>
      <c r="CM1" s="336"/>
      <c r="CN1" s="336"/>
      <c r="CO1" s="336"/>
      <c r="CP1" s="336"/>
      <c r="CQ1" s="336"/>
      <c r="CR1" s="336"/>
      <c r="CS1" s="336"/>
      <c r="CT1" s="336"/>
      <c r="CU1" s="336"/>
      <c r="CV1" s="336"/>
      <c r="CW1" s="336"/>
      <c r="CX1" s="336"/>
      <c r="CY1" s="336"/>
      <c r="CZ1" s="336"/>
      <c r="DA1" s="336"/>
      <c r="DB1" s="336"/>
      <c r="DC1" s="336"/>
      <c r="DD1" s="336"/>
      <c r="DE1" s="336"/>
      <c r="DF1" s="336"/>
      <c r="DG1" s="336"/>
      <c r="DH1" s="336"/>
      <c r="DI1" s="336"/>
      <c r="DJ1" s="336"/>
      <c r="DK1" s="336"/>
      <c r="DL1" s="336"/>
      <c r="DM1" s="336"/>
      <c r="DN1" s="336"/>
      <c r="DO1" s="336"/>
      <c r="DP1" s="336"/>
      <c r="DQ1" s="336"/>
      <c r="DR1" s="336"/>
      <c r="DS1" s="336"/>
      <c r="DT1" s="336"/>
      <c r="DU1" s="336"/>
      <c r="DV1" s="336"/>
      <c r="DW1" s="336"/>
      <c r="DX1" s="336"/>
      <c r="DY1" s="336"/>
      <c r="DZ1" s="336"/>
      <c r="EA1" s="336"/>
      <c r="EB1" s="336"/>
      <c r="EC1" s="336"/>
      <c r="ED1" s="336"/>
      <c r="EE1" s="336"/>
      <c r="EF1" s="336"/>
      <c r="EG1" s="336"/>
      <c r="EH1" s="336"/>
      <c r="EI1" s="336"/>
      <c r="EJ1" s="336"/>
      <c r="EK1" s="336"/>
      <c r="EL1" s="336"/>
      <c r="EM1" s="336"/>
      <c r="EN1" s="336"/>
      <c r="EO1" s="336"/>
      <c r="EP1" s="336"/>
      <c r="EQ1" s="336"/>
      <c r="ER1" s="336"/>
      <c r="ES1" s="336"/>
      <c r="ET1" s="336"/>
      <c r="EU1" s="336"/>
      <c r="EV1" s="336"/>
      <c r="EW1" s="336"/>
      <c r="EX1" s="336"/>
      <c r="EY1" s="336"/>
      <c r="EZ1" s="336"/>
      <c r="FA1" s="336"/>
      <c r="FB1" s="336"/>
      <c r="FC1" s="336"/>
      <c r="FD1" s="336"/>
      <c r="FE1" s="336"/>
      <c r="FF1" s="336"/>
      <c r="FG1" s="336"/>
      <c r="FH1" s="336"/>
      <c r="FI1" s="336"/>
      <c r="FJ1" s="336"/>
      <c r="FK1" s="336"/>
      <c r="FL1" s="336"/>
      <c r="FM1" s="336"/>
      <c r="FN1" s="336"/>
      <c r="FO1" s="336"/>
      <c r="FP1" s="336"/>
      <c r="FQ1" s="336"/>
      <c r="FR1" s="336"/>
      <c r="FS1" s="336"/>
      <c r="FT1" s="336"/>
      <c r="FU1" s="336"/>
      <c r="FV1" s="336"/>
      <c r="FW1" s="336"/>
      <c r="FX1" s="336"/>
      <c r="FY1" s="336"/>
      <c r="FZ1" s="336"/>
      <c r="GA1" s="336"/>
      <c r="GB1" s="336"/>
      <c r="GC1" s="336"/>
      <c r="GD1" s="336"/>
      <c r="GE1" s="336"/>
      <c r="GF1" s="336"/>
      <c r="GG1" s="336"/>
      <c r="GH1" s="336"/>
      <c r="GI1" s="336"/>
      <c r="GJ1" s="336"/>
      <c r="GK1" s="336"/>
      <c r="GL1" s="336"/>
      <c r="GM1" s="336"/>
      <c r="GN1" s="336"/>
      <c r="GO1" s="336"/>
      <c r="GP1" s="336"/>
      <c r="GQ1" s="336"/>
      <c r="GR1" s="336"/>
      <c r="GS1" s="336"/>
      <c r="GT1" s="336"/>
      <c r="GU1" s="336"/>
      <c r="GV1" s="336"/>
      <c r="GW1" s="336"/>
      <c r="GX1" s="336"/>
      <c r="GY1" s="336"/>
      <c r="GZ1" s="336"/>
      <c r="HA1" s="336"/>
      <c r="HB1" s="336"/>
      <c r="HC1" s="336"/>
      <c r="HD1" s="336"/>
      <c r="HE1" s="336"/>
      <c r="HF1" s="336"/>
      <c r="HG1" s="336"/>
      <c r="HH1" s="336"/>
      <c r="HI1" s="336"/>
      <c r="HJ1" s="336"/>
      <c r="HK1" s="336"/>
      <c r="HL1" s="336"/>
      <c r="HM1" s="336"/>
      <c r="HN1" s="336"/>
      <c r="HO1" s="336"/>
      <c r="HP1" s="336"/>
      <c r="HQ1" s="336"/>
      <c r="HR1" s="336"/>
      <c r="HS1" s="336"/>
      <c r="HT1" s="336"/>
      <c r="HU1" s="336"/>
      <c r="HV1" s="336"/>
      <c r="HW1" s="336"/>
      <c r="HX1" s="336"/>
      <c r="HY1" s="336"/>
      <c r="HZ1" s="336"/>
      <c r="IA1" s="336"/>
      <c r="IB1" s="336"/>
      <c r="IC1" s="336"/>
      <c r="ID1" s="336"/>
      <c r="IE1" s="336"/>
      <c r="IF1" s="336"/>
      <c r="IG1" s="336"/>
      <c r="IH1" s="336"/>
      <c r="II1" s="336"/>
      <c r="IJ1" s="336"/>
      <c r="IK1" s="336"/>
      <c r="IL1" s="336"/>
      <c r="IM1" s="336"/>
      <c r="IN1" s="336"/>
      <c r="IO1" s="336"/>
      <c r="IP1" s="336"/>
      <c r="IQ1" s="336"/>
      <c r="IR1" s="336"/>
      <c r="IS1" s="336"/>
      <c r="IT1" s="336"/>
      <c r="IU1" s="336"/>
      <c r="IV1" s="336"/>
      <c r="IW1" s="336"/>
    </row>
    <row r="2" customFormat="fals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c r="AA2" s="386"/>
      <c r="AB2" s="386"/>
      <c r="AC2" s="386"/>
      <c r="AD2" s="386"/>
      <c r="AE2" s="386"/>
      <c r="AF2" s="386"/>
      <c r="AG2" s="386"/>
      <c r="AH2" s="386"/>
      <c r="AI2" s="386"/>
      <c r="AJ2" s="386"/>
      <c r="AK2" s="386"/>
      <c r="AL2" s="386"/>
      <c r="AM2" s="386"/>
      <c r="AN2" s="386"/>
      <c r="AO2" s="386"/>
      <c r="AP2" s="386"/>
      <c r="AQ2" s="386"/>
      <c r="AR2" s="386"/>
      <c r="AS2" s="386"/>
      <c r="AT2" s="386"/>
      <c r="AU2" s="386"/>
      <c r="AV2" s="386"/>
      <c r="AW2" s="386"/>
      <c r="AX2" s="386"/>
      <c r="AY2" s="386"/>
      <c r="AZ2" s="386"/>
      <c r="BA2" s="386"/>
      <c r="BB2" s="386"/>
      <c r="BC2" s="386"/>
      <c r="BD2" s="386"/>
      <c r="BE2" s="386"/>
      <c r="BF2" s="386"/>
      <c r="BG2" s="386"/>
      <c r="BH2" s="386"/>
      <c r="BI2" s="386"/>
      <c r="BJ2" s="386"/>
      <c r="BK2" s="386"/>
      <c r="BL2" s="386"/>
      <c r="BM2" s="386"/>
      <c r="BN2" s="386"/>
      <c r="BO2" s="386"/>
      <c r="BP2" s="386"/>
      <c r="BQ2" s="386"/>
      <c r="BR2" s="386"/>
      <c r="BS2" s="386"/>
      <c r="BT2" s="386"/>
      <c r="BU2" s="386"/>
      <c r="BV2" s="386"/>
      <c r="BW2" s="386"/>
      <c r="BX2" s="386"/>
      <c r="BY2" s="386"/>
      <c r="BZ2" s="386"/>
      <c r="CA2" s="386"/>
      <c r="CB2" s="386"/>
      <c r="CC2" s="386"/>
      <c r="CD2" s="386"/>
      <c r="CE2" s="386"/>
      <c r="CF2" s="386"/>
      <c r="CG2" s="386"/>
      <c r="CH2" s="386"/>
      <c r="CI2" s="386"/>
      <c r="CJ2" s="386"/>
      <c r="CK2" s="386"/>
      <c r="CL2" s="386"/>
      <c r="CM2" s="386"/>
      <c r="CN2" s="386"/>
      <c r="CO2" s="386"/>
      <c r="CP2" s="386"/>
      <c r="CQ2" s="386"/>
      <c r="CR2" s="386"/>
      <c r="CS2" s="386"/>
      <c r="CT2" s="386"/>
      <c r="CU2" s="386"/>
      <c r="CV2" s="386"/>
      <c r="CW2" s="386"/>
      <c r="CX2" s="386"/>
      <c r="CY2" s="386"/>
      <c r="CZ2" s="386"/>
      <c r="DA2" s="386"/>
      <c r="DB2" s="386"/>
      <c r="DC2" s="386"/>
      <c r="DD2" s="386"/>
      <c r="DE2" s="386"/>
      <c r="DF2" s="386"/>
      <c r="DG2" s="386"/>
      <c r="DH2" s="386"/>
      <c r="DI2" s="386"/>
      <c r="DJ2" s="386"/>
      <c r="DK2" s="386"/>
      <c r="DL2" s="386"/>
      <c r="DM2" s="386"/>
      <c r="DN2" s="386"/>
      <c r="DO2" s="386"/>
      <c r="DP2" s="386"/>
      <c r="DQ2" s="386"/>
      <c r="DR2" s="386"/>
      <c r="DS2" s="386"/>
      <c r="DT2" s="386"/>
      <c r="DU2" s="386"/>
      <c r="DV2" s="386"/>
      <c r="DW2" s="386"/>
      <c r="DX2" s="386"/>
      <c r="DY2" s="386"/>
      <c r="DZ2" s="386"/>
      <c r="EA2" s="386"/>
      <c r="EB2" s="386"/>
      <c r="EC2" s="386"/>
      <c r="ED2" s="386"/>
      <c r="EE2" s="386"/>
      <c r="EF2" s="386"/>
      <c r="EG2" s="386"/>
      <c r="EH2" s="386"/>
      <c r="EI2" s="386"/>
      <c r="EJ2" s="386"/>
      <c r="EK2" s="386"/>
      <c r="EL2" s="386"/>
      <c r="EM2" s="386"/>
      <c r="EN2" s="386"/>
      <c r="EO2" s="386"/>
      <c r="EP2" s="386"/>
      <c r="EQ2" s="386"/>
      <c r="ER2" s="386"/>
      <c r="ES2" s="386"/>
      <c r="ET2" s="386"/>
      <c r="EU2" s="386"/>
      <c r="EV2" s="386"/>
      <c r="EW2" s="386"/>
      <c r="EX2" s="386"/>
      <c r="EY2" s="386"/>
      <c r="EZ2" s="386"/>
      <c r="FA2" s="386"/>
      <c r="FB2" s="386"/>
      <c r="FC2" s="386"/>
      <c r="FD2" s="386"/>
      <c r="FE2" s="386"/>
      <c r="FF2" s="386"/>
      <c r="FG2" s="386"/>
      <c r="FH2" s="386"/>
      <c r="FI2" s="386"/>
      <c r="FJ2" s="386"/>
      <c r="FK2" s="386"/>
      <c r="FL2" s="386"/>
      <c r="FM2" s="386"/>
      <c r="FN2" s="386"/>
      <c r="FO2" s="386"/>
      <c r="FP2" s="386"/>
      <c r="FQ2" s="386"/>
      <c r="FR2" s="386"/>
      <c r="FS2" s="386"/>
      <c r="FT2" s="386"/>
      <c r="FU2" s="386"/>
      <c r="FV2" s="386"/>
      <c r="FW2" s="386"/>
      <c r="FX2" s="386"/>
      <c r="FY2" s="386"/>
      <c r="FZ2" s="386"/>
      <c r="GA2" s="386"/>
      <c r="GB2" s="386"/>
      <c r="GC2" s="386"/>
      <c r="GD2" s="386"/>
      <c r="GE2" s="386"/>
      <c r="GF2" s="386"/>
      <c r="GG2" s="386"/>
      <c r="GH2" s="386"/>
      <c r="GI2" s="386"/>
      <c r="GJ2" s="386"/>
      <c r="GK2" s="386"/>
      <c r="GL2" s="386"/>
      <c r="GM2" s="386"/>
      <c r="GN2" s="386"/>
      <c r="GO2" s="386"/>
      <c r="GP2" s="386"/>
      <c r="GQ2" s="386"/>
      <c r="GR2" s="386"/>
      <c r="GS2" s="386"/>
      <c r="GT2" s="386"/>
      <c r="GU2" s="386"/>
      <c r="GV2" s="386"/>
      <c r="GW2" s="386"/>
      <c r="GX2" s="386"/>
      <c r="GY2" s="386"/>
      <c r="GZ2" s="386"/>
      <c r="HA2" s="386"/>
      <c r="HB2" s="386"/>
      <c r="HC2" s="386"/>
      <c r="HD2" s="386"/>
      <c r="HE2" s="386"/>
      <c r="HF2" s="386"/>
      <c r="HG2" s="386"/>
      <c r="HH2" s="386"/>
      <c r="HI2" s="386"/>
      <c r="HJ2" s="386"/>
      <c r="HK2" s="386"/>
      <c r="HL2" s="386"/>
      <c r="HM2" s="386"/>
      <c r="HN2" s="386"/>
      <c r="HO2" s="386"/>
      <c r="HP2" s="386"/>
      <c r="HQ2" s="386"/>
      <c r="HR2" s="386"/>
      <c r="HS2" s="386"/>
      <c r="HT2" s="386"/>
      <c r="HU2" s="386"/>
      <c r="HV2" s="386"/>
      <c r="HW2" s="386"/>
      <c r="HX2" s="386"/>
      <c r="HY2" s="386"/>
      <c r="HZ2" s="386"/>
      <c r="IA2" s="386"/>
      <c r="IB2" s="386"/>
      <c r="IC2" s="386"/>
      <c r="ID2" s="386"/>
      <c r="IE2" s="386"/>
      <c r="IF2" s="386"/>
      <c r="IG2" s="386"/>
      <c r="IH2" s="386"/>
      <c r="II2" s="386"/>
      <c r="IJ2" s="386"/>
      <c r="IK2" s="386"/>
      <c r="IL2" s="386"/>
      <c r="IM2" s="386"/>
      <c r="IN2" s="386"/>
      <c r="IO2" s="386"/>
      <c r="IP2" s="386"/>
      <c r="IQ2" s="386"/>
      <c r="IR2" s="386"/>
      <c r="IS2" s="386"/>
      <c r="IT2" s="386"/>
      <c r="IU2" s="386"/>
      <c r="IV2" s="386"/>
      <c r="IW2" s="386"/>
    </row>
    <row r="3" customFormat="fals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c r="AA3" s="388"/>
      <c r="AB3" s="388"/>
      <c r="AC3" s="388"/>
      <c r="AD3" s="388"/>
      <c r="AE3" s="388"/>
      <c r="AF3" s="388"/>
      <c r="AG3" s="388"/>
      <c r="AH3" s="388"/>
      <c r="AI3" s="388"/>
      <c r="AJ3" s="388"/>
      <c r="AK3" s="388"/>
      <c r="AL3" s="388"/>
      <c r="AM3" s="388"/>
      <c r="AN3" s="388"/>
      <c r="AO3" s="388"/>
      <c r="AP3" s="388"/>
      <c r="AQ3" s="388"/>
      <c r="AR3" s="388"/>
      <c r="AS3" s="388"/>
      <c r="AT3" s="388"/>
      <c r="AU3" s="388"/>
      <c r="AV3" s="388"/>
      <c r="AW3" s="388"/>
      <c r="AX3" s="388"/>
      <c r="AY3" s="388"/>
      <c r="AZ3" s="388"/>
      <c r="BA3" s="388"/>
      <c r="BB3" s="388"/>
      <c r="BC3" s="388"/>
      <c r="BD3" s="388"/>
      <c r="BE3" s="388"/>
      <c r="BF3" s="388"/>
      <c r="BG3" s="388"/>
      <c r="BH3" s="388"/>
      <c r="BI3" s="388"/>
      <c r="BJ3" s="388"/>
      <c r="BK3" s="388"/>
      <c r="BL3" s="388"/>
      <c r="BM3" s="388"/>
      <c r="BN3" s="388"/>
      <c r="BO3" s="388"/>
      <c r="BP3" s="388"/>
      <c r="BQ3" s="388"/>
      <c r="BR3" s="388"/>
      <c r="BS3" s="388"/>
      <c r="BT3" s="388"/>
      <c r="BU3" s="388"/>
      <c r="BV3" s="388"/>
      <c r="BW3" s="388"/>
      <c r="BX3" s="388"/>
      <c r="BY3" s="388"/>
      <c r="BZ3" s="388"/>
      <c r="CA3" s="388"/>
      <c r="CB3" s="388"/>
      <c r="CC3" s="388"/>
      <c r="CD3" s="388"/>
      <c r="CE3" s="388"/>
      <c r="CF3" s="388"/>
      <c r="CG3" s="388"/>
      <c r="CH3" s="388"/>
      <c r="CI3" s="388"/>
      <c r="CJ3" s="388"/>
      <c r="CK3" s="388"/>
      <c r="CL3" s="388"/>
      <c r="CM3" s="388"/>
      <c r="CN3" s="388"/>
      <c r="CO3" s="388"/>
      <c r="CP3" s="388"/>
      <c r="CQ3" s="388"/>
      <c r="CR3" s="388"/>
      <c r="CS3" s="388"/>
      <c r="CT3" s="388"/>
      <c r="CU3" s="388"/>
      <c r="CV3" s="388"/>
      <c r="CW3" s="388"/>
      <c r="CX3" s="388"/>
      <c r="CY3" s="388"/>
      <c r="CZ3" s="388"/>
      <c r="DA3" s="388"/>
      <c r="DB3" s="388"/>
      <c r="DC3" s="388"/>
      <c r="DD3" s="388"/>
      <c r="DE3" s="388"/>
      <c r="DF3" s="388"/>
      <c r="DG3" s="388"/>
      <c r="DH3" s="388"/>
      <c r="DI3" s="388"/>
      <c r="DJ3" s="388"/>
      <c r="DK3" s="388"/>
      <c r="DL3" s="388"/>
      <c r="DM3" s="388"/>
      <c r="DN3" s="388"/>
      <c r="DO3" s="388"/>
      <c r="DP3" s="388"/>
      <c r="DQ3" s="388"/>
      <c r="DR3" s="388"/>
      <c r="DS3" s="388"/>
      <c r="DT3" s="388"/>
      <c r="DU3" s="388"/>
      <c r="DV3" s="388"/>
      <c r="DW3" s="388"/>
      <c r="DX3" s="388"/>
      <c r="DY3" s="388"/>
      <c r="DZ3" s="388"/>
      <c r="EA3" s="388"/>
      <c r="EB3" s="388"/>
      <c r="EC3" s="388"/>
      <c r="ED3" s="388"/>
      <c r="EE3" s="388"/>
      <c r="EF3" s="388"/>
      <c r="EG3" s="388"/>
      <c r="EH3" s="388"/>
      <c r="EI3" s="388"/>
      <c r="EJ3" s="388"/>
      <c r="EK3" s="388"/>
      <c r="EL3" s="388"/>
      <c r="EM3" s="388"/>
      <c r="EN3" s="388"/>
      <c r="EO3" s="388"/>
      <c r="EP3" s="388"/>
      <c r="EQ3" s="388"/>
      <c r="ER3" s="388"/>
      <c r="ES3" s="388"/>
      <c r="ET3" s="388"/>
      <c r="EU3" s="388"/>
      <c r="EV3" s="388"/>
      <c r="EW3" s="388"/>
      <c r="EX3" s="388"/>
      <c r="EY3" s="388"/>
      <c r="EZ3" s="388"/>
      <c r="FA3" s="388"/>
      <c r="FB3" s="388"/>
      <c r="FC3" s="388"/>
      <c r="FD3" s="388"/>
      <c r="FE3" s="388"/>
      <c r="FF3" s="388"/>
      <c r="FG3" s="388"/>
      <c r="FH3" s="388"/>
      <c r="FI3" s="388"/>
      <c r="FJ3" s="388"/>
      <c r="FK3" s="388"/>
      <c r="FL3" s="388"/>
      <c r="FM3" s="388"/>
      <c r="FN3" s="388"/>
      <c r="FO3" s="388"/>
      <c r="FP3" s="388"/>
      <c r="FQ3" s="388"/>
      <c r="FR3" s="388"/>
      <c r="FS3" s="388"/>
      <c r="FT3" s="388"/>
      <c r="FU3" s="388"/>
      <c r="FV3" s="388"/>
      <c r="FW3" s="388"/>
      <c r="FX3" s="388"/>
      <c r="FY3" s="388"/>
      <c r="FZ3" s="388"/>
      <c r="GA3" s="388"/>
      <c r="GB3" s="388"/>
      <c r="GC3" s="388"/>
      <c r="GD3" s="388"/>
      <c r="GE3" s="388"/>
      <c r="GF3" s="388"/>
      <c r="GG3" s="388"/>
      <c r="GH3" s="388"/>
      <c r="GI3" s="388"/>
      <c r="GJ3" s="388"/>
      <c r="GK3" s="388"/>
      <c r="GL3" s="388"/>
      <c r="GM3" s="388"/>
      <c r="GN3" s="388"/>
      <c r="GO3" s="388"/>
      <c r="GP3" s="388"/>
      <c r="GQ3" s="388"/>
      <c r="GR3" s="388"/>
      <c r="GS3" s="388"/>
      <c r="GT3" s="388"/>
      <c r="GU3" s="388"/>
      <c r="GV3" s="388"/>
      <c r="GW3" s="388"/>
      <c r="GX3" s="388"/>
      <c r="GY3" s="388"/>
      <c r="GZ3" s="388"/>
      <c r="HA3" s="388"/>
      <c r="HB3" s="388"/>
      <c r="HC3" s="388"/>
      <c r="HD3" s="388"/>
      <c r="HE3" s="388"/>
      <c r="HF3" s="388"/>
      <c r="HG3" s="388"/>
      <c r="HH3" s="388"/>
      <c r="HI3" s="388"/>
      <c r="HJ3" s="388"/>
      <c r="HK3" s="388"/>
      <c r="HL3" s="388"/>
      <c r="HM3" s="388"/>
      <c r="HN3" s="388"/>
      <c r="HO3" s="388"/>
      <c r="HP3" s="388"/>
      <c r="HQ3" s="388"/>
      <c r="HR3" s="388"/>
      <c r="HS3" s="388"/>
      <c r="HT3" s="388"/>
      <c r="HU3" s="388"/>
      <c r="HV3" s="388"/>
      <c r="HW3" s="388"/>
      <c r="HX3" s="388"/>
      <c r="HY3" s="388"/>
      <c r="HZ3" s="388"/>
      <c r="IA3" s="388"/>
      <c r="IB3" s="388"/>
      <c r="IC3" s="388"/>
      <c r="ID3" s="388"/>
      <c r="IE3" s="388"/>
      <c r="IF3" s="388"/>
      <c r="IG3" s="388"/>
      <c r="IH3" s="388"/>
      <c r="II3" s="388"/>
      <c r="IJ3" s="388"/>
      <c r="IK3" s="388"/>
      <c r="IL3" s="388"/>
      <c r="IM3" s="388"/>
      <c r="IN3" s="388"/>
      <c r="IO3" s="388"/>
      <c r="IP3" s="388"/>
      <c r="IQ3" s="388"/>
      <c r="IR3" s="388"/>
      <c r="IS3" s="388"/>
      <c r="IT3" s="388"/>
      <c r="IU3" s="388"/>
      <c r="IV3" s="388"/>
      <c r="IW3" s="388"/>
    </row>
    <row r="4" customFormat="false" ht="12.75" hidden="false" customHeight="false" outlineLevel="0" collapsed="false">
      <c r="A4" s="379"/>
      <c r="B4" s="379"/>
      <c r="C4" s="379"/>
      <c r="D4" s="379"/>
      <c r="E4" s="389" t="s">
        <v>274</v>
      </c>
      <c r="F4" s="381"/>
      <c r="G4" s="402"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c r="AA4" s="367"/>
      <c r="AB4" s="367"/>
      <c r="AC4" s="367"/>
      <c r="AD4" s="367"/>
      <c r="AE4" s="367"/>
      <c r="AF4" s="367"/>
      <c r="AG4" s="367"/>
      <c r="AH4" s="367"/>
      <c r="AI4" s="367"/>
      <c r="AJ4" s="367"/>
      <c r="AK4" s="367"/>
      <c r="AL4" s="367"/>
      <c r="AM4" s="367"/>
      <c r="AN4" s="367"/>
      <c r="AO4" s="367"/>
      <c r="AP4" s="367"/>
      <c r="AQ4" s="367"/>
      <c r="AR4" s="367"/>
      <c r="AS4" s="367"/>
      <c r="AT4" s="367"/>
      <c r="AU4" s="367"/>
      <c r="AV4" s="367"/>
      <c r="AW4" s="367"/>
      <c r="AX4" s="367"/>
      <c r="AY4" s="367"/>
      <c r="AZ4" s="367"/>
      <c r="BA4" s="367"/>
      <c r="BB4" s="367"/>
      <c r="BC4" s="367"/>
      <c r="BD4" s="367"/>
      <c r="BE4" s="367"/>
      <c r="BF4" s="367"/>
      <c r="BG4" s="367"/>
      <c r="BH4" s="367"/>
      <c r="BI4" s="367"/>
      <c r="BJ4" s="367"/>
      <c r="BK4" s="367"/>
      <c r="BL4" s="367"/>
      <c r="BM4" s="367"/>
      <c r="BN4" s="367"/>
      <c r="BO4" s="367"/>
      <c r="BP4" s="367"/>
      <c r="BQ4" s="367"/>
      <c r="BR4" s="367"/>
      <c r="BS4" s="367"/>
      <c r="BT4" s="367"/>
      <c r="BU4" s="367"/>
      <c r="BV4" s="367"/>
      <c r="BW4" s="367"/>
      <c r="BX4" s="367"/>
      <c r="BY4" s="367"/>
      <c r="BZ4" s="367"/>
      <c r="CA4" s="367"/>
      <c r="CB4" s="367"/>
      <c r="CC4" s="367"/>
      <c r="CD4" s="367"/>
      <c r="CE4" s="367"/>
      <c r="CF4" s="367"/>
      <c r="CG4" s="367"/>
      <c r="CH4" s="367"/>
      <c r="CI4" s="367"/>
      <c r="CJ4" s="367"/>
      <c r="CK4" s="367"/>
      <c r="CL4" s="367"/>
      <c r="CM4" s="367"/>
      <c r="CN4" s="367"/>
      <c r="CO4" s="367"/>
      <c r="CP4" s="367"/>
      <c r="CQ4" s="367"/>
      <c r="CR4" s="367"/>
      <c r="CS4" s="367"/>
      <c r="CT4" s="367"/>
      <c r="CU4" s="367"/>
      <c r="CV4" s="367"/>
      <c r="CW4" s="367"/>
      <c r="CX4" s="367"/>
      <c r="CY4" s="367"/>
      <c r="CZ4" s="367"/>
      <c r="DA4" s="367"/>
      <c r="DB4" s="367"/>
      <c r="DC4" s="367"/>
      <c r="DD4" s="367"/>
      <c r="DE4" s="367"/>
      <c r="DF4" s="367"/>
      <c r="DG4" s="367"/>
      <c r="DH4" s="367"/>
      <c r="DI4" s="367"/>
      <c r="DJ4" s="367"/>
      <c r="DK4" s="367"/>
      <c r="DL4" s="367"/>
      <c r="DM4" s="367"/>
      <c r="DN4" s="367"/>
      <c r="DO4" s="367"/>
      <c r="DP4" s="367"/>
      <c r="DQ4" s="367"/>
      <c r="DR4" s="367"/>
      <c r="DS4" s="367"/>
      <c r="DT4" s="367"/>
      <c r="DU4" s="367"/>
      <c r="DV4" s="367"/>
      <c r="DW4" s="367"/>
      <c r="DX4" s="367"/>
      <c r="DY4" s="367"/>
      <c r="DZ4" s="367"/>
      <c r="EA4" s="367"/>
      <c r="EB4" s="367"/>
      <c r="EC4" s="367"/>
      <c r="ED4" s="367"/>
      <c r="EE4" s="367"/>
      <c r="EF4" s="367"/>
      <c r="EG4" s="367"/>
      <c r="EH4" s="367"/>
      <c r="EI4" s="367"/>
      <c r="EJ4" s="367"/>
      <c r="EK4" s="367"/>
      <c r="EL4" s="367"/>
      <c r="EM4" s="367"/>
      <c r="EN4" s="367"/>
      <c r="EO4" s="367"/>
      <c r="EP4" s="367"/>
      <c r="EQ4" s="367"/>
      <c r="ER4" s="367"/>
      <c r="ES4" s="367"/>
      <c r="ET4" s="367"/>
      <c r="EU4" s="367"/>
      <c r="EV4" s="367"/>
      <c r="EW4" s="367"/>
      <c r="EX4" s="367"/>
      <c r="EY4" s="367"/>
      <c r="EZ4" s="367"/>
      <c r="FA4" s="367"/>
      <c r="FB4" s="367"/>
      <c r="FC4" s="367"/>
      <c r="FD4" s="367"/>
      <c r="FE4" s="367"/>
      <c r="FF4" s="367"/>
      <c r="FG4" s="367"/>
      <c r="FH4" s="367"/>
      <c r="FI4" s="367"/>
      <c r="FJ4" s="367"/>
      <c r="FK4" s="367"/>
      <c r="FL4" s="367"/>
      <c r="FM4" s="367"/>
      <c r="FN4" s="367"/>
      <c r="FO4" s="367"/>
      <c r="FP4" s="367"/>
      <c r="FQ4" s="367"/>
      <c r="FR4" s="367"/>
      <c r="FS4" s="367"/>
      <c r="FT4" s="367"/>
      <c r="FU4" s="367"/>
      <c r="FV4" s="367"/>
      <c r="FW4" s="367"/>
      <c r="FX4" s="367"/>
      <c r="FY4" s="367"/>
      <c r="FZ4" s="367"/>
      <c r="GA4" s="367"/>
      <c r="GB4" s="367"/>
      <c r="GC4" s="367"/>
      <c r="GD4" s="367"/>
      <c r="GE4" s="367"/>
      <c r="GF4" s="367"/>
      <c r="GG4" s="367"/>
      <c r="GH4" s="367"/>
      <c r="GI4" s="367"/>
      <c r="GJ4" s="367"/>
      <c r="GK4" s="367"/>
      <c r="GL4" s="367"/>
      <c r="GM4" s="367"/>
      <c r="GN4" s="367"/>
      <c r="GO4" s="367"/>
      <c r="GP4" s="367"/>
      <c r="GQ4" s="367"/>
      <c r="GR4" s="367"/>
      <c r="GS4" s="367"/>
      <c r="GT4" s="367"/>
      <c r="GU4" s="367"/>
      <c r="GV4" s="367"/>
      <c r="GW4" s="367"/>
      <c r="GX4" s="367"/>
      <c r="GY4" s="367"/>
      <c r="GZ4" s="367"/>
      <c r="HA4" s="367"/>
      <c r="HB4" s="367"/>
      <c r="HC4" s="367"/>
      <c r="HD4" s="367"/>
      <c r="HE4" s="367"/>
      <c r="HF4" s="367"/>
      <c r="HG4" s="367"/>
      <c r="HH4" s="367"/>
      <c r="HI4" s="367"/>
      <c r="HJ4" s="367"/>
      <c r="HK4" s="367"/>
      <c r="HL4" s="367"/>
      <c r="HM4" s="367"/>
      <c r="HN4" s="367"/>
      <c r="HO4" s="367"/>
      <c r="HP4" s="367"/>
      <c r="HQ4" s="367"/>
      <c r="HR4" s="367"/>
      <c r="HS4" s="367"/>
      <c r="HT4" s="367"/>
      <c r="HU4" s="367"/>
      <c r="HV4" s="367"/>
      <c r="HW4" s="367"/>
      <c r="HX4" s="367"/>
      <c r="HY4" s="367"/>
      <c r="HZ4" s="367"/>
      <c r="IA4" s="367"/>
      <c r="IB4" s="367"/>
      <c r="IC4" s="367"/>
      <c r="ID4" s="367"/>
      <c r="IE4" s="367"/>
      <c r="IF4" s="367"/>
      <c r="IG4" s="367"/>
      <c r="IH4" s="367"/>
      <c r="II4" s="367"/>
      <c r="IJ4" s="367"/>
      <c r="IK4" s="367"/>
      <c r="IL4" s="367"/>
      <c r="IM4" s="367"/>
      <c r="IN4" s="367"/>
      <c r="IO4" s="367"/>
      <c r="IP4" s="367"/>
      <c r="IQ4" s="367"/>
      <c r="IR4" s="367"/>
      <c r="IS4" s="367"/>
      <c r="IT4" s="367"/>
      <c r="IU4" s="367"/>
      <c r="IV4" s="367"/>
      <c r="IW4" s="367"/>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6"/>
      <c r="C300" s="396"/>
      <c r="D300" s="397"/>
      <c r="E300" s="398"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303</v>
      </c>
      <c r="C1" s="68"/>
      <c r="D1" s="408"/>
      <c r="E1" s="408"/>
      <c r="F1" s="408"/>
      <c r="G1" s="162"/>
      <c r="H1" s="68"/>
      <c r="I1" s="68"/>
      <c r="J1" s="68"/>
      <c r="K1" s="68"/>
      <c r="L1" s="68"/>
      <c r="M1" s="68"/>
      <c r="N1" s="68"/>
      <c r="O1" s="68"/>
    </row>
    <row r="2" customFormat="false" ht="12" hidden="false" customHeight="true" outlineLevel="0" collapsed="false">
      <c r="A2" s="68"/>
      <c r="B2" s="409" t="n">
        <v>44255</v>
      </c>
      <c r="C2" s="68"/>
      <c r="D2" s="410" t="s">
        <v>304</v>
      </c>
      <c r="E2" s="410"/>
      <c r="F2" s="410"/>
      <c r="G2" s="411" t="str">
        <f aca="false">B23</f>
        <v>2021-22</v>
      </c>
      <c r="H2" s="68"/>
      <c r="I2" s="68"/>
      <c r="J2" s="412" t="s">
        <v>305</v>
      </c>
      <c r="K2" s="412"/>
      <c r="L2" s="410" t="str">
        <f aca="false">G2</f>
        <v>2021-22</v>
      </c>
      <c r="M2" s="68"/>
      <c r="N2" s="68"/>
      <c r="O2" s="68"/>
    </row>
    <row r="3" customFormat="false" ht="12" hidden="false" customHeight="true" outlineLevel="0" collapsed="false">
      <c r="A3" s="68"/>
      <c r="B3" s="409" t="n">
        <v>44286</v>
      </c>
      <c r="C3" s="68"/>
      <c r="D3" s="68"/>
      <c r="E3" s="68"/>
      <c r="F3" s="68"/>
      <c r="G3" s="413"/>
      <c r="H3" s="68"/>
      <c r="I3" s="68"/>
      <c r="J3" s="414"/>
      <c r="K3" s="414"/>
      <c r="L3" s="162"/>
      <c r="M3" s="68"/>
      <c r="N3" s="68"/>
      <c r="O3" s="68"/>
    </row>
    <row r="4" customFormat="false" ht="12" hidden="false" customHeight="true" outlineLevel="0" collapsed="false">
      <c r="A4" s="68"/>
      <c r="B4" s="415" t="n">
        <v>44292</v>
      </c>
      <c r="C4" s="68"/>
      <c r="D4" s="416" t="s">
        <v>65</v>
      </c>
      <c r="E4" s="416"/>
      <c r="F4" s="416"/>
      <c r="G4" s="417" t="n">
        <v>1</v>
      </c>
      <c r="H4" s="68"/>
      <c r="I4" s="416" t="s">
        <v>306</v>
      </c>
      <c r="J4" s="416"/>
      <c r="K4" s="416"/>
      <c r="L4" s="416"/>
      <c r="M4" s="416"/>
      <c r="N4" s="418" t="n">
        <v>12570</v>
      </c>
      <c r="O4" s="413" t="s">
        <v>26</v>
      </c>
    </row>
    <row r="5" customFormat="false" ht="12" hidden="false" customHeight="true" outlineLevel="0" collapsed="false">
      <c r="A5" s="68"/>
      <c r="B5" s="409" t="n">
        <v>44316</v>
      </c>
      <c r="C5" s="68"/>
      <c r="D5" s="416" t="s">
        <v>307</v>
      </c>
      <c r="E5" s="416"/>
      <c r="F5" s="416"/>
      <c r="G5" s="417" t="n">
        <v>0.18</v>
      </c>
      <c r="H5" s="68"/>
      <c r="I5" s="68"/>
      <c r="J5" s="68"/>
      <c r="K5" s="68"/>
      <c r="L5" s="68"/>
      <c r="M5" s="68"/>
      <c r="N5" s="413"/>
      <c r="O5" s="413"/>
    </row>
    <row r="6" customFormat="false" ht="12" hidden="false" customHeight="true" outlineLevel="0" collapsed="false">
      <c r="A6" s="68"/>
      <c r="B6" s="409" t="n">
        <v>44347</v>
      </c>
      <c r="C6" s="68"/>
      <c r="D6" s="68"/>
      <c r="E6" s="68"/>
      <c r="F6" s="68"/>
      <c r="G6" s="413"/>
      <c r="H6" s="68"/>
      <c r="I6" s="68" t="s">
        <v>308</v>
      </c>
      <c r="J6" s="68"/>
      <c r="K6" s="68"/>
      <c r="L6" s="68"/>
      <c r="M6" s="68"/>
      <c r="N6" s="417" t="n">
        <v>0</v>
      </c>
      <c r="O6" s="413" t="s">
        <v>309</v>
      </c>
    </row>
    <row r="7" customFormat="false" ht="12" hidden="false" customHeight="true" outlineLevel="0" collapsed="false">
      <c r="A7" s="68"/>
      <c r="B7" s="409" t="n">
        <v>44377</v>
      </c>
      <c r="C7" s="68"/>
      <c r="D7" s="416" t="s">
        <v>310</v>
      </c>
      <c r="E7" s="416"/>
      <c r="F7" s="416"/>
      <c r="G7" s="413"/>
      <c r="H7" s="68"/>
      <c r="I7" s="416" t="s">
        <v>311</v>
      </c>
      <c r="J7" s="416"/>
      <c r="K7" s="416"/>
      <c r="L7" s="416"/>
      <c r="M7" s="416"/>
      <c r="N7" s="417" t="n">
        <v>0.2</v>
      </c>
      <c r="O7" s="413" t="s">
        <v>309</v>
      </c>
    </row>
    <row r="8" customFormat="false" ht="12" hidden="false" customHeight="true" outlineLevel="0" collapsed="false">
      <c r="A8" s="68"/>
      <c r="B8" s="409" t="n">
        <v>44408</v>
      </c>
      <c r="C8" s="68"/>
      <c r="D8" s="68" t="s">
        <v>312</v>
      </c>
      <c r="E8" s="419" t="n">
        <v>12000</v>
      </c>
      <c r="F8" s="68" t="s">
        <v>313</v>
      </c>
      <c r="G8" s="419" t="n">
        <v>3000</v>
      </c>
      <c r="H8" s="68"/>
      <c r="I8" s="416" t="s">
        <v>314</v>
      </c>
      <c r="J8" s="416"/>
      <c r="K8" s="416"/>
      <c r="L8" s="416"/>
      <c r="M8" s="416"/>
      <c r="N8" s="417" t="n">
        <v>0.4</v>
      </c>
      <c r="O8" s="413" t="s">
        <v>309</v>
      </c>
    </row>
    <row r="9" customFormat="false" ht="12" hidden="false" customHeight="true" outlineLevel="0" collapsed="false">
      <c r="A9" s="68"/>
      <c r="B9" s="409" t="n">
        <v>44439</v>
      </c>
      <c r="C9" s="68"/>
      <c r="D9" s="68"/>
      <c r="E9" s="413"/>
      <c r="F9" s="68"/>
      <c r="G9" s="413"/>
      <c r="H9" s="68"/>
      <c r="I9" s="68"/>
      <c r="J9" s="68"/>
      <c r="K9" s="68"/>
      <c r="L9" s="68"/>
      <c r="M9" s="68"/>
      <c r="N9" s="413"/>
      <c r="O9" s="413"/>
    </row>
    <row r="10" customFormat="false" ht="12" hidden="false" customHeight="true" outlineLevel="0" collapsed="false">
      <c r="A10" s="68"/>
      <c r="B10" s="409" t="n">
        <v>44469</v>
      </c>
      <c r="C10" s="68"/>
      <c r="D10" s="68"/>
      <c r="E10" s="413"/>
      <c r="F10" s="68"/>
      <c r="G10" s="413"/>
      <c r="H10" s="68"/>
      <c r="I10" s="416" t="s">
        <v>315</v>
      </c>
      <c r="J10" s="416"/>
      <c r="K10" s="416"/>
      <c r="L10" s="420" t="s">
        <v>316</v>
      </c>
      <c r="M10" s="420" t="s">
        <v>317</v>
      </c>
      <c r="N10" s="421" t="s">
        <v>318</v>
      </c>
      <c r="O10" s="413"/>
    </row>
    <row r="11" customFormat="false" ht="12" hidden="false" customHeight="true" outlineLevel="0" collapsed="false">
      <c r="A11" s="68"/>
      <c r="B11" s="409" t="n">
        <v>44500</v>
      </c>
      <c r="C11" s="68"/>
      <c r="D11" s="410" t="s">
        <v>319</v>
      </c>
      <c r="E11" s="410"/>
      <c r="F11" s="410"/>
      <c r="G11" s="413" t="s">
        <v>309</v>
      </c>
      <c r="H11" s="68"/>
      <c r="I11" s="68" t="s">
        <v>320</v>
      </c>
      <c r="J11" s="68"/>
      <c r="K11" s="422" t="n">
        <f aca="false">N6</f>
        <v>0</v>
      </c>
      <c r="L11" s="413" t="n">
        <f aca="false">N11</f>
        <v>0</v>
      </c>
      <c r="M11" s="413" t="n">
        <v>0</v>
      </c>
      <c r="N11" s="419" t="n">
        <v>0</v>
      </c>
      <c r="O11" s="413"/>
    </row>
    <row r="12" customFormat="false" ht="12" hidden="false" customHeight="true" outlineLevel="0" collapsed="false">
      <c r="A12" s="68"/>
      <c r="B12" s="409" t="n">
        <v>44530</v>
      </c>
      <c r="C12" s="68"/>
      <c r="D12" s="68"/>
      <c r="E12" s="68"/>
      <c r="F12" s="68"/>
      <c r="G12" s="413"/>
      <c r="H12" s="68"/>
      <c r="I12" s="68" t="s">
        <v>321</v>
      </c>
      <c r="J12" s="68"/>
      <c r="K12" s="422" t="n">
        <f aca="false">N7</f>
        <v>0.2</v>
      </c>
      <c r="L12" s="413" t="n">
        <v>0</v>
      </c>
      <c r="M12" s="413" t="n">
        <v>37700</v>
      </c>
      <c r="N12" s="419" t="n">
        <v>0</v>
      </c>
      <c r="O12" s="413"/>
    </row>
    <row r="13" customFormat="false" ht="12" hidden="false" customHeight="true" outlineLevel="0" collapsed="false">
      <c r="A13" s="68"/>
      <c r="B13" s="409" t="n">
        <v>44561</v>
      </c>
      <c r="C13" s="68"/>
      <c r="D13" s="416" t="s">
        <v>203</v>
      </c>
      <c r="E13" s="416"/>
      <c r="F13" s="416"/>
      <c r="G13" s="417" t="n">
        <v>0</v>
      </c>
      <c r="H13" s="68"/>
      <c r="I13" s="68" t="s">
        <v>322</v>
      </c>
      <c r="J13" s="68"/>
      <c r="K13" s="422" t="n">
        <f aca="false">N8</f>
        <v>0.4</v>
      </c>
      <c r="L13" s="413" t="n">
        <v>37701</v>
      </c>
      <c r="M13" s="68"/>
      <c r="N13" s="419" t="n">
        <v>37701</v>
      </c>
      <c r="O13" s="413"/>
    </row>
    <row r="14" customFormat="false" ht="12" hidden="false" customHeight="true" outlineLevel="0" collapsed="false">
      <c r="A14" s="68"/>
      <c r="B14" s="409" t="n">
        <v>44592</v>
      </c>
      <c r="C14" s="68"/>
      <c r="D14" s="416" t="s">
        <v>205</v>
      </c>
      <c r="E14" s="416"/>
      <c r="F14" s="416"/>
      <c r="G14" s="417" t="n">
        <v>0.1</v>
      </c>
      <c r="H14" s="68"/>
      <c r="I14" s="68"/>
      <c r="J14" s="68"/>
      <c r="K14" s="68"/>
      <c r="L14" s="68"/>
      <c r="M14" s="68"/>
      <c r="N14" s="68"/>
      <c r="O14" s="68"/>
    </row>
    <row r="15" customFormat="false" ht="12" hidden="false" customHeight="true" outlineLevel="0" collapsed="false">
      <c r="A15" s="68"/>
      <c r="B15" s="409" t="n">
        <v>44620</v>
      </c>
      <c r="C15" s="68"/>
      <c r="D15" s="416" t="s">
        <v>207</v>
      </c>
      <c r="E15" s="416"/>
      <c r="F15" s="416"/>
      <c r="G15" s="417" t="n">
        <v>0.2</v>
      </c>
      <c r="H15" s="68"/>
      <c r="I15" s="410" t="s">
        <v>323</v>
      </c>
      <c r="J15" s="410"/>
      <c r="K15" s="410"/>
      <c r="L15" s="410" t="str">
        <f aca="false">G2</f>
        <v>2021-22</v>
      </c>
      <c r="M15" s="68"/>
      <c r="N15" s="68"/>
      <c r="O15" s="68"/>
    </row>
    <row r="16" customFormat="false" ht="12" hidden="false" customHeight="true" outlineLevel="0" collapsed="false">
      <c r="A16" s="68"/>
      <c r="B16" s="409" t="n">
        <v>44651</v>
      </c>
      <c r="C16" s="68"/>
      <c r="D16" s="416" t="s">
        <v>324</v>
      </c>
      <c r="E16" s="416"/>
      <c r="F16" s="416"/>
      <c r="G16" s="417" t="n">
        <v>0.33</v>
      </c>
      <c r="H16" s="68"/>
      <c r="I16" s="68"/>
      <c r="J16" s="68"/>
      <c r="K16" s="68"/>
      <c r="L16" s="68"/>
      <c r="M16" s="68"/>
      <c r="N16" s="68"/>
      <c r="O16" s="68"/>
    </row>
    <row r="17" customFormat="false" ht="12" hidden="false" customHeight="true" outlineLevel="0" collapsed="false">
      <c r="A17" s="68"/>
      <c r="B17" s="415" t="n">
        <v>44656</v>
      </c>
      <c r="C17" s="68"/>
      <c r="D17" s="416" t="s">
        <v>325</v>
      </c>
      <c r="E17" s="416"/>
      <c r="F17" s="416"/>
      <c r="G17" s="417" t="n">
        <v>0.25</v>
      </c>
      <c r="H17" s="68"/>
      <c r="I17" s="416" t="s">
        <v>326</v>
      </c>
      <c r="J17" s="416"/>
      <c r="K17" s="416"/>
      <c r="L17" s="423" t="n">
        <v>3.05</v>
      </c>
      <c r="M17" s="68" t="s">
        <v>327</v>
      </c>
      <c r="N17" s="68"/>
      <c r="O17" s="68"/>
    </row>
    <row r="18" customFormat="false" ht="12" hidden="false" customHeight="true" outlineLevel="0" collapsed="false">
      <c r="A18" s="68"/>
      <c r="B18" s="409" t="n">
        <v>44681</v>
      </c>
      <c r="C18" s="68"/>
      <c r="D18" s="68"/>
      <c r="E18" s="68"/>
      <c r="F18" s="68"/>
      <c r="G18" s="413"/>
      <c r="H18" s="68"/>
      <c r="I18" s="68"/>
      <c r="J18" s="68"/>
      <c r="K18" s="68"/>
      <c r="L18" s="68"/>
      <c r="M18" s="68"/>
      <c r="N18" s="68"/>
      <c r="O18" s="68"/>
    </row>
    <row r="19" customFormat="false" ht="12" hidden="false" customHeight="true" outlineLevel="0" collapsed="false">
      <c r="A19" s="68"/>
      <c r="B19" s="409" t="n">
        <v>44712</v>
      </c>
      <c r="C19" s="68"/>
      <c r="D19" s="410" t="s">
        <v>328</v>
      </c>
      <c r="E19" s="410"/>
      <c r="F19" s="413" t="s">
        <v>329</v>
      </c>
      <c r="G19" s="413" t="s">
        <v>330</v>
      </c>
      <c r="H19" s="68"/>
      <c r="I19" s="424" t="s">
        <v>331</v>
      </c>
      <c r="J19" s="424"/>
      <c r="K19" s="424"/>
      <c r="L19" s="68"/>
      <c r="M19" s="425" t="s">
        <v>332</v>
      </c>
      <c r="N19" s="68"/>
      <c r="O19" s="68"/>
    </row>
    <row r="20" customFormat="false" ht="12" hidden="false" customHeight="true" outlineLevel="0" collapsed="false">
      <c r="A20" s="68"/>
      <c r="B20" s="409" t="n">
        <v>44742</v>
      </c>
      <c r="C20" s="68"/>
      <c r="D20" s="162"/>
      <c r="E20" s="162"/>
      <c r="F20" s="413"/>
      <c r="G20" s="413"/>
      <c r="H20" s="68"/>
      <c r="I20" s="424"/>
      <c r="J20" s="424"/>
      <c r="K20" s="424"/>
      <c r="L20" s="426" t="n">
        <v>0.09</v>
      </c>
      <c r="M20" s="425"/>
      <c r="N20" s="419" t="n">
        <v>9568</v>
      </c>
      <c r="O20" s="413" t="s">
        <v>26</v>
      </c>
    </row>
    <row r="21" customFormat="false" ht="12" hidden="false" customHeight="true" outlineLevel="0" collapsed="false">
      <c r="A21" s="68"/>
      <c r="B21" s="409" t="n">
        <v>44957</v>
      </c>
      <c r="C21" s="68"/>
      <c r="D21" s="416" t="s">
        <v>333</v>
      </c>
      <c r="E21" s="416"/>
      <c r="F21" s="419" t="n">
        <v>10000</v>
      </c>
      <c r="G21" s="423" t="n">
        <v>0.45</v>
      </c>
      <c r="H21" s="68"/>
      <c r="I21" s="427"/>
      <c r="J21" s="427"/>
      <c r="K21" s="427"/>
      <c r="L21" s="422"/>
      <c r="M21" s="68"/>
      <c r="N21" s="68"/>
      <c r="O21" s="68"/>
    </row>
    <row r="22" customFormat="false" ht="12" hidden="false" customHeight="true" outlineLevel="0" collapsed="false">
      <c r="A22" s="68"/>
      <c r="B22" s="409" t="n">
        <v>45138</v>
      </c>
      <c r="C22" s="68"/>
      <c r="D22" s="68" t="s">
        <v>334</v>
      </c>
      <c r="E22" s="68"/>
      <c r="F22" s="419" t="n">
        <v>10001</v>
      </c>
      <c r="G22" s="423" t="n">
        <v>0.25</v>
      </c>
      <c r="H22" s="68"/>
      <c r="I22" s="424" t="s">
        <v>335</v>
      </c>
      <c r="J22" s="424"/>
      <c r="K22" s="424"/>
      <c r="L22" s="68"/>
      <c r="M22" s="425" t="s">
        <v>336</v>
      </c>
      <c r="N22" s="68"/>
      <c r="O22" s="68"/>
    </row>
    <row r="23" customFormat="false" ht="12" hidden="false" customHeight="true" outlineLevel="0" collapsed="false">
      <c r="A23" s="68"/>
      <c r="B23" s="415" t="s">
        <v>337</v>
      </c>
      <c r="C23" s="68"/>
      <c r="D23" s="68"/>
      <c r="E23" s="68"/>
      <c r="F23" s="413"/>
      <c r="G23" s="428"/>
      <c r="H23" s="68"/>
      <c r="I23" s="424"/>
      <c r="J23" s="424"/>
      <c r="K23" s="424"/>
      <c r="L23" s="426" t="n">
        <v>0.02</v>
      </c>
      <c r="M23" s="425"/>
      <c r="N23" s="419" t="n">
        <v>50270</v>
      </c>
      <c r="O23" s="413" t="s">
        <v>26</v>
      </c>
    </row>
    <row r="24" customFormat="false" ht="12" hidden="false" customHeight="true" outlineLevel="0" collapsed="false">
      <c r="A24" s="68"/>
      <c r="B24" s="415" t="s">
        <v>338</v>
      </c>
      <c r="C24" s="68"/>
      <c r="D24" s="410" t="s">
        <v>339</v>
      </c>
      <c r="E24" s="410"/>
      <c r="F24" s="68"/>
      <c r="G24" s="68"/>
      <c r="H24" s="68"/>
      <c r="I24" s="68"/>
      <c r="J24" s="68"/>
      <c r="K24" s="68"/>
      <c r="L24" s="68"/>
      <c r="M24" s="68"/>
      <c r="N24" s="68"/>
      <c r="O24" s="68"/>
    </row>
    <row r="25" customFormat="false" ht="12" hidden="false" customHeight="true" outlineLevel="0" collapsed="false">
      <c r="A25" s="68"/>
      <c r="B25" s="429"/>
      <c r="C25" s="68"/>
      <c r="D25" s="68"/>
      <c r="E25" s="68"/>
      <c r="F25" s="68"/>
      <c r="G25" s="68"/>
      <c r="H25" s="68"/>
      <c r="I25" s="68"/>
      <c r="J25" s="68"/>
      <c r="K25" s="68"/>
      <c r="L25" s="68"/>
      <c r="M25" s="68"/>
      <c r="N25" s="68"/>
      <c r="O25" s="68"/>
    </row>
    <row r="26" customFormat="false" ht="12" hidden="false" customHeight="true" outlineLevel="0" collapsed="false">
      <c r="A26" s="68"/>
      <c r="B26" s="429"/>
      <c r="C26" s="68"/>
      <c r="D26" s="68" t="s">
        <v>340</v>
      </c>
      <c r="E26" s="68"/>
      <c r="F26" s="419" t="n">
        <v>85000</v>
      </c>
      <c r="G26" s="68"/>
      <c r="H26" s="68"/>
      <c r="I26" s="68"/>
      <c r="J26" s="68"/>
      <c r="K26" s="68"/>
      <c r="L26" s="68"/>
      <c r="M26" s="68"/>
      <c r="N26" s="68"/>
      <c r="O26" s="68"/>
    </row>
    <row r="27" customFormat="false" ht="12" hidden="false" customHeight="false" outlineLevel="0" collapsed="false">
      <c r="A27" s="68"/>
      <c r="B27" s="429"/>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LibreOffice/26.2.2.2$MacOSX_X86_64 LibreOffice_project/1f77d10d6938fd34972958f64b2bcfa54f8b1ba5</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en-GB</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