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<sst xmlns="http://schemas.openxmlformats.org/spreadsheetml/2006/main" count="1163" uniqueCount="341">
  <si>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</si>
  <si>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</si>
  <si>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</si>
  <si>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</si>
  <si>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</si>
  <si>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</si>
  <si>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</si>
  <si>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</si>
  <si>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</si>
  <si>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</si>
  <si>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</si>
  <si>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</si>
  <si>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</si>
  <si>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</si>
  <si>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</si>
  <si>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</si>
  <si>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</si>
  <si>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</si>
  <si>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</si>
  <si>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</si>
  <si>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</si>
  <si>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</si>
  <si>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</si>
  <si>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</si>
  <si>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</si>
  <si>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</si>
  <si>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</si>
  <si>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</si>
  <si>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</si>
  <si>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</si>
  <si>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</si>
  <si>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</si>
  <si>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</si>
  <si>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</si>
  <si>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</si>
  <si>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</si>
  <si>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</si>
  <si>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</si>
  <si>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</si>
  <si>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</si>
  <si>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</si>
  <si>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</si>
  <si>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</si>
  <si>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</si>
  <si>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</si>
  <si>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</si>
  <si>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</si>
  <si>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</si>
  <si>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</si>
  <si>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</si>
  <si>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</si>
  <si>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</si>
  <si>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</si>
  <si>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</si>
  <si>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</si>
  <si>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</si>
  <si>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</si>
  <si>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</si>
  <si>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</si>
  <si>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</si>
  <si>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</si>
  <si>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</si>
  <si>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</si>
  <si>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</si>
  <si>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</si>
  <si>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</si>
  <si>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</si>
  <si>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</si>
  <si>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</si>
  <si>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</si>
  <si>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</si>
  <si>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</si>
  <si>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</si>
  <si>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</si>
  <si>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</si>
  <si>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</si>
  <si>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</si>
  <si>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</si>
  <si>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</si>
  <si>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</si>
  <si>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</si>
  <si>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</si>
  <si>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</si>
  <si>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</si>
  <si>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</si>
  <si>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</si>
  <si>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</si>
  <si>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</si>
  <si>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</si>
  <si>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</si>
  <si>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</si>
  <si>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</si>
  <si>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</si>
  <si>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</si>
  <si>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</si>
  <si>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</si>
  <si>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</si>
  <si>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</si>
  <si>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</si>
  <si>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</si>
  <si>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</si>
  <si>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</si>
  <si>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</si>
  <si>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</si>
  <si>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</si>
  <si>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</si>
  <si>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</si>
  <si>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</si>
  <si>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</si>
  <si>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</si>
  <si>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</si>
  <si>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</si>
  <si>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</si>
  <si>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</si>
  <si>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</si>
  <si>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</si>
  <si>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</si>
  <si>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</si>
  <si>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</si>
  <si>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</si>
  <si>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</si>
  <si>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</si>
  <si>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</si>
  <si>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</si>
  <si>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</si>
  <si>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</si>
  <si>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</si>
  <si>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</si>
  <si>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</si>
  <si>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</si>
  <si>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</si>
  <si>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</si>
  <si>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</si>
  <si>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</si>
  <si>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</si>
  <si>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</si>
  <si>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</si>
  <si>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</si>
  <si>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</si>
  <si>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</si>
  <si>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</si>
  <si>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</si>
  <si>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</si>
  <si>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</si>
  <si>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</si>
  <si>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</si>
  <si>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</si>
  <si>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</si>
  <si>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</si>
  <si>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</si>
  <si>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</si>
  <si>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</si>
  <si>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</si>
  <si>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</si>
  <si>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</si>
  <si>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</si>
  <si>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</si>
  <si>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</si>
  <si>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</si>
  <si>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</si>
  <si>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</si>
  <si>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</si>
  <si>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</si>
  <si>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</si>
  <si>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</si>
  <si>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</si>
  <si>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</si>
  <si>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</si>
  <si>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</si>
  <si>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</si>
  <si>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</si>
  <si>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</si>
  <si>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</si>
  <si>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</si>
  <si>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</si>
  <si>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</si>
  <si>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</si>
  <si>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</si>
  <si>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</si>
  <si>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</si>
  <si>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</si>
  <si>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</si>
  <si>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</si>
  <si>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</si>
  <si>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</si>
  <si>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</si>
  <si>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</si>
  <si>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</si>
  <si>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</si>
  <si>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</si>
  <si>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</si>
  <si>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</si>
  <si>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</si>
  <si>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</si>
  <si>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</si>
  <si>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</si>
  <si>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</si>
  <si>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</si>
  <si>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</si>
  <si>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</si>
  <si>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</si>
  <si>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</si>
  <si>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</si>
  <si>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</si>
  <si>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</si>
  <si>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</si>
  <si>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</si>
  <si>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</si>
  <si>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</si>
  <si>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</si>
  <si>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</si>
  <si>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</si>
  <si>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</si>
  <si>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</si>
  <si>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</si>
  <si>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</si>
  <si>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</si>
  <si>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</si>
  <si>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</si>
  <si>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</si>
  <si>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</si>
  <si>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</si>
  <si>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</si>
  <si>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</si>
  <si>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</si>
  <si>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</si>
  <si>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</si>
  <si>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</si>
  <si>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</si>
  <si>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</si>
  <si>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</si>
  <si>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</si>
  <si>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</si>
  <si>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</si>
  <si>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</si>
  <si>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</si>
  <si>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</si>
  <si>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</si>
  <si>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</si>
  <si>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</si>
  <si>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</si>
  <si>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</si>
  <si>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</si>
  <si>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</si>
  <si>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</si>
  <si>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</si>
  <si>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</si>
  <si>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</si>
  <si>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</si>
  <si>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</si>
  <si>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</si>
  <si>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</si>
  <si>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</si>
  <si>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</si>
  <si>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</si>
  <si>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</si>
  <si>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</si>
  <si>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</si>
  <si>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</si>
  <si>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</si>
  <si>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</si>
  <si>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</si>
  <si>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</si>
  <si>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</si>
  <si>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</si>
  <si>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</si>
  <si>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</si>
  <si>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</si>
  <si>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</si>
  <si>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</si>
  <si>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</si>
  <si>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</si>
  <si>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</si>
  <si>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</si>
  <si>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</si>
  <si>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</si>
  <si>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</si>
  <si>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</si>
  <si>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</si>
  <si>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</si>
  <si>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</si>
  <si>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</si>
  <si>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</si>
  <si>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</si>
  <si>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</si>
  <si>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</si>
  <si>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</si>
  <si>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</si>
  <si>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</si>
  <si>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</si>
  <si>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</si>
  <si>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</si>
  <si>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</si>
  <si>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</si>
  <si>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</si>
  <si>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</si>
  <si>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</si>
  <si>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</si>
  <si>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</si>
  <si>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</si>
  <si>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</si>
  <si>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</si>
  <si>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</si>
  <si>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</si>
  <si>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</si>
  <si>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</si>
  <si>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</si>
  <si>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</si>
  <si>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</si>
  <si>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</si>
  <si>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</si>
  <si>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</si>
  <si>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</si>
  <si>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</si>
  <si>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</si>
  <si>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</si>
  <si>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</si>
  <si>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</si>
  <si>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</si>
  <si>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</si>
  <si>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</si>
  <si>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</si>
  <si>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</si>
  <si>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</si>
  <si>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</si>
  <si>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</si>
  <si>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</si>
  <si>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</si>
  <si>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</si>
  <si>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</si>
  <si>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</si>
  <si>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</si>
  <si>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</si>
  <si>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</si>
  <si>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</si>
  <si>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</si>
  <si>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</si>
  <si>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2021-22</t>
  </si>
  <si>
    <t xml:space="preserve">2022-23</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</si>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</sst>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44292</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44656</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44656</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2023</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44292</v>
      </c>
      <c r="R2" s="60"/>
      <c r="S2" s="60"/>
      <c r="T2" s="60"/>
      <c r="U2" s="61" t="s">
        <v>34</v>
      </c>
      <c r="V2" s="60" t="n">
        <f aca="false">Admin!B17</f>
        <v>44656</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44292</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44292</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44656</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£85000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2021-22</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44316</v>
      </c>
      <c r="E1" s="129" t="n">
        <f aca="false">Admin!B6</f>
        <v>44347</v>
      </c>
      <c r="F1" s="129" t="n">
        <f aca="false">Admin!B7</f>
        <v>44377</v>
      </c>
      <c r="G1" s="129" t="n">
        <f aca="false">Admin!B8</f>
        <v>44408</v>
      </c>
      <c r="H1" s="129" t="n">
        <f aca="false">Admin!B9</f>
        <v>44439</v>
      </c>
      <c r="I1" s="129" t="n">
        <f aca="false">Admin!B10</f>
        <v>44469</v>
      </c>
      <c r="J1" s="129" t="n">
        <f aca="false">Admin!B11</f>
        <v>44500</v>
      </c>
      <c r="K1" s="129" t="n">
        <f aca="false">Admin!B12</f>
        <v>44530</v>
      </c>
      <c r="L1" s="129" t="n">
        <f aca="false">Admin!B13</f>
        <v>44561</v>
      </c>
      <c r="M1" s="129" t="n">
        <f aca="false">Admin!B14</f>
        <v>44592</v>
      </c>
      <c r="N1" s="129" t="n">
        <f aca="false">Admin!B15</f>
        <v>44620</v>
      </c>
      <c r="O1" s="129" t="n">
        <f aca="false">Admin!B16</f>
        <v>44651</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2021-22</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s="151" customFormat="tru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3460</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1827.18</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24582.82</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2021-22</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2021-22</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17300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3460</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3460</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44957</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0.09</v>
      </c>
      <c r="E15" s="197" t="n">
        <f aca="false">IF(E5&gt;Admin!N20,IF(E5&lt;Admin!N$23,(E5-Admin!N20)*D15,(Admin!N$23-Admin!N20)*D15),0)</f>
        <v>1827.18</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5287.18</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2022-23</v>
      </c>
      <c r="D25" s="206" t="s">
        <v>178</v>
      </c>
      <c r="E25" s="197" t="n">
        <f aca="false">E18</f>
        <v>5287.18</v>
      </c>
      <c r="F25" s="173"/>
      <c r="G25" s="148"/>
    </row>
    <row r="26" customFormat="false" ht="12.75" hidden="false" customHeight="false" outlineLevel="0" collapsed="false">
      <c r="A26" s="132"/>
      <c r="B26" s="178" t="s">
        <v>179</v>
      </c>
      <c r="C26" s="178"/>
      <c r="D26" s="207" t="n">
        <f aca="false">Admin!B21</f>
        <v>44957</v>
      </c>
      <c r="E26" s="180" t="n">
        <f aca="false">E25/2</f>
        <v>2643.59</v>
      </c>
      <c r="F26" s="173"/>
      <c r="G26" s="148"/>
    </row>
    <row r="27" customFormat="false" ht="12.75" hidden="false" customHeight="false" outlineLevel="0" collapsed="false">
      <c r="A27" s="132"/>
      <c r="B27" s="178" t="s">
        <v>179</v>
      </c>
      <c r="C27" s="178"/>
      <c r="D27" s="207" t="n">
        <f aca="false">Admin!B22</f>
        <v>45138</v>
      </c>
      <c r="E27" s="180" t="n">
        <f aca="false">E25/2</f>
        <v>2643.59</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44292</v>
      </c>
      <c r="J4" s="242" t="n">
        <f aca="false">Admin!G4</f>
        <v>1</v>
      </c>
      <c r="K4" s="238"/>
      <c r="L4" s="243" t="n">
        <f aca="false">Admin!G5</f>
        <v>0.18</v>
      </c>
      <c r="M4" s="241" t="n">
        <f aca="false">Admin!B17</f>
        <v>44656</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44292</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44292</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44292</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44292</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44292</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44316</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44347</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44377</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44408</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44439</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44469</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44500</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44530</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44561</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44592</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44620</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44656</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44316</v>
      </c>
      <c r="C5" s="332" t="str">
        <f aca="false">IF((SalesApr!$H$1&gt;0),SalesApr!$H$1," ")</f>
        <v> </v>
      </c>
      <c r="D5" s="326"/>
      <c r="E5" s="331" t="n">
        <f aca="false">B5</f>
        <v>44316</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44347</v>
      </c>
      <c r="C7" s="330" t="str">
        <f aca="false">IF((SalesMay!$H$1&gt;0),SalesMay!$H$1," ")</f>
        <v> </v>
      </c>
      <c r="D7" s="326"/>
      <c r="E7" s="331" t="n">
        <f aca="false">B7</f>
        <v>44347</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44377</v>
      </c>
      <c r="C9" s="330" t="str">
        <f aca="false">IF((SalesJun!$H$1&gt;0),SalesJun!$H$1," ")</f>
        <v> </v>
      </c>
      <c r="D9" s="326"/>
      <c r="E9" s="331" t="n">
        <f aca="false">B9</f>
        <v>44377</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44408</v>
      </c>
      <c r="C11" s="330" t="str">
        <f aca="false">IF((SalesJul!$H$1&gt;0),SalesJul!$H$1," ")</f>
        <v> </v>
      </c>
      <c r="D11" s="326"/>
      <c r="E11" s="331" t="n">
        <f aca="false">B11</f>
        <v>44408</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44439</v>
      </c>
      <c r="C13" s="330" t="str">
        <f aca="false">IF((SalesAug!$H$1&gt;0),SalesAug!$H$1," ")</f>
        <v> </v>
      </c>
      <c r="D13" s="326"/>
      <c r="E13" s="331" t="n">
        <f aca="false">B13</f>
        <v>44439</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44469</v>
      </c>
      <c r="C15" s="330" t="str">
        <f aca="false">IF((SalesSep!$H$1&gt;0),SalesSep!$H$1," ")</f>
        <v> </v>
      </c>
      <c r="D15" s="326"/>
      <c r="E15" s="331" t="n">
        <f aca="false">B15</f>
        <v>44469</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44500</v>
      </c>
      <c r="C17" s="330" t="str">
        <f aca="false">IF((SalesOct!$H$1&gt;0),SalesOct!$H$1," ")</f>
        <v> </v>
      </c>
      <c r="D17" s="326"/>
      <c r="E17" s="331" t="n">
        <f aca="false">B17</f>
        <v>44500</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44530</v>
      </c>
      <c r="C19" s="330" t="str">
        <f aca="false">IF((SalesNov!$H$1&gt;0),SalesNov!$H$1," ")</f>
        <v> </v>
      </c>
      <c r="D19" s="326"/>
      <c r="E19" s="331" t="n">
        <f aca="false">B19</f>
        <v>44530</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44561</v>
      </c>
      <c r="C21" s="330" t="str">
        <f aca="false">IF((SalesDec!$H$1&gt;0),SalesDec!$H$1," ")</f>
        <v> </v>
      </c>
      <c r="D21" s="326"/>
      <c r="E21" s="331" t="n">
        <f aca="false">B21</f>
        <v>44561</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44592</v>
      </c>
      <c r="C23" s="330" t="str">
        <f aca="false">IF((SalesJan!$H$1&gt;0),SalesJan!$H$1," ")</f>
        <v> </v>
      </c>
      <c r="D23" s="326"/>
      <c r="E23" s="331" t="n">
        <f aca="false">B23</f>
        <v>44592</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44620</v>
      </c>
      <c r="C25" s="330" t="str">
        <f aca="false">IF((SalesFeb!$H$1&gt;0),SalesFeb!$H$1," ")</f>
        <v> </v>
      </c>
      <c r="D25" s="326"/>
      <c r="E25" s="331" t="n">
        <f aca="false">B25</f>
        <v>44620</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44651</v>
      </c>
      <c r="C27" s="330" t="str">
        <f aca="false">IF((SalesMar!$H$1&gt;0),SalesMar!$H$1," ")</f>
        <v> </v>
      </c>
      <c r="D27" s="326"/>
      <c r="E27" s="331" t="n">
        <f aca="false">B27</f>
        <v>44651</v>
      </c>
      <c r="F27" s="330" t="str">
        <f aca="false">IF((PurchasesMar!$H$1&gt;0),PurchasesMar!$H$1," ")</f>
        <v> </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230</v>
      </c>
      <c r="C29" s="334" t="n">
        <f aca="false">SUM(C3:C28)</f>
        <v>0</v>
      </c>
      <c r="D29" s="321"/>
      <c r="E29" s="333" t="s">
        <v>231</v>
      </c>
      <c r="F29" s="334" t="n">
        <f aca="false">SUM(F3:F28)</f>
        <v>0</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J1+SalesApr!K1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J1+SalesMay!K1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J1+SalesJul!K1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J1+SalesAug!K1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J1+SalesSep!K1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J1+SalesOct!K1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J1+SalesNov!K1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J1+SalesDec!K1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J1+SalesJan!K1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J1+SalesFeb!K1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303</v>
      </c>
      <c r="C1" s="68"/>
      <c r="D1" s="409"/>
      <c r="E1" s="409"/>
      <c r="F1" s="409"/>
      <c r="G1" s="162"/>
      <c r="H1" s="68"/>
      <c r="I1" s="68"/>
      <c r="J1" s="68"/>
      <c r="K1" s="68"/>
      <c r="L1" s="68"/>
      <c r="M1" s="68"/>
      <c r="N1" s="68"/>
      <c r="O1" s="68"/>
    </row>
    <row r="2" customFormat="false" ht="12" hidden="false" customHeight="true" outlineLevel="0" collapsed="false">
      <c r="A2" s="68"/>
      <c r="B2" s="410" t="n">
        <v>44255</v>
      </c>
      <c r="C2" s="68"/>
      <c r="D2" s="411" t="s">
        <v>304</v>
      </c>
      <c r="E2" s="411"/>
      <c r="F2" s="411"/>
      <c r="G2" s="412" t="str">
        <f aca="false">B23</f>
        <v>2021-22</v>
      </c>
      <c r="H2" s="68"/>
      <c r="I2" s="68"/>
      <c r="J2" s="413" t="s">
        <v>305</v>
      </c>
      <c r="K2" s="413"/>
      <c r="L2" s="414" t="str">
        <f aca="false">G2</f>
        <v>2021-22</v>
      </c>
      <c r="M2" s="68"/>
      <c r="N2" s="68"/>
      <c r="O2" s="68"/>
    </row>
    <row r="3" customFormat="false" ht="12" hidden="false" customHeight="true" outlineLevel="0" collapsed="false">
      <c r="A3" s="68"/>
      <c r="B3" s="410" t="n">
        <v>44286</v>
      </c>
      <c r="C3" s="68"/>
      <c r="D3" s="68"/>
      <c r="E3" s="68"/>
      <c r="F3" s="68"/>
      <c r="G3" s="415"/>
      <c r="H3" s="68"/>
      <c r="I3" s="68"/>
      <c r="J3" s="416"/>
      <c r="K3" s="416"/>
      <c r="L3" s="162"/>
      <c r="M3" s="68"/>
      <c r="N3" s="68"/>
      <c r="O3" s="68"/>
    </row>
    <row r="4" customFormat="false" ht="12" hidden="false" customHeight="true" outlineLevel="0" collapsed="false">
      <c r="A4" s="68"/>
      <c r="B4" s="417" t="n">
        <v>44292</v>
      </c>
      <c r="C4" s="68"/>
      <c r="D4" s="418" t="s">
        <v>65</v>
      </c>
      <c r="E4" s="418"/>
      <c r="F4" s="418"/>
      <c r="G4" s="419" t="n">
        <v>1</v>
      </c>
      <c r="H4" s="68"/>
      <c r="I4" s="418" t="s">
        <v>306</v>
      </c>
      <c r="J4" s="418"/>
      <c r="K4" s="418"/>
      <c r="L4" s="418"/>
      <c r="M4" s="418"/>
      <c r="N4" s="420" t="n">
        <v>12570</v>
      </c>
      <c r="O4" s="415" t="s">
        <v>26</v>
      </c>
    </row>
    <row r="5" customFormat="false" ht="12" hidden="false" customHeight="true" outlineLevel="0" collapsed="false">
      <c r="A5" s="68"/>
      <c r="B5" s="410" t="n">
        <v>44316</v>
      </c>
      <c r="C5" s="68"/>
      <c r="D5" s="418" t="s">
        <v>307</v>
      </c>
      <c r="E5" s="418"/>
      <c r="F5" s="418"/>
      <c r="G5" s="419" t="n">
        <v>0.18</v>
      </c>
      <c r="H5" s="68"/>
      <c r="I5" s="68"/>
      <c r="J5" s="68"/>
      <c r="K5" s="68"/>
      <c r="L5" s="68"/>
      <c r="M5" s="68"/>
      <c r="N5" s="415"/>
      <c r="O5" s="415"/>
    </row>
    <row r="6" customFormat="false" ht="12" hidden="false" customHeight="true" outlineLevel="0" collapsed="false">
      <c r="A6" s="68"/>
      <c r="B6" s="410" t="n">
        <v>44347</v>
      </c>
      <c r="C6" s="68"/>
      <c r="D6" s="68"/>
      <c r="E6" s="68"/>
      <c r="F6" s="68"/>
      <c r="G6" s="415"/>
      <c r="H6" s="68"/>
      <c r="I6" s="68" t="s">
        <v>308</v>
      </c>
      <c r="J6" s="68"/>
      <c r="K6" s="68"/>
      <c r="L6" s="68"/>
      <c r="M6" s="68"/>
      <c r="N6" s="419" t="n">
        <v>0</v>
      </c>
      <c r="O6" s="415" t="s">
        <v>309</v>
      </c>
    </row>
    <row r="7" customFormat="false" ht="12" hidden="false" customHeight="true" outlineLevel="0" collapsed="false">
      <c r="A7" s="68"/>
      <c r="B7" s="410" t="n">
        <v>44377</v>
      </c>
      <c r="C7" s="68"/>
      <c r="D7" s="418" t="s">
        <v>310</v>
      </c>
      <c r="E7" s="418"/>
      <c r="F7" s="418"/>
      <c r="G7" s="415"/>
      <c r="H7" s="68"/>
      <c r="I7" s="418" t="s">
        <v>311</v>
      </c>
      <c r="J7" s="418"/>
      <c r="K7" s="418"/>
      <c r="L7" s="418"/>
      <c r="M7" s="418"/>
      <c r="N7" s="419" t="n">
        <v>0.2</v>
      </c>
      <c r="O7" s="415" t="s">
        <v>309</v>
      </c>
    </row>
    <row r="8" customFormat="false" ht="12" hidden="false" customHeight="true" outlineLevel="0" collapsed="false">
      <c r="A8" s="68"/>
      <c r="B8" s="410" t="n">
        <v>44408</v>
      </c>
      <c r="C8" s="68"/>
      <c r="D8" s="68" t="s">
        <v>312</v>
      </c>
      <c r="E8" s="421" t="n">
        <v>12000</v>
      </c>
      <c r="F8" s="68" t="s">
        <v>313</v>
      </c>
      <c r="G8" s="421" t="n">
        <v>3000</v>
      </c>
      <c r="H8" s="68"/>
      <c r="I8" s="418" t="s">
        <v>314</v>
      </c>
      <c r="J8" s="418"/>
      <c r="K8" s="418"/>
      <c r="L8" s="418"/>
      <c r="M8" s="418"/>
      <c r="N8" s="419" t="n">
        <v>0.4</v>
      </c>
      <c r="O8" s="415" t="s">
        <v>309</v>
      </c>
    </row>
    <row r="9" customFormat="false" ht="12" hidden="false" customHeight="true" outlineLevel="0" collapsed="false">
      <c r="A9" s="68"/>
      <c r="B9" s="410" t="n">
        <v>44439</v>
      </c>
      <c r="C9" s="68"/>
      <c r="D9" s="68"/>
      <c r="E9" s="415"/>
      <c r="F9" s="68"/>
      <c r="G9" s="415"/>
      <c r="H9" s="68"/>
      <c r="I9" s="68"/>
      <c r="J9" s="68"/>
      <c r="K9" s="68"/>
      <c r="L9" s="68"/>
      <c r="M9" s="68"/>
      <c r="N9" s="415"/>
      <c r="O9" s="415"/>
    </row>
    <row r="10" customFormat="false" ht="12" hidden="false" customHeight="true" outlineLevel="0" collapsed="false">
      <c r="A10" s="68"/>
      <c r="B10" s="410" t="n">
        <v>44469</v>
      </c>
      <c r="C10" s="68"/>
      <c r="D10" s="68"/>
      <c r="E10" s="415"/>
      <c r="F10" s="68"/>
      <c r="G10" s="415"/>
      <c r="H10" s="68"/>
      <c r="I10" s="418" t="s">
        <v>315</v>
      </c>
      <c r="J10" s="418"/>
      <c r="K10" s="418"/>
      <c r="L10" s="422" t="s">
        <v>316</v>
      </c>
      <c r="M10" s="422" t="s">
        <v>317</v>
      </c>
      <c r="N10" s="423" t="s">
        <v>318</v>
      </c>
      <c r="O10" s="415"/>
    </row>
    <row r="11" customFormat="false" ht="12" hidden="false" customHeight="true" outlineLevel="0" collapsed="false">
      <c r="A11" s="68"/>
      <c r="B11" s="410" t="n">
        <v>44500</v>
      </c>
      <c r="C11" s="68"/>
      <c r="D11" s="411" t="s">
        <v>319</v>
      </c>
      <c r="E11" s="411"/>
      <c r="F11" s="411"/>
      <c r="G11" s="415" t="s">
        <v>309</v>
      </c>
      <c r="H11" s="68"/>
      <c r="I11" s="68" t="s">
        <v>320</v>
      </c>
      <c r="J11" s="68"/>
      <c r="K11" s="424" t="n">
        <f aca="false">N6</f>
        <v>0</v>
      </c>
      <c r="L11" s="415" t="n">
        <f aca="false">N11</f>
        <v>0</v>
      </c>
      <c r="M11" s="415" t="n">
        <v>0</v>
      </c>
      <c r="N11" s="421" t="n">
        <v>0</v>
      </c>
      <c r="O11" s="415"/>
    </row>
    <row r="12" customFormat="false" ht="12" hidden="false" customHeight="true" outlineLevel="0" collapsed="false">
      <c r="A12" s="68"/>
      <c r="B12" s="410" t="n">
        <v>44530</v>
      </c>
      <c r="C12" s="68"/>
      <c r="D12" s="68"/>
      <c r="E12" s="68"/>
      <c r="F12" s="68"/>
      <c r="G12" s="415"/>
      <c r="H12" s="68"/>
      <c r="I12" s="68" t="s">
        <v>321</v>
      </c>
      <c r="J12" s="68"/>
      <c r="K12" s="424" t="n">
        <f aca="false">N7</f>
        <v>0.2</v>
      </c>
      <c r="L12" s="415" t="n">
        <v>0</v>
      </c>
      <c r="M12" s="415" t="n">
        <v>37700</v>
      </c>
      <c r="N12" s="421" t="n">
        <v>0</v>
      </c>
      <c r="O12" s="415"/>
    </row>
    <row r="13" customFormat="false" ht="12" hidden="false" customHeight="true" outlineLevel="0" collapsed="false">
      <c r="A13" s="68"/>
      <c r="B13" s="410" t="n">
        <v>44561</v>
      </c>
      <c r="C13" s="68"/>
      <c r="D13" s="418" t="s">
        <v>203</v>
      </c>
      <c r="E13" s="418"/>
      <c r="F13" s="418"/>
      <c r="G13" s="419" t="n">
        <v>0</v>
      </c>
      <c r="H13" s="68"/>
      <c r="I13" s="68" t="s">
        <v>322</v>
      </c>
      <c r="J13" s="68"/>
      <c r="K13" s="424" t="n">
        <f aca="false">N8</f>
        <v>0.4</v>
      </c>
      <c r="L13" s="415" t="n">
        <v>37701</v>
      </c>
      <c r="M13" s="68"/>
      <c r="N13" s="421" t="n">
        <v>37701</v>
      </c>
      <c r="O13" s="415"/>
    </row>
    <row r="14" customFormat="false" ht="12" hidden="false" customHeight="true" outlineLevel="0" collapsed="false">
      <c r="A14" s="68"/>
      <c r="B14" s="410" t="n">
        <v>44592</v>
      </c>
      <c r="C14" s="68"/>
      <c r="D14" s="418" t="s">
        <v>205</v>
      </c>
      <c r="E14" s="418"/>
      <c r="F14" s="418"/>
      <c r="G14" s="419" t="n">
        <v>0.1</v>
      </c>
      <c r="H14" s="68"/>
      <c r="I14" s="68"/>
      <c r="J14" s="68"/>
      <c r="K14" s="68"/>
      <c r="L14" s="68"/>
      <c r="M14" s="68"/>
      <c r="N14" s="68"/>
      <c r="O14" s="68"/>
    </row>
    <row r="15" customFormat="false" ht="12" hidden="false" customHeight="true" outlineLevel="0" collapsed="false">
      <c r="A15" s="68"/>
      <c r="B15" s="410" t="n">
        <v>44620</v>
      </c>
      <c r="C15" s="68"/>
      <c r="D15" s="418" t="s">
        <v>207</v>
      </c>
      <c r="E15" s="418"/>
      <c r="F15" s="418"/>
      <c r="G15" s="419" t="n">
        <v>0.2</v>
      </c>
      <c r="H15" s="68"/>
      <c r="I15" s="411" t="s">
        <v>323</v>
      </c>
      <c r="J15" s="411"/>
      <c r="K15" s="411"/>
      <c r="L15" s="414" t="str">
        <f aca="false">G2</f>
        <v>2021-22</v>
      </c>
      <c r="M15" s="68"/>
      <c r="N15" s="68"/>
      <c r="O15" s="68"/>
    </row>
    <row r="16" customFormat="false" ht="12" hidden="false" customHeight="true" outlineLevel="0" collapsed="false">
      <c r="A16" s="68"/>
      <c r="B16" s="410" t="n">
        <v>44651</v>
      </c>
      <c r="C16" s="68"/>
      <c r="D16" s="418" t="s">
        <v>324</v>
      </c>
      <c r="E16" s="418"/>
      <c r="F16" s="418"/>
      <c r="G16" s="419" t="n">
        <v>0.33</v>
      </c>
      <c r="H16" s="68"/>
      <c r="I16" s="68"/>
      <c r="J16" s="68"/>
      <c r="K16" s="68"/>
      <c r="L16" s="68"/>
      <c r="M16" s="68"/>
      <c r="N16" s="68"/>
      <c r="O16" s="68"/>
    </row>
    <row r="17" customFormat="false" ht="12" hidden="false" customHeight="true" outlineLevel="0" collapsed="false">
      <c r="A17" s="68"/>
      <c r="B17" s="417" t="n">
        <v>44656</v>
      </c>
      <c r="C17" s="68"/>
      <c r="D17" s="418" t="s">
        <v>325</v>
      </c>
      <c r="E17" s="418"/>
      <c r="F17" s="418"/>
      <c r="G17" s="419" t="n">
        <v>0.25</v>
      </c>
      <c r="H17" s="68"/>
      <c r="I17" s="418" t="s">
        <v>326</v>
      </c>
      <c r="J17" s="418"/>
      <c r="K17" s="418"/>
      <c r="L17" s="425" t="n">
        <v>3.05</v>
      </c>
      <c r="M17" s="68" t="s">
        <v>327</v>
      </c>
      <c r="N17" s="68"/>
      <c r="O17" s="68"/>
    </row>
    <row r="18" customFormat="false" ht="12" hidden="false" customHeight="true" outlineLevel="0" collapsed="false">
      <c r="A18" s="68"/>
      <c r="B18" s="410" t="n">
        <v>44681</v>
      </c>
      <c r="C18" s="68"/>
      <c r="D18" s="68"/>
      <c r="E18" s="68"/>
      <c r="F18" s="68"/>
      <c r="G18" s="415"/>
      <c r="H18" s="68"/>
      <c r="I18" s="68"/>
      <c r="J18" s="68"/>
      <c r="K18" s="68"/>
      <c r="L18" s="68"/>
      <c r="M18" s="68"/>
      <c r="N18" s="68"/>
      <c r="O18" s="68"/>
    </row>
    <row r="19" customFormat="false" ht="12" hidden="false" customHeight="true" outlineLevel="0" collapsed="false">
      <c r="A19" s="68"/>
      <c r="B19" s="410" t="n">
        <v>44712</v>
      </c>
      <c r="C19" s="68"/>
      <c r="D19" s="411" t="s">
        <v>328</v>
      </c>
      <c r="E19" s="411"/>
      <c r="F19" s="415" t="s">
        <v>329</v>
      </c>
      <c r="G19" s="415" t="s">
        <v>330</v>
      </c>
      <c r="H19" s="68"/>
      <c r="I19" s="426" t="s">
        <v>331</v>
      </c>
      <c r="J19" s="426"/>
      <c r="K19" s="426"/>
      <c r="L19" s="68"/>
      <c r="M19" s="427" t="s">
        <v>332</v>
      </c>
      <c r="N19" s="68"/>
      <c r="O19" s="68"/>
    </row>
    <row r="20" customFormat="false" ht="12" hidden="false" customHeight="true" outlineLevel="0" collapsed="false">
      <c r="A20" s="68"/>
      <c r="B20" s="410" t="n">
        <v>44742</v>
      </c>
      <c r="C20" s="68"/>
      <c r="D20" s="162"/>
      <c r="E20" s="162"/>
      <c r="F20" s="415"/>
      <c r="G20" s="415"/>
      <c r="H20" s="68"/>
      <c r="I20" s="426"/>
      <c r="J20" s="426"/>
      <c r="K20" s="426"/>
      <c r="L20" s="428" t="n">
        <v>0.09</v>
      </c>
      <c r="M20" s="427"/>
      <c r="N20" s="421" t="n">
        <v>9568</v>
      </c>
      <c r="O20" s="415" t="s">
        <v>26</v>
      </c>
    </row>
    <row r="21" customFormat="false" ht="12" hidden="false" customHeight="true" outlineLevel="0" collapsed="false">
      <c r="A21" s="68"/>
      <c r="B21" s="410" t="n">
        <v>44957</v>
      </c>
      <c r="C21" s="68"/>
      <c r="D21" s="418" t="s">
        <v>333</v>
      </c>
      <c r="E21" s="418"/>
      <c r="F21" s="421" t="n">
        <v>10000</v>
      </c>
      <c r="G21" s="425" t="n">
        <v>0.45</v>
      </c>
      <c r="H21" s="68"/>
      <c r="I21" s="429"/>
      <c r="J21" s="429"/>
      <c r="K21" s="429"/>
      <c r="L21" s="424"/>
      <c r="M21" s="68"/>
      <c r="N21" s="68"/>
      <c r="O21" s="68"/>
    </row>
    <row r="22" customFormat="false" ht="12" hidden="false" customHeight="true" outlineLevel="0" collapsed="false">
      <c r="A22" s="68"/>
      <c r="B22" s="410" t="n">
        <v>45138</v>
      </c>
      <c r="C22" s="68"/>
      <c r="D22" s="68" t="s">
        <v>334</v>
      </c>
      <c r="E22" s="68"/>
      <c r="F22" s="421" t="n">
        <v>10001</v>
      </c>
      <c r="G22" s="425" t="n">
        <v>0.25</v>
      </c>
      <c r="H22" s="68"/>
      <c r="I22" s="426" t="s">
        <v>335</v>
      </c>
      <c r="J22" s="426"/>
      <c r="K22" s="426"/>
      <c r="L22" s="68"/>
      <c r="M22" s="427" t="s">
        <v>336</v>
      </c>
      <c r="N22" s="68"/>
      <c r="O22" s="68"/>
    </row>
    <row r="23" customFormat="false" ht="12" hidden="false" customHeight="true" outlineLevel="0" collapsed="false">
      <c r="A23" s="68"/>
      <c r="B23" s="417" t="s">
        <v>337</v>
      </c>
      <c r="C23" s="68"/>
      <c r="D23" s="68"/>
      <c r="E23" s="68"/>
      <c r="F23" s="415"/>
      <c r="G23" s="430"/>
      <c r="H23" s="68"/>
      <c r="I23" s="426"/>
      <c r="J23" s="426"/>
      <c r="K23" s="426"/>
      <c r="L23" s="428" t="n">
        <v>0.02</v>
      </c>
      <c r="M23" s="427"/>
      <c r="N23" s="421" t="n">
        <v>50270</v>
      </c>
      <c r="O23" s="415" t="s">
        <v>26</v>
      </c>
    </row>
    <row r="24" customFormat="false" ht="12" hidden="false" customHeight="true" outlineLevel="0" collapsed="false">
      <c r="A24" s="68"/>
      <c r="B24" s="417" t="s">
        <v>338</v>
      </c>
      <c r="C24" s="68"/>
      <c r="D24" s="411" t="s">
        <v>339</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340</v>
      </c>
      <c r="E26" s="68"/>
      <c r="F26" s="421" t="n">
        <v>85000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