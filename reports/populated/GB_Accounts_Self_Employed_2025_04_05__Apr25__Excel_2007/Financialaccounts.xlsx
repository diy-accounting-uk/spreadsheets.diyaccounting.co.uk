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<sst xmlns="http://schemas.openxmlformats.org/spreadsheetml/2006/main" count="819" uniqueCount="439">
  <si>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</si>
  <si>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</si>
  <si>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</si>
  <si>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</si>
  <si>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</si>
  <si>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</si>
  <si>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</si>
  <si>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</si>
  <si>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</si>
  <si>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</si>
  <si>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</si>
  <si>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</si>
  <si>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</si>
  <si>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</si>
  <si>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</si>
  <si>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</si>
  <si>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</si>
  <si>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</si>
  <si>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</si>
  <si>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</si>
  <si>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</si>
  <si>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</si>
  <si>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</si>
  <si>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</si>
  <si>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</si>
  <si>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</si>
  <si>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</si>
  <si>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</si>
  <si>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</si>
  <si>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</si>
  <si>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</si>
  <si>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</si>
  <si>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</si>
  <si>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</si>
  <si>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</si>
  <si>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</si>
  <si>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</si>
  <si>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</si>
  <si>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</si>
  <si>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</si>
  <si>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</si>
  <si>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</si>
  <si>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</si>
  <si>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</si>
  <si>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</si>
  <si>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</si>
  <si>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</si>
  <si>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</si>
  <si>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</si>
  <si>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</si>
  <si>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</si>
  <si>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</si>
  <si>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</si>
  <si>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</si>
  <si>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</si>
  <si>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</si>
  <si>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</si>
  <si>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</si>
  <si>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</si>
  <si>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</si>
  <si>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</si>
  <si>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</si>
  <si>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</si>
  <si>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</si>
  <si>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</si>
  <si>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</si>
  <si>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</si>
  <si>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</si>
  <si>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</si>
  <si>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</si>
  <si>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</si>
  <si>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</si>
  <si>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</si>
  <si>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</si>
  <si>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</si>
  <si>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</si>
  <si>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</si>
  <si>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</si>
  <si>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</si>
  <si>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</si>
  <si>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</si>
  <si>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</si>
  <si>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</si>
  <si>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</si>
  <si>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</si>
  <si>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</si>
  <si>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</si>
  <si>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</si>
  <si>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</si>
  <si>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</si>
  <si>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</si>
  <si>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</si>
  <si>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</si>
  <si>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</si>
  <si>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</si>
  <si>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</si>
  <si>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</si>
  <si>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</si>
  <si>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</si>
  <si>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</si>
  <si>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</si>
  <si>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</si>
  <si>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</si>
  <si>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</si>
  <si>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</si>
  <si>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</si>
  <si>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</si>
  <si>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</si>
  <si>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</si>
  <si>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</si>
  <si>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</si>
  <si>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</si>
  <si>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</si>
  <si>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</si>
  <si>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</si>
  <si>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</si>
  <si>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</si>
  <si>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</si>
  <si>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</si>
  <si>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</si>
  <si>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</si>
  <si>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</si>
  <si>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</si>
  <si>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</si>
  <si>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</si>
  <si>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</si>
  <si>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</si>
  <si>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</si>
  <si>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</si>
  <si>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</si>
  <si>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</si>
  <si>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</si>
  <si>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</si>
  <si>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</si>
  <si>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</si>
  <si>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</si>
  <si>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</si>
  <si>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</si>
  <si>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</si>
  <si>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</si>
  <si>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</si>
  <si>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</si>
  <si>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</si>
  <si>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</si>
  <si>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</si>
  <si>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</si>
  <si>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</si>
  <si>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</si>
  <si>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</si>
  <si>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</si>
  <si>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</si>
  <si>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</si>
  <si>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</si>
  <si>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</si>
  <si>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</si>
  <si>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</si>
  <si>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</si>
  <si>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</si>
  <si>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</si>
  <si>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</si>
  <si>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</si>
  <si>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</si>
  <si>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</si>
  <si>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</si>
  <si>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</si>
  <si>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</si>
  <si>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</si>
  <si>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</si>
  <si>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</si>
  <si>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</si>
  <si>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</si>
  <si>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</si>
  <si>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</si>
  <si>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</si>
  <si>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</si>
  <si>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</si>
  <si>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</si>
  <si>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</si>
  <si>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</si>
  <si>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</si>
  <si>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</si>
  <si>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</si>
  <si>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</si>
  <si>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</si>
  <si>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</si>
  <si>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</si>
  <si>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</si>
  <si>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</si>
  <si>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</si>
  <si>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</si>
  <si>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</si>
  <si>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</si>
  <si>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</si>
  <si>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</si>
  <si>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</si>
  <si>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</si>
  <si>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</si>
  <si>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</si>
  <si>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</si>
  <si>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</si>
  <si>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</si>
  <si>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</si>
  <si>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</si>
  <si>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</si>
  <si>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</si>
  <si>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</si>
  <si>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</si>
  <si>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</si>
  <si>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</si>
  <si>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</si>
  <si>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</si>
  <si>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</si>
  <si>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</si>
  <si>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</si>
  <si>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</si>
  <si>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</si>
  <si>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</si>
  <si>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</si>
  <si>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</si>
  <si>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</si>
  <si>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</si>
  <si>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</si>
  <si>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</si>
  <si>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</si>
  <si>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</si>
  <si>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</si>
  <si>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</si>
  <si>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</si>
  <si>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</si>
  <si>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</si>
  <si>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</si>
  <si>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</si>
  <si>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</si>
  <si>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</si>
  <si>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</si>
  <si>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</si>
  <si>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</si>
  <si>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</si>
  <si>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</si>
  <si>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</si>
  <si>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</si>
  <si>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</si>
  <si>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</si>
  <si>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</si>
  <si>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</si>
  <si>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</si>
  <si>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</si>
  <si>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</si>
  <si>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</si>
  <si>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</si>
  <si>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</si>
  <si>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</si>
  <si>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</si>
  <si>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</si>
  <si>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</si>
  <si>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</si>
  <si>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</si>
  <si>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</si>
  <si>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</si>
  <si>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</si>
  <si>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</si>
  <si>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</si>
  <si>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</si>
  <si>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</si>
  <si>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</si>
  <si>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</si>
  <si>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</si>
  <si>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</si>
  <si>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</si>
  <si>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</si>
  <si>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</si>
  <si>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</si>
  <si>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</si>
  <si>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</si>
  <si>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</si>
  <si>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</si>
  <si>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</si>
  <si>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</si>
  <si>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</si>
  <si>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</si>
  <si>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</si>
  <si>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</si>
  <si>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</si>
  <si>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</si>
  <si>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</si>
  <si>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</si>
  <si>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</si>
  <si>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</si>
  <si>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</si>
  <si>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</si>
  <si>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</si>
  <si>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</si>
  <si>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</si>
  <si>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</si>
  <si>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</si>
  <si>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</si>
  <si>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</si>
  <si>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</si>
  <si>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</si>
  <si>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</si>
  <si>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</si>
  <si>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</si>
  <si>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</si>
  <si>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</si>
  <si>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</si>
  <si>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</si>
  <si>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</si>
  <si>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</si>
  <si>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</si>
  <si>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</si>
  <si>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</si>
  <si>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</si>
  <si>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</si>
  <si>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</si>
  <si>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</si>
  <si>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</si>
  <si>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</si>
  <si>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</si>
  <si>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</si>
  <si>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</si>
  <si>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</si>
  <si>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</si>
  <si>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</si>
  <si>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</si>
  <si>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</si>
  <si>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</si>
  <si>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</si>
  <si>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</si>
  <si>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</si>
  <si>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</si>
  <si>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</si>
  <si>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</si>
  <si>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</si>
  <si>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</si>
  <si>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</si>
  <si>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</si>
  <si>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</si>
  <si>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</si>
  <si>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</si>
  <si>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</si>
  <si>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</si>
  <si>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</si>
  <si>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</si>
  <si>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</si>
  <si>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</si>
  <si>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</si>
  <si>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</si>
  <si>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</si>
  <si>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</si>
  <si>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</si>
  <si>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</si>
  <si>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</si>
  <si>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</si>
  <si>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</si>
  <si>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</si>
  <si>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</si>
  <si>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</si>
  <si>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</si>
  <si>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</si>
  <si>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</si>
  <si>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</si>
  <si>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</si>
  <si>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</si>
  <si>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</si>
  <si>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</si>
  <si>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</si>
  <si>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</si>
  <si>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</si>
  <si>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</si>
  <si>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</si>
  <si>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</si>
  <si>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</si>
  <si>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</si>
  <si>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</si>
  <si>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</si>
  <si>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</si>
  <si>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</si>
  <si>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</si>
  <si>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</si>
  <si>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</si>
  <si>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</si>
  <si>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</si>
  <si>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</si>
  <si>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</si>
  <si>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</si>
  <si>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</si>
  <si>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</si>
  <si>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</si>
  <si>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</si>
  <si>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</si>
  <si>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</si>
  <si>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</si>
  <si>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</si>
  <si>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</si>
  <si>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</si>
  <si>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</si>
  <si>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</si>
  <si>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</si>
  <si>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</si>
  <si>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</si>
  <si>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</si>
  <si>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</si>
  <si>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</si>
  <si>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</si>
  <si>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</si>
  <si>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</si>
  <si>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</si>
  <si>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</si>
  <si>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</si>
  <si>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</si>
  <si>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</si>
  <si>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</si>
  <si>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</si>
  <si>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</si>
  <si>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</si>
  <si>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</si>
  <si>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</si>
  <si>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</si>
  <si>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</si>
  <si>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</si>
  <si>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</si>
  <si>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</si>
  <si>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</si>
  <si>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</si>
  <si>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</si>
  <si>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</si>
  <si>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</si>
  <si>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</si>
  <si>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</si>
  <si>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</si>
  <si>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</si>
  <si>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</si>
  <si>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</si>
  <si>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</si>
  <si>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</si>
  <si>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2024-25</t>
  </si>
  <si>
    <t xml:space="preserve">2025-26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</si>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</sst>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300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420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45388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45752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45752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2024-25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45388</v>
      </c>
      <c r="R2" s="55"/>
      <c r="S2" s="55"/>
      <c r="T2" s="55"/>
      <c r="U2" s="56" t="s">
        <v>41</v>
      </c>
      <c r="V2" s="55" t="n">
        <f aca="false">Admin!B17</f>
        <v>45752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45388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45752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45752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30000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str">
        <f aca="false">IF('Profit &amp; Loss Account'!B9&gt;30000,'Profit &amp; Loss Account'!B17," ")</f>
        <v> 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str">
        <f aca="false">IF('Profit &amp; Loss Account'!B9&gt;30000,'Profit &amp; Loss Account'!B28," ")</f>
        <v> 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str">
        <f aca="false">IF('Profit &amp; Loss Account'!B9&gt;30000,'Profit &amp; Loss Account'!B25+'Profit &amp; Loss Account'!B26," ")</f>
        <v> 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str">
        <f aca="false">IF('Profit &amp; Loss Account'!B9&gt;30000,'Profit &amp; Loss Account'!B30+'Profit &amp; Loss Account'!B31," ")</f>
        <v> 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str">
        <f aca="false">IF('Profit &amp; Loss Account'!B9&gt;30000,'Profit &amp; Loss Account'!B21," ")</f>
        <v> 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str">
        <f aca="false">IF('Profit &amp; Loss Account'!B9&gt;30000,'Profit &amp; Loss Account'!B24," ")</f>
        <v> 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str">
        <f aca="false">IF('Profit &amp; Loss Account'!B9&gt;30000,'Profit &amp; Loss Account'!B22," ")</f>
        <v> 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str">
        <f aca="false">IF('Profit &amp; Loss Account'!B9&gt;30000,'Profit &amp; Loss Account'!B27+'Profit &amp; Loss Account'!B29+'Profit &amp; Loss Account'!B32+'Profit &amp; Loss Account'!B33," ")</f>
        <v> 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str">
        <f aca="false">IF('Profit &amp; Loss Account'!B9&gt;30000,'Profit &amp; Loss Account'!B23," ")</f>
        <v> 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4200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25800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25800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0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25800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2024-25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2024-25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45388</v>
      </c>
      <c r="R2" s="55"/>
      <c r="S2" s="55"/>
      <c r="T2" s="55"/>
      <c r="U2" s="56" t="s">
        <v>41</v>
      </c>
      <c r="V2" s="55" t="n">
        <f aca="false">Admin!B17</f>
        <v>45752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45388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45752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45752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30000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300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480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660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960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4200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25800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0.18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25800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2024-25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25800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0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25800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2024-25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2024-25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2024-25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45412</v>
      </c>
      <c r="D2" s="163" t="n">
        <f aca="false">Admin!B6</f>
        <v>45443</v>
      </c>
      <c r="E2" s="163" t="n">
        <f aca="false">Admin!B7</f>
        <v>45473</v>
      </c>
      <c r="F2" s="162" t="n">
        <f aca="false">Admin!B8</f>
        <v>45504</v>
      </c>
      <c r="G2" s="163" t="n">
        <f aca="false">Admin!B9</f>
        <v>45535</v>
      </c>
      <c r="H2" s="163" t="n">
        <f aca="false">Admin!B10</f>
        <v>45565</v>
      </c>
      <c r="I2" s="162" t="n">
        <f aca="false">Admin!B11</f>
        <v>45596</v>
      </c>
      <c r="J2" s="163" t="n">
        <f aca="false">Admin!B12</f>
        <v>45626</v>
      </c>
      <c r="K2" s="163" t="n">
        <f aca="false">Admin!B13</f>
        <v>45657</v>
      </c>
      <c r="L2" s="162" t="n">
        <f aca="false">Admin!B14</f>
        <v>45688</v>
      </c>
      <c r="M2" s="163" t="n">
        <f aca="false">Admin!B15</f>
        <v>45716</v>
      </c>
      <c r="N2" s="163" t="n">
        <f aca="false">Admin!B16</f>
        <v>45747</v>
      </c>
      <c r="O2" s="164"/>
    </row>
    <row r="3" customFormat="false" ht="12" hidden="false" customHeight="true" outlineLevel="0" collapsed="false">
      <c r="A3" s="160"/>
      <c r="B3" s="165" t="n">
        <f aca="false">Admin!B$17</f>
        <v>45752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30000</v>
      </c>
      <c r="C5" s="171" t="n">
        <f aca="false">[2]Apr!$P$1</f>
        <v>2500</v>
      </c>
      <c r="D5" s="171" t="n">
        <f aca="false">[2]May!$P$1</f>
        <v>2500</v>
      </c>
      <c r="E5" s="172" t="n">
        <f aca="false">[2]Jun!$P$1</f>
        <v>2500</v>
      </c>
      <c r="F5" s="171" t="n">
        <f aca="false">[2]Jul!$P$1</f>
        <v>2500</v>
      </c>
      <c r="G5" s="171" t="n">
        <f aca="false">[2]Aug!$P$1</f>
        <v>2500</v>
      </c>
      <c r="H5" s="172" t="n">
        <f aca="false">[2]Sep!$P$1</f>
        <v>2500</v>
      </c>
      <c r="I5" s="171" t="n">
        <f aca="false">[2]Oct!$P$1</f>
        <v>2500</v>
      </c>
      <c r="J5" s="171" t="n">
        <f aca="false">[2]Nov!$P$1</f>
        <v>2500</v>
      </c>
      <c r="K5" s="172" t="n">
        <f aca="false">[2]Dec!$P$1</f>
        <v>2500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2500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0</v>
      </c>
      <c r="C6" s="171" t="n">
        <f aca="false">[2]Apr!$Q$1</f>
        <v>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0</v>
      </c>
      <c r="C7" s="171" t="n">
        <f aca="false">[2]Apr!$R$1</f>
        <v>0</v>
      </c>
      <c r="D7" s="171" t="n">
        <f aca="false">[2]May!$R$1</f>
        <v>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30000</v>
      </c>
      <c r="C9" s="170" t="n">
        <f aca="false">SUM(C5:C8)</f>
        <v>2500</v>
      </c>
      <c r="D9" s="170" t="n">
        <f aca="false">SUM(D5:D8)</f>
        <v>2500</v>
      </c>
      <c r="E9" s="170" t="n">
        <f aca="false">SUM(E5:E8)</f>
        <v>2500</v>
      </c>
      <c r="F9" s="174" t="n">
        <f aca="false">SUM(F5:F8)</f>
        <v>2500</v>
      </c>
      <c r="G9" s="170" t="n">
        <f aca="false">SUM(G5:G8)</f>
        <v>2500</v>
      </c>
      <c r="H9" s="170" t="n">
        <f aca="false">SUM(H5:H8)</f>
        <v>2500</v>
      </c>
      <c r="I9" s="174" t="n">
        <f aca="false">SUM(I5:I8)</f>
        <v>2500</v>
      </c>
      <c r="J9" s="170" t="n">
        <f aca="false">SUM(J5:J8)</f>
        <v>2500</v>
      </c>
      <c r="K9" s="170" t="n">
        <f aca="false">SUM(K5:K8)</f>
        <v>2500</v>
      </c>
      <c r="L9" s="174" t="n">
        <f aca="false">SUM(L5:L8)</f>
        <v>2500</v>
      </c>
      <c r="M9" s="170" t="n">
        <f aca="false">SUM(M5:M8)</f>
        <v>2500</v>
      </c>
      <c r="N9" s="170" t="n">
        <f aca="false">SUM(N5:N8)</f>
        <v>2500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0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0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0</v>
      </c>
      <c r="C14" s="171" t="n">
        <f aca="false">[3]Apr!$P$1+StockControl!AB6-StockControl!AB8</f>
        <v>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0</v>
      </c>
      <c r="C16" s="171" t="n">
        <f aca="false">[3]Apr!$R$1</f>
        <v>0</v>
      </c>
      <c r="D16" s="171" t="n">
        <f aca="false">[3]May!$R$1</f>
        <v>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0</v>
      </c>
      <c r="C17" s="170" t="n">
        <f aca="false">SUM(C14:C16)</f>
        <v>0</v>
      </c>
      <c r="D17" s="170" t="n">
        <f aca="false">SUM(D14:D16)</f>
        <v>0</v>
      </c>
      <c r="E17" s="170" t="n">
        <f aca="false">SUM(E14:E16)</f>
        <v>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0</v>
      </c>
      <c r="I17" s="174" t="n">
        <f aca="false">SUM(I14:I16)</f>
        <v>0</v>
      </c>
      <c r="J17" s="170" t="n">
        <f aca="false">SUM(J14:J16)</f>
        <v>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30000</v>
      </c>
      <c r="C19" s="170" t="n">
        <f aca="false">C9+C11-C17</f>
        <v>2500</v>
      </c>
      <c r="D19" s="170" t="n">
        <f aca="false">D9+D11-D17</f>
        <v>2500</v>
      </c>
      <c r="E19" s="170" t="n">
        <f aca="false">E9+E11-E17</f>
        <v>2500</v>
      </c>
      <c r="F19" s="174" t="n">
        <f aca="false">F9+F11-F17</f>
        <v>2500</v>
      </c>
      <c r="G19" s="170" t="n">
        <f aca="false">G9+G11-G17</f>
        <v>2500</v>
      </c>
      <c r="H19" s="170" t="n">
        <f aca="false">H9+H11-H17</f>
        <v>2500</v>
      </c>
      <c r="I19" s="174" t="n">
        <f aca="false">I9+I11-I17</f>
        <v>2500</v>
      </c>
      <c r="J19" s="170" t="n">
        <f aca="false">J9+J11-J17</f>
        <v>2500</v>
      </c>
      <c r="K19" s="170" t="n">
        <f aca="false">K9+K11-K17</f>
        <v>2500</v>
      </c>
      <c r="L19" s="174" t="n">
        <f aca="false">L9+L11-L17</f>
        <v>2500</v>
      </c>
      <c r="M19" s="170" t="n">
        <f aca="false">M9+M11-M17</f>
        <v>2500</v>
      </c>
      <c r="N19" s="170" t="n">
        <f aca="false">N9+N11-N17</f>
        <v>2500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1800</v>
      </c>
      <c r="C22" s="171" t="n">
        <f aca="false">[3]Apr!$T$1</f>
        <v>0</v>
      </c>
      <c r="D22" s="171" t="n">
        <f aca="false">[3]May!$T$1</f>
        <v>600</v>
      </c>
      <c r="E22" s="172" t="n">
        <f aca="false">[3]Jun!$T$1</f>
        <v>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600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0</v>
      </c>
      <c r="M22" s="171" t="n">
        <f aca="false">[3]Feb!$T$1</f>
        <v>600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480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480</v>
      </c>
      <c r="M23" s="171" t="n">
        <f aca="false">[3]Feb!$U$1</f>
        <v>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660</v>
      </c>
      <c r="C24" s="171" t="n">
        <f aca="false">[3]Apr!$V$1</f>
        <v>120</v>
      </c>
      <c r="D24" s="171" t="n">
        <f aca="false">[3]May!$V$1</f>
        <v>0</v>
      </c>
      <c r="E24" s="172" t="n">
        <f aca="false">[3]Jun!$V$1</f>
        <v>0</v>
      </c>
      <c r="F24" s="171" t="n">
        <f aca="false">[3]Jul!$V$1</f>
        <v>0</v>
      </c>
      <c r="G24" s="171" t="n">
        <f aca="false">[3]Aug!$V$1</f>
        <v>0</v>
      </c>
      <c r="H24" s="172" t="n">
        <f aca="false">[3]Sep!$V$1</f>
        <v>0</v>
      </c>
      <c r="I24" s="171" t="n">
        <f aca="false">[3]Oct!$V$1</f>
        <v>0</v>
      </c>
      <c r="J24" s="171" t="n">
        <f aca="false">[3]Nov!$V$1</f>
        <v>120</v>
      </c>
      <c r="K24" s="172" t="n">
        <f aca="false">[3]Dec!$V$1</f>
        <v>0</v>
      </c>
      <c r="L24" s="171" t="n">
        <f aca="false">[3]Jan!$V$1</f>
        <v>0</v>
      </c>
      <c r="M24" s="171" t="n">
        <f aca="false">[3]Feb!$V$1</f>
        <v>0</v>
      </c>
      <c r="N24" s="171" t="n">
        <f aca="false">[3]Mar!$V$1</f>
        <v>420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300</v>
      </c>
      <c r="C25" s="171" t="n">
        <f aca="false">[3]Apr!$W$1</f>
        <v>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0</v>
      </c>
      <c r="G25" s="171" t="n">
        <f aca="false">[3]Aug!$W$1</f>
        <v>300</v>
      </c>
      <c r="H25" s="172" t="n">
        <f aca="false">[3]Sep!$W$1</f>
        <v>0</v>
      </c>
      <c r="I25" s="171" t="n">
        <f aca="false">[3]Oct!$W$1</f>
        <v>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0</v>
      </c>
      <c r="C27" s="171" t="n">
        <f aca="false">[3]Apr!$Y$1</f>
        <v>0</v>
      </c>
      <c r="D27" s="171" t="n">
        <f aca="false">[3]May!$Y$1</f>
        <v>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960</v>
      </c>
      <c r="C28" s="171" t="n">
        <f aca="false">[3]Apr!$Z$1</f>
        <v>0</v>
      </c>
      <c r="D28" s="171" t="n">
        <f aca="false">[3]May!$Z$1</f>
        <v>0</v>
      </c>
      <c r="E28" s="172" t="n">
        <f aca="false">[3]Jun!$Z$1</f>
        <v>0</v>
      </c>
      <c r="F28" s="171" t="n">
        <f aca="false">[3]Jul!$Z$1</f>
        <v>480</v>
      </c>
      <c r="G28" s="171" t="n">
        <f aca="false">[3]Aug!$Z$1</f>
        <v>0</v>
      </c>
      <c r="H28" s="172" t="n">
        <f aca="false">[3]Sep!$Z$1</f>
        <v>0</v>
      </c>
      <c r="I28" s="171" t="n">
        <f aca="false">[3]Oct!$Z$1</f>
        <v>0</v>
      </c>
      <c r="J28" s="171" t="n">
        <f aca="false">[3]Nov!$Z$1</f>
        <v>0</v>
      </c>
      <c r="K28" s="172" t="n">
        <f aca="false">[3]Dec!$Z$1</f>
        <v>0</v>
      </c>
      <c r="L28" s="171" t="n">
        <f aca="false">[3]Jan!$Z$1</f>
        <v>0</v>
      </c>
      <c r="M28" s="171" t="n">
        <f aca="false">[3]Feb!$Z$1</f>
        <v>0</v>
      </c>
      <c r="N28" s="171" t="n">
        <f aca="false">[3]Mar!$Z$1</f>
        <v>480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4200</v>
      </c>
      <c r="C35" s="170" t="n">
        <f aca="false">SUM(C21:C34)</f>
        <v>120</v>
      </c>
      <c r="D35" s="170" t="n">
        <f aca="false">SUM(D21:D34)</f>
        <v>600</v>
      </c>
      <c r="E35" s="170" t="n">
        <f aca="false">SUM(E21:E34)</f>
        <v>0</v>
      </c>
      <c r="F35" s="174" t="n">
        <f aca="false">SUM(F21:F34)</f>
        <v>480</v>
      </c>
      <c r="G35" s="170" t="n">
        <f aca="false">SUM(G21:G34)</f>
        <v>300</v>
      </c>
      <c r="H35" s="170" t="n">
        <f aca="false">SUM(H21:H34)</f>
        <v>0</v>
      </c>
      <c r="I35" s="174" t="n">
        <f aca="false">SUM(I21:I34)</f>
        <v>600</v>
      </c>
      <c r="J35" s="170" t="n">
        <f aca="false">SUM(J21:J34)</f>
        <v>120</v>
      </c>
      <c r="K35" s="170" t="n">
        <f aca="false">SUM(K21:K34)</f>
        <v>0</v>
      </c>
      <c r="L35" s="174" t="n">
        <f aca="false">SUM(L21:L34)</f>
        <v>480</v>
      </c>
      <c r="M35" s="170" t="n">
        <f aca="false">SUM(M21:M34)</f>
        <v>600</v>
      </c>
      <c r="N35" s="170" t="n">
        <f aca="false">SUM(N21:N34)</f>
        <v>900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25800</v>
      </c>
      <c r="C37" s="170" t="n">
        <f aca="false">C19-C35</f>
        <v>2380</v>
      </c>
      <c r="D37" s="170" t="n">
        <f aca="false">D19-D35</f>
        <v>1900</v>
      </c>
      <c r="E37" s="170" t="n">
        <f aca="false">E19-E35</f>
        <v>2500</v>
      </c>
      <c r="F37" s="174" t="n">
        <f aca="false">F19-F35</f>
        <v>2020</v>
      </c>
      <c r="G37" s="170" t="n">
        <f aca="false">G19-G35</f>
        <v>2200</v>
      </c>
      <c r="H37" s="170" t="n">
        <f aca="false">H19-H35</f>
        <v>2500</v>
      </c>
      <c r="I37" s="174" t="n">
        <f aca="false">I19-I35</f>
        <v>1900</v>
      </c>
      <c r="J37" s="170" t="n">
        <f aca="false">J19-J35</f>
        <v>2380</v>
      </c>
      <c r="K37" s="170" t="n">
        <f aca="false">K19-K35</f>
        <v>2500</v>
      </c>
      <c r="L37" s="174" t="n">
        <f aca="false">L19-L35</f>
        <v>2020</v>
      </c>
      <c r="M37" s="170" t="n">
        <f aca="false">M19-M35</f>
        <v>1900</v>
      </c>
      <c r="N37" s="170" t="n">
        <f aca="false">N19-N35</f>
        <v>1600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25800</v>
      </c>
      <c r="C39" s="170" t="n">
        <f aca="false">C37+C38</f>
        <v>2380</v>
      </c>
      <c r="D39" s="170" t="n">
        <f aca="false">D37+D38</f>
        <v>1900</v>
      </c>
      <c r="E39" s="170" t="n">
        <f aca="false">E37+E38</f>
        <v>2500</v>
      </c>
      <c r="F39" s="174" t="n">
        <f aca="false">F37+F38</f>
        <v>2020</v>
      </c>
      <c r="G39" s="170" t="n">
        <f aca="false">G37+G38</f>
        <v>2200</v>
      </c>
      <c r="H39" s="170" t="n">
        <f aca="false">H37+H38</f>
        <v>2500</v>
      </c>
      <c r="I39" s="174" t="n">
        <f aca="false">I37+I38</f>
        <v>1900</v>
      </c>
      <c r="J39" s="170" t="n">
        <f aca="false">J37+J38</f>
        <v>2380</v>
      </c>
      <c r="K39" s="170" t="n">
        <f aca="false">K37+K38</f>
        <v>2500</v>
      </c>
      <c r="L39" s="174" t="n">
        <f aca="false">L37+L38</f>
        <v>2020</v>
      </c>
      <c r="M39" s="170" t="n">
        <f aca="false">M37+M38</f>
        <v>1900</v>
      </c>
      <c r="N39" s="170" t="n">
        <f aca="false">N37+N38</f>
        <v>1600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3439.8</v>
      </c>
      <c r="C44" s="177" t="n">
        <f aca="false">IF(C9&gt;0,'Profit Forecast'!C$46/12,0)</f>
        <v>286.65</v>
      </c>
      <c r="D44" s="177" t="n">
        <f aca="false">IF(D9&gt;0,'Profit Forecast'!C$46/12,0)</f>
        <v>286.65</v>
      </c>
      <c r="E44" s="177" t="n">
        <f aca="false">IF(E9&gt;0,'Profit Forecast'!C$46/12,0)</f>
        <v>286.65</v>
      </c>
      <c r="F44" s="177" t="n">
        <f aca="false">IF(F9&gt;0,'Profit Forecast'!C$46/12,0)</f>
        <v>286.65</v>
      </c>
      <c r="G44" s="177" t="n">
        <f aca="false">IF(G9&gt;0,'Profit Forecast'!C$46/12,0)</f>
        <v>286.65</v>
      </c>
      <c r="H44" s="177" t="n">
        <f aca="false">IF(H9&gt;0,'Profit Forecast'!C$46/12,0)</f>
        <v>286.65</v>
      </c>
      <c r="I44" s="177" t="n">
        <f aca="false">IF(I9&gt;0,'Profit Forecast'!C$46/12,0)</f>
        <v>286.65</v>
      </c>
      <c r="J44" s="177" t="n">
        <f aca="false">IF(J9&gt;0,'Profit Forecast'!C$46/12,0)</f>
        <v>286.65</v>
      </c>
      <c r="K44" s="177" t="n">
        <f aca="false">IF(K9&gt;0,'Profit Forecast'!C$46/12,0)</f>
        <v>286.65</v>
      </c>
      <c r="L44" s="177" t="n">
        <f aca="false">IF(L9&gt;0,'Profit Forecast'!C$46/12,0)</f>
        <v>286.65</v>
      </c>
      <c r="M44" s="177" t="n">
        <f aca="false">IF(M9&gt;0,'Profit Forecast'!C$46/12,0)</f>
        <v>286.65</v>
      </c>
      <c r="N44" s="177" t="n">
        <f aca="false">IF(N9&gt;0,'Profit Forecast'!C$46/12,0)</f>
        <v>286.65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22360.2</v>
      </c>
      <c r="C45" s="190" t="n">
        <f aca="false">C39-C42-C44</f>
        <v>2093.35</v>
      </c>
      <c r="D45" s="191" t="n">
        <f aca="false">D39-D42-D44</f>
        <v>1613.35</v>
      </c>
      <c r="E45" s="191" t="n">
        <f aca="false">E39-E42-E44</f>
        <v>2213.35</v>
      </c>
      <c r="F45" s="191" t="n">
        <f aca="false">F39-F42-F44</f>
        <v>1733.35</v>
      </c>
      <c r="G45" s="191" t="n">
        <f aca="false">G39-G42-G44</f>
        <v>1913.35</v>
      </c>
      <c r="H45" s="191" t="n">
        <f aca="false">H39-H42-H44</f>
        <v>2213.35</v>
      </c>
      <c r="I45" s="191" t="n">
        <f aca="false">I39-I42-I44</f>
        <v>1613.35</v>
      </c>
      <c r="J45" s="191" t="n">
        <f aca="false">J39-J42-J44</f>
        <v>2093.35</v>
      </c>
      <c r="K45" s="191" t="n">
        <f aca="false">K39-K42-K44</f>
        <v>2213.35</v>
      </c>
      <c r="L45" s="191" t="n">
        <f aca="false">L39-L42-L44</f>
        <v>1733.35</v>
      </c>
      <c r="M45" s="191" t="n">
        <f aca="false">M39-M42-M44</f>
        <v>1613.35</v>
      </c>
      <c r="N45" s="191" t="n">
        <f aca="false">N39-N42-N44</f>
        <v>1313.35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7500</v>
      </c>
      <c r="D5" s="199" t="n">
        <f aca="false">SUM('Profit &amp; Loss Account'!F5:H7)</f>
        <v>7500</v>
      </c>
      <c r="E5" s="199" t="n">
        <f aca="false">SUM('Profit &amp; Loss Account'!I5:K7)</f>
        <v>7500</v>
      </c>
      <c r="F5" s="199" t="n">
        <f aca="false">SUM('Profit &amp; Loss Account'!L5:N7)</f>
        <v>7500</v>
      </c>
      <c r="G5" s="200" t="n">
        <f aca="false">SUM(C5:F5)</f>
        <v>30000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0</v>
      </c>
      <c r="D6" s="199" t="n">
        <f aca="false">SUM('Profit &amp; Loss Account'!F8:H8)+SUM('Profit &amp; Loss Account'!F11:H11)+SUM('Profit &amp; Loss Account'!F38:H38)</f>
        <v>0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0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0</v>
      </c>
      <c r="F7" s="199" t="n">
        <f aca="false">SUM('Profit &amp; Loss Account'!L14:N14)+SUM('Profit &amp; Loss Account'!L16:N16)</f>
        <v>0</v>
      </c>
      <c r="G7" s="200" t="n">
        <f aca="false">SUM(C7:F7)</f>
        <v>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600</v>
      </c>
      <c r="D13" s="200" t="n">
        <f aca="false">SUM('Profit &amp; Loss Account'!F22:H22)</f>
        <v>0</v>
      </c>
      <c r="E13" s="200" t="n">
        <f aca="false">SUM('Profit &amp; Loss Account'!I22:K22)</f>
        <v>600</v>
      </c>
      <c r="F13" s="200" t="n">
        <f aca="false">SUM('Profit &amp; Loss Account'!L22:N22)</f>
        <v>600</v>
      </c>
      <c r="G13" s="200" t="n">
        <f aca="false">SUM(C13:F13)</f>
        <v>1800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0</v>
      </c>
      <c r="E14" s="200" t="n">
        <f aca="false">SUM('Profit &amp; Loss Account'!I23:K23)</f>
        <v>0</v>
      </c>
      <c r="F14" s="200" t="n">
        <f aca="false">SUM('Profit &amp; Loss Account'!L23:N23)</f>
        <v>480</v>
      </c>
      <c r="G14" s="200" t="n">
        <f aca="false">SUM(C14:F14)</f>
        <v>480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120</v>
      </c>
      <c r="D15" s="200" t="n">
        <f aca="false">SUM('Profit &amp; Loss Account'!F24:H24)</f>
        <v>0</v>
      </c>
      <c r="E15" s="200" t="n">
        <f aca="false">SUM('Profit &amp; Loss Account'!I24:K24)</f>
        <v>120</v>
      </c>
      <c r="F15" s="200" t="n">
        <f aca="false">SUM('Profit &amp; Loss Account'!L24:N24)</f>
        <v>420</v>
      </c>
      <c r="G15" s="200" t="n">
        <f aca="false">SUM(C15:F15)</f>
        <v>660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0</v>
      </c>
      <c r="D17" s="200" t="n">
        <f aca="false">SUM('Profit &amp; Loss Account'!F25:H26)</f>
        <v>300</v>
      </c>
      <c r="E17" s="200" t="n">
        <f aca="false">SUM('Profit &amp; Loss Account'!I25:K26)</f>
        <v>0</v>
      </c>
      <c r="F17" s="200" t="n">
        <f aca="false">SUM('Profit &amp; Loss Account'!L25:N26)</f>
        <v>0</v>
      </c>
      <c r="G17" s="200" t="n">
        <f aca="false">SUM(C17:F17)</f>
        <v>300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0</v>
      </c>
      <c r="G18" s="200" t="n">
        <f aca="false">SUM(C18:F18)</f>
        <v>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0</v>
      </c>
      <c r="D19" s="200" t="n">
        <f aca="false">SUM('Profit &amp; Loss Account'!F28:H28)</f>
        <v>480</v>
      </c>
      <c r="E19" s="200" t="n">
        <f aca="false">SUM('Profit &amp; Loss Account'!I28:K28)</f>
        <v>0</v>
      </c>
      <c r="F19" s="200" t="n">
        <f aca="false">SUM('Profit &amp; Loss Account'!L28:N28)</f>
        <v>480</v>
      </c>
      <c r="G19" s="200" t="n">
        <f aca="false">SUM(C19:F19)</f>
        <v>960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0</v>
      </c>
      <c r="G20" s="200" t="n">
        <f aca="false">SUM(C20:F20)</f>
        <v>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0</v>
      </c>
      <c r="F22" s="200" t="n">
        <f aca="false">SUM('Profit &amp; Loss Account'!L32:N32)</f>
        <v>0</v>
      </c>
      <c r="G22" s="200" t="n">
        <f aca="false">SUM(C22:F22)</f>
        <v>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0</v>
      </c>
      <c r="D24" s="200" t="n">
        <f aca="false">SUM('Profit &amp; Loss Account'!F15:H15)</f>
        <v>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720</v>
      </c>
      <c r="D29" s="203" t="n">
        <f aca="false">SUM(D7,D12,D13,D14,D15,D16,D17,D18,D19,D20,D21,D22,D24,D25,D26)</f>
        <v>780</v>
      </c>
      <c r="E29" s="203" t="n">
        <f aca="false">SUM(E7,E12,E13,E14,E15,E16,E17,E18,E19,E20,E21,E22,E24,E25,E26)</f>
        <v>720</v>
      </c>
      <c r="F29" s="203" t="n">
        <f aca="false">SUM(F7,F12,F13,F14,F15,F16,F17,F18,F19,F20,F21,F22,F24,F25,F26)</f>
        <v>1980</v>
      </c>
      <c r="G29" s="203" t="n">
        <f aca="false">SUM(G7,G12,G13,G14,G15,G16,G17,G18,G19,G20,G21,G22,G24,G25,G26)</f>
        <v>4200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2024-25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25800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2024-25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13230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2646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2646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46053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793.8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3439.8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2025-26</v>
      </c>
      <c r="D25" s="251" t="s">
        <v>344</v>
      </c>
      <c r="E25" s="240" t="n">
        <f aca="false">E18</f>
        <v>3439.8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46053</v>
      </c>
      <c r="E26" s="223" t="n">
        <f aca="false">E25/2</f>
        <v>1719.9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46234</v>
      </c>
      <c r="E27" s="223" t="n">
        <f aca="false">E25/2</f>
        <v>1719.9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45412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45443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45473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45504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45535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45565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45596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45626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45657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45688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45716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45747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45388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45412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2500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45443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2500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45473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2500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45504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2500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45535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2500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45565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2500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45596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2500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45626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2500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45657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2500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45688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45716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45752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45412</v>
      </c>
      <c r="E2" s="163" t="n">
        <f aca="false">Admin!B6</f>
        <v>45443</v>
      </c>
      <c r="F2" s="163" t="n">
        <f aca="false">Admin!B7</f>
        <v>45473</v>
      </c>
      <c r="G2" s="163" t="n">
        <f aca="false">Admin!B8</f>
        <v>45504</v>
      </c>
      <c r="H2" s="163" t="n">
        <f aca="false">Admin!B9</f>
        <v>45535</v>
      </c>
      <c r="I2" s="163" t="n">
        <f aca="false">Admin!B10</f>
        <v>45565</v>
      </c>
      <c r="J2" s="163" t="n">
        <f aca="false">Admin!B11</f>
        <v>45596</v>
      </c>
      <c r="K2" s="163" t="n">
        <f aca="false">Admin!B12</f>
        <v>45626</v>
      </c>
      <c r="L2" s="163" t="n">
        <f aca="false">Admin!B13</f>
        <v>45657</v>
      </c>
      <c r="M2" s="163" t="n">
        <f aca="false">Admin!B14</f>
        <v>45688</v>
      </c>
      <c r="N2" s="163" t="n">
        <f aca="false">Admin!B15</f>
        <v>45716</v>
      </c>
      <c r="O2" s="163" t="n">
        <f aca="false">Admin!B16</f>
        <v>45747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45752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30000</v>
      </c>
      <c r="D5" s="170" t="n">
        <f aca="false">'Profit &amp; Loss Account'!C9</f>
        <v>2500</v>
      </c>
      <c r="E5" s="170" t="n">
        <f aca="false">'Profit &amp; Loss Account'!D9</f>
        <v>2500</v>
      </c>
      <c r="F5" s="170" t="n">
        <f aca="false">'Profit &amp; Loss Account'!E9</f>
        <v>2500</v>
      </c>
      <c r="G5" s="170" t="n">
        <f aca="false">'Profit &amp; Loss Account'!F9</f>
        <v>2500</v>
      </c>
      <c r="H5" s="170" t="n">
        <f aca="false">'Profit &amp; Loss Account'!G9</f>
        <v>2500</v>
      </c>
      <c r="I5" s="170" t="n">
        <f aca="false">'Profit &amp; Loss Account'!H9</f>
        <v>2500</v>
      </c>
      <c r="J5" s="170" t="n">
        <f aca="false">'Profit &amp; Loss Account'!I9</f>
        <v>2500</v>
      </c>
      <c r="K5" s="170" t="n">
        <f aca="false">'Profit &amp; Loss Account'!J9</f>
        <v>2500</v>
      </c>
      <c r="L5" s="170" t="n">
        <f aca="false">'Profit &amp; Loss Account'!K9</f>
        <v>2500</v>
      </c>
      <c r="M5" s="170" t="n">
        <f aca="false">'Profit &amp; Loss Account'!L9</f>
        <v>2500</v>
      </c>
      <c r="N5" s="170" t="n">
        <f aca="false">'Profit &amp; Loss Account'!M9</f>
        <v>2500</v>
      </c>
      <c r="O5" s="170" t="n">
        <f aca="false">'Profit &amp; Loss Account'!N9</f>
        <v>2500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0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0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0</v>
      </c>
      <c r="D9" s="170" t="n">
        <f aca="false">'Profit &amp; Loss Account'!C17</f>
        <v>0</v>
      </c>
      <c r="E9" s="170" t="n">
        <f aca="false">'Profit &amp; Loss Account'!D17</f>
        <v>0</v>
      </c>
      <c r="F9" s="170" t="n">
        <f aca="false">'Profit &amp; Loss Account'!E17</f>
        <v>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0</v>
      </c>
      <c r="J9" s="170" t="n">
        <f aca="false">'Profit &amp; Loss Account'!I17</f>
        <v>0</v>
      </c>
      <c r="K9" s="170" t="n">
        <f aca="false">'Profit &amp; Loss Account'!J17</f>
        <v>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30000</v>
      </c>
      <c r="D11" s="170" t="n">
        <f aca="false">D5+D7-D9</f>
        <v>2500</v>
      </c>
      <c r="E11" s="170" t="n">
        <f aca="false">E5+E7-E9</f>
        <v>2500</v>
      </c>
      <c r="F11" s="170" t="n">
        <f aca="false">F5+F7-F9</f>
        <v>2500</v>
      </c>
      <c r="G11" s="170" t="n">
        <f aca="false">G5+G7-G9</f>
        <v>2500</v>
      </c>
      <c r="H11" s="170" t="n">
        <f aca="false">H5+H7-H9</f>
        <v>2500</v>
      </c>
      <c r="I11" s="170" t="n">
        <f aca="false">I5+I7-I9</f>
        <v>2500</v>
      </c>
      <c r="J11" s="170" t="n">
        <f aca="false">J5+J7-J9</f>
        <v>2500</v>
      </c>
      <c r="K11" s="170" t="n">
        <f aca="false">K5+K7-K9</f>
        <v>2500</v>
      </c>
      <c r="L11" s="170" t="n">
        <f aca="false">L5+L7-L9</f>
        <v>2500</v>
      </c>
      <c r="M11" s="170" t="n">
        <f aca="false">M5+M7-M9</f>
        <v>2500</v>
      </c>
      <c r="N11" s="170" t="n">
        <f aca="false">N5+N7-N9</f>
        <v>2500</v>
      </c>
      <c r="O11" s="170" t="n">
        <f aca="false">O5+O7-O9</f>
        <v>2500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4200</v>
      </c>
      <c r="D13" s="170" t="n">
        <f aca="false">'Profit &amp; Loss Account'!C35</f>
        <v>120</v>
      </c>
      <c r="E13" s="170" t="n">
        <f aca="false">'Profit &amp; Loss Account'!D35</f>
        <v>600</v>
      </c>
      <c r="F13" s="170" t="n">
        <f aca="false">'Profit &amp; Loss Account'!E35</f>
        <v>0</v>
      </c>
      <c r="G13" s="170" t="n">
        <f aca="false">'Profit &amp; Loss Account'!F35</f>
        <v>480</v>
      </c>
      <c r="H13" s="170" t="n">
        <f aca="false">'Profit &amp; Loss Account'!G35</f>
        <v>300</v>
      </c>
      <c r="I13" s="170" t="n">
        <f aca="false">'Profit &amp; Loss Account'!H35</f>
        <v>0</v>
      </c>
      <c r="J13" s="170" t="n">
        <f aca="false">'Profit &amp; Loss Account'!I35</f>
        <v>600</v>
      </c>
      <c r="K13" s="170" t="n">
        <f aca="false">'Profit &amp; Loss Account'!J35</f>
        <v>120</v>
      </c>
      <c r="L13" s="170" t="n">
        <f aca="false">'Profit &amp; Loss Account'!K35</f>
        <v>0</v>
      </c>
      <c r="M13" s="170" t="n">
        <f aca="false">'Profit &amp; Loss Account'!L35</f>
        <v>480</v>
      </c>
      <c r="N13" s="170" t="n">
        <f aca="false">'Profit &amp; Loss Account'!M35</f>
        <v>600</v>
      </c>
      <c r="O13" s="170" t="n">
        <f aca="false">'Profit &amp; Loss Account'!N35</f>
        <v>900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25800</v>
      </c>
      <c r="D15" s="170" t="n">
        <f aca="false">D11-D13</f>
        <v>2380</v>
      </c>
      <c r="E15" s="170" t="n">
        <f aca="false">E11-E13</f>
        <v>1900</v>
      </c>
      <c r="F15" s="170" t="n">
        <f aca="false">F11-F13</f>
        <v>2500</v>
      </c>
      <c r="G15" s="170" t="n">
        <f aca="false">G11-G13</f>
        <v>2020</v>
      </c>
      <c r="H15" s="170" t="n">
        <f aca="false">H11-H13</f>
        <v>2200</v>
      </c>
      <c r="I15" s="170" t="n">
        <f aca="false">I11-I13</f>
        <v>2500</v>
      </c>
      <c r="J15" s="170" t="n">
        <f aca="false">J11-J13</f>
        <v>1900</v>
      </c>
      <c r="K15" s="170" t="n">
        <f aca="false">K11-K13</f>
        <v>2380</v>
      </c>
      <c r="L15" s="170" t="n">
        <f aca="false">L11-L13</f>
        <v>2500</v>
      </c>
      <c r="M15" s="170" t="n">
        <f aca="false">M11-M13</f>
        <v>2020</v>
      </c>
      <c r="N15" s="170" t="n">
        <f aca="false">N11-N13</f>
        <v>1900</v>
      </c>
      <c r="O15" s="170" t="n">
        <f aca="false">O11-O13</f>
        <v>1600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25800</v>
      </c>
      <c r="D17" s="170" t="n">
        <f aca="false">D15+D16</f>
        <v>2380</v>
      </c>
      <c r="E17" s="170" t="n">
        <f aca="false">E15+E16</f>
        <v>1900</v>
      </c>
      <c r="F17" s="170" t="n">
        <f aca="false">F15+F16</f>
        <v>2500</v>
      </c>
      <c r="G17" s="170" t="n">
        <f aca="false">G15+G16</f>
        <v>2020</v>
      </c>
      <c r="H17" s="170" t="n">
        <f aca="false">H15+H16</f>
        <v>2200</v>
      </c>
      <c r="I17" s="170" t="n">
        <f aca="false">I15+I16</f>
        <v>2500</v>
      </c>
      <c r="J17" s="170" t="n">
        <f aca="false">J15+J16</f>
        <v>1900</v>
      </c>
      <c r="K17" s="170" t="n">
        <f aca="false">K15+K16</f>
        <v>2380</v>
      </c>
      <c r="L17" s="170" t="n">
        <f aca="false">L15+L16</f>
        <v>2500</v>
      </c>
      <c r="M17" s="170" t="n">
        <f aca="false">M15+M16</f>
        <v>2020</v>
      </c>
      <c r="N17" s="170" t="n">
        <f aca="false">N15+N16</f>
        <v>1900</v>
      </c>
      <c r="O17" s="170" t="n">
        <f aca="false">O15+O16</f>
        <v>1600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45412</v>
      </c>
      <c r="E19" s="162" t="n">
        <f aca="false">E2</f>
        <v>45443</v>
      </c>
      <c r="F19" s="162" t="n">
        <f aca="false">F2</f>
        <v>45473</v>
      </c>
      <c r="G19" s="162" t="n">
        <f aca="false">G2</f>
        <v>45504</v>
      </c>
      <c r="H19" s="162" t="n">
        <f aca="false">H2</f>
        <v>45535</v>
      </c>
      <c r="I19" s="162" t="n">
        <f aca="false">I2</f>
        <v>45565</v>
      </c>
      <c r="J19" s="162" t="n">
        <f aca="false">J2</f>
        <v>45596</v>
      </c>
      <c r="K19" s="162" t="n">
        <f aca="false">K2</f>
        <v>45626</v>
      </c>
      <c r="L19" s="162" t="n">
        <f aca="false">L2</f>
        <v>45657</v>
      </c>
      <c r="M19" s="162" t="n">
        <f aca="false">M2</f>
        <v>45688</v>
      </c>
      <c r="N19" s="162" t="n">
        <f aca="false">N2</f>
        <v>45716</v>
      </c>
      <c r="O19" s="162" t="n">
        <f aca="false">O2</f>
        <v>45747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45752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30000</v>
      </c>
      <c r="D22" s="170" t="n">
        <f aca="false">IF(C5&gt;0,IF(D5&gt;0,D5,C5/C21),0)</f>
        <v>2500</v>
      </c>
      <c r="E22" s="170" t="n">
        <f aca="false">IF(C5&gt;0,IF(E5&gt;0,E5,C5/C21),0)</f>
        <v>2500</v>
      </c>
      <c r="F22" s="170" t="n">
        <f aca="false">IF(C5&gt;0,IF(F5&gt;0,F5,C5/C21),0)</f>
        <v>2500</v>
      </c>
      <c r="G22" s="170" t="n">
        <f aca="false">IF(C5&gt;0,IF(G5&gt;0,G5,C5/C21),0)</f>
        <v>2500</v>
      </c>
      <c r="H22" s="170" t="n">
        <f aca="false">IF(C5&gt;0,IF(H5&gt;0,H5,C5/C21),0)</f>
        <v>2500</v>
      </c>
      <c r="I22" s="170" t="n">
        <f aca="false">IF(C5&gt;0,IF(I5&gt;0,I5,C5/C21),0)</f>
        <v>2500</v>
      </c>
      <c r="J22" s="170" t="n">
        <f aca="false">IF(C5&gt;0,IF(J5&gt;0,J5,C5/C21),0)</f>
        <v>2500</v>
      </c>
      <c r="K22" s="170" t="n">
        <f aca="false">IF(C5&gt;0,IF(K5&gt;0,K5,C5/C21),0)</f>
        <v>2500</v>
      </c>
      <c r="L22" s="170" t="n">
        <f aca="false">IF(C5&gt;0,IF(L5&gt;0,L5,C5/C21),0)</f>
        <v>2500</v>
      </c>
      <c r="M22" s="170" t="n">
        <f aca="false">IF(C5&gt;0,IF(M5&gt;0,M5,C5/C21),0)</f>
        <v>2500</v>
      </c>
      <c r="N22" s="170" t="n">
        <f aca="false">IF(C5&gt;0,IF(N5&gt;0,N5,C5/C21),0)</f>
        <v>2500</v>
      </c>
      <c r="O22" s="170" t="n">
        <f aca="false">IF(C5&gt;0,IF(O5&gt;0,O5,C5/C21),0)</f>
        <v>2500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0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0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0</v>
      </c>
      <c r="D26" s="170" t="n">
        <f aca="false">IF(C5&gt;0,IF(D5&gt;0,D9,C9/C21),0)</f>
        <v>0</v>
      </c>
      <c r="E26" s="170" t="n">
        <f aca="false">IF(C5&gt;0,IF(E5&gt;0,E9,C9/C21),0)</f>
        <v>0</v>
      </c>
      <c r="F26" s="170" t="n">
        <f aca="false">IF(C5&gt;0,IF(F5&gt;0,F9,C9/C21),0)</f>
        <v>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0</v>
      </c>
      <c r="J26" s="170" t="n">
        <f aca="false">IF(C5&gt;0,IF(J5&gt;0,J9,C9/C21),0)</f>
        <v>0</v>
      </c>
      <c r="K26" s="170" t="n">
        <f aca="false">IF(C5&gt;0,IF(K5&gt;0,K9,C9/C21),0)</f>
        <v>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30000</v>
      </c>
      <c r="D28" s="170" t="n">
        <f aca="false">D22+D24-D26</f>
        <v>2500</v>
      </c>
      <c r="E28" s="170" t="n">
        <f aca="false">E22+E24-E26</f>
        <v>2500</v>
      </c>
      <c r="F28" s="170" t="n">
        <f aca="false">F22+F24-F26</f>
        <v>2500</v>
      </c>
      <c r="G28" s="170" t="n">
        <f aca="false">G22+G24-G26</f>
        <v>2500</v>
      </c>
      <c r="H28" s="170" t="n">
        <f aca="false">H22+H24-H26</f>
        <v>2500</v>
      </c>
      <c r="I28" s="170" t="n">
        <f aca="false">I22+I24-I26</f>
        <v>2500</v>
      </c>
      <c r="J28" s="170" t="n">
        <f aca="false">J22+J24-J26</f>
        <v>2500</v>
      </c>
      <c r="K28" s="170" t="n">
        <f aca="false">K22+K24-K26</f>
        <v>2500</v>
      </c>
      <c r="L28" s="170" t="n">
        <f aca="false">L22+L24-L26</f>
        <v>2500</v>
      </c>
      <c r="M28" s="170" t="n">
        <f aca="false">M22+M24-M26</f>
        <v>2500</v>
      </c>
      <c r="N28" s="170" t="n">
        <f aca="false">N22+N24-N26</f>
        <v>2500</v>
      </c>
      <c r="O28" s="170" t="n">
        <f aca="false">O22+O24-O26</f>
        <v>2500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4200</v>
      </c>
      <c r="D30" s="170" t="n">
        <f aca="false">IF(C5&gt;0,IF(D5&gt;0,D13,C13/C21),0)</f>
        <v>120</v>
      </c>
      <c r="E30" s="170" t="n">
        <f aca="false">IF(C5&gt;0,IF(E5&gt;0,E13,C13/C21),0)</f>
        <v>600</v>
      </c>
      <c r="F30" s="170" t="n">
        <f aca="false">IF(C5&gt;0,IF(F5&gt;0,F13,C13/C21),0)</f>
        <v>0</v>
      </c>
      <c r="G30" s="170" t="n">
        <f aca="false">IF(C5&gt;0,IF(G5&gt;0,G13,C13/C21),0)</f>
        <v>480</v>
      </c>
      <c r="H30" s="170" t="n">
        <f aca="false">IF(C5&gt;0,IF(H5&gt;0,H13,C13/C21),0)</f>
        <v>300</v>
      </c>
      <c r="I30" s="170" t="n">
        <f aca="false">IF(C5&gt;0,IF(I5&gt;0,I13,C13/C21),0)</f>
        <v>0</v>
      </c>
      <c r="J30" s="170" t="n">
        <f aca="false">IF(C5&gt;0,IF(J5&gt;0,J13,C13/C21),0)</f>
        <v>600</v>
      </c>
      <c r="K30" s="170" t="n">
        <f aca="false">IF(C5&gt;0,IF(K5&gt;0,K13,C13/C21),0)</f>
        <v>120</v>
      </c>
      <c r="L30" s="170" t="n">
        <f aca="false">IF(C5&gt;0,IF(L5&gt;0,L13,C13/C21),0)</f>
        <v>0</v>
      </c>
      <c r="M30" s="170" t="n">
        <f aca="false">IF(C5&gt;0,IF(M5&gt;0,M13,C13/C21),0)</f>
        <v>480</v>
      </c>
      <c r="N30" s="170" t="n">
        <f aca="false">IF(C5&gt;0,IF(N5&gt;0,N13,C13/C21),0)</f>
        <v>600</v>
      </c>
      <c r="O30" s="170" t="n">
        <f aca="false">IF(C5&gt;0,IF(O5&gt;0,O13,C13/C21),0)</f>
        <v>900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25800</v>
      </c>
      <c r="D32" s="170" t="n">
        <f aca="false">D28-D30</f>
        <v>2380</v>
      </c>
      <c r="E32" s="170" t="n">
        <f aca="false">E28-E30</f>
        <v>1900</v>
      </c>
      <c r="F32" s="170" t="n">
        <f aca="false">F28-F30</f>
        <v>2500</v>
      </c>
      <c r="G32" s="170" t="n">
        <f aca="false">G28-G30</f>
        <v>2020</v>
      </c>
      <c r="H32" s="170" t="n">
        <f aca="false">H28-H30</f>
        <v>2200</v>
      </c>
      <c r="I32" s="170" t="n">
        <f aca="false">I28-I30</f>
        <v>2500</v>
      </c>
      <c r="J32" s="170" t="n">
        <f aca="false">J28-J30</f>
        <v>1900</v>
      </c>
      <c r="K32" s="170" t="n">
        <f aca="false">K28-K30</f>
        <v>2380</v>
      </c>
      <c r="L32" s="170" t="n">
        <f aca="false">L28-L30</f>
        <v>2500</v>
      </c>
      <c r="M32" s="170" t="n">
        <f aca="false">M28-M30</f>
        <v>2020</v>
      </c>
      <c r="N32" s="170" t="n">
        <f aca="false">N28-N30</f>
        <v>1900</v>
      </c>
      <c r="O32" s="170" t="n">
        <f aca="false">O28-O30</f>
        <v>1600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25800</v>
      </c>
      <c r="D34" s="170" t="n">
        <f aca="false">D32+D33</f>
        <v>2380</v>
      </c>
      <c r="E34" s="170" t="n">
        <f aca="false">E32+E33</f>
        <v>1900</v>
      </c>
      <c r="F34" s="170" t="n">
        <f aca="false">F32+F33</f>
        <v>2500</v>
      </c>
      <c r="G34" s="170" t="n">
        <f aca="false">G32+G33</f>
        <v>2020</v>
      </c>
      <c r="H34" s="170" t="n">
        <f aca="false">H32+H33</f>
        <v>2200</v>
      </c>
      <c r="I34" s="170" t="n">
        <f aca="false">I32+I33</f>
        <v>2500</v>
      </c>
      <c r="J34" s="170" t="n">
        <f aca="false">J32+J33</f>
        <v>1900</v>
      </c>
      <c r="K34" s="170" t="n">
        <f aca="false">K32+K33</f>
        <v>2380</v>
      </c>
      <c r="L34" s="170" t="n">
        <f aca="false">L32+L33</f>
        <v>2500</v>
      </c>
      <c r="M34" s="170" t="n">
        <f aca="false">M32+M33</f>
        <v>2020</v>
      </c>
      <c r="N34" s="170" t="n">
        <f aca="false">N32+N33</f>
        <v>1900</v>
      </c>
      <c r="O34" s="170" t="n">
        <f aca="false">O32+O33</f>
        <v>1600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25800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13230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2646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793.8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3439.8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45351</v>
      </c>
      <c r="C2" s="63"/>
      <c r="D2" s="348" t="s">
        <v>401</v>
      </c>
      <c r="E2" s="348"/>
      <c r="F2" s="348"/>
      <c r="G2" s="349" t="str">
        <f aca="false">B23</f>
        <v>2024-25</v>
      </c>
      <c r="H2" s="63"/>
      <c r="I2" s="63"/>
      <c r="J2" s="350" t="s">
        <v>402</v>
      </c>
      <c r="K2" s="350"/>
      <c r="L2" s="351" t="str">
        <f aca="false">G2</f>
        <v>2024-25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45382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45388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45412</v>
      </c>
      <c r="C5" s="63"/>
      <c r="D5" s="355" t="s">
        <v>404</v>
      </c>
      <c r="E5" s="355"/>
      <c r="F5" s="355"/>
      <c r="G5" s="356" t="n">
        <v>0.18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45443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45473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45504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45535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45565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45596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45626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45657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45688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2024-25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45716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45747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0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45752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45777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45808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45838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46053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46234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