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<sst xmlns="http://schemas.openxmlformats.org/spreadsheetml/2006/main" count="635" uniqueCount="59">
  <si>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</si>
  <si>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</si>
  <si>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</si>
  <si>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</si>
  <si>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</si>
  <si>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</si>
  <si>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</si>
  <si>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</si>
  <si>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</si>
  <si>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</si>
  <si>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</si>
  <si>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</si>
  <si>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</si>
  <si>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</si>
  <si>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</si>
  <si>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</si>
  <si>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</si>
  <si>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</si>
  <si>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</si>
  <si>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</si>
  <si>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</si>
  <si>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</si>
  <si>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</si>
  <si>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</si>
  <si>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</si>
  <si>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</si>
  <si>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</si>
  <si>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</si>
  <si>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</si>
  <si>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</si>
  <si>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</si>
  <si>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</si>
  <si>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</si>
  <si>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</si>
  <si>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</si>
  <si>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</si>
  <si>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</si>
  <si>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</si>
  <si>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</si>
  <si>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</si>
  <si>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</si>
  <si>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</si>
  <si>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</si>
  <si>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</si>
  <si>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</si>
  <si>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</si>
  <si>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</si>
  <si>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</si>
  <si>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</si>
  <si>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</si>
  <si>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Office Supplies Ltd</t>
  </si>
  <si>
    <t xml:space="preserve">g</t>
  </si>
  <si>
    <t xml:space="preserve">Landlord</t>
  </si>
  <si>
    <t xml:space="preserve">p</t>
  </si>
  <si>
    <t xml:space="preserve">Accountant</t>
  </si>
  <si>
    <t xml:space="preserve">l</t>
  </si>
  <si>
    <t xml:space="preserve">Fuel Station</t>
  </si>
  <si>
    <t xml:space="preserve">Plumber</t>
  </si>
  <si>
    <t xml:space="preserve">m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</si>
</sst>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14</v>
      </c>
      <c r="C2" s="43" t="n">
        <f aca="false">0+D1+[1]Apr!$D$1</f>
        <v>0</v>
      </c>
      <c r="D2" s="45" t="s">
        <v>15</v>
      </c>
      <c r="E2" s="20" t="s">
        <v>5</v>
      </c>
      <c r="F2" s="44" t="s">
        <v>16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5" t="n">
        <v>45767</v>
      </c>
      <c r="B5" s="2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IF((G5-L5)&lt;&gt;0,N$1-A22," ")</f>
        <v>46113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14</v>
      </c>
      <c r="C2" s="43" t="n">
        <f aca="false">Apr!C2+D1+[1]May!$D$1</f>
        <v>0</v>
      </c>
      <c r="D2" s="45" t="s">
        <v>15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AB1+Apr!AB2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45787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326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14</v>
      </c>
      <c r="C2" s="43" t="n">
        <f aca="false">May!C2+D1+[1]Jun!$D$1</f>
        <v>0</v>
      </c>
      <c r="D2" s="45" t="s">
        <v>15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AB1+May!AB2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14</v>
      </c>
      <c r="C2" s="43" t="n">
        <f aca="false">Jun!C2+D1+[1]Jul!$D$1</f>
        <v>0</v>
      </c>
      <c r="D2" s="45" t="s">
        <v>15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45839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274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300</v>
      </c>
      <c r="H1" s="13" t="n">
        <f aca="false">SUM(H5:H200)</f>
        <v>0</v>
      </c>
      <c r="I1" s="13" t="n">
        <f aca="false">SUM(I2:I200)</f>
        <v>300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300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300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14</v>
      </c>
      <c r="C2" s="43" t="n">
        <f aca="false">Jul!C2+D1+[1]Aug!$D$1</f>
        <v>0</v>
      </c>
      <c r="D2" s="45" t="s">
        <v>15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AB1+Jul!AB2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45884</v>
      </c>
      <c r="B5" s="5" t="s">
        <v>56</v>
      </c>
      <c r="F5" s="5" t="s">
        <v>16</v>
      </c>
      <c r="G5" s="29" t="n">
        <v>300</v>
      </c>
      <c r="I5" s="6" t="n">
        <f aca="false">IF((G5&lt;&gt;0),G5-H5," ")</f>
        <v>300</v>
      </c>
      <c r="K5" s="6"/>
      <c r="L5" s="6"/>
      <c r="M5" s="7" t="n">
        <f aca="false">IF(G5&lt;&gt;0,G5-L5," ")</f>
        <v>300</v>
      </c>
      <c r="N5" s="8" t="n">
        <f aca="false">IF((G5-L5)&lt;&gt;0,N$1-A5," ")</f>
        <v>229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n">
        <f aca="false">IF((F5="v"),I5," ")</f>
        <v>300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14</v>
      </c>
      <c r="C2" s="43" t="n">
        <f aca="false">Aug!C2+D1+[1]Sep!$D$1</f>
        <v>0</v>
      </c>
      <c r="D2" s="45" t="s">
        <v>15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AB1+Aug!AB2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7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7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7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7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7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7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7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7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7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7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7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7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7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7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7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7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7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7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7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7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7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7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7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7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7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7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7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7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7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7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7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7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7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7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7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7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7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7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7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7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7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7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7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7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7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7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7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7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7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7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7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7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7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7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7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7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7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7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7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7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7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7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7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7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7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7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7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7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7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7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7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7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7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7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7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7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7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7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7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7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7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7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7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7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7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7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7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7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7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7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7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7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7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7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7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7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7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7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7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7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7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7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7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7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7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7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7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7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7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7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7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7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7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7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7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7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7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7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7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7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7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7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7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7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7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7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7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7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7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7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7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7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7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7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7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7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7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7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7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7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7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7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7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7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7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7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7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7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7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7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7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7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7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7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7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7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7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7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7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7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7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7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7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7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7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7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7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7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7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7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7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7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7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7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7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7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7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7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7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7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7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7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7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7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7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7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7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7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7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7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7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7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7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7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7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7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7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7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7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7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7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7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7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7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7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7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7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7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7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7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7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7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7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7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7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7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7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7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7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7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7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7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7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7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7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7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7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7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7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7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7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7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7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7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7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7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7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7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7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7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7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7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7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7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7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7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7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7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7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7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7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7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7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7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7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7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7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7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7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7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7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7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7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7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7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7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7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7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7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7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7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7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7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7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7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7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7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7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7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7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7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7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7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7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7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7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7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7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7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7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7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7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7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7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7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14</v>
      </c>
      <c r="C2" s="43" t="n">
        <f aca="false">Sep!C2+D1+[1]Oct!$D$1</f>
        <v>0</v>
      </c>
      <c r="D2" s="45" t="s">
        <v>15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AB1+Sep!AB2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45931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182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120</v>
      </c>
      <c r="H1" s="13" t="n">
        <f aca="false">SUM(H5:H200)</f>
        <v>0</v>
      </c>
      <c r="I1" s="13" t="n">
        <f aca="false">SUM(I2:I200)</f>
        <v>120</v>
      </c>
      <c r="J1" s="15"/>
      <c r="K1" s="16" t="s">
        <v>4</v>
      </c>
      <c r="L1" s="17" t="n">
        <f aca="false">SUM(L5:L300)</f>
        <v>0</v>
      </c>
      <c r="M1" s="17" t="n">
        <f aca="false">SUM(M5:M200)</f>
        <v>120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120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14</v>
      </c>
      <c r="C2" s="43" t="n">
        <f aca="false">Oct!C2+D1+[1]Nov!$D$1</f>
        <v>0</v>
      </c>
      <c r="D2" s="45" t="s">
        <v>15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AB1+Oct!AB2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45981</v>
      </c>
      <c r="B5" s="5" t="s">
        <v>50</v>
      </c>
      <c r="F5" s="5" t="s">
        <v>51</v>
      </c>
      <c r="G5" s="29" t="n">
        <v>120</v>
      </c>
      <c r="I5" s="6" t="n">
        <f aca="false">IF((G5&lt;&gt;0),G5-H5," ")</f>
        <v>120</v>
      </c>
      <c r="K5" s="6"/>
      <c r="L5" s="6"/>
      <c r="M5" s="7" t="n">
        <f aca="false">IF(G5&lt;&gt;0,G5-L5," ")</f>
        <v>120</v>
      </c>
      <c r="N5" s="8" t="n">
        <f aca="false">IF((G5-L5)&lt;&gt;0,N$1-A5," ")</f>
        <v>132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n">
        <f aca="false">IF((F5="g"),I5," ")</f>
        <v>120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0</v>
      </c>
      <c r="H1" s="13" t="n">
        <f aca="false">SUM(H5:H200)</f>
        <v>0</v>
      </c>
      <c r="I1" s="13" t="n">
        <f aca="false">SUM(I2:I200)</f>
        <v>0</v>
      </c>
      <c r="J1" s="15"/>
      <c r="K1" s="16" t="s">
        <v>4</v>
      </c>
      <c r="L1" s="17" t="n">
        <f aca="false">SUM(L5:L300)</f>
        <v>0</v>
      </c>
      <c r="M1" s="17" t="n">
        <f aca="false">SUM(M5:M200)</f>
        <v>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14</v>
      </c>
      <c r="C2" s="43" t="n">
        <f aca="false">Nov!C2+D1+[1]Dec!$D$1</f>
        <v>0</v>
      </c>
      <c r="D2" s="45" t="s">
        <v>15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AB1+Nov!AB2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/>
      <c r="B5" s="2"/>
      <c r="C5" s="3"/>
      <c r="D5" s="4"/>
      <c r="E5" s="2"/>
      <c r="F5" s="58" t="str">
        <f aca="false">IF((G5&lt;&gt;0),"Enter Letter"," ")</f>
        <v> </v>
      </c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58" t="str">
        <f aca="false">IF((G6&lt;&gt;0),"Enter Letter"," ")</f>
        <v> </v>
      </c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58" t="str">
        <f aca="false">IF((G7&lt;&gt;0),"Enter Letter"," ")</f>
        <v> </v>
      </c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58" t="str">
        <f aca="false">IF((G8&lt;&gt;0),"Enter Letter"," ")</f>
        <v> </v>
      </c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58" t="str">
        <f aca="false">IF((G9&lt;&gt;0),"Enter Letter"," ")</f>
        <v> </v>
      </c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58" t="str">
        <f aca="false">IF((G10&lt;&gt;0),"Enter Letter"," ")</f>
        <v> </v>
      </c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58" t="str">
        <f aca="false">IF((G11&lt;&gt;0),"Enter Letter"," ")</f>
        <v> </v>
      </c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58" t="str">
        <f aca="false">IF((G12&lt;&gt;0),"Enter Letter"," ")</f>
        <v> </v>
      </c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58" t="str">
        <f aca="false">IF((G13&lt;&gt;0),"Enter Letter"," ")</f>
        <v> </v>
      </c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58" t="str">
        <f aca="false">IF((G14&lt;&gt;0),"Enter Letter"," ")</f>
        <v> </v>
      </c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58" t="str">
        <f aca="false">IF((G15&lt;&gt;0),"Enter Letter"," ")</f>
        <v> </v>
      </c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58" t="str">
        <f aca="false">IF((G16&lt;&gt;0),"Enter Letter"," ")</f>
        <v> </v>
      </c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58" t="str">
        <f aca="false">IF((G17&lt;&gt;0),"Enter Letter"," ")</f>
        <v> </v>
      </c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58" t="str">
        <f aca="false">IF((G18&lt;&gt;0),"Enter Letter"," ")</f>
        <v> </v>
      </c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58" t="str">
        <f aca="false">IF((G19&lt;&gt;0),"Enter Letter"," ")</f>
        <v> </v>
      </c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58" t="str">
        <f aca="false">IF((G20&lt;&gt;0),"Enter Letter"," ")</f>
        <v> </v>
      </c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58" t="str">
        <f aca="false">IF((G21&lt;&gt;0),"Enter Letter"," ")</f>
        <v> </v>
      </c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58" t="str">
        <f aca="false">IF((G22&lt;&gt;0),"Enter Letter"," ")</f>
        <v> </v>
      </c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58" t="str">
        <f aca="false">IF((G23&lt;&gt;0),"Enter Letter"," ")</f>
        <v> </v>
      </c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58" t="str">
        <f aca="false">IF((G24&lt;&gt;0),"Enter Letter"," ")</f>
        <v> </v>
      </c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58" t="str">
        <f aca="false">IF((G25&lt;&gt;0),"Enter Letter"," ")</f>
        <v> </v>
      </c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58" t="str">
        <f aca="false">IF((G26&lt;&gt;0),"Enter Letter"," ")</f>
        <v> </v>
      </c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58" t="str">
        <f aca="false">IF((G27&lt;&gt;0),"Enter Letter"," ")</f>
        <v> </v>
      </c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58" t="str">
        <f aca="false">IF((G28&lt;&gt;0),"Enter Letter"," ")</f>
        <v> </v>
      </c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58" t="str">
        <f aca="false">IF((G29&lt;&gt;0),"Enter Letter"," ")</f>
        <v> </v>
      </c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58" t="str">
        <f aca="false">IF((G30&lt;&gt;0),"Enter Letter"," ")</f>
        <v> </v>
      </c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58" t="str">
        <f aca="false">IF((G31&lt;&gt;0),"Enter Letter"," ")</f>
        <v> </v>
      </c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58" t="str">
        <f aca="false">IF((G32&lt;&gt;0),"Enter Letter"," ")</f>
        <v> </v>
      </c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58" t="str">
        <f aca="false">IF((G33&lt;&gt;0),"Enter Letter"," ")</f>
        <v> </v>
      </c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58" t="str">
        <f aca="false">IF((G34&lt;&gt;0),"Enter Letter"," ")</f>
        <v> </v>
      </c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58" t="str">
        <f aca="false">IF((G35&lt;&gt;0),"Enter Letter"," ")</f>
        <v> </v>
      </c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58" t="str">
        <f aca="false">IF((G36&lt;&gt;0),"Enter Letter"," ")</f>
        <v> </v>
      </c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58" t="str">
        <f aca="false">IF((G37&lt;&gt;0),"Enter Letter"," ")</f>
        <v> </v>
      </c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58" t="str">
        <f aca="false">IF((G38&lt;&gt;0),"Enter Letter"," ")</f>
        <v> </v>
      </c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58" t="str">
        <f aca="false">IF((G39&lt;&gt;0),"Enter Letter"," ")</f>
        <v> </v>
      </c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58" t="str">
        <f aca="false">IF((G40&lt;&gt;0),"Enter Letter"," ")</f>
        <v> </v>
      </c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58" t="str">
        <f aca="false">IF((G41&lt;&gt;0),"Enter Letter"," ")</f>
        <v> </v>
      </c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58" t="str">
        <f aca="false">IF((G42&lt;&gt;0),"Enter Letter"," ")</f>
        <v> </v>
      </c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58" t="str">
        <f aca="false">IF((G43&lt;&gt;0),"Enter Letter"," ")</f>
        <v> </v>
      </c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58" t="str">
        <f aca="false">IF((G44&lt;&gt;0),"Enter Letter"," ")</f>
        <v> </v>
      </c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58" t="str">
        <f aca="false">IF((G45&lt;&gt;0),"Enter Letter"," ")</f>
        <v> </v>
      </c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58" t="str">
        <f aca="false">IF((G46&lt;&gt;0),"Enter Letter"," ")</f>
        <v> </v>
      </c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58" t="str">
        <f aca="false">IF((G47&lt;&gt;0),"Enter Letter"," ")</f>
        <v> </v>
      </c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58" t="str">
        <f aca="false">IF((G48&lt;&gt;0),"Enter Letter"," ")</f>
        <v> </v>
      </c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58" t="str">
        <f aca="false">IF((G49&lt;&gt;0),"Enter Letter"," ")</f>
        <v> </v>
      </c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58" t="str">
        <f aca="false">IF((G50&lt;&gt;0),"Enter Letter"," ")</f>
        <v> </v>
      </c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58" t="str">
        <f aca="false">IF((G51&lt;&gt;0),"Enter Letter"," ")</f>
        <v> </v>
      </c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58" t="str">
        <f aca="false">IF((G52&lt;&gt;0),"Enter Letter"," ")</f>
        <v> </v>
      </c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58" t="str">
        <f aca="false">IF((G53&lt;&gt;0),"Enter Letter"," ")</f>
        <v> </v>
      </c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58" t="str">
        <f aca="false">IF((G54&lt;&gt;0),"Enter Letter"," ")</f>
        <v> </v>
      </c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58" t="str">
        <f aca="false">IF((G55&lt;&gt;0),"Enter Letter"," ")</f>
        <v> </v>
      </c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58" t="str">
        <f aca="false">IF((G56&lt;&gt;0),"Enter Letter"," ")</f>
        <v> </v>
      </c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58" t="str">
        <f aca="false">IF((G57&lt;&gt;0),"Enter Letter"," ")</f>
        <v> </v>
      </c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58" t="str">
        <f aca="false">IF((G58&lt;&gt;0),"Enter Letter"," ")</f>
        <v> </v>
      </c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58" t="str">
        <f aca="false">IF((G59&lt;&gt;0),"Enter Letter"," ")</f>
        <v> </v>
      </c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58" t="str">
        <f aca="false">IF((G60&lt;&gt;0),"Enter Letter"," ")</f>
        <v> </v>
      </c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58" t="str">
        <f aca="false">IF((G61&lt;&gt;0),"Enter Letter"," ")</f>
        <v> </v>
      </c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58" t="str">
        <f aca="false">IF((G62&lt;&gt;0),"Enter Letter"," ")</f>
        <v> </v>
      </c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58" t="str">
        <f aca="false">IF((G63&lt;&gt;0),"Enter Letter"," ")</f>
        <v> </v>
      </c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58" t="str">
        <f aca="false">IF((G64&lt;&gt;0),"Enter Letter"," ")</f>
        <v> </v>
      </c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58" t="str">
        <f aca="false">IF((G65&lt;&gt;0),"Enter Letter"," ")</f>
        <v> </v>
      </c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58" t="str">
        <f aca="false">IF((G66&lt;&gt;0),"Enter Letter"," ")</f>
        <v> </v>
      </c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58" t="str">
        <f aca="false">IF((G67&lt;&gt;0),"Enter Letter"," ")</f>
        <v> </v>
      </c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58" t="str">
        <f aca="false">IF((G68&lt;&gt;0),"Enter Letter"," ")</f>
        <v> </v>
      </c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58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58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58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58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58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58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58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58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58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58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58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58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58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58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58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58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58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58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58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58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58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58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58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58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58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58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58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58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58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58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58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58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58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58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58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58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58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58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58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58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58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58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58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58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58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58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58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58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58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58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58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58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58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58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58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58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58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58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58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58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58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58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58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58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58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58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58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58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58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58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58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58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58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58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58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58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58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58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58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58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58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58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58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58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58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58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58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58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58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58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58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58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58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58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58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58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58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58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58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58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58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58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58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58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58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58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58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58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58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58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58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58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58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58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58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58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58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58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58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58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58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58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58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58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58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58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58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58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58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58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58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58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58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58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58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58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58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58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58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58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58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58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58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58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58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58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58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58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58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58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58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58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58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58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58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58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58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58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58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58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58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58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58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58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58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58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58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58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58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58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58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58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58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58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58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58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58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58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58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58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58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58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58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58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58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58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58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58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58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58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58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58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58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58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58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58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58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58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58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58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58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58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58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58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58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58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58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58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58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58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58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58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58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58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58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58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58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58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58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58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58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58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58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58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58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58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58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58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58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58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58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480</v>
      </c>
      <c r="H1" s="13" t="n">
        <f aca="false">SUM(H5:H200)</f>
        <v>0</v>
      </c>
      <c r="I1" s="13" t="n">
        <f aca="false">SUM(I2:I200)</f>
        <v>480</v>
      </c>
      <c r="J1" s="15"/>
      <c r="K1" s="16" t="s">
        <v>4</v>
      </c>
      <c r="L1" s="17" t="n">
        <f aca="false">SUM(L5:L300)</f>
        <v>0</v>
      </c>
      <c r="M1" s="17" t="n">
        <f aca="false">SUM(M5:M200)</f>
        <v>480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480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14</v>
      </c>
      <c r="C2" s="43" t="n">
        <f aca="false">Dec!C2+D1+[1]Jan!$D$1</f>
        <v>0</v>
      </c>
      <c r="D2" s="45" t="s">
        <v>15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AB1+Dec!AB2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46037</v>
      </c>
      <c r="B5" s="5" t="s">
        <v>57</v>
      </c>
      <c r="F5" s="5" t="s">
        <v>58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76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n">
        <f aca="false">IF((F5="m"),I5," ")</f>
        <v>480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600</v>
      </c>
      <c r="H1" s="13" t="n">
        <f aca="false">SUM(H5:H200)</f>
        <v>0</v>
      </c>
      <c r="I1" s="13" t="n">
        <f aca="false">SUM(I2:I200)</f>
        <v>600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600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600</v>
      </c>
      <c r="U1" s="13" t="n">
        <f aca="false">SUM(U5:U300)</f>
        <v>0</v>
      </c>
      <c r="V1" s="13" t="n">
        <f aca="false">SUM(V5:V300)</f>
        <v>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14</v>
      </c>
      <c r="C2" s="43" t="n">
        <f aca="false">Jan!C2+D1+[1]Feb!$D$1</f>
        <v>0</v>
      </c>
      <c r="D2" s="45" t="s">
        <v>15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AB1+Jan!AB2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46054</v>
      </c>
      <c r="B5" s="5" t="s">
        <v>52</v>
      </c>
      <c r="F5" s="5" t="s">
        <v>53</v>
      </c>
      <c r="G5" s="29" t="n">
        <v>600</v>
      </c>
      <c r="I5" s="6" t="n">
        <f aca="false">IF((G5&lt;&gt;0),G5-H5," ")</f>
        <v>600</v>
      </c>
      <c r="K5" s="6"/>
      <c r="L5" s="6"/>
      <c r="M5" s="7" t="n">
        <f aca="false">IF(G5&lt;&gt;0,G5-L5," ")</f>
        <v>600</v>
      </c>
      <c r="N5" s="8" t="n">
        <f aca="false">IF((G5-L5)&lt;&gt;0,N$1-A5," ")</f>
        <v>59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600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/>
      <c r="F6" s="2"/>
      <c r="G6" s="29"/>
      <c r="H6" s="6" t="str">
        <f aca="false">IF(G6&lt;&gt;0,G6*H$2/(100+H$2)," ")</f>
        <v> </v>
      </c>
      <c r="I6" s="6" t="str">
        <f aca="false">IF((G6&lt;&gt;0),G6-H6," ")</f>
        <v> </v>
      </c>
      <c r="J6" s="5"/>
      <c r="M6" s="7" t="str">
        <f aca="false">IF(G6&lt;&gt;0,G6-L6," ")</f>
        <v> </v>
      </c>
      <c r="N6" s="8" t="str">
        <f aca="false">IF((G6-L6)&lt;&gt;0,N$1-A6," ")</f>
        <v> 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str">
        <f aca="false">IF((F6="g"),I6," ")</f>
        <v> 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H7" s="6" t="str">
        <f aca="false">IF(G7&lt;&gt;0,G7*H$2/(100+H$2)," ")</f>
        <v> </v>
      </c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H8" s="6" t="str">
        <f aca="false">IF(G8&lt;&gt;0,G8*H$2/(100+H$2)," ")</f>
        <v> </v>
      </c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H9" s="6" t="str">
        <f aca="false">IF(G9&lt;&gt;0,G9*H$2/(100+H$2)," ")</f>
        <v> </v>
      </c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H10" s="6" t="str">
        <f aca="false">IF(G10&lt;&gt;0,G10*H$2/(100+H$2)," ")</f>
        <v> </v>
      </c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H11" s="6" t="str">
        <f aca="false">IF(G11&lt;&gt;0,G11*H$2/(100+H$2)," ")</f>
        <v> </v>
      </c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H12" s="6" t="str">
        <f aca="false">IF(G12&lt;&gt;0,G12*H$2/(100+H$2)," ")</f>
        <v> </v>
      </c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H13" s="6" t="str">
        <f aca="false">IF(G13&lt;&gt;0,G13*H$2/(100+H$2)," ")</f>
        <v> </v>
      </c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H14" s="6" t="str">
        <f aca="false">IF(G14&lt;&gt;0,G14*H$2/(100+H$2)," ")</f>
        <v> </v>
      </c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H15" s="6" t="str">
        <f aca="false">IF(G15&lt;&gt;0,G15*H$2/(100+H$2)," ")</f>
        <v> </v>
      </c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H16" s="6" t="str">
        <f aca="false">IF(G16&lt;&gt;0,G16*H$2/(100+H$2)," ")</f>
        <v> </v>
      </c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H17" s="6" t="str">
        <f aca="false">IF(G17&lt;&gt;0,G17*H$2/(100+H$2)," ")</f>
        <v> </v>
      </c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H18" s="6" t="str">
        <f aca="false">IF(G18&lt;&gt;0,G18*H$2/(100+H$2)," ")</f>
        <v> </v>
      </c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H19" s="6" t="str">
        <f aca="false">IF(G19&lt;&gt;0,G19*H$2/(100+H$2)," ")</f>
        <v> </v>
      </c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H20" s="6" t="str">
        <f aca="false">IF(G20&lt;&gt;0,G20*H$2/(100+H$2)," ")</f>
        <v> </v>
      </c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H21" s="6" t="str">
        <f aca="false">IF(G21&lt;&gt;0,G21*H$2/(100+H$2)," ")</f>
        <v> </v>
      </c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H22" s="6" t="str">
        <f aca="false">IF(G22&lt;&gt;0,G22*H$2/(100+H$2)," ")</f>
        <v> </v>
      </c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H23" s="6" t="str">
        <f aca="false">IF(G23&lt;&gt;0,G23*H$2/(100+H$2)," ")</f>
        <v> </v>
      </c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H24" s="6" t="str">
        <f aca="false">IF(G24&lt;&gt;0,G24*H$2/(100+H$2)," ")</f>
        <v> </v>
      </c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H25" s="6" t="str">
        <f aca="false">IF(G25&lt;&gt;0,G25*H$2/(100+H$2)," ")</f>
        <v> </v>
      </c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H26" s="6" t="str">
        <f aca="false">IF(G26&lt;&gt;0,G26*H$2/(100+H$2)," ")</f>
        <v> </v>
      </c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H27" s="6" t="str">
        <f aca="false">IF(G27&lt;&gt;0,G27*H$2/(100+H$2)," ")</f>
        <v> </v>
      </c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H28" s="6" t="str">
        <f aca="false">IF(G28&lt;&gt;0,G28*H$2/(100+H$2)," ")</f>
        <v> </v>
      </c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H29" s="6" t="str">
        <f aca="false">IF(G29&lt;&gt;0,G29*H$2/(100+H$2)," ")</f>
        <v> </v>
      </c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H30" s="6" t="str">
        <f aca="false">IF(G30&lt;&gt;0,G30*H$2/(100+H$2)," ")</f>
        <v> </v>
      </c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H31" s="6" t="str">
        <f aca="false">IF(G31&lt;&gt;0,G31*H$2/(100+H$2)," ")</f>
        <v> </v>
      </c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H32" s="6" t="str">
        <f aca="false">IF(G32&lt;&gt;0,G32*H$2/(100+H$2)," ")</f>
        <v> </v>
      </c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H33" s="6" t="str">
        <f aca="false">IF(G33&lt;&gt;0,G33*H$2/(100+H$2)," ")</f>
        <v> </v>
      </c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H34" s="6" t="str">
        <f aca="false">IF(G34&lt;&gt;0,G34*H$2/(100+H$2)," ")</f>
        <v> </v>
      </c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H35" s="6" t="str">
        <f aca="false">IF(G35&lt;&gt;0,G35*H$2/(100+H$2)," ")</f>
        <v> </v>
      </c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13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900</v>
      </c>
      <c r="H1" s="13" t="n">
        <f aca="false">SUM(H5:H200)</f>
        <v>0</v>
      </c>
      <c r="I1" s="13" t="n">
        <f aca="false">SUM(I2:I200)</f>
        <v>900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900</v>
      </c>
      <c r="N1" s="18" t="n">
        <f aca="true">TODAY()</f>
        <v>46113</v>
      </c>
      <c r="O1" s="15"/>
      <c r="P1" s="13" t="n">
        <f aca="false">SUM(P5:P300)</f>
        <v>0</v>
      </c>
      <c r="Q1" s="13" t="n">
        <f aca="false">SUM(Q5:Q300)</f>
        <v>0</v>
      </c>
      <c r="R1" s="13" t="n">
        <f aca="false">SUM(R5:R300)</f>
        <v>0</v>
      </c>
      <c r="S1" s="13" t="n">
        <f aca="false">SUM(S5:S300)</f>
        <v>0</v>
      </c>
      <c r="T1" s="13" t="n">
        <f aca="false">SUM(T5:T300)</f>
        <v>0</v>
      </c>
      <c r="U1" s="13" t="n">
        <f aca="false">SUM(U5:U300)</f>
        <v>0</v>
      </c>
      <c r="V1" s="13" t="n">
        <f aca="false">SUM(V5:V300)</f>
        <v>420</v>
      </c>
      <c r="W1" s="13" t="n">
        <f aca="false">SUM(W2:W300)</f>
        <v>0</v>
      </c>
      <c r="X1" s="13" t="n">
        <f aca="false">SUM(X5:X300)</f>
        <v>0</v>
      </c>
      <c r="Y1" s="13" t="n">
        <f aca="false">SUM(Y5:Y300)</f>
        <v>0</v>
      </c>
      <c r="Z1" s="13" t="n">
        <f aca="false">SUM(Z5:Z300)</f>
        <v>480</v>
      </c>
      <c r="AA1" s="13" t="n">
        <f aca="false">SUM(AA5:AA300)</f>
        <v>0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14</v>
      </c>
      <c r="C2" s="43" t="n">
        <f aca="false">Feb!C2+D1+[1]Mar!$D$1</f>
        <v>0</v>
      </c>
      <c r="D2" s="45" t="s">
        <v>15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17</v>
      </c>
      <c r="Q2" s="10"/>
      <c r="R2" s="10"/>
      <c r="S2" s="10" t="s">
        <v>18</v>
      </c>
      <c r="T2" s="48" t="s">
        <v>19</v>
      </c>
      <c r="U2" s="10" t="s">
        <v>20</v>
      </c>
      <c r="V2" s="10" t="s">
        <v>21</v>
      </c>
      <c r="W2" s="49" t="n">
        <f aca="false">IF((F2="v"),I2," ")</f>
        <v>0</v>
      </c>
      <c r="X2" s="10" t="s">
        <v>22</v>
      </c>
      <c r="Y2" s="10" t="s">
        <v>23</v>
      </c>
      <c r="Z2" s="10" t="s">
        <v>24</v>
      </c>
      <c r="AA2" s="10" t="s">
        <v>25</v>
      </c>
      <c r="AB2" s="50" t="n">
        <f aca="false">AB1+Feb!AB2</f>
        <v>0</v>
      </c>
      <c r="AC2" s="41"/>
      <c r="AD2" s="10" t="s">
        <v>26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27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28</v>
      </c>
      <c r="Q3" s="20" t="s">
        <v>29</v>
      </c>
      <c r="R3" s="20" t="s">
        <v>30</v>
      </c>
      <c r="S3" s="10"/>
      <c r="T3" s="20" t="s">
        <v>31</v>
      </c>
      <c r="U3" s="10"/>
      <c r="V3" s="10"/>
      <c r="W3" s="50" t="s">
        <v>32</v>
      </c>
      <c r="X3" s="10"/>
      <c r="Y3" s="10"/>
      <c r="Z3" s="10"/>
      <c r="AA3" s="10"/>
      <c r="AB3" s="50" t="s">
        <v>33</v>
      </c>
      <c r="AC3" s="41"/>
      <c r="AD3" s="10" t="s">
        <v>34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35</v>
      </c>
      <c r="Q4" s="51" t="s">
        <v>36</v>
      </c>
      <c r="R4" s="51" t="s">
        <v>37</v>
      </c>
      <c r="S4" s="51" t="s">
        <v>38</v>
      </c>
      <c r="T4" s="51" t="s">
        <v>39</v>
      </c>
      <c r="U4" s="51" t="s">
        <v>40</v>
      </c>
      <c r="V4" s="51" t="s">
        <v>41</v>
      </c>
      <c r="W4" s="52" t="s">
        <v>42</v>
      </c>
      <c r="X4" s="51" t="s">
        <v>43</v>
      </c>
      <c r="Y4" s="51" t="s">
        <v>44</v>
      </c>
      <c r="Z4" s="51" t="s">
        <v>45</v>
      </c>
      <c r="AA4" s="51" t="s">
        <v>46</v>
      </c>
      <c r="AB4" s="51" t="s">
        <v>47</v>
      </c>
      <c r="AC4" s="41"/>
      <c r="AD4" s="10" t="s">
        <v>48</v>
      </c>
      <c r="AE4" s="10" t="s">
        <v>49</v>
      </c>
    </row>
    <row r="5" s="5" customFormat="true" ht="12" hidden="false" customHeight="false" outlineLevel="0" collapsed="false">
      <c r="A5" s="27" t="n">
        <v>46091</v>
      </c>
      <c r="B5" s="5" t="s">
        <v>54</v>
      </c>
      <c r="F5" s="5" t="s">
        <v>55</v>
      </c>
      <c r="G5" s="29" t="n">
        <v>480</v>
      </c>
      <c r="I5" s="6" t="n">
        <f aca="false">IF((G5&lt;&gt;0),G5-H5," ")</f>
        <v>480</v>
      </c>
      <c r="K5" s="6"/>
      <c r="L5" s="6"/>
      <c r="M5" s="7" t="n">
        <f aca="false">IF(G5&lt;&gt;0,G5-L5," ")</f>
        <v>480</v>
      </c>
      <c r="N5" s="8" t="n">
        <f aca="false">IF((G5-L5)&lt;&gt;0,N$1-A5," ")</f>
        <v>22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str">
        <f aca="false">IF((F5="p"),I5," ")</f>
        <v> 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n">
        <f aca="false">IF((F5="l"),I5," ")</f>
        <v>480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46101</v>
      </c>
      <c r="B6" s="2" t="s">
        <v>50</v>
      </c>
      <c r="F6" s="5" t="s">
        <v>51</v>
      </c>
      <c r="G6" s="29" t="n">
        <v>420</v>
      </c>
      <c r="I6" s="6" t="n">
        <f aca="false">IF((G6&lt;&gt;0),G6-H6," ")</f>
        <v>420</v>
      </c>
      <c r="J6" s="5"/>
      <c r="M6" s="7" t="n">
        <f aca="false">IF(G6&lt;&gt;0,G6-L6," ")</f>
        <v>420</v>
      </c>
      <c r="N6" s="8" t="n">
        <f aca="false">IF((G6-L6)&lt;&gt;0,N$1-A6," ")</f>
        <v>12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420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/>
      <c r="F7" s="2"/>
      <c r="G7" s="29"/>
      <c r="I7" s="6" t="str">
        <f aca="false">IF((G7&lt;&gt;0),G7-H7," ")</f>
        <v> </v>
      </c>
      <c r="J7" s="5"/>
      <c r="M7" s="7" t="str">
        <f aca="false">IF(G7&lt;&gt;0,G7-L7," ")</f>
        <v> </v>
      </c>
      <c r="N7" s="8" t="str">
        <f aca="false">IF((G7-L7)&lt;&gt;0,N$1-A7," ")</f>
        <v> 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str">
        <f aca="false">IF((F7="g"),I7," ")</f>
        <v> 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/>
      <c r="F8" s="2"/>
      <c r="G8" s="29"/>
      <c r="I8" s="6" t="str">
        <f aca="false">IF((G8&lt;&gt;0),G8-H8," ")</f>
        <v> </v>
      </c>
      <c r="J8" s="5"/>
      <c r="M8" s="7" t="str">
        <f aca="false">IF(G8&lt;&gt;0,G8-L8," ")</f>
        <v> </v>
      </c>
      <c r="N8" s="8" t="str">
        <f aca="false">IF((G8-L8)&lt;&gt;0,N$1-A8," ")</f>
        <v> 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str">
        <f aca="false">IF((F8="o"),I8," ")</f>
        <v> 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/>
      <c r="F9" s="2"/>
      <c r="G9" s="29"/>
      <c r="I9" s="6" t="str">
        <f aca="false">IF((G9&lt;&gt;0),G9-H9," ")</f>
        <v> </v>
      </c>
      <c r="J9" s="5"/>
      <c r="M9" s="7" t="str">
        <f aca="false">IF(G9&lt;&gt;0,G9-L9," ")</f>
        <v> </v>
      </c>
      <c r="N9" s="8" t="str">
        <f aca="false">IF((G9-L9)&lt;&gt;0,N$1-A9," ")</f>
        <v> 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/>
      <c r="F10" s="2"/>
      <c r="G10" s="29"/>
      <c r="I10" s="6" t="str">
        <f aca="false">IF((G10&lt;&gt;0),G10-H10," ")</f>
        <v> </v>
      </c>
      <c r="J10" s="5"/>
      <c r="M10" s="7" t="str">
        <f aca="false">IF(G10&lt;&gt;0,G10-L10," ")</f>
        <v> </v>
      </c>
      <c r="N10" s="8" t="str">
        <f aca="false">IF((G10-L10)&lt;&gt;0,N$1-A10," ")</f>
        <v> 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/>
      <c r="F11" s="2"/>
      <c r="G11" s="29"/>
      <c r="I11" s="6" t="str">
        <f aca="false">IF((G11&lt;&gt;0),G11-H11," ")</f>
        <v> </v>
      </c>
      <c r="J11" s="5"/>
      <c r="M11" s="7" t="str">
        <f aca="false">IF(G11&lt;&gt;0,G11-L11," ")</f>
        <v> </v>
      </c>
      <c r="N11" s="8" t="str">
        <f aca="false">IF((G11-L11)&lt;&gt;0,N$1-A11," ")</f>
        <v> 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/>
      <c r="F12" s="2"/>
      <c r="G12" s="29"/>
      <c r="I12" s="6" t="str">
        <f aca="false">IF((G12&lt;&gt;0),G12-H12," ")</f>
        <v> </v>
      </c>
      <c r="J12" s="5"/>
      <c r="M12" s="7" t="str">
        <f aca="false">IF(G12&lt;&gt;0,G12-L12," ")</f>
        <v> </v>
      </c>
      <c r="N12" s="8" t="str">
        <f aca="false">IF((G12-L12)&lt;&gt;0,N$1-A12," ")</f>
        <v> 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/>
      <c r="F13" s="2"/>
      <c r="G13" s="29"/>
      <c r="I13" s="6" t="str">
        <f aca="false">IF((G13&lt;&gt;0),G13-H13," ")</f>
        <v> </v>
      </c>
      <c r="J13" s="5"/>
      <c r="M13" s="7" t="str">
        <f aca="false">IF(G13&lt;&gt;0,G13-L13," ")</f>
        <v> </v>
      </c>
      <c r="N13" s="8" t="str">
        <f aca="false">IF((G13-L13)&lt;&gt;0,N$1-A13," ")</f>
        <v> 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str">
        <f aca="false">IF((F13="y"),I13," ")</f>
        <v> </v>
      </c>
      <c r="AB13" s="19" t="str">
        <f aca="false">IF((F13="fa"),I13," ")</f>
        <v> </v>
      </c>
    </row>
    <row r="14" customFormat="false" ht="12" hidden="false" customHeight="false" outlineLevel="0" collapsed="false">
      <c r="A14" s="27"/>
      <c r="F14" s="2"/>
      <c r="G14" s="29"/>
      <c r="I14" s="6" t="str">
        <f aca="false">IF((G14&lt;&gt;0),G14-H14," ")</f>
        <v> </v>
      </c>
      <c r="J14" s="5"/>
      <c r="M14" s="7" t="str">
        <f aca="false">IF(G14&lt;&gt;0,G14-L14," ")</f>
        <v> </v>
      </c>
      <c r="N14" s="8" t="str">
        <f aca="false">IF((G14-L14)&lt;&gt;0,N$1-A14," ")</f>
        <v> 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/>
      <c r="F15" s="2"/>
      <c r="G15" s="29"/>
      <c r="I15" s="6" t="str">
        <f aca="false">IF((G15&lt;&gt;0),G15-H15," ")</f>
        <v> </v>
      </c>
      <c r="J15" s="5"/>
      <c r="M15" s="7" t="str">
        <f aca="false">IF(G15&lt;&gt;0,G15-L15," ")</f>
        <v> </v>
      </c>
      <c r="N15" s="8" t="str">
        <f aca="false">IF((G15-L15)&lt;&gt;0,N$1-A15," ")</f>
        <v> 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/>
      <c r="F16" s="2"/>
      <c r="G16" s="29"/>
      <c r="I16" s="6" t="str">
        <f aca="false">IF((G16&lt;&gt;0),G16-H16," ")</f>
        <v> </v>
      </c>
      <c r="J16" s="5"/>
      <c r="M16" s="7" t="str">
        <f aca="false">IF(G16&lt;&gt;0,G16-L16," ")</f>
        <v> </v>
      </c>
      <c r="N16" s="8" t="str">
        <f aca="false">IF((G16-L16)&lt;&gt;0,N$1-A16," ")</f>
        <v> 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/>
      <c r="F17" s="2"/>
      <c r="G17" s="29"/>
      <c r="I17" s="6" t="str">
        <f aca="false">IF((G17&lt;&gt;0),G17-H17," ")</f>
        <v> </v>
      </c>
      <c r="J17" s="5"/>
      <c r="M17" s="7" t="str">
        <f aca="false">IF(G17&lt;&gt;0,G17-L17," ")</f>
        <v> </v>
      </c>
      <c r="N17" s="8" t="str">
        <f aca="false">IF((G17-L17)&lt;&gt;0,N$1-A17," ")</f>
        <v> 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/>
      <c r="F18" s="2"/>
      <c r="G18" s="29"/>
      <c r="I18" s="6" t="str">
        <f aca="false">IF((G18&lt;&gt;0),G18-H18," ")</f>
        <v> </v>
      </c>
      <c r="J18" s="5"/>
      <c r="M18" s="7" t="str">
        <f aca="false">IF(G18&lt;&gt;0,G18-L18," ")</f>
        <v> </v>
      </c>
      <c r="N18" s="8" t="str">
        <f aca="false">IF((G18-L18)&lt;&gt;0,N$1-A18," ")</f>
        <v> 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/>
      <c r="F19" s="2"/>
      <c r="G19" s="29"/>
      <c r="I19" s="6" t="str">
        <f aca="false">IF((G19&lt;&gt;0),G19-H19," ")</f>
        <v> </v>
      </c>
      <c r="J19" s="5"/>
      <c r="M19" s="7" t="str">
        <f aca="false">IF(G19&lt;&gt;0,G19-L19," ")</f>
        <v> </v>
      </c>
      <c r="N19" s="8" t="str">
        <f aca="false">IF((G19-L19)&lt;&gt;0,N$1-A19," ")</f>
        <v> 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/>
      <c r="F20" s="2"/>
      <c r="G20" s="29"/>
      <c r="I20" s="6" t="str">
        <f aca="false">IF((G20&lt;&gt;0),G20-H20," ")</f>
        <v> </v>
      </c>
      <c r="J20" s="5"/>
      <c r="M20" s="7" t="str">
        <f aca="false">IF(G20&lt;&gt;0,G20-L20," ")</f>
        <v> </v>
      </c>
      <c r="N20" s="8" t="str">
        <f aca="false">IF((G20-L20)&lt;&gt;0,N$1-A20," ")</f>
        <v> 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/>
      <c r="F21" s="2"/>
      <c r="G21" s="29"/>
      <c r="I21" s="6" t="str">
        <f aca="false">IF((G21&lt;&gt;0),G21-H21," ")</f>
        <v> </v>
      </c>
      <c r="J21" s="5"/>
      <c r="M21" s="7" t="str">
        <f aca="false">IF(G21&lt;&gt;0,G21-L21," ")</f>
        <v> </v>
      </c>
      <c r="N21" s="8" t="str">
        <f aca="false">IF((G21-L21)&lt;&gt;0,N$1-A21," ")</f>
        <v> 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/>
      <c r="F22" s="2"/>
      <c r="G22" s="29"/>
      <c r="I22" s="6" t="str">
        <f aca="false">IF((G22&lt;&gt;0),G22-H22," ")</f>
        <v> </v>
      </c>
      <c r="J22" s="5"/>
      <c r="M22" s="7" t="str">
        <f aca="false">IF(G22&lt;&gt;0,G22-L22," ")</f>
        <v> </v>
      </c>
      <c r="N22" s="8" t="str">
        <f aca="false">IF((G22-L22)&lt;&gt;0,N$1-A22," ")</f>
        <v> 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/>
      <c r="F23" s="2"/>
      <c r="G23" s="29"/>
      <c r="I23" s="6" t="str">
        <f aca="false">IF((G23&lt;&gt;0),G23-H23," ")</f>
        <v> </v>
      </c>
      <c r="J23" s="5"/>
      <c r="M23" s="7" t="str">
        <f aca="false">IF(G23&lt;&gt;0,G23-L23," ")</f>
        <v> </v>
      </c>
      <c r="N23" s="8" t="str">
        <f aca="false">IF((G23-L23)&lt;&gt;0,N$1-A23," ")</f>
        <v> 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/>
      <c r="F24" s="2"/>
      <c r="G24" s="29"/>
      <c r="I24" s="6" t="str">
        <f aca="false">IF((G24&lt;&gt;0),G24-H24," ")</f>
        <v> </v>
      </c>
      <c r="J24" s="5"/>
      <c r="M24" s="7" t="str">
        <f aca="false">IF(G24&lt;&gt;0,G24-L24," ")</f>
        <v> </v>
      </c>
      <c r="N24" s="8" t="str">
        <f aca="false">IF((G24-L24)&lt;&gt;0,N$1-A24," ")</f>
        <v> 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/>
      <c r="F25" s="2"/>
      <c r="G25" s="29"/>
      <c r="I25" s="6" t="str">
        <f aca="false">IF((G25&lt;&gt;0),G25-H25," ")</f>
        <v> </v>
      </c>
      <c r="J25" s="5"/>
      <c r="M25" s="7" t="str">
        <f aca="false">IF(G25&lt;&gt;0,G25-L25," ")</f>
        <v> </v>
      </c>
      <c r="N25" s="8" t="str">
        <f aca="false">IF((G25-L25)&lt;&gt;0,N$1-A25," ")</f>
        <v> 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/>
      <c r="F26" s="2"/>
      <c r="G26" s="29"/>
      <c r="I26" s="6" t="str">
        <f aca="false">IF((G26&lt;&gt;0),G26-H26," ")</f>
        <v> </v>
      </c>
      <c r="J26" s="5"/>
      <c r="M26" s="7" t="str">
        <f aca="false">IF(G26&lt;&gt;0,G26-L26," ")</f>
        <v> </v>
      </c>
      <c r="N26" s="8" t="str">
        <f aca="false">IF((G26-L26)&lt;&gt;0,N$1-A26," ")</f>
        <v> 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/>
      <c r="F27" s="2"/>
      <c r="G27" s="29"/>
      <c r="I27" s="6" t="str">
        <f aca="false">IF((G27&lt;&gt;0),G27-H27," ")</f>
        <v> </v>
      </c>
      <c r="J27" s="5"/>
      <c r="M27" s="7" t="str">
        <f aca="false">IF(G27&lt;&gt;0,G27-L27," ")</f>
        <v> </v>
      </c>
      <c r="N27" s="8" t="str">
        <f aca="false">IF((G27-L27)&lt;&gt;0,N$1-A27," ")</f>
        <v> 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/>
      <c r="F28" s="2"/>
      <c r="G28" s="29"/>
      <c r="I28" s="6" t="str">
        <f aca="false">IF((G28&lt;&gt;0),G28-H28," ")</f>
        <v> </v>
      </c>
      <c r="J28" s="5"/>
      <c r="M28" s="7" t="str">
        <f aca="false">IF(G28&lt;&gt;0,G28-L28," ")</f>
        <v> </v>
      </c>
      <c r="N28" s="8" t="str">
        <f aca="false">IF((G28-L28)&lt;&gt;0,N$1-A28," ")</f>
        <v> 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/>
      <c r="F29" s="2"/>
      <c r="G29" s="29"/>
      <c r="I29" s="6" t="str">
        <f aca="false">IF((G29&lt;&gt;0),G29-H29," ")</f>
        <v> </v>
      </c>
      <c r="J29" s="5"/>
      <c r="M29" s="7" t="str">
        <f aca="false">IF(G29&lt;&gt;0,G29-L29," ")</f>
        <v> </v>
      </c>
      <c r="N29" s="8" t="str">
        <f aca="false">IF((G29-L29)&lt;&gt;0,N$1-A29," ")</f>
        <v> 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/>
      <c r="F30" s="2"/>
      <c r="G30" s="29"/>
      <c r="I30" s="6" t="str">
        <f aca="false">IF((G30&lt;&gt;0),G30-H30," ")</f>
        <v> </v>
      </c>
      <c r="J30" s="5"/>
      <c r="M30" s="7" t="str">
        <f aca="false">IF(G30&lt;&gt;0,G30-L30," ")</f>
        <v> </v>
      </c>
      <c r="N30" s="8" t="str">
        <f aca="false">IF((G30-L30)&lt;&gt;0,N$1-A30," ")</f>
        <v> 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/>
      <c r="F31" s="2"/>
      <c r="G31" s="29"/>
      <c r="I31" s="6" t="str">
        <f aca="false">IF((G31&lt;&gt;0),G31-H31," ")</f>
        <v> </v>
      </c>
      <c r="J31" s="5"/>
      <c r="M31" s="7" t="str">
        <f aca="false">IF(G31&lt;&gt;0,G31-L31," ")</f>
        <v> </v>
      </c>
      <c r="N31" s="8" t="str">
        <f aca="false">IF((G31-L31)&lt;&gt;0,N$1-A31," ")</f>
        <v> 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/>
      <c r="F32" s="2"/>
      <c r="G32" s="29"/>
      <c r="I32" s="6" t="str">
        <f aca="false">IF((G32&lt;&gt;0),G32-H32," ")</f>
        <v> </v>
      </c>
      <c r="J32" s="5"/>
      <c r="M32" s="7" t="str">
        <f aca="false">IF(G32&lt;&gt;0,G32-L32," ")</f>
        <v> </v>
      </c>
      <c r="N32" s="8" t="str">
        <f aca="false">IF((G32-L32)&lt;&gt;0,N$1-A32," ")</f>
        <v> 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/>
      <c r="F33" s="2"/>
      <c r="G33" s="29"/>
      <c r="I33" s="6" t="str">
        <f aca="false">IF((G33&lt;&gt;0),G33-H33," ")</f>
        <v> </v>
      </c>
      <c r="J33" s="5"/>
      <c r="M33" s="7" t="str">
        <f aca="false">IF(G33&lt;&gt;0,G33-L33," ")</f>
        <v> </v>
      </c>
      <c r="N33" s="8" t="str">
        <f aca="false">IF((G33-L33)&lt;&gt;0,N$1-A33," ")</f>
        <v> 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/>
      <c r="F34" s="2"/>
      <c r="G34" s="29"/>
      <c r="I34" s="6" t="str">
        <f aca="false">IF((G34&lt;&gt;0),G34-H34," ")</f>
        <v> </v>
      </c>
      <c r="J34" s="5"/>
      <c r="M34" s="7" t="str">
        <f aca="false">IF(G34&lt;&gt;0,G34-L34," ")</f>
        <v> </v>
      </c>
      <c r="N34" s="8" t="str">
        <f aca="false">IF((G34-L34)&lt;&gt;0,N$1-A34," ")</f>
        <v> 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/>
      <c r="F35" s="2"/>
      <c r="G35" s="29"/>
      <c r="I35" s="6" t="str">
        <f aca="false">IF((G35&lt;&gt;0),G35-H35," ")</f>
        <v> </v>
      </c>
      <c r="J35" s="5"/>
      <c r="M35" s="7" t="str">
        <f aca="false">IF(G35&lt;&gt;0,G35-L35," ")</f>
        <v> </v>
      </c>
      <c r="N35" s="8" t="str">
        <f aca="false">IF((G35-L35)&lt;&gt;0,N$1-A35," ")</f>
        <v> 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0</v>
      </c>
      <c r="H1" s="13" t="n">
        <f aca="false">SUM(H5:H300)</f>
        <v>0</v>
      </c>
      <c r="I1" s="13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46113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C5" s="28"/>
      <c r="D5" s="4"/>
      <c r="E5" s="2"/>
      <c r="F5" s="2"/>
      <c r="G5" s="29"/>
      <c r="H5" s="6" t="str">
        <f aca="false">IF(G5&lt;&gt;0,G5*H$2/(100+H$2)," ")</f>
        <v> </v>
      </c>
      <c r="I5" s="6" t="str">
        <f aca="false">IF((G5&lt;&gt;0),G5-H5," ")</f>
        <v> </v>
      </c>
      <c r="K5" s="6"/>
      <c r="L5" s="6"/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" hidden="false" customHeight="false" outlineLevel="0" collapsed="false">
      <c r="A6" s="27"/>
      <c r="F6" s="2"/>
      <c r="H6" s="6" t="str">
        <f aca="false">IF(G6&lt;&gt;0,G6*H$2/(100+H$2)," ")</f>
        <v> </v>
      </c>
      <c r="I6" s="6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A7" s="27"/>
      <c r="F7" s="2"/>
      <c r="H7" s="6" t="str">
        <f aca="false">IF(G7&lt;&gt;0,G7*H$2/(100+H$2)," ")</f>
        <v> </v>
      </c>
      <c r="I7" s="6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A8" s="27"/>
      <c r="F8" s="2"/>
      <c r="H8" s="6" t="str">
        <f aca="false">IF(G8&lt;&gt;0,G8*H$2/(100+H$2)," ")</f>
        <v> </v>
      </c>
      <c r="I8" s="6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