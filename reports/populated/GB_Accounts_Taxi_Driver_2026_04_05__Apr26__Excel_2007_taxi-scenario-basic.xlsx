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<sst xmlns="http://schemas.openxmlformats.org/spreadsheetml/2006/main" count="1090" uniqueCount="327">
  <si>
    <t xml:space="preserve">Taxi Driver Accounts</t>
  </si>
  <si>
    <t xml:space="preserve">[Financialaccountsyearto050426.xlsx]</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</si>
  <si>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</si>
  <si>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</si>
  <si>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</si>
  <si>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</si>
  <si>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</si>
  <si>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</si>
  <si>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</si>
  <si>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</si>
  <si>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</si>
  <si>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</si>
  <si>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</si>
  <si>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</si>
  <si>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</si>
  <si>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</si>
  <si>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</si>
  <si>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</si>
  <si>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</si>
  <si>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</si>
  <si>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</si>
  <si>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</si>
  <si>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</si>
  <si>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</si>
  <si>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</si>
  <si>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</si>
  <si>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</si>
  <si>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</si>
  <si>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</si>
  <si>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</si>
  <si>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</si>
  <si>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</si>
  <si>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</si>
  <si>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</si>
  <si>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</si>
  <si>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</si>
  <si>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</si>
  <si>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</si>
  <si>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</si>
  <si>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</si>
  <si>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</si>
  <si>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</si>
  <si>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</si>
  <si>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</si>
  <si>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</si>
  <si>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</si>
  <si>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</si>
  <si>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</si>
  <si>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</si>
  <si>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</si>
  <si>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</si>
  <si>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</si>
  <si>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</si>
  <si>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</si>
  <si>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</si>
  <si>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</si>
  <si>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</si>
  <si>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</si>
  <si>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</si>
  <si>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</si>
  <si>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</si>
  <si>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</si>
  <si>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</si>
  <si>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</si>
  <si>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</si>
  <si>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</si>
  <si>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</si>
  <si>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</si>
  <si>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</si>
  <si>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</si>
  <si>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</si>
  <si>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</si>
  <si>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</si>
  <si>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</si>
  <si>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</si>
  <si>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</si>
  <si>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</si>
  <si>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</si>
  <si>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</si>
  <si>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</si>
  <si>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</si>
  <si>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</si>
  <si>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</si>
  <si>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</si>
  <si>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</si>
  <si>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</si>
  <si>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</si>
  <si>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</si>
  <si>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</si>
  <si>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</si>
  <si>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</si>
  <si>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</si>
  <si>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</si>
  <si>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</si>
  <si>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</si>
  <si>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</si>
  <si>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</si>
  <si>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</si>
  <si>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</si>
  <si>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</si>
  <si>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</si>
  <si>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</si>
  <si>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</si>
  <si>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</si>
  <si>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</si>
  <si>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</si>
  <si>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</si>
  <si>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</si>
  <si>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</si>
  <si>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</si>
  <si>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</si>
  <si>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</si>
  <si>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</si>
  <si>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</si>
  <si>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</si>
  <si>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</si>
  <si>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</si>
  <si>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</si>
  <si>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</si>
  <si>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</si>
  <si>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</si>
  <si>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</si>
  <si>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</si>
  <si>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</si>
  <si>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</si>
  <si>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</si>
  <si>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</si>
  <si>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</si>
  <si>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</si>
  <si>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</si>
  <si>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</si>
  <si>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</si>
  <si>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</si>
  <si>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</si>
  <si>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</si>
  <si>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</si>
  <si>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</si>
  <si>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</si>
  <si>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</si>
  <si>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</si>
  <si>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</si>
  <si>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</si>
  <si>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</si>
  <si>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</si>
  <si>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</si>
  <si>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</si>
  <si>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</si>
  <si>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</si>
  <si>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</si>
  <si>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</si>
  <si>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</si>
  <si>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</si>
  <si>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</si>
  <si>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</si>
  <si>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</si>
  <si>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</si>
  <si>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</si>
  <si>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</si>
  <si>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</si>
  <si>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</si>
  <si>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</si>
  <si>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</si>
  <si>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</si>
  <si>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</si>
  <si>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</si>
  <si>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</si>
  <si>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</si>
  <si>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</si>
  <si>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</si>
  <si>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</si>
  <si>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</si>
  <si>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</si>
  <si>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</si>
  <si>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</si>
  <si>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</si>
  <si>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</si>
  <si>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</si>
  <si>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</si>
  <si>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</si>
  <si>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</si>
  <si>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</si>
  <si>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</si>
  <si>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</si>
  <si>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</si>
  <si>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</si>
  <si>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</si>
  <si>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</si>
  <si>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</si>
  <si>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</si>
  <si>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</si>
  <si>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</si>
  <si>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</si>
  <si>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</si>
  <si>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</si>
  <si>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</si>
  <si>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</si>
  <si>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</si>
  <si>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</si>
  <si>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</si>
  <si>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</si>
  <si>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</si>
  <si>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</si>
  <si>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</si>
  <si>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</si>
  <si>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</si>
  <si>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</si>
  <si>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</si>
  <si>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</si>
  <si>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</si>
  <si>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</si>
  <si>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</si>
  <si>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</si>
  <si>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</si>
  <si>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</si>
  <si>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</si>
  <si>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</si>
  <si>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</si>
  <si>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</si>
  <si>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</si>
  <si>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</si>
  <si>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</si>
  <si>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</si>
  <si>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</si>
  <si>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</si>
  <si>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</si>
  <si>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</si>
  <si>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</si>
  <si>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</si>
  <si>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</si>
  <si>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</si>
  <si>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</si>
  <si>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</si>
  <si>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</si>
  <si>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</si>
  <si>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</si>
  <si>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</si>
  <si>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</si>
  <si>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</si>
  <si>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</si>
  <si>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</si>
  <si>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</si>
  <si>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</si>
  <si>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</si>
  <si>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</si>
  <si>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</si>
  <si>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</si>
  <si>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</si>
  <si>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</si>
  <si>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</si>
  <si>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</si>
  <si>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</si>
  <si>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</si>
  <si>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</si>
  <si>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</si>
  <si>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</si>
  <si>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</si>
  <si>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</si>
  <si>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</si>
  <si>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</si>
  <si>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</si>
  <si>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</si>
  <si>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</si>
  <si>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</si>
  <si>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</si>
  <si>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</si>
  <si>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</si>
  <si>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</si>
  <si>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</si>
  <si>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</si>
  <si>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</si>
  <si>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</si>
  <si>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</si>
  <si>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</si>
  <si>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</si>
  <si>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</si>
  <si>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</si>
  <si>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</si>
  <si>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</si>
  <si>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</si>
  <si>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</si>
  <si>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</si>
  <si>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</si>
  <si>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</si>
  <si>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</si>
  <si>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</si>
  <si>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</si>
  <si>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</si>
  <si>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</si>
  <si>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</si>
  <si>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</si>
  <si>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</si>
  <si>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</si>
  <si>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</si>
  <si>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</si>
  <si>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</si>
  <si>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</si>
  <si>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</si>
  <si>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</si>
  <si>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</si>
  <si>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</si>
  <si>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</si>
  <si>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</si>
  <si>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</si>
  <si>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</si>
  <si>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</si>
  <si>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</si>
  <si>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</si>
  <si>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</si>
  <si>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</si>
  <si>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</si>
  <si>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</si>
  <si>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</si>
  <si>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</si>
  <si>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</si>
  <si>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</si>
  <si>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</si>
  <si>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</si>
  <si>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</si>
  <si>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</si>
  <si>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</si>
  <si>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</si>
  <si>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</si>
  <si>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</si>
  <si>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</si>
  <si>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2025-26</t>
  </si>
  <si>
    <t xml:space="preserve">2026-27</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</si>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</sst>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t="s">
        <v>1</v>
      </c>
      <c r="C3" s="3"/>
      <c r="D3" s="3"/>
      <c r="E3" s="3"/>
    </row>
    <row r="4" s="4" customFormat="true" ht="54.75" hidden="false" customHeight="true" outlineLevel="0" collapsed="false">
      <c r="B4" s="5" t="s">
        <v>2</v>
      </c>
      <c r="C4" s="5"/>
      <c r="D4" s="5"/>
      <c r="E4" s="5"/>
    </row>
    <row r="5" customFormat="false" ht="15" hidden="false" customHeight="true" outlineLevel="0" collapsed="false">
      <c r="B5" s="3"/>
      <c r="C5" s="3"/>
      <c r="D5" s="3"/>
      <c r="E5" s="3"/>
    </row>
    <row r="6" customFormat="false" ht="12.75" hidden="false" customHeight="false" outlineLevel="0" collapsed="false">
      <c r="B6" s="6" t="s">
        <v>3</v>
      </c>
      <c r="C6" s="6" t="s">
        <v>4</v>
      </c>
      <c r="D6" s="6" t="s">
        <v>5</v>
      </c>
      <c r="E6" s="6" t="s">
        <v>6</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7</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8</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9</v>
      </c>
      <c r="D3" s="17"/>
      <c r="E3" s="17"/>
      <c r="F3" s="16"/>
      <c r="G3" s="16"/>
      <c r="H3" s="16"/>
      <c r="I3" s="16"/>
      <c r="J3" s="16"/>
      <c r="K3" s="16"/>
      <c r="L3" s="16"/>
      <c r="M3" s="16"/>
      <c r="N3" s="17" t="s">
        <v>10</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11</v>
      </c>
      <c r="D7" s="17"/>
      <c r="E7" s="17"/>
      <c r="F7" s="16"/>
      <c r="G7" s="16"/>
      <c r="H7" s="16"/>
      <c r="I7" s="16"/>
      <c r="J7" s="16"/>
      <c r="K7" s="16"/>
      <c r="L7" s="22" t="n">
        <v>4</v>
      </c>
      <c r="M7" s="16"/>
      <c r="N7" s="17" t="s">
        <v>12</v>
      </c>
      <c r="O7" s="17"/>
      <c r="P7" s="17"/>
      <c r="Q7" s="17"/>
      <c r="R7" s="23"/>
      <c r="S7" s="24"/>
      <c r="T7" s="24"/>
      <c r="U7" s="24"/>
      <c r="V7" s="17"/>
      <c r="W7" s="25"/>
    </row>
    <row r="8" customFormat="false" ht="15" hidden="false" customHeight="true" outlineLevel="0" collapsed="false">
      <c r="A8" s="26"/>
      <c r="B8" s="16"/>
      <c r="C8" s="19" t="s">
        <v>13</v>
      </c>
      <c r="D8" s="19"/>
      <c r="E8" s="19"/>
      <c r="F8" s="19"/>
      <c r="G8" s="19"/>
      <c r="H8" s="19"/>
      <c r="I8" s="19"/>
      <c r="J8" s="19"/>
      <c r="K8" s="16"/>
      <c r="L8" s="16"/>
      <c r="M8" s="16"/>
      <c r="N8" s="27" t="s">
        <v>14</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15</v>
      </c>
      <c r="O12" s="17"/>
      <c r="P12" s="17"/>
      <c r="Q12" s="17"/>
      <c r="R12" s="23"/>
      <c r="S12" s="31" t="n">
        <f aca="false">Admin!B4</f>
        <v>45753</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16</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17</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18</v>
      </c>
      <c r="O18" s="37"/>
      <c r="P18" s="17"/>
      <c r="Q18" s="17"/>
      <c r="R18" s="17"/>
      <c r="S18" s="31" t="n">
        <f aca="false">Admin!B17</f>
        <v>46117</v>
      </c>
      <c r="T18" s="31"/>
      <c r="U18" s="31"/>
      <c r="V18" s="31"/>
      <c r="W18" s="25"/>
    </row>
    <row r="19" customFormat="false" ht="12" hidden="false" customHeight="false" outlineLevel="0" collapsed="false">
      <c r="A19" s="22" t="n">
        <v>3</v>
      </c>
      <c r="B19" s="16"/>
      <c r="C19" s="17" t="s">
        <v>19</v>
      </c>
      <c r="D19" s="16"/>
      <c r="E19" s="16"/>
      <c r="F19" s="16"/>
      <c r="G19" s="16"/>
      <c r="H19" s="16"/>
      <c r="I19" s="16"/>
      <c r="J19" s="16"/>
      <c r="K19" s="16"/>
      <c r="L19" s="16"/>
      <c r="M19" s="17"/>
      <c r="N19" s="27" t="s">
        <v>20</v>
      </c>
      <c r="O19" s="28"/>
      <c r="P19" s="28"/>
      <c r="Q19" s="28"/>
      <c r="R19" s="16"/>
      <c r="S19" s="16"/>
      <c r="T19" s="16"/>
      <c r="U19" s="16"/>
      <c r="V19" s="16"/>
      <c r="W19" s="29"/>
    </row>
    <row r="20" customFormat="false" ht="12" hidden="false" customHeight="false" outlineLevel="0" collapsed="false">
      <c r="A20" s="26"/>
      <c r="B20" s="16"/>
      <c r="C20" s="17" t="s">
        <v>21</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22</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23</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24</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25</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46117</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26</v>
      </c>
      <c r="D27" s="16"/>
      <c r="E27" s="16"/>
      <c r="F27" s="16"/>
      <c r="G27" s="16"/>
      <c r="H27" s="16"/>
      <c r="I27" s="16"/>
      <c r="J27" s="16"/>
      <c r="K27" s="16"/>
      <c r="L27" s="22" t="n">
        <v>24</v>
      </c>
      <c r="M27" s="16"/>
      <c r="N27" s="40" t="s">
        <v>27</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28</v>
      </c>
      <c r="O28" s="17"/>
      <c r="P28" s="17"/>
      <c r="Q28" s="17"/>
      <c r="R28" s="17"/>
      <c r="S28" s="17"/>
      <c r="T28" s="17"/>
      <c r="U28" s="17"/>
      <c r="V28" s="17"/>
      <c r="W28" s="29"/>
    </row>
    <row r="29" customFormat="false" ht="15" hidden="false" customHeight="true" outlineLevel="0" collapsed="false">
      <c r="A29" s="16"/>
      <c r="B29" s="16"/>
      <c r="C29" s="41" t="s">
        <v>29</v>
      </c>
      <c r="D29" s="42"/>
      <c r="E29" s="42"/>
      <c r="F29" s="42"/>
      <c r="G29" s="43" t="s">
        <v>30</v>
      </c>
      <c r="H29" s="44" t="n">
        <v>0</v>
      </c>
      <c r="I29" s="44" t="n">
        <v>0</v>
      </c>
      <c r="J29" s="16"/>
      <c r="K29" s="16"/>
      <c r="L29" s="17"/>
      <c r="M29" s="16"/>
      <c r="N29" s="41" t="s">
        <v>29</v>
      </c>
      <c r="O29" s="42"/>
      <c r="P29" s="42"/>
      <c r="Q29" s="42"/>
      <c r="R29" s="43" t="s">
        <v>30</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31</v>
      </c>
      <c r="D31" s="46"/>
      <c r="E31" s="46"/>
      <c r="F31" s="46"/>
      <c r="G31" s="43"/>
      <c r="H31" s="47"/>
      <c r="I31" s="47"/>
      <c r="J31" s="28"/>
      <c r="K31" s="28"/>
      <c r="L31" s="28"/>
      <c r="M31" s="28"/>
      <c r="N31" s="27" t="s">
        <v>32</v>
      </c>
      <c r="O31" s="28"/>
      <c r="P31" s="28"/>
      <c r="Q31" s="28"/>
      <c r="R31" s="28"/>
      <c r="S31" s="28"/>
      <c r="T31" s="28"/>
      <c r="U31" s="28"/>
      <c r="V31" s="28"/>
      <c r="W31" s="48"/>
    </row>
    <row r="32" s="49" customFormat="true" ht="12" hidden="false" customHeight="true" outlineLevel="0" collapsed="false">
      <c r="A32" s="28"/>
      <c r="B32" s="28"/>
      <c r="C32" s="50" t="s">
        <v>33</v>
      </c>
      <c r="D32" s="46"/>
      <c r="E32" s="46"/>
      <c r="F32" s="46"/>
      <c r="G32" s="43"/>
      <c r="H32" s="47"/>
      <c r="I32" s="47"/>
      <c r="J32" s="28"/>
      <c r="K32" s="28"/>
      <c r="L32" s="28"/>
      <c r="M32" s="28"/>
      <c r="N32" s="50" t="s">
        <v>33</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29</v>
      </c>
      <c r="D34" s="51" t="n">
        <f aca="false">'SE Short'!O94</f>
        <v>0</v>
      </c>
      <c r="E34" s="51"/>
      <c r="F34" s="51"/>
      <c r="G34" s="43" t="s">
        <v>30</v>
      </c>
      <c r="H34" s="44" t="n">
        <v>0</v>
      </c>
      <c r="I34" s="44" t="n">
        <v>0</v>
      </c>
      <c r="J34" s="16"/>
      <c r="K34" s="16"/>
      <c r="L34" s="16"/>
      <c r="M34" s="16"/>
      <c r="N34" s="41" t="s">
        <v>29</v>
      </c>
      <c r="O34" s="51" t="n">
        <f aca="false">D29-D34+'SE Short'!O106</f>
        <v>0</v>
      </c>
      <c r="P34" s="51"/>
      <c r="Q34" s="51"/>
      <c r="R34" s="43" t="s">
        <v>30</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34</v>
      </c>
      <c r="B1" s="56"/>
      <c r="C1" s="56"/>
      <c r="D1" s="56"/>
      <c r="E1" s="56"/>
      <c r="F1" s="56"/>
      <c r="G1" s="57" t="s">
        <v>35</v>
      </c>
      <c r="H1" s="57"/>
      <c r="I1" s="57"/>
      <c r="J1" s="57"/>
      <c r="K1" s="57"/>
      <c r="L1" s="57"/>
      <c r="M1" s="57"/>
      <c r="N1" s="57"/>
      <c r="O1" s="58" t="s">
        <v>36</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37</v>
      </c>
      <c r="P2" s="59"/>
      <c r="Q2" s="60" t="n">
        <f aca="false">Admin!B4</f>
        <v>45753</v>
      </c>
      <c r="R2" s="60"/>
      <c r="S2" s="60"/>
      <c r="T2" s="60"/>
      <c r="U2" s="61" t="s">
        <v>38</v>
      </c>
      <c r="V2" s="60" t="n">
        <f aca="false">Admin!B17</f>
        <v>46117</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9</v>
      </c>
      <c r="D6" s="69"/>
      <c r="E6" s="69"/>
      <c r="F6" s="68"/>
      <c r="G6" s="68"/>
      <c r="H6" s="68"/>
      <c r="I6" s="68"/>
      <c r="J6" s="68"/>
      <c r="K6" s="68"/>
      <c r="L6" s="68"/>
      <c r="M6" s="68"/>
      <c r="N6" s="69" t="s">
        <v>10</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39</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11</v>
      </c>
      <c r="D12" s="69"/>
      <c r="E12" s="69"/>
      <c r="F12" s="68"/>
      <c r="G12" s="68"/>
      <c r="H12" s="68"/>
      <c r="I12" s="68"/>
      <c r="J12" s="68"/>
      <c r="K12" s="68"/>
      <c r="L12" s="82" t="n">
        <v>4</v>
      </c>
      <c r="M12" s="68"/>
      <c r="N12" s="69" t="s">
        <v>12</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14</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15</v>
      </c>
      <c r="O17" s="69"/>
      <c r="P17" s="69"/>
      <c r="Q17" s="69"/>
      <c r="R17" s="83"/>
      <c r="S17" s="91" t="n">
        <f aca="false">Admin!B4</f>
        <v>45753</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40</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17</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18</v>
      </c>
      <c r="O23" s="97"/>
      <c r="P23" s="69"/>
      <c r="Q23" s="69"/>
      <c r="R23" s="69"/>
      <c r="S23" s="91" t="n">
        <f aca="false">Admin!B17</f>
        <v>46117</v>
      </c>
      <c r="T23" s="91"/>
      <c r="U23" s="91"/>
      <c r="V23" s="91"/>
      <c r="W23" s="85"/>
    </row>
    <row r="24" customFormat="false" ht="12" hidden="false" customHeight="false" outlineLevel="0" collapsed="false">
      <c r="A24" s="82" t="n">
        <v>3</v>
      </c>
      <c r="B24" s="68"/>
      <c r="C24" s="69" t="s">
        <v>19</v>
      </c>
      <c r="D24" s="68"/>
      <c r="E24" s="68"/>
      <c r="F24" s="68"/>
      <c r="G24" s="68"/>
      <c r="H24" s="68"/>
      <c r="I24" s="68"/>
      <c r="J24" s="68"/>
      <c r="K24" s="68"/>
      <c r="L24" s="68"/>
      <c r="M24" s="69"/>
      <c r="N24" s="87" t="s">
        <v>20</v>
      </c>
      <c r="O24" s="88"/>
      <c r="P24" s="88"/>
      <c r="Q24" s="88"/>
      <c r="R24" s="68"/>
      <c r="S24" s="68"/>
      <c r="T24" s="68"/>
      <c r="U24" s="68"/>
      <c r="V24" s="68"/>
      <c r="W24" s="89"/>
    </row>
    <row r="25" customFormat="false" ht="12" hidden="false" customHeight="false" outlineLevel="0" collapsed="false">
      <c r="A25" s="86"/>
      <c r="B25" s="68"/>
      <c r="C25" s="69" t="s">
        <v>21</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22</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23</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24</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25</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46117</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£90000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41</v>
      </c>
      <c r="D35" s="69"/>
      <c r="E35" s="69"/>
      <c r="F35" s="69"/>
      <c r="G35" s="69"/>
      <c r="H35" s="69"/>
      <c r="I35" s="69"/>
      <c r="J35" s="69"/>
      <c r="K35" s="69"/>
      <c r="L35" s="82" t="n">
        <v>9</v>
      </c>
      <c r="M35" s="68"/>
      <c r="N35" s="69" t="s">
        <v>42</v>
      </c>
      <c r="O35" s="69"/>
      <c r="P35" s="69"/>
      <c r="Q35" s="69"/>
      <c r="R35" s="69"/>
      <c r="S35" s="69"/>
      <c r="T35" s="69"/>
      <c r="U35" s="69"/>
      <c r="V35" s="69"/>
      <c r="W35" s="85"/>
    </row>
    <row r="36" customFormat="false" ht="12" hidden="false" customHeight="false" outlineLevel="0" collapsed="false">
      <c r="A36" s="86"/>
      <c r="B36" s="68"/>
      <c r="C36" s="97" t="s">
        <v>43</v>
      </c>
      <c r="D36" s="68"/>
      <c r="E36" s="68"/>
      <c r="F36" s="68"/>
      <c r="G36" s="68"/>
      <c r="H36" s="68"/>
      <c r="I36" s="68"/>
      <c r="J36" s="68"/>
      <c r="K36" s="68"/>
      <c r="L36" s="68"/>
      <c r="M36" s="68"/>
      <c r="N36" s="97" t="s">
        <v>44</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29</v>
      </c>
      <c r="D38" s="104" t="n">
        <f aca="false">'Profit &amp; Loss Acc'!B5</f>
        <v>36000</v>
      </c>
      <c r="E38" s="104"/>
      <c r="F38" s="104"/>
      <c r="G38" s="105" t="s">
        <v>30</v>
      </c>
      <c r="H38" s="106" t="n">
        <v>0</v>
      </c>
      <c r="I38" s="106" t="n">
        <v>0</v>
      </c>
      <c r="J38" s="68"/>
      <c r="K38" s="68"/>
      <c r="L38" s="68"/>
      <c r="M38" s="68"/>
      <c r="N38" s="103" t="s">
        <v>29</v>
      </c>
      <c r="O38" s="104"/>
      <c r="P38" s="104"/>
      <c r="Q38" s="104"/>
      <c r="R38" s="105" t="s">
        <v>30</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45</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46</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47</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48</v>
      </c>
      <c r="D44" s="69"/>
      <c r="E44" s="69"/>
      <c r="F44" s="69"/>
      <c r="G44" s="69"/>
      <c r="H44" s="69"/>
      <c r="I44" s="69"/>
      <c r="J44" s="69"/>
      <c r="K44" s="69"/>
      <c r="L44" s="82" t="n">
        <v>15</v>
      </c>
      <c r="M44" s="68"/>
      <c r="N44" s="69" t="s">
        <v>49</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29</v>
      </c>
      <c r="D46" s="104" t="n">
        <f aca="false">IF(('Profit &amp; Loss Acc'!B5&lt;30000)," ",'Profit &amp; Loss Acc'!B12-'Profit &amp; Loss Acc'!B10)</f>
        <v>4980</v>
      </c>
      <c r="E46" s="104"/>
      <c r="F46" s="104"/>
      <c r="G46" s="105" t="s">
        <v>30</v>
      </c>
      <c r="H46" s="106" t="n">
        <v>0</v>
      </c>
      <c r="I46" s="106" t="n">
        <v>0</v>
      </c>
      <c r="J46" s="68"/>
      <c r="K46" s="68"/>
      <c r="L46" s="68"/>
      <c r="M46" s="68"/>
      <c r="N46" s="103" t="s">
        <v>29</v>
      </c>
      <c r="O46" s="104" t="n">
        <f aca="false">IF(('Profit &amp; Loss Acc'!B5&lt;30000)," ",'Profit &amp; Loss Acc'!B18)</f>
        <v>900</v>
      </c>
      <c r="P46" s="104"/>
      <c r="Q46" s="104"/>
      <c r="R46" s="105" t="s">
        <v>30</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50</v>
      </c>
      <c r="D48" s="69"/>
      <c r="E48" s="69"/>
      <c r="F48" s="69"/>
      <c r="G48" s="69"/>
      <c r="H48" s="69"/>
      <c r="I48" s="69"/>
      <c r="J48" s="69"/>
      <c r="K48" s="69"/>
      <c r="L48" s="82" t="n">
        <v>16</v>
      </c>
      <c r="M48" s="68"/>
      <c r="N48" s="69" t="s">
        <v>51</v>
      </c>
      <c r="O48" s="68"/>
      <c r="P48" s="68"/>
      <c r="Q48" s="68"/>
      <c r="R48" s="68"/>
      <c r="S48" s="68"/>
      <c r="T48" s="68"/>
      <c r="U48" s="68"/>
      <c r="V48" s="68"/>
      <c r="W48" s="89"/>
    </row>
    <row r="49" customFormat="false" ht="12.75" hidden="false" customHeight="true" outlineLevel="0" collapsed="false">
      <c r="A49" s="86"/>
      <c r="B49" s="68"/>
      <c r="C49" s="97" t="s">
        <v>52</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29</v>
      </c>
      <c r="D51" s="104"/>
      <c r="E51" s="104"/>
      <c r="F51" s="104"/>
      <c r="G51" s="105" t="s">
        <v>30</v>
      </c>
      <c r="H51" s="106" t="n">
        <v>0</v>
      </c>
      <c r="I51" s="106" t="n">
        <v>0</v>
      </c>
      <c r="J51" s="68"/>
      <c r="K51" s="68"/>
      <c r="L51" s="68"/>
      <c r="M51" s="68"/>
      <c r="N51" s="103" t="s">
        <v>29</v>
      </c>
      <c r="O51" s="104" t="n">
        <f aca="false">IF(('Profit &amp; Loss Acc'!B5&lt;30000)," ",'Profit &amp; Loss Acc'!B19+'Profit &amp; Loss Acc'!B20)</f>
        <v>0</v>
      </c>
      <c r="P51" s="104"/>
      <c r="Q51" s="104"/>
      <c r="R51" s="105" t="s">
        <v>30</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53</v>
      </c>
      <c r="D53" s="69"/>
      <c r="E53" s="69"/>
      <c r="F53" s="69"/>
      <c r="G53" s="69"/>
      <c r="H53" s="69"/>
      <c r="I53" s="69"/>
      <c r="J53" s="69"/>
      <c r="K53" s="69"/>
      <c r="L53" s="82" t="n">
        <v>17</v>
      </c>
      <c r="M53" s="68"/>
      <c r="N53" s="69" t="s">
        <v>54</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29</v>
      </c>
      <c r="D55" s="104" t="n">
        <f aca="false">IF(('Profit &amp; Loss Acc'!B5&lt;30000)," ",'Profit &amp; Loss Acc'!B14)</f>
        <v>0</v>
      </c>
      <c r="E55" s="104"/>
      <c r="F55" s="104"/>
      <c r="G55" s="105" t="s">
        <v>30</v>
      </c>
      <c r="H55" s="106" t="n">
        <v>0</v>
      </c>
      <c r="I55" s="106" t="n">
        <v>0</v>
      </c>
      <c r="J55" s="68"/>
      <c r="K55" s="68"/>
      <c r="L55" s="68"/>
      <c r="M55" s="68"/>
      <c r="N55" s="103" t="s">
        <v>29</v>
      </c>
      <c r="O55" s="104" t="n">
        <f aca="false">IF(('Profit &amp; Loss Acc'!B5&lt;30000)," ",'Profit &amp; Loss Acc'!B16)</f>
        <v>480</v>
      </c>
      <c r="P55" s="104"/>
      <c r="Q55" s="104"/>
      <c r="R55" s="105" t="s">
        <v>30</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55</v>
      </c>
      <c r="D57" s="69"/>
      <c r="E57" s="69"/>
      <c r="F57" s="69"/>
      <c r="G57" s="69"/>
      <c r="H57" s="69"/>
      <c r="I57" s="69"/>
      <c r="J57" s="69"/>
      <c r="K57" s="69"/>
      <c r="L57" s="82" t="n">
        <v>18</v>
      </c>
      <c r="M57" s="68"/>
      <c r="N57" s="69" t="s">
        <v>56</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57</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29</v>
      </c>
      <c r="D60" s="104" t="n">
        <f aca="false">IF(('Profit &amp; Loss Acc'!B5&lt;30000)," ",'Profit &amp; Loss Acc'!B15)</f>
        <v>0</v>
      </c>
      <c r="E60" s="104"/>
      <c r="F60" s="104"/>
      <c r="G60" s="105" t="s">
        <v>30</v>
      </c>
      <c r="H60" s="106" t="n">
        <v>0</v>
      </c>
      <c r="I60" s="106" t="n">
        <v>0</v>
      </c>
      <c r="J60" s="68"/>
      <c r="K60" s="68"/>
      <c r="L60" s="68"/>
      <c r="M60" s="68"/>
      <c r="N60" s="103" t="s">
        <v>29</v>
      </c>
      <c r="O60" s="104" t="n">
        <f aca="false">IF(('Profit &amp; Loss Acc'!B5&lt;30000)," ",'Profit &amp; Loss Acc'!B17+'Profit &amp; Loss Acc'!B21)</f>
        <v>0</v>
      </c>
      <c r="P60" s="104"/>
      <c r="Q60" s="104"/>
      <c r="R60" s="105" t="s">
        <v>30</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58</v>
      </c>
      <c r="D62" s="69"/>
      <c r="E62" s="69"/>
      <c r="F62" s="69"/>
      <c r="G62" s="69"/>
      <c r="H62" s="69"/>
      <c r="I62" s="69"/>
      <c r="J62" s="69"/>
      <c r="K62" s="69"/>
      <c r="L62" s="82" t="n">
        <v>19</v>
      </c>
      <c r="M62" s="68"/>
      <c r="N62" s="69" t="s">
        <v>59</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29</v>
      </c>
      <c r="D64" s="104"/>
      <c r="E64" s="104"/>
      <c r="F64" s="104"/>
      <c r="G64" s="105" t="s">
        <v>30</v>
      </c>
      <c r="H64" s="106" t="n">
        <v>0</v>
      </c>
      <c r="I64" s="106" t="n">
        <v>0</v>
      </c>
      <c r="J64" s="68"/>
      <c r="K64" s="68"/>
      <c r="L64" s="68"/>
      <c r="M64" s="68"/>
      <c r="N64" s="103" t="s">
        <v>29</v>
      </c>
      <c r="O64" s="104" t="n">
        <f aca="false">'Profit &amp; Loss Acc'!B12+'Profit &amp; Loss Acc'!B22-'Profit &amp; Loss Acc'!B10</f>
        <v>6360</v>
      </c>
      <c r="P64" s="104"/>
      <c r="Q64" s="104"/>
      <c r="R64" s="105" t="s">
        <v>30</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60</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61</v>
      </c>
      <c r="D68" s="69"/>
      <c r="E68" s="69"/>
      <c r="F68" s="69"/>
      <c r="G68" s="69"/>
      <c r="H68" s="69"/>
      <c r="I68" s="69"/>
      <c r="J68" s="69"/>
      <c r="K68" s="69"/>
      <c r="L68" s="82" t="n">
        <v>21</v>
      </c>
      <c r="M68" s="68"/>
      <c r="N68" s="69" t="s">
        <v>62</v>
      </c>
      <c r="O68" s="68"/>
      <c r="P68" s="68"/>
      <c r="Q68" s="68"/>
      <c r="R68" s="68"/>
      <c r="S68" s="68"/>
      <c r="T68" s="68"/>
      <c r="U68" s="68"/>
      <c r="V68" s="68"/>
      <c r="W68" s="89"/>
    </row>
    <row r="69" customFormat="false" ht="12" hidden="false" customHeight="false" outlineLevel="0" collapsed="false">
      <c r="A69" s="86"/>
      <c r="B69" s="68"/>
      <c r="C69" s="97" t="s">
        <v>63</v>
      </c>
      <c r="D69" s="69"/>
      <c r="E69" s="69"/>
      <c r="F69" s="69"/>
      <c r="G69" s="69"/>
      <c r="H69" s="69"/>
      <c r="I69" s="69"/>
      <c r="J69" s="69"/>
      <c r="K69" s="69"/>
      <c r="L69" s="68"/>
      <c r="M69" s="68"/>
      <c r="N69" s="97" t="s">
        <v>64</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29</v>
      </c>
      <c r="D71" s="104" t="n">
        <f aca="false">IF((D38+O38-O64)&gt;=0,D38+O38-O64,0)</f>
        <v>29640</v>
      </c>
      <c r="E71" s="104"/>
      <c r="F71" s="104"/>
      <c r="G71" s="105" t="s">
        <v>30</v>
      </c>
      <c r="H71" s="106" t="n">
        <v>0</v>
      </c>
      <c r="I71" s="106" t="n">
        <v>0</v>
      </c>
      <c r="J71" s="68"/>
      <c r="K71" s="68"/>
      <c r="L71" s="68"/>
      <c r="M71" s="68"/>
      <c r="N71" s="103" t="s">
        <v>29</v>
      </c>
      <c r="O71" s="104" t="n">
        <f aca="false">IF((D38+O38-O64)&lt;0,-D38-O38+O64,0)</f>
        <v>0</v>
      </c>
      <c r="P71" s="104"/>
      <c r="Q71" s="104"/>
      <c r="R71" s="105" t="s">
        <v>30</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65</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66</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67</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68</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69</v>
      </c>
      <c r="D78" s="69"/>
      <c r="E78" s="69"/>
      <c r="F78" s="69"/>
      <c r="G78" s="69"/>
      <c r="H78" s="69"/>
      <c r="I78" s="69"/>
      <c r="J78" s="69"/>
      <c r="K78" s="69"/>
      <c r="L78" s="82" t="n">
        <v>24</v>
      </c>
      <c r="M78" s="68"/>
      <c r="N78" s="69" t="s">
        <v>70</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29</v>
      </c>
      <c r="D80" s="104" t="n">
        <f aca="false">IF(('Fixed Assets'!I1)&gt;0,'Fixed Assets'!I1,0)</f>
        <v>0</v>
      </c>
      <c r="E80" s="104"/>
      <c r="F80" s="104"/>
      <c r="G80" s="105" t="s">
        <v>30</v>
      </c>
      <c r="H80" s="106" t="n">
        <v>0</v>
      </c>
      <c r="I80" s="106" t="n">
        <v>0</v>
      </c>
      <c r="J80" s="69"/>
      <c r="K80" s="69"/>
      <c r="L80" s="69"/>
      <c r="M80" s="68"/>
      <c r="N80" s="103" t="s">
        <v>29</v>
      </c>
      <c r="O80" s="104" t="n">
        <f aca="false">IF(('Fixed Assets'!J1+'Fixed Assets'!P1)&gt;0,'Fixed Assets'!J1+'Fixed Assets'!P1,0)</f>
        <v>0</v>
      </c>
      <c r="P80" s="104"/>
      <c r="Q80" s="104"/>
      <c r="R80" s="105" t="s">
        <v>30</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71</v>
      </c>
      <c r="D82" s="68"/>
      <c r="E82" s="68"/>
      <c r="F82" s="68"/>
      <c r="G82" s="68"/>
      <c r="H82" s="68"/>
      <c r="I82" s="68"/>
      <c r="J82" s="68"/>
      <c r="K82" s="68"/>
      <c r="L82" s="82" t="n">
        <v>25</v>
      </c>
      <c r="M82" s="68"/>
      <c r="N82" s="69" t="s">
        <v>72</v>
      </c>
      <c r="O82" s="68"/>
      <c r="P82" s="68"/>
      <c r="Q82" s="68"/>
      <c r="R82" s="68"/>
      <c r="S82" s="68"/>
      <c r="T82" s="68"/>
      <c r="U82" s="68"/>
      <c r="V82" s="68"/>
      <c r="W82" s="89"/>
    </row>
    <row r="83" customFormat="false" ht="11.25" hidden="false" customHeight="true" outlineLevel="0" collapsed="false">
      <c r="A83" s="86"/>
      <c r="B83" s="68"/>
      <c r="C83" s="69" t="s">
        <v>73</v>
      </c>
      <c r="D83" s="68"/>
      <c r="E83" s="68"/>
      <c r="F83" s="68"/>
      <c r="G83" s="68"/>
      <c r="H83" s="68"/>
      <c r="I83" s="68"/>
      <c r="J83" s="68"/>
      <c r="K83" s="68"/>
      <c r="L83" s="69"/>
      <c r="M83" s="68"/>
      <c r="N83" s="69" t="s">
        <v>74</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29</v>
      </c>
      <c r="D85" s="104" t="n">
        <f aca="false">IF(('Fixed Assets'!K1+'Fixed Assets'!J1)&lt;1000,'Fixed Assets'!K1,0)</f>
        <v>0</v>
      </c>
      <c r="E85" s="104"/>
      <c r="F85" s="104"/>
      <c r="G85" s="105" t="s">
        <v>30</v>
      </c>
      <c r="H85" s="106" t="n">
        <v>0</v>
      </c>
      <c r="I85" s="106" t="n">
        <v>0</v>
      </c>
      <c r="J85" s="69"/>
      <c r="K85" s="69"/>
      <c r="L85" s="68"/>
      <c r="M85" s="68"/>
      <c r="N85" s="103" t="s">
        <v>29</v>
      </c>
      <c r="O85" s="104" t="n">
        <f aca="false">IF('Fixed Assets'!Q1&gt;0,'Fixed Assets'!Q1,0)</f>
        <v>0</v>
      </c>
      <c r="P85" s="104"/>
      <c r="Q85" s="104"/>
      <c r="R85" s="105" t="s">
        <v>30</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75</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76</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77</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78</v>
      </c>
      <c r="D91" s="69"/>
      <c r="E91" s="69"/>
      <c r="F91" s="69"/>
      <c r="G91" s="69"/>
      <c r="H91" s="69"/>
      <c r="I91" s="69"/>
      <c r="J91" s="69"/>
      <c r="K91" s="69"/>
      <c r="L91" s="82" t="n">
        <v>28</v>
      </c>
      <c r="M91" s="68"/>
      <c r="N91" s="69" t="s">
        <v>79</v>
      </c>
      <c r="O91" s="68"/>
      <c r="P91" s="68"/>
      <c r="Q91" s="68"/>
      <c r="R91" s="68"/>
      <c r="S91" s="68"/>
      <c r="T91" s="68"/>
      <c r="U91" s="68"/>
      <c r="V91" s="68"/>
      <c r="W91" s="89"/>
    </row>
    <row r="92" customFormat="false" ht="12" hidden="false" customHeight="false" outlineLevel="0" collapsed="false">
      <c r="A92" s="69"/>
      <c r="B92" s="68"/>
      <c r="C92" s="97" t="s">
        <v>80</v>
      </c>
      <c r="D92" s="69"/>
      <c r="E92" s="69"/>
      <c r="F92" s="69"/>
      <c r="G92" s="69"/>
      <c r="H92" s="69"/>
      <c r="I92" s="69"/>
      <c r="J92" s="69"/>
      <c r="K92" s="69"/>
      <c r="L92" s="69"/>
      <c r="M92" s="68"/>
      <c r="N92" s="69" t="s">
        <v>81</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29</v>
      </c>
      <c r="D94" s="104" t="n">
        <f aca="false">'Business Details'!O29</f>
        <v>0</v>
      </c>
      <c r="E94" s="104"/>
      <c r="F94" s="104"/>
      <c r="G94" s="105" t="s">
        <v>30</v>
      </c>
      <c r="H94" s="106" t="n">
        <v>0</v>
      </c>
      <c r="I94" s="106" t="n">
        <v>0</v>
      </c>
      <c r="J94" s="68"/>
      <c r="K94" s="68"/>
      <c r="L94" s="68"/>
      <c r="M94" s="68"/>
      <c r="N94" s="103" t="s">
        <v>29</v>
      </c>
      <c r="O94" s="104" t="n">
        <f aca="false">IF(O106&gt;0,0,IF('Business Details'!D29=0,0,IF(D99&gt;'Business Details'!D29,'Business Details'!D29,D99)))</f>
        <v>0</v>
      </c>
      <c r="P94" s="104"/>
      <c r="Q94" s="104"/>
      <c r="R94" s="105" t="s">
        <v>30</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82</v>
      </c>
      <c r="D96" s="69"/>
      <c r="E96" s="69"/>
      <c r="F96" s="69"/>
      <c r="G96" s="69"/>
      <c r="H96" s="69"/>
      <c r="I96" s="69"/>
      <c r="J96" s="69"/>
      <c r="K96" s="69"/>
      <c r="L96" s="82" t="n">
        <v>29</v>
      </c>
      <c r="M96" s="68"/>
      <c r="N96" s="69" t="s">
        <v>83</v>
      </c>
      <c r="O96" s="68"/>
      <c r="P96" s="68"/>
      <c r="Q96" s="68"/>
      <c r="R96" s="68"/>
      <c r="S96" s="68"/>
      <c r="T96" s="68"/>
      <c r="U96" s="68"/>
      <c r="V96" s="68"/>
      <c r="W96" s="89"/>
    </row>
    <row r="97" customFormat="false" ht="12" hidden="false" customHeight="true" outlineLevel="0" collapsed="false">
      <c r="A97" s="113"/>
      <c r="B97" s="68"/>
      <c r="C97" s="69" t="s">
        <v>84</v>
      </c>
      <c r="D97" s="69"/>
      <c r="E97" s="69"/>
      <c r="F97" s="69"/>
      <c r="G97" s="69"/>
      <c r="H97" s="69"/>
      <c r="I97" s="69"/>
      <c r="J97" s="69"/>
      <c r="K97" s="69"/>
      <c r="L97" s="69"/>
      <c r="M97" s="68"/>
      <c r="N97" s="97" t="s">
        <v>85</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29</v>
      </c>
      <c r="D99" s="104" t="n">
        <f aca="false">IF((D71+O85+D94-O71-D80-D85-O80)&gt;0,D71+O85+D94-O71-D80-D85-O80,0)</f>
        <v>29640</v>
      </c>
      <c r="E99" s="104"/>
      <c r="F99" s="104"/>
      <c r="G99" s="105" t="s">
        <v>30</v>
      </c>
      <c r="H99" s="106" t="n">
        <v>0</v>
      </c>
      <c r="I99" s="106" t="n">
        <v>0</v>
      </c>
      <c r="J99" s="68"/>
      <c r="K99" s="68"/>
      <c r="L99" s="69"/>
      <c r="M99" s="68"/>
      <c r="N99" s="103" t="s">
        <v>29</v>
      </c>
      <c r="O99" s="104" t="n">
        <f aca="false">'Profit &amp; Loss Acc'!B24</f>
        <v>0</v>
      </c>
      <c r="P99" s="104"/>
      <c r="Q99" s="104"/>
      <c r="R99" s="105" t="s">
        <v>30</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86</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87</v>
      </c>
      <c r="D103" s="69"/>
      <c r="E103" s="69"/>
      <c r="F103" s="69"/>
      <c r="G103" s="69"/>
      <c r="H103" s="69"/>
      <c r="I103" s="69"/>
      <c r="J103" s="69"/>
      <c r="K103" s="69"/>
      <c r="L103" s="82" t="n">
        <v>31</v>
      </c>
      <c r="M103" s="68"/>
      <c r="N103" s="69" t="s">
        <v>88</v>
      </c>
      <c r="O103" s="68"/>
      <c r="P103" s="68"/>
      <c r="Q103" s="68"/>
      <c r="R103" s="68"/>
      <c r="S103" s="68"/>
      <c r="T103" s="68"/>
      <c r="U103" s="68"/>
      <c r="V103" s="68"/>
      <c r="W103" s="89"/>
    </row>
    <row r="104" customFormat="false" ht="12" hidden="false" customHeight="true" outlineLevel="0" collapsed="false">
      <c r="A104" s="86"/>
      <c r="B104" s="68"/>
      <c r="C104" s="87" t="s">
        <v>89</v>
      </c>
      <c r="D104" s="119"/>
      <c r="E104" s="119"/>
      <c r="F104" s="119"/>
      <c r="G104" s="105"/>
      <c r="H104" s="108"/>
      <c r="I104" s="108"/>
      <c r="J104" s="68"/>
      <c r="K104" s="68"/>
      <c r="L104" s="69"/>
      <c r="M104" s="68"/>
      <c r="N104" s="69" t="s">
        <v>90</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29</v>
      </c>
      <c r="D106" s="104" t="n">
        <f aca="false">IF((D99+O99-O94)&gt;0,D99+O99-O94,0)</f>
        <v>29640</v>
      </c>
      <c r="E106" s="104"/>
      <c r="F106" s="104"/>
      <c r="G106" s="105" t="s">
        <v>30</v>
      </c>
      <c r="H106" s="106" t="n">
        <v>0</v>
      </c>
      <c r="I106" s="106" t="n">
        <v>0</v>
      </c>
      <c r="J106" s="69"/>
      <c r="K106" s="69"/>
      <c r="L106" s="69"/>
      <c r="M106" s="68"/>
      <c r="N106" s="103" t="s">
        <v>29</v>
      </c>
      <c r="O106" s="104" t="n">
        <f aca="false">IF((O71+D80+D85+O80-D71-O85-D94)&gt;=0,O71+D80+D85+O80-D71-O85-D94,0)</f>
        <v>0</v>
      </c>
      <c r="P106" s="104"/>
      <c r="Q106" s="104"/>
      <c r="R106" s="105" t="s">
        <v>30</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91</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92</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93</v>
      </c>
      <c r="D111" s="69"/>
      <c r="E111" s="69"/>
      <c r="F111" s="69"/>
      <c r="G111" s="69"/>
      <c r="H111" s="69"/>
      <c r="I111" s="69"/>
      <c r="J111" s="69"/>
      <c r="K111" s="69"/>
      <c r="L111" s="82" t="n">
        <v>35</v>
      </c>
      <c r="M111" s="68"/>
      <c r="N111" s="69" t="s">
        <v>94</v>
      </c>
      <c r="O111" s="68"/>
      <c r="P111" s="68"/>
      <c r="Q111" s="68"/>
      <c r="R111" s="68"/>
      <c r="S111" s="68"/>
      <c r="T111" s="68"/>
      <c r="U111" s="68"/>
      <c r="V111" s="68"/>
      <c r="W111" s="89"/>
    </row>
    <row r="112" customFormat="false" ht="12" hidden="false" customHeight="false" outlineLevel="0" collapsed="false">
      <c r="A112" s="113"/>
      <c r="B112" s="68"/>
      <c r="C112" s="69" t="s">
        <v>95</v>
      </c>
      <c r="D112" s="121" t="str">
        <f aca="false">Admin!G$2</f>
        <v>2025-26</v>
      </c>
      <c r="E112" s="121"/>
      <c r="F112" s="121"/>
      <c r="G112" s="69"/>
      <c r="H112" s="69"/>
      <c r="I112" s="69"/>
      <c r="J112" s="69"/>
      <c r="K112" s="69"/>
      <c r="L112" s="69"/>
      <c r="M112" s="68"/>
      <c r="N112" s="69" t="s">
        <v>96</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29</v>
      </c>
      <c r="D114" s="104"/>
      <c r="E114" s="104"/>
      <c r="F114" s="104"/>
      <c r="G114" s="105" t="s">
        <v>30</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97</v>
      </c>
      <c r="D116" s="69"/>
      <c r="E116" s="69"/>
      <c r="F116" s="69"/>
      <c r="G116" s="69"/>
      <c r="H116" s="69"/>
      <c r="I116" s="69"/>
      <c r="J116" s="69"/>
      <c r="K116" s="69"/>
      <c r="L116" s="82" t="n">
        <v>36</v>
      </c>
      <c r="M116" s="68"/>
      <c r="N116" s="69" t="s">
        <v>98</v>
      </c>
      <c r="O116" s="68"/>
      <c r="P116" s="68"/>
      <c r="Q116" s="68"/>
      <c r="R116" s="121" t="str">
        <f aca="false">Admin!G$2</f>
        <v>2025-26</v>
      </c>
      <c r="S116" s="121"/>
      <c r="T116" s="121"/>
      <c r="U116" s="69" t="s">
        <v>99</v>
      </c>
      <c r="V116" s="68"/>
      <c r="W116" s="89"/>
    </row>
    <row r="117" customFormat="false" ht="12" hidden="false" customHeight="true" outlineLevel="0" collapsed="false">
      <c r="A117" s="113"/>
      <c r="B117" s="68"/>
      <c r="C117" s="69" t="s">
        <v>100</v>
      </c>
      <c r="D117" s="69"/>
      <c r="E117" s="69"/>
      <c r="F117" s="69"/>
      <c r="G117" s="69"/>
      <c r="H117" s="69"/>
      <c r="I117" s="69"/>
      <c r="J117" s="69"/>
      <c r="K117" s="69"/>
      <c r="L117" s="69"/>
      <c r="M117" s="68"/>
      <c r="N117" s="69" t="s">
        <v>101</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102</v>
      </c>
      <c r="O118" s="68"/>
      <c r="P118" s="68"/>
      <c r="Q118" s="68"/>
      <c r="R118" s="68"/>
      <c r="S118" s="68"/>
      <c r="T118" s="68"/>
      <c r="U118" s="68"/>
      <c r="V118" s="68"/>
      <c r="W118" s="89"/>
    </row>
    <row r="119" customFormat="false" ht="15" hidden="false" customHeight="false" outlineLevel="0" collapsed="false">
      <c r="A119" s="86"/>
      <c r="B119" s="68"/>
      <c r="C119" s="103" t="s">
        <v>29</v>
      </c>
      <c r="D119" s="104"/>
      <c r="E119" s="104"/>
      <c r="F119" s="104"/>
      <c r="G119" s="105" t="s">
        <v>30</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103</v>
      </c>
      <c r="D120" s="69"/>
      <c r="E120" s="69"/>
      <c r="F120" s="69"/>
      <c r="G120" s="69"/>
      <c r="H120" s="69"/>
      <c r="I120" s="69"/>
      <c r="J120" s="69"/>
      <c r="K120" s="69"/>
      <c r="L120" s="82" t="n">
        <v>37</v>
      </c>
      <c r="M120" s="68"/>
      <c r="N120" s="69" t="s">
        <v>104</v>
      </c>
      <c r="O120" s="68"/>
      <c r="P120" s="68"/>
      <c r="Q120" s="68"/>
      <c r="R120" s="68"/>
      <c r="S120" s="68"/>
      <c r="T120" s="68"/>
      <c r="U120" s="68"/>
      <c r="V120" s="68"/>
      <c r="W120" s="89"/>
    </row>
    <row r="121" customFormat="false" ht="12" hidden="false" customHeight="true" outlineLevel="0" collapsed="false">
      <c r="A121" s="113"/>
      <c r="B121" s="68"/>
      <c r="C121" s="97" t="s">
        <v>105</v>
      </c>
      <c r="D121" s="69"/>
      <c r="E121" s="69"/>
      <c r="F121" s="69"/>
      <c r="G121" s="69"/>
      <c r="H121" s="69"/>
      <c r="I121" s="69"/>
      <c r="J121" s="69"/>
      <c r="K121" s="69"/>
      <c r="L121" s="69"/>
      <c r="M121" s="68"/>
      <c r="N121" s="69" t="s">
        <v>106</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29</v>
      </c>
      <c r="D123" s="104" t="n">
        <f aca="false">'Business Details'!O34</f>
        <v>0</v>
      </c>
      <c r="E123" s="104"/>
      <c r="F123" s="104"/>
      <c r="G123" s="105" t="s">
        <v>30</v>
      </c>
      <c r="H123" s="106" t="n">
        <v>0</v>
      </c>
      <c r="I123" s="106" t="n">
        <v>0</v>
      </c>
      <c r="J123" s="68"/>
      <c r="K123" s="68"/>
      <c r="L123" s="69"/>
      <c r="M123" s="68"/>
      <c r="N123" s="103" t="s">
        <v>29</v>
      </c>
      <c r="O123" s="104" t="n">
        <v>0</v>
      </c>
      <c r="P123" s="104"/>
      <c r="Q123" s="104"/>
      <c r="R123" s="105" t="s">
        <v>30</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107</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108</v>
      </c>
      <c r="L1" s="129"/>
      <c r="M1" s="129"/>
      <c r="N1" s="129"/>
      <c r="O1" s="135"/>
      <c r="Q1" s="136"/>
      <c r="AA1" s="136"/>
    </row>
    <row r="2" s="141" customFormat="true" ht="12.75" hidden="false" customHeight="true" outlineLevel="0" collapsed="false">
      <c r="A2" s="137" t="s">
        <v>109</v>
      </c>
      <c r="B2" s="138" t="s">
        <v>110</v>
      </c>
      <c r="C2" s="139" t="n">
        <f aca="false">Admin!B$5</f>
        <v>45777</v>
      </c>
      <c r="D2" s="139" t="n">
        <f aca="false">Admin!B$6</f>
        <v>45808</v>
      </c>
      <c r="E2" s="139" t="n">
        <f aca="false">Admin!B$7</f>
        <v>45838</v>
      </c>
      <c r="F2" s="139" t="n">
        <f aca="false">Admin!B$8</f>
        <v>45869</v>
      </c>
      <c r="G2" s="139" t="n">
        <f aca="false">Admin!B$9</f>
        <v>45900</v>
      </c>
      <c r="H2" s="139" t="n">
        <f aca="false">Admin!B$10</f>
        <v>45930</v>
      </c>
      <c r="I2" s="139" t="n">
        <f aca="false">Admin!B$11</f>
        <v>45961</v>
      </c>
      <c r="J2" s="139" t="n">
        <f aca="false">Admin!B$12</f>
        <v>45991</v>
      </c>
      <c r="K2" s="139" t="n">
        <f aca="false">Admin!B$13</f>
        <v>46022</v>
      </c>
      <c r="L2" s="139" t="n">
        <f aca="false">Admin!B$14</f>
        <v>46053</v>
      </c>
      <c r="M2" s="139" t="n">
        <f aca="false">Admin!B$15</f>
        <v>46081</v>
      </c>
      <c r="N2" s="139" t="n">
        <f aca="false">Admin!B$16</f>
        <v>46112</v>
      </c>
      <c r="O2" s="140"/>
      <c r="Q2" s="128"/>
      <c r="AA2" s="128"/>
    </row>
    <row r="3" s="55" customFormat="true" ht="12.75" hidden="false" customHeight="false" outlineLevel="0" collapsed="false">
      <c r="A3" s="137"/>
      <c r="B3" s="142" t="str">
        <f aca="false">Admin!G$2</f>
        <v>2025-26</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111</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112</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113</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114</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115</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116</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117</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118</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119</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120</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121</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122</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123</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124</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125</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126</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127</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128</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129</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130</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131</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132</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133</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134</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135</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136</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137</v>
      </c>
      <c r="B32" s="175" t="n">
        <f aca="false">SUM(C32:N32)</f>
        <v>4438.2</v>
      </c>
      <c r="C32" s="172" t="n">
        <f aca="false">'Wages Forecast'!C$41/12</f>
        <v>369.85</v>
      </c>
      <c r="D32" s="172" t="n">
        <f aca="false">'Wages Forecast'!C$41/12</f>
        <v>369.85</v>
      </c>
      <c r="E32" s="172" t="n">
        <f aca="false">'Wages Forecast'!C$41/12</f>
        <v>369.85</v>
      </c>
      <c r="F32" s="172" t="n">
        <f aca="false">'Wages Forecast'!C$41/12</f>
        <v>369.85</v>
      </c>
      <c r="G32" s="172" t="n">
        <f aca="false">'Wages Forecast'!C$41/12</f>
        <v>369.85</v>
      </c>
      <c r="H32" s="172" t="n">
        <f aca="false">'Wages Forecast'!C$41/12</f>
        <v>369.85</v>
      </c>
      <c r="I32" s="172" t="n">
        <f aca="false">'Wages Forecast'!C$41/12</f>
        <v>369.85</v>
      </c>
      <c r="J32" s="172" t="n">
        <f aca="false">'Wages Forecast'!C$41/12</f>
        <v>369.85</v>
      </c>
      <c r="K32" s="172" t="n">
        <f aca="false">'Wages Forecast'!C$41/12</f>
        <v>369.85</v>
      </c>
      <c r="L32" s="172" t="n">
        <f aca="false">'Wages Forecast'!C$41/12</f>
        <v>369.85</v>
      </c>
      <c r="M32" s="172" t="n">
        <f aca="false">'Wages Forecast'!C$41/12</f>
        <v>369.85</v>
      </c>
      <c r="N32" s="172" t="n">
        <f aca="false">'Wages Forecast'!C$41/12</f>
        <v>369.85</v>
      </c>
      <c r="O32" s="173"/>
      <c r="Q32" s="128"/>
      <c r="AA32" s="128"/>
    </row>
    <row r="33" s="165" customFormat="true" ht="12.75" hidden="false" customHeight="false" outlineLevel="0" collapsed="false">
      <c r="A33" s="170" t="s">
        <v>138</v>
      </c>
      <c r="B33" s="171" t="n">
        <f aca="false">SUM(C33:N33)</f>
        <v>25201.8</v>
      </c>
      <c r="C33" s="177" t="n">
        <f aca="false">C27-SUM(C28:C31)-C32</f>
        <v>430.15</v>
      </c>
      <c r="D33" s="177" t="n">
        <f aca="false">D27-SUM(D28:D31)-D32</f>
        <v>2330.15</v>
      </c>
      <c r="E33" s="177" t="n">
        <f aca="false">E27-SUM(E28:E31)-E32</f>
        <v>2330.15</v>
      </c>
      <c r="F33" s="177" t="n">
        <f aca="false">F27-SUM(F28:F31)-F32</f>
        <v>2210.15</v>
      </c>
      <c r="G33" s="177" t="n">
        <f aca="false">G27-SUM(G28:G31)-G32</f>
        <v>2330.15</v>
      </c>
      <c r="H33" s="177" t="n">
        <f aca="false">H27-SUM(H28:H31)-H32</f>
        <v>2330.15</v>
      </c>
      <c r="I33" s="177" t="n">
        <f aca="false">I27-SUM(I28:I31)-I32</f>
        <v>2210.15</v>
      </c>
      <c r="J33" s="177" t="n">
        <f aca="false">J27-SUM(J28:J31)-J32</f>
        <v>2330.15</v>
      </c>
      <c r="K33" s="177" t="n">
        <f aca="false">K27-SUM(K28:K31)-K32</f>
        <v>2330.15</v>
      </c>
      <c r="L33" s="177" t="n">
        <f aca="false">L27-SUM(L28:L31)-L32</f>
        <v>1710.15</v>
      </c>
      <c r="M33" s="177" t="n">
        <f aca="false">M27-SUM(M28:M31)-M32</f>
        <v>2330.15</v>
      </c>
      <c r="N33" s="177" t="n">
        <f aca="false">N27-SUM(N28:N31)-N32</f>
        <v>2330.15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139</v>
      </c>
      <c r="C2" s="183" t="s">
        <v>140</v>
      </c>
      <c r="D2" s="183" t="s">
        <v>141</v>
      </c>
      <c r="E2" s="183" t="s">
        <v>142</v>
      </c>
      <c r="F2" s="183" t="s">
        <v>143</v>
      </c>
      <c r="G2" s="183" t="s">
        <v>144</v>
      </c>
      <c r="H2" s="183" t="s">
        <v>145</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146</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147</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148</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149</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150</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151</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152</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153</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154</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155</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156</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157</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158</v>
      </c>
      <c r="C20" s="185" t="n">
        <v>0</v>
      </c>
      <c r="D20" s="185" t="n">
        <v>0</v>
      </c>
      <c r="E20" s="185" t="n">
        <v>0</v>
      </c>
      <c r="F20" s="185" t="n">
        <v>0</v>
      </c>
      <c r="G20" s="185" t="n">
        <f aca="false">SUM(C20:F20)</f>
        <v>0</v>
      </c>
      <c r="H20" s="182" t="s">
        <v>159</v>
      </c>
      <c r="I20" s="182"/>
    </row>
    <row r="21" customFormat="false" ht="12.75" hidden="false" customHeight="false" outlineLevel="0" collapsed="false">
      <c r="A21" s="182"/>
      <c r="B21" s="182" t="s">
        <v>125</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160</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161</v>
      </c>
      <c r="C24" s="185" t="n">
        <v>0</v>
      </c>
      <c r="D24" s="185" t="n">
        <v>0</v>
      </c>
      <c r="E24" s="185" t="n">
        <v>0</v>
      </c>
      <c r="F24" s="185" t="n">
        <v>0</v>
      </c>
      <c r="G24" s="185" t="n">
        <f aca="false">SUM(C24:F24)</f>
        <v>0</v>
      </c>
      <c r="H24" s="182" t="s">
        <v>159</v>
      </c>
      <c r="I24" s="182"/>
    </row>
    <row r="25" customFormat="false" ht="12.75" hidden="false" customHeight="false" outlineLevel="0" collapsed="false">
      <c r="A25" s="182"/>
      <c r="B25" s="182" t="s">
        <v>162</v>
      </c>
      <c r="C25" s="185" t="n">
        <v>0</v>
      </c>
      <c r="D25" s="185" t="n">
        <v>0</v>
      </c>
      <c r="E25" s="185" t="n">
        <v>0</v>
      </c>
      <c r="F25" s="185" t="n">
        <v>0</v>
      </c>
      <c r="G25" s="185" t="n">
        <f aca="false">SUM(C25:F25)</f>
        <v>0</v>
      </c>
      <c r="H25" s="182" t="s">
        <v>159</v>
      </c>
      <c r="I25" s="182"/>
    </row>
    <row r="26" customFormat="false" ht="12.75" hidden="false" customHeight="false" outlineLevel="0" collapsed="false">
      <c r="A26" s="182"/>
      <c r="B26" s="182" t="s">
        <v>163</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164</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165</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148</v>
      </c>
      <c r="C36" s="185" t="n">
        <v>0</v>
      </c>
      <c r="D36" s="185" t="n">
        <v>0</v>
      </c>
      <c r="E36" s="185" t="n">
        <v>0</v>
      </c>
      <c r="F36" s="185" t="n">
        <v>0</v>
      </c>
      <c r="G36" s="185" t="n">
        <f aca="false">SUM(C36:F36)</f>
        <v>0</v>
      </c>
      <c r="H36" s="182" t="s">
        <v>159</v>
      </c>
      <c r="I36" s="182"/>
    </row>
    <row r="37" customFormat="false" ht="12.75" hidden="false" customHeight="false" outlineLevel="0" collapsed="false">
      <c r="A37" s="182"/>
      <c r="B37" s="182" t="s">
        <v>161</v>
      </c>
      <c r="C37" s="185" t="n">
        <v>0</v>
      </c>
      <c r="D37" s="185" t="n">
        <v>0</v>
      </c>
      <c r="E37" s="185" t="n">
        <v>0</v>
      </c>
      <c r="F37" s="185" t="n">
        <v>0</v>
      </c>
      <c r="G37" s="185" t="n">
        <f aca="false">SUM(C37:F37)</f>
        <v>0</v>
      </c>
      <c r="H37" s="182" t="s">
        <v>159</v>
      </c>
      <c r="I37" s="182"/>
    </row>
    <row r="38" customFormat="false" ht="12.75" hidden="false" customHeight="false" outlineLevel="0" collapsed="false">
      <c r="A38" s="182"/>
      <c r="B38" s="182" t="s">
        <v>150</v>
      </c>
      <c r="C38" s="185" t="n">
        <v>0</v>
      </c>
      <c r="D38" s="185" t="n">
        <v>0</v>
      </c>
      <c r="E38" s="185" t="n">
        <v>0</v>
      </c>
      <c r="F38" s="185" t="n">
        <v>0</v>
      </c>
      <c r="G38" s="185" t="n">
        <f aca="false">SUM(C38:F38)</f>
        <v>0</v>
      </c>
      <c r="H38" s="182" t="s">
        <v>159</v>
      </c>
      <c r="I38" s="182"/>
    </row>
    <row r="39" customFormat="false" ht="12.75" hidden="false" customHeight="false" outlineLevel="0" collapsed="false">
      <c r="A39" s="182"/>
      <c r="B39" s="182" t="s">
        <v>166</v>
      </c>
      <c r="C39" s="185" t="n">
        <v>0</v>
      </c>
      <c r="D39" s="185" t="n">
        <v>0</v>
      </c>
      <c r="E39" s="185" t="n">
        <v>0</v>
      </c>
      <c r="F39" s="185" t="n">
        <v>0</v>
      </c>
      <c r="G39" s="185" t="n">
        <f aca="false">SUM(C39:F39)</f>
        <v>0</v>
      </c>
      <c r="H39" s="182" t="s">
        <v>159</v>
      </c>
      <c r="I39" s="182"/>
    </row>
    <row r="40" customFormat="false" ht="12.75" hidden="false" customHeight="false" outlineLevel="0" collapsed="false">
      <c r="A40" s="182"/>
      <c r="B40" s="182" t="s">
        <v>151</v>
      </c>
      <c r="C40" s="185" t="n">
        <v>0</v>
      </c>
      <c r="D40" s="185" t="n">
        <v>0</v>
      </c>
      <c r="E40" s="185" t="n">
        <v>0</v>
      </c>
      <c r="F40" s="185" t="n">
        <v>0</v>
      </c>
      <c r="G40" s="185" t="n">
        <f aca="false">SUM(C40:F40)</f>
        <v>0</v>
      </c>
      <c r="H40" s="182" t="s">
        <v>159</v>
      </c>
      <c r="I40" s="182"/>
    </row>
    <row r="41" customFormat="false" ht="12.75" hidden="false" customHeight="false" outlineLevel="0" collapsed="false">
      <c r="A41" s="182"/>
      <c r="B41" s="182" t="s">
        <v>152</v>
      </c>
      <c r="C41" s="185" t="n">
        <v>0</v>
      </c>
      <c r="D41" s="185" t="n">
        <v>0</v>
      </c>
      <c r="E41" s="185" t="n">
        <v>0</v>
      </c>
      <c r="F41" s="185" t="n">
        <v>0</v>
      </c>
      <c r="G41" s="185" t="n">
        <f aca="false">SUM(C41:F41)</f>
        <v>0</v>
      </c>
      <c r="H41" s="182" t="s">
        <v>159</v>
      </c>
      <c r="I41" s="182"/>
    </row>
    <row r="42" customFormat="false" ht="12.75" hidden="false" customHeight="false" outlineLevel="0" collapsed="false">
      <c r="A42" s="182"/>
      <c r="B42" s="182" t="s">
        <v>153</v>
      </c>
      <c r="C42" s="185" t="n">
        <v>0</v>
      </c>
      <c r="D42" s="185" t="n">
        <v>0</v>
      </c>
      <c r="E42" s="185" t="n">
        <v>0</v>
      </c>
      <c r="F42" s="185" t="n">
        <v>0</v>
      </c>
      <c r="G42" s="185" t="n">
        <f aca="false">SUM(C42:F42)</f>
        <v>0</v>
      </c>
      <c r="H42" s="182" t="s">
        <v>159</v>
      </c>
      <c r="I42" s="182"/>
    </row>
    <row r="43" customFormat="false" ht="12.75" hidden="false" customHeight="false" outlineLevel="0" collapsed="false">
      <c r="A43" s="182"/>
      <c r="B43" s="182" t="s">
        <v>156</v>
      </c>
      <c r="C43" s="185" t="n">
        <v>0</v>
      </c>
      <c r="D43" s="185" t="n">
        <v>0</v>
      </c>
      <c r="E43" s="185" t="n">
        <v>0</v>
      </c>
      <c r="F43" s="185" t="n">
        <v>0</v>
      </c>
      <c r="G43" s="185" t="n">
        <f aca="false">SUM(C43:F43)</f>
        <v>0</v>
      </c>
      <c r="H43" s="182" t="s">
        <v>159</v>
      </c>
      <c r="I43" s="182"/>
    </row>
    <row r="44" customFormat="false" ht="12.75" hidden="false" customHeight="false" outlineLevel="0" collapsed="false">
      <c r="A44" s="182"/>
      <c r="B44" s="182" t="s">
        <v>162</v>
      </c>
      <c r="C44" s="185" t="n">
        <v>0</v>
      </c>
      <c r="D44" s="185" t="n">
        <v>0</v>
      </c>
      <c r="E44" s="185" t="n">
        <v>0</v>
      </c>
      <c r="F44" s="185" t="n">
        <v>0</v>
      </c>
      <c r="G44" s="185" t="n">
        <f aca="false">SUM(C44:F44)</f>
        <v>0</v>
      </c>
      <c r="H44" s="182" t="s">
        <v>159</v>
      </c>
      <c r="I44" s="182"/>
    </row>
    <row r="45" customFormat="false" ht="12.75" hidden="false" customHeight="false" outlineLevel="0" collapsed="false">
      <c r="A45" s="182"/>
      <c r="B45" s="182" t="s">
        <v>125</v>
      </c>
      <c r="C45" s="185" t="n">
        <v>0</v>
      </c>
      <c r="D45" s="185" t="n">
        <v>0</v>
      </c>
      <c r="E45" s="185" t="n">
        <v>0</v>
      </c>
      <c r="F45" s="185" t="n">
        <v>0</v>
      </c>
      <c r="G45" s="185" t="n">
        <f aca="false">SUM(C45:F45)</f>
        <v>0</v>
      </c>
      <c r="H45" s="182" t="s">
        <v>159</v>
      </c>
      <c r="I45" s="182"/>
    </row>
    <row r="46" customFormat="false" ht="12.75" hidden="false" customHeight="false" outlineLevel="0" collapsed="false">
      <c r="A46" s="182"/>
      <c r="B46" s="182" t="s">
        <v>167</v>
      </c>
      <c r="C46" s="185" t="n">
        <v>0</v>
      </c>
      <c r="D46" s="185" t="n">
        <v>0</v>
      </c>
      <c r="E46" s="185" t="n">
        <v>0</v>
      </c>
      <c r="F46" s="185" t="n">
        <v>0</v>
      </c>
      <c r="G46" s="185" t="n">
        <f aca="false">SUM(C46:F46)</f>
        <v>0</v>
      </c>
      <c r="H46" s="182" t="s">
        <v>159</v>
      </c>
      <c r="I46" s="182"/>
    </row>
    <row r="47" customFormat="false" ht="12.75" hidden="false" customHeight="false" outlineLevel="0" collapsed="false">
      <c r="A47" s="182"/>
      <c r="B47" s="182" t="s">
        <v>168</v>
      </c>
      <c r="C47" s="185" t="n">
        <v>0</v>
      </c>
      <c r="D47" s="185" t="n">
        <v>0</v>
      </c>
      <c r="E47" s="185" t="n">
        <v>0</v>
      </c>
      <c r="F47" s="185" t="n">
        <v>0</v>
      </c>
      <c r="G47" s="185" t="n">
        <f aca="false">SUM(C47:F47)</f>
        <v>0</v>
      </c>
      <c r="H47" s="182" t="s">
        <v>159</v>
      </c>
      <c r="I47" s="182"/>
    </row>
    <row r="48" customFormat="false" ht="12.75" hidden="false" customHeight="false" outlineLevel="0" collapsed="false">
      <c r="A48" s="182"/>
      <c r="B48" s="182" t="s">
        <v>157</v>
      </c>
      <c r="C48" s="185" t="n">
        <v>0</v>
      </c>
      <c r="D48" s="185" t="n">
        <v>0</v>
      </c>
      <c r="E48" s="185" t="n">
        <v>0</v>
      </c>
      <c r="F48" s="185" t="n">
        <v>0</v>
      </c>
      <c r="G48" s="185" t="n">
        <f aca="false">SUM(C48:F48)</f>
        <v>0</v>
      </c>
      <c r="H48" s="182" t="s">
        <v>159</v>
      </c>
      <c r="I48" s="182"/>
    </row>
    <row r="49" customFormat="false" ht="12.75" hidden="false" customHeight="false" outlineLevel="0" collapsed="false">
      <c r="A49" s="182"/>
      <c r="B49" s="182" t="s">
        <v>163</v>
      </c>
      <c r="C49" s="185" t="n">
        <v>0</v>
      </c>
      <c r="D49" s="185" t="n">
        <v>0</v>
      </c>
      <c r="E49" s="185" t="n">
        <v>0</v>
      </c>
      <c r="F49" s="185" t="n">
        <v>0</v>
      </c>
      <c r="G49" s="185" t="n">
        <f aca="false">SUM(C49:F49)</f>
        <v>0</v>
      </c>
      <c r="H49" s="182" t="s">
        <v>159</v>
      </c>
      <c r="I49" s="182"/>
    </row>
    <row r="50" customFormat="false" ht="12.75" hidden="false" customHeight="false" outlineLevel="0" collapsed="false">
      <c r="A50" s="182"/>
      <c r="B50" s="182" t="s">
        <v>160</v>
      </c>
      <c r="C50" s="185" t="n">
        <v>0</v>
      </c>
      <c r="D50" s="185" t="n">
        <v>0</v>
      </c>
      <c r="E50" s="185" t="n">
        <v>0</v>
      </c>
      <c r="F50" s="185" t="n">
        <v>0</v>
      </c>
      <c r="G50" s="185" t="n">
        <f aca="false">SUM(C50:F50)</f>
        <v>0</v>
      </c>
      <c r="H50" s="182" t="s">
        <v>159</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169</v>
      </c>
      <c r="B1" s="196" t="s">
        <v>170</v>
      </c>
      <c r="C1" s="197" t="n">
        <f aca="false">Admin!B17</f>
        <v>46117</v>
      </c>
      <c r="D1" s="198" t="n">
        <f aca="false">D33+D62</f>
        <v>0</v>
      </c>
      <c r="E1" s="199"/>
      <c r="F1" s="200" t="s">
        <v>171</v>
      </c>
      <c r="G1" s="201"/>
      <c r="H1" s="202" t="n">
        <f aca="false">H33+H62</f>
        <v>0</v>
      </c>
      <c r="I1" s="202" t="n">
        <f aca="false">I33+I62</f>
        <v>0</v>
      </c>
      <c r="J1" s="202" t="n">
        <f aca="false">J33+J62</f>
        <v>0</v>
      </c>
      <c r="K1" s="202" t="n">
        <f aca="false">K33+K62</f>
        <v>0</v>
      </c>
      <c r="L1" s="201"/>
      <c r="M1" s="203" t="s">
        <v>172</v>
      </c>
      <c r="N1" s="202" t="n">
        <f aca="false">N33+N62</f>
        <v>0</v>
      </c>
      <c r="O1" s="201"/>
      <c r="P1" s="202" t="n">
        <f aca="false">P33+P62</f>
        <v>0</v>
      </c>
      <c r="Q1" s="202" t="n">
        <f aca="false">Q33+Q62</f>
        <v>0</v>
      </c>
    </row>
    <row r="2" customFormat="false" ht="12" hidden="false" customHeight="true" outlineLevel="0" collapsed="false">
      <c r="A2" s="195"/>
      <c r="B2" s="205" t="s">
        <v>173</v>
      </c>
      <c r="C2" s="206" t="s">
        <v>174</v>
      </c>
      <c r="D2" s="207" t="s">
        <v>175</v>
      </c>
      <c r="E2" s="199"/>
      <c r="F2" s="200"/>
      <c r="G2" s="201"/>
      <c r="H2" s="207" t="s">
        <v>176</v>
      </c>
      <c r="I2" s="207" t="s">
        <v>69</v>
      </c>
      <c r="J2" s="207" t="s">
        <v>177</v>
      </c>
      <c r="K2" s="207" t="s">
        <v>176</v>
      </c>
      <c r="L2" s="201"/>
      <c r="M2" s="203"/>
      <c r="N2" s="207" t="s">
        <v>178</v>
      </c>
      <c r="O2" s="201"/>
      <c r="P2" s="207" t="s">
        <v>179</v>
      </c>
      <c r="Q2" s="207" t="s">
        <v>180</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45753</v>
      </c>
      <c r="I4" s="209" t="n">
        <f aca="false">Admin!G$4</f>
        <v>1</v>
      </c>
      <c r="J4" s="209" t="n">
        <f aca="false">Admin!G$5</f>
        <v>0.18</v>
      </c>
      <c r="K4" s="208" t="n">
        <f aca="false">Admin!B$17</f>
        <v>46117</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181</v>
      </c>
      <c r="B6" s="220"/>
      <c r="C6" s="220"/>
      <c r="D6" s="221" t="n">
        <f aca="false">Admin!B$4</f>
        <v>45753</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182</v>
      </c>
      <c r="B15" s="236"/>
      <c r="C15" s="237" t="n">
        <f aca="false">Admin!B$4</f>
        <v>45753</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183</v>
      </c>
      <c r="B17" s="236"/>
      <c r="C17" s="237" t="n">
        <f aca="false">Admin!B$4</f>
        <v>45753</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184</v>
      </c>
      <c r="B23" s="244"/>
      <c r="C23" s="245" t="n">
        <f aca="false">Admin!B$4</f>
        <v>45753</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185</v>
      </c>
      <c r="B25" s="236"/>
      <c r="C25" s="237" t="n">
        <f aca="false">Admin!B$4</f>
        <v>45753</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186</v>
      </c>
      <c r="B31" s="244"/>
      <c r="C31" s="245" t="n">
        <f aca="false">Admin!B$4</f>
        <v>45753</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187</v>
      </c>
      <c r="B33" s="247"/>
      <c r="C33" s="248" t="n">
        <f aca="false">Admin!B4</f>
        <v>45753</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188</v>
      </c>
      <c r="B35" s="255"/>
      <c r="C35" s="255"/>
      <c r="D35" s="256" t="n">
        <f aca="false">Admin!B$4</f>
        <v>45753</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189</v>
      </c>
      <c r="B44" s="261"/>
      <c r="C44" s="262" t="n">
        <f aca="false">Admin!B$4</f>
        <v>45753</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190</v>
      </c>
      <c r="B46" s="261"/>
      <c r="C46" s="262" t="n">
        <f aca="false">Admin!B$4</f>
        <v>45753</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191</v>
      </c>
      <c r="B52" s="265"/>
      <c r="C52" s="266" t="n">
        <f aca="false">Admin!B$4</f>
        <v>45753</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192</v>
      </c>
      <c r="B54" s="261"/>
      <c r="C54" s="262" t="n">
        <f aca="false">Admin!B$4</f>
        <v>45753</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193</v>
      </c>
      <c r="B60" s="265"/>
      <c r="C60" s="266" t="n">
        <f aca="false">Admin!B$4</f>
        <v>45753</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194</v>
      </c>
      <c r="B62" s="268"/>
      <c r="C62" s="269" t="str">
        <f aca="false">Admin!G$2</f>
        <v>2025-26</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195</v>
      </c>
      <c r="C2" s="278" t="str">
        <f aca="false">Admin!K$2</f>
        <v>2025-26</v>
      </c>
      <c r="D2" s="279" t="s">
        <v>196</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197</v>
      </c>
      <c r="C5" s="283"/>
      <c r="D5" s="283"/>
      <c r="E5" s="284" t="n">
        <f aca="false">'SE Short'!D106</f>
        <v>29640</v>
      </c>
      <c r="F5" s="276"/>
      <c r="G5" s="280"/>
      <c r="K5" s="285"/>
    </row>
    <row r="6" customFormat="false" ht="12.75" hidden="false" customHeight="false" outlineLevel="0" collapsed="false">
      <c r="A6" s="135"/>
      <c r="B6" s="144" t="s">
        <v>198</v>
      </c>
      <c r="C6" s="144" t="str">
        <f aca="false">C2</f>
        <v>2025-26</v>
      </c>
      <c r="D6" s="286"/>
      <c r="E6" s="280" t="n">
        <f aca="false">IF((E5&gt;0),Admin!N$4,0)</f>
        <v>12570</v>
      </c>
      <c r="F6" s="276"/>
      <c r="G6" s="280"/>
      <c r="K6" s="285"/>
    </row>
    <row r="7" customFormat="false" ht="12.75" hidden="false" customHeight="false" outlineLevel="0" collapsed="false">
      <c r="A7" s="135"/>
      <c r="B7" s="283" t="s">
        <v>199</v>
      </c>
      <c r="C7" s="283"/>
      <c r="D7" s="283"/>
      <c r="E7" s="284" t="n">
        <f aca="false">IF((E5&gt;E6),(E5-E6),0)</f>
        <v>17070</v>
      </c>
      <c r="F7" s="276"/>
      <c r="G7" s="280"/>
      <c r="K7" s="285"/>
    </row>
    <row r="8" customFormat="false" ht="12.75" hidden="false" customHeight="false" outlineLevel="0" collapsed="false">
      <c r="A8" s="135"/>
      <c r="B8" s="144" t="s">
        <v>200</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201</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202</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203</v>
      </c>
      <c r="C12" s="297" t="n">
        <f aca="false">Admin!B$21</f>
        <v>46418</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204</v>
      </c>
      <c r="C14" s="300"/>
      <c r="D14" s="287" t="n">
        <f aca="false">Admin!L$20</f>
        <v>0.06</v>
      </c>
      <c r="E14" s="301" t="n">
        <f aca="false">IF(E5&gt;Admin!N20,IF(E5&lt;Admin!N$23,(E5-Admin!N20)*D14,(Admin!N$23-Admin!N20)*D14),0)</f>
        <v>1024.2</v>
      </c>
      <c r="F14" s="276"/>
      <c r="G14" s="295"/>
      <c r="K14" s="285"/>
    </row>
    <row r="15" customFormat="false" ht="12.75" hidden="false" customHeight="false" outlineLevel="0" collapsed="false">
      <c r="A15" s="135"/>
      <c r="B15" s="300" t="s">
        <v>205</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206</v>
      </c>
      <c r="C17" s="302"/>
      <c r="D17" s="298"/>
      <c r="E17" s="292" t="n">
        <f aca="false">SUM(E10:E16)</f>
        <v>4438.2</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207</v>
      </c>
      <c r="C20" s="304"/>
      <c r="D20" s="305" t="s">
        <v>208</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209</v>
      </c>
      <c r="E22" s="308" t="s">
        <v>210</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211</v>
      </c>
      <c r="C24" s="311" t="str">
        <f aca="false">Admin!B$24</f>
        <v>2026-27</v>
      </c>
      <c r="D24" s="312" t="s">
        <v>212</v>
      </c>
      <c r="E24" s="301" t="n">
        <f aca="false">E17</f>
        <v>4438.2</v>
      </c>
      <c r="F24" s="276"/>
      <c r="G24" s="280"/>
    </row>
    <row r="25" customFormat="false" ht="12.75" hidden="false" customHeight="false" outlineLevel="0" collapsed="false">
      <c r="A25" s="135"/>
      <c r="B25" s="144" t="s">
        <v>213</v>
      </c>
      <c r="C25" s="144"/>
      <c r="D25" s="313" t="n">
        <f aca="false">Admin!B$21</f>
        <v>46418</v>
      </c>
      <c r="E25" s="284" t="n">
        <f aca="false">E24/2</f>
        <v>2219.1</v>
      </c>
      <c r="F25" s="276"/>
      <c r="G25" s="280"/>
    </row>
    <row r="26" customFormat="false" ht="12.75" hidden="false" customHeight="false" outlineLevel="0" collapsed="false">
      <c r="A26" s="135"/>
      <c r="B26" s="144" t="s">
        <v>213</v>
      </c>
      <c r="C26" s="144"/>
      <c r="D26" s="313" t="n">
        <f aca="false">Admin!B$22</f>
        <v>46599</v>
      </c>
      <c r="E26" s="284" t="n">
        <f aca="false">E24/2</f>
        <v>2219.1</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214</v>
      </c>
      <c r="C28" s="160"/>
      <c r="D28" s="298"/>
      <c r="E28" s="275"/>
      <c r="F28" s="276"/>
      <c r="G28" s="280"/>
    </row>
    <row r="29" customFormat="false" ht="12.75" hidden="false" customHeight="false" outlineLevel="0" collapsed="false">
      <c r="A29" s="135"/>
      <c r="B29" s="315" t="s">
        <v>215</v>
      </c>
      <c r="C29" s="315"/>
      <c r="D29" s="135"/>
      <c r="E29" s="316"/>
      <c r="F29" s="276"/>
      <c r="G29" s="317"/>
    </row>
    <row r="30" customFormat="false" ht="12.75" hidden="false" customHeight="false" outlineLevel="0" collapsed="false">
      <c r="A30" s="135"/>
      <c r="B30" s="318" t="s">
        <v>216</v>
      </c>
      <c r="C30" s="318"/>
      <c r="D30" s="319"/>
      <c r="E30" s="316"/>
      <c r="F30" s="276"/>
      <c r="G30" s="317"/>
    </row>
    <row r="31" customFormat="false" ht="12.75" hidden="false" customHeight="false" outlineLevel="0" collapsed="false">
      <c r="A31" s="135"/>
      <c r="B31" s="320" t="s">
        <v>217</v>
      </c>
      <c r="C31" s="318"/>
      <c r="D31" s="319"/>
      <c r="E31" s="316"/>
      <c r="F31" s="276"/>
      <c r="G31" s="317"/>
    </row>
    <row r="32" customFormat="false" ht="12.75" hidden="false" customHeight="false" outlineLevel="0" collapsed="false">
      <c r="A32" s="135"/>
      <c r="B32" s="160" t="s">
        <v>218</v>
      </c>
      <c r="C32" s="160"/>
      <c r="D32" s="319"/>
      <c r="E32" s="321"/>
      <c r="F32" s="276"/>
      <c r="G32" s="317"/>
    </row>
    <row r="33" customFormat="false" ht="12.75" hidden="false" customHeight="false" outlineLevel="0" collapsed="false">
      <c r="A33" s="135"/>
      <c r="B33" s="160" t="s">
        <v>219</v>
      </c>
      <c r="C33" s="160"/>
      <c r="D33" s="319"/>
      <c r="E33" s="321"/>
      <c r="F33" s="276"/>
      <c r="G33" s="317"/>
    </row>
    <row r="34" customFormat="false" ht="12.75" hidden="false" customHeight="false" outlineLevel="0" collapsed="false">
      <c r="A34" s="135"/>
      <c r="B34" s="160" t="s">
        <v>220</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221</v>
      </c>
      <c r="C2" s="324" t="s">
        <v>222</v>
      </c>
      <c r="D2" s="325" t="n">
        <f aca="false">Admin!B$5</f>
        <v>45777</v>
      </c>
      <c r="E2" s="326" t="n">
        <f aca="false">Admin!B$6</f>
        <v>45808</v>
      </c>
      <c r="F2" s="326" t="n">
        <f aca="false">Admin!B$7</f>
        <v>45838</v>
      </c>
      <c r="G2" s="326" t="n">
        <f aca="false">Admin!B$8</f>
        <v>45869</v>
      </c>
      <c r="H2" s="326" t="n">
        <f aca="false">Admin!B$9</f>
        <v>45900</v>
      </c>
      <c r="I2" s="326" t="n">
        <f aca="false">Admin!B$10</f>
        <v>45930</v>
      </c>
      <c r="J2" s="326" t="n">
        <f aca="false">Admin!B$11</f>
        <v>45961</v>
      </c>
      <c r="K2" s="326" t="n">
        <f aca="false">Admin!B$12</f>
        <v>45991</v>
      </c>
      <c r="L2" s="326" t="n">
        <f aca="false">Admin!B$13</f>
        <v>46022</v>
      </c>
      <c r="M2" s="326" t="n">
        <f aca="false">Admin!B$14</f>
        <v>46053</v>
      </c>
      <c r="N2" s="326" t="n">
        <f aca="false">Admin!B$15</f>
        <v>46081</v>
      </c>
      <c r="O2" s="326" t="n">
        <f aca="false">Admin!B$16</f>
        <v>46112</v>
      </c>
      <c r="P2" s="241"/>
    </row>
    <row r="3" customFormat="false" ht="12" hidden="false" customHeight="true" outlineLevel="0" collapsed="false">
      <c r="A3" s="241"/>
      <c r="B3" s="323"/>
      <c r="C3" s="327" t="n">
        <f aca="false">Admin!B$17</f>
        <v>46117</v>
      </c>
      <c r="D3" s="325"/>
      <c r="E3" s="326"/>
      <c r="F3" s="326"/>
      <c r="G3" s="326"/>
      <c r="H3" s="326"/>
      <c r="I3" s="326"/>
      <c r="J3" s="326"/>
      <c r="K3" s="326"/>
      <c r="L3" s="326"/>
      <c r="M3" s="326"/>
      <c r="N3" s="326"/>
      <c r="O3" s="326"/>
      <c r="P3" s="241"/>
    </row>
    <row r="4" customFormat="false" ht="12" hidden="false" customHeight="false" outlineLevel="0" collapsed="false">
      <c r="A4" s="241"/>
      <c r="B4" s="323"/>
      <c r="C4" s="328" t="s">
        <v>29</v>
      </c>
      <c r="D4" s="329" t="s">
        <v>29</v>
      </c>
      <c r="E4" s="329" t="s">
        <v>29</v>
      </c>
      <c r="F4" s="329" t="s">
        <v>29</v>
      </c>
      <c r="G4" s="329" t="s">
        <v>29</v>
      </c>
      <c r="H4" s="329" t="s">
        <v>29</v>
      </c>
      <c r="I4" s="329" t="s">
        <v>29</v>
      </c>
      <c r="J4" s="329" t="s">
        <v>29</v>
      </c>
      <c r="K4" s="329" t="s">
        <v>29</v>
      </c>
      <c r="L4" s="329" t="s">
        <v>29</v>
      </c>
      <c r="M4" s="329" t="s">
        <v>29</v>
      </c>
      <c r="N4" s="330" t="s">
        <v>29</v>
      </c>
      <c r="O4" s="329" t="s">
        <v>29</v>
      </c>
      <c r="P4" s="241"/>
    </row>
    <row r="5" s="204" customFormat="true" ht="12" hidden="false" customHeight="false" outlineLevel="0" collapsed="false">
      <c r="A5" s="263"/>
      <c r="B5" s="331" t="s">
        <v>111</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223</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118</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119</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224</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225</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226</v>
      </c>
      <c r="C17" s="324" t="s">
        <v>222</v>
      </c>
      <c r="D17" s="338" t="n">
        <f aca="false">D2</f>
        <v>45777</v>
      </c>
      <c r="E17" s="338" t="n">
        <f aca="false">E2</f>
        <v>45808</v>
      </c>
      <c r="F17" s="338" t="n">
        <f aca="false">F2</f>
        <v>45838</v>
      </c>
      <c r="G17" s="338" t="n">
        <f aca="false">G2</f>
        <v>45869</v>
      </c>
      <c r="H17" s="338" t="n">
        <f aca="false">H2</f>
        <v>45900</v>
      </c>
      <c r="I17" s="338" t="n">
        <f aca="false">I2</f>
        <v>45930</v>
      </c>
      <c r="J17" s="338" t="n">
        <f aca="false">J2</f>
        <v>45961</v>
      </c>
      <c r="K17" s="338" t="n">
        <f aca="false">K2</f>
        <v>45991</v>
      </c>
      <c r="L17" s="338" t="n">
        <f aca="false">L2</f>
        <v>46022</v>
      </c>
      <c r="M17" s="338" t="n">
        <f aca="false">M2</f>
        <v>46053</v>
      </c>
      <c r="N17" s="338" t="n">
        <f aca="false">N2</f>
        <v>46081</v>
      </c>
      <c r="O17" s="338" t="n">
        <f aca="false">O2</f>
        <v>46112</v>
      </c>
      <c r="P17" s="241"/>
    </row>
    <row r="18" customFormat="false" ht="12" hidden="false" customHeight="true" outlineLevel="0" collapsed="false">
      <c r="A18" s="241"/>
      <c r="B18" s="337"/>
      <c r="C18" s="327" t="n">
        <f aca="false">C3</f>
        <v>46117</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111</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223</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118</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119</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224</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225</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227</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228</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229</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230</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231</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232</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233</v>
      </c>
      <c r="C39" s="342" t="n">
        <f aca="false">IF((C36&gt;0),C36*Admin!L$20,0)</f>
        <v>1024.2</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234</v>
      </c>
      <c r="C41" s="344" t="n">
        <f aca="false">C37+C38+C39</f>
        <v>4438.2</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SUM(D4:D41)</f>
        <v>0</v>
      </c>
      <c r="E1" s="352" t="n">
        <f aca="false">SUM(E4:E41)/2</f>
        <v>3000</v>
      </c>
      <c r="F1" s="352" t="n">
        <f aca="false">SUM(F4:F41)/2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45753</v>
      </c>
      <c r="B5" s="359" t="n">
        <v>45753</v>
      </c>
      <c r="C5" s="360"/>
      <c r="D5" s="361"/>
      <c r="E5" s="362"/>
      <c r="F5" s="363"/>
    </row>
    <row r="6" customFormat="false" ht="12.75" hidden="false" customHeight="false" outlineLevel="0" collapsed="false">
      <c r="A6" s="364" t="n">
        <v>45753</v>
      </c>
      <c r="B6" s="347" t="s">
        <v>242</v>
      </c>
      <c r="F6" s="365"/>
    </row>
    <row r="7" customFormat="false" ht="12.75" hidden="false" customHeight="false" outlineLevel="0" collapsed="false">
      <c r="A7" s="364" t="n">
        <v>45753</v>
      </c>
      <c r="B7" s="347" t="s">
        <v>243</v>
      </c>
      <c r="F7" s="365"/>
    </row>
    <row r="8" customFormat="false" ht="12.75" hidden="false" customHeight="false" outlineLevel="0" collapsed="false">
      <c r="A8" s="366"/>
      <c r="B8" s="367"/>
      <c r="C8" s="368"/>
      <c r="D8" s="369"/>
      <c r="E8" s="370" t="n">
        <f aca="false">SUM(E5:E7)</f>
        <v>0</v>
      </c>
      <c r="F8" s="371" t="n">
        <f aca="false">SUM(F5:F7)</f>
        <v>0</v>
      </c>
    </row>
    <row r="10" customFormat="false" ht="12.75" hidden="false" customHeight="false" outlineLevel="0" collapsed="false">
      <c r="A10" s="358" t="n">
        <v>45754</v>
      </c>
      <c r="B10" s="359" t="n">
        <v>45754</v>
      </c>
      <c r="C10" s="360"/>
      <c r="D10" s="361"/>
      <c r="E10" s="362" t="n">
        <v>200</v>
      </c>
    </row>
    <row r="11" customFormat="false" ht="12.75" hidden="false" customHeight="false" outlineLevel="0" collapsed="false">
      <c r="B11" s="347" t="n">
        <v>45755</v>
      </c>
      <c r="E11" s="349" t="n">
        <v>220</v>
      </c>
      <c r="F11" s="365"/>
    </row>
    <row r="12" customFormat="false" ht="12.75" hidden="false" customHeight="false" outlineLevel="0" collapsed="false">
      <c r="A12" s="364" t="n">
        <v>45756</v>
      </c>
      <c r="B12" s="347" t="n">
        <v>45756</v>
      </c>
      <c r="E12" s="349" t="n">
        <v>180</v>
      </c>
      <c r="F12" s="365"/>
    </row>
    <row r="13" customFormat="false" ht="12.75" hidden="false" customHeight="false" outlineLevel="0" collapsed="false">
      <c r="A13" s="364" t="n">
        <v>45757</v>
      </c>
      <c r="B13" s="347" t="n">
        <v>45757</v>
      </c>
      <c r="E13" s="349" t="n">
        <v>210</v>
      </c>
      <c r="F13" s="365"/>
    </row>
    <row r="14" customFormat="false" ht="12.75" hidden="false" customHeight="false" outlineLevel="0" collapsed="false">
      <c r="A14" s="364" t="n">
        <v>45758</v>
      </c>
      <c r="B14" s="347" t="n">
        <v>45758</v>
      </c>
      <c r="E14" s="349" t="n">
        <v>190</v>
      </c>
      <c r="F14" s="365"/>
    </row>
    <row r="15" customFormat="false" ht="12.75" hidden="false" customHeight="false" outlineLevel="0" collapsed="false">
      <c r="A15" s="364" t="n">
        <v>45759</v>
      </c>
      <c r="B15" s="347" t="n">
        <v>45759</v>
      </c>
      <c r="F15" s="365"/>
    </row>
    <row r="16" customFormat="false" ht="12.75" hidden="false" customHeight="false" outlineLevel="0" collapsed="false">
      <c r="A16" s="364" t="n">
        <v>45760</v>
      </c>
      <c r="B16" s="347" t="n">
        <v>45760</v>
      </c>
      <c r="F16" s="365"/>
    </row>
    <row r="17" customFormat="false" ht="12.75" hidden="false" customHeight="false" outlineLevel="0" collapsed="false">
      <c r="A17" s="364" t="n">
        <v>45760</v>
      </c>
      <c r="B17" s="347" t="s">
        <v>242</v>
      </c>
      <c r="F17" s="365"/>
    </row>
    <row r="18" customFormat="false" ht="12.75" hidden="false" customHeight="false" outlineLevel="0" collapsed="false">
      <c r="A18" s="364" t="n">
        <v>45760</v>
      </c>
      <c r="B18" s="347" t="s">
        <v>243</v>
      </c>
      <c r="F18" s="365"/>
    </row>
    <row r="19" customFormat="false" ht="12.75" hidden="false" customHeight="false" outlineLevel="0" collapsed="false">
      <c r="A19" s="366"/>
      <c r="B19" s="367"/>
      <c r="C19" s="368"/>
      <c r="D19" s="369"/>
      <c r="E19" s="370" t="n">
        <f aca="false">SUM(E10:E18)</f>
        <v>1000</v>
      </c>
      <c r="F19" s="371" t="n">
        <f aca="false">SUM(F10:F18)</f>
        <v>0</v>
      </c>
    </row>
    <row r="21" customFormat="false" ht="12.75" hidden="false" customHeight="false" outlineLevel="0" collapsed="false">
      <c r="A21" s="358" t="n">
        <v>45761</v>
      </c>
      <c r="B21" s="359" t="n">
        <v>45761</v>
      </c>
      <c r="C21" s="360"/>
      <c r="D21" s="361"/>
      <c r="E21" s="362" t="n">
        <v>200</v>
      </c>
    </row>
    <row r="22" customFormat="false" ht="12.75" hidden="false" customHeight="false" outlineLevel="0" collapsed="false">
      <c r="B22" s="347" t="n">
        <v>45762</v>
      </c>
      <c r="E22" s="349" t="n">
        <v>220</v>
      </c>
      <c r="F22" s="365"/>
    </row>
    <row r="23" customFormat="false" ht="12.75" hidden="false" customHeight="false" outlineLevel="0" collapsed="false">
      <c r="A23" s="364" t="n">
        <v>45763</v>
      </c>
      <c r="B23" s="347" t="n">
        <v>45763</v>
      </c>
      <c r="E23" s="349" t="n">
        <v>180</v>
      </c>
      <c r="F23" s="365"/>
    </row>
    <row r="24" customFormat="false" ht="12.75" hidden="false" customHeight="false" outlineLevel="0" collapsed="false">
      <c r="A24" s="364" t="n">
        <v>45764</v>
      </c>
      <c r="B24" s="347" t="n">
        <v>45764</v>
      </c>
      <c r="E24" s="349" t="n">
        <v>200</v>
      </c>
      <c r="F24" s="365"/>
    </row>
    <row r="25" customFormat="false" ht="12.75" hidden="false" customHeight="false" outlineLevel="0" collapsed="false">
      <c r="A25" s="364" t="n">
        <v>45765</v>
      </c>
      <c r="B25" s="347" t="n">
        <v>45765</v>
      </c>
      <c r="E25" s="349" t="n">
        <v>200</v>
      </c>
      <c r="F25" s="365"/>
    </row>
    <row r="26" customFormat="false" ht="12.75" hidden="false" customHeight="false" outlineLevel="0" collapsed="false">
      <c r="A26" s="364" t="n">
        <v>45766</v>
      </c>
      <c r="B26" s="347" t="n">
        <v>45766</v>
      </c>
      <c r="F26" s="365"/>
    </row>
    <row r="27" customFormat="false" ht="12.75" hidden="false" customHeight="false" outlineLevel="0" collapsed="false">
      <c r="A27" s="364" t="n">
        <v>45767</v>
      </c>
      <c r="B27" s="347" t="n">
        <v>45767</v>
      </c>
      <c r="F27" s="365"/>
    </row>
    <row r="28" customFormat="false" ht="12.75" hidden="false" customHeight="false" outlineLevel="0" collapsed="false">
      <c r="A28" s="364" t="n">
        <v>45767</v>
      </c>
      <c r="B28" s="347" t="s">
        <v>242</v>
      </c>
      <c r="F28" s="365"/>
    </row>
    <row r="29" customFormat="false" ht="12.75" hidden="false" customHeight="false" outlineLevel="0" collapsed="false">
      <c r="A29" s="364" t="n">
        <v>45767</v>
      </c>
      <c r="B29" s="347" t="s">
        <v>243</v>
      </c>
      <c r="F29" s="365"/>
    </row>
    <row r="30" customFormat="false" ht="12.75" hidden="false" customHeight="false" outlineLevel="0" collapsed="false">
      <c r="A30" s="366"/>
      <c r="B30" s="367"/>
      <c r="C30" s="368"/>
      <c r="D30" s="369"/>
      <c r="E30" s="370" t="n">
        <f aca="false">SUM(E21:E29)</f>
        <v>1000</v>
      </c>
      <c r="F30" s="371" t="n">
        <f aca="false">SUM(F21:F29)</f>
        <v>0</v>
      </c>
    </row>
    <row r="32" customFormat="false" ht="12.75" hidden="false" customHeight="false" outlineLevel="0" collapsed="false">
      <c r="A32" s="358" t="n">
        <v>45768</v>
      </c>
      <c r="B32" s="359" t="n">
        <v>45768</v>
      </c>
      <c r="C32" s="360"/>
      <c r="D32" s="361"/>
      <c r="E32" s="362" t="n">
        <v>200</v>
      </c>
    </row>
    <row r="33" customFormat="false" ht="12.75" hidden="false" customHeight="false" outlineLevel="0" collapsed="false">
      <c r="B33" s="347" t="n">
        <v>45769</v>
      </c>
      <c r="E33" s="349" t="n">
        <v>200</v>
      </c>
      <c r="F33" s="365"/>
    </row>
    <row r="34" customFormat="false" ht="12.75" hidden="false" customHeight="false" outlineLevel="0" collapsed="false">
      <c r="A34" s="364" t="n">
        <v>45770</v>
      </c>
      <c r="B34" s="347" t="n">
        <v>45770</v>
      </c>
      <c r="E34" s="349" t="n">
        <v>200</v>
      </c>
      <c r="F34" s="365"/>
    </row>
    <row r="35" customFormat="false" ht="12.75" hidden="false" customHeight="false" outlineLevel="0" collapsed="false">
      <c r="A35" s="364" t="n">
        <v>45771</v>
      </c>
      <c r="B35" s="347" t="n">
        <v>45771</v>
      </c>
      <c r="E35" s="349" t="n">
        <v>200</v>
      </c>
      <c r="F35" s="365"/>
    </row>
    <row r="36" customFormat="false" ht="12.75" hidden="false" customHeight="false" outlineLevel="0" collapsed="false">
      <c r="A36" s="364" t="n">
        <v>45772</v>
      </c>
      <c r="B36" s="347" t="n">
        <v>45772</v>
      </c>
      <c r="E36" s="349" t="n">
        <v>200</v>
      </c>
      <c r="F36" s="365"/>
    </row>
    <row r="37" customFormat="false" ht="12.75" hidden="false" customHeight="false" outlineLevel="0" collapsed="false">
      <c r="A37" s="364" t="n">
        <v>45773</v>
      </c>
      <c r="B37" s="347" t="n">
        <v>45773</v>
      </c>
      <c r="F37" s="365"/>
    </row>
    <row r="38" customFormat="false" ht="12.75" hidden="false" customHeight="false" outlineLevel="0" collapsed="false">
      <c r="A38" s="364" t="n">
        <v>45774</v>
      </c>
      <c r="B38" s="347" t="n">
        <v>45774</v>
      </c>
      <c r="F38" s="365"/>
    </row>
    <row r="39" customFormat="false" ht="12.75" hidden="false" customHeight="false" outlineLevel="0" collapsed="false">
      <c r="A39" s="364" t="n">
        <v>45774</v>
      </c>
      <c r="B39" s="347" t="s">
        <v>242</v>
      </c>
      <c r="F39" s="365"/>
    </row>
    <row r="40" customFormat="false" ht="12.75" hidden="false" customHeight="false" outlineLevel="0" collapsed="false">
      <c r="A40" s="364" t="n">
        <v>45774</v>
      </c>
      <c r="B40" s="347" t="s">
        <v>243</v>
      </c>
      <c r="F40" s="365"/>
    </row>
    <row r="41" customFormat="false" ht="12.75" hidden="false" customHeight="false" outlineLevel="0" collapsed="false">
      <c r="A41" s="366"/>
      <c r="B41" s="367"/>
      <c r="C41" s="368"/>
      <c r="D41" s="369"/>
      <c r="E41" s="370" t="n">
        <f aca="false">SUM(E32:E40)</f>
        <v>1000</v>
      </c>
      <c r="F41" s="371" t="n">
        <f aca="false">SUM(F32:F40)</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244</v>
      </c>
      <c r="C1" s="376" t="s">
        <v>237</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245</v>
      </c>
      <c r="C2" s="380" t="s">
        <v>246</v>
      </c>
      <c r="D2" s="380" t="s">
        <v>247</v>
      </c>
      <c r="E2" s="380" t="s">
        <v>248</v>
      </c>
      <c r="F2" s="207" t="s">
        <v>249</v>
      </c>
      <c r="G2" s="381" t="s">
        <v>250</v>
      </c>
      <c r="H2" s="381"/>
      <c r="I2" s="382" t="n">
        <f aca="false">G1+H1+I1+J1</f>
        <v>1680</v>
      </c>
      <c r="J2" s="382"/>
      <c r="K2" s="207" t="s">
        <v>251</v>
      </c>
      <c r="L2" s="207" t="s">
        <v>252</v>
      </c>
      <c r="M2" s="207" t="s">
        <v>253</v>
      </c>
      <c r="N2" s="207" t="s">
        <v>254</v>
      </c>
      <c r="O2" s="207" t="s">
        <v>255</v>
      </c>
      <c r="P2" s="207" t="s">
        <v>256</v>
      </c>
      <c r="Q2" s="207" t="s">
        <v>257</v>
      </c>
      <c r="R2" s="207" t="s">
        <v>258</v>
      </c>
      <c r="S2" s="383" t="s">
        <v>259</v>
      </c>
      <c r="T2" s="384" t="str">
        <f aca="false">IF(T1&gt;'Fixed Assets'!$D$74,"ENTER VEHICLE CHANGES        on Fixed Asset schedule","Motor Vehicles: make, model, date reg. and reg. Mark")</f>
        <v>Motor Vehicles: make, model, date reg. and reg. Mark</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79" t="n">
        <f aca="false">IF((A1&lt;Admin!$F$22),((A1)*Admin!$G$21),(A1*Admin!$G$21-(A1-Admin!$F$21)*(Admin!$G$21-Admin!$G$22)))</f>
        <v>0</v>
      </c>
    </row>
    <row r="5" s="373" customFormat="true" ht="12.75" hidden="false" customHeight="false" outlineLevel="0" collapsed="false">
      <c r="A5" s="372" t="n">
        <v>45762</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278</v>
      </c>
      <c r="D6" s="373" t="s">
        <v>279</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280</v>
      </c>
      <c r="D7" s="373" t="s">
        <v>279</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281</v>
      </c>
      <c r="D8" s="373" t="s">
        <v>282</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283</v>
      </c>
      <c r="D9" s="373" t="s">
        <v>284</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45775</v>
      </c>
      <c r="B5" s="359" t="n">
        <v>45775</v>
      </c>
      <c r="C5" s="360"/>
      <c r="D5" s="361"/>
      <c r="E5" s="362"/>
      <c r="F5" s="363"/>
    </row>
    <row r="6" customFormat="false" ht="12.75" hidden="false" customHeight="false" outlineLevel="0" collapsed="false">
      <c r="A6" s="364" t="n">
        <v>45776</v>
      </c>
      <c r="B6" s="347" t="n">
        <v>45776</v>
      </c>
      <c r="F6" s="365"/>
    </row>
    <row r="7" customFormat="false" ht="12.75" hidden="false" customHeight="false" outlineLevel="0" collapsed="false">
      <c r="A7" s="364" t="n">
        <v>45777</v>
      </c>
      <c r="B7" s="347" t="n">
        <v>45777</v>
      </c>
      <c r="F7" s="365"/>
    </row>
    <row r="8" customFormat="false" ht="12.75" hidden="false" customHeight="false" outlineLevel="0" collapsed="false">
      <c r="A8" s="364" t="n">
        <v>45778</v>
      </c>
      <c r="B8" s="347" t="n">
        <v>45778</v>
      </c>
      <c r="F8" s="365"/>
    </row>
    <row r="9" customFormat="false" ht="12.75" hidden="false" customHeight="false" outlineLevel="0" collapsed="false">
      <c r="A9" s="364" t="n">
        <v>45779</v>
      </c>
      <c r="B9" s="347" t="n">
        <v>45779</v>
      </c>
      <c r="F9" s="365"/>
    </row>
    <row r="10" customFormat="false" ht="12.75" hidden="false" customHeight="false" outlineLevel="0" collapsed="false">
      <c r="A10" s="364" t="n">
        <v>45780</v>
      </c>
      <c r="B10" s="347" t="n">
        <v>45780</v>
      </c>
      <c r="F10" s="365"/>
    </row>
    <row r="11" customFormat="false" ht="12.75" hidden="false" customHeight="false" outlineLevel="0" collapsed="false">
      <c r="A11" s="364" t="n">
        <v>45781</v>
      </c>
      <c r="B11" s="347" t="n">
        <v>45781</v>
      </c>
      <c r="F11" s="365"/>
    </row>
    <row r="12" customFormat="false" ht="12.75" hidden="false" customHeight="false" outlineLevel="0" collapsed="false">
      <c r="A12" s="364" t="n">
        <v>45781</v>
      </c>
      <c r="B12" s="347" t="s">
        <v>242</v>
      </c>
      <c r="F12" s="365"/>
    </row>
    <row r="13" customFormat="false" ht="12.75" hidden="false" customHeight="false" outlineLevel="0" collapsed="false">
      <c r="A13" s="364" t="n">
        <v>45781</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45782</v>
      </c>
      <c r="B16" s="359" t="n">
        <v>45782</v>
      </c>
      <c r="C16" s="360"/>
      <c r="D16" s="361"/>
      <c r="E16" s="362" t="n">
        <v>200</v>
      </c>
    </row>
    <row r="17" customFormat="false" ht="12.75" hidden="false" customHeight="false" outlineLevel="0" collapsed="false">
      <c r="B17" s="347" t="n">
        <v>45783</v>
      </c>
      <c r="E17" s="349" t="n">
        <v>200</v>
      </c>
      <c r="F17" s="365"/>
    </row>
    <row r="18" customFormat="false" ht="12.75" hidden="false" customHeight="false" outlineLevel="0" collapsed="false">
      <c r="A18" s="364" t="n">
        <v>45784</v>
      </c>
      <c r="B18" s="347" t="n">
        <v>45784</v>
      </c>
      <c r="E18" s="349" t="n">
        <v>200</v>
      </c>
      <c r="F18" s="365"/>
    </row>
    <row r="19" customFormat="false" ht="12.75" hidden="false" customHeight="false" outlineLevel="0" collapsed="false">
      <c r="A19" s="364" t="n">
        <v>45785</v>
      </c>
      <c r="B19" s="347" t="n">
        <v>45785</v>
      </c>
      <c r="E19" s="349" t="n">
        <v>200</v>
      </c>
      <c r="F19" s="365"/>
    </row>
    <row r="20" customFormat="false" ht="12.75" hidden="false" customHeight="false" outlineLevel="0" collapsed="false">
      <c r="A20" s="364" t="n">
        <v>45786</v>
      </c>
      <c r="B20" s="347" t="n">
        <v>45786</v>
      </c>
      <c r="E20" s="349" t="n">
        <v>200</v>
      </c>
      <c r="F20" s="365"/>
    </row>
    <row r="21" customFormat="false" ht="12.75" hidden="false" customHeight="false" outlineLevel="0" collapsed="false">
      <c r="A21" s="364" t="n">
        <v>45787</v>
      </c>
      <c r="B21" s="347" t="n">
        <v>45787</v>
      </c>
      <c r="F21" s="365"/>
    </row>
    <row r="22" customFormat="false" ht="12.75" hidden="false" customHeight="false" outlineLevel="0" collapsed="false">
      <c r="A22" s="364" t="n">
        <v>45788</v>
      </c>
      <c r="B22" s="347" t="n">
        <v>45788</v>
      </c>
      <c r="F22" s="365"/>
    </row>
    <row r="23" customFormat="false" ht="12.75" hidden="false" customHeight="false" outlineLevel="0" collapsed="false">
      <c r="A23" s="364" t="n">
        <v>45788</v>
      </c>
      <c r="B23" s="347" t="s">
        <v>242</v>
      </c>
      <c r="F23" s="365"/>
    </row>
    <row r="24" customFormat="false" ht="12.75" hidden="false" customHeight="false" outlineLevel="0" collapsed="false">
      <c r="A24" s="364" t="n">
        <v>45788</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45789</v>
      </c>
      <c r="B27" s="359" t="n">
        <v>45789</v>
      </c>
      <c r="C27" s="360"/>
      <c r="D27" s="361"/>
      <c r="E27" s="362" t="n">
        <v>200</v>
      </c>
    </row>
    <row r="28" customFormat="false" ht="12.75" hidden="false" customHeight="false" outlineLevel="0" collapsed="false">
      <c r="B28" s="347" t="n">
        <v>45790</v>
      </c>
      <c r="E28" s="349" t="n">
        <v>200</v>
      </c>
      <c r="F28" s="365"/>
    </row>
    <row r="29" customFormat="false" ht="12.75" hidden="false" customHeight="false" outlineLevel="0" collapsed="false">
      <c r="A29" s="364" t="n">
        <v>45791</v>
      </c>
      <c r="B29" s="347" t="n">
        <v>45791</v>
      </c>
      <c r="E29" s="349" t="n">
        <v>200</v>
      </c>
      <c r="F29" s="365"/>
    </row>
    <row r="30" customFormat="false" ht="12.75" hidden="false" customHeight="false" outlineLevel="0" collapsed="false">
      <c r="A30" s="364" t="n">
        <v>45792</v>
      </c>
      <c r="B30" s="347" t="n">
        <v>45792</v>
      </c>
      <c r="E30" s="349" t="n">
        <v>200</v>
      </c>
      <c r="F30" s="365"/>
    </row>
    <row r="31" customFormat="false" ht="12.75" hidden="false" customHeight="false" outlineLevel="0" collapsed="false">
      <c r="A31" s="364" t="n">
        <v>45793</v>
      </c>
      <c r="B31" s="347" t="n">
        <v>45793</v>
      </c>
      <c r="E31" s="349" t="n">
        <v>200</v>
      </c>
      <c r="F31" s="365"/>
    </row>
    <row r="32" customFormat="false" ht="12.75" hidden="false" customHeight="false" outlineLevel="0" collapsed="false">
      <c r="A32" s="364" t="n">
        <v>45794</v>
      </c>
      <c r="B32" s="347" t="n">
        <v>45794</v>
      </c>
      <c r="F32" s="365"/>
    </row>
    <row r="33" customFormat="false" ht="12.75" hidden="false" customHeight="false" outlineLevel="0" collapsed="false">
      <c r="A33" s="364" t="n">
        <v>45795</v>
      </c>
      <c r="B33" s="347" t="n">
        <v>45795</v>
      </c>
      <c r="F33" s="365"/>
    </row>
    <row r="34" customFormat="false" ht="12.75" hidden="false" customHeight="false" outlineLevel="0" collapsed="false">
      <c r="A34" s="364" t="n">
        <v>45795</v>
      </c>
      <c r="B34" s="347" t="s">
        <v>242</v>
      </c>
      <c r="F34" s="365"/>
    </row>
    <row r="35" customFormat="false" ht="12.75" hidden="false" customHeight="false" outlineLevel="0" collapsed="false">
      <c r="A35" s="364" t="n">
        <v>45795</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45796</v>
      </c>
      <c r="B38" s="359" t="n">
        <v>45796</v>
      </c>
      <c r="C38" s="360"/>
      <c r="D38" s="361"/>
      <c r="E38" s="362" t="n">
        <v>200</v>
      </c>
    </row>
    <row r="39" customFormat="false" ht="12.75" hidden="false" customHeight="false" outlineLevel="0" collapsed="false">
      <c r="B39" s="347" t="n">
        <v>45797</v>
      </c>
      <c r="E39" s="349" t="n">
        <v>200</v>
      </c>
      <c r="F39" s="365"/>
    </row>
    <row r="40" customFormat="false" ht="12.75" hidden="false" customHeight="false" outlineLevel="0" collapsed="false">
      <c r="A40" s="364" t="n">
        <v>45798</v>
      </c>
      <c r="B40" s="347" t="n">
        <v>45798</v>
      </c>
      <c r="E40" s="349" t="n">
        <v>200</v>
      </c>
      <c r="F40" s="365"/>
    </row>
    <row r="41" customFormat="false" ht="12.75" hidden="false" customHeight="false" outlineLevel="0" collapsed="false">
      <c r="A41" s="364" t="n">
        <v>45799</v>
      </c>
      <c r="B41" s="347" t="n">
        <v>45799</v>
      </c>
      <c r="E41" s="349" t="n">
        <v>200</v>
      </c>
      <c r="F41" s="365"/>
    </row>
    <row r="42" customFormat="false" ht="12.75" hidden="false" customHeight="false" outlineLevel="0" collapsed="false">
      <c r="A42" s="364" t="n">
        <v>45800</v>
      </c>
      <c r="B42" s="347" t="n">
        <v>45800</v>
      </c>
      <c r="E42" s="349" t="n">
        <v>200</v>
      </c>
      <c r="F42" s="365"/>
    </row>
    <row r="43" customFormat="false" ht="12.75" hidden="false" customHeight="false" outlineLevel="0" collapsed="false">
      <c r="A43" s="364" t="n">
        <v>45801</v>
      </c>
      <c r="B43" s="347" t="n">
        <v>45801</v>
      </c>
      <c r="F43" s="365"/>
    </row>
    <row r="44" customFormat="false" ht="12.75" hidden="false" customHeight="false" outlineLevel="0" collapsed="false">
      <c r="A44" s="364" t="n">
        <v>45802</v>
      </c>
      <c r="B44" s="347" t="n">
        <v>45802</v>
      </c>
      <c r="F44" s="365"/>
    </row>
    <row r="45" customFormat="false" ht="12.75" hidden="false" customHeight="false" outlineLevel="0" collapsed="false">
      <c r="A45" s="364" t="n">
        <v>45802</v>
      </c>
      <c r="B45" s="347" t="s">
        <v>242</v>
      </c>
      <c r="F45" s="365"/>
    </row>
    <row r="46" customFormat="false" ht="12.75" hidden="false" customHeight="false" outlineLevel="0" collapsed="false">
      <c r="A46" s="364" t="n">
        <v>45802</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245</v>
      </c>
      <c r="C2" s="380" t="s">
        <v>246</v>
      </c>
      <c r="D2" s="380" t="s">
        <v>247</v>
      </c>
      <c r="E2" s="380" t="s">
        <v>248</v>
      </c>
      <c r="F2" s="207" t="s">
        <v>249</v>
      </c>
      <c r="G2" s="381" t="s">
        <v>250</v>
      </c>
      <c r="H2" s="381"/>
      <c r="I2" s="382" t="n">
        <f aca="false">G1+H1+I1+J1+PurchasesApr!I2</f>
        <v>1980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Motor Vehicles: make, model, date reg. and reg. Mark</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IF((A1&lt;Admin!$F$22),((A1-PurchasesApr!A1)*Admin!$G$21),(A1*Admin!$G$21-(A1-Admin!$F$21)*(Admin!$G$21-Admin!$G$22)-PurchasesApr!A2))</f>
        <v>0</v>
      </c>
    </row>
    <row r="5" s="373" customFormat="true" ht="12.75" hidden="false" customHeight="false" outlineLevel="0" collapsed="false">
      <c r="A5" s="372" t="n">
        <v>45792</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45803</v>
      </c>
      <c r="B5" s="359" t="n">
        <v>45803</v>
      </c>
      <c r="C5" s="360"/>
      <c r="D5" s="361"/>
      <c r="E5" s="362"/>
      <c r="F5" s="363"/>
    </row>
    <row r="6" customFormat="false" ht="12.75" hidden="false" customHeight="false" outlineLevel="0" collapsed="false">
      <c r="A6" s="364" t="n">
        <v>45804</v>
      </c>
      <c r="B6" s="347" t="n">
        <v>45804</v>
      </c>
      <c r="F6" s="365"/>
    </row>
    <row r="7" customFormat="false" ht="12.75" hidden="false" customHeight="false" outlineLevel="0" collapsed="false">
      <c r="A7" s="364" t="n">
        <v>45805</v>
      </c>
      <c r="B7" s="347" t="n">
        <v>45805</v>
      </c>
      <c r="F7" s="365"/>
    </row>
    <row r="8" customFormat="false" ht="12.75" hidden="false" customHeight="false" outlineLevel="0" collapsed="false">
      <c r="A8" s="364" t="n">
        <v>45806</v>
      </c>
      <c r="B8" s="347" t="n">
        <v>45806</v>
      </c>
      <c r="F8" s="365"/>
    </row>
    <row r="9" customFormat="false" ht="12.75" hidden="false" customHeight="false" outlineLevel="0" collapsed="false">
      <c r="A9" s="364" t="n">
        <v>45807</v>
      </c>
      <c r="B9" s="347" t="n">
        <v>45807</v>
      </c>
      <c r="F9" s="365"/>
    </row>
    <row r="10" customFormat="false" ht="12.75" hidden="false" customHeight="false" outlineLevel="0" collapsed="false">
      <c r="A10" s="364" t="n">
        <v>45808</v>
      </c>
      <c r="B10" s="347" t="n">
        <v>45808</v>
      </c>
      <c r="F10" s="365"/>
    </row>
    <row r="11" customFormat="false" ht="12.75" hidden="false" customHeight="false" outlineLevel="0" collapsed="false">
      <c r="A11" s="364" t="n">
        <v>45809</v>
      </c>
      <c r="B11" s="347" t="n">
        <v>45809</v>
      </c>
      <c r="F11" s="365"/>
    </row>
    <row r="12" customFormat="false" ht="12.75" hidden="false" customHeight="false" outlineLevel="0" collapsed="false">
      <c r="A12" s="364" t="n">
        <v>45809</v>
      </c>
      <c r="B12" s="347" t="s">
        <v>242</v>
      </c>
      <c r="F12" s="365"/>
    </row>
    <row r="13" customFormat="false" ht="12.75" hidden="false" customHeight="false" outlineLevel="0" collapsed="false">
      <c r="A13" s="364" t="n">
        <v>45809</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45810</v>
      </c>
      <c r="B16" s="359" t="n">
        <v>45810</v>
      </c>
      <c r="C16" s="360"/>
      <c r="D16" s="361"/>
      <c r="E16" s="362" t="n">
        <v>200</v>
      </c>
    </row>
    <row r="17" customFormat="false" ht="12.75" hidden="false" customHeight="false" outlineLevel="0" collapsed="false">
      <c r="B17" s="347" t="n">
        <v>45811</v>
      </c>
      <c r="E17" s="349" t="n">
        <v>200</v>
      </c>
      <c r="F17" s="365"/>
    </row>
    <row r="18" customFormat="false" ht="12.75" hidden="false" customHeight="false" outlineLevel="0" collapsed="false">
      <c r="A18" s="364" t="n">
        <v>45812</v>
      </c>
      <c r="B18" s="347" t="n">
        <v>45812</v>
      </c>
      <c r="E18" s="349" t="n">
        <v>200</v>
      </c>
      <c r="F18" s="365"/>
    </row>
    <row r="19" customFormat="false" ht="12.75" hidden="false" customHeight="false" outlineLevel="0" collapsed="false">
      <c r="A19" s="364" t="n">
        <v>45813</v>
      </c>
      <c r="B19" s="347" t="n">
        <v>45813</v>
      </c>
      <c r="E19" s="349" t="n">
        <v>200</v>
      </c>
      <c r="F19" s="365"/>
    </row>
    <row r="20" customFormat="false" ht="12.75" hidden="false" customHeight="false" outlineLevel="0" collapsed="false">
      <c r="A20" s="364" t="n">
        <v>45814</v>
      </c>
      <c r="B20" s="347" t="n">
        <v>45814</v>
      </c>
      <c r="E20" s="349" t="n">
        <v>200</v>
      </c>
      <c r="F20" s="365"/>
    </row>
    <row r="21" customFormat="false" ht="12.75" hidden="false" customHeight="false" outlineLevel="0" collapsed="false">
      <c r="A21" s="364" t="n">
        <v>45815</v>
      </c>
      <c r="B21" s="347" t="n">
        <v>45815</v>
      </c>
      <c r="F21" s="365"/>
    </row>
    <row r="22" customFormat="false" ht="12.75" hidden="false" customHeight="false" outlineLevel="0" collapsed="false">
      <c r="A22" s="364" t="n">
        <v>45816</v>
      </c>
      <c r="B22" s="347" t="n">
        <v>45816</v>
      </c>
      <c r="F22" s="365"/>
    </row>
    <row r="23" customFormat="false" ht="12.75" hidden="false" customHeight="false" outlineLevel="0" collapsed="false">
      <c r="A23" s="364" t="n">
        <v>45816</v>
      </c>
      <c r="B23" s="347" t="s">
        <v>242</v>
      </c>
      <c r="F23" s="365"/>
    </row>
    <row r="24" customFormat="false" ht="12.75" hidden="false" customHeight="false" outlineLevel="0" collapsed="false">
      <c r="A24" s="364" t="n">
        <v>45816</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45817</v>
      </c>
      <c r="B27" s="359" t="n">
        <v>45817</v>
      </c>
      <c r="C27" s="360"/>
      <c r="D27" s="361"/>
      <c r="E27" s="362" t="n">
        <v>200</v>
      </c>
    </row>
    <row r="28" customFormat="false" ht="12.75" hidden="false" customHeight="false" outlineLevel="0" collapsed="false">
      <c r="B28" s="347" t="n">
        <v>45818</v>
      </c>
      <c r="E28" s="349" t="n">
        <v>200</v>
      </c>
      <c r="F28" s="365"/>
    </row>
    <row r="29" customFormat="false" ht="12.75" hidden="false" customHeight="false" outlineLevel="0" collapsed="false">
      <c r="A29" s="364" t="n">
        <v>45819</v>
      </c>
      <c r="B29" s="347" t="n">
        <v>45819</v>
      </c>
      <c r="E29" s="349" t="n">
        <v>200</v>
      </c>
      <c r="F29" s="365"/>
    </row>
    <row r="30" customFormat="false" ht="12.75" hidden="false" customHeight="false" outlineLevel="0" collapsed="false">
      <c r="A30" s="364" t="n">
        <v>45820</v>
      </c>
      <c r="B30" s="347" t="n">
        <v>45820</v>
      </c>
      <c r="E30" s="349" t="n">
        <v>200</v>
      </c>
      <c r="F30" s="365"/>
    </row>
    <row r="31" customFormat="false" ht="12.75" hidden="false" customHeight="false" outlineLevel="0" collapsed="false">
      <c r="A31" s="364" t="n">
        <v>45821</v>
      </c>
      <c r="B31" s="347" t="n">
        <v>45821</v>
      </c>
      <c r="E31" s="349" t="n">
        <v>200</v>
      </c>
      <c r="F31" s="365"/>
    </row>
    <row r="32" customFormat="false" ht="12.75" hidden="false" customHeight="false" outlineLevel="0" collapsed="false">
      <c r="A32" s="364" t="n">
        <v>45822</v>
      </c>
      <c r="B32" s="347" t="n">
        <v>45822</v>
      </c>
      <c r="F32" s="365"/>
    </row>
    <row r="33" customFormat="false" ht="12.75" hidden="false" customHeight="false" outlineLevel="0" collapsed="false">
      <c r="A33" s="364" t="n">
        <v>45823</v>
      </c>
      <c r="B33" s="347" t="n">
        <v>45823</v>
      </c>
      <c r="F33" s="365"/>
    </row>
    <row r="34" customFormat="false" ht="12.75" hidden="false" customHeight="false" outlineLevel="0" collapsed="false">
      <c r="A34" s="364" t="n">
        <v>45823</v>
      </c>
      <c r="B34" s="347" t="s">
        <v>242</v>
      </c>
      <c r="F34" s="365"/>
    </row>
    <row r="35" customFormat="false" ht="12.75" hidden="false" customHeight="false" outlineLevel="0" collapsed="false">
      <c r="A35" s="364" t="n">
        <v>45823</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45824</v>
      </c>
      <c r="B38" s="359" t="n">
        <v>45824</v>
      </c>
      <c r="C38" s="360"/>
      <c r="D38" s="361"/>
      <c r="E38" s="362" t="n">
        <v>200</v>
      </c>
    </row>
    <row r="39" customFormat="false" ht="12.75" hidden="false" customHeight="false" outlineLevel="0" collapsed="false">
      <c r="B39" s="347" t="n">
        <v>45825</v>
      </c>
      <c r="E39" s="349" t="n">
        <v>200</v>
      </c>
      <c r="F39" s="365"/>
    </row>
    <row r="40" customFormat="false" ht="12.75" hidden="false" customHeight="false" outlineLevel="0" collapsed="false">
      <c r="A40" s="364" t="n">
        <v>45826</v>
      </c>
      <c r="B40" s="347" t="n">
        <v>45826</v>
      </c>
      <c r="E40" s="349" t="n">
        <v>200</v>
      </c>
      <c r="F40" s="365"/>
    </row>
    <row r="41" customFormat="false" ht="12.75" hidden="false" customHeight="false" outlineLevel="0" collapsed="false">
      <c r="A41" s="364" t="n">
        <v>45827</v>
      </c>
      <c r="B41" s="347" t="n">
        <v>45827</v>
      </c>
      <c r="E41" s="349" t="n">
        <v>200</v>
      </c>
      <c r="F41" s="365"/>
    </row>
    <row r="42" customFormat="false" ht="12.75" hidden="false" customHeight="false" outlineLevel="0" collapsed="false">
      <c r="A42" s="364" t="n">
        <v>45828</v>
      </c>
      <c r="B42" s="347" t="n">
        <v>45828</v>
      </c>
      <c r="E42" s="349" t="n">
        <v>200</v>
      </c>
      <c r="F42" s="365"/>
    </row>
    <row r="43" customFormat="false" ht="12.75" hidden="false" customHeight="false" outlineLevel="0" collapsed="false">
      <c r="A43" s="364" t="n">
        <v>45829</v>
      </c>
      <c r="B43" s="347" t="n">
        <v>45829</v>
      </c>
      <c r="F43" s="365"/>
    </row>
    <row r="44" customFormat="false" ht="12.75" hidden="false" customHeight="false" outlineLevel="0" collapsed="false">
      <c r="A44" s="364" t="n">
        <v>45830</v>
      </c>
      <c r="B44" s="347" t="n">
        <v>45830</v>
      </c>
      <c r="F44" s="365"/>
    </row>
    <row r="45" customFormat="false" ht="12.75" hidden="false" customHeight="false" outlineLevel="0" collapsed="false">
      <c r="A45" s="364" t="n">
        <v>45830</v>
      </c>
      <c r="B45" s="347" t="s">
        <v>242</v>
      </c>
      <c r="F45" s="365"/>
    </row>
    <row r="46" customFormat="false" ht="12.75" hidden="false" customHeight="false" outlineLevel="0" collapsed="false">
      <c r="A46" s="364" t="n">
        <v>45830</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45831</v>
      </c>
      <c r="B49" s="359" t="n">
        <v>45831</v>
      </c>
      <c r="C49" s="360"/>
      <c r="D49" s="361"/>
      <c r="E49" s="362"/>
      <c r="F49" s="363"/>
    </row>
    <row r="50" customFormat="false" ht="12.75" hidden="false" customHeight="false" outlineLevel="0" collapsed="false">
      <c r="A50" s="364" t="n">
        <v>45832</v>
      </c>
      <c r="B50" s="347" t="n">
        <v>45832</v>
      </c>
      <c r="F50" s="365"/>
    </row>
    <row r="51" customFormat="false" ht="12.75" hidden="false" customHeight="false" outlineLevel="0" collapsed="false">
      <c r="A51" s="364" t="n">
        <v>45833</v>
      </c>
      <c r="B51" s="347" t="n">
        <v>45833</v>
      </c>
      <c r="F51" s="365"/>
    </row>
    <row r="52" customFormat="false" ht="12.75" hidden="false" customHeight="false" outlineLevel="0" collapsed="false">
      <c r="A52" s="364" t="n">
        <v>45834</v>
      </c>
      <c r="B52" s="347" t="n">
        <v>45834</v>
      </c>
      <c r="F52" s="365"/>
    </row>
    <row r="53" customFormat="false" ht="12.75" hidden="false" customHeight="false" outlineLevel="0" collapsed="false">
      <c r="A53" s="364" t="n">
        <v>45835</v>
      </c>
      <c r="B53" s="347" t="n">
        <v>45835</v>
      </c>
      <c r="F53" s="365"/>
    </row>
    <row r="54" customFormat="false" ht="12.75" hidden="false" customHeight="false" outlineLevel="0" collapsed="false">
      <c r="A54" s="364" t="n">
        <v>45836</v>
      </c>
      <c r="B54" s="347" t="n">
        <v>45836</v>
      </c>
      <c r="F54" s="365"/>
    </row>
    <row r="55" customFormat="false" ht="12.75" hidden="false" customHeight="false" outlineLevel="0" collapsed="false">
      <c r="A55" s="364" t="n">
        <v>45837</v>
      </c>
      <c r="B55" s="347" t="n">
        <v>45837</v>
      </c>
      <c r="F55" s="365"/>
    </row>
    <row r="56" customFormat="false" ht="12.75" hidden="false" customHeight="false" outlineLevel="0" collapsed="false">
      <c r="A56" s="364" t="n">
        <v>45837</v>
      </c>
      <c r="B56" s="347" t="s">
        <v>242</v>
      </c>
      <c r="F56" s="365"/>
    </row>
    <row r="57" customFormat="false" ht="12.75" hidden="false" customHeight="false" outlineLevel="0" collapsed="false">
      <c r="A57" s="364" t="n">
        <v>45837</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244</v>
      </c>
      <c r="C1" s="392" t="s">
        <v>237</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245</v>
      </c>
      <c r="C2" s="380" t="s">
        <v>246</v>
      </c>
      <c r="D2" s="380" t="s">
        <v>247</v>
      </c>
      <c r="E2" s="380" t="s">
        <v>248</v>
      </c>
      <c r="F2" s="207" t="s">
        <v>249</v>
      </c>
      <c r="G2" s="381" t="s">
        <v>250</v>
      </c>
      <c r="H2" s="381"/>
      <c r="I2" s="382" t="n">
        <f aca="false">G1+H1+I1+J1+PurchasesMay!I2</f>
        <v>2280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IF((A1&lt;Admin!$F$22),((A1-PurchasesMay!A1)*Admin!$G$21),(A1*Admin!$G$21-(A1-Admin!$F$21)*(Admin!$G$21-Admin!$G$22)-PurchasesMay!A2))</f>
        <v>0</v>
      </c>
    </row>
    <row r="5" s="373" customFormat="true" ht="12.75" hidden="false" customHeight="false" outlineLevel="0" collapsed="false">
      <c r="A5" s="372" t="n">
        <v>45823</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286</v>
      </c>
      <c r="D6" s="373" t="s">
        <v>287</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45838</v>
      </c>
      <c r="B5" s="359" t="n">
        <v>45838</v>
      </c>
      <c r="C5" s="360"/>
      <c r="D5" s="361"/>
      <c r="E5" s="362"/>
      <c r="F5" s="363"/>
    </row>
    <row r="6" customFormat="false" ht="12.75" hidden="false" customHeight="false" outlineLevel="0" collapsed="false">
      <c r="A6" s="364" t="n">
        <v>45839</v>
      </c>
      <c r="B6" s="347" t="n">
        <v>45839</v>
      </c>
      <c r="F6" s="365"/>
    </row>
    <row r="7" customFormat="false" ht="12.75" hidden="false" customHeight="false" outlineLevel="0" collapsed="false">
      <c r="A7" s="364" t="n">
        <v>45840</v>
      </c>
      <c r="B7" s="347" t="n">
        <v>45840</v>
      </c>
      <c r="F7" s="365"/>
    </row>
    <row r="8" customFormat="false" ht="12.75" hidden="false" customHeight="false" outlineLevel="0" collapsed="false">
      <c r="A8" s="364" t="n">
        <v>45841</v>
      </c>
      <c r="B8" s="347" t="n">
        <v>45841</v>
      </c>
      <c r="F8" s="365"/>
    </row>
    <row r="9" customFormat="false" ht="12.75" hidden="false" customHeight="false" outlineLevel="0" collapsed="false">
      <c r="A9" s="364" t="n">
        <v>45842</v>
      </c>
      <c r="B9" s="347" t="n">
        <v>45842</v>
      </c>
      <c r="F9" s="365"/>
    </row>
    <row r="10" customFormat="false" ht="12.75" hidden="false" customHeight="false" outlineLevel="0" collapsed="false">
      <c r="A10" s="364" t="n">
        <v>45843</v>
      </c>
      <c r="B10" s="347" t="n">
        <v>45843</v>
      </c>
      <c r="F10" s="365"/>
    </row>
    <row r="11" customFormat="false" ht="12.75" hidden="false" customHeight="false" outlineLevel="0" collapsed="false">
      <c r="A11" s="364" t="n">
        <v>45844</v>
      </c>
      <c r="B11" s="347" t="n">
        <v>45844</v>
      </c>
      <c r="F11" s="365"/>
    </row>
    <row r="12" customFormat="false" ht="12.75" hidden="false" customHeight="false" outlineLevel="0" collapsed="false">
      <c r="A12" s="364" t="n">
        <v>45844</v>
      </c>
      <c r="B12" s="347" t="s">
        <v>242</v>
      </c>
      <c r="F12" s="365"/>
    </row>
    <row r="13" customFormat="false" ht="12.75" hidden="false" customHeight="false" outlineLevel="0" collapsed="false">
      <c r="A13" s="364" t="n">
        <v>45844</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45845</v>
      </c>
      <c r="B16" s="359" t="n">
        <v>45845</v>
      </c>
      <c r="C16" s="360"/>
      <c r="D16" s="361"/>
      <c r="E16" s="362" t="n">
        <v>200</v>
      </c>
    </row>
    <row r="17" customFormat="false" ht="12.75" hidden="false" customHeight="false" outlineLevel="0" collapsed="false">
      <c r="B17" s="347" t="n">
        <v>45846</v>
      </c>
      <c r="E17" s="349" t="n">
        <v>200</v>
      </c>
      <c r="F17" s="365"/>
    </row>
    <row r="18" customFormat="false" ht="12.75" hidden="false" customHeight="false" outlineLevel="0" collapsed="false">
      <c r="A18" s="364" t="n">
        <v>45847</v>
      </c>
      <c r="B18" s="347" t="n">
        <v>45847</v>
      </c>
      <c r="E18" s="349" t="n">
        <v>200</v>
      </c>
      <c r="F18" s="365"/>
    </row>
    <row r="19" customFormat="false" ht="12.75" hidden="false" customHeight="false" outlineLevel="0" collapsed="false">
      <c r="A19" s="364" t="n">
        <v>45848</v>
      </c>
      <c r="B19" s="347" t="n">
        <v>45848</v>
      </c>
      <c r="E19" s="349" t="n">
        <v>200</v>
      </c>
      <c r="F19" s="365"/>
    </row>
    <row r="20" customFormat="false" ht="12.75" hidden="false" customHeight="false" outlineLevel="0" collapsed="false">
      <c r="A20" s="364" t="n">
        <v>45849</v>
      </c>
      <c r="B20" s="347" t="n">
        <v>45849</v>
      </c>
      <c r="E20" s="349" t="n">
        <v>200</v>
      </c>
      <c r="F20" s="365"/>
    </row>
    <row r="21" customFormat="false" ht="12.75" hidden="false" customHeight="false" outlineLevel="0" collapsed="false">
      <c r="A21" s="364" t="n">
        <v>45850</v>
      </c>
      <c r="B21" s="347" t="n">
        <v>45850</v>
      </c>
      <c r="F21" s="365"/>
    </row>
    <row r="22" customFormat="false" ht="12.75" hidden="false" customHeight="false" outlineLevel="0" collapsed="false">
      <c r="A22" s="364" t="n">
        <v>45851</v>
      </c>
      <c r="B22" s="347" t="n">
        <v>45851</v>
      </c>
      <c r="F22" s="365"/>
    </row>
    <row r="23" customFormat="false" ht="12.75" hidden="false" customHeight="false" outlineLevel="0" collapsed="false">
      <c r="A23" s="364" t="n">
        <v>45851</v>
      </c>
      <c r="B23" s="347" t="s">
        <v>242</v>
      </c>
      <c r="F23" s="365"/>
    </row>
    <row r="24" customFormat="false" ht="12.75" hidden="false" customHeight="false" outlineLevel="0" collapsed="false">
      <c r="A24" s="364" t="n">
        <v>45851</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45852</v>
      </c>
      <c r="B27" s="359" t="n">
        <v>45852</v>
      </c>
      <c r="C27" s="360"/>
      <c r="D27" s="361"/>
      <c r="E27" s="362" t="n">
        <v>200</v>
      </c>
    </row>
    <row r="28" customFormat="false" ht="12.75" hidden="false" customHeight="false" outlineLevel="0" collapsed="false">
      <c r="B28" s="347" t="n">
        <v>45853</v>
      </c>
      <c r="E28" s="349" t="n">
        <v>200</v>
      </c>
      <c r="F28" s="365"/>
    </row>
    <row r="29" customFormat="false" ht="12.75" hidden="false" customHeight="false" outlineLevel="0" collapsed="false">
      <c r="A29" s="364" t="n">
        <v>45854</v>
      </c>
      <c r="B29" s="347" t="n">
        <v>45854</v>
      </c>
      <c r="E29" s="349" t="n">
        <v>200</v>
      </c>
      <c r="F29" s="365"/>
    </row>
    <row r="30" customFormat="false" ht="12.75" hidden="false" customHeight="false" outlineLevel="0" collapsed="false">
      <c r="A30" s="364" t="n">
        <v>45855</v>
      </c>
      <c r="B30" s="347" t="n">
        <v>45855</v>
      </c>
      <c r="E30" s="349" t="n">
        <v>200</v>
      </c>
      <c r="F30" s="365"/>
    </row>
    <row r="31" customFormat="false" ht="12.75" hidden="false" customHeight="false" outlineLevel="0" collapsed="false">
      <c r="A31" s="364" t="n">
        <v>45856</v>
      </c>
      <c r="B31" s="347" t="n">
        <v>45856</v>
      </c>
      <c r="E31" s="349" t="n">
        <v>200</v>
      </c>
      <c r="F31" s="365"/>
    </row>
    <row r="32" customFormat="false" ht="12.75" hidden="false" customHeight="false" outlineLevel="0" collapsed="false">
      <c r="A32" s="364" t="n">
        <v>45857</v>
      </c>
      <c r="B32" s="347" t="n">
        <v>45857</v>
      </c>
      <c r="F32" s="365"/>
    </row>
    <row r="33" customFormat="false" ht="12.75" hidden="false" customHeight="false" outlineLevel="0" collapsed="false">
      <c r="A33" s="364" t="n">
        <v>45858</v>
      </c>
      <c r="B33" s="347" t="n">
        <v>45858</v>
      </c>
      <c r="F33" s="365"/>
    </row>
    <row r="34" customFormat="false" ht="12.75" hidden="false" customHeight="false" outlineLevel="0" collapsed="false">
      <c r="A34" s="364" t="n">
        <v>45858</v>
      </c>
      <c r="B34" s="347" t="s">
        <v>242</v>
      </c>
      <c r="F34" s="365"/>
    </row>
    <row r="35" customFormat="false" ht="12.75" hidden="false" customHeight="false" outlineLevel="0" collapsed="false">
      <c r="A35" s="364" t="n">
        <v>45858</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45859</v>
      </c>
      <c r="B38" s="359" t="n">
        <v>45859</v>
      </c>
      <c r="C38" s="360"/>
      <c r="D38" s="361"/>
      <c r="E38" s="362" t="n">
        <v>200</v>
      </c>
    </row>
    <row r="39" customFormat="false" ht="12.75" hidden="false" customHeight="false" outlineLevel="0" collapsed="false">
      <c r="B39" s="347" t="n">
        <v>45860</v>
      </c>
      <c r="E39" s="349" t="n">
        <v>200</v>
      </c>
      <c r="F39" s="365"/>
    </row>
    <row r="40" customFormat="false" ht="12.75" hidden="false" customHeight="false" outlineLevel="0" collapsed="false">
      <c r="A40" s="364" t="n">
        <v>45861</v>
      </c>
      <c r="B40" s="347" t="n">
        <v>45861</v>
      </c>
      <c r="E40" s="349" t="n">
        <v>200</v>
      </c>
      <c r="F40" s="365"/>
    </row>
    <row r="41" customFormat="false" ht="12.75" hidden="false" customHeight="false" outlineLevel="0" collapsed="false">
      <c r="A41" s="364" t="n">
        <v>45862</v>
      </c>
      <c r="B41" s="347" t="n">
        <v>45862</v>
      </c>
      <c r="E41" s="349" t="n">
        <v>200</v>
      </c>
      <c r="F41" s="365"/>
    </row>
    <row r="42" customFormat="false" ht="12.75" hidden="false" customHeight="false" outlineLevel="0" collapsed="false">
      <c r="A42" s="364" t="n">
        <v>45863</v>
      </c>
      <c r="B42" s="347" t="n">
        <v>45863</v>
      </c>
      <c r="E42" s="349" t="n">
        <v>200</v>
      </c>
      <c r="F42" s="365"/>
    </row>
    <row r="43" customFormat="false" ht="12.75" hidden="false" customHeight="false" outlineLevel="0" collapsed="false">
      <c r="A43" s="364" t="n">
        <v>45864</v>
      </c>
      <c r="B43" s="347" t="n">
        <v>45864</v>
      </c>
      <c r="F43" s="365"/>
    </row>
    <row r="44" customFormat="false" ht="12.75" hidden="false" customHeight="false" outlineLevel="0" collapsed="false">
      <c r="A44" s="364" t="n">
        <v>45865</v>
      </c>
      <c r="B44" s="347" t="n">
        <v>45865</v>
      </c>
      <c r="F44" s="365"/>
    </row>
    <row r="45" customFormat="false" ht="12.75" hidden="false" customHeight="false" outlineLevel="0" collapsed="false">
      <c r="A45" s="364" t="n">
        <v>45865</v>
      </c>
      <c r="B45" s="347" t="s">
        <v>242</v>
      </c>
      <c r="F45" s="365"/>
    </row>
    <row r="46" customFormat="false" ht="12.75" hidden="false" customHeight="false" outlineLevel="0" collapsed="false">
      <c r="A46" s="364" t="n">
        <v>45865</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244</v>
      </c>
      <c r="C1" s="392" t="s">
        <v>237</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245</v>
      </c>
      <c r="C2" s="380" t="s">
        <v>246</v>
      </c>
      <c r="D2" s="380" t="s">
        <v>247</v>
      </c>
      <c r="E2" s="380" t="s">
        <v>248</v>
      </c>
      <c r="F2" s="207" t="s">
        <v>249</v>
      </c>
      <c r="G2" s="381" t="s">
        <v>250</v>
      </c>
      <c r="H2" s="381"/>
      <c r="I2" s="382" t="n">
        <f aca="false">G1+H1+I1+J1+PurchasesJun!I2</f>
        <v>2580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IF((A1&lt;Admin!$F$22),((A1-PurchasesJun!A1)*Admin!$G$21),(A1*Admin!$G$21-(A1-Admin!$F$21)*(Admin!$G$21-Admin!$G$22)-PurchasesJun!A2))</f>
        <v>0</v>
      </c>
    </row>
    <row r="5" s="373" customFormat="true" ht="12.75" hidden="false" customHeight="false" outlineLevel="0" collapsed="false">
      <c r="A5" s="372" t="n">
        <v>45853</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45866</v>
      </c>
      <c r="B5" s="359" t="n">
        <v>45866</v>
      </c>
      <c r="C5" s="360"/>
      <c r="D5" s="361"/>
      <c r="E5" s="362"/>
      <c r="F5" s="363"/>
    </row>
    <row r="6" customFormat="false" ht="12.75" hidden="false" customHeight="false" outlineLevel="0" collapsed="false">
      <c r="A6" s="364" t="n">
        <v>45867</v>
      </c>
      <c r="B6" s="347" t="n">
        <v>45867</v>
      </c>
      <c r="F6" s="365"/>
    </row>
    <row r="7" customFormat="false" ht="12.75" hidden="false" customHeight="false" outlineLevel="0" collapsed="false">
      <c r="A7" s="364" t="n">
        <v>45868</v>
      </c>
      <c r="B7" s="347" t="n">
        <v>45868</v>
      </c>
      <c r="F7" s="365"/>
    </row>
    <row r="8" customFormat="false" ht="12.75" hidden="false" customHeight="false" outlineLevel="0" collapsed="false">
      <c r="A8" s="364" t="n">
        <v>45869</v>
      </c>
      <c r="B8" s="347" t="n">
        <v>45869</v>
      </c>
      <c r="F8" s="365"/>
    </row>
    <row r="9" customFormat="false" ht="12.75" hidden="false" customHeight="false" outlineLevel="0" collapsed="false">
      <c r="A9" s="364" t="n">
        <v>45870</v>
      </c>
      <c r="B9" s="347" t="n">
        <v>45870</v>
      </c>
      <c r="F9" s="365"/>
    </row>
    <row r="10" customFormat="false" ht="12.75" hidden="false" customHeight="false" outlineLevel="0" collapsed="false">
      <c r="A10" s="364" t="n">
        <v>45871</v>
      </c>
      <c r="B10" s="347" t="n">
        <v>45871</v>
      </c>
      <c r="F10" s="365"/>
    </row>
    <row r="11" customFormat="false" ht="12.75" hidden="false" customHeight="false" outlineLevel="0" collapsed="false">
      <c r="A11" s="364" t="n">
        <v>45872</v>
      </c>
      <c r="B11" s="347" t="n">
        <v>45872</v>
      </c>
      <c r="F11" s="365"/>
    </row>
    <row r="12" customFormat="false" ht="12.75" hidden="false" customHeight="false" outlineLevel="0" collapsed="false">
      <c r="A12" s="364" t="n">
        <v>45872</v>
      </c>
      <c r="B12" s="347" t="s">
        <v>242</v>
      </c>
      <c r="F12" s="365"/>
    </row>
    <row r="13" customFormat="false" ht="12.75" hidden="false" customHeight="false" outlineLevel="0" collapsed="false">
      <c r="A13" s="364" t="n">
        <v>45872</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45873</v>
      </c>
      <c r="B16" s="359" t="n">
        <v>45873</v>
      </c>
      <c r="C16" s="360"/>
      <c r="D16" s="361"/>
      <c r="E16" s="362" t="n">
        <v>200</v>
      </c>
    </row>
    <row r="17" customFormat="false" ht="12.75" hidden="false" customHeight="false" outlineLevel="0" collapsed="false">
      <c r="B17" s="347" t="n">
        <v>45874</v>
      </c>
      <c r="E17" s="349" t="n">
        <v>200</v>
      </c>
      <c r="F17" s="365"/>
    </row>
    <row r="18" customFormat="false" ht="12.75" hidden="false" customHeight="false" outlineLevel="0" collapsed="false">
      <c r="A18" s="364" t="n">
        <v>45875</v>
      </c>
      <c r="B18" s="347" t="n">
        <v>45875</v>
      </c>
      <c r="E18" s="349" t="n">
        <v>200</v>
      </c>
      <c r="F18" s="365"/>
    </row>
    <row r="19" customFormat="false" ht="12.75" hidden="false" customHeight="false" outlineLevel="0" collapsed="false">
      <c r="A19" s="364" t="n">
        <v>45876</v>
      </c>
      <c r="B19" s="347" t="n">
        <v>45876</v>
      </c>
      <c r="E19" s="349" t="n">
        <v>200</v>
      </c>
      <c r="F19" s="365"/>
    </row>
    <row r="20" customFormat="false" ht="12.75" hidden="false" customHeight="false" outlineLevel="0" collapsed="false">
      <c r="A20" s="364" t="n">
        <v>45877</v>
      </c>
      <c r="B20" s="347" t="n">
        <v>45877</v>
      </c>
      <c r="E20" s="349" t="n">
        <v>200</v>
      </c>
      <c r="F20" s="365"/>
    </row>
    <row r="21" customFormat="false" ht="12.75" hidden="false" customHeight="false" outlineLevel="0" collapsed="false">
      <c r="A21" s="364" t="n">
        <v>45878</v>
      </c>
      <c r="B21" s="347" t="n">
        <v>45878</v>
      </c>
      <c r="F21" s="365"/>
    </row>
    <row r="22" customFormat="false" ht="12.75" hidden="false" customHeight="false" outlineLevel="0" collapsed="false">
      <c r="A22" s="364" t="n">
        <v>45879</v>
      </c>
      <c r="B22" s="347" t="n">
        <v>45879</v>
      </c>
      <c r="F22" s="365"/>
    </row>
    <row r="23" customFormat="false" ht="12.75" hidden="false" customHeight="false" outlineLevel="0" collapsed="false">
      <c r="A23" s="364" t="n">
        <v>45879</v>
      </c>
      <c r="B23" s="347" t="s">
        <v>242</v>
      </c>
      <c r="F23" s="365"/>
    </row>
    <row r="24" customFormat="false" ht="12.75" hidden="false" customHeight="false" outlineLevel="0" collapsed="false">
      <c r="A24" s="364" t="n">
        <v>45879</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45880</v>
      </c>
      <c r="B27" s="359" t="n">
        <v>45880</v>
      </c>
      <c r="C27" s="360"/>
      <c r="D27" s="361"/>
      <c r="E27" s="362" t="n">
        <v>200</v>
      </c>
    </row>
    <row r="28" customFormat="false" ht="12.75" hidden="false" customHeight="false" outlineLevel="0" collapsed="false">
      <c r="B28" s="347" t="n">
        <v>45881</v>
      </c>
      <c r="E28" s="349" t="n">
        <v>200</v>
      </c>
      <c r="F28" s="365"/>
    </row>
    <row r="29" customFormat="false" ht="12.75" hidden="false" customHeight="false" outlineLevel="0" collapsed="false">
      <c r="A29" s="364" t="n">
        <v>45882</v>
      </c>
      <c r="B29" s="347" t="n">
        <v>45882</v>
      </c>
      <c r="E29" s="349" t="n">
        <v>200</v>
      </c>
      <c r="F29" s="365"/>
    </row>
    <row r="30" customFormat="false" ht="12.75" hidden="false" customHeight="false" outlineLevel="0" collapsed="false">
      <c r="A30" s="364" t="n">
        <v>45883</v>
      </c>
      <c r="B30" s="347" t="n">
        <v>45883</v>
      </c>
      <c r="E30" s="349" t="n">
        <v>200</v>
      </c>
      <c r="F30" s="365"/>
    </row>
    <row r="31" customFormat="false" ht="12.75" hidden="false" customHeight="false" outlineLevel="0" collapsed="false">
      <c r="A31" s="364" t="n">
        <v>45884</v>
      </c>
      <c r="B31" s="347" t="n">
        <v>45884</v>
      </c>
      <c r="E31" s="349" t="n">
        <v>200</v>
      </c>
      <c r="F31" s="365"/>
    </row>
    <row r="32" customFormat="false" ht="12.75" hidden="false" customHeight="false" outlineLevel="0" collapsed="false">
      <c r="A32" s="364" t="n">
        <v>45885</v>
      </c>
      <c r="B32" s="347" t="n">
        <v>45885</v>
      </c>
      <c r="F32" s="365"/>
    </row>
    <row r="33" customFormat="false" ht="12.75" hidden="false" customHeight="false" outlineLevel="0" collapsed="false">
      <c r="A33" s="364" t="n">
        <v>45886</v>
      </c>
      <c r="B33" s="347" t="n">
        <v>45886</v>
      </c>
      <c r="F33" s="365"/>
    </row>
    <row r="34" customFormat="false" ht="12.75" hidden="false" customHeight="false" outlineLevel="0" collapsed="false">
      <c r="A34" s="364" t="n">
        <v>45886</v>
      </c>
      <c r="B34" s="347" t="s">
        <v>242</v>
      </c>
      <c r="F34" s="365"/>
    </row>
    <row r="35" customFormat="false" ht="12.75" hidden="false" customHeight="false" outlineLevel="0" collapsed="false">
      <c r="A35" s="364" t="n">
        <v>45886</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45887</v>
      </c>
      <c r="B38" s="359" t="n">
        <v>45887</v>
      </c>
      <c r="C38" s="360"/>
      <c r="D38" s="361"/>
      <c r="E38" s="362" t="n">
        <v>200</v>
      </c>
    </row>
    <row r="39" customFormat="false" ht="12.75" hidden="false" customHeight="false" outlineLevel="0" collapsed="false">
      <c r="B39" s="347" t="n">
        <v>45888</v>
      </c>
      <c r="E39" s="349" t="n">
        <v>200</v>
      </c>
      <c r="F39" s="365"/>
    </row>
    <row r="40" customFormat="false" ht="12.75" hidden="false" customHeight="false" outlineLevel="0" collapsed="false">
      <c r="A40" s="364" t="n">
        <v>45889</v>
      </c>
      <c r="B40" s="347" t="n">
        <v>45889</v>
      </c>
      <c r="E40" s="349" t="n">
        <v>200</v>
      </c>
      <c r="F40" s="365"/>
    </row>
    <row r="41" customFormat="false" ht="12.75" hidden="false" customHeight="false" outlineLevel="0" collapsed="false">
      <c r="A41" s="364" t="n">
        <v>45890</v>
      </c>
      <c r="B41" s="347" t="n">
        <v>45890</v>
      </c>
      <c r="E41" s="349" t="n">
        <v>200</v>
      </c>
      <c r="F41" s="365"/>
    </row>
    <row r="42" customFormat="false" ht="12.75" hidden="false" customHeight="false" outlineLevel="0" collapsed="false">
      <c r="A42" s="364" t="n">
        <v>45891</v>
      </c>
      <c r="B42" s="347" t="n">
        <v>45891</v>
      </c>
      <c r="E42" s="349" t="n">
        <v>200</v>
      </c>
      <c r="F42" s="365"/>
    </row>
    <row r="43" customFormat="false" ht="12.75" hidden="false" customHeight="false" outlineLevel="0" collapsed="false">
      <c r="A43" s="364" t="n">
        <v>45892</v>
      </c>
      <c r="B43" s="347" t="n">
        <v>45892</v>
      </c>
      <c r="F43" s="365"/>
    </row>
    <row r="44" customFormat="false" ht="12.75" hidden="false" customHeight="false" outlineLevel="0" collapsed="false">
      <c r="A44" s="364" t="n">
        <v>45893</v>
      </c>
      <c r="B44" s="347" t="n">
        <v>45893</v>
      </c>
      <c r="F44" s="365"/>
    </row>
    <row r="45" customFormat="false" ht="12.75" hidden="false" customHeight="false" outlineLevel="0" collapsed="false">
      <c r="A45" s="364" t="n">
        <v>45893</v>
      </c>
      <c r="B45" s="347" t="s">
        <v>242</v>
      </c>
      <c r="F45" s="365"/>
    </row>
    <row r="46" customFormat="false" ht="12.75" hidden="false" customHeight="false" outlineLevel="0" collapsed="false">
      <c r="A46" s="364" t="n">
        <v>45893</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45894</v>
      </c>
      <c r="B49" s="359" t="n">
        <v>45894</v>
      </c>
      <c r="C49" s="360"/>
      <c r="D49" s="361"/>
      <c r="E49" s="362"/>
      <c r="F49" s="363"/>
    </row>
    <row r="50" customFormat="false" ht="12.75" hidden="false" customHeight="false" outlineLevel="0" collapsed="false">
      <c r="A50" s="364" t="n">
        <v>45895</v>
      </c>
      <c r="B50" s="347" t="n">
        <v>45895</v>
      </c>
      <c r="F50" s="365"/>
    </row>
    <row r="51" customFormat="false" ht="12.75" hidden="false" customHeight="false" outlineLevel="0" collapsed="false">
      <c r="A51" s="364" t="n">
        <v>45896</v>
      </c>
      <c r="B51" s="347" t="n">
        <v>45896</v>
      </c>
      <c r="F51" s="365"/>
    </row>
    <row r="52" customFormat="false" ht="12.75" hidden="false" customHeight="false" outlineLevel="0" collapsed="false">
      <c r="A52" s="364" t="n">
        <v>45897</v>
      </c>
      <c r="B52" s="347" t="n">
        <v>45897</v>
      </c>
      <c r="F52" s="365"/>
    </row>
    <row r="53" customFormat="false" ht="12.75" hidden="false" customHeight="false" outlineLevel="0" collapsed="false">
      <c r="A53" s="364" t="n">
        <v>45898</v>
      </c>
      <c r="B53" s="347" t="n">
        <v>45898</v>
      </c>
      <c r="F53" s="365"/>
    </row>
    <row r="54" customFormat="false" ht="12.75" hidden="false" customHeight="false" outlineLevel="0" collapsed="false">
      <c r="A54" s="364" t="n">
        <v>45899</v>
      </c>
      <c r="B54" s="347" t="n">
        <v>45899</v>
      </c>
      <c r="F54" s="365"/>
    </row>
    <row r="55" customFormat="false" ht="12.75" hidden="false" customHeight="false" outlineLevel="0" collapsed="false">
      <c r="A55" s="364" t="n">
        <v>45900</v>
      </c>
      <c r="B55" s="347" t="n">
        <v>45900</v>
      </c>
      <c r="F55" s="365"/>
    </row>
    <row r="56" customFormat="false" ht="12.75" hidden="false" customHeight="false" outlineLevel="0" collapsed="false">
      <c r="A56" s="364" t="n">
        <v>45900</v>
      </c>
      <c r="B56" s="347" t="s">
        <v>242</v>
      </c>
      <c r="F56" s="365"/>
    </row>
    <row r="57" customFormat="false" ht="12.75" hidden="false" customHeight="false" outlineLevel="0" collapsed="false">
      <c r="A57" s="364" t="n">
        <v>45900</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245</v>
      </c>
      <c r="C2" s="380" t="s">
        <v>246</v>
      </c>
      <c r="D2" s="380" t="s">
        <v>247</v>
      </c>
      <c r="E2" s="380" t="s">
        <v>248</v>
      </c>
      <c r="F2" s="207" t="s">
        <v>249</v>
      </c>
      <c r="G2" s="381" t="s">
        <v>250</v>
      </c>
      <c r="H2" s="381"/>
      <c r="I2" s="382" t="n">
        <f aca="false">G1+H1+I1+J1+PurchasesJul!I2</f>
        <v>2880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IF((A1&lt;Admin!$F$22),((A1-PurchasesJul!A1)*Admin!$G$21),(A1*Admin!$G$21-(A1-Admin!$F$21)*(Admin!$G$21-Admin!$G$22)-PurchasesJul!A2))</f>
        <v>0</v>
      </c>
    </row>
    <row r="5" s="373" customFormat="true" ht="12.75" hidden="false" customHeight="false" outlineLevel="0" collapsed="false">
      <c r="A5" s="372" t="n">
        <v>45884</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45901</v>
      </c>
      <c r="B5" s="359" t="n">
        <v>45901</v>
      </c>
      <c r="C5" s="360"/>
      <c r="D5" s="361"/>
      <c r="E5" s="362" t="n">
        <v>200</v>
      </c>
    </row>
    <row r="6" customFormat="false" ht="12.75" hidden="false" customHeight="false" outlineLevel="0" collapsed="false">
      <c r="B6" s="347" t="n">
        <v>45902</v>
      </c>
      <c r="E6" s="349" t="n">
        <v>200</v>
      </c>
      <c r="F6" s="365"/>
    </row>
    <row r="7" customFormat="false" ht="12.75" hidden="false" customHeight="false" outlineLevel="0" collapsed="false">
      <c r="A7" s="364" t="n">
        <v>45903</v>
      </c>
      <c r="B7" s="347" t="n">
        <v>45903</v>
      </c>
      <c r="E7" s="349" t="n">
        <v>200</v>
      </c>
      <c r="F7" s="365"/>
    </row>
    <row r="8" customFormat="false" ht="12.75" hidden="false" customHeight="false" outlineLevel="0" collapsed="false">
      <c r="A8" s="364" t="n">
        <v>45904</v>
      </c>
      <c r="B8" s="347" t="n">
        <v>45904</v>
      </c>
      <c r="E8" s="349" t="n">
        <v>200</v>
      </c>
      <c r="F8" s="365"/>
    </row>
    <row r="9" customFormat="false" ht="12.75" hidden="false" customHeight="false" outlineLevel="0" collapsed="false">
      <c r="A9" s="364" t="n">
        <v>45905</v>
      </c>
      <c r="B9" s="347" t="n">
        <v>45905</v>
      </c>
      <c r="E9" s="349" t="n">
        <v>200</v>
      </c>
      <c r="F9" s="365"/>
    </row>
    <row r="10" customFormat="false" ht="12.75" hidden="false" customHeight="false" outlineLevel="0" collapsed="false">
      <c r="A10" s="364" t="n">
        <v>45906</v>
      </c>
      <c r="B10" s="347" t="n">
        <v>45906</v>
      </c>
      <c r="F10" s="365"/>
    </row>
    <row r="11" customFormat="false" ht="12.75" hidden="false" customHeight="false" outlineLevel="0" collapsed="false">
      <c r="A11" s="364" t="n">
        <v>45907</v>
      </c>
      <c r="B11" s="347" t="n">
        <v>45907</v>
      </c>
      <c r="F11" s="365"/>
    </row>
    <row r="12" customFormat="false" ht="12.75" hidden="false" customHeight="false" outlineLevel="0" collapsed="false">
      <c r="A12" s="364" t="n">
        <v>45907</v>
      </c>
      <c r="B12" s="347" t="s">
        <v>242</v>
      </c>
      <c r="F12" s="365"/>
    </row>
    <row r="13" customFormat="false" ht="12.75" hidden="false" customHeight="false" outlineLevel="0" collapsed="false">
      <c r="A13" s="364" t="n">
        <v>45907</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45908</v>
      </c>
      <c r="B16" s="359" t="n">
        <v>45908</v>
      </c>
      <c r="C16" s="360"/>
      <c r="D16" s="361"/>
      <c r="E16" s="362" t="n">
        <v>200</v>
      </c>
    </row>
    <row r="17" customFormat="false" ht="12.75" hidden="false" customHeight="false" outlineLevel="0" collapsed="false">
      <c r="B17" s="347" t="n">
        <v>45909</v>
      </c>
      <c r="E17" s="349" t="n">
        <v>200</v>
      </c>
      <c r="F17" s="365"/>
    </row>
    <row r="18" customFormat="false" ht="12.75" hidden="false" customHeight="false" outlineLevel="0" collapsed="false">
      <c r="A18" s="364" t="n">
        <v>45910</v>
      </c>
      <c r="B18" s="347" t="n">
        <v>45910</v>
      </c>
      <c r="E18" s="349" t="n">
        <v>200</v>
      </c>
      <c r="F18" s="365"/>
    </row>
    <row r="19" customFormat="false" ht="12.75" hidden="false" customHeight="false" outlineLevel="0" collapsed="false">
      <c r="A19" s="364" t="n">
        <v>45911</v>
      </c>
      <c r="B19" s="347" t="n">
        <v>45911</v>
      </c>
      <c r="E19" s="349" t="n">
        <v>200</v>
      </c>
      <c r="F19" s="365"/>
    </row>
    <row r="20" customFormat="false" ht="12.75" hidden="false" customHeight="false" outlineLevel="0" collapsed="false">
      <c r="A20" s="364" t="n">
        <v>45912</v>
      </c>
      <c r="B20" s="347" t="n">
        <v>45912</v>
      </c>
      <c r="E20" s="349" t="n">
        <v>200</v>
      </c>
      <c r="F20" s="365"/>
    </row>
    <row r="21" customFormat="false" ht="12.75" hidden="false" customHeight="false" outlineLevel="0" collapsed="false">
      <c r="A21" s="364" t="n">
        <v>45913</v>
      </c>
      <c r="B21" s="347" t="n">
        <v>45913</v>
      </c>
      <c r="F21" s="365"/>
    </row>
    <row r="22" customFormat="false" ht="12.75" hidden="false" customHeight="false" outlineLevel="0" collapsed="false">
      <c r="A22" s="364" t="n">
        <v>45914</v>
      </c>
      <c r="B22" s="347" t="n">
        <v>45914</v>
      </c>
      <c r="F22" s="365"/>
    </row>
    <row r="23" customFormat="false" ht="12.75" hidden="false" customHeight="false" outlineLevel="0" collapsed="false">
      <c r="A23" s="364" t="n">
        <v>45914</v>
      </c>
      <c r="B23" s="347" t="s">
        <v>242</v>
      </c>
      <c r="F23" s="365"/>
    </row>
    <row r="24" customFormat="false" ht="12.75" hidden="false" customHeight="false" outlineLevel="0" collapsed="false">
      <c r="A24" s="364" t="n">
        <v>45914</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45915</v>
      </c>
      <c r="B27" s="359" t="n">
        <v>45915</v>
      </c>
      <c r="C27" s="360"/>
      <c r="D27" s="361"/>
      <c r="E27" s="362" t="n">
        <v>200</v>
      </c>
    </row>
    <row r="28" customFormat="false" ht="12.75" hidden="false" customHeight="false" outlineLevel="0" collapsed="false">
      <c r="B28" s="347" t="n">
        <v>45916</v>
      </c>
      <c r="E28" s="349" t="n">
        <v>200</v>
      </c>
      <c r="F28" s="365"/>
    </row>
    <row r="29" customFormat="false" ht="12.75" hidden="false" customHeight="false" outlineLevel="0" collapsed="false">
      <c r="A29" s="364" t="n">
        <v>45917</v>
      </c>
      <c r="B29" s="347" t="n">
        <v>45917</v>
      </c>
      <c r="E29" s="349" t="n">
        <v>200</v>
      </c>
      <c r="F29" s="365"/>
    </row>
    <row r="30" customFormat="false" ht="12.75" hidden="false" customHeight="false" outlineLevel="0" collapsed="false">
      <c r="A30" s="364" t="n">
        <v>45918</v>
      </c>
      <c r="B30" s="347" t="n">
        <v>45918</v>
      </c>
      <c r="E30" s="349" t="n">
        <v>200</v>
      </c>
      <c r="F30" s="365"/>
    </row>
    <row r="31" customFormat="false" ht="12.75" hidden="false" customHeight="false" outlineLevel="0" collapsed="false">
      <c r="A31" s="364" t="n">
        <v>45919</v>
      </c>
      <c r="B31" s="347" t="n">
        <v>45919</v>
      </c>
      <c r="E31" s="349" t="n">
        <v>200</v>
      </c>
      <c r="F31" s="365"/>
    </row>
    <row r="32" customFormat="false" ht="12.75" hidden="false" customHeight="false" outlineLevel="0" collapsed="false">
      <c r="A32" s="364" t="n">
        <v>45920</v>
      </c>
      <c r="B32" s="347" t="n">
        <v>45920</v>
      </c>
      <c r="F32" s="365"/>
    </row>
    <row r="33" customFormat="false" ht="12.75" hidden="false" customHeight="false" outlineLevel="0" collapsed="false">
      <c r="A33" s="364" t="n">
        <v>45921</v>
      </c>
      <c r="B33" s="347" t="n">
        <v>45921</v>
      </c>
      <c r="F33" s="365"/>
    </row>
    <row r="34" customFormat="false" ht="12.75" hidden="false" customHeight="false" outlineLevel="0" collapsed="false">
      <c r="A34" s="364" t="n">
        <v>45921</v>
      </c>
      <c r="B34" s="347" t="s">
        <v>242</v>
      </c>
      <c r="F34" s="365"/>
    </row>
    <row r="35" customFormat="false" ht="12.75" hidden="false" customHeight="false" outlineLevel="0" collapsed="false">
      <c r="A35" s="364" t="n">
        <v>45921</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45922</v>
      </c>
      <c r="B38" s="359" t="n">
        <v>45922</v>
      </c>
      <c r="C38" s="360"/>
      <c r="D38" s="361"/>
      <c r="E38" s="362"/>
      <c r="F38" s="363"/>
    </row>
    <row r="39" customFormat="false" ht="12.75" hidden="false" customHeight="false" outlineLevel="0" collapsed="false">
      <c r="A39" s="364" t="n">
        <v>45923</v>
      </c>
      <c r="B39" s="347" t="n">
        <v>45923</v>
      </c>
      <c r="F39" s="365"/>
    </row>
    <row r="40" customFormat="false" ht="12.75" hidden="false" customHeight="false" outlineLevel="0" collapsed="false">
      <c r="A40" s="364" t="n">
        <v>45924</v>
      </c>
      <c r="B40" s="347" t="n">
        <v>45924</v>
      </c>
      <c r="F40" s="365"/>
    </row>
    <row r="41" customFormat="false" ht="12.75" hidden="false" customHeight="false" outlineLevel="0" collapsed="false">
      <c r="A41" s="364" t="n">
        <v>45925</v>
      </c>
      <c r="B41" s="347" t="n">
        <v>45925</v>
      </c>
      <c r="F41" s="365"/>
    </row>
    <row r="42" customFormat="false" ht="12.75" hidden="false" customHeight="false" outlineLevel="0" collapsed="false">
      <c r="A42" s="364" t="n">
        <v>45926</v>
      </c>
      <c r="B42" s="347" t="n">
        <v>45926</v>
      </c>
      <c r="F42" s="365"/>
    </row>
    <row r="43" customFormat="false" ht="12.75" hidden="false" customHeight="false" outlineLevel="0" collapsed="false">
      <c r="A43" s="364" t="n">
        <v>45927</v>
      </c>
      <c r="B43" s="347" t="n">
        <v>45927</v>
      </c>
      <c r="F43" s="365"/>
    </row>
    <row r="44" customFormat="false" ht="12.75" hidden="false" customHeight="false" outlineLevel="0" collapsed="false">
      <c r="A44" s="364" t="n">
        <v>45928</v>
      </c>
      <c r="B44" s="347" t="n">
        <v>45928</v>
      </c>
      <c r="F44" s="365"/>
    </row>
    <row r="45" customFormat="false" ht="12.75" hidden="false" customHeight="false" outlineLevel="0" collapsed="false">
      <c r="A45" s="364" t="n">
        <v>45928</v>
      </c>
      <c r="B45" s="347" t="s">
        <v>242</v>
      </c>
      <c r="F45" s="365"/>
    </row>
    <row r="46" customFormat="false" ht="12.75" hidden="false" customHeight="false" outlineLevel="0" collapsed="false">
      <c r="A46" s="364" t="n">
        <v>45928</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245</v>
      </c>
      <c r="C2" s="380" t="s">
        <v>246</v>
      </c>
      <c r="D2" s="380" t="s">
        <v>247</v>
      </c>
      <c r="E2" s="380" t="s">
        <v>248</v>
      </c>
      <c r="F2" s="207" t="s">
        <v>249</v>
      </c>
      <c r="G2" s="381" t="s">
        <v>250</v>
      </c>
      <c r="H2" s="381"/>
      <c r="I2" s="382" t="n">
        <f aca="false">G1+H1+I1+J1+PurchasesAug!I2</f>
        <v>3180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IF((A1&lt;Admin!$F$22),((A1-PurchasesAug!A1)*Admin!$G$21),(A1*Admin!$G$21-(A1-Admin!$F$21)*(Admin!$G$21-Admin!$G$22)-PurchasesAug!A2))</f>
        <v>0</v>
      </c>
    </row>
    <row r="5" s="373" customFormat="true" ht="12.75" hidden="false" customHeight="false" outlineLevel="0" collapsed="false">
      <c r="A5" s="372" t="n">
        <v>45915</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45929</v>
      </c>
      <c r="B5" s="359" t="n">
        <v>45929</v>
      </c>
      <c r="C5" s="360"/>
      <c r="D5" s="361"/>
      <c r="E5" s="362"/>
      <c r="F5" s="363"/>
    </row>
    <row r="6" customFormat="false" ht="12.75" hidden="false" customHeight="false" outlineLevel="0" collapsed="false">
      <c r="A6" s="364" t="n">
        <v>45930</v>
      </c>
      <c r="B6" s="347" t="n">
        <v>45930</v>
      </c>
      <c r="F6" s="365"/>
    </row>
    <row r="7" customFormat="false" ht="12.75" hidden="false" customHeight="false" outlineLevel="0" collapsed="false">
      <c r="A7" s="364" t="n">
        <v>45931</v>
      </c>
      <c r="B7" s="347" t="n">
        <v>45931</v>
      </c>
      <c r="F7" s="365"/>
    </row>
    <row r="8" customFormat="false" ht="12.75" hidden="false" customHeight="false" outlineLevel="0" collapsed="false">
      <c r="A8" s="364" t="n">
        <v>45932</v>
      </c>
      <c r="B8" s="347" t="n">
        <v>45932</v>
      </c>
      <c r="F8" s="365"/>
    </row>
    <row r="9" customFormat="false" ht="12.75" hidden="false" customHeight="false" outlineLevel="0" collapsed="false">
      <c r="A9" s="364" t="n">
        <v>45933</v>
      </c>
      <c r="B9" s="347" t="n">
        <v>45933</v>
      </c>
      <c r="F9" s="365"/>
    </row>
    <row r="10" customFormat="false" ht="12.75" hidden="false" customHeight="false" outlineLevel="0" collapsed="false">
      <c r="A10" s="364" t="n">
        <v>45934</v>
      </c>
      <c r="B10" s="347" t="n">
        <v>45934</v>
      </c>
      <c r="F10" s="365"/>
    </row>
    <row r="11" customFormat="false" ht="12.75" hidden="false" customHeight="false" outlineLevel="0" collapsed="false">
      <c r="A11" s="364" t="n">
        <v>45935</v>
      </c>
      <c r="B11" s="347" t="n">
        <v>45935</v>
      </c>
      <c r="F11" s="365"/>
    </row>
    <row r="12" customFormat="false" ht="12.75" hidden="false" customHeight="false" outlineLevel="0" collapsed="false">
      <c r="A12" s="364" t="n">
        <v>45935</v>
      </c>
      <c r="B12" s="347" t="s">
        <v>242</v>
      </c>
      <c r="F12" s="365"/>
    </row>
    <row r="13" customFormat="false" ht="12.75" hidden="false" customHeight="false" outlineLevel="0" collapsed="false">
      <c r="A13" s="364" t="n">
        <v>45935</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45936</v>
      </c>
      <c r="B16" s="359" t="n">
        <v>45936</v>
      </c>
      <c r="C16" s="360"/>
      <c r="D16" s="361"/>
      <c r="E16" s="362" t="n">
        <v>200</v>
      </c>
    </row>
    <row r="17" customFormat="false" ht="12.75" hidden="false" customHeight="false" outlineLevel="0" collapsed="false">
      <c r="B17" s="347" t="n">
        <v>45937</v>
      </c>
      <c r="E17" s="349" t="n">
        <v>200</v>
      </c>
      <c r="F17" s="365"/>
    </row>
    <row r="18" customFormat="false" ht="12.75" hidden="false" customHeight="false" outlineLevel="0" collapsed="false">
      <c r="A18" s="364" t="n">
        <v>45938</v>
      </c>
      <c r="B18" s="347" t="n">
        <v>45938</v>
      </c>
      <c r="E18" s="349" t="n">
        <v>200</v>
      </c>
      <c r="F18" s="365"/>
    </row>
    <row r="19" customFormat="false" ht="12.75" hidden="false" customHeight="false" outlineLevel="0" collapsed="false">
      <c r="A19" s="364" t="n">
        <v>45939</v>
      </c>
      <c r="B19" s="347" t="n">
        <v>45939</v>
      </c>
      <c r="E19" s="349" t="n">
        <v>200</v>
      </c>
      <c r="F19" s="365"/>
    </row>
    <row r="20" customFormat="false" ht="12.75" hidden="false" customHeight="false" outlineLevel="0" collapsed="false">
      <c r="A20" s="364" t="n">
        <v>45940</v>
      </c>
      <c r="B20" s="347" t="n">
        <v>45940</v>
      </c>
      <c r="E20" s="349" t="n">
        <v>200</v>
      </c>
      <c r="F20" s="365"/>
    </row>
    <row r="21" customFormat="false" ht="12.75" hidden="false" customHeight="false" outlineLevel="0" collapsed="false">
      <c r="A21" s="364" t="n">
        <v>45941</v>
      </c>
      <c r="B21" s="347" t="n">
        <v>45941</v>
      </c>
      <c r="F21" s="365"/>
    </row>
    <row r="22" customFormat="false" ht="12.75" hidden="false" customHeight="false" outlineLevel="0" collapsed="false">
      <c r="A22" s="364" t="n">
        <v>45942</v>
      </c>
      <c r="B22" s="347" t="n">
        <v>45942</v>
      </c>
      <c r="F22" s="365"/>
    </row>
    <row r="23" customFormat="false" ht="12.75" hidden="false" customHeight="false" outlineLevel="0" collapsed="false">
      <c r="A23" s="364" t="n">
        <v>45942</v>
      </c>
      <c r="B23" s="347" t="s">
        <v>242</v>
      </c>
      <c r="F23" s="365"/>
    </row>
    <row r="24" customFormat="false" ht="12.75" hidden="false" customHeight="false" outlineLevel="0" collapsed="false">
      <c r="A24" s="364" t="n">
        <v>45942</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45943</v>
      </c>
      <c r="B27" s="359" t="n">
        <v>45943</v>
      </c>
      <c r="C27" s="360"/>
      <c r="D27" s="361"/>
      <c r="E27" s="362" t="n">
        <v>200</v>
      </c>
    </row>
    <row r="28" customFormat="false" ht="12.75" hidden="false" customHeight="false" outlineLevel="0" collapsed="false">
      <c r="B28" s="347" t="n">
        <v>45944</v>
      </c>
      <c r="E28" s="349" t="n">
        <v>200</v>
      </c>
      <c r="F28" s="365"/>
    </row>
    <row r="29" customFormat="false" ht="12.75" hidden="false" customHeight="false" outlineLevel="0" collapsed="false">
      <c r="A29" s="364" t="n">
        <v>45945</v>
      </c>
      <c r="B29" s="347" t="n">
        <v>45945</v>
      </c>
      <c r="E29" s="349" t="n">
        <v>200</v>
      </c>
      <c r="F29" s="365"/>
    </row>
    <row r="30" customFormat="false" ht="12.75" hidden="false" customHeight="false" outlineLevel="0" collapsed="false">
      <c r="A30" s="364" t="n">
        <v>45946</v>
      </c>
      <c r="B30" s="347" t="n">
        <v>45946</v>
      </c>
      <c r="E30" s="349" t="n">
        <v>200</v>
      </c>
      <c r="F30" s="365"/>
    </row>
    <row r="31" customFormat="false" ht="12.75" hidden="false" customHeight="false" outlineLevel="0" collapsed="false">
      <c r="A31" s="364" t="n">
        <v>45947</v>
      </c>
      <c r="B31" s="347" t="n">
        <v>45947</v>
      </c>
      <c r="E31" s="349" t="n">
        <v>200</v>
      </c>
      <c r="F31" s="365"/>
    </row>
    <row r="32" customFormat="false" ht="12.75" hidden="false" customHeight="false" outlineLevel="0" collapsed="false">
      <c r="A32" s="364" t="n">
        <v>45948</v>
      </c>
      <c r="B32" s="347" t="n">
        <v>45948</v>
      </c>
      <c r="F32" s="365"/>
    </row>
    <row r="33" customFormat="false" ht="12.75" hidden="false" customHeight="false" outlineLevel="0" collapsed="false">
      <c r="A33" s="364" t="n">
        <v>45949</v>
      </c>
      <c r="B33" s="347" t="n">
        <v>45949</v>
      </c>
      <c r="F33" s="365"/>
    </row>
    <row r="34" customFormat="false" ht="12.75" hidden="false" customHeight="false" outlineLevel="0" collapsed="false">
      <c r="A34" s="364" t="n">
        <v>45949</v>
      </c>
      <c r="B34" s="347" t="s">
        <v>242</v>
      </c>
      <c r="F34" s="365"/>
    </row>
    <row r="35" customFormat="false" ht="12.75" hidden="false" customHeight="false" outlineLevel="0" collapsed="false">
      <c r="A35" s="364" t="n">
        <v>45949</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45950</v>
      </c>
      <c r="B38" s="359" t="n">
        <v>45950</v>
      </c>
      <c r="C38" s="360"/>
      <c r="D38" s="361"/>
      <c r="E38" s="362" t="n">
        <v>200</v>
      </c>
    </row>
    <row r="39" customFormat="false" ht="12.75" hidden="false" customHeight="false" outlineLevel="0" collapsed="false">
      <c r="B39" s="347" t="n">
        <v>45951</v>
      </c>
      <c r="E39" s="349" t="n">
        <v>200</v>
      </c>
      <c r="F39" s="365"/>
    </row>
    <row r="40" customFormat="false" ht="12.75" hidden="false" customHeight="false" outlineLevel="0" collapsed="false">
      <c r="A40" s="364" t="n">
        <v>45952</v>
      </c>
      <c r="B40" s="347" t="n">
        <v>45952</v>
      </c>
      <c r="E40" s="349" t="n">
        <v>200</v>
      </c>
      <c r="F40" s="365"/>
    </row>
    <row r="41" customFormat="false" ht="12.75" hidden="false" customHeight="false" outlineLevel="0" collapsed="false">
      <c r="A41" s="364" t="n">
        <v>45953</v>
      </c>
      <c r="B41" s="347" t="n">
        <v>45953</v>
      </c>
      <c r="E41" s="349" t="n">
        <v>200</v>
      </c>
      <c r="F41" s="365"/>
    </row>
    <row r="42" customFormat="false" ht="12.75" hidden="false" customHeight="false" outlineLevel="0" collapsed="false">
      <c r="A42" s="364" t="n">
        <v>45954</v>
      </c>
      <c r="B42" s="347" t="n">
        <v>45954</v>
      </c>
      <c r="E42" s="349" t="n">
        <v>200</v>
      </c>
      <c r="F42" s="365"/>
    </row>
    <row r="43" customFormat="false" ht="12.75" hidden="false" customHeight="false" outlineLevel="0" collapsed="false">
      <c r="A43" s="364" t="n">
        <v>45955</v>
      </c>
      <c r="B43" s="347" t="n">
        <v>45955</v>
      </c>
      <c r="F43" s="365"/>
    </row>
    <row r="44" customFormat="false" ht="12.75" hidden="false" customHeight="false" outlineLevel="0" collapsed="false">
      <c r="A44" s="364" t="n">
        <v>45956</v>
      </c>
      <c r="B44" s="347" t="n">
        <v>45956</v>
      </c>
      <c r="F44" s="365"/>
    </row>
    <row r="45" customFormat="false" ht="12.75" hidden="false" customHeight="false" outlineLevel="0" collapsed="false">
      <c r="A45" s="364" t="n">
        <v>45956</v>
      </c>
      <c r="B45" s="347" t="s">
        <v>242</v>
      </c>
      <c r="F45" s="365"/>
    </row>
    <row r="46" customFormat="false" ht="12.75" hidden="false" customHeight="false" outlineLevel="0" collapsed="false">
      <c r="A46" s="364" t="n">
        <v>45956</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244</v>
      </c>
      <c r="C1" s="392" t="s">
        <v>237</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245</v>
      </c>
      <c r="C2" s="380" t="s">
        <v>246</v>
      </c>
      <c r="D2" s="380" t="s">
        <v>247</v>
      </c>
      <c r="E2" s="380" t="s">
        <v>248</v>
      </c>
      <c r="F2" s="207" t="s">
        <v>249</v>
      </c>
      <c r="G2" s="381" t="s">
        <v>250</v>
      </c>
      <c r="H2" s="381"/>
      <c r="I2" s="382" t="n">
        <f aca="false">G1+H1+I1+J1+PurchasesSep!I2</f>
        <v>3480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IF((A1&lt;Admin!$F$22),((A1-PurchasesSep!A1)*Admin!$G$21),(A1*Admin!$G$21-(A1-Admin!$F$21)*(Admin!$G$21-Admin!$G$22)-PurchasesSep!A2))</f>
        <v>0</v>
      </c>
    </row>
    <row r="5" s="373" customFormat="true" ht="12.75" hidden="false" customHeight="false" outlineLevel="0" collapsed="false">
      <c r="A5" s="372" t="n">
        <v>45945</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SUM(D4:D58)</f>
        <v>0</v>
      </c>
      <c r="E1" s="352" t="n">
        <f aca="false">SUM(E4:E58)/2</f>
        <v>3000</v>
      </c>
      <c r="F1" s="352" t="n">
        <f aca="false">SUM(F4:F58)/2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45957</v>
      </c>
      <c r="B5" s="359" t="n">
        <v>45957</v>
      </c>
      <c r="C5" s="360"/>
      <c r="D5" s="361"/>
      <c r="E5" s="362"/>
      <c r="F5" s="363"/>
    </row>
    <row r="6" customFormat="false" ht="12.75" hidden="false" customHeight="false" outlineLevel="0" collapsed="false">
      <c r="A6" s="364" t="n">
        <v>45958</v>
      </c>
      <c r="B6" s="347" t="n">
        <v>45958</v>
      </c>
      <c r="F6" s="365"/>
    </row>
    <row r="7" customFormat="false" ht="12.75" hidden="false" customHeight="false" outlineLevel="0" collapsed="false">
      <c r="A7" s="364" t="n">
        <v>45959</v>
      </c>
      <c r="B7" s="347" t="n">
        <v>45959</v>
      </c>
      <c r="F7" s="365"/>
    </row>
    <row r="8" customFormat="false" ht="12.75" hidden="false" customHeight="false" outlineLevel="0" collapsed="false">
      <c r="A8" s="364" t="n">
        <v>45960</v>
      </c>
      <c r="B8" s="347" t="n">
        <v>45960</v>
      </c>
      <c r="F8" s="365"/>
    </row>
    <row r="9" customFormat="false" ht="12.75" hidden="false" customHeight="false" outlineLevel="0" collapsed="false">
      <c r="A9" s="364" t="n">
        <v>45961</v>
      </c>
      <c r="B9" s="347" t="n">
        <v>45961</v>
      </c>
      <c r="F9" s="365"/>
    </row>
    <row r="10" customFormat="false" ht="12.75" hidden="false" customHeight="false" outlineLevel="0" collapsed="false">
      <c r="A10" s="364" t="n">
        <v>45962</v>
      </c>
      <c r="B10" s="347" t="n">
        <v>45962</v>
      </c>
      <c r="F10" s="365"/>
    </row>
    <row r="11" customFormat="false" ht="12.75" hidden="false" customHeight="false" outlineLevel="0" collapsed="false">
      <c r="A11" s="364" t="n">
        <v>45963</v>
      </c>
      <c r="B11" s="347" t="n">
        <v>45963</v>
      </c>
      <c r="F11" s="365"/>
    </row>
    <row r="12" customFormat="false" ht="12.75" hidden="false" customHeight="false" outlineLevel="0" collapsed="false">
      <c r="A12" s="364" t="n">
        <v>45963</v>
      </c>
      <c r="B12" s="347" t="s">
        <v>242</v>
      </c>
      <c r="F12" s="365"/>
    </row>
    <row r="13" customFormat="false" ht="12.75" hidden="false" customHeight="false" outlineLevel="0" collapsed="false">
      <c r="A13" s="364" t="n">
        <v>45963</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45964</v>
      </c>
      <c r="B16" s="359" t="n">
        <v>45964</v>
      </c>
      <c r="C16" s="360"/>
      <c r="D16" s="361"/>
      <c r="E16" s="362" t="n">
        <v>200</v>
      </c>
    </row>
    <row r="17" customFormat="false" ht="12.75" hidden="false" customHeight="false" outlineLevel="0" collapsed="false">
      <c r="B17" s="347" t="n">
        <v>45965</v>
      </c>
      <c r="E17" s="349" t="n">
        <v>200</v>
      </c>
      <c r="F17" s="365"/>
    </row>
    <row r="18" customFormat="false" ht="12.75" hidden="false" customHeight="false" outlineLevel="0" collapsed="false">
      <c r="A18" s="364" t="n">
        <v>45966</v>
      </c>
      <c r="B18" s="347" t="n">
        <v>45966</v>
      </c>
      <c r="E18" s="349" t="n">
        <v>200</v>
      </c>
      <c r="F18" s="365"/>
    </row>
    <row r="19" customFormat="false" ht="12.75" hidden="false" customHeight="false" outlineLevel="0" collapsed="false">
      <c r="A19" s="364" t="n">
        <v>45967</v>
      </c>
      <c r="B19" s="347" t="n">
        <v>45967</v>
      </c>
      <c r="E19" s="349" t="n">
        <v>200</v>
      </c>
      <c r="F19" s="365"/>
    </row>
    <row r="20" customFormat="false" ht="12.75" hidden="false" customHeight="false" outlineLevel="0" collapsed="false">
      <c r="A20" s="364" t="n">
        <v>45968</v>
      </c>
      <c r="B20" s="347" t="n">
        <v>45968</v>
      </c>
      <c r="E20" s="349" t="n">
        <v>200</v>
      </c>
      <c r="F20" s="365"/>
    </row>
    <row r="21" customFormat="false" ht="12.75" hidden="false" customHeight="false" outlineLevel="0" collapsed="false">
      <c r="A21" s="364" t="n">
        <v>45969</v>
      </c>
      <c r="B21" s="347" t="n">
        <v>45969</v>
      </c>
      <c r="F21" s="365"/>
    </row>
    <row r="22" customFormat="false" ht="12.75" hidden="false" customHeight="false" outlineLevel="0" collapsed="false">
      <c r="A22" s="364" t="n">
        <v>45970</v>
      </c>
      <c r="B22" s="347" t="n">
        <v>45970</v>
      </c>
      <c r="F22" s="365"/>
    </row>
    <row r="23" customFormat="false" ht="12.75" hidden="false" customHeight="false" outlineLevel="0" collapsed="false">
      <c r="A23" s="364" t="n">
        <v>45970</v>
      </c>
      <c r="B23" s="347" t="s">
        <v>242</v>
      </c>
      <c r="F23" s="365"/>
    </row>
    <row r="24" customFormat="false" ht="12.75" hidden="false" customHeight="false" outlineLevel="0" collapsed="false">
      <c r="A24" s="364" t="n">
        <v>45970</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45971</v>
      </c>
      <c r="B27" s="359" t="n">
        <v>45971</v>
      </c>
      <c r="C27" s="360"/>
      <c r="D27" s="361"/>
      <c r="E27" s="362" t="n">
        <v>200</v>
      </c>
    </row>
    <row r="28" customFormat="false" ht="12.75" hidden="false" customHeight="false" outlineLevel="0" collapsed="false">
      <c r="B28" s="347" t="n">
        <v>45972</v>
      </c>
      <c r="E28" s="349" t="n">
        <v>200</v>
      </c>
      <c r="F28" s="365"/>
    </row>
    <row r="29" customFormat="false" ht="12.75" hidden="false" customHeight="false" outlineLevel="0" collapsed="false">
      <c r="A29" s="364" t="n">
        <v>45973</v>
      </c>
      <c r="B29" s="347" t="n">
        <v>45973</v>
      </c>
      <c r="E29" s="349" t="n">
        <v>200</v>
      </c>
      <c r="F29" s="365"/>
    </row>
    <row r="30" customFormat="false" ht="12.75" hidden="false" customHeight="false" outlineLevel="0" collapsed="false">
      <c r="A30" s="364" t="n">
        <v>45974</v>
      </c>
      <c r="B30" s="347" t="n">
        <v>45974</v>
      </c>
      <c r="E30" s="349" t="n">
        <v>200</v>
      </c>
      <c r="F30" s="365"/>
    </row>
    <row r="31" customFormat="false" ht="12.75" hidden="false" customHeight="false" outlineLevel="0" collapsed="false">
      <c r="A31" s="364" t="n">
        <v>45975</v>
      </c>
      <c r="B31" s="347" t="n">
        <v>45975</v>
      </c>
      <c r="E31" s="349" t="n">
        <v>200</v>
      </c>
      <c r="F31" s="365"/>
    </row>
    <row r="32" customFormat="false" ht="12.75" hidden="false" customHeight="false" outlineLevel="0" collapsed="false">
      <c r="A32" s="364" t="n">
        <v>45976</v>
      </c>
      <c r="B32" s="347" t="n">
        <v>45976</v>
      </c>
      <c r="F32" s="365"/>
    </row>
    <row r="33" customFormat="false" ht="12.75" hidden="false" customHeight="false" outlineLevel="0" collapsed="false">
      <c r="A33" s="364" t="n">
        <v>45977</v>
      </c>
      <c r="B33" s="347" t="n">
        <v>45977</v>
      </c>
      <c r="F33" s="365"/>
    </row>
    <row r="34" customFormat="false" ht="12.75" hidden="false" customHeight="false" outlineLevel="0" collapsed="false">
      <c r="A34" s="364" t="n">
        <v>45977</v>
      </c>
      <c r="B34" s="347" t="s">
        <v>242</v>
      </c>
      <c r="F34" s="365"/>
    </row>
    <row r="35" customFormat="false" ht="12.75" hidden="false" customHeight="false" outlineLevel="0" collapsed="false">
      <c r="A35" s="364" t="n">
        <v>45977</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45978</v>
      </c>
      <c r="B38" s="359" t="n">
        <v>45978</v>
      </c>
      <c r="C38" s="360"/>
      <c r="D38" s="361"/>
      <c r="E38" s="362" t="n">
        <v>200</v>
      </c>
    </row>
    <row r="39" customFormat="false" ht="12.75" hidden="false" customHeight="false" outlineLevel="0" collapsed="false">
      <c r="B39" s="347" t="n">
        <v>45979</v>
      </c>
      <c r="E39" s="349" t="n">
        <v>200</v>
      </c>
      <c r="F39" s="365"/>
    </row>
    <row r="40" customFormat="false" ht="12.75" hidden="false" customHeight="false" outlineLevel="0" collapsed="false">
      <c r="A40" s="364" t="n">
        <v>45980</v>
      </c>
      <c r="B40" s="347" t="n">
        <v>45980</v>
      </c>
      <c r="E40" s="349" t="n">
        <v>200</v>
      </c>
      <c r="F40" s="365"/>
    </row>
    <row r="41" customFormat="false" ht="12.75" hidden="false" customHeight="false" outlineLevel="0" collapsed="false">
      <c r="A41" s="364" t="n">
        <v>45981</v>
      </c>
      <c r="B41" s="347" t="n">
        <v>45981</v>
      </c>
      <c r="E41" s="349" t="n">
        <v>200</v>
      </c>
      <c r="F41" s="365"/>
    </row>
    <row r="42" customFormat="false" ht="12.75" hidden="false" customHeight="false" outlineLevel="0" collapsed="false">
      <c r="A42" s="364" t="n">
        <v>45982</v>
      </c>
      <c r="B42" s="347" t="n">
        <v>45982</v>
      </c>
      <c r="E42" s="349" t="n">
        <v>200</v>
      </c>
      <c r="F42" s="365"/>
    </row>
    <row r="43" customFormat="false" ht="12.75" hidden="false" customHeight="false" outlineLevel="0" collapsed="false">
      <c r="A43" s="364" t="n">
        <v>45983</v>
      </c>
      <c r="B43" s="347" t="n">
        <v>45983</v>
      </c>
      <c r="F43" s="365"/>
    </row>
    <row r="44" customFormat="false" ht="12.75" hidden="false" customHeight="false" outlineLevel="0" collapsed="false">
      <c r="A44" s="364" t="n">
        <v>45984</v>
      </c>
      <c r="B44" s="347" t="n">
        <v>45984</v>
      </c>
      <c r="F44" s="365"/>
    </row>
    <row r="45" customFormat="false" ht="12.75" hidden="false" customHeight="false" outlineLevel="0" collapsed="false">
      <c r="A45" s="364" t="n">
        <v>45984</v>
      </c>
      <c r="B45" s="347" t="s">
        <v>242</v>
      </c>
      <c r="F45" s="365"/>
    </row>
    <row r="46" customFormat="false" ht="12.75" hidden="false" customHeight="false" outlineLevel="0" collapsed="false">
      <c r="A46" s="364" t="n">
        <v>45984</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45985</v>
      </c>
      <c r="B49" s="359" t="n">
        <v>45985</v>
      </c>
      <c r="C49" s="360"/>
      <c r="D49" s="361"/>
      <c r="E49" s="362"/>
      <c r="F49" s="363"/>
    </row>
    <row r="50" customFormat="false" ht="12.75" hidden="false" customHeight="false" outlineLevel="0" collapsed="false">
      <c r="A50" s="364" t="n">
        <v>45986</v>
      </c>
      <c r="B50" s="347" t="n">
        <v>45986</v>
      </c>
      <c r="F50" s="365"/>
    </row>
    <row r="51" customFormat="false" ht="12.75" hidden="false" customHeight="false" outlineLevel="0" collapsed="false">
      <c r="A51" s="364" t="n">
        <v>45987</v>
      </c>
      <c r="B51" s="347" t="n">
        <v>45987</v>
      </c>
      <c r="F51" s="365"/>
    </row>
    <row r="52" customFormat="false" ht="12.75" hidden="false" customHeight="false" outlineLevel="0" collapsed="false">
      <c r="A52" s="364" t="n">
        <v>45988</v>
      </c>
      <c r="B52" s="347" t="n">
        <v>45988</v>
      </c>
      <c r="F52" s="365"/>
    </row>
    <row r="53" customFormat="false" ht="12.75" hidden="false" customHeight="false" outlineLevel="0" collapsed="false">
      <c r="A53" s="364" t="n">
        <v>45989</v>
      </c>
      <c r="B53" s="347" t="n">
        <v>45989</v>
      </c>
      <c r="F53" s="365"/>
    </row>
    <row r="54" customFormat="false" ht="12.75" hidden="false" customHeight="false" outlineLevel="0" collapsed="false">
      <c r="A54" s="364" t="n">
        <v>45990</v>
      </c>
      <c r="B54" s="347" t="n">
        <v>45990</v>
      </c>
      <c r="F54" s="365"/>
    </row>
    <row r="55" customFormat="false" ht="12.75" hidden="false" customHeight="false" outlineLevel="0" collapsed="false">
      <c r="A55" s="364" t="n">
        <v>45991</v>
      </c>
      <c r="B55" s="347" t="n">
        <v>45991</v>
      </c>
      <c r="F55" s="365"/>
    </row>
    <row r="56" customFormat="false" ht="12.75" hidden="false" customHeight="false" outlineLevel="0" collapsed="false">
      <c r="A56" s="364" t="n">
        <v>45991</v>
      </c>
      <c r="B56" s="347" t="s">
        <v>242</v>
      </c>
      <c r="F56" s="365"/>
    </row>
    <row r="57" customFormat="false" ht="12.75" hidden="false" customHeight="false" outlineLevel="0" collapsed="false">
      <c r="A57" s="364" t="n">
        <v>45991</v>
      </c>
      <c r="B57" s="347" t="s">
        <v>243</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245</v>
      </c>
      <c r="C2" s="380" t="s">
        <v>246</v>
      </c>
      <c r="D2" s="380" t="s">
        <v>247</v>
      </c>
      <c r="E2" s="380" t="s">
        <v>248</v>
      </c>
      <c r="F2" s="207" t="s">
        <v>249</v>
      </c>
      <c r="G2" s="381" t="s">
        <v>250</v>
      </c>
      <c r="H2" s="381"/>
      <c r="I2" s="382" t="n">
        <f aca="false">G1+H1+I1+J1+PurchasesOct!I2</f>
        <v>3780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IF((A1&lt;Admin!$F$22),((A1-PurchasesOct!A1)*Admin!$G$21),(A1*Admin!$G$21-(A1-Admin!$F$21)*(Admin!$G$21-Admin!$G$22)-PurchasesOct!A2))</f>
        <v>0</v>
      </c>
    </row>
    <row r="5" s="373" customFormat="true" ht="12.75" hidden="false" customHeight="false" outlineLevel="0" collapsed="false">
      <c r="A5" s="372" t="n">
        <v>45976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45992</v>
      </c>
      <c r="B5" s="359" t="n">
        <v>45992</v>
      </c>
      <c r="C5" s="360"/>
      <c r="D5" s="361"/>
      <c r="E5" s="362" t="n">
        <v>200</v>
      </c>
    </row>
    <row r="6" customFormat="false" ht="12.75" hidden="false" customHeight="false" outlineLevel="0" collapsed="false">
      <c r="B6" s="347" t="n">
        <v>45993</v>
      </c>
      <c r="E6" s="349" t="n">
        <v>200</v>
      </c>
      <c r="F6" s="365"/>
    </row>
    <row r="7" customFormat="false" ht="12.75" hidden="false" customHeight="false" outlineLevel="0" collapsed="false">
      <c r="A7" s="364" t="n">
        <v>45994</v>
      </c>
      <c r="B7" s="347" t="n">
        <v>45994</v>
      </c>
      <c r="E7" s="349" t="n">
        <v>200</v>
      </c>
      <c r="F7" s="365"/>
    </row>
    <row r="8" customFormat="false" ht="12.75" hidden="false" customHeight="false" outlineLevel="0" collapsed="false">
      <c r="A8" s="364" t="n">
        <v>45995</v>
      </c>
      <c r="B8" s="347" t="n">
        <v>45995</v>
      </c>
      <c r="E8" s="349" t="n">
        <v>200</v>
      </c>
      <c r="F8" s="365"/>
    </row>
    <row r="9" customFormat="false" ht="12.75" hidden="false" customHeight="false" outlineLevel="0" collapsed="false">
      <c r="A9" s="364" t="n">
        <v>45996</v>
      </c>
      <c r="B9" s="347" t="n">
        <v>45996</v>
      </c>
      <c r="E9" s="349" t="n">
        <v>200</v>
      </c>
      <c r="F9" s="365"/>
    </row>
    <row r="10" customFormat="false" ht="12.75" hidden="false" customHeight="false" outlineLevel="0" collapsed="false">
      <c r="A10" s="364" t="n">
        <v>45997</v>
      </c>
      <c r="B10" s="347" t="n">
        <v>45997</v>
      </c>
      <c r="F10" s="365"/>
    </row>
    <row r="11" customFormat="false" ht="12.75" hidden="false" customHeight="false" outlineLevel="0" collapsed="false">
      <c r="A11" s="364" t="n">
        <v>45998</v>
      </c>
      <c r="B11" s="347" t="n">
        <v>45998</v>
      </c>
      <c r="F11" s="365"/>
    </row>
    <row r="12" customFormat="false" ht="12.75" hidden="false" customHeight="false" outlineLevel="0" collapsed="false">
      <c r="A12" s="364" t="n">
        <v>45998</v>
      </c>
      <c r="B12" s="347" t="s">
        <v>242</v>
      </c>
      <c r="F12" s="365"/>
    </row>
    <row r="13" customFormat="false" ht="12.75" hidden="false" customHeight="false" outlineLevel="0" collapsed="false">
      <c r="A13" s="364" t="n">
        <v>45998</v>
      </c>
      <c r="B13" s="347" t="s">
        <v>243</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45999</v>
      </c>
      <c r="B16" s="359" t="n">
        <v>45999</v>
      </c>
      <c r="C16" s="360"/>
      <c r="D16" s="361"/>
      <c r="E16" s="362" t="n">
        <v>200</v>
      </c>
    </row>
    <row r="17" customFormat="false" ht="12.75" hidden="false" customHeight="false" outlineLevel="0" collapsed="false">
      <c r="B17" s="347" t="n">
        <v>46000</v>
      </c>
      <c r="E17" s="349" t="n">
        <v>200</v>
      </c>
      <c r="F17" s="365"/>
    </row>
    <row r="18" customFormat="false" ht="12.75" hidden="false" customHeight="false" outlineLevel="0" collapsed="false">
      <c r="A18" s="364" t="n">
        <v>46001</v>
      </c>
      <c r="B18" s="347" t="n">
        <v>46001</v>
      </c>
      <c r="E18" s="349" t="n">
        <v>200</v>
      </c>
      <c r="F18" s="365"/>
    </row>
    <row r="19" customFormat="false" ht="12.75" hidden="false" customHeight="false" outlineLevel="0" collapsed="false">
      <c r="A19" s="364" t="n">
        <v>46002</v>
      </c>
      <c r="B19" s="347" t="n">
        <v>46002</v>
      </c>
      <c r="E19" s="349" t="n">
        <v>200</v>
      </c>
      <c r="F19" s="365"/>
    </row>
    <row r="20" customFormat="false" ht="12.75" hidden="false" customHeight="false" outlineLevel="0" collapsed="false">
      <c r="A20" s="364" t="n">
        <v>46003</v>
      </c>
      <c r="B20" s="347" t="n">
        <v>46003</v>
      </c>
      <c r="E20" s="349" t="n">
        <v>200</v>
      </c>
      <c r="F20" s="365"/>
    </row>
    <row r="21" customFormat="false" ht="12.75" hidden="false" customHeight="false" outlineLevel="0" collapsed="false">
      <c r="A21" s="364" t="n">
        <v>46004</v>
      </c>
      <c r="B21" s="347" t="n">
        <v>46004</v>
      </c>
      <c r="F21" s="365"/>
    </row>
    <row r="22" customFormat="false" ht="12.75" hidden="false" customHeight="false" outlineLevel="0" collapsed="false">
      <c r="A22" s="364" t="n">
        <v>46005</v>
      </c>
      <c r="B22" s="347" t="n">
        <v>46005</v>
      </c>
      <c r="F22" s="365"/>
    </row>
    <row r="23" customFormat="false" ht="12.75" hidden="false" customHeight="false" outlineLevel="0" collapsed="false">
      <c r="A23" s="364" t="n">
        <v>46005</v>
      </c>
      <c r="B23" s="347" t="s">
        <v>242</v>
      </c>
      <c r="F23" s="365"/>
    </row>
    <row r="24" customFormat="false" ht="12.75" hidden="false" customHeight="false" outlineLevel="0" collapsed="false">
      <c r="A24" s="364" t="n">
        <v>46005</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46006</v>
      </c>
      <c r="B27" s="359" t="n">
        <v>46006</v>
      </c>
      <c r="C27" s="360"/>
      <c r="D27" s="361"/>
      <c r="E27" s="362" t="n">
        <v>200</v>
      </c>
    </row>
    <row r="28" customFormat="false" ht="12.75" hidden="false" customHeight="false" outlineLevel="0" collapsed="false">
      <c r="B28" s="347" t="n">
        <v>46007</v>
      </c>
      <c r="E28" s="349" t="n">
        <v>200</v>
      </c>
      <c r="F28" s="365"/>
    </row>
    <row r="29" customFormat="false" ht="12.75" hidden="false" customHeight="false" outlineLevel="0" collapsed="false">
      <c r="A29" s="364" t="n">
        <v>46008</v>
      </c>
      <c r="B29" s="347" t="n">
        <v>46008</v>
      </c>
      <c r="E29" s="349" t="n">
        <v>200</v>
      </c>
      <c r="F29" s="365"/>
    </row>
    <row r="30" customFormat="false" ht="12.75" hidden="false" customHeight="false" outlineLevel="0" collapsed="false">
      <c r="A30" s="364" t="n">
        <v>46009</v>
      </c>
      <c r="B30" s="347" t="n">
        <v>46009</v>
      </c>
      <c r="E30" s="349" t="n">
        <v>200</v>
      </c>
      <c r="F30" s="365"/>
    </row>
    <row r="31" customFormat="false" ht="12.75" hidden="false" customHeight="false" outlineLevel="0" collapsed="false">
      <c r="A31" s="364" t="n">
        <v>46010</v>
      </c>
      <c r="B31" s="347" t="n">
        <v>46010</v>
      </c>
      <c r="E31" s="349" t="n">
        <v>200</v>
      </c>
      <c r="F31" s="365"/>
    </row>
    <row r="32" customFormat="false" ht="12.75" hidden="false" customHeight="false" outlineLevel="0" collapsed="false">
      <c r="A32" s="364" t="n">
        <v>46011</v>
      </c>
      <c r="B32" s="347" t="n">
        <v>46011</v>
      </c>
      <c r="F32" s="365"/>
    </row>
    <row r="33" customFormat="false" ht="12.75" hidden="false" customHeight="false" outlineLevel="0" collapsed="false">
      <c r="A33" s="364" t="n">
        <v>46012</v>
      </c>
      <c r="B33" s="347" t="n">
        <v>46012</v>
      </c>
      <c r="F33" s="365"/>
    </row>
    <row r="34" customFormat="false" ht="12.75" hidden="false" customHeight="false" outlineLevel="0" collapsed="false">
      <c r="A34" s="364" t="n">
        <v>46012</v>
      </c>
      <c r="B34" s="347" t="s">
        <v>242</v>
      </c>
      <c r="F34" s="365"/>
    </row>
    <row r="35" customFormat="false" ht="12.75" hidden="false" customHeight="false" outlineLevel="0" collapsed="false">
      <c r="A35" s="364" t="n">
        <v>46012</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46013</v>
      </c>
      <c r="B38" s="359" t="n">
        <v>46013</v>
      </c>
      <c r="C38" s="360"/>
      <c r="D38" s="361"/>
      <c r="E38" s="362"/>
      <c r="F38" s="363"/>
    </row>
    <row r="39" customFormat="false" ht="12.75" hidden="false" customHeight="false" outlineLevel="0" collapsed="false">
      <c r="A39" s="364" t="n">
        <v>46014</v>
      </c>
      <c r="B39" s="347" t="n">
        <v>46014</v>
      </c>
      <c r="F39" s="365"/>
    </row>
    <row r="40" customFormat="false" ht="12.75" hidden="false" customHeight="false" outlineLevel="0" collapsed="false">
      <c r="A40" s="364" t="n">
        <v>46015</v>
      </c>
      <c r="B40" s="347" t="n">
        <v>46015</v>
      </c>
      <c r="F40" s="365"/>
    </row>
    <row r="41" customFormat="false" ht="12.75" hidden="false" customHeight="false" outlineLevel="0" collapsed="false">
      <c r="A41" s="364" t="n">
        <v>46016</v>
      </c>
      <c r="B41" s="347" t="n">
        <v>46016</v>
      </c>
      <c r="F41" s="365"/>
    </row>
    <row r="42" customFormat="false" ht="12.75" hidden="false" customHeight="false" outlineLevel="0" collapsed="false">
      <c r="A42" s="364" t="n">
        <v>46017</v>
      </c>
      <c r="B42" s="347" t="n">
        <v>46017</v>
      </c>
      <c r="F42" s="365"/>
    </row>
    <row r="43" customFormat="false" ht="12.75" hidden="false" customHeight="false" outlineLevel="0" collapsed="false">
      <c r="A43" s="364" t="n">
        <v>46018</v>
      </c>
      <c r="B43" s="347" t="n">
        <v>46018</v>
      </c>
      <c r="F43" s="365"/>
    </row>
    <row r="44" customFormat="false" ht="12.75" hidden="false" customHeight="false" outlineLevel="0" collapsed="false">
      <c r="A44" s="364" t="n">
        <v>46019</v>
      </c>
      <c r="B44" s="347" t="n">
        <v>46019</v>
      </c>
      <c r="F44" s="365"/>
    </row>
    <row r="45" customFormat="false" ht="12.75" hidden="false" customHeight="false" outlineLevel="0" collapsed="false">
      <c r="A45" s="364" t="n">
        <v>46019</v>
      </c>
      <c r="B45" s="347" t="s">
        <v>242</v>
      </c>
      <c r="F45" s="365"/>
    </row>
    <row r="46" customFormat="false" ht="12.75" hidden="false" customHeight="false" outlineLevel="0" collapsed="false">
      <c r="A46" s="364" t="n">
        <v>46019</v>
      </c>
      <c r="B46" s="347" t="s">
        <v>243</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245</v>
      </c>
      <c r="C2" s="380" t="s">
        <v>246</v>
      </c>
      <c r="D2" s="380" t="s">
        <v>247</v>
      </c>
      <c r="E2" s="380" t="s">
        <v>248</v>
      </c>
      <c r="F2" s="207" t="s">
        <v>249</v>
      </c>
      <c r="G2" s="381" t="s">
        <v>250</v>
      </c>
      <c r="H2" s="381"/>
      <c r="I2" s="382" t="n">
        <f aca="false">G1+H1+I1+J1+PurchasesNov!I2</f>
        <v>4080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IF((A1&lt;Admin!$F$22),((A1-PurchasesNov!A1)*Admin!$G$21),(A1*Admin!$G$21-(A1-Admin!$F$21)*(Admin!$G$21-Admin!$G$22)-PurchasesNov!A2))</f>
        <v>0</v>
      </c>
    </row>
    <row r="5" s="373" customFormat="true" ht="12.75" hidden="false" customHeight="false" outlineLevel="0" collapsed="false">
      <c r="A5" s="372" t="n">
        <v>46006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46020</v>
      </c>
      <c r="B5" s="359" t="n">
        <v>46020</v>
      </c>
      <c r="C5" s="360"/>
      <c r="D5" s="361"/>
      <c r="E5" s="362"/>
      <c r="F5" s="363"/>
    </row>
    <row r="6" customFormat="false" ht="12.75" hidden="false" customHeight="false" outlineLevel="0" collapsed="false">
      <c r="A6" s="364" t="n">
        <v>46021</v>
      </c>
      <c r="B6" s="347" t="n">
        <v>46021</v>
      </c>
      <c r="F6" s="365"/>
    </row>
    <row r="7" customFormat="false" ht="12.75" hidden="false" customHeight="false" outlineLevel="0" collapsed="false">
      <c r="A7" s="364" t="n">
        <v>46022</v>
      </c>
      <c r="B7" s="347" t="n">
        <v>46022</v>
      </c>
      <c r="F7" s="365"/>
    </row>
    <row r="8" customFormat="false" ht="12.75" hidden="false" customHeight="false" outlineLevel="0" collapsed="false">
      <c r="A8" s="364" t="n">
        <v>46023</v>
      </c>
      <c r="B8" s="347" t="n">
        <v>46023</v>
      </c>
      <c r="F8" s="365"/>
    </row>
    <row r="9" customFormat="false" ht="12.75" hidden="false" customHeight="false" outlineLevel="0" collapsed="false">
      <c r="A9" s="364" t="n">
        <v>46024</v>
      </c>
      <c r="B9" s="347" t="n">
        <v>46024</v>
      </c>
      <c r="F9" s="365"/>
    </row>
    <row r="10" customFormat="false" ht="12.75" hidden="false" customHeight="false" outlineLevel="0" collapsed="false">
      <c r="A10" s="364" t="n">
        <v>46025</v>
      </c>
      <c r="B10" s="347" t="n">
        <v>46025</v>
      </c>
      <c r="F10" s="365"/>
    </row>
    <row r="11" customFormat="false" ht="12.75" hidden="false" customHeight="false" outlineLevel="0" collapsed="false">
      <c r="A11" s="364" t="n">
        <v>46026</v>
      </c>
      <c r="B11" s="347" t="n">
        <v>46026</v>
      </c>
      <c r="F11" s="365"/>
    </row>
    <row r="12" customFormat="false" ht="12.75" hidden="false" customHeight="false" outlineLevel="0" collapsed="false">
      <c r="A12" s="364" t="n">
        <v>46026</v>
      </c>
      <c r="B12" s="347" t="s">
        <v>242</v>
      </c>
      <c r="F12" s="365"/>
    </row>
    <row r="13" customFormat="false" ht="12.75" hidden="false" customHeight="false" outlineLevel="0" collapsed="false">
      <c r="A13" s="364" t="n">
        <v>46026</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46027</v>
      </c>
      <c r="B16" s="359" t="n">
        <v>46027</v>
      </c>
      <c r="C16" s="360"/>
      <c r="D16" s="361"/>
      <c r="E16" s="362" t="n">
        <v>200</v>
      </c>
    </row>
    <row r="17" customFormat="false" ht="12.75" hidden="false" customHeight="false" outlineLevel="0" collapsed="false">
      <c r="B17" s="347" t="n">
        <v>46028</v>
      </c>
      <c r="E17" s="349" t="n">
        <v>200</v>
      </c>
      <c r="F17" s="365"/>
    </row>
    <row r="18" customFormat="false" ht="12.75" hidden="false" customHeight="false" outlineLevel="0" collapsed="false">
      <c r="A18" s="364" t="n">
        <v>46029</v>
      </c>
      <c r="B18" s="347" t="n">
        <v>46029</v>
      </c>
      <c r="E18" s="349" t="n">
        <v>200</v>
      </c>
      <c r="F18" s="365"/>
    </row>
    <row r="19" customFormat="false" ht="12.75" hidden="false" customHeight="false" outlineLevel="0" collapsed="false">
      <c r="A19" s="364" t="n">
        <v>46030</v>
      </c>
      <c r="B19" s="347" t="n">
        <v>46030</v>
      </c>
      <c r="E19" s="349" t="n">
        <v>200</v>
      </c>
      <c r="F19" s="365"/>
    </row>
    <row r="20" customFormat="false" ht="12.75" hidden="false" customHeight="false" outlineLevel="0" collapsed="false">
      <c r="A20" s="364" t="n">
        <v>46031</v>
      </c>
      <c r="B20" s="347" t="n">
        <v>46031</v>
      </c>
      <c r="E20" s="349" t="n">
        <v>200</v>
      </c>
      <c r="F20" s="365"/>
    </row>
    <row r="21" customFormat="false" ht="12.75" hidden="false" customHeight="false" outlineLevel="0" collapsed="false">
      <c r="A21" s="364" t="n">
        <v>46032</v>
      </c>
      <c r="B21" s="347" t="n">
        <v>46032</v>
      </c>
      <c r="F21" s="365"/>
    </row>
    <row r="22" customFormat="false" ht="12.75" hidden="false" customHeight="false" outlineLevel="0" collapsed="false">
      <c r="A22" s="364" t="n">
        <v>46033</v>
      </c>
      <c r="B22" s="347" t="n">
        <v>46033</v>
      </c>
      <c r="F22" s="365"/>
    </row>
    <row r="23" customFormat="false" ht="12.75" hidden="false" customHeight="false" outlineLevel="0" collapsed="false">
      <c r="A23" s="364" t="n">
        <v>46033</v>
      </c>
      <c r="B23" s="347" t="s">
        <v>242</v>
      </c>
      <c r="F23" s="365"/>
    </row>
    <row r="24" customFormat="false" ht="12.75" hidden="false" customHeight="false" outlineLevel="0" collapsed="false">
      <c r="A24" s="364" t="n">
        <v>46033</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46034</v>
      </c>
      <c r="B27" s="359" t="n">
        <v>46034</v>
      </c>
      <c r="C27" s="360"/>
      <c r="D27" s="361"/>
      <c r="E27" s="362" t="n">
        <v>200</v>
      </c>
    </row>
    <row r="28" customFormat="false" ht="12.75" hidden="false" customHeight="false" outlineLevel="0" collapsed="false">
      <c r="B28" s="347" t="n">
        <v>46035</v>
      </c>
      <c r="E28" s="349" t="n">
        <v>200</v>
      </c>
      <c r="F28" s="365"/>
    </row>
    <row r="29" customFormat="false" ht="12.75" hidden="false" customHeight="false" outlineLevel="0" collapsed="false">
      <c r="A29" s="364" t="n">
        <v>46036</v>
      </c>
      <c r="B29" s="347" t="n">
        <v>46036</v>
      </c>
      <c r="E29" s="349" t="n">
        <v>200</v>
      </c>
      <c r="F29" s="365"/>
    </row>
    <row r="30" customFormat="false" ht="12.75" hidden="false" customHeight="false" outlineLevel="0" collapsed="false">
      <c r="A30" s="364" t="n">
        <v>46037</v>
      </c>
      <c r="B30" s="347" t="n">
        <v>46037</v>
      </c>
      <c r="E30" s="349" t="n">
        <v>200</v>
      </c>
      <c r="F30" s="365"/>
    </row>
    <row r="31" customFormat="false" ht="12.75" hidden="false" customHeight="false" outlineLevel="0" collapsed="false">
      <c r="A31" s="364" t="n">
        <v>46038</v>
      </c>
      <c r="B31" s="347" t="n">
        <v>46038</v>
      </c>
      <c r="E31" s="349" t="n">
        <v>200</v>
      </c>
      <c r="F31" s="365"/>
    </row>
    <row r="32" customFormat="false" ht="12.75" hidden="false" customHeight="false" outlineLevel="0" collapsed="false">
      <c r="A32" s="364" t="n">
        <v>46039</v>
      </c>
      <c r="B32" s="347" t="n">
        <v>46039</v>
      </c>
      <c r="F32" s="365"/>
    </row>
    <row r="33" customFormat="false" ht="12.75" hidden="false" customHeight="false" outlineLevel="0" collapsed="false">
      <c r="A33" s="364" t="n">
        <v>46040</v>
      </c>
      <c r="B33" s="347" t="n">
        <v>46040</v>
      </c>
      <c r="F33" s="365"/>
    </row>
    <row r="34" customFormat="false" ht="12.75" hidden="false" customHeight="false" outlineLevel="0" collapsed="false">
      <c r="A34" s="364" t="n">
        <v>46040</v>
      </c>
      <c r="B34" s="347" t="s">
        <v>242</v>
      </c>
      <c r="F34" s="365"/>
    </row>
    <row r="35" customFormat="false" ht="12.75" hidden="false" customHeight="false" outlineLevel="0" collapsed="false">
      <c r="A35" s="364" t="n">
        <v>46040</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46041</v>
      </c>
      <c r="B38" s="359" t="n">
        <v>46041</v>
      </c>
      <c r="C38" s="360"/>
      <c r="D38" s="361"/>
      <c r="E38" s="362" t="n">
        <v>200</v>
      </c>
    </row>
    <row r="39" customFormat="false" ht="12.75" hidden="false" customHeight="false" outlineLevel="0" collapsed="false">
      <c r="B39" s="347" t="n">
        <v>46042</v>
      </c>
      <c r="E39" s="349" t="n">
        <v>200</v>
      </c>
      <c r="F39" s="365"/>
    </row>
    <row r="40" customFormat="false" ht="12.75" hidden="false" customHeight="false" outlineLevel="0" collapsed="false">
      <c r="A40" s="364" t="n">
        <v>46043</v>
      </c>
      <c r="B40" s="347" t="n">
        <v>46043</v>
      </c>
      <c r="E40" s="349" t="n">
        <v>200</v>
      </c>
      <c r="F40" s="365"/>
    </row>
    <row r="41" customFormat="false" ht="12.75" hidden="false" customHeight="false" outlineLevel="0" collapsed="false">
      <c r="A41" s="364" t="n">
        <v>46044</v>
      </c>
      <c r="B41" s="347" t="n">
        <v>46044</v>
      </c>
      <c r="E41" s="349" t="n">
        <v>200</v>
      </c>
      <c r="F41" s="365"/>
    </row>
    <row r="42" customFormat="false" ht="12.75" hidden="false" customHeight="false" outlineLevel="0" collapsed="false">
      <c r="A42" s="364" t="n">
        <v>46045</v>
      </c>
      <c r="B42" s="347" t="n">
        <v>46045</v>
      </c>
      <c r="E42" s="349" t="n">
        <v>200</v>
      </c>
      <c r="F42" s="365"/>
    </row>
    <row r="43" customFormat="false" ht="12.75" hidden="false" customHeight="false" outlineLevel="0" collapsed="false">
      <c r="A43" s="364" t="n">
        <v>46046</v>
      </c>
      <c r="B43" s="347" t="n">
        <v>46046</v>
      </c>
      <c r="F43" s="365"/>
    </row>
    <row r="44" customFormat="false" ht="12.75" hidden="false" customHeight="false" outlineLevel="0" collapsed="false">
      <c r="A44" s="364" t="n">
        <v>46047</v>
      </c>
      <c r="B44" s="347" t="n">
        <v>46047</v>
      </c>
      <c r="F44" s="365"/>
    </row>
    <row r="45" customFormat="false" ht="12.75" hidden="false" customHeight="false" outlineLevel="0" collapsed="false">
      <c r="A45" s="364" t="n">
        <v>46047</v>
      </c>
      <c r="B45" s="347" t="s">
        <v>242</v>
      </c>
      <c r="F45" s="365"/>
    </row>
    <row r="46" customFormat="false" ht="12.75" hidden="false" customHeight="false" outlineLevel="0" collapsed="false">
      <c r="A46" s="364" t="n">
        <v>46047</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244</v>
      </c>
      <c r="C1" s="392" t="s">
        <v>237</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245</v>
      </c>
      <c r="C2" s="380" t="s">
        <v>246</v>
      </c>
      <c r="D2" s="380" t="s">
        <v>247</v>
      </c>
      <c r="E2" s="380" t="s">
        <v>248</v>
      </c>
      <c r="F2" s="207" t="s">
        <v>249</v>
      </c>
      <c r="G2" s="381" t="s">
        <v>250</v>
      </c>
      <c r="H2" s="381"/>
      <c r="I2" s="382" t="n">
        <f aca="false">G1+H1+I1+J1+PurchasesDec!I2</f>
        <v>4380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IF((A1&lt;Admin!$F$22),((A1-PurchasesDec!A1)*Admin!$G$21),(A1*Admin!$G$21-(A1-Admin!$F$21)*(Admin!$G$21-Admin!$G$22)-PurchasesDec!A2))</f>
        <v>0</v>
      </c>
    </row>
    <row r="5" s="373" customFormat="true" ht="12.75" hidden="false" customHeight="false" outlineLevel="0" collapsed="false">
      <c r="A5" s="372" t="n">
        <v>46037</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281</v>
      </c>
      <c r="D6" s="373" t="s">
        <v>282</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288</v>
      </c>
      <c r="D7" s="373" t="s">
        <v>284</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235</v>
      </c>
      <c r="B1" s="351" t="s">
        <v>236</v>
      </c>
      <c r="C1" s="352" t="s">
        <v>237</v>
      </c>
      <c r="D1" s="353" t="n">
        <f aca="false">SUM(D4:D47)</f>
        <v>0</v>
      </c>
      <c r="E1" s="352" t="n">
        <f aca="false">SUM(E4:E47)/2</f>
        <v>3000</v>
      </c>
      <c r="F1" s="352" t="n">
        <f aca="false">SUM(F4:F47)/2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46048</v>
      </c>
      <c r="B5" s="359" t="n">
        <v>46048</v>
      </c>
      <c r="C5" s="360"/>
      <c r="D5" s="361"/>
      <c r="E5" s="362"/>
      <c r="F5" s="363"/>
    </row>
    <row r="6" customFormat="false" ht="12.75" hidden="false" customHeight="false" outlineLevel="0" collapsed="false">
      <c r="A6" s="364" t="n">
        <v>46049</v>
      </c>
      <c r="B6" s="347" t="n">
        <v>46049</v>
      </c>
      <c r="F6" s="365"/>
    </row>
    <row r="7" customFormat="false" ht="12.75" hidden="false" customHeight="false" outlineLevel="0" collapsed="false">
      <c r="A7" s="364" t="n">
        <v>46050</v>
      </c>
      <c r="B7" s="347" t="n">
        <v>46050</v>
      </c>
      <c r="F7" s="365"/>
    </row>
    <row r="8" customFormat="false" ht="12.75" hidden="false" customHeight="false" outlineLevel="0" collapsed="false">
      <c r="A8" s="364" t="n">
        <v>46051</v>
      </c>
      <c r="B8" s="347" t="n">
        <v>46051</v>
      </c>
      <c r="F8" s="365"/>
    </row>
    <row r="9" customFormat="false" ht="12.75" hidden="false" customHeight="false" outlineLevel="0" collapsed="false">
      <c r="A9" s="364" t="n">
        <v>46052</v>
      </c>
      <c r="B9" s="347" t="n">
        <v>46052</v>
      </c>
      <c r="F9" s="365"/>
    </row>
    <row r="10" customFormat="false" ht="12.75" hidden="false" customHeight="false" outlineLevel="0" collapsed="false">
      <c r="A10" s="364" t="n">
        <v>46053</v>
      </c>
      <c r="B10" s="347" t="n">
        <v>46053</v>
      </c>
      <c r="F10" s="365"/>
    </row>
    <row r="11" customFormat="false" ht="12.75" hidden="false" customHeight="false" outlineLevel="0" collapsed="false">
      <c r="A11" s="364" t="n">
        <v>46054</v>
      </c>
      <c r="B11" s="347" t="n">
        <v>46054</v>
      </c>
      <c r="F11" s="365"/>
    </row>
    <row r="12" customFormat="false" ht="12.75" hidden="false" customHeight="false" outlineLevel="0" collapsed="false">
      <c r="A12" s="364" t="n">
        <v>46054</v>
      </c>
      <c r="B12" s="347" t="s">
        <v>242</v>
      </c>
      <c r="F12" s="365"/>
    </row>
    <row r="13" customFormat="false" ht="12.75" hidden="false" customHeight="false" outlineLevel="0" collapsed="false">
      <c r="A13" s="364" t="n">
        <v>46054</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46055</v>
      </c>
      <c r="B16" s="359" t="n">
        <v>46055</v>
      </c>
      <c r="C16" s="360"/>
      <c r="D16" s="361"/>
      <c r="E16" s="362" t="n">
        <v>200</v>
      </c>
    </row>
    <row r="17" customFormat="false" ht="12.75" hidden="false" customHeight="false" outlineLevel="0" collapsed="false">
      <c r="B17" s="347" t="n">
        <v>46056</v>
      </c>
      <c r="E17" s="349" t="n">
        <v>200</v>
      </c>
      <c r="F17" s="365"/>
    </row>
    <row r="18" customFormat="false" ht="12.75" hidden="false" customHeight="false" outlineLevel="0" collapsed="false">
      <c r="A18" s="364" t="n">
        <v>46057</v>
      </c>
      <c r="B18" s="347" t="n">
        <v>46057</v>
      </c>
      <c r="E18" s="349" t="n">
        <v>200</v>
      </c>
      <c r="F18" s="365"/>
    </row>
    <row r="19" customFormat="false" ht="12.75" hidden="false" customHeight="false" outlineLevel="0" collapsed="false">
      <c r="A19" s="364" t="n">
        <v>46058</v>
      </c>
      <c r="B19" s="347" t="n">
        <v>46058</v>
      </c>
      <c r="E19" s="349" t="n">
        <v>200</v>
      </c>
      <c r="F19" s="365"/>
    </row>
    <row r="20" customFormat="false" ht="12.75" hidden="false" customHeight="false" outlineLevel="0" collapsed="false">
      <c r="A20" s="364" t="n">
        <v>46059</v>
      </c>
      <c r="B20" s="347" t="n">
        <v>46059</v>
      </c>
      <c r="E20" s="349" t="n">
        <v>200</v>
      </c>
      <c r="F20" s="365"/>
    </row>
    <row r="21" customFormat="false" ht="12.75" hidden="false" customHeight="false" outlineLevel="0" collapsed="false">
      <c r="A21" s="364" t="n">
        <v>46060</v>
      </c>
      <c r="B21" s="347" t="n">
        <v>46060</v>
      </c>
      <c r="F21" s="365"/>
    </row>
    <row r="22" customFormat="false" ht="12.75" hidden="false" customHeight="false" outlineLevel="0" collapsed="false">
      <c r="A22" s="364" t="n">
        <v>46061</v>
      </c>
      <c r="B22" s="347" t="n">
        <v>46061</v>
      </c>
      <c r="F22" s="365"/>
    </row>
    <row r="23" customFormat="false" ht="12.75" hidden="false" customHeight="false" outlineLevel="0" collapsed="false">
      <c r="A23" s="364" t="n">
        <v>46061</v>
      </c>
      <c r="B23" s="347" t="s">
        <v>242</v>
      </c>
      <c r="F23" s="365"/>
    </row>
    <row r="24" customFormat="false" ht="12.75" hidden="false" customHeight="false" outlineLevel="0" collapsed="false">
      <c r="A24" s="364" t="n">
        <v>46061</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46062</v>
      </c>
      <c r="B27" s="359" t="n">
        <v>46062</v>
      </c>
      <c r="C27" s="360"/>
      <c r="D27" s="361"/>
      <c r="E27" s="362" t="n">
        <v>200</v>
      </c>
    </row>
    <row r="28" customFormat="false" ht="12.75" hidden="false" customHeight="false" outlineLevel="0" collapsed="false">
      <c r="B28" s="347" t="n">
        <v>46063</v>
      </c>
      <c r="E28" s="349" t="n">
        <v>200</v>
      </c>
      <c r="F28" s="365"/>
    </row>
    <row r="29" customFormat="false" ht="12.75" hidden="false" customHeight="false" outlineLevel="0" collapsed="false">
      <c r="A29" s="364" t="n">
        <v>46064</v>
      </c>
      <c r="B29" s="347" t="n">
        <v>46064</v>
      </c>
      <c r="E29" s="349" t="n">
        <v>200</v>
      </c>
      <c r="F29" s="365"/>
    </row>
    <row r="30" customFormat="false" ht="12.75" hidden="false" customHeight="false" outlineLevel="0" collapsed="false">
      <c r="A30" s="364" t="n">
        <v>46065</v>
      </c>
      <c r="B30" s="347" t="n">
        <v>46065</v>
      </c>
      <c r="E30" s="349" t="n">
        <v>200</v>
      </c>
      <c r="F30" s="365"/>
    </row>
    <row r="31" customFormat="false" ht="12.75" hidden="false" customHeight="false" outlineLevel="0" collapsed="false">
      <c r="A31" s="364" t="n">
        <v>46066</v>
      </c>
      <c r="B31" s="347" t="n">
        <v>46066</v>
      </c>
      <c r="E31" s="349" t="n">
        <v>200</v>
      </c>
      <c r="F31" s="365"/>
    </row>
    <row r="32" customFormat="false" ht="12.75" hidden="false" customHeight="false" outlineLevel="0" collapsed="false">
      <c r="A32" s="364" t="n">
        <v>46067</v>
      </c>
      <c r="B32" s="347" t="n">
        <v>46067</v>
      </c>
      <c r="F32" s="365"/>
    </row>
    <row r="33" customFormat="false" ht="12.75" hidden="false" customHeight="false" outlineLevel="0" collapsed="false">
      <c r="A33" s="364" t="n">
        <v>46068</v>
      </c>
      <c r="B33" s="347" t="n">
        <v>46068</v>
      </c>
      <c r="F33" s="365"/>
    </row>
    <row r="34" customFormat="false" ht="12.75" hidden="false" customHeight="false" outlineLevel="0" collapsed="false">
      <c r="A34" s="364" t="n">
        <v>46068</v>
      </c>
      <c r="B34" s="347" t="s">
        <v>242</v>
      </c>
      <c r="F34" s="365"/>
    </row>
    <row r="35" customFormat="false" ht="12.75" hidden="false" customHeight="false" outlineLevel="0" collapsed="false">
      <c r="A35" s="364" t="n">
        <v>46068</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46069</v>
      </c>
      <c r="B38" s="359" t="n">
        <v>46069</v>
      </c>
      <c r="C38" s="360"/>
      <c r="D38" s="361"/>
      <c r="E38" s="362" t="n">
        <v>200</v>
      </c>
    </row>
    <row r="39" customFormat="false" ht="12.75" hidden="false" customHeight="false" outlineLevel="0" collapsed="false">
      <c r="B39" s="347" t="n">
        <v>46070</v>
      </c>
      <c r="E39" s="349" t="n">
        <v>200</v>
      </c>
      <c r="F39" s="365"/>
    </row>
    <row r="40" customFormat="false" ht="12.75" hidden="false" customHeight="false" outlineLevel="0" collapsed="false">
      <c r="A40" s="364" t="n">
        <v>46071</v>
      </c>
      <c r="B40" s="347" t="n">
        <v>46071</v>
      </c>
      <c r="E40" s="349" t="n">
        <v>200</v>
      </c>
      <c r="F40" s="365"/>
    </row>
    <row r="41" customFormat="false" ht="12.75" hidden="false" customHeight="false" outlineLevel="0" collapsed="false">
      <c r="A41" s="364" t="n">
        <v>46072</v>
      </c>
      <c r="B41" s="347" t="n">
        <v>46072</v>
      </c>
      <c r="E41" s="349" t="n">
        <v>200</v>
      </c>
      <c r="F41" s="365"/>
    </row>
    <row r="42" customFormat="false" ht="12.75" hidden="false" customHeight="false" outlineLevel="0" collapsed="false">
      <c r="A42" s="364" t="n">
        <v>46073</v>
      </c>
      <c r="B42" s="347" t="n">
        <v>46073</v>
      </c>
      <c r="E42" s="349" t="n">
        <v>200</v>
      </c>
      <c r="F42" s="365"/>
    </row>
    <row r="43" customFormat="false" ht="12.75" hidden="false" customHeight="false" outlineLevel="0" collapsed="false">
      <c r="A43" s="364" t="n">
        <v>46074</v>
      </c>
      <c r="B43" s="347" t="n">
        <v>46074</v>
      </c>
      <c r="F43" s="365"/>
    </row>
    <row r="44" customFormat="false" ht="12.75" hidden="false" customHeight="false" outlineLevel="0" collapsed="false">
      <c r="A44" s="364" t="n">
        <v>46075</v>
      </c>
      <c r="B44" s="347" t="n">
        <v>46075</v>
      </c>
      <c r="F44" s="365"/>
    </row>
    <row r="45" customFormat="false" ht="12.75" hidden="false" customHeight="false" outlineLevel="0" collapsed="false">
      <c r="A45" s="364" t="n">
        <v>46075</v>
      </c>
      <c r="B45" s="347" t="s">
        <v>242</v>
      </c>
      <c r="F45" s="365"/>
    </row>
    <row r="46" customFormat="false" ht="12.75" hidden="false" customHeight="false" outlineLevel="0" collapsed="false">
      <c r="A46" s="364" t="n">
        <v>46075</v>
      </c>
      <c r="B46" s="347" t="s">
        <v>243</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245</v>
      </c>
      <c r="C2" s="380" t="s">
        <v>246</v>
      </c>
      <c r="D2" s="380" t="s">
        <v>247</v>
      </c>
      <c r="E2" s="380" t="s">
        <v>248</v>
      </c>
      <c r="F2" s="207" t="s">
        <v>249</v>
      </c>
      <c r="G2" s="381" t="s">
        <v>250</v>
      </c>
      <c r="H2" s="381"/>
      <c r="I2" s="382" t="n">
        <f aca="false">G1+H1+I1+J1+PurchasesJan!I2</f>
        <v>4680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IF((A1&lt;Admin!$F$22),((A1-PurchasesJan!A1)*Admin!$G$21),(A1*Admin!$G$21-(A1-Admin!$F$21)*(Admin!$G$21-Admin!$G$22)-PurchasesJan!A2))</f>
        <v>0</v>
      </c>
    </row>
    <row r="5" s="373" customFormat="true" ht="12.75" hidden="false" customHeight="false" outlineLevel="0" collapsed="false">
      <c r="A5" s="372" t="n">
        <v>46068</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235</v>
      </c>
      <c r="B1" s="351" t="s">
        <v>236</v>
      </c>
      <c r="C1" s="352" t="s">
        <v>237</v>
      </c>
      <c r="D1" s="353" t="n">
        <f aca="false">SUM(D4:D69)</f>
        <v>0</v>
      </c>
      <c r="E1" s="352" t="n">
        <f aca="false">SUM(E4:E69)/2</f>
        <v>3000</v>
      </c>
      <c r="F1" s="352" t="n">
        <f aca="false">SUM(F4:F69)/2</f>
        <v>0</v>
      </c>
    </row>
    <row r="2" s="354" customFormat="true" ht="12.75" hidden="false" customHeight="true" outlineLevel="0" collapsed="false">
      <c r="A2" s="350"/>
      <c r="B2" s="351"/>
      <c r="C2" s="355" t="s">
        <v>238</v>
      </c>
      <c r="D2" s="356" t="s">
        <v>239</v>
      </c>
      <c r="E2" s="355" t="s">
        <v>240</v>
      </c>
      <c r="F2" s="355" t="s">
        <v>241</v>
      </c>
    </row>
    <row r="3" s="357" customFormat="true" ht="24" hidden="false" customHeight="true" outlineLevel="0" collapsed="false">
      <c r="A3" s="350"/>
      <c r="B3" s="351"/>
      <c r="C3" s="355"/>
      <c r="D3" s="356"/>
      <c r="E3" s="355"/>
      <c r="F3" s="355"/>
    </row>
    <row r="5" customFormat="false" ht="12.75" hidden="false" customHeight="false" outlineLevel="0" collapsed="false">
      <c r="A5" s="358" t="n">
        <v>46076</v>
      </c>
      <c r="B5" s="359" t="n">
        <v>46076</v>
      </c>
      <c r="C5" s="360"/>
      <c r="D5" s="361"/>
      <c r="E5" s="362"/>
      <c r="F5" s="363"/>
    </row>
    <row r="6" customFormat="false" ht="12.75" hidden="false" customHeight="false" outlineLevel="0" collapsed="false">
      <c r="A6" s="364" t="n">
        <v>46077</v>
      </c>
      <c r="B6" s="347" t="n">
        <v>46077</v>
      </c>
      <c r="F6" s="365"/>
    </row>
    <row r="7" customFormat="false" ht="12.75" hidden="false" customHeight="false" outlineLevel="0" collapsed="false">
      <c r="A7" s="364" t="n">
        <v>46078</v>
      </c>
      <c r="B7" s="347" t="n">
        <v>46078</v>
      </c>
      <c r="F7" s="365"/>
    </row>
    <row r="8" customFormat="false" ht="12.75" hidden="false" customHeight="false" outlineLevel="0" collapsed="false">
      <c r="A8" s="364" t="n">
        <v>46079</v>
      </c>
      <c r="B8" s="347" t="n">
        <v>46079</v>
      </c>
      <c r="F8" s="365"/>
    </row>
    <row r="9" customFormat="false" ht="12.75" hidden="false" customHeight="false" outlineLevel="0" collapsed="false">
      <c r="A9" s="364" t="n">
        <v>46080</v>
      </c>
      <c r="B9" s="347" t="n">
        <v>46080</v>
      </c>
      <c r="F9" s="365"/>
    </row>
    <row r="10" customFormat="false" ht="12.75" hidden="false" customHeight="false" outlineLevel="0" collapsed="false">
      <c r="A10" s="364" t="n">
        <v>46081</v>
      </c>
      <c r="B10" s="347" t="n">
        <v>46081</v>
      </c>
      <c r="F10" s="365"/>
    </row>
    <row r="11" customFormat="false" ht="12.75" hidden="false" customHeight="false" outlineLevel="0" collapsed="false">
      <c r="A11" s="364" t="n">
        <v>46082</v>
      </c>
      <c r="B11" s="347" t="n">
        <v>46082</v>
      </c>
      <c r="F11" s="365"/>
    </row>
    <row r="12" customFormat="false" ht="12.75" hidden="false" customHeight="false" outlineLevel="0" collapsed="false">
      <c r="A12" s="364" t="n">
        <v>46082</v>
      </c>
      <c r="B12" s="347" t="s">
        <v>242</v>
      </c>
      <c r="F12" s="365"/>
    </row>
    <row r="13" customFormat="false" ht="12.75" hidden="false" customHeight="false" outlineLevel="0" collapsed="false">
      <c r="A13" s="364" t="n">
        <v>46082</v>
      </c>
      <c r="B13" s="347" t="s">
        <v>243</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46083</v>
      </c>
      <c r="B16" s="359" t="n">
        <v>46083</v>
      </c>
      <c r="C16" s="360"/>
      <c r="D16" s="361"/>
      <c r="E16" s="362" t="n">
        <v>200</v>
      </c>
    </row>
    <row r="17" customFormat="false" ht="12.75" hidden="false" customHeight="false" outlineLevel="0" collapsed="false">
      <c r="B17" s="347" t="n">
        <v>46084</v>
      </c>
      <c r="E17" s="181" t="n">
        <v>200</v>
      </c>
      <c r="F17" s="365"/>
    </row>
    <row r="18" customFormat="false" ht="12.75" hidden="false" customHeight="false" outlineLevel="0" collapsed="false">
      <c r="A18" s="364" t="n">
        <v>46085</v>
      </c>
      <c r="B18" s="347" t="n">
        <v>46085</v>
      </c>
      <c r="E18" s="181" t="n">
        <v>200</v>
      </c>
      <c r="F18" s="365"/>
    </row>
    <row r="19" customFormat="false" ht="12.75" hidden="false" customHeight="false" outlineLevel="0" collapsed="false">
      <c r="A19" s="364" t="n">
        <v>46086</v>
      </c>
      <c r="B19" s="347" t="n">
        <v>46086</v>
      </c>
      <c r="E19" s="181" t="n">
        <v>200</v>
      </c>
      <c r="F19" s="365"/>
    </row>
    <row r="20" customFormat="false" ht="12.75" hidden="false" customHeight="false" outlineLevel="0" collapsed="false">
      <c r="A20" s="364" t="n">
        <v>46087</v>
      </c>
      <c r="B20" s="347" t="n">
        <v>46087</v>
      </c>
      <c r="E20" s="181" t="n">
        <v>200</v>
      </c>
      <c r="F20" s="365"/>
    </row>
    <row r="21" customFormat="false" ht="12.75" hidden="false" customHeight="false" outlineLevel="0" collapsed="false">
      <c r="A21" s="364" t="n">
        <v>46088</v>
      </c>
      <c r="B21" s="347" t="n">
        <v>46088</v>
      </c>
      <c r="F21" s="365"/>
    </row>
    <row r="22" customFormat="false" ht="12.75" hidden="false" customHeight="false" outlineLevel="0" collapsed="false">
      <c r="A22" s="364" t="n">
        <v>46089</v>
      </c>
      <c r="B22" s="347" t="n">
        <v>46089</v>
      </c>
      <c r="F22" s="365"/>
    </row>
    <row r="23" customFormat="false" ht="12.75" hidden="false" customHeight="false" outlineLevel="0" collapsed="false">
      <c r="A23" s="364" t="n">
        <v>46089</v>
      </c>
      <c r="B23" s="347" t="s">
        <v>242</v>
      </c>
      <c r="F23" s="365"/>
    </row>
    <row r="24" customFormat="false" ht="12.75" hidden="false" customHeight="false" outlineLevel="0" collapsed="false">
      <c r="A24" s="364" t="n">
        <v>46089</v>
      </c>
      <c r="B24" s="347" t="s">
        <v>243</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46090</v>
      </c>
      <c r="B27" s="359" t="n">
        <v>46090</v>
      </c>
      <c r="C27" s="360"/>
      <c r="D27" s="361"/>
      <c r="E27" s="362" t="n">
        <v>200</v>
      </c>
    </row>
    <row r="28" customFormat="false" ht="12.75" hidden="false" customHeight="false" outlineLevel="0" collapsed="false">
      <c r="B28" s="347" t="n">
        <v>46091</v>
      </c>
      <c r="E28" s="181" t="n">
        <v>200</v>
      </c>
      <c r="F28" s="365"/>
    </row>
    <row r="29" customFormat="false" ht="12.75" hidden="false" customHeight="false" outlineLevel="0" collapsed="false">
      <c r="A29" s="364" t="n">
        <v>46092</v>
      </c>
      <c r="B29" s="347" t="n">
        <v>46092</v>
      </c>
      <c r="E29" s="181" t="n">
        <v>200</v>
      </c>
      <c r="F29" s="365"/>
    </row>
    <row r="30" customFormat="false" ht="12.75" hidden="false" customHeight="false" outlineLevel="0" collapsed="false">
      <c r="A30" s="364" t="n">
        <v>46093</v>
      </c>
      <c r="B30" s="347" t="n">
        <v>46093</v>
      </c>
      <c r="E30" s="181" t="n">
        <v>200</v>
      </c>
      <c r="F30" s="365"/>
    </row>
    <row r="31" customFormat="false" ht="12.75" hidden="false" customHeight="false" outlineLevel="0" collapsed="false">
      <c r="A31" s="364" t="n">
        <v>46094</v>
      </c>
      <c r="B31" s="347" t="n">
        <v>46094</v>
      </c>
      <c r="E31" s="181" t="n">
        <v>200</v>
      </c>
      <c r="F31" s="365"/>
    </row>
    <row r="32" customFormat="false" ht="12.75" hidden="false" customHeight="false" outlineLevel="0" collapsed="false">
      <c r="A32" s="364" t="n">
        <v>46095</v>
      </c>
      <c r="B32" s="347" t="n">
        <v>46095</v>
      </c>
      <c r="F32" s="365"/>
    </row>
    <row r="33" customFormat="false" ht="12.75" hidden="false" customHeight="false" outlineLevel="0" collapsed="false">
      <c r="A33" s="364" t="n">
        <v>46096</v>
      </c>
      <c r="B33" s="347" t="n">
        <v>46096</v>
      </c>
      <c r="F33" s="365"/>
    </row>
    <row r="34" customFormat="false" ht="12.75" hidden="false" customHeight="false" outlineLevel="0" collapsed="false">
      <c r="A34" s="364" t="n">
        <v>46096</v>
      </c>
      <c r="B34" s="347" t="s">
        <v>242</v>
      </c>
      <c r="F34" s="365"/>
    </row>
    <row r="35" customFormat="false" ht="12.75" hidden="false" customHeight="false" outlineLevel="0" collapsed="false">
      <c r="A35" s="364" t="n">
        <v>46096</v>
      </c>
      <c r="B35" s="347" t="s">
        <v>243</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46097</v>
      </c>
      <c r="B38" s="359" t="n">
        <v>46097</v>
      </c>
      <c r="C38" s="360"/>
      <c r="D38" s="361"/>
      <c r="E38" s="362" t="n">
        <v>200</v>
      </c>
    </row>
    <row r="39" customFormat="false" ht="12.75" hidden="false" customHeight="false" outlineLevel="0" collapsed="false">
      <c r="B39" s="347" t="n">
        <v>46098</v>
      </c>
      <c r="E39" s="181" t="n">
        <v>200</v>
      </c>
      <c r="F39" s="365"/>
    </row>
    <row r="40" customFormat="false" ht="12.75" hidden="false" customHeight="false" outlineLevel="0" collapsed="false">
      <c r="A40" s="364" t="n">
        <v>46099</v>
      </c>
      <c r="B40" s="347" t="n">
        <v>46099</v>
      </c>
      <c r="E40" s="181" t="n">
        <v>200</v>
      </c>
      <c r="F40" s="365"/>
    </row>
    <row r="41" customFormat="false" ht="12.75" hidden="false" customHeight="false" outlineLevel="0" collapsed="false">
      <c r="A41" s="364" t="n">
        <v>46100</v>
      </c>
      <c r="B41" s="347" t="n">
        <v>46100</v>
      </c>
      <c r="E41" s="181" t="n">
        <v>200</v>
      </c>
      <c r="F41" s="365"/>
    </row>
    <row r="42" customFormat="false" ht="12.75" hidden="false" customHeight="false" outlineLevel="0" collapsed="false">
      <c r="A42" s="364" t="n">
        <v>46101</v>
      </c>
      <c r="B42" s="347" t="n">
        <v>46101</v>
      </c>
      <c r="E42" s="181" t="n">
        <v>200</v>
      </c>
      <c r="F42" s="365"/>
    </row>
    <row r="43" customFormat="false" ht="12.75" hidden="false" customHeight="false" outlineLevel="0" collapsed="false">
      <c r="A43" s="364" t="n">
        <v>46102</v>
      </c>
      <c r="B43" s="347" t="n">
        <v>46102</v>
      </c>
      <c r="F43" s="365"/>
    </row>
    <row r="44" customFormat="false" ht="12.75" hidden="false" customHeight="false" outlineLevel="0" collapsed="false">
      <c r="A44" s="364" t="n">
        <v>46103</v>
      </c>
      <c r="B44" s="347" t="n">
        <v>46103</v>
      </c>
      <c r="F44" s="365"/>
    </row>
    <row r="45" customFormat="false" ht="12.75" hidden="false" customHeight="false" outlineLevel="0" collapsed="false">
      <c r="A45" s="364" t="n">
        <v>46103</v>
      </c>
      <c r="B45" s="347" t="s">
        <v>242</v>
      </c>
      <c r="F45" s="365"/>
    </row>
    <row r="46" customFormat="false" ht="12.75" hidden="false" customHeight="false" outlineLevel="0" collapsed="false">
      <c r="A46" s="364" t="n">
        <v>46103</v>
      </c>
      <c r="B46" s="347" t="s">
        <v>243</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46104</v>
      </c>
      <c r="B49" s="359" t="n">
        <v>46104</v>
      </c>
      <c r="C49" s="360"/>
      <c r="D49" s="361"/>
      <c r="E49" s="362"/>
      <c r="F49" s="363"/>
    </row>
    <row r="50" customFormat="false" ht="12.75" hidden="false" customHeight="false" outlineLevel="0" collapsed="false">
      <c r="A50" s="364" t="n">
        <v>46105</v>
      </c>
      <c r="B50" s="347" t="n">
        <v>46105</v>
      </c>
      <c r="F50" s="365"/>
    </row>
    <row r="51" customFormat="false" ht="12.75" hidden="false" customHeight="false" outlineLevel="0" collapsed="false">
      <c r="A51" s="364" t="n">
        <v>46106</v>
      </c>
      <c r="B51" s="347" t="n">
        <v>46106</v>
      </c>
      <c r="F51" s="365"/>
    </row>
    <row r="52" customFormat="false" ht="12.75" hidden="false" customHeight="false" outlineLevel="0" collapsed="false">
      <c r="A52" s="364" t="n">
        <v>46107</v>
      </c>
      <c r="B52" s="347" t="n">
        <v>46107</v>
      </c>
      <c r="F52" s="365"/>
    </row>
    <row r="53" customFormat="false" ht="12.75" hidden="false" customHeight="false" outlineLevel="0" collapsed="false">
      <c r="A53" s="364" t="n">
        <v>46108</v>
      </c>
      <c r="B53" s="347" t="n">
        <v>46108</v>
      </c>
      <c r="F53" s="365"/>
    </row>
    <row r="54" customFormat="false" ht="12.75" hidden="false" customHeight="false" outlineLevel="0" collapsed="false">
      <c r="A54" s="364" t="n">
        <v>46109</v>
      </c>
      <c r="B54" s="347" t="n">
        <v>46109</v>
      </c>
      <c r="F54" s="365"/>
    </row>
    <row r="55" customFormat="false" ht="12.75" hidden="false" customHeight="false" outlineLevel="0" collapsed="false">
      <c r="A55" s="364" t="n">
        <v>46110</v>
      </c>
      <c r="B55" s="347" t="n">
        <v>46110</v>
      </c>
      <c r="F55" s="365"/>
    </row>
    <row r="56" customFormat="false" ht="12.75" hidden="false" customHeight="false" outlineLevel="0" collapsed="false">
      <c r="A56" s="364" t="n">
        <v>46110</v>
      </c>
      <c r="B56" s="347" t="s">
        <v>242</v>
      </c>
      <c r="F56" s="365"/>
    </row>
    <row r="57" customFormat="false" ht="12.75" hidden="false" customHeight="false" outlineLevel="0" collapsed="false">
      <c r="A57" s="364" t="n">
        <v>46110</v>
      </c>
      <c r="B57" s="347" t="s">
        <v>243</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46111</v>
      </c>
      <c r="B60" s="359" t="n">
        <v>46111</v>
      </c>
      <c r="C60" s="360"/>
      <c r="D60" s="361"/>
      <c r="E60" s="362"/>
      <c r="F60" s="363"/>
    </row>
    <row r="61" customFormat="false" ht="12.75" hidden="false" customHeight="false" outlineLevel="0" collapsed="false">
      <c r="A61" s="364" t="n">
        <v>46112</v>
      </c>
      <c r="B61" s="347" t="n">
        <v>46112</v>
      </c>
      <c r="F61" s="365"/>
    </row>
    <row r="62" customFormat="false" ht="12.75" hidden="false" customHeight="false" outlineLevel="0" collapsed="false">
      <c r="A62" s="364" t="n">
        <v>46113</v>
      </c>
      <c r="B62" s="347" t="n">
        <v>46113</v>
      </c>
      <c r="F62" s="365"/>
    </row>
    <row r="63" customFormat="false" ht="12.75" hidden="false" customHeight="false" outlineLevel="0" collapsed="false">
      <c r="A63" s="364" t="n">
        <v>46114</v>
      </c>
      <c r="B63" s="347" t="n">
        <v>46114</v>
      </c>
      <c r="F63" s="365"/>
    </row>
    <row r="64" customFormat="false" ht="12.75" hidden="false" customHeight="false" outlineLevel="0" collapsed="false">
      <c r="A64" s="364" t="n">
        <v>46115</v>
      </c>
      <c r="B64" s="347" t="n">
        <v>46115</v>
      </c>
      <c r="F64" s="365"/>
    </row>
    <row r="65" customFormat="false" ht="12.75" hidden="false" customHeight="false" outlineLevel="0" collapsed="false">
      <c r="A65" s="364" t="n">
        <v>46116</v>
      </c>
      <c r="B65" s="347" t="n">
        <v>46116</v>
      </c>
      <c r="F65" s="365"/>
    </row>
    <row r="66" customFormat="false" ht="12.75" hidden="false" customHeight="false" outlineLevel="0" collapsed="false">
      <c r="A66" s="364" t="n">
        <v>46117</v>
      </c>
      <c r="B66" s="347" t="n">
        <v>46117</v>
      </c>
      <c r="F66" s="365"/>
    </row>
    <row r="67" customFormat="false" ht="12.75" hidden="false" customHeight="false" outlineLevel="0" collapsed="false">
      <c r="A67" s="364" t="n">
        <v>46117</v>
      </c>
      <c r="B67" s="347" t="s">
        <v>242</v>
      </c>
      <c r="F67" s="365"/>
    </row>
    <row r="68" customFormat="false" ht="12.75" hidden="false" customHeight="false" outlineLevel="0" collapsed="false">
      <c r="A68" s="364" t="n">
        <v>46117</v>
      </c>
      <c r="B68" s="347" t="s">
        <v>243</v>
      </c>
      <c r="F68" s="365"/>
    </row>
    <row r="69" customFormat="false" ht="12.75" hidden="false" customHeight="false" outlineLevel="0" collapsed="false">
      <c r="A69" s="366"/>
      <c r="B69" s="367"/>
      <c r="C69" s="368"/>
      <c r="D69" s="369"/>
      <c r="E69" s="370" t="n">
        <f aca="false">SUM(E60:E68)</f>
        <v>0</v>
      </c>
      <c r="F69" s="371" t="n">
        <f aca="false">SUM(F60:F68)</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244</v>
      </c>
      <c r="C1" s="392" t="s">
        <v>237</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245</v>
      </c>
      <c r="C2" s="380" t="s">
        <v>246</v>
      </c>
      <c r="D2" s="380" t="s">
        <v>247</v>
      </c>
      <c r="E2" s="380" t="s">
        <v>248</v>
      </c>
      <c r="F2" s="207" t="s">
        <v>249</v>
      </c>
      <c r="G2" s="381" t="s">
        <v>250</v>
      </c>
      <c r="H2" s="381"/>
      <c r="I2" s="382" t="n">
        <f aca="false">G1+H1+I1+J1+PurchasesFeb!I2</f>
        <v>4980</v>
      </c>
      <c r="J2" s="382"/>
      <c r="K2" s="207" t="s">
        <v>251</v>
      </c>
      <c r="L2" s="207" t="s">
        <v>252</v>
      </c>
      <c r="M2" s="207" t="s">
        <v>253</v>
      </c>
      <c r="N2" s="207" t="s">
        <v>285</v>
      </c>
      <c r="O2" s="207" t="s">
        <v>255</v>
      </c>
      <c r="P2" s="207" t="s">
        <v>256</v>
      </c>
      <c r="Q2" s="207" t="s">
        <v>257</v>
      </c>
      <c r="R2" s="207" t="s">
        <v>258</v>
      </c>
      <c r="S2" s="383" t="s">
        <v>259</v>
      </c>
      <c r="T2" s="384" t="str">
        <f aca="false">IF(T1&gt;'Fixed Assets'!$D$74,"ENTER VEHICLE CHANGES        on Fixed Asset schedule","Motor Vehicles: make, model, date reg. and reg. Mark")</f>
        <v>ENTER VEHICLE CHANGES        on Fixed Asset schedule</v>
      </c>
      <c r="U2" s="383" t="s">
        <v>117</v>
      </c>
    </row>
    <row r="3" s="386" customFormat="true" ht="45" hidden="false" customHeight="true" outlineLevel="0" collapsed="false">
      <c r="A3" s="385" t="s">
        <v>260</v>
      </c>
      <c r="B3" s="207" t="s">
        <v>261</v>
      </c>
      <c r="C3" s="380"/>
      <c r="D3" s="380"/>
      <c r="E3" s="380"/>
      <c r="F3" s="380"/>
      <c r="G3" s="207" t="s">
        <v>112</v>
      </c>
      <c r="H3" s="207" t="s">
        <v>262</v>
      </c>
      <c r="I3" s="207" t="s">
        <v>114</v>
      </c>
      <c r="J3" s="207" t="s">
        <v>115</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263</v>
      </c>
      <c r="H4" s="376" t="s">
        <v>264</v>
      </c>
      <c r="I4" s="376" t="s">
        <v>265</v>
      </c>
      <c r="J4" s="376" t="s">
        <v>266</v>
      </c>
      <c r="K4" s="376" t="s">
        <v>267</v>
      </c>
      <c r="L4" s="376" t="s">
        <v>268</v>
      </c>
      <c r="M4" s="376" t="s">
        <v>269</v>
      </c>
      <c r="N4" s="376" t="s">
        <v>270</v>
      </c>
      <c r="O4" s="376" t="s">
        <v>271</v>
      </c>
      <c r="P4" s="376" t="s">
        <v>272</v>
      </c>
      <c r="Q4" s="376" t="s">
        <v>273</v>
      </c>
      <c r="R4" s="376" t="s">
        <v>274</v>
      </c>
      <c r="S4" s="388" t="s">
        <v>275</v>
      </c>
      <c r="T4" s="384"/>
      <c r="U4" s="394" t="n">
        <f aca="false">IF((A1&lt;Admin!$F$22),((A1-PurchasesFeb!A1)*Admin!$G$21),(A1*Admin!$G$21-(A1-Admin!$F$21)*(Admin!$G$21-Admin!$G$22)-PurchasesFeb!A2))</f>
        <v>0</v>
      </c>
    </row>
    <row r="5" s="373" customFormat="true" ht="12.75" hidden="false" customHeight="false" outlineLevel="0" collapsed="false">
      <c r="A5" s="372" t="n">
        <v>46096</v>
      </c>
      <c r="B5" s="373" t="s">
        <v>276</v>
      </c>
      <c r="D5" s="373" t="s">
        <v>277</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289</v>
      </c>
      <c r="C1" s="68"/>
      <c r="D1" s="400"/>
      <c r="E1" s="400"/>
      <c r="F1" s="400"/>
      <c r="G1" s="401"/>
      <c r="H1" s="68"/>
      <c r="I1" s="68"/>
      <c r="J1" s="68"/>
      <c r="K1" s="68"/>
      <c r="L1" s="68"/>
      <c r="M1" s="68"/>
      <c r="N1" s="68"/>
      <c r="O1" s="68"/>
    </row>
    <row r="2" customFormat="false" ht="12" hidden="false" customHeight="true" outlineLevel="0" collapsed="false">
      <c r="A2" s="68"/>
      <c r="B2" s="402" t="n">
        <v>45716</v>
      </c>
      <c r="C2" s="68"/>
      <c r="D2" s="403" t="s">
        <v>290</v>
      </c>
      <c r="E2" s="403"/>
      <c r="F2" s="403"/>
      <c r="G2" s="404" t="str">
        <f aca="false">B23</f>
        <v>2025-26</v>
      </c>
      <c r="H2" s="68"/>
      <c r="I2" s="405" t="s">
        <v>291</v>
      </c>
      <c r="J2" s="405"/>
      <c r="K2" s="406" t="str">
        <f aca="false">G2</f>
        <v>2025-26</v>
      </c>
      <c r="L2" s="68"/>
      <c r="M2" s="68"/>
      <c r="N2" s="68"/>
      <c r="O2" s="68"/>
    </row>
    <row r="3" customFormat="false" ht="12" hidden="false" customHeight="true" outlineLevel="0" collapsed="false">
      <c r="A3" s="68"/>
      <c r="B3" s="402" t="n">
        <v>45747</v>
      </c>
      <c r="C3" s="68"/>
      <c r="D3" s="68"/>
      <c r="E3" s="68"/>
      <c r="F3" s="68"/>
      <c r="G3" s="407"/>
      <c r="H3" s="68"/>
      <c r="I3" s="68"/>
      <c r="J3" s="408"/>
      <c r="K3" s="408"/>
      <c r="L3" s="401"/>
      <c r="M3" s="68"/>
      <c r="N3" s="68"/>
      <c r="O3" s="68"/>
    </row>
    <row r="4" customFormat="false" ht="12" hidden="false" customHeight="true" outlineLevel="0" collapsed="false">
      <c r="A4" s="68"/>
      <c r="B4" s="409" t="n">
        <v>45753</v>
      </c>
      <c r="C4" s="68"/>
      <c r="D4" s="410" t="s">
        <v>69</v>
      </c>
      <c r="E4" s="410"/>
      <c r="F4" s="410"/>
      <c r="G4" s="411" t="n">
        <v>1</v>
      </c>
      <c r="H4" s="68"/>
      <c r="I4" s="410" t="s">
        <v>292</v>
      </c>
      <c r="J4" s="410"/>
      <c r="K4" s="410"/>
      <c r="L4" s="410"/>
      <c r="M4" s="410"/>
      <c r="N4" s="412" t="n">
        <v>12570</v>
      </c>
      <c r="O4" s="407" t="s">
        <v>29</v>
      </c>
    </row>
    <row r="5" customFormat="false" ht="12" hidden="false" customHeight="true" outlineLevel="0" collapsed="false">
      <c r="A5" s="68"/>
      <c r="B5" s="402" t="n">
        <v>45777</v>
      </c>
      <c r="C5" s="68"/>
      <c r="D5" s="410" t="s">
        <v>293</v>
      </c>
      <c r="E5" s="410"/>
      <c r="F5" s="410"/>
      <c r="G5" s="411" t="n">
        <v>0.18</v>
      </c>
      <c r="H5" s="68"/>
      <c r="I5" s="68"/>
      <c r="J5" s="68"/>
      <c r="K5" s="68"/>
      <c r="L5" s="68"/>
      <c r="M5" s="68"/>
      <c r="N5" s="407"/>
      <c r="O5" s="407"/>
    </row>
    <row r="6" customFormat="false" ht="12" hidden="false" customHeight="true" outlineLevel="0" collapsed="false">
      <c r="A6" s="68"/>
      <c r="B6" s="402" t="n">
        <v>45808</v>
      </c>
      <c r="C6" s="68"/>
      <c r="D6" s="68"/>
      <c r="E6" s="68"/>
      <c r="F6" s="68"/>
      <c r="G6" s="407"/>
      <c r="H6" s="68"/>
      <c r="I6" s="410" t="s">
        <v>294</v>
      </c>
      <c r="J6" s="410"/>
      <c r="K6" s="410"/>
      <c r="L6" s="410"/>
      <c r="M6" s="410"/>
      <c r="N6" s="411" t="n">
        <v>0</v>
      </c>
      <c r="O6" s="407" t="s">
        <v>295</v>
      </c>
    </row>
    <row r="7" customFormat="false" ht="12" hidden="false" customHeight="true" outlineLevel="0" collapsed="false">
      <c r="A7" s="68"/>
      <c r="B7" s="402" t="n">
        <v>45838</v>
      </c>
      <c r="C7" s="68"/>
      <c r="D7" s="410" t="s">
        <v>296</v>
      </c>
      <c r="E7" s="410"/>
      <c r="F7" s="410"/>
      <c r="G7" s="407"/>
      <c r="H7" s="68"/>
      <c r="I7" s="410" t="s">
        <v>297</v>
      </c>
      <c r="J7" s="410"/>
      <c r="K7" s="410"/>
      <c r="L7" s="410"/>
      <c r="M7" s="410"/>
      <c r="N7" s="411" t="n">
        <v>0.2</v>
      </c>
      <c r="O7" s="407" t="s">
        <v>295</v>
      </c>
    </row>
    <row r="8" customFormat="false" ht="12" hidden="false" customHeight="true" outlineLevel="0" collapsed="false">
      <c r="A8" s="68"/>
      <c r="B8" s="402" t="n">
        <v>45869</v>
      </c>
      <c r="C8" s="68"/>
      <c r="D8" s="68" t="s">
        <v>298</v>
      </c>
      <c r="E8" s="413" t="n">
        <v>12000</v>
      </c>
      <c r="F8" s="68" t="s">
        <v>299</v>
      </c>
      <c r="G8" s="413" t="n">
        <v>3000</v>
      </c>
      <c r="H8" s="68"/>
      <c r="I8" s="68"/>
      <c r="J8" s="68"/>
      <c r="K8" s="68"/>
      <c r="L8" s="68"/>
      <c r="M8" s="68"/>
      <c r="N8" s="407" t="n">
        <v>0.4</v>
      </c>
      <c r="O8" s="407"/>
    </row>
    <row r="9" customFormat="false" ht="12" hidden="false" customHeight="true" outlineLevel="0" collapsed="false">
      <c r="A9" s="68"/>
      <c r="B9" s="402" t="n">
        <v>45900</v>
      </c>
      <c r="C9" s="68"/>
      <c r="D9" s="68"/>
      <c r="E9" s="407"/>
      <c r="F9" s="68"/>
      <c r="G9" s="407"/>
      <c r="H9" s="68"/>
      <c r="I9" s="410" t="s">
        <v>300</v>
      </c>
      <c r="J9" s="410"/>
      <c r="K9" s="410"/>
      <c r="L9" s="414" t="s">
        <v>301</v>
      </c>
      <c r="M9" s="414" t="s">
        <v>302</v>
      </c>
      <c r="N9" s="415" t="s">
        <v>303</v>
      </c>
      <c r="O9" s="407"/>
    </row>
    <row r="10" customFormat="false" ht="12" hidden="false" customHeight="true" outlineLevel="0" collapsed="false">
      <c r="A10" s="68"/>
      <c r="B10" s="402" t="n">
        <v>45930</v>
      </c>
      <c r="C10" s="68"/>
      <c r="D10" s="68"/>
      <c r="E10" s="407"/>
      <c r="F10" s="68"/>
      <c r="G10" s="407"/>
      <c r="H10" s="68"/>
      <c r="I10" s="68"/>
      <c r="J10" s="68"/>
      <c r="K10" s="68"/>
      <c r="L10" s="68"/>
      <c r="M10" s="68"/>
      <c r="N10" s="407"/>
      <c r="O10" s="407"/>
    </row>
    <row r="11" customFormat="false" ht="12" hidden="false" customHeight="true" outlineLevel="0" collapsed="false">
      <c r="A11" s="68"/>
      <c r="B11" s="402" t="n">
        <v>45961</v>
      </c>
      <c r="C11" s="68"/>
      <c r="D11" s="403" t="s">
        <v>304</v>
      </c>
      <c r="E11" s="403"/>
      <c r="F11" s="403"/>
      <c r="G11" s="407" t="s">
        <v>295</v>
      </c>
      <c r="H11" s="68"/>
      <c r="I11" s="68" t="s">
        <v>305</v>
      </c>
      <c r="J11" s="68"/>
      <c r="K11" s="416" t="n">
        <v>0.2</v>
      </c>
      <c r="L11" s="407" t="n">
        <f aca="false">N11</f>
        <v>0</v>
      </c>
      <c r="M11" s="407" t="n">
        <v>37700</v>
      </c>
      <c r="N11" s="413" t="n">
        <v>0</v>
      </c>
      <c r="O11" s="407"/>
    </row>
    <row r="12" customFormat="false" ht="12" hidden="false" customHeight="true" outlineLevel="0" collapsed="false">
      <c r="A12" s="68"/>
      <c r="B12" s="402" t="n">
        <v>45991</v>
      </c>
      <c r="C12" s="68"/>
      <c r="D12" s="68"/>
      <c r="E12" s="68"/>
      <c r="F12" s="68"/>
      <c r="G12" s="407"/>
      <c r="H12" s="68"/>
      <c r="I12" s="68" t="s">
        <v>306</v>
      </c>
      <c r="J12" s="68"/>
      <c r="K12" s="416" t="n">
        <v>0.4</v>
      </c>
      <c r="L12" s="407" t="n">
        <v>37701</v>
      </c>
      <c r="M12" s="68" t="n">
        <v>37700</v>
      </c>
      <c r="N12" s="413" t="n">
        <v>0</v>
      </c>
      <c r="O12" s="407"/>
    </row>
    <row r="13" customFormat="false" ht="12" hidden="false" customHeight="true" outlineLevel="0" collapsed="false">
      <c r="A13" s="68"/>
      <c r="B13" s="402" t="n">
        <v>46022</v>
      </c>
      <c r="C13" s="68"/>
      <c r="D13" s="410" t="s">
        <v>307</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46053</v>
      </c>
      <c r="C14" s="68"/>
      <c r="D14" s="410" t="s">
        <v>308</v>
      </c>
      <c r="E14" s="410"/>
      <c r="F14" s="410"/>
      <c r="G14" s="411" t="n">
        <v>0.1</v>
      </c>
      <c r="H14" s="68"/>
      <c r="I14" s="403" t="s">
        <v>309</v>
      </c>
      <c r="J14" s="403"/>
      <c r="K14" s="403"/>
      <c r="L14" s="406" t="str">
        <f aca="false">G2</f>
        <v>2025-26</v>
      </c>
      <c r="M14" s="68"/>
      <c r="N14" s="68"/>
      <c r="O14" s="68"/>
    </row>
    <row r="15" customFormat="false" ht="12" hidden="false" customHeight="true" outlineLevel="0" collapsed="false">
      <c r="A15" s="68"/>
      <c r="B15" s="402" t="n">
        <v>46081</v>
      </c>
      <c r="C15" s="68"/>
      <c r="D15" s="410" t="s">
        <v>310</v>
      </c>
      <c r="E15" s="410"/>
      <c r="F15" s="410"/>
      <c r="G15" s="411" t="n">
        <v>0.2</v>
      </c>
      <c r="H15" s="68"/>
      <c r="I15" s="68"/>
      <c r="J15" s="68"/>
      <c r="K15" s="68"/>
      <c r="L15" s="68"/>
      <c r="M15" s="68"/>
      <c r="N15" s="68"/>
      <c r="O15" s="68"/>
    </row>
    <row r="16" customFormat="false" ht="12" hidden="false" customHeight="true" outlineLevel="0" collapsed="false">
      <c r="A16" s="68"/>
      <c r="B16" s="402" t="n">
        <v>46112</v>
      </c>
      <c r="C16" s="68"/>
      <c r="D16" s="410" t="s">
        <v>311</v>
      </c>
      <c r="E16" s="410"/>
      <c r="F16" s="410"/>
      <c r="G16" s="411" t="n">
        <v>0.33</v>
      </c>
      <c r="H16" s="68"/>
      <c r="I16" s="410" t="s">
        <v>312</v>
      </c>
      <c r="J16" s="410"/>
      <c r="K16" s="410"/>
      <c r="L16" s="417" t="n">
        <v>0</v>
      </c>
      <c r="M16" s="68" t="s">
        <v>313</v>
      </c>
      <c r="N16" s="68"/>
      <c r="O16" s="68"/>
    </row>
    <row r="17" customFormat="false" ht="12" hidden="false" customHeight="true" outlineLevel="0" collapsed="false">
      <c r="A17" s="68"/>
      <c r="B17" s="409" t="n">
        <v>46117</v>
      </c>
      <c r="C17" s="68"/>
      <c r="D17" s="410" t="s">
        <v>314</v>
      </c>
      <c r="E17" s="410"/>
      <c r="F17" s="410"/>
      <c r="G17" s="411" t="n">
        <v>0.25</v>
      </c>
      <c r="H17" s="68"/>
      <c r="I17" s="68"/>
      <c r="J17" s="68"/>
      <c r="K17" s="68"/>
      <c r="L17" s="418" t="n">
        <v>0</v>
      </c>
      <c r="M17" s="68"/>
      <c r="N17" s="68"/>
      <c r="O17" s="68"/>
    </row>
    <row r="18" customFormat="false" ht="12" hidden="false" customHeight="true" outlineLevel="0" collapsed="false">
      <c r="A18" s="68"/>
      <c r="B18" s="402" t="n">
        <v>46142</v>
      </c>
      <c r="C18" s="68"/>
      <c r="D18" s="68"/>
      <c r="E18" s="68"/>
      <c r="F18" s="68"/>
      <c r="G18" s="407"/>
      <c r="H18" s="68"/>
      <c r="I18" s="68"/>
      <c r="J18" s="68"/>
      <c r="K18" s="68"/>
      <c r="L18" s="68"/>
      <c r="M18" s="68"/>
      <c r="N18" s="68"/>
      <c r="O18" s="68"/>
    </row>
    <row r="19" customFormat="false" ht="12" hidden="false" customHeight="true" outlineLevel="0" collapsed="false">
      <c r="A19" s="68"/>
      <c r="B19" s="402" t="n">
        <v>46173</v>
      </c>
      <c r="C19" s="68"/>
      <c r="D19" s="403" t="s">
        <v>315</v>
      </c>
      <c r="E19" s="403"/>
      <c r="F19" s="407" t="s">
        <v>316</v>
      </c>
      <c r="G19" s="407" t="s">
        <v>317</v>
      </c>
      <c r="H19" s="68"/>
      <c r="I19" s="419" t="s">
        <v>318</v>
      </c>
      <c r="J19" s="419"/>
      <c r="K19" s="419"/>
      <c r="L19" s="68"/>
      <c r="M19" s="420" t="s">
        <v>319</v>
      </c>
      <c r="N19" s="68"/>
      <c r="O19" s="68"/>
    </row>
    <row r="20" customFormat="false" ht="12" hidden="false" customHeight="true" outlineLevel="0" collapsed="false">
      <c r="A20" s="68"/>
      <c r="B20" s="402" t="n">
        <v>46203</v>
      </c>
      <c r="C20" s="68"/>
      <c r="D20" s="401"/>
      <c r="E20" s="401"/>
      <c r="F20" s="407"/>
      <c r="G20" s="407"/>
      <c r="H20" s="68"/>
      <c r="I20" s="419"/>
      <c r="J20" s="419"/>
      <c r="K20" s="419"/>
      <c r="L20" s="421" t="n">
        <v>0.06</v>
      </c>
      <c r="M20" s="420"/>
      <c r="N20" s="413" t="n">
        <v>12570</v>
      </c>
      <c r="O20" s="407" t="s">
        <v>29</v>
      </c>
    </row>
    <row r="21" customFormat="false" ht="12" hidden="false" customHeight="true" outlineLevel="0" collapsed="false">
      <c r="A21" s="68"/>
      <c r="B21" s="402" t="n">
        <v>46418</v>
      </c>
      <c r="C21" s="68"/>
      <c r="D21" s="410" t="s">
        <v>320</v>
      </c>
      <c r="E21" s="410"/>
      <c r="F21" s="413" t="n">
        <v>10000</v>
      </c>
      <c r="G21" s="417" t="n">
        <v>0.45</v>
      </c>
      <c r="H21" s="68"/>
      <c r="I21" s="422"/>
      <c r="J21" s="422"/>
      <c r="K21" s="422"/>
      <c r="L21" s="416"/>
      <c r="M21" s="68"/>
      <c r="N21" s="68"/>
      <c r="O21" s="68"/>
    </row>
    <row r="22" customFormat="false" ht="12" hidden="false" customHeight="true" outlineLevel="0" collapsed="false">
      <c r="A22" s="68"/>
      <c r="B22" s="402" t="n">
        <v>46599</v>
      </c>
      <c r="C22" s="68"/>
      <c r="D22" s="68" t="s">
        <v>321</v>
      </c>
      <c r="E22" s="68"/>
      <c r="F22" s="413" t="n">
        <v>10001</v>
      </c>
      <c r="G22" s="417" t="n">
        <v>0.25</v>
      </c>
      <c r="H22" s="68"/>
      <c r="I22" s="419" t="s">
        <v>322</v>
      </c>
      <c r="J22" s="419"/>
      <c r="K22" s="419"/>
      <c r="L22" s="68"/>
      <c r="M22" s="420" t="s">
        <v>323</v>
      </c>
      <c r="N22" s="68"/>
      <c r="O22" s="68"/>
    </row>
    <row r="23" customFormat="false" ht="12" hidden="false" customHeight="true" outlineLevel="0" collapsed="false">
      <c r="A23" s="68"/>
      <c r="B23" s="409" t="s">
        <v>324</v>
      </c>
      <c r="C23" s="68"/>
      <c r="D23" s="68"/>
      <c r="E23" s="68"/>
      <c r="F23" s="407"/>
      <c r="G23" s="418"/>
      <c r="H23" s="68"/>
      <c r="I23" s="419"/>
      <c r="J23" s="419"/>
      <c r="K23" s="419"/>
      <c r="L23" s="421" t="n">
        <v>0.02</v>
      </c>
      <c r="M23" s="420"/>
      <c r="N23" s="413" t="n">
        <v>50270</v>
      </c>
      <c r="O23" s="407" t="s">
        <v>29</v>
      </c>
    </row>
    <row r="24" customFormat="false" ht="12" hidden="false" customHeight="true" outlineLevel="0" collapsed="false">
      <c r="A24" s="68"/>
      <c r="B24" s="409" t="s">
        <v>325</v>
      </c>
      <c r="C24" s="68"/>
      <c r="D24" s="403" t="s">
        <v>315</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326</v>
      </c>
      <c r="E26" s="410"/>
      <c r="F26" s="413" t="n">
        <v>90000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2025-04-03T22:44:39Z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