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<sst xmlns="http://schemas.openxmlformats.org/spreadsheetml/2006/main" count="635" uniqueCount="59">
  <si>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</si>
  <si>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</si>
  <si>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</si>
  <si>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</si>
  <si>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</si>
  <si>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</si>
  <si>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</si>
  <si>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</si>
  <si>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</si>
  <si>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</si>
  <si>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</si>
  <si>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</si>
  <si>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</si>
  <si>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</si>
  <si>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</si>
  <si>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</si>
  <si>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</si>
  <si>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</si>
  <si>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</si>
  <si>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</si>
  <si>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</si>
  <si>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</si>
  <si>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</si>
  <si>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</si>
  <si>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</si>
  <si>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</si>
  <si>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</si>
  <si>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</si>
  <si>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</si>
  <si>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</si>
  <si>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</si>
  <si>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</si>
  <si>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</si>
  <si>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</si>
  <si>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</si>
  <si>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</si>
  <si>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</si>
  <si>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</si>
  <si>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</si>
  <si>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</si>
  <si>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</si>
  <si>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</si>
  <si>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</si>
  <si>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</si>
  <si>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</si>
  <si>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</si>
  <si>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</si>
  <si>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</si>
  <si>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</si>
  <si>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</si>
  <si>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Office Supplies Ltd</t>
  </si>
  <si>
    <t xml:space="preserve">g</t>
  </si>
  <si>
    <t xml:space="preserve">Landlord</t>
  </si>
  <si>
    <t xml:space="preserve">p</t>
  </si>
  <si>
    <t xml:space="preserve">Accountant</t>
  </si>
  <si>
    <t xml:space="preserve">l</t>
  </si>
  <si>
    <t xml:space="preserve">Fuel Station</t>
  </si>
  <si>
    <t xml:space="preserve">Plumber</t>
  </si>
  <si>
    <t xml:space="preserve">m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</si>
</sst>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46113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C5" s="28"/>
      <c r="D5" s="4"/>
      <c r="E5" s="2"/>
      <c r="F5" s="2"/>
      <c r="G5" s="29"/>
      <c r="H5" s="6" t="str">
        <f aca="false">IF(G5&lt;&gt;0,G5*H$2/(100+H$2)," ")</f>
        <v> 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120</v>
      </c>
      <c r="H1" s="13" t="n">
        <f aca="false">SUM(H5:H200)</f>
        <v>0</v>
      </c>
      <c r="I1" s="13" t="n">
        <f aca="false">SUM(I2:I200)</f>
        <v>120</v>
      </c>
      <c r="J1" s="15"/>
      <c r="K1" s="16" t="s">
        <v>4</v>
      </c>
      <c r="L1" s="17" t="n">
        <f aca="false">SUM(L5:L300)</f>
        <v>0</v>
      </c>
      <c r="M1" s="17" t="n">
        <f aca="false">SUM(M5:M200)</f>
        <v>120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120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</f>
        <v>0</v>
      </c>
      <c r="B2" s="44" t="s">
        <v>14</v>
      </c>
      <c r="C2" s="43" t="n">
        <f aca="false">0+D1+[1]Apr!$D$1</f>
        <v>0</v>
      </c>
      <c r="D2" s="45" t="s">
        <v>15</v>
      </c>
      <c r="E2" s="20" t="s">
        <v>5</v>
      </c>
      <c r="F2" s="44" t="s">
        <v>16</v>
      </c>
      <c r="G2" s="46" t="n">
        <f aca="false">IF(C2&lt;[2]Admin!$F$22,(C2-0)*[2]Admin!$G$21,(C2*[2]Admin!$G$21-(C2-[2]Admin!$F$21)*([2]Admin!$G$21-[2]Admin!$G$22)-0))</f>
        <v>0</v>
      </c>
      <c r="H2" s="21" t="n">
        <f aca="false">IF([1]Apr!$H$4&gt;0,0,[1]Apr!$H$2)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5" t="n">
        <v>45767</v>
      </c>
      <c r="B5" s="2" t="s">
        <v>50</v>
      </c>
      <c r="F5" s="5" t="s">
        <v>51</v>
      </c>
      <c r="G5" s="29" t="n">
        <v>120</v>
      </c>
      <c r="I5" s="6" t="n">
        <f aca="false">IF((G5&lt;&gt;0),G5-H5," ")</f>
        <v>120</v>
      </c>
      <c r="K5" s="6"/>
      <c r="L5" s="6"/>
      <c r="M5" s="7" t="n">
        <f aca="false">IF(G5&lt;&gt;0,G5-L5," ")</f>
        <v>120</v>
      </c>
      <c r="N5" s="8" t="n">
        <f aca="false">IF((G5-L5)&lt;&gt;0,N$1-A22," ")</f>
        <v>46113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n">
        <f aca="false">IF((F5="g"),I5," ")</f>
        <v>120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600</v>
      </c>
      <c r="H1" s="13" t="n">
        <f aca="false">SUM(H5:H200)</f>
        <v>0</v>
      </c>
      <c r="I1" s="13" t="n">
        <f aca="false">SUM(I2:I200)</f>
        <v>600</v>
      </c>
      <c r="J1" s="15"/>
      <c r="K1" s="16" t="s">
        <v>4</v>
      </c>
      <c r="L1" s="17" t="n">
        <f aca="false">SUM(L5:L300)</f>
        <v>0</v>
      </c>
      <c r="M1" s="17" t="n">
        <f aca="false">SUM(M5:M200)</f>
        <v>600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600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G2+Apr!A2</f>
        <v>0</v>
      </c>
      <c r="B2" s="44" t="s">
        <v>14</v>
      </c>
      <c r="C2" s="43" t="n">
        <f aca="false">Apr!C2+D1+[1]May!$D$1</f>
        <v>0</v>
      </c>
      <c r="D2" s="45" t="s">
        <v>15</v>
      </c>
      <c r="E2" s="20" t="s">
        <v>5</v>
      </c>
      <c r="F2" s="44" t="str">
        <f aca="false">Apr!F2</f>
        <v>v</v>
      </c>
      <c r="G2" s="46" t="n">
        <f aca="false">IF(C2&lt;[2]Admin!$F$22,(C2-Apr!C2)*[2]Admin!$G$21,C2*[2]Admin!$G$21-(C2-[2]Admin!$F$21)*([2]Admin!$G$21-[2]Admin!$G$22)-Apr!G2)</f>
        <v>0</v>
      </c>
      <c r="H2" s="21" t="n">
        <f aca="false">IF([1]May!$H$4&gt;0,0,[1]May!$H$2)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AB1+Apr!AB2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45787</v>
      </c>
      <c r="B5" s="5" t="s">
        <v>52</v>
      </c>
      <c r="F5" s="5" t="s">
        <v>53</v>
      </c>
      <c r="G5" s="29" t="n">
        <v>600</v>
      </c>
      <c r="I5" s="6" t="n">
        <f aca="false">IF((G5&lt;&gt;0),G5-H5," ")</f>
        <v>600</v>
      </c>
      <c r="K5" s="6"/>
      <c r="L5" s="6"/>
      <c r="M5" s="7" t="n">
        <f aca="false">IF(G5&lt;&gt;0,G5-L5," ")</f>
        <v>600</v>
      </c>
      <c r="N5" s="8" t="n">
        <f aca="false">IF((G5-L5)&lt;&gt;0,N$1-A5," ")</f>
        <v>326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600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0</v>
      </c>
      <c r="H1" s="13" t="n">
        <f aca="false">SUM(H5:H200)</f>
        <v>0</v>
      </c>
      <c r="I1" s="13" t="n">
        <f aca="false">SUM(I2:I200)</f>
        <v>0</v>
      </c>
      <c r="J1" s="15"/>
      <c r="K1" s="16" t="s">
        <v>4</v>
      </c>
      <c r="L1" s="17" t="n">
        <f aca="false">SUM(L5:L300)</f>
        <v>0</v>
      </c>
      <c r="M1" s="17" t="n">
        <f aca="false">SUM(M5:M200)</f>
        <v>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G2+May!A2</f>
        <v>0</v>
      </c>
      <c r="B2" s="44" t="s">
        <v>14</v>
      </c>
      <c r="C2" s="43" t="n">
        <f aca="false">May!C2+D1+[1]Jun!$D$1</f>
        <v>0</v>
      </c>
      <c r="D2" s="45" t="s">
        <v>15</v>
      </c>
      <c r="E2" s="20" t="s">
        <v>5</v>
      </c>
      <c r="F2" s="44" t="str">
        <f aca="false">May!F2</f>
        <v>v</v>
      </c>
      <c r="G2" s="46" t="n">
        <f aca="false">IF(C2&lt;[2]Admin!$F$22,(C2-May!C2)*[2]Admin!$G$21,C2*[2]Admin!$G$21-(C2-[2]Admin!$F$21)*([2]Admin!$G$21-[2]Admin!$G$22)-May!A2)</f>
        <v>0</v>
      </c>
      <c r="H2" s="21" t="n">
        <f aca="false">IF([1]Jun!$H$4&gt;0,0,[1]Jun!$H$2)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AB1+May!AB2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/>
      <c r="B5" s="2"/>
      <c r="C5" s="3"/>
      <c r="D5" s="4"/>
      <c r="E5" s="2"/>
      <c r="F5" s="57" t="str">
        <f aca="false">IF((G5&lt;&gt;0),"Enter Letter"," ")</f>
        <v> </v>
      </c>
      <c r="G5" s="29"/>
      <c r="H5" s="6" t="str">
        <f aca="false">IF(G5&lt;&gt;0,G5*H$2/(100+H$2)," ")</f>
        <v> 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57" t="str">
        <f aca="false">IF((G6&lt;&gt;0),"Enter Letter"," ")</f>
        <v> </v>
      </c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57" t="str">
        <f aca="false">IF((G7&lt;&gt;0),"Enter Letter"," ")</f>
        <v> </v>
      </c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57" t="str">
        <f aca="false">IF((G8&lt;&gt;0),"Enter Letter"," ")</f>
        <v> </v>
      </c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57" t="str">
        <f aca="false">IF((G9&lt;&gt;0),"Enter Letter"," ")</f>
        <v> </v>
      </c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57" t="str">
        <f aca="false">IF((G10&lt;&gt;0),"Enter Letter"," ")</f>
        <v> </v>
      </c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57" t="str">
        <f aca="false">IF((G11&lt;&gt;0),"Enter Letter"," ")</f>
        <v> </v>
      </c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57" t="str">
        <f aca="false">IF((G12&lt;&gt;0),"Enter Letter"," ")</f>
        <v> </v>
      </c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57" t="str">
        <f aca="false">IF((G13&lt;&gt;0),"Enter Letter"," ")</f>
        <v> </v>
      </c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57" t="str">
        <f aca="false">IF((G14&lt;&gt;0),"Enter Letter"," ")</f>
        <v> </v>
      </c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57" t="str">
        <f aca="false">IF((G15&lt;&gt;0),"Enter Letter"," ")</f>
        <v> </v>
      </c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57" t="str">
        <f aca="false">IF((G16&lt;&gt;0),"Enter Letter"," ")</f>
        <v> </v>
      </c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57" t="str">
        <f aca="false">IF((G17&lt;&gt;0),"Enter Letter"," ")</f>
        <v> </v>
      </c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57" t="str">
        <f aca="false">IF((G18&lt;&gt;0),"Enter Letter"," ")</f>
        <v> </v>
      </c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57" t="str">
        <f aca="false">IF((G19&lt;&gt;0),"Enter Letter"," ")</f>
        <v> </v>
      </c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57" t="str">
        <f aca="false">IF((G20&lt;&gt;0),"Enter Letter"," ")</f>
        <v> </v>
      </c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57" t="str">
        <f aca="false">IF((G21&lt;&gt;0),"Enter Letter"," ")</f>
        <v> </v>
      </c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57" t="str">
        <f aca="false">IF((G22&lt;&gt;0),"Enter Letter"," ")</f>
        <v> </v>
      </c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57" t="str">
        <f aca="false">IF((G23&lt;&gt;0),"Enter Letter"," ")</f>
        <v> </v>
      </c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57" t="str">
        <f aca="false">IF((G24&lt;&gt;0),"Enter Letter"," ")</f>
        <v> </v>
      </c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57" t="str">
        <f aca="false">IF((G25&lt;&gt;0),"Enter Letter"," ")</f>
        <v> </v>
      </c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57" t="str">
        <f aca="false">IF((G26&lt;&gt;0),"Enter Letter"," ")</f>
        <v> </v>
      </c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57" t="str">
        <f aca="false">IF((G27&lt;&gt;0),"Enter Letter"," ")</f>
        <v> </v>
      </c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57" t="str">
        <f aca="false">IF((G28&lt;&gt;0),"Enter Letter"," ")</f>
        <v> </v>
      </c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57" t="str">
        <f aca="false">IF((G29&lt;&gt;0),"Enter Letter"," ")</f>
        <v> </v>
      </c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57" t="str">
        <f aca="false">IF((G30&lt;&gt;0),"Enter Letter"," ")</f>
        <v> </v>
      </c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57" t="str">
        <f aca="false">IF((G31&lt;&gt;0),"Enter Letter"," ")</f>
        <v> </v>
      </c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57" t="str">
        <f aca="false">IF((G32&lt;&gt;0),"Enter Letter"," ")</f>
        <v> </v>
      </c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57" t="str">
        <f aca="false">IF((G33&lt;&gt;0),"Enter Letter"," ")</f>
        <v> 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57" t="str">
        <f aca="false">IF((G34&lt;&gt;0),"Enter Letter"," ")</f>
        <v> 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57" t="str">
        <f aca="false">IF((G35&lt;&gt;0),"Enter Letter"," ")</f>
        <v> 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57" t="str">
        <f aca="false">IF((G36&lt;&gt;0),"Enter Letter"," ")</f>
        <v> 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57" t="str">
        <f aca="false">IF((G37&lt;&gt;0),"Enter Letter"," ")</f>
        <v> </v>
      </c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57" t="str">
        <f aca="false">IF((G38&lt;&gt;0),"Enter Letter"," ")</f>
        <v> </v>
      </c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57" t="str">
        <f aca="false">IF((G39&lt;&gt;0),"Enter Letter"," ")</f>
        <v> </v>
      </c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57" t="str">
        <f aca="false">IF((G40&lt;&gt;0),"Enter Letter"," ")</f>
        <v> </v>
      </c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57" t="str">
        <f aca="false">IF((G41&lt;&gt;0),"Enter Letter"," ")</f>
        <v> </v>
      </c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57" t="str">
        <f aca="false">IF((G42&lt;&gt;0),"Enter Letter"," ")</f>
        <v> </v>
      </c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57" t="str">
        <f aca="false">IF((G43&lt;&gt;0),"Enter Letter"," ")</f>
        <v> </v>
      </c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57" t="str">
        <f aca="false">IF((G44&lt;&gt;0),"Enter Letter"," ")</f>
        <v> </v>
      </c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57" t="str">
        <f aca="false">IF((G45&lt;&gt;0),"Enter Letter"," ")</f>
        <v> </v>
      </c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57" t="str">
        <f aca="false">IF((G46&lt;&gt;0),"Enter Letter"," ")</f>
        <v> </v>
      </c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57" t="str">
        <f aca="false">IF((G47&lt;&gt;0),"Enter Letter"," ")</f>
        <v> </v>
      </c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57" t="str">
        <f aca="false">IF((G48&lt;&gt;0),"Enter Letter"," ")</f>
        <v> </v>
      </c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57" t="str">
        <f aca="false">IF((G49&lt;&gt;0),"Enter Letter"," ")</f>
        <v> </v>
      </c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57" t="str">
        <f aca="false">IF((G50&lt;&gt;0),"Enter Letter"," ")</f>
        <v> </v>
      </c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57" t="str">
        <f aca="false">IF((G51&lt;&gt;0),"Enter Letter"," ")</f>
        <v> </v>
      </c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57" t="str">
        <f aca="false">IF((G52&lt;&gt;0),"Enter Letter"," ")</f>
        <v> </v>
      </c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57" t="str">
        <f aca="false">IF((G53&lt;&gt;0),"Enter Letter"," ")</f>
        <v> </v>
      </c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57" t="str">
        <f aca="false">IF((G54&lt;&gt;0),"Enter Letter"," ")</f>
        <v> </v>
      </c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57" t="str">
        <f aca="false">IF((G55&lt;&gt;0),"Enter Letter"," ")</f>
        <v> </v>
      </c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57" t="str">
        <f aca="false">IF((G56&lt;&gt;0),"Enter Letter"," ")</f>
        <v> </v>
      </c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57" t="str">
        <f aca="false">IF((G57&lt;&gt;0),"Enter Letter"," ")</f>
        <v> </v>
      </c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57" t="str">
        <f aca="false">IF((G58&lt;&gt;0),"Enter Letter"," ")</f>
        <v> </v>
      </c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57" t="str">
        <f aca="false">IF((G59&lt;&gt;0),"Enter Letter"," ")</f>
        <v> </v>
      </c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57" t="str">
        <f aca="false">IF((G60&lt;&gt;0),"Enter Letter"," ")</f>
        <v> </v>
      </c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57" t="str">
        <f aca="false">IF((G61&lt;&gt;0),"Enter Letter"," ")</f>
        <v> </v>
      </c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57" t="str">
        <f aca="false">IF((G62&lt;&gt;0),"Enter Letter"," ")</f>
        <v> </v>
      </c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57" t="str">
        <f aca="false">IF((G63&lt;&gt;0),"Enter Letter"," ")</f>
        <v> </v>
      </c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57" t="str">
        <f aca="false">IF((G64&lt;&gt;0),"Enter Letter"," ")</f>
        <v> </v>
      </c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57" t="str">
        <f aca="false">IF((G65&lt;&gt;0),"Enter Letter"," ")</f>
        <v> </v>
      </c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57" t="str">
        <f aca="false">IF((G66&lt;&gt;0),"Enter Letter"," ")</f>
        <v> </v>
      </c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57" t="str">
        <f aca="false">IF((G67&lt;&gt;0),"Enter Letter"," ")</f>
        <v> </v>
      </c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57" t="str">
        <f aca="false">IF((G68&lt;&gt;0),"Enter Letter"," ")</f>
        <v> </v>
      </c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57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57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57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57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57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57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57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57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57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57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57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57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57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57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57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57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57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57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57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57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57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57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57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57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57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57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57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57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57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57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57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57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57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57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57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57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57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57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57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57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57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57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57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57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57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57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57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57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57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57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57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57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57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57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57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57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57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57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57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57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57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57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57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57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57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57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57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57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57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57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57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57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57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57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57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57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57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57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57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57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57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57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57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57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57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57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57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57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57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57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57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57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57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57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57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57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57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57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57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57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57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57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57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57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57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57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57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57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57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57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57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57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57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57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57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57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57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57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57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57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57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57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57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57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57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57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57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57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57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57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57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57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57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57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57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57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57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57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57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57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57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57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57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57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57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57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57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57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57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57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57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57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57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57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57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57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57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57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57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57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57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57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57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57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57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57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57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57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57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57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57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57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57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57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57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57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57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57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57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57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57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57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57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57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57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57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57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57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57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57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57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57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57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57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57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57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57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57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57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57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57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57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57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57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57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57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57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57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57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57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57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57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57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57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57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57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57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57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57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57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57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57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57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57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57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57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57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57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57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57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57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480</v>
      </c>
      <c r="H1" s="13" t="n">
        <f aca="false">SUM(H5:H200)</f>
        <v>0</v>
      </c>
      <c r="I1" s="13" t="n">
        <f aca="false">SUM(I2:I200)</f>
        <v>480</v>
      </c>
      <c r="J1" s="15"/>
      <c r="K1" s="16" t="s">
        <v>4</v>
      </c>
      <c r="L1" s="17" t="n">
        <f aca="false">SUM(L5:L300)</f>
        <v>0</v>
      </c>
      <c r="M1" s="17" t="n">
        <f aca="false">SUM(M5:M200)</f>
        <v>480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480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G2+Jun!A2</f>
        <v>0</v>
      </c>
      <c r="B2" s="44" t="s">
        <v>14</v>
      </c>
      <c r="C2" s="43" t="n">
        <f aca="false">Jun!C2+D1+[1]Jul!$D$1</f>
        <v>0</v>
      </c>
      <c r="D2" s="45" t="s">
        <v>15</v>
      </c>
      <c r="E2" s="20" t="s">
        <v>5</v>
      </c>
      <c r="F2" s="44" t="str">
        <f aca="false">Jun!F2</f>
        <v>v</v>
      </c>
      <c r="G2" s="46" t="n">
        <f aca="false">IF(C2&lt;[2]Admin!$F$22,(C2-Jun!C2)*[2]Admin!$G$21,C2*[2]Admin!$G$21-(C2-[2]Admin!$F$21)*([2]Admin!$G$21-[2]Admin!$G$22)-Jun!A2)</f>
        <v>0</v>
      </c>
      <c r="H2" s="21" t="n">
        <f aca="false">IF([1]Jul!$H$4&gt;0,0,[1]Jul!$H$2)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AB1+Jun!AB2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45839</v>
      </c>
      <c r="B5" s="5" t="s">
        <v>54</v>
      </c>
      <c r="F5" s="5" t="s">
        <v>55</v>
      </c>
      <c r="G5" s="29" t="n">
        <v>480</v>
      </c>
      <c r="I5" s="6" t="n">
        <f aca="false">IF((G5&lt;&gt;0),G5-H5," ")</f>
        <v>480</v>
      </c>
      <c r="K5" s="6"/>
      <c r="L5" s="6"/>
      <c r="M5" s="7" t="n">
        <f aca="false">IF(G5&lt;&gt;0,G5-L5," ")</f>
        <v>480</v>
      </c>
      <c r="N5" s="8" t="n">
        <f aca="false">IF((G5-L5)&lt;&gt;0,N$1-A5," ")</f>
        <v>274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n">
        <f aca="false">IF((F5="l"),I5," ")</f>
        <v>480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300</v>
      </c>
      <c r="H1" s="13" t="n">
        <f aca="false">SUM(H5:H200)</f>
        <v>0</v>
      </c>
      <c r="I1" s="13" t="n">
        <f aca="false">SUM(I2:I200)</f>
        <v>300</v>
      </c>
      <c r="J1" s="15"/>
      <c r="K1" s="16" t="s">
        <v>4</v>
      </c>
      <c r="L1" s="17" t="n">
        <f aca="false">SUM(L5:L300)</f>
        <v>0</v>
      </c>
      <c r="M1" s="17" t="n">
        <f aca="false">SUM(M5:M200)</f>
        <v>300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300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G2+Jul!A2</f>
        <v>0</v>
      </c>
      <c r="B2" s="44" t="s">
        <v>14</v>
      </c>
      <c r="C2" s="43" t="n">
        <f aca="false">Jul!C2+D1+[1]Aug!$D$1</f>
        <v>0</v>
      </c>
      <c r="D2" s="45" t="s">
        <v>15</v>
      </c>
      <c r="E2" s="20" t="s">
        <v>5</v>
      </c>
      <c r="F2" s="44" t="str">
        <f aca="false">Jul!F2</f>
        <v>v</v>
      </c>
      <c r="G2" s="46" t="n">
        <f aca="false">IF(C2&lt;[2]Admin!$F$22,(C2-Jul!C2)*[2]Admin!$G$21,C2*[2]Admin!$G$21-(C2-[2]Admin!$F$21)*([2]Admin!$G$21-[2]Admin!$G$22)-Jul!A2)</f>
        <v>0</v>
      </c>
      <c r="H2" s="21" t="n">
        <f aca="false">IF([1]Aug!$H$4&gt;0,0,[1]Aug!$H$2)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AB1+Jul!AB2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45884</v>
      </c>
      <c r="B5" s="5" t="s">
        <v>56</v>
      </c>
      <c r="F5" s="5" t="s">
        <v>16</v>
      </c>
      <c r="G5" s="29" t="n">
        <v>300</v>
      </c>
      <c r="I5" s="6" t="n">
        <f aca="false">IF((G5&lt;&gt;0),G5-H5," ")</f>
        <v>300</v>
      </c>
      <c r="K5" s="6"/>
      <c r="L5" s="6"/>
      <c r="M5" s="7" t="n">
        <f aca="false">IF(G5&lt;&gt;0,G5-L5," ")</f>
        <v>300</v>
      </c>
      <c r="N5" s="8" t="n">
        <f aca="false">IF((G5-L5)&lt;&gt;0,N$1-A5," ")</f>
        <v>229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n">
        <f aca="false">IF((F5="v"),I5," ")</f>
        <v>300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0</v>
      </c>
      <c r="H1" s="13" t="n">
        <f aca="false">SUM(H5:H200)</f>
        <v>0</v>
      </c>
      <c r="I1" s="13" t="n">
        <f aca="false">SUM(I2:I200)</f>
        <v>0</v>
      </c>
      <c r="J1" s="15"/>
      <c r="K1" s="16" t="s">
        <v>4</v>
      </c>
      <c r="L1" s="17" t="n">
        <f aca="false">SUM(L5:L300)</f>
        <v>0</v>
      </c>
      <c r="M1" s="17" t="n">
        <f aca="false">SUM(M5:M200)</f>
        <v>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G2+Aug!A2</f>
        <v>0</v>
      </c>
      <c r="B2" s="44" t="s">
        <v>14</v>
      </c>
      <c r="C2" s="43" t="n">
        <f aca="false">Aug!C2+D1+[1]Sep!$D$1</f>
        <v>0</v>
      </c>
      <c r="D2" s="45" t="s">
        <v>15</v>
      </c>
      <c r="E2" s="20" t="s">
        <v>5</v>
      </c>
      <c r="F2" s="44" t="str">
        <f aca="false">Aug!F2</f>
        <v>v</v>
      </c>
      <c r="G2" s="46" t="n">
        <f aca="false">IF(C2&lt;[2]Admin!$F$22,(C2-Aug!C2)*[2]Admin!$G$21,C2*[2]Admin!$G$21-(C2-[2]Admin!$F$21)*([2]Admin!$G$21-[2]Admin!$G$22)-Aug!A2)</f>
        <v>0</v>
      </c>
      <c r="H2" s="21" t="n">
        <f aca="false">IF([1]Sep!$H$4&gt;0,0,[1]Sep!$H$2)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AB1+Aug!AB2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/>
      <c r="B5" s="2"/>
      <c r="C5" s="3"/>
      <c r="D5" s="4"/>
      <c r="E5" s="2"/>
      <c r="F5" s="57" t="str">
        <f aca="false">IF((G5&lt;&gt;0),"Enter Letter"," ")</f>
        <v> </v>
      </c>
      <c r="G5" s="29"/>
      <c r="H5" s="6" t="str">
        <f aca="false">IF(G5&lt;&gt;0,G5*H$2/(100+H$2)," ")</f>
        <v> 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57" t="str">
        <f aca="false">IF((G6&lt;&gt;0),"Enter Letter"," ")</f>
        <v> </v>
      </c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57" t="str">
        <f aca="false">IF((G7&lt;&gt;0),"Enter Letter"," ")</f>
        <v> </v>
      </c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57" t="str">
        <f aca="false">IF((G8&lt;&gt;0),"Enter Letter"," ")</f>
        <v> </v>
      </c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57" t="str">
        <f aca="false">IF((G9&lt;&gt;0),"Enter Letter"," ")</f>
        <v> </v>
      </c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57" t="str">
        <f aca="false">IF((G10&lt;&gt;0),"Enter Letter"," ")</f>
        <v> </v>
      </c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57" t="str">
        <f aca="false">IF((G11&lt;&gt;0),"Enter Letter"," ")</f>
        <v> </v>
      </c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57" t="str">
        <f aca="false">IF((G12&lt;&gt;0),"Enter Letter"," ")</f>
        <v> </v>
      </c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57" t="str">
        <f aca="false">IF((G13&lt;&gt;0),"Enter Letter"," ")</f>
        <v> </v>
      </c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57" t="str">
        <f aca="false">IF((G14&lt;&gt;0),"Enter Letter"," ")</f>
        <v> </v>
      </c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57" t="str">
        <f aca="false">IF((G15&lt;&gt;0),"Enter Letter"," ")</f>
        <v> </v>
      </c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57" t="str">
        <f aca="false">IF((G16&lt;&gt;0),"Enter Letter"," ")</f>
        <v> </v>
      </c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57" t="str">
        <f aca="false">IF((G17&lt;&gt;0),"Enter Letter"," ")</f>
        <v> </v>
      </c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57" t="str">
        <f aca="false">IF((G18&lt;&gt;0),"Enter Letter"," ")</f>
        <v> </v>
      </c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57" t="str">
        <f aca="false">IF((G19&lt;&gt;0),"Enter Letter"," ")</f>
        <v> </v>
      </c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57" t="str">
        <f aca="false">IF((G20&lt;&gt;0),"Enter Letter"," ")</f>
        <v> </v>
      </c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57" t="str">
        <f aca="false">IF((G21&lt;&gt;0),"Enter Letter"," ")</f>
        <v> </v>
      </c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57" t="str">
        <f aca="false">IF((G22&lt;&gt;0),"Enter Letter"," ")</f>
        <v> </v>
      </c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57" t="str">
        <f aca="false">IF((G23&lt;&gt;0),"Enter Letter"," ")</f>
        <v> </v>
      </c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57" t="str">
        <f aca="false">IF((G24&lt;&gt;0),"Enter Letter"," ")</f>
        <v> </v>
      </c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57" t="str">
        <f aca="false">IF((G25&lt;&gt;0),"Enter Letter"," ")</f>
        <v> </v>
      </c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57" t="str">
        <f aca="false">IF((G26&lt;&gt;0),"Enter Letter"," ")</f>
        <v> </v>
      </c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57" t="str">
        <f aca="false">IF((G27&lt;&gt;0),"Enter Letter"," ")</f>
        <v> </v>
      </c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57" t="str">
        <f aca="false">IF((G28&lt;&gt;0),"Enter Letter"," ")</f>
        <v> </v>
      </c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57" t="str">
        <f aca="false">IF((G29&lt;&gt;0),"Enter Letter"," ")</f>
        <v> </v>
      </c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57" t="str">
        <f aca="false">IF((G30&lt;&gt;0),"Enter Letter"," ")</f>
        <v> </v>
      </c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57" t="str">
        <f aca="false">IF((G31&lt;&gt;0),"Enter Letter"," ")</f>
        <v> </v>
      </c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57" t="str">
        <f aca="false">IF((G32&lt;&gt;0),"Enter Letter"," ")</f>
        <v> </v>
      </c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57" t="str">
        <f aca="false">IF((G33&lt;&gt;0),"Enter Letter"," ")</f>
        <v> 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57" t="str">
        <f aca="false">IF((G34&lt;&gt;0),"Enter Letter"," ")</f>
        <v> 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57" t="str">
        <f aca="false">IF((G35&lt;&gt;0),"Enter Letter"," ")</f>
        <v> 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57" t="str">
        <f aca="false">IF((G36&lt;&gt;0),"Enter Letter"," ")</f>
        <v> 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57" t="str">
        <f aca="false">IF((G37&lt;&gt;0),"Enter Letter"," ")</f>
        <v> </v>
      </c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57" t="str">
        <f aca="false">IF((G38&lt;&gt;0),"Enter Letter"," ")</f>
        <v> </v>
      </c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57" t="str">
        <f aca="false">IF((G39&lt;&gt;0),"Enter Letter"," ")</f>
        <v> </v>
      </c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57" t="str">
        <f aca="false">IF((G40&lt;&gt;0),"Enter Letter"," ")</f>
        <v> </v>
      </c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57" t="str">
        <f aca="false">IF((G41&lt;&gt;0),"Enter Letter"," ")</f>
        <v> </v>
      </c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57" t="str">
        <f aca="false">IF((G42&lt;&gt;0),"Enter Letter"," ")</f>
        <v> </v>
      </c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57" t="str">
        <f aca="false">IF((G43&lt;&gt;0),"Enter Letter"," ")</f>
        <v> </v>
      </c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57" t="str">
        <f aca="false">IF((G44&lt;&gt;0),"Enter Letter"," ")</f>
        <v> </v>
      </c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57" t="str">
        <f aca="false">IF((G45&lt;&gt;0),"Enter Letter"," ")</f>
        <v> </v>
      </c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57" t="str">
        <f aca="false">IF((G46&lt;&gt;0),"Enter Letter"," ")</f>
        <v> </v>
      </c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57" t="str">
        <f aca="false">IF((G47&lt;&gt;0),"Enter Letter"," ")</f>
        <v> </v>
      </c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57" t="str">
        <f aca="false">IF((G48&lt;&gt;0),"Enter Letter"," ")</f>
        <v> </v>
      </c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57" t="str">
        <f aca="false">IF((G49&lt;&gt;0),"Enter Letter"," ")</f>
        <v> </v>
      </c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57" t="str">
        <f aca="false">IF((G50&lt;&gt;0),"Enter Letter"," ")</f>
        <v> </v>
      </c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57" t="str">
        <f aca="false">IF((G51&lt;&gt;0),"Enter Letter"," ")</f>
        <v> </v>
      </c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57" t="str">
        <f aca="false">IF((G52&lt;&gt;0),"Enter Letter"," ")</f>
        <v> </v>
      </c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57" t="str">
        <f aca="false">IF((G53&lt;&gt;0),"Enter Letter"," ")</f>
        <v> </v>
      </c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57" t="str">
        <f aca="false">IF((G54&lt;&gt;0),"Enter Letter"," ")</f>
        <v> </v>
      </c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57" t="str">
        <f aca="false">IF((G55&lt;&gt;0),"Enter Letter"," ")</f>
        <v> </v>
      </c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57" t="str">
        <f aca="false">IF((G56&lt;&gt;0),"Enter Letter"," ")</f>
        <v> </v>
      </c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57" t="str">
        <f aca="false">IF((G57&lt;&gt;0),"Enter Letter"," ")</f>
        <v> </v>
      </c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57" t="str">
        <f aca="false">IF((G58&lt;&gt;0),"Enter Letter"," ")</f>
        <v> </v>
      </c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57" t="str">
        <f aca="false">IF((G59&lt;&gt;0),"Enter Letter"," ")</f>
        <v> </v>
      </c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57" t="str">
        <f aca="false">IF((G60&lt;&gt;0),"Enter Letter"," ")</f>
        <v> </v>
      </c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57" t="str">
        <f aca="false">IF((G61&lt;&gt;0),"Enter Letter"," ")</f>
        <v> </v>
      </c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57" t="str">
        <f aca="false">IF((G62&lt;&gt;0),"Enter Letter"," ")</f>
        <v> </v>
      </c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57" t="str">
        <f aca="false">IF((G63&lt;&gt;0),"Enter Letter"," ")</f>
        <v> </v>
      </c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57" t="str">
        <f aca="false">IF((G64&lt;&gt;0),"Enter Letter"," ")</f>
        <v> </v>
      </c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57" t="str">
        <f aca="false">IF((G65&lt;&gt;0),"Enter Letter"," ")</f>
        <v> </v>
      </c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57" t="str">
        <f aca="false">IF((G66&lt;&gt;0),"Enter Letter"," ")</f>
        <v> </v>
      </c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57" t="str">
        <f aca="false">IF((G67&lt;&gt;0),"Enter Letter"," ")</f>
        <v> </v>
      </c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57" t="str">
        <f aca="false">IF((G68&lt;&gt;0),"Enter Letter"," ")</f>
        <v> </v>
      </c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57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57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57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57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57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57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57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57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57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57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57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57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57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57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57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57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57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57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57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57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57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57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57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57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57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57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57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57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57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57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57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57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57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57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57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57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57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57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57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57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57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57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57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57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57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57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57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57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57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57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57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57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57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57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57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57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57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57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57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57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57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57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57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57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57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57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57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57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57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57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57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57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57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57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57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57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57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57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57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57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57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57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57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57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57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57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57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57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57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57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57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57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57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57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57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57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57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57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57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57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57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57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57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57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57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57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57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57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57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57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57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57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57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57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57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57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57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57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57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57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57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57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57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57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57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57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57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57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57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57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57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57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57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57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57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57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57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57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57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57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57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57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57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57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57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57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57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57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57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57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57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57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57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57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57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57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57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57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57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57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57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57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57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57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57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57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57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57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57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57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57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57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57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57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57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57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57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57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57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57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57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57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57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57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57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57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57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57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57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57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57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57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57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57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57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57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57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57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57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57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57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57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57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57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57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57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57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57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57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57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57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57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57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57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57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57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57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57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57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57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57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57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57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57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57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57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57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57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57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57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57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600</v>
      </c>
      <c r="H1" s="13" t="n">
        <f aca="false">SUM(H5:H200)</f>
        <v>0</v>
      </c>
      <c r="I1" s="13" t="n">
        <f aca="false">SUM(I2:I200)</f>
        <v>600</v>
      </c>
      <c r="J1" s="15"/>
      <c r="K1" s="16" t="s">
        <v>4</v>
      </c>
      <c r="L1" s="17" t="n">
        <f aca="false">SUM(L5:L300)</f>
        <v>0</v>
      </c>
      <c r="M1" s="17" t="n">
        <f aca="false">SUM(M5:M200)</f>
        <v>600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600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G2+Sep!A2</f>
        <v>0</v>
      </c>
      <c r="B2" s="44" t="s">
        <v>14</v>
      </c>
      <c r="C2" s="43" t="n">
        <f aca="false">Sep!C2+D1+[1]Oct!$D$1</f>
        <v>0</v>
      </c>
      <c r="D2" s="45" t="s">
        <v>15</v>
      </c>
      <c r="E2" s="20" t="s">
        <v>5</v>
      </c>
      <c r="F2" s="44" t="str">
        <f aca="false">Sep!F2</f>
        <v>v</v>
      </c>
      <c r="G2" s="46" t="n">
        <f aca="false">IF(C2&lt;[2]Admin!$F$22,(C2-Sep!C2)*[2]Admin!$G$21,C2*[2]Admin!$G$21-(C2-[2]Admin!$F$21)*([2]Admin!$G$21-[2]Admin!$G$22)-Sep!A2)</f>
        <v>0</v>
      </c>
      <c r="H2" s="21" t="n">
        <f aca="false">IF([1]Oct!$H$4&gt;0,0,[1]Oct!$H$2)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AB1+Sep!AB2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45931</v>
      </c>
      <c r="B5" s="5" t="s">
        <v>52</v>
      </c>
      <c r="F5" s="5" t="s">
        <v>53</v>
      </c>
      <c r="G5" s="29" t="n">
        <v>600</v>
      </c>
      <c r="I5" s="6" t="n">
        <f aca="false">IF((G5&lt;&gt;0),G5-H5," ")</f>
        <v>600</v>
      </c>
      <c r="K5" s="6"/>
      <c r="L5" s="6"/>
      <c r="M5" s="7" t="n">
        <f aca="false">IF(G5&lt;&gt;0,G5-L5," ")</f>
        <v>600</v>
      </c>
      <c r="N5" s="8" t="n">
        <f aca="false">IF((G5-L5)&lt;&gt;0,N$1-A5," ")</f>
        <v>182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600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120</v>
      </c>
      <c r="H1" s="13" t="n">
        <f aca="false">SUM(H5:H200)</f>
        <v>0</v>
      </c>
      <c r="I1" s="13" t="n">
        <f aca="false">SUM(I2:I200)</f>
        <v>120</v>
      </c>
      <c r="J1" s="15"/>
      <c r="K1" s="16" t="s">
        <v>4</v>
      </c>
      <c r="L1" s="17" t="n">
        <f aca="false">SUM(L5:L300)</f>
        <v>0</v>
      </c>
      <c r="M1" s="17" t="n">
        <f aca="false">SUM(M5:M200)</f>
        <v>120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120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G2+Oct!A2</f>
        <v>0</v>
      </c>
      <c r="B2" s="44" t="s">
        <v>14</v>
      </c>
      <c r="C2" s="43" t="n">
        <f aca="false">Oct!C2+D1+[1]Nov!$D$1</f>
        <v>0</v>
      </c>
      <c r="D2" s="45" t="s">
        <v>15</v>
      </c>
      <c r="E2" s="20" t="s">
        <v>5</v>
      </c>
      <c r="F2" s="44" t="str">
        <f aca="false">Oct!F2</f>
        <v>v</v>
      </c>
      <c r="G2" s="46" t="n">
        <f aca="false">IF(C2&lt;[2]Admin!$F$22,(C2-Oct!C2)*[2]Admin!$G$21,C2*[2]Admin!$G$21-(C2-[2]Admin!$F$21)*([2]Admin!$G$21-[2]Admin!$G$22)-Oct!A2)</f>
        <v>0</v>
      </c>
      <c r="H2" s="21" t="n">
        <f aca="false">IF([1]Nov!$H$4&gt;0,0,[1]Nov!$H$2)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AB1+Oct!AB2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45981</v>
      </c>
      <c r="B5" s="5" t="s">
        <v>50</v>
      </c>
      <c r="F5" s="5" t="s">
        <v>51</v>
      </c>
      <c r="G5" s="29" t="n">
        <v>120</v>
      </c>
      <c r="I5" s="6" t="n">
        <f aca="false">IF((G5&lt;&gt;0),G5-H5," ")</f>
        <v>120</v>
      </c>
      <c r="K5" s="6"/>
      <c r="L5" s="6"/>
      <c r="M5" s="7" t="n">
        <f aca="false">IF(G5&lt;&gt;0,G5-L5," ")</f>
        <v>120</v>
      </c>
      <c r="N5" s="8" t="n">
        <f aca="false">IF((G5-L5)&lt;&gt;0,N$1-A5," ")</f>
        <v>132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n">
        <f aca="false">IF((F5="g"),I5," ")</f>
        <v>120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0</v>
      </c>
      <c r="H1" s="13" t="n">
        <f aca="false">SUM(H5:H200)</f>
        <v>0</v>
      </c>
      <c r="I1" s="13" t="n">
        <f aca="false">SUM(I2:I200)</f>
        <v>0</v>
      </c>
      <c r="J1" s="15"/>
      <c r="K1" s="16" t="s">
        <v>4</v>
      </c>
      <c r="L1" s="17" t="n">
        <f aca="false">SUM(L5:L300)</f>
        <v>0</v>
      </c>
      <c r="M1" s="17" t="n">
        <f aca="false">SUM(M5:M200)</f>
        <v>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G2+Nov!A2</f>
        <v>0</v>
      </c>
      <c r="B2" s="44" t="s">
        <v>14</v>
      </c>
      <c r="C2" s="43" t="n">
        <f aca="false">Nov!C2+D1+[1]Dec!$D$1</f>
        <v>0</v>
      </c>
      <c r="D2" s="45" t="s">
        <v>15</v>
      </c>
      <c r="E2" s="20" t="s">
        <v>5</v>
      </c>
      <c r="F2" s="44" t="str">
        <f aca="false">Nov!F2</f>
        <v>v</v>
      </c>
      <c r="G2" s="46" t="n">
        <f aca="false">IF(C2&lt;[2]Admin!$F$22,(C2-Nov!C2)*[2]Admin!$G$21,C2*[2]Admin!$G$21-(C2-[2]Admin!$F$21)*([2]Admin!$G$21-[2]Admin!$G$22)-Nov!A2)</f>
        <v>0</v>
      </c>
      <c r="H2" s="21" t="n">
        <f aca="false">IF([1]Dec!$H$4&gt;0,0,[1]Dec!$H$2)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AB1+Nov!AB2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/>
      <c r="B5" s="2"/>
      <c r="C5" s="3"/>
      <c r="D5" s="4"/>
      <c r="E5" s="2"/>
      <c r="F5" s="57" t="str">
        <f aca="false">IF((G5&lt;&gt;0),"Enter Letter"," ")</f>
        <v> </v>
      </c>
      <c r="G5" s="29"/>
      <c r="H5" s="6" t="str">
        <f aca="false">IF(G5&lt;&gt;0,G5*H$2/(100+H$2)," ")</f>
        <v> 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57" t="str">
        <f aca="false">IF((G6&lt;&gt;0),"Enter Letter"," ")</f>
        <v> </v>
      </c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57" t="str">
        <f aca="false">IF((G7&lt;&gt;0),"Enter Letter"," ")</f>
        <v> </v>
      </c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57" t="str">
        <f aca="false">IF((G8&lt;&gt;0),"Enter Letter"," ")</f>
        <v> </v>
      </c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57" t="str">
        <f aca="false">IF((G9&lt;&gt;0),"Enter Letter"," ")</f>
        <v> </v>
      </c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57" t="str">
        <f aca="false">IF((G10&lt;&gt;0),"Enter Letter"," ")</f>
        <v> </v>
      </c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57" t="str">
        <f aca="false">IF((G11&lt;&gt;0),"Enter Letter"," ")</f>
        <v> </v>
      </c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57" t="str">
        <f aca="false">IF((G12&lt;&gt;0),"Enter Letter"," ")</f>
        <v> </v>
      </c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57" t="str">
        <f aca="false">IF((G13&lt;&gt;0),"Enter Letter"," ")</f>
        <v> </v>
      </c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57" t="str">
        <f aca="false">IF((G14&lt;&gt;0),"Enter Letter"," ")</f>
        <v> </v>
      </c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57" t="str">
        <f aca="false">IF((G15&lt;&gt;0),"Enter Letter"," ")</f>
        <v> </v>
      </c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57" t="str">
        <f aca="false">IF((G16&lt;&gt;0),"Enter Letter"," ")</f>
        <v> </v>
      </c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57" t="str">
        <f aca="false">IF((G17&lt;&gt;0),"Enter Letter"," ")</f>
        <v> </v>
      </c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57" t="str">
        <f aca="false">IF((G18&lt;&gt;0),"Enter Letter"," ")</f>
        <v> </v>
      </c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57" t="str">
        <f aca="false">IF((G19&lt;&gt;0),"Enter Letter"," ")</f>
        <v> </v>
      </c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57" t="str">
        <f aca="false">IF((G20&lt;&gt;0),"Enter Letter"," ")</f>
        <v> </v>
      </c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57" t="str">
        <f aca="false">IF((G21&lt;&gt;0),"Enter Letter"," ")</f>
        <v> </v>
      </c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57" t="str">
        <f aca="false">IF((G22&lt;&gt;0),"Enter Letter"," ")</f>
        <v> </v>
      </c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57" t="str">
        <f aca="false">IF((G23&lt;&gt;0),"Enter Letter"," ")</f>
        <v> </v>
      </c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57" t="str">
        <f aca="false">IF((G24&lt;&gt;0),"Enter Letter"," ")</f>
        <v> </v>
      </c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57" t="str">
        <f aca="false">IF((G25&lt;&gt;0),"Enter Letter"," ")</f>
        <v> </v>
      </c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57" t="str">
        <f aca="false">IF((G26&lt;&gt;0),"Enter Letter"," ")</f>
        <v> </v>
      </c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57" t="str">
        <f aca="false">IF((G27&lt;&gt;0),"Enter Letter"," ")</f>
        <v> </v>
      </c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57" t="str">
        <f aca="false">IF((G28&lt;&gt;0),"Enter Letter"," ")</f>
        <v> </v>
      </c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57" t="str">
        <f aca="false">IF((G29&lt;&gt;0),"Enter Letter"," ")</f>
        <v> </v>
      </c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57" t="str">
        <f aca="false">IF((G30&lt;&gt;0),"Enter Letter"," ")</f>
        <v> </v>
      </c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57" t="str">
        <f aca="false">IF((G31&lt;&gt;0),"Enter Letter"," ")</f>
        <v> </v>
      </c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57" t="str">
        <f aca="false">IF((G32&lt;&gt;0),"Enter Letter"," ")</f>
        <v> </v>
      </c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57" t="str">
        <f aca="false">IF((G33&lt;&gt;0),"Enter Letter"," ")</f>
        <v> 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57" t="str">
        <f aca="false">IF((G34&lt;&gt;0),"Enter Letter"," ")</f>
        <v> 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57" t="str">
        <f aca="false">IF((G35&lt;&gt;0),"Enter Letter"," ")</f>
        <v> 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57" t="str">
        <f aca="false">IF((G36&lt;&gt;0),"Enter Letter"," ")</f>
        <v> 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57" t="str">
        <f aca="false">IF((G37&lt;&gt;0),"Enter Letter"," ")</f>
        <v> </v>
      </c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57" t="str">
        <f aca="false">IF((G38&lt;&gt;0),"Enter Letter"," ")</f>
        <v> </v>
      </c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57" t="str">
        <f aca="false">IF((G39&lt;&gt;0),"Enter Letter"," ")</f>
        <v> </v>
      </c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57" t="str">
        <f aca="false">IF((G40&lt;&gt;0),"Enter Letter"," ")</f>
        <v> </v>
      </c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57" t="str">
        <f aca="false">IF((G41&lt;&gt;0),"Enter Letter"," ")</f>
        <v> </v>
      </c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57" t="str">
        <f aca="false">IF((G42&lt;&gt;0),"Enter Letter"," ")</f>
        <v> </v>
      </c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57" t="str">
        <f aca="false">IF((G43&lt;&gt;0),"Enter Letter"," ")</f>
        <v> </v>
      </c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57" t="str">
        <f aca="false">IF((G44&lt;&gt;0),"Enter Letter"," ")</f>
        <v> </v>
      </c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57" t="str">
        <f aca="false">IF((G45&lt;&gt;0),"Enter Letter"," ")</f>
        <v> </v>
      </c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57" t="str">
        <f aca="false">IF((G46&lt;&gt;0),"Enter Letter"," ")</f>
        <v> </v>
      </c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57" t="str">
        <f aca="false">IF((G47&lt;&gt;0),"Enter Letter"," ")</f>
        <v> </v>
      </c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57" t="str">
        <f aca="false">IF((G48&lt;&gt;0),"Enter Letter"," ")</f>
        <v> </v>
      </c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57" t="str">
        <f aca="false">IF((G49&lt;&gt;0),"Enter Letter"," ")</f>
        <v> </v>
      </c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57" t="str">
        <f aca="false">IF((G50&lt;&gt;0),"Enter Letter"," ")</f>
        <v> </v>
      </c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57" t="str">
        <f aca="false">IF((G51&lt;&gt;0),"Enter Letter"," ")</f>
        <v> </v>
      </c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57" t="str">
        <f aca="false">IF((G52&lt;&gt;0),"Enter Letter"," ")</f>
        <v> </v>
      </c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57" t="str">
        <f aca="false">IF((G53&lt;&gt;0),"Enter Letter"," ")</f>
        <v> </v>
      </c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57" t="str">
        <f aca="false">IF((G54&lt;&gt;0),"Enter Letter"," ")</f>
        <v> </v>
      </c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57" t="str">
        <f aca="false">IF((G55&lt;&gt;0),"Enter Letter"," ")</f>
        <v> </v>
      </c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57" t="str">
        <f aca="false">IF((G56&lt;&gt;0),"Enter Letter"," ")</f>
        <v> </v>
      </c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57" t="str">
        <f aca="false">IF((G57&lt;&gt;0),"Enter Letter"," ")</f>
        <v> </v>
      </c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57" t="str">
        <f aca="false">IF((G58&lt;&gt;0),"Enter Letter"," ")</f>
        <v> </v>
      </c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57" t="str">
        <f aca="false">IF((G59&lt;&gt;0),"Enter Letter"," ")</f>
        <v> </v>
      </c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57" t="str">
        <f aca="false">IF((G60&lt;&gt;0),"Enter Letter"," ")</f>
        <v> </v>
      </c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57" t="str">
        <f aca="false">IF((G61&lt;&gt;0),"Enter Letter"," ")</f>
        <v> </v>
      </c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57" t="str">
        <f aca="false">IF((G62&lt;&gt;0),"Enter Letter"," ")</f>
        <v> </v>
      </c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57" t="str">
        <f aca="false">IF((G63&lt;&gt;0),"Enter Letter"," ")</f>
        <v> </v>
      </c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57" t="str">
        <f aca="false">IF((G64&lt;&gt;0),"Enter Letter"," ")</f>
        <v> </v>
      </c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57" t="str">
        <f aca="false">IF((G65&lt;&gt;0),"Enter Letter"," ")</f>
        <v> </v>
      </c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57" t="str">
        <f aca="false">IF((G66&lt;&gt;0),"Enter Letter"," ")</f>
        <v> </v>
      </c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57" t="str">
        <f aca="false">IF((G67&lt;&gt;0),"Enter Letter"," ")</f>
        <v> </v>
      </c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57" t="str">
        <f aca="false">IF((G68&lt;&gt;0),"Enter Letter"," ")</f>
        <v> </v>
      </c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57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57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57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57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57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57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57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57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57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57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57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57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57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57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57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57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57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57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57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57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57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57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57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57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57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57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57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57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57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57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57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57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57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57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57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57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57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57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57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57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57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57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57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57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57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57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57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57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57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57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57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57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57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57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57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57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57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57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57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57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57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57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57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57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57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57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57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57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57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57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57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57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57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57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57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57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57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57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57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57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57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57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57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57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57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57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57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57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57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57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57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57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57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57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57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57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57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57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57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57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57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57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57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57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57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57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57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57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57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57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57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57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57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57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57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57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57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57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57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57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57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57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57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57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57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57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57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57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57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57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57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57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57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57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57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57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57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57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57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57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57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57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57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57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57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57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57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57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57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57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57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57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57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57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57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57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57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57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57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57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57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57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57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57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57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57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57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57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57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57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57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57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57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57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57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57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57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57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57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57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57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57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57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57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57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57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57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57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57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57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57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57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57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57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57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57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57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57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57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57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57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57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57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57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57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57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57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57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57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57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57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57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57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57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57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57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57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57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57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57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57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57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57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57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57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57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57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57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57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57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57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480</v>
      </c>
      <c r="H1" s="13" t="n">
        <f aca="false">SUM(H5:H200)</f>
        <v>0</v>
      </c>
      <c r="I1" s="13" t="n">
        <f aca="false">SUM(I2:I200)</f>
        <v>480</v>
      </c>
      <c r="J1" s="15"/>
      <c r="K1" s="16" t="s">
        <v>4</v>
      </c>
      <c r="L1" s="17" t="n">
        <f aca="false">SUM(L5:L300)</f>
        <v>0</v>
      </c>
      <c r="M1" s="17" t="n">
        <f aca="false">SUM(M5:M200)</f>
        <v>480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480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G2+Dec!A2</f>
        <v>0</v>
      </c>
      <c r="B2" s="44" t="s">
        <v>14</v>
      </c>
      <c r="C2" s="43" t="n">
        <f aca="false">Dec!C2+D1+[1]Jan!$D$1</f>
        <v>0</v>
      </c>
      <c r="D2" s="45" t="s">
        <v>15</v>
      </c>
      <c r="E2" s="20" t="s">
        <v>5</v>
      </c>
      <c r="F2" s="44" t="str">
        <f aca="false">Dec!F2</f>
        <v>v</v>
      </c>
      <c r="G2" s="46" t="n">
        <f aca="false">IF(C2&lt;[2]Admin!$F$22,(C2-Dec!C2)*[2]Admin!$G$21,C2*[2]Admin!$G$21-(C2-[2]Admin!$F$21)*([2]Admin!$G$21-[2]Admin!$G$22)-Dec!A2)</f>
        <v>0</v>
      </c>
      <c r="H2" s="21" t="n">
        <f aca="false">IF([1]Jan!$H$4&gt;0,0,[1]Jan!$H$2)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AB1+Dec!AB2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46037</v>
      </c>
      <c r="B5" s="5" t="s">
        <v>57</v>
      </c>
      <c r="F5" s="5" t="s">
        <v>58</v>
      </c>
      <c r="G5" s="29" t="n">
        <v>480</v>
      </c>
      <c r="I5" s="6" t="n">
        <f aca="false">IF((G5&lt;&gt;0),G5-H5," ")</f>
        <v>480</v>
      </c>
      <c r="K5" s="6"/>
      <c r="L5" s="6"/>
      <c r="M5" s="7" t="n">
        <f aca="false">IF(G5&lt;&gt;0,G5-L5," ")</f>
        <v>480</v>
      </c>
      <c r="N5" s="8" t="n">
        <f aca="false">IF((G5-L5)&lt;&gt;0,N$1-A5," ")</f>
        <v>76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n">
        <f aca="false">IF((F5="m"),I5," ")</f>
        <v>480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58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58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58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58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58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58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58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58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58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58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58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58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58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58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58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58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58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58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58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58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58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58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58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58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58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58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58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58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58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58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58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58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58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58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58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58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58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58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58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58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58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58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58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58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58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58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58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58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58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58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58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58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58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58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58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58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58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58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58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58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58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58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58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58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58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58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58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58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58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58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58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58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58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58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58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58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58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58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58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58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58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58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58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58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58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58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58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58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58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58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58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58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58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58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58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58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58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58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58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58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58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58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58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58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58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58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58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58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58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58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58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58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58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58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58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58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58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58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58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58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58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58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58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58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58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58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58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58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58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58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58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58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58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58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58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58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58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58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58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58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58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58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58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58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58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58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58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58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58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58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58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58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58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58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58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58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58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58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58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58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58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58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58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58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58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58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58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58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58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58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58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58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58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58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58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58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58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58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58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58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58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58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58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58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58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58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58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58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58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58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58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58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58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58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58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58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58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58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58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58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58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58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58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58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58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58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58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58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58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58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58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58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58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58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58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58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58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58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58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58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58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58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58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58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58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58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58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58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58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58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58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58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58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58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58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58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58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58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58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58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58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58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58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58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58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58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58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58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58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58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58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58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58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58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58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58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58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58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58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58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58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58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58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58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58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58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58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58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58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58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58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58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58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58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58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58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58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58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58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58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58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58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58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58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58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58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58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58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58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58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58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58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58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58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600</v>
      </c>
      <c r="H1" s="13" t="n">
        <f aca="false">SUM(H5:H200)</f>
        <v>0</v>
      </c>
      <c r="I1" s="13" t="n">
        <f aca="false">SUM(I2:I200)</f>
        <v>600</v>
      </c>
      <c r="J1" s="15"/>
      <c r="K1" s="16" t="s">
        <v>4</v>
      </c>
      <c r="L1" s="17" t="n">
        <f aca="false">SUM(L5:L300)</f>
        <v>0</v>
      </c>
      <c r="M1" s="17" t="n">
        <f aca="false">SUM(M5:M200)</f>
        <v>600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600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G2+Jan!A2</f>
        <v>0</v>
      </c>
      <c r="B2" s="44" t="s">
        <v>14</v>
      </c>
      <c r="C2" s="43" t="n">
        <f aca="false">Jan!C2+D1+[1]Feb!$D$1</f>
        <v>0</v>
      </c>
      <c r="D2" s="45" t="s">
        <v>15</v>
      </c>
      <c r="E2" s="20" t="s">
        <v>5</v>
      </c>
      <c r="F2" s="44" t="str">
        <f aca="false">Jan!F2</f>
        <v>v</v>
      </c>
      <c r="G2" s="46" t="n">
        <f aca="false">IF(C2&lt;[2]Admin!$F$22,(C2-Jan!C2)*[2]Admin!$G$21,C2*[2]Admin!$G$21-(C2-[2]Admin!$F$21)*([2]Admin!$G$21-[2]Admin!$G$22)-Jan!A2)</f>
        <v>0</v>
      </c>
      <c r="H2" s="21" t="n">
        <f aca="false">IF([1]Feb!$H$4&gt;0,0,[1]Feb!$H$2)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AB1+Jan!AB2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46054</v>
      </c>
      <c r="B5" s="5" t="s">
        <v>52</v>
      </c>
      <c r="F5" s="5" t="s">
        <v>53</v>
      </c>
      <c r="G5" s="29" t="n">
        <v>600</v>
      </c>
      <c r="I5" s="6" t="n">
        <f aca="false">IF((G5&lt;&gt;0),G5-H5," ")</f>
        <v>600</v>
      </c>
      <c r="K5" s="6"/>
      <c r="L5" s="6"/>
      <c r="M5" s="7" t="n">
        <f aca="false">IF(G5&lt;&gt;0,G5-L5," ")</f>
        <v>600</v>
      </c>
      <c r="N5" s="8" t="n">
        <f aca="false">IF((G5-L5)&lt;&gt;0,N$1-A5," ")</f>
        <v>59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600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900</v>
      </c>
      <c r="H1" s="13" t="n">
        <f aca="false">SUM(H5:H200)</f>
        <v>0</v>
      </c>
      <c r="I1" s="13" t="n">
        <f aca="false">SUM(I2:I200)</f>
        <v>900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420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480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G2+Feb!A2</f>
        <v>0</v>
      </c>
      <c r="B2" s="44" t="s">
        <v>14</v>
      </c>
      <c r="C2" s="43" t="n">
        <f aca="false">Feb!C2+D1+[1]Mar!$D$1</f>
        <v>0</v>
      </c>
      <c r="D2" s="45" t="s">
        <v>15</v>
      </c>
      <c r="E2" s="20" t="s">
        <v>5</v>
      </c>
      <c r="F2" s="44" t="str">
        <f aca="false">Feb!F2</f>
        <v>v</v>
      </c>
      <c r="G2" s="46" t="n">
        <f aca="false">IF(C2&lt;[2]Admin!$F$22,(C2-Feb!C2)*[2]Admin!$G$21,C2*[2]Admin!$G$21-(C2-[2]Admin!$F$21)*([2]Admin!$G$21-[2]Admin!$G$22)-Feb!A2)</f>
        <v>0</v>
      </c>
      <c r="H2" s="21" t="n">
        <f aca="false">IF([1]Mar!$H$4&gt;0,0,[1]Mar!$H$2)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AB1+Feb!AB2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46091</v>
      </c>
      <c r="B5" s="5" t="s">
        <v>54</v>
      </c>
      <c r="F5" s="5" t="s">
        <v>55</v>
      </c>
      <c r="G5" s="29" t="n">
        <v>480</v>
      </c>
      <c r="I5" s="6" t="n">
        <f aca="false">IF((G5&lt;&gt;0),G5-H5," ")</f>
        <v>480</v>
      </c>
      <c r="K5" s="6"/>
      <c r="L5" s="6"/>
      <c r="M5" s="7" t="n">
        <f aca="false">IF(G5&lt;&gt;0,G5-L5," ")</f>
        <v>480</v>
      </c>
      <c r="N5" s="8" t="n">
        <f aca="false">IF((G5-L5)&lt;&gt;0,N$1-A5," ")</f>
        <v>22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n">
        <f aca="false">IF((F5="l"),I5," ")</f>
        <v>480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46101</v>
      </c>
      <c r="B6" s="2" t="s">
        <v>50</v>
      </c>
      <c r="F6" s="5" t="s">
        <v>51</v>
      </c>
      <c r="G6" s="29" t="n">
        <v>420</v>
      </c>
      <c r="I6" s="6" t="n">
        <f aca="false">IF((G6&lt;&gt;0),G6-H6," ")</f>
        <v>420</v>
      </c>
      <c r="J6" s="5"/>
      <c r="M6" s="7" t="n">
        <f aca="false">IF(G6&lt;&gt;0,G6-L6," ")</f>
        <v>420</v>
      </c>
      <c r="N6" s="8" t="n">
        <f aca="false">IF((G6-L6)&lt;&gt;0,N$1-A6," ")</f>
        <v>12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420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58"/>
      <c r="G7" s="29"/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58"/>
      <c r="G8" s="29"/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58"/>
      <c r="G9" s="29"/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58"/>
      <c r="G10" s="29"/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58"/>
      <c r="G11" s="29"/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58"/>
      <c r="G12" s="29"/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58"/>
      <c r="G13" s="29"/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58"/>
      <c r="G14" s="29"/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58"/>
      <c r="G15" s="29"/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58"/>
      <c r="G16" s="29"/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58"/>
      <c r="G17" s="29"/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58"/>
      <c r="G18" s="29"/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58"/>
      <c r="G19" s="29"/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58"/>
      <c r="G20" s="29"/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58"/>
      <c r="G21" s="29"/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58"/>
      <c r="G22" s="29"/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58"/>
      <c r="G23" s="29"/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58"/>
      <c r="G24" s="29"/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58"/>
      <c r="G25" s="29"/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58"/>
      <c r="G26" s="29"/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58"/>
      <c r="G27" s="29"/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58"/>
      <c r="G28" s="29"/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58"/>
      <c r="G29" s="29"/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58"/>
      <c r="G30" s="29"/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58"/>
      <c r="G31" s="29"/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58"/>
      <c r="G32" s="29"/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58"/>
      <c r="G33" s="29"/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58"/>
      <c r="G34" s="29"/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58"/>
      <c r="G35" s="29"/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58"/>
      <c r="G36" s="29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58"/>
      <c r="G37" s="29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58"/>
      <c r="G38" s="29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58"/>
      <c r="G39" s="29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58"/>
      <c r="G40" s="29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58"/>
      <c r="G41" s="29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58"/>
      <c r="G42" s="29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58"/>
      <c r="G43" s="29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58"/>
      <c r="G44" s="29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58"/>
      <c r="G45" s="29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58"/>
      <c r="G46" s="29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58"/>
      <c r="G47" s="29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58"/>
      <c r="G48" s="29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58"/>
      <c r="G49" s="29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58"/>
      <c r="G50" s="29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58"/>
      <c r="G51" s="29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58"/>
      <c r="G52" s="29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58"/>
      <c r="G53" s="29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58"/>
      <c r="G54" s="29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58"/>
      <c r="G55" s="29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58"/>
      <c r="G56" s="29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58"/>
      <c r="G57" s="29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58"/>
      <c r="G58" s="29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58"/>
      <c r="G59" s="29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58"/>
      <c r="G60" s="29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58"/>
      <c r="G61" s="29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58"/>
      <c r="G62" s="29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58"/>
      <c r="G63" s="29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58"/>
      <c r="G64" s="29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58"/>
      <c r="G65" s="29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58"/>
      <c r="G66" s="29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58"/>
      <c r="G67" s="29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58"/>
      <c r="G68" s="29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58" t="str">
        <f aca="false">IF((G69&lt;&gt;0),"Enter Letter"," ")</f>
        <v> </v>
      </c>
      <c r="G69" s="29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58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58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58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58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58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58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58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58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58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58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58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58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58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58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58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58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58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58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58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58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58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58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58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58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58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58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58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58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58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58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58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58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58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58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58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58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58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58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58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58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58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58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58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58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58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58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58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58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58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58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58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58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58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58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58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58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58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58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58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58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58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58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58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58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58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58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58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58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58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58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58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58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58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58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58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58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58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58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58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58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58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58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58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58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58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58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58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58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58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58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58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58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58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58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58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58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58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58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58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58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58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58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58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58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58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58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58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58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58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58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58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58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58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58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58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58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58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58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58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58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58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58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58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58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58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58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58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58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58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58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58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58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58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58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58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58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58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58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58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58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58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58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58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58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58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58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58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58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58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58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58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58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58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58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58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58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58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58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58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58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58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58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58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58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58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58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58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58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58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58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58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58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58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58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58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58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58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58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58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58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58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58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58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58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58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58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58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58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58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58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58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58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58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58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58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58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58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58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58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58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58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58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58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58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58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58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58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58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58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58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58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58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58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58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58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58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58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58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58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58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58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58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58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58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58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58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58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58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58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58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46113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C5" s="28"/>
      <c r="D5" s="4"/>
      <c r="E5" s="2"/>
      <c r="F5" s="2"/>
      <c r="G5" s="29"/>
      <c r="H5" s="6" t="str">
        <f aca="false">IF(G5&lt;&gt;0,G5*H$2/(100+H$2)," ")</f>
        <v> 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