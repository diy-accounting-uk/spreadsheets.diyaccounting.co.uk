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Creditors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ClosingCreditors" sheetId="14" state="visible" r:id="rId16"/>
  </sheets>
  <externalReferences>
    <externalReference r:id="rId17"/>
    <externalReference r:id="rId18"/>
  </externalReferences>
  <definedNames>
    <definedName function="false" hidden="false" localSheetId="1" name="_xlnm.Print_Area" vbProcedure="false">Apr!$A$1:$AE$75</definedName>
    <definedName function="false" hidden="false" localSheetId="1" name="_xlnm.Print_Titles" vbProcedure="false">Apr!$A:$C,Apr!$1:$4</definedName>
    <definedName function="false" hidden="false" localSheetId="5" name="_xlnm.Print_Area" vbProcedure="false">Aug!$A$1:$AE$75</definedName>
    <definedName function="false" hidden="false" localSheetId="5" name="_xlnm.Print_Titles" vbProcedure="false">Aug!$A:$C,Aug!$1:$4</definedName>
    <definedName function="false" hidden="false" localSheetId="13" name="_xlnm.Print_Area" vbProcedure="false">ClosingCreditors!$A$1:$N$75</definedName>
    <definedName function="false" hidden="false" localSheetId="13" name="_xlnm.Print_Titles" vbProcedure="false">ClosingCreditors!$1:$4</definedName>
    <definedName function="false" hidden="false" localSheetId="9" name="_xlnm.Print_Area" vbProcedure="false">Dec!$A$1:$AE$75</definedName>
    <definedName function="false" hidden="false" localSheetId="9" name="_xlnm.Print_Titles" vbProcedure="false">Dec!$A:$C,Dec!$1:$4</definedName>
    <definedName function="false" hidden="false" localSheetId="11" name="_xlnm.Print_Area" vbProcedure="false">Feb!$A$1:$AE$75</definedName>
    <definedName function="false" hidden="false" localSheetId="11" name="_xlnm.Print_Titles" vbProcedure="false">Feb!$A:$C,Feb!$1:$4</definedName>
    <definedName function="false" hidden="false" localSheetId="10" name="_xlnm.Print_Area" vbProcedure="false">Jan!$A$1:$AE$75</definedName>
    <definedName function="false" hidden="false" localSheetId="10" name="_xlnm.Print_Titles" vbProcedure="false">Jan!$A:$C,Jan!$1:$4</definedName>
    <definedName function="false" hidden="false" localSheetId="4" name="_xlnm.Print_Area" vbProcedure="false">Jul!$A$1:$AE$75</definedName>
    <definedName function="false" hidden="false" localSheetId="4" name="_xlnm.Print_Titles" vbProcedure="false">Jul!$A:$C,Jul!$1:$4</definedName>
    <definedName function="false" hidden="false" localSheetId="3" name="_xlnm.Print_Area" vbProcedure="false">Jun!$A$1:$AE$75</definedName>
    <definedName function="false" hidden="false" localSheetId="3" name="_xlnm.Print_Titles" vbProcedure="false">Jun!$A:$C,Jun!$1:$4</definedName>
    <definedName function="false" hidden="false" localSheetId="12" name="_xlnm.Print_Area" vbProcedure="false">Mar!$A$1:$AE$75</definedName>
    <definedName function="false" hidden="false" localSheetId="12" name="_xlnm.Print_Titles" vbProcedure="false">Mar!$A:$C,Mar!$1:$4</definedName>
    <definedName function="false" hidden="false" localSheetId="2" name="_xlnm.Print_Area" vbProcedure="false">May!$A$1:$AE$75</definedName>
    <definedName function="false" hidden="false" localSheetId="2" name="_xlnm.Print_Titles" vbProcedure="false">May!$A:$C,May!$1:$4</definedName>
    <definedName function="false" hidden="false" localSheetId="8" name="_xlnm.Print_Area" vbProcedure="false">Nov!$A$1:$AE$75</definedName>
    <definedName function="false" hidden="false" localSheetId="8" name="_xlnm.Print_Titles" vbProcedure="false">Nov!$A:$C,Nov!$1:$4</definedName>
    <definedName function="false" hidden="false" localSheetId="7" name="_xlnm.Print_Area" vbProcedure="false">Oct!$A$1:$AE$75</definedName>
    <definedName function="false" hidden="false" localSheetId="7" name="_xlnm.Print_Titles" vbProcedure="false">Oct!$A:$C,Oct!$1:$4</definedName>
    <definedName function="false" hidden="false" localSheetId="0" name="_xlnm.Print_Area" vbProcedure="false">OpeningCreditors!$A$1:$N$75</definedName>
    <definedName function="false" hidden="false" localSheetId="0" name="_xlnm.Print_Titles" vbProcedure="false">OpeningCreditors!$1:$4</definedName>
    <definedName function="false" hidden="false" localSheetId="6" name="_xlnm.Print_Area" vbProcedure="false">Sep!$A$1:$AE$75</definedName>
    <definedName function="false" hidden="false" localSheetId="6" name="_xlnm.Print_Titles" vbProcedure="false">Sep!$A:$C,Sep!$1:$4</definedName>
    <definedName function="false" hidden="false" localSheetId="0" name="_xlnm_Print_Area" vbProcedure="false">OpeningCreditors!$A$1:$N$75</definedName>
    <definedName function="false" hidden="false" localSheetId="0" name="_xlnm_Print_Titles" vbProcedure="false">OpeningCreditors!$1:$4</definedName>
    <definedName function="false" hidden="false" localSheetId="1" name="Excel_BuiltIn_Print_Titles" vbProcedure="false">(Apr!$A:$C,Apr!$1:$4)</definedName>
    <definedName function="false" hidden="false" localSheetId="1" name="_xlnm_Print_Area" vbProcedure="false">Apr!$A$1:$AE$75</definedName>
    <definedName function="false" hidden="false" localSheetId="1" name="_xlnm_Print_Titles" vbProcedure="false">(Apr!$A:$C,Apr!$1:$4)</definedName>
    <definedName function="false" hidden="false" localSheetId="2" name="Excel_BuiltIn_Print_Titles" vbProcedure="false">(May!$A:$C,May!$1:$4)</definedName>
    <definedName function="false" hidden="false" localSheetId="2" name="_xlnm_Print_Area" vbProcedure="false">May!$A$1:$AE$75</definedName>
    <definedName function="false" hidden="false" localSheetId="2" name="_xlnm_Print_Titles" vbProcedure="false">(May!$A:$C,May!$1:$4)</definedName>
    <definedName function="false" hidden="false" localSheetId="3" name="Excel_BuiltIn_Print_Titles" vbProcedure="false">(Jun!$A:$C,Jun!$1:$4)</definedName>
    <definedName function="false" hidden="false" localSheetId="3" name="_xlnm_Print_Area" vbProcedure="false">Jun!$A$1:$AE$75</definedName>
    <definedName function="false" hidden="false" localSheetId="3" name="_xlnm_Print_Titles" vbProcedure="false">(Jun!$A:$C,Jun!$1:$4)</definedName>
    <definedName function="false" hidden="false" localSheetId="4" name="Excel_BuiltIn_Print_Titles" vbProcedure="false">(Jul!$A:$C,Jul!$1:$4)</definedName>
    <definedName function="false" hidden="false" localSheetId="4" name="_xlnm_Print_Area" vbProcedure="false">Jul!$A$1:$AE$75</definedName>
    <definedName function="false" hidden="false" localSheetId="4" name="_xlnm_Print_Titles" vbProcedure="false">(Jul!$A:$C,Jul!$1:$4)</definedName>
    <definedName function="false" hidden="false" localSheetId="5" name="Excel_BuiltIn_Print_Titles" vbProcedure="false">(Aug!$A:$C,Aug!$1:$4)</definedName>
    <definedName function="false" hidden="false" localSheetId="5" name="_xlnm_Print_Area" vbProcedure="false">Aug!$A$1:$AE$75</definedName>
    <definedName function="false" hidden="false" localSheetId="5" name="_xlnm_Print_Titles" vbProcedure="false">(Aug!$A:$C,Aug!$1:$4)</definedName>
    <definedName function="false" hidden="false" localSheetId="6" name="Excel_BuiltIn_Print_Titles" vbProcedure="false">(Sep!$A:$C,Sep!$1:$4)</definedName>
    <definedName function="false" hidden="false" localSheetId="6" name="_xlnm_Print_Area" vbProcedure="false">Sep!$A$1:$AE$75</definedName>
    <definedName function="false" hidden="false" localSheetId="6" name="_xlnm_Print_Titles" vbProcedure="false">(Sep!$A:$C,Sep!$1:$4)</definedName>
    <definedName function="false" hidden="false" localSheetId="7" name="Excel_BuiltIn_Print_Titles" vbProcedure="false">(Oct!$A:$C,Oct!$1:$4)</definedName>
    <definedName function="false" hidden="false" localSheetId="7" name="_xlnm_Print_Area" vbProcedure="false">Oct!$A$1:$AE$75</definedName>
    <definedName function="false" hidden="false" localSheetId="7" name="_xlnm_Print_Titles" vbProcedure="false">(Oct!$A:$C,Oct!$1:$4)</definedName>
    <definedName function="false" hidden="false" localSheetId="8" name="Excel_BuiltIn_Print_Titles" vbProcedure="false">(Nov!$A:$C,Nov!$1:$4)</definedName>
    <definedName function="false" hidden="false" localSheetId="8" name="_xlnm_Print_Area" vbProcedure="false">Nov!$A$1:$AE$75</definedName>
    <definedName function="false" hidden="false" localSheetId="8" name="_xlnm_Print_Titles" vbProcedure="false">(Nov!$A:$C,Nov!$1:$4)</definedName>
    <definedName function="false" hidden="false" localSheetId="9" name="Excel_BuiltIn_Print_Titles" vbProcedure="false">(Dec!$A:$C,Dec!$1:$4)</definedName>
    <definedName function="false" hidden="false" localSheetId="9" name="_xlnm_Print_Area" vbProcedure="false">Dec!$A$1:$AE$75</definedName>
    <definedName function="false" hidden="false" localSheetId="9" name="_xlnm_Print_Titles" vbProcedure="false">(Dec!$A:$C,Dec!$1:$4)</definedName>
    <definedName function="false" hidden="false" localSheetId="10" name="Excel_BuiltIn_Print_Titles" vbProcedure="false">(Jan!$A:$C,Jan!$1:$4)</definedName>
    <definedName function="false" hidden="false" localSheetId="10" name="_xlnm_Print_Area" vbProcedure="false">Jan!$A$1:$AE$75</definedName>
    <definedName function="false" hidden="false" localSheetId="10" name="_xlnm_Print_Titles" vbProcedure="false">(Jan!$A:$C,Jan!$1:$4)</definedName>
    <definedName function="false" hidden="false" localSheetId="11" name="Excel_BuiltIn_Print_Titles" vbProcedure="false">(Feb!$A:$C,Feb!$1:$4)</definedName>
    <definedName function="false" hidden="false" localSheetId="11" name="_xlnm_Print_Area" vbProcedure="false">Feb!$A$1:$AE$75</definedName>
    <definedName function="false" hidden="false" localSheetId="11" name="_xlnm_Print_Titles" vbProcedure="false">(Feb!$A:$C,Feb!$1:$4)</definedName>
    <definedName function="false" hidden="false" localSheetId="12" name="Excel_BuiltIn_Print_Titles" vbProcedure="false">(Mar!$A:$C,Mar!$1:$4)</definedName>
    <definedName function="false" hidden="false" localSheetId="12" name="_xlnm_Print_Area" vbProcedure="false">Mar!$A$1:$AE$75</definedName>
    <definedName function="false" hidden="false" localSheetId="12" name="_xlnm_Print_Titles" vbProcedure="false">(Mar!$A:$C,Mar!$1:$4)</definedName>
    <definedName function="false" hidden="false" localSheetId="13" name="_xlnm_Print_Area" vbProcedure="false">ClosingCreditors!$A$1:$N$75</definedName>
    <definedName function="false" hidden="false" localSheetId="13" name="_xlnm_Print_Titles" vbProcedure="false">ClosingCreditors!$1:$4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<sst xmlns="http://schemas.openxmlformats.org/spreadsheetml/2006/main" count="635" uniqueCount="59">
  <si>
    <t xml:space="preserve">Purchase Date</t>
  </si>
  <si>
    <t xml:space="preserve">Supplier Name</t>
  </si>
  <si>
    <t xml:space="preserve">Purchase Invoice Number or Reference</t>
  </si>
  <si>
    <t xml:space="preserve">Total for Month</t>
  </si>
  <si>
    <t xml:space="preserve">For your information only. Enter How Paid e.g. Cash, Cheque etc.,</t>
  </si>
  <si>
    <t xml:space="preserve">Purchase Description</t>
  </si>
  <si>
    <t xml:space="preserve">Total Purchase Value incl Vat</t>
  </si>
  <si>
    <t xml:space="preserve">Purchases           Net of Vat</t>
  </si>
  <si>
    <t xml:space="preserve">Payments Made to Creditors</t>
  </si>
  <si>
    <t xml:space="preserve">Vat Input</t>
  </si>
  <si>
    <t xml:space="preserve">Actual Amount Paid</t>
  </si>
  <si>
    <t xml:space="preserve">Purchases not yet paid</t>
  </si>
  <si>
    <t xml:space="preserve">Purchases Days Outstanding</t>
  </si>
  <si>
    <t xml:space="preserve">Check Total</t>
  </si>
  <si>
    <t xml:space="preserve">Mileage expenses</t>
  </si>
  <si>
    <t xml:space="preserve">Mileage</t>
  </si>
  <si>
    <t xml:space="preserve">v</t>
  </si>
  <si>
    <t xml:space="preserve">Purchases Cost of Sales</t>
  </si>
  <si>
    <t xml:space="preserve">Employee Wages excluding Paye</t>
  </si>
  <si>
    <t xml:space="preserve">Premises </t>
  </si>
  <si>
    <t xml:space="preserve">Repairs &amp; Maintenance </t>
  </si>
  <si>
    <t xml:space="preserve">Admistration Telephone Postage &amp; Stationery</t>
  </si>
  <si>
    <t xml:space="preserve">Travel Hotel Subsistence Expenses</t>
  </si>
  <si>
    <t xml:space="preserve">Advertising Promotion Entertainment</t>
  </si>
  <si>
    <t xml:space="preserve">Legal &amp; Professional</t>
  </si>
  <si>
    <t xml:space="preserve">Other Expenses</t>
  </si>
  <si>
    <t xml:space="preserve">Contractors </t>
  </si>
  <si>
    <t xml:space="preserve">  Enter Expense Code Letter</t>
  </si>
  <si>
    <t xml:space="preserve">Direct Materials</t>
  </si>
  <si>
    <t xml:space="preserve">Sub Contractors</t>
  </si>
  <si>
    <t xml:space="preserve">Other Direct Business Costs</t>
  </si>
  <si>
    <t xml:space="preserve">Rent &amp; Rates, Light &amp; Heating</t>
  </si>
  <si>
    <t xml:space="preserve">Motor Vehicle Expenses</t>
  </si>
  <si>
    <t xml:space="preserve">Fixed Asset Purchases</t>
  </si>
  <si>
    <t xml:space="preserve">CIS Certificates</t>
  </si>
  <si>
    <t xml:space="preserve">S</t>
  </si>
  <si>
    <t xml:space="preserve">C</t>
  </si>
  <si>
    <t xml:space="preserve">O</t>
  </si>
  <si>
    <t xml:space="preserve">W</t>
  </si>
  <si>
    <t xml:space="preserve">P</t>
  </si>
  <si>
    <t xml:space="preserve">M</t>
  </si>
  <si>
    <t xml:space="preserve">G</t>
  </si>
  <si>
    <t xml:space="preserve">V</t>
  </si>
  <si>
    <t xml:space="preserve">H</t>
  </si>
  <si>
    <t xml:space="preserve">A</t>
  </si>
  <si>
    <t xml:space="preserve">L</t>
  </si>
  <si>
    <t xml:space="preserve">Y</t>
  </si>
  <si>
    <t xml:space="preserve">FA</t>
  </si>
  <si>
    <t xml:space="preserve">Tax Paid</t>
  </si>
  <si>
    <t xml:space="preserve">Certificate No</t>
  </si>
  <si>
    <t xml:space="preserve">Office Supplies Ltd</t>
  </si>
  <si>
    <t xml:space="preserve">g</t>
  </si>
  <si>
    <t xml:space="preserve">Landlord</t>
  </si>
  <si>
    <t xml:space="preserve">p</t>
  </si>
  <si>
    <t xml:space="preserve">Accountant</t>
  </si>
  <si>
    <t xml:space="preserve">l</t>
  </si>
  <si>
    <t xml:space="preserve">Fuel Station</t>
  </si>
  <si>
    <t xml:space="preserve">Plumber</t>
  </si>
  <si>
    <t xml:space="preserve">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</si>
</sst>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\-mmm\-yy"/>
    <numFmt numFmtId="166" formatCode="0"/>
    <numFmt numFmtId="167" formatCode="#,##0"/>
    <numFmt numFmtId="168" formatCode="#,##0.00_ ;[RED]\-#,##0.00\ "/>
    <numFmt numFmtId="169" formatCode="0_ ;[RED]\-0\ "/>
    <numFmt numFmtId="170" formatCode="#,##0.0_ ;[RED]\-#,##0.0\ "/>
    <numFmt numFmtId="171" formatCode="0.00"/>
    <numFmt numFmtId="172" formatCode="#,##0.00"/>
    <numFmt numFmtId="173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FF0000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9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Arial"/>
      <family val="2"/>
      <charset val="1"/>
    </font>
    <font>
      <b val="true"/>
      <sz val="9"/>
      <color rgb="FF0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FF"/>
        <bgColor rgb="FFC0F0F0"/>
      </patternFill>
    </fill>
    <fill>
      <patternFill patternType="solid">
        <fgColor rgb="FFC0F0F0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externalLink" Target="externalLinks/externalLink1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D1">
            <v>0</v>
          </cell>
        </row>
        <row r="2">
          <cell r="H2">
            <v>20</v>
          </cell>
        </row>
      </sheetData>
      <sheetData sheetId="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3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4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5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6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7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8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9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0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1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2">
        <row r="1">
          <cell r="D1">
            <v>0</v>
          </cell>
        </row>
        <row r="2">
          <cell r="H2">
            <v>20</v>
          </cell>
        </row>
        <row r="4">
          <cell r="H4">
            <v>0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1">
          <cell r="F21">
            <v>10000</v>
          </cell>
          <cell r="G21">
            <v>0.45</v>
          </cell>
        </row>
        <row r="22">
          <cell r="F22">
            <v>10001</v>
          </cell>
          <cell r="G22">
            <v>0.25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Apr!H2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9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157638888888889" top="0.590277777777778" bottom="0.59027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</f>
        <v>0</v>
      </c>
      <c r="B2" s="44" t="s">
        <v>14</v>
      </c>
      <c r="C2" s="43" t="n">
        <f aca="false">0+D1+[1]Apr!$D$1</f>
        <v>0</v>
      </c>
      <c r="D2" s="45" t="s">
        <v>15</v>
      </c>
      <c r="E2" s="20" t="s">
        <v>5</v>
      </c>
      <c r="F2" s="44" t="s">
        <v>16</v>
      </c>
      <c r="G2" s="46" t="n">
        <f aca="false">IF(C2&lt;[2]Admin!$F$22,(C2-0)*[2]Admin!$G$21,(C2*[2]Admin!$G$21-(C2-[2]Admin!$F$21)*([2]Admin!$G$21-[2]Admin!$G$22)-0))</f>
        <v>0</v>
      </c>
      <c r="H2" s="21" t="n">
        <f aca="false">IF([1]Apr!$H$4&gt;0,0,[1]Apr!$H$2)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5" t="n">
        <v>45767</v>
      </c>
      <c r="B5" s="2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IF((G5-L5)&lt;&gt;0,N$1-A22," ")</f>
        <v>46113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28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27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15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G2+Apr!A2</f>
        <v>0</v>
      </c>
      <c r="B2" s="44" t="s">
        <v>14</v>
      </c>
      <c r="C2" s="43" t="n">
        <f aca="false">Apr!C2+D1+[1]May!$D$1</f>
        <v>0</v>
      </c>
      <c r="D2" s="45" t="s">
        <v>15</v>
      </c>
      <c r="E2" s="20" t="s">
        <v>5</v>
      </c>
      <c r="F2" s="44" t="str">
        <f aca="false">Apr!F2</f>
        <v>v</v>
      </c>
      <c r="G2" s="46" t="n">
        <f aca="false">IF(C2&lt;[2]Admin!$F$22,(C2-Apr!C2)*[2]Admin!$G$21,C2*[2]Admin!$G$21-(C2-[2]Admin!$F$21)*([2]Admin!$G$21-[2]Admin!$G$22)-Apr!G2)</f>
        <v>0</v>
      </c>
      <c r="H2" s="21" t="n">
        <f aca="false">IF([1]May!$H$4&gt;0,0,[1]May!$H$2)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AB1+Apr!AB2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45787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326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159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158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G2+May!A2</f>
        <v>0</v>
      </c>
      <c r="B2" s="44" t="s">
        <v>14</v>
      </c>
      <c r="C2" s="43" t="n">
        <f aca="false">May!C2+D1+[1]Jun!$D$1</f>
        <v>0</v>
      </c>
      <c r="D2" s="45" t="s">
        <v>15</v>
      </c>
      <c r="E2" s="20" t="s">
        <v>5</v>
      </c>
      <c r="F2" s="44" t="str">
        <f aca="false">May!F2</f>
        <v>v</v>
      </c>
      <c r="G2" s="46" t="n">
        <f aca="false">IF(C2&lt;[2]Admin!$F$22,(C2-May!C2)*[2]Admin!$G$21,C2*[2]Admin!$G$21-(C2-[2]Admin!$F$21)*([2]Admin!$G$21-[2]Admin!$G$22)-May!A2)</f>
        <v>0</v>
      </c>
      <c r="H2" s="21" t="n">
        <f aca="false">IF([1]Jun!$H$4&gt;0,0,[1]Jun!$H$2)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AB1+May!AB2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G2+Jun!A2</f>
        <v>0</v>
      </c>
      <c r="B2" s="44" t="s">
        <v>14</v>
      </c>
      <c r="C2" s="43" t="n">
        <f aca="false">Jun!C2+D1+[1]Jul!$D$1</f>
        <v>0</v>
      </c>
      <c r="D2" s="45" t="s">
        <v>15</v>
      </c>
      <c r="E2" s="20" t="s">
        <v>5</v>
      </c>
      <c r="F2" s="44" t="str">
        <f aca="false">Jun!F2</f>
        <v>v</v>
      </c>
      <c r="G2" s="46" t="n">
        <f aca="false">IF(C2&lt;[2]Admin!$F$22,(C2-Jun!C2)*[2]Admin!$G$21,C2*[2]Admin!$G$21-(C2-[2]Admin!$F$21)*([2]Admin!$G$21-[2]Admin!$G$22)-Jun!A2)</f>
        <v>0</v>
      </c>
      <c r="H2" s="21" t="n">
        <f aca="false">IF([1]Jul!$H$4&gt;0,0,[1]Jul!$H$2)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45839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274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3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2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300</v>
      </c>
      <c r="H1" s="13" t="n">
        <f aca="false">SUM(H5:H200)</f>
        <v>0</v>
      </c>
      <c r="I1" s="13" t="n">
        <f aca="false">SUM(I2:I200)</f>
        <v>300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300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300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G2+Jul!A2</f>
        <v>0</v>
      </c>
      <c r="B2" s="44" t="s">
        <v>14</v>
      </c>
      <c r="C2" s="43" t="n">
        <f aca="false">Jul!C2+D1+[1]Aug!$D$1</f>
        <v>0</v>
      </c>
      <c r="D2" s="45" t="s">
        <v>15</v>
      </c>
      <c r="E2" s="20" t="s">
        <v>5</v>
      </c>
      <c r="F2" s="44" t="str">
        <f aca="false">Jul!F2</f>
        <v>v</v>
      </c>
      <c r="G2" s="46" t="n">
        <f aca="false">IF(C2&lt;[2]Admin!$F$22,(C2-Jul!C2)*[2]Admin!$G$21,C2*[2]Admin!$G$21-(C2-[2]Admin!$F$21)*([2]Admin!$G$21-[2]Admin!$G$22)-Jul!A2)</f>
        <v>0</v>
      </c>
      <c r="H2" s="21" t="n">
        <f aca="false">IF([1]Aug!$H$4&gt;0,0,[1]Aug!$H$2)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AB1+Jul!AB2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45884</v>
      </c>
      <c r="B5" s="5" t="s">
        <v>56</v>
      </c>
      <c r="F5" s="5" t="s">
        <v>16</v>
      </c>
      <c r="G5" s="29" t="n">
        <v>300</v>
      </c>
      <c r="I5" s="6" t="n">
        <f aca="false">IF((G5&lt;&gt;0),G5-H5," ")</f>
        <v>300</v>
      </c>
      <c r="K5" s="6"/>
      <c r="L5" s="6"/>
      <c r="M5" s="7" t="n">
        <f aca="false">IF(G5&lt;&gt;0,G5-L5," ")</f>
        <v>300</v>
      </c>
      <c r="N5" s="8" t="n">
        <f aca="false">IF((G5-L5)&lt;&gt;0,N$1-A5," ")</f>
        <v>229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n">
        <f aca="false">IF((F5="v"),I5," ")</f>
        <v>300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8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G2+Aug!A2</f>
        <v>0</v>
      </c>
      <c r="B2" s="44" t="s">
        <v>14</v>
      </c>
      <c r="C2" s="43" t="n">
        <f aca="false">Aug!C2+D1+[1]Sep!$D$1</f>
        <v>0</v>
      </c>
      <c r="D2" s="45" t="s">
        <v>15</v>
      </c>
      <c r="E2" s="20" t="s">
        <v>5</v>
      </c>
      <c r="F2" s="44" t="str">
        <f aca="false">Aug!F2</f>
        <v>v</v>
      </c>
      <c r="G2" s="46" t="n">
        <f aca="false">IF(C2&lt;[2]Admin!$F$22,(C2-Aug!C2)*[2]Admin!$G$21,C2*[2]Admin!$G$21-(C2-[2]Admin!$F$21)*([2]Admin!$G$21-[2]Admin!$G$22)-Aug!A2)</f>
        <v>0</v>
      </c>
      <c r="H2" s="21" t="n">
        <f aca="false">IF([1]Sep!$H$4&gt;0,0,[1]Sep!$H$2)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AB1+Aug!AB2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4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82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G2+Sep!A2</f>
        <v>0</v>
      </c>
      <c r="B2" s="44" t="s">
        <v>14</v>
      </c>
      <c r="C2" s="43" t="n">
        <f aca="false">Sep!C2+D1+[1]Oct!$D$1</f>
        <v>0</v>
      </c>
      <c r="D2" s="45" t="s">
        <v>15</v>
      </c>
      <c r="E2" s="20" t="s">
        <v>5</v>
      </c>
      <c r="F2" s="44" t="str">
        <f aca="false">Sep!F2</f>
        <v>v</v>
      </c>
      <c r="G2" s="46" t="n">
        <f aca="false">IF(C2&lt;[2]Admin!$F$22,(C2-Sep!C2)*[2]Admin!$G$21,C2*[2]Admin!$G$21-(C2-[2]Admin!$F$21)*([2]Admin!$G$21-[2]Admin!$G$22)-Sep!A2)</f>
        <v>0</v>
      </c>
      <c r="H2" s="21" t="n">
        <f aca="false">IF([1]Oct!$H$4&gt;0,0,[1]Oct!$H$2)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AB1+Sep!AB2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45931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182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91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9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120</v>
      </c>
      <c r="H1" s="13" t="n">
        <f aca="false">SUM(H5:H200)</f>
        <v>0</v>
      </c>
      <c r="I1" s="13" t="n">
        <f aca="false">SUM(I2:I200)</f>
        <v>120</v>
      </c>
      <c r="J1" s="15"/>
      <c r="K1" s="16" t="s">
        <v>4</v>
      </c>
      <c r="L1" s="17" t="n">
        <f aca="false">SUM(L5:L300)</f>
        <v>0</v>
      </c>
      <c r="M1" s="17" t="n">
        <f aca="false">SUM(M5:M200)</f>
        <v>120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120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G2+Oct!A2</f>
        <v>0</v>
      </c>
      <c r="B2" s="44" t="s">
        <v>14</v>
      </c>
      <c r="C2" s="43" t="n">
        <f aca="false">Oct!C2+D1+[1]Nov!$D$1</f>
        <v>0</v>
      </c>
      <c r="D2" s="45" t="s">
        <v>15</v>
      </c>
      <c r="E2" s="20" t="s">
        <v>5</v>
      </c>
      <c r="F2" s="44" t="str">
        <f aca="false">Oct!F2</f>
        <v>v</v>
      </c>
      <c r="G2" s="46" t="n">
        <f aca="false">IF(C2&lt;[2]Admin!$F$22,(C2-Oct!C2)*[2]Admin!$G$21,C2*[2]Admin!$G$21-(C2-[2]Admin!$F$21)*([2]Admin!$G$21-[2]Admin!$G$22)-Oct!A2)</f>
        <v>0</v>
      </c>
      <c r="H2" s="21" t="n">
        <f aca="false">IF([1]Nov!$H$4&gt;0,0,[1]Nov!$H$2)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AB1+Oct!AB2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45981</v>
      </c>
      <c r="B5" s="5" t="s">
        <v>50</v>
      </c>
      <c r="F5" s="5" t="s">
        <v>51</v>
      </c>
      <c r="G5" s="29" t="n">
        <v>120</v>
      </c>
      <c r="I5" s="6" t="n">
        <f aca="false">IF((G5&lt;&gt;0),G5-H5," ")</f>
        <v>120</v>
      </c>
      <c r="K5" s="6"/>
      <c r="L5" s="6"/>
      <c r="M5" s="7" t="n">
        <f aca="false">IF(G5&lt;&gt;0,G5-L5," ")</f>
        <v>120</v>
      </c>
      <c r="N5" s="8" t="n">
        <f aca="false">IF((G5-L5)&lt;&gt;0,N$1-A5," ")</f>
        <v>132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n">
        <f aca="false">IF((F5="g"),I5," ")</f>
        <v>120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4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3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0</v>
      </c>
      <c r="H1" s="13" t="n">
        <f aca="false">SUM(H5:H200)</f>
        <v>0</v>
      </c>
      <c r="I1" s="13" t="n">
        <f aca="false">SUM(I2:I200)</f>
        <v>0</v>
      </c>
      <c r="J1" s="15"/>
      <c r="K1" s="16" t="s">
        <v>4</v>
      </c>
      <c r="L1" s="17" t="n">
        <f aca="false">SUM(L5:L300)</f>
        <v>0</v>
      </c>
      <c r="M1" s="17" t="n">
        <f aca="false">SUM(M5:M200)</f>
        <v>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G2+Nov!A2</f>
        <v>0</v>
      </c>
      <c r="B2" s="44" t="s">
        <v>14</v>
      </c>
      <c r="C2" s="43" t="n">
        <f aca="false">Nov!C2+D1+[1]Dec!$D$1</f>
        <v>0</v>
      </c>
      <c r="D2" s="45" t="s">
        <v>15</v>
      </c>
      <c r="E2" s="20" t="s">
        <v>5</v>
      </c>
      <c r="F2" s="44" t="str">
        <f aca="false">Nov!F2</f>
        <v>v</v>
      </c>
      <c r="G2" s="46" t="n">
        <f aca="false">IF(C2&lt;[2]Admin!$F$22,(C2-Nov!C2)*[2]Admin!$G$21,C2*[2]Admin!$G$21-(C2-[2]Admin!$F$21)*([2]Admin!$G$21-[2]Admin!$G$22)-Nov!A2)</f>
        <v>0</v>
      </c>
      <c r="H2" s="21" t="n">
        <f aca="false">IF([1]Dec!$H$4&gt;0,0,[1]Dec!$H$2)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AB1+Nov!AB2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/>
      <c r="B5" s="2"/>
      <c r="C5" s="3"/>
      <c r="D5" s="4"/>
      <c r="E5" s="2"/>
      <c r="F5" s="57" t="str">
        <f aca="false">IF((G5&lt;&gt;0),"Enter Letter"," ")</f>
        <v> </v>
      </c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7" t="str">
        <f aca="false">IF((G6&lt;&gt;0),"Enter Letter"," ")</f>
        <v> </v>
      </c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7" t="str">
        <f aca="false">IF((G7&lt;&gt;0),"Enter Letter"," ")</f>
        <v> </v>
      </c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7" t="str">
        <f aca="false">IF((G8&lt;&gt;0),"Enter Letter"," ")</f>
        <v> </v>
      </c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7" t="str">
        <f aca="false">IF((G9&lt;&gt;0),"Enter Letter"," ")</f>
        <v> </v>
      </c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7" t="str">
        <f aca="false">IF((G10&lt;&gt;0),"Enter Letter"," ")</f>
        <v> </v>
      </c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7" t="str">
        <f aca="false">IF((G11&lt;&gt;0),"Enter Letter"," ")</f>
        <v> </v>
      </c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7" t="str">
        <f aca="false">IF((G12&lt;&gt;0),"Enter Letter"," ")</f>
        <v> </v>
      </c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7" t="str">
        <f aca="false">IF((G13&lt;&gt;0),"Enter Letter"," ")</f>
        <v> </v>
      </c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7" t="str">
        <f aca="false">IF((G14&lt;&gt;0),"Enter Letter"," ")</f>
        <v> </v>
      </c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7" t="str">
        <f aca="false">IF((G15&lt;&gt;0),"Enter Letter"," ")</f>
        <v> </v>
      </c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7" t="str">
        <f aca="false">IF((G16&lt;&gt;0),"Enter Letter"," ")</f>
        <v> </v>
      </c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7" t="str">
        <f aca="false">IF((G17&lt;&gt;0),"Enter Letter"," ")</f>
        <v> </v>
      </c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7" t="str">
        <f aca="false">IF((G18&lt;&gt;0),"Enter Letter"," ")</f>
        <v> </v>
      </c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7" t="str">
        <f aca="false">IF((G19&lt;&gt;0),"Enter Letter"," ")</f>
        <v> </v>
      </c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7" t="str">
        <f aca="false">IF((G20&lt;&gt;0),"Enter Letter"," ")</f>
        <v> </v>
      </c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7" t="str">
        <f aca="false">IF((G21&lt;&gt;0),"Enter Letter"," ")</f>
        <v> </v>
      </c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7" t="str">
        <f aca="false">IF((G22&lt;&gt;0),"Enter Letter"," ")</f>
        <v> </v>
      </c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7" t="str">
        <f aca="false">IF((G23&lt;&gt;0),"Enter Letter"," ")</f>
        <v> </v>
      </c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7" t="str">
        <f aca="false">IF((G24&lt;&gt;0),"Enter Letter"," ")</f>
        <v> </v>
      </c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7" t="str">
        <f aca="false">IF((G25&lt;&gt;0),"Enter Letter"," ")</f>
        <v> </v>
      </c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7" t="str">
        <f aca="false">IF((G26&lt;&gt;0),"Enter Letter"," ")</f>
        <v> </v>
      </c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7" t="str">
        <f aca="false">IF((G27&lt;&gt;0),"Enter Letter"," ")</f>
        <v> </v>
      </c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7" t="str">
        <f aca="false">IF((G28&lt;&gt;0),"Enter Letter"," ")</f>
        <v> </v>
      </c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7" t="str">
        <f aca="false">IF((G29&lt;&gt;0),"Enter Letter"," ")</f>
        <v> </v>
      </c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7" t="str">
        <f aca="false">IF((G30&lt;&gt;0),"Enter Letter"," ")</f>
        <v> </v>
      </c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7" t="str">
        <f aca="false">IF((G31&lt;&gt;0),"Enter Letter"," ")</f>
        <v> </v>
      </c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7" t="str">
        <f aca="false">IF((G32&lt;&gt;0),"Enter Letter"," ")</f>
        <v> </v>
      </c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7" t="str">
        <f aca="false">IF((G33&lt;&gt;0),"Enter Letter"," ")</f>
        <v> </v>
      </c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7" t="str">
        <f aca="false">IF((G34&lt;&gt;0),"Enter Letter"," ")</f>
        <v> </v>
      </c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7" t="str">
        <f aca="false">IF((G35&lt;&gt;0),"Enter Letter"," ")</f>
        <v> </v>
      </c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7" t="str">
        <f aca="false">IF((G36&lt;&gt;0),"Enter Letter"," ")</f>
        <v> </v>
      </c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7" t="str">
        <f aca="false">IF((G37&lt;&gt;0),"Enter Letter"," ")</f>
        <v> </v>
      </c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7" t="str">
        <f aca="false">IF((G38&lt;&gt;0),"Enter Letter"," ")</f>
        <v> </v>
      </c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7" t="str">
        <f aca="false">IF((G39&lt;&gt;0),"Enter Letter"," ")</f>
        <v> </v>
      </c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7" t="str">
        <f aca="false">IF((G40&lt;&gt;0),"Enter Letter"," ")</f>
        <v> </v>
      </c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7" t="str">
        <f aca="false">IF((G41&lt;&gt;0),"Enter Letter"," ")</f>
        <v> </v>
      </c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7" t="str">
        <f aca="false">IF((G42&lt;&gt;0),"Enter Letter"," ")</f>
        <v> </v>
      </c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7" t="str">
        <f aca="false">IF((G43&lt;&gt;0),"Enter Letter"," ")</f>
        <v> </v>
      </c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7" t="str">
        <f aca="false">IF((G44&lt;&gt;0),"Enter Letter"," ")</f>
        <v> </v>
      </c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7" t="str">
        <f aca="false">IF((G45&lt;&gt;0),"Enter Letter"," ")</f>
        <v> </v>
      </c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7" t="str">
        <f aca="false">IF((G46&lt;&gt;0),"Enter Letter"," ")</f>
        <v> </v>
      </c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7" t="str">
        <f aca="false">IF((G47&lt;&gt;0),"Enter Letter"," ")</f>
        <v> </v>
      </c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7" t="str">
        <f aca="false">IF((G48&lt;&gt;0),"Enter Letter"," ")</f>
        <v> </v>
      </c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7" t="str">
        <f aca="false">IF((G49&lt;&gt;0),"Enter Letter"," ")</f>
        <v> </v>
      </c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7" t="str">
        <f aca="false">IF((G50&lt;&gt;0),"Enter Letter"," ")</f>
        <v> </v>
      </c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7" t="str">
        <f aca="false">IF((G51&lt;&gt;0),"Enter Letter"," ")</f>
        <v> </v>
      </c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7" t="str">
        <f aca="false">IF((G52&lt;&gt;0),"Enter Letter"," ")</f>
        <v> </v>
      </c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7" t="str">
        <f aca="false">IF((G53&lt;&gt;0),"Enter Letter"," ")</f>
        <v> </v>
      </c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7" t="str">
        <f aca="false">IF((G54&lt;&gt;0),"Enter Letter"," ")</f>
        <v> </v>
      </c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7" t="str">
        <f aca="false">IF((G55&lt;&gt;0),"Enter Letter"," ")</f>
        <v> </v>
      </c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7" t="str">
        <f aca="false">IF((G56&lt;&gt;0),"Enter Letter"," ")</f>
        <v> </v>
      </c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7" t="str">
        <f aca="false">IF((G57&lt;&gt;0),"Enter Letter"," ")</f>
        <v> </v>
      </c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7" t="str">
        <f aca="false">IF((G58&lt;&gt;0),"Enter Letter"," ")</f>
        <v> </v>
      </c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7" t="str">
        <f aca="false">IF((G59&lt;&gt;0),"Enter Letter"," ")</f>
        <v> </v>
      </c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7" t="str">
        <f aca="false">IF((G60&lt;&gt;0),"Enter Letter"," ")</f>
        <v> </v>
      </c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7" t="str">
        <f aca="false">IF((G61&lt;&gt;0),"Enter Letter"," ")</f>
        <v> </v>
      </c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7" t="str">
        <f aca="false">IF((G62&lt;&gt;0),"Enter Letter"," ")</f>
        <v> </v>
      </c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7" t="str">
        <f aca="false">IF((G63&lt;&gt;0),"Enter Letter"," ")</f>
        <v> </v>
      </c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7" t="str">
        <f aca="false">IF((G64&lt;&gt;0),"Enter Letter"," ")</f>
        <v> </v>
      </c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7" t="str">
        <f aca="false">IF((G65&lt;&gt;0),"Enter Letter"," ")</f>
        <v> </v>
      </c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7" t="str">
        <f aca="false">IF((G66&lt;&gt;0),"Enter Letter"," ")</f>
        <v> </v>
      </c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7" t="str">
        <f aca="false">IF((G67&lt;&gt;0),"Enter Letter"," ")</f>
        <v> </v>
      </c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7" t="str">
        <f aca="false">IF((G68&lt;&gt;0),"Enter Letter"," ")</f>
        <v> </v>
      </c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7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7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7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7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7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7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7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7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7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7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7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7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7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7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7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7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7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7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7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7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7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7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7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7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7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7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7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7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7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7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7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7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7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7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7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7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7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7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7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7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7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7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7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7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7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7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7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7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7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7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7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7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7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7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7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7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7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7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7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7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7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7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7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7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7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7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7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7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7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7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7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7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7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7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7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7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7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7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7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7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7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7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7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7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7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7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7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7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7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7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7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7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7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7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7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7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7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7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7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7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7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7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7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7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7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7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7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7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7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7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7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7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7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7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7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7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7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7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7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7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7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7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7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7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7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7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7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7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7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7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7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7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7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7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7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7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7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7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7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7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7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7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7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7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7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7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7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7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7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7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7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7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7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7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7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7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7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7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7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7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7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7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7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7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7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7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7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7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7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7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7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7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7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7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7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7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7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7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7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7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7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7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7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7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7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7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7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7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7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7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7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7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7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7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7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7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7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7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7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7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7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7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7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7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7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7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7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7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7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7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7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7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7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7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7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7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7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7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7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7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7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7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7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7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7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7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7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7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7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7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7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4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80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79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99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480</v>
      </c>
      <c r="H1" s="13" t="n">
        <f aca="false">SUM(H5:H200)</f>
        <v>0</v>
      </c>
      <c r="I1" s="13" t="n">
        <f aca="false">SUM(I2:I200)</f>
        <v>480</v>
      </c>
      <c r="J1" s="15"/>
      <c r="K1" s="16" t="s">
        <v>4</v>
      </c>
      <c r="L1" s="17" t="n">
        <f aca="false">SUM(L5:L300)</f>
        <v>0</v>
      </c>
      <c r="M1" s="17" t="n">
        <f aca="false">SUM(M5:M200)</f>
        <v>480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480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G2+Dec!A2</f>
        <v>0</v>
      </c>
      <c r="B2" s="44" t="s">
        <v>14</v>
      </c>
      <c r="C2" s="43" t="n">
        <f aca="false">Dec!C2+D1+[1]Jan!$D$1</f>
        <v>0</v>
      </c>
      <c r="D2" s="45" t="s">
        <v>15</v>
      </c>
      <c r="E2" s="20" t="s">
        <v>5</v>
      </c>
      <c r="F2" s="44" t="str">
        <f aca="false">Dec!F2</f>
        <v>v</v>
      </c>
      <c r="G2" s="46" t="n">
        <f aca="false">IF(C2&lt;[2]Admin!$F$22,(C2-Dec!C2)*[2]Admin!$G$21,C2*[2]Admin!$G$21-(C2-[2]Admin!$F$21)*([2]Admin!$G$21-[2]Admin!$G$22)-Dec!A2)</f>
        <v>0</v>
      </c>
      <c r="H2" s="21" t="n">
        <f aca="false">IF([1]Jan!$H$4&gt;0,0,[1]Jan!$H$2)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AB1+Dec!AB2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46037</v>
      </c>
      <c r="B5" s="5" t="s">
        <v>57</v>
      </c>
      <c r="F5" s="5" t="s">
        <v>58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76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n">
        <f aca="false">IF((F5="m"),I5," ")</f>
        <v>480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2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2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2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2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2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2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2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2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2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2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2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2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2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2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2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2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2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2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2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2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2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2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2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2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2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2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2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2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2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2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2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2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2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2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2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2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2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2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2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2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2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2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2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2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2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2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2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2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2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2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2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2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2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2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2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2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2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2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2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2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2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2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2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2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2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2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2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2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2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2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2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2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2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2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2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2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2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2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2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2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2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2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2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2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2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2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2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2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2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2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2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2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2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2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2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2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2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2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2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2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2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2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2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2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2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2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2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2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2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2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2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2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2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2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2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2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2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2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2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2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2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2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2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2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2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2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2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2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2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2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2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2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2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2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2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2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2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2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2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2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2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2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2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2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2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2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2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2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2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2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2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2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2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2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2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2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2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2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2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2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2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2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2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2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2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2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2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2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2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2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2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2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2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2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2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2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2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2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2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2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2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2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2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2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2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2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2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2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2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2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2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2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2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2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2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2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2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2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2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2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2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2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2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2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2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2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2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2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2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2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2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2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2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2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2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2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2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2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2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2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2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2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2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2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2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2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2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2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2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2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2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2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2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2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2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2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2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2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2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2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2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2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2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2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2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2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2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2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2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2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2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2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2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2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2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2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2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2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2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2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2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2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2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2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2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2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2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2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2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2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2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2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2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2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2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2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2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2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2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2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2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2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2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2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2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2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2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2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2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2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2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2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2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2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600</v>
      </c>
      <c r="H1" s="13" t="n">
        <f aca="false">SUM(H5:H200)</f>
        <v>0</v>
      </c>
      <c r="I1" s="13" t="n">
        <f aca="false">SUM(I2:I200)</f>
        <v>600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600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600</v>
      </c>
      <c r="U1" s="13" t="n">
        <f aca="false">SUM(U5:U300)</f>
        <v>0</v>
      </c>
      <c r="V1" s="13" t="n">
        <f aca="false">SUM(V5:V300)</f>
        <v>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G2+Jan!A2</f>
        <v>0</v>
      </c>
      <c r="B2" s="44" t="s">
        <v>14</v>
      </c>
      <c r="C2" s="43" t="n">
        <f aca="false">Jan!C2+D1+[1]Feb!$D$1</f>
        <v>0</v>
      </c>
      <c r="D2" s="45" t="s">
        <v>15</v>
      </c>
      <c r="E2" s="20" t="s">
        <v>5</v>
      </c>
      <c r="F2" s="44" t="str">
        <f aca="false">Jan!F2</f>
        <v>v</v>
      </c>
      <c r="G2" s="46" t="n">
        <f aca="false">IF(C2&lt;[2]Admin!$F$22,(C2-Jan!C2)*[2]Admin!$G$21,C2*[2]Admin!$G$21-(C2-[2]Admin!$F$21)*([2]Admin!$G$21-[2]Admin!$G$22)-Jan!A2)</f>
        <v>0</v>
      </c>
      <c r="H2" s="21" t="n">
        <f aca="false">IF([1]Feb!$H$4&gt;0,0,[1]Feb!$H$2)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AB1+Jan!AB2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46054</v>
      </c>
      <c r="B5" s="5" t="s">
        <v>52</v>
      </c>
      <c r="F5" s="5" t="s">
        <v>53</v>
      </c>
      <c r="G5" s="29" t="n">
        <v>600</v>
      </c>
      <c r="I5" s="6" t="n">
        <f aca="false">IF((G5&lt;&gt;0),G5-H5," ")</f>
        <v>600</v>
      </c>
      <c r="K5" s="6"/>
      <c r="L5" s="6"/>
      <c r="M5" s="7" t="n">
        <f aca="false">IF(G5&lt;&gt;0,G5-L5," ")</f>
        <v>600</v>
      </c>
      <c r="N5" s="8" t="n">
        <f aca="false">IF((G5-L5)&lt;&gt;0,N$1-A5," ")</f>
        <v>59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n">
        <f aca="false">IF((F5="p"),I5," ")</f>
        <v>600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str">
        <f aca="false">IF((F5="l"),I5," ")</f>
        <v> 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/>
      <c r="F6" s="58"/>
      <c r="G6" s="29"/>
      <c r="H6" s="6" t="str">
        <f aca="false">IF(G6&lt;&gt;0,G6*H$2/(100+H$2)," ")</f>
        <v> </v>
      </c>
      <c r="I6" s="6" t="str">
        <f aca="false">IF((G6&lt;&gt;0),G6-H6," ")</f>
        <v> </v>
      </c>
      <c r="J6" s="5"/>
      <c r="M6" s="7" t="str">
        <f aca="false">IF(G6&lt;&gt;0,G6-L6," ")</f>
        <v> </v>
      </c>
      <c r="N6" s="8" t="str">
        <f aca="false">IF((G6-L6)&lt;&gt;0,N$1-A6," ")</f>
        <v> 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str">
        <f aca="false">IF((F6="g"),I6," ")</f>
        <v> 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/>
      <c r="G7" s="29"/>
      <c r="H7" s="6" t="str">
        <f aca="false">IF(G7&lt;&gt;0,G7*H$2/(100+H$2)," ")</f>
        <v> </v>
      </c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/>
      <c r="G8" s="29"/>
      <c r="H8" s="6" t="str">
        <f aca="false">IF(G8&lt;&gt;0,G8*H$2/(100+H$2)," ")</f>
        <v> </v>
      </c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/>
      <c r="G9" s="29"/>
      <c r="H9" s="6" t="str">
        <f aca="false">IF(G9&lt;&gt;0,G9*H$2/(100+H$2)," ")</f>
        <v> </v>
      </c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/>
      <c r="G10" s="29"/>
      <c r="H10" s="6" t="str">
        <f aca="false">IF(G10&lt;&gt;0,G10*H$2/(100+H$2)," ")</f>
        <v> </v>
      </c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/>
      <c r="G11" s="29"/>
      <c r="H11" s="6" t="str">
        <f aca="false">IF(G11&lt;&gt;0,G11*H$2/(100+H$2)," ")</f>
        <v> </v>
      </c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/>
      <c r="G12" s="29"/>
      <c r="H12" s="6" t="str">
        <f aca="false">IF(G12&lt;&gt;0,G12*H$2/(100+H$2)," ")</f>
        <v> </v>
      </c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/>
      <c r="G13" s="29"/>
      <c r="H13" s="6" t="str">
        <f aca="false">IF(G13&lt;&gt;0,G13*H$2/(100+H$2)," ")</f>
        <v> </v>
      </c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/>
      <c r="G14" s="29"/>
      <c r="H14" s="6" t="str">
        <f aca="false">IF(G14&lt;&gt;0,G14*H$2/(100+H$2)," ")</f>
        <v> </v>
      </c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/>
      <c r="G15" s="29"/>
      <c r="H15" s="6" t="str">
        <f aca="false">IF(G15&lt;&gt;0,G15*H$2/(100+H$2)," ")</f>
        <v> </v>
      </c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/>
      <c r="G16" s="29"/>
      <c r="H16" s="6" t="str">
        <f aca="false">IF(G16&lt;&gt;0,G16*H$2/(100+H$2)," ")</f>
        <v> </v>
      </c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/>
      <c r="G17" s="29"/>
      <c r="H17" s="6" t="str">
        <f aca="false">IF(G17&lt;&gt;0,G17*H$2/(100+H$2)," ")</f>
        <v> </v>
      </c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/>
      <c r="G18" s="29"/>
      <c r="H18" s="6" t="str">
        <f aca="false">IF(G18&lt;&gt;0,G18*H$2/(100+H$2)," ")</f>
        <v> </v>
      </c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/>
      <c r="G19" s="29"/>
      <c r="H19" s="6" t="str">
        <f aca="false">IF(G19&lt;&gt;0,G19*H$2/(100+H$2)," ")</f>
        <v> </v>
      </c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/>
      <c r="G20" s="29"/>
      <c r="H20" s="6" t="str">
        <f aca="false">IF(G20&lt;&gt;0,G20*H$2/(100+H$2)," ")</f>
        <v> </v>
      </c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/>
      <c r="G21" s="29"/>
      <c r="H21" s="6" t="str">
        <f aca="false">IF(G21&lt;&gt;0,G21*H$2/(100+H$2)," ")</f>
        <v> </v>
      </c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/>
      <c r="G22" s="29"/>
      <c r="H22" s="6" t="str">
        <f aca="false">IF(G22&lt;&gt;0,G22*H$2/(100+H$2)," ")</f>
        <v> </v>
      </c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/>
      <c r="G23" s="29"/>
      <c r="H23" s="6" t="str">
        <f aca="false">IF(G23&lt;&gt;0,G23*H$2/(100+H$2)," ")</f>
        <v> </v>
      </c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/>
      <c r="G24" s="29"/>
      <c r="H24" s="6" t="str">
        <f aca="false">IF(G24&lt;&gt;0,G24*H$2/(100+H$2)," ")</f>
        <v> </v>
      </c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/>
      <c r="G25" s="29"/>
      <c r="H25" s="6" t="str">
        <f aca="false">IF(G25&lt;&gt;0,G25*H$2/(100+H$2)," ")</f>
        <v> </v>
      </c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/>
      <c r="G26" s="29"/>
      <c r="H26" s="6" t="str">
        <f aca="false">IF(G26&lt;&gt;0,G26*H$2/(100+H$2)," ")</f>
        <v> </v>
      </c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/>
      <c r="G27" s="29"/>
      <c r="H27" s="6" t="str">
        <f aca="false">IF(G27&lt;&gt;0,G27*H$2/(100+H$2)," ")</f>
        <v> </v>
      </c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/>
      <c r="G28" s="29"/>
      <c r="H28" s="6" t="str">
        <f aca="false">IF(G28&lt;&gt;0,G28*H$2/(100+H$2)," ")</f>
        <v> </v>
      </c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/>
      <c r="G29" s="29"/>
      <c r="H29" s="6" t="str">
        <f aca="false">IF(G29&lt;&gt;0,G29*H$2/(100+H$2)," ")</f>
        <v> </v>
      </c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/>
      <c r="G30" s="29"/>
      <c r="H30" s="6" t="str">
        <f aca="false">IF(G30&lt;&gt;0,G30*H$2/(100+H$2)," ")</f>
        <v> </v>
      </c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/>
      <c r="G31" s="29"/>
      <c r="H31" s="6" t="str">
        <f aca="false">IF(G31&lt;&gt;0,G31*H$2/(100+H$2)," ")</f>
        <v> </v>
      </c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/>
      <c r="G32" s="29"/>
      <c r="H32" s="6" t="str">
        <f aca="false">IF(G32&lt;&gt;0,G32*H$2/(100+H$2)," ")</f>
        <v> </v>
      </c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/>
      <c r="G33" s="29"/>
      <c r="H33" s="6" t="str">
        <f aca="false">IF(G33&lt;&gt;0,G33*H$2/(100+H$2)," ")</f>
        <v> </v>
      </c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/>
      <c r="G34" s="29"/>
      <c r="H34" s="6" t="str">
        <f aca="false">IF(G34&lt;&gt;0,G34*H$2/(100+H$2)," ")</f>
        <v> </v>
      </c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/>
      <c r="G35" s="29"/>
      <c r="H35" s="6" t="str">
        <f aca="false">IF(G35&lt;&gt;0,G35*H$2/(100+H$2)," ")</f>
        <v> </v>
      </c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/>
      <c r="G36" s="29"/>
      <c r="H36" s="6" t="str">
        <f aca="false">IF(G36&lt;&gt;0,G36*H$2/(100+H$2)," ")</f>
        <v> </v>
      </c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/>
      <c r="G37" s="29"/>
      <c r="H37" s="6" t="str">
        <f aca="false">IF(G37&lt;&gt;0,G37*H$2/(100+H$2)," ")</f>
        <v> </v>
      </c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/>
      <c r="G38" s="29"/>
      <c r="H38" s="6" t="str">
        <f aca="false">IF(G38&lt;&gt;0,G38*H$2/(100+H$2)," ")</f>
        <v> </v>
      </c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/>
      <c r="G39" s="29"/>
      <c r="H39" s="6" t="str">
        <f aca="false">IF(G39&lt;&gt;0,G39*H$2/(100+H$2)," ")</f>
        <v> </v>
      </c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/>
      <c r="G40" s="29"/>
      <c r="H40" s="6" t="str">
        <f aca="false">IF(G40&lt;&gt;0,G40*H$2/(100+H$2)," ")</f>
        <v> </v>
      </c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/>
      <c r="G41" s="29"/>
      <c r="H41" s="6" t="str">
        <f aca="false">IF(G41&lt;&gt;0,G41*H$2/(100+H$2)," ")</f>
        <v> </v>
      </c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/>
      <c r="G42" s="29"/>
      <c r="H42" s="6" t="str">
        <f aca="false">IF(G42&lt;&gt;0,G42*H$2/(100+H$2)," ")</f>
        <v> </v>
      </c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/>
      <c r="G43" s="29"/>
      <c r="H43" s="6" t="str">
        <f aca="false">IF(G43&lt;&gt;0,G43*H$2/(100+H$2)," ")</f>
        <v> </v>
      </c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/>
      <c r="G44" s="29"/>
      <c r="H44" s="6" t="str">
        <f aca="false">IF(G44&lt;&gt;0,G44*H$2/(100+H$2)," ")</f>
        <v> </v>
      </c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/>
      <c r="G45" s="29"/>
      <c r="H45" s="6" t="str">
        <f aca="false">IF(G45&lt;&gt;0,G45*H$2/(100+H$2)," ")</f>
        <v> </v>
      </c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/>
      <c r="G46" s="29"/>
      <c r="H46" s="6" t="str">
        <f aca="false">IF(G46&lt;&gt;0,G46*H$2/(100+H$2)," ")</f>
        <v> </v>
      </c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/>
      <c r="G47" s="29"/>
      <c r="H47" s="6" t="str">
        <f aca="false">IF(G47&lt;&gt;0,G47*H$2/(100+H$2)," ")</f>
        <v> </v>
      </c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/>
      <c r="G48" s="29"/>
      <c r="H48" s="6" t="str">
        <f aca="false">IF(G48&lt;&gt;0,G48*H$2/(100+H$2)," ")</f>
        <v> </v>
      </c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/>
      <c r="G49" s="29"/>
      <c r="H49" s="6" t="str">
        <f aca="false">IF(G49&lt;&gt;0,G49*H$2/(100+H$2)," ")</f>
        <v> </v>
      </c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/>
      <c r="G50" s="29"/>
      <c r="H50" s="6" t="str">
        <f aca="false">IF(G50&lt;&gt;0,G50*H$2/(100+H$2)," ")</f>
        <v> </v>
      </c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/>
      <c r="G51" s="29"/>
      <c r="H51" s="6" t="str">
        <f aca="false">IF(G51&lt;&gt;0,G51*H$2/(100+H$2)," ")</f>
        <v> </v>
      </c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/>
      <c r="G52" s="29"/>
      <c r="H52" s="6" t="str">
        <f aca="false">IF(G52&lt;&gt;0,G52*H$2/(100+H$2)," ")</f>
        <v> </v>
      </c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/>
      <c r="G53" s="29"/>
      <c r="H53" s="6" t="str">
        <f aca="false">IF(G53&lt;&gt;0,G53*H$2/(100+H$2)," ")</f>
        <v> </v>
      </c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/>
      <c r="G54" s="29"/>
      <c r="H54" s="6" t="str">
        <f aca="false">IF(G54&lt;&gt;0,G54*H$2/(100+H$2)," ")</f>
        <v> </v>
      </c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/>
      <c r="G55" s="29"/>
      <c r="H55" s="6" t="str">
        <f aca="false">IF(G55&lt;&gt;0,G55*H$2/(100+H$2)," ")</f>
        <v> </v>
      </c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/>
      <c r="G56" s="29"/>
      <c r="H56" s="6" t="str">
        <f aca="false">IF(G56&lt;&gt;0,G56*H$2/(100+H$2)," ")</f>
        <v> </v>
      </c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/>
      <c r="G57" s="29"/>
      <c r="H57" s="6" t="str">
        <f aca="false">IF(G57&lt;&gt;0,G57*H$2/(100+H$2)," ")</f>
        <v> </v>
      </c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/>
      <c r="G58" s="29"/>
      <c r="H58" s="6" t="str">
        <f aca="false">IF(G58&lt;&gt;0,G58*H$2/(100+H$2)," ")</f>
        <v> </v>
      </c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/>
      <c r="G59" s="29"/>
      <c r="H59" s="6" t="str">
        <f aca="false">IF(G59&lt;&gt;0,G59*H$2/(100+H$2)," ")</f>
        <v> </v>
      </c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/>
      <c r="G60" s="29"/>
      <c r="H60" s="6" t="str">
        <f aca="false">IF(G60&lt;&gt;0,G60*H$2/(100+H$2)," ")</f>
        <v> </v>
      </c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/>
      <c r="G61" s="29"/>
      <c r="H61" s="6" t="str">
        <f aca="false">IF(G61&lt;&gt;0,G61*H$2/(100+H$2)," ")</f>
        <v> </v>
      </c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/>
      <c r="G62" s="29"/>
      <c r="H62" s="6" t="str">
        <f aca="false">IF(G62&lt;&gt;0,G62*H$2/(100+H$2)," ")</f>
        <v> </v>
      </c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/>
      <c r="G63" s="29"/>
      <c r="H63" s="6" t="str">
        <f aca="false">IF(G63&lt;&gt;0,G63*H$2/(100+H$2)," ")</f>
        <v> </v>
      </c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/>
      <c r="G64" s="29"/>
      <c r="H64" s="6" t="str">
        <f aca="false">IF(G64&lt;&gt;0,G64*H$2/(100+H$2)," ")</f>
        <v> </v>
      </c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/>
      <c r="G65" s="29"/>
      <c r="H65" s="6" t="str">
        <f aca="false">IF(G65&lt;&gt;0,G65*H$2/(100+H$2)," ")</f>
        <v> </v>
      </c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/>
      <c r="G66" s="29"/>
      <c r="H66" s="6" t="str">
        <f aca="false">IF(G66&lt;&gt;0,G66*H$2/(100+H$2)," ")</f>
        <v> </v>
      </c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/>
      <c r="G67" s="29"/>
      <c r="H67" s="6" t="str">
        <f aca="false">IF(G67&lt;&gt;0,G67*H$2/(100+H$2)," ")</f>
        <v> </v>
      </c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/>
      <c r="G68" s="29"/>
      <c r="H68" s="6" t="str">
        <f aca="false">IF(G68&lt;&gt;0,G68*H$2/(100+H$2)," ")</f>
        <v> </v>
      </c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H69" s="6" t="str">
        <f aca="false">IF(G69&lt;&gt;0,G69*H$2/(100+H$2)," ")</f>
        <v> </v>
      </c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99"/>
    <col collapsed="false" customWidth="true" hidden="false" outlineLevel="0" max="2" min="2" style="2" width="18.66"/>
    <col collapsed="false" customWidth="true" hidden="false" outlineLevel="0" max="3" min="3" style="3" width="12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true" hidden="false" outlineLevel="0" max="15" min="15" style="6" width="0.82"/>
    <col collapsed="false" customWidth="true" hidden="false" outlineLevel="0" max="20" min="16" style="19" width="9.66"/>
    <col collapsed="false" customWidth="true" hidden="false" outlineLevel="0" max="22" min="21" style="19" width="10.5"/>
    <col collapsed="false" customWidth="true" hidden="false" outlineLevel="0" max="23" min="23" style="38" width="10.5"/>
    <col collapsed="false" customWidth="true" hidden="false" outlineLevel="0" max="28" min="24" style="19" width="10.5"/>
    <col collapsed="false" customWidth="true" hidden="false" outlineLevel="0" max="29" min="29" style="19" width="0.82"/>
    <col collapsed="false" customWidth="false" hidden="false" outlineLevel="0" max="30" min="30" style="19" width="9.15"/>
    <col collapsed="false" customWidth="true" hidden="false" outlineLevel="0" max="31" min="31" style="19" width="12.66"/>
    <col collapsed="false" customWidth="false" hidden="false" outlineLevel="0" max="257" min="32" style="2" width="9.15"/>
  </cols>
  <sheetData>
    <row r="1" s="19" customFormat="true" ht="12.75" hidden="false" customHeight="true" outlineLevel="0" collapsed="false">
      <c r="A1" s="39" t="n">
        <f aca="false">G1-H1-SUM(P1:AB1)</f>
        <v>0</v>
      </c>
      <c r="B1" s="40" t="s">
        <v>13</v>
      </c>
      <c r="C1" s="40"/>
      <c r="D1" s="12" t="n">
        <f aca="false">SUM(D5:D300)</f>
        <v>0</v>
      </c>
      <c r="E1" s="13" t="s">
        <v>3</v>
      </c>
      <c r="F1" s="14"/>
      <c r="G1" s="13" t="n">
        <f aca="false">SUM(G2:G300)</f>
        <v>900</v>
      </c>
      <c r="H1" s="13" t="n">
        <f aca="false">SUM(H5:H200)</f>
        <v>0</v>
      </c>
      <c r="I1" s="13" t="n">
        <f aca="false">SUM(I2:I200)</f>
        <v>900</v>
      </c>
      <c r="J1" s="15"/>
      <c r="K1" s="16" t="s">
        <v>4</v>
      </c>
      <c r="L1" s="17" t="n">
        <f aca="false">SUM(L5:L300)</f>
        <v>0</v>
      </c>
      <c r="M1" s="17" t="n">
        <f aca="false">SUM(M5:M200)</f>
        <v>900</v>
      </c>
      <c r="N1" s="18" t="n">
        <f aca="true">TODAY()</f>
        <v>46113</v>
      </c>
      <c r="O1" s="15"/>
      <c r="P1" s="13" t="n">
        <f aca="false">SUM(P5:P300)</f>
        <v>0</v>
      </c>
      <c r="Q1" s="13" t="n">
        <f aca="false">SUM(Q5:Q300)</f>
        <v>0</v>
      </c>
      <c r="R1" s="13" t="n">
        <f aca="false">SUM(R5:R300)</f>
        <v>0</v>
      </c>
      <c r="S1" s="13" t="n">
        <f aca="false">SUM(S5:S300)</f>
        <v>0</v>
      </c>
      <c r="T1" s="13" t="n">
        <f aca="false">SUM(T5:T300)</f>
        <v>0</v>
      </c>
      <c r="U1" s="13" t="n">
        <f aca="false">SUM(U5:U300)</f>
        <v>0</v>
      </c>
      <c r="V1" s="13" t="n">
        <f aca="false">SUM(V5:V300)</f>
        <v>420</v>
      </c>
      <c r="W1" s="13" t="n">
        <f aca="false">SUM(W2:W300)</f>
        <v>0</v>
      </c>
      <c r="X1" s="13" t="n">
        <f aca="false">SUM(X5:X300)</f>
        <v>0</v>
      </c>
      <c r="Y1" s="13" t="n">
        <f aca="false">SUM(Y5:Y300)</f>
        <v>0</v>
      </c>
      <c r="Z1" s="13" t="n">
        <f aca="false">SUM(Z5:Z300)</f>
        <v>480</v>
      </c>
      <c r="AA1" s="13" t="n">
        <f aca="false">SUM(AA5:AA300)</f>
        <v>0</v>
      </c>
      <c r="AB1" s="13" t="n">
        <f aca="false">SUM(AB5:AB300)</f>
        <v>0</v>
      </c>
      <c r="AC1" s="41"/>
      <c r="AD1" s="13" t="n">
        <f aca="false">SUM(AD5:AD300)</f>
        <v>0</v>
      </c>
      <c r="AE1" s="42"/>
    </row>
    <row r="2" s="19" customFormat="true" ht="13.5" hidden="false" customHeight="true" outlineLevel="0" collapsed="false">
      <c r="A2" s="43" t="n">
        <f aca="false">G2+Feb!A2</f>
        <v>0</v>
      </c>
      <c r="B2" s="44" t="s">
        <v>14</v>
      </c>
      <c r="C2" s="43" t="n">
        <f aca="false">Feb!C2+D1+[1]Mar!$D$1</f>
        <v>0</v>
      </c>
      <c r="D2" s="45" t="s">
        <v>15</v>
      </c>
      <c r="E2" s="20" t="s">
        <v>5</v>
      </c>
      <c r="F2" s="44" t="str">
        <f aca="false">Feb!F2</f>
        <v>v</v>
      </c>
      <c r="G2" s="46" t="n">
        <f aca="false">IF(C2&lt;[2]Admin!$F$22,(C2-Feb!C2)*[2]Admin!$G$21,C2*[2]Admin!$G$21-(C2-[2]Admin!$F$21)*([2]Admin!$G$21-[2]Admin!$G$22)-Feb!A2)</f>
        <v>0</v>
      </c>
      <c r="H2" s="21" t="n">
        <f aca="false">IF([1]Mar!$H$4&gt;0,0,[1]Mar!$H$2)</f>
        <v>20</v>
      </c>
      <c r="I2" s="47" t="n">
        <f aca="false">G2</f>
        <v>0</v>
      </c>
      <c r="J2" s="15"/>
      <c r="K2" s="16"/>
      <c r="L2" s="22" t="s">
        <v>8</v>
      </c>
      <c r="M2" s="22"/>
      <c r="N2" s="22"/>
      <c r="O2" s="15"/>
      <c r="P2" s="10" t="s">
        <v>17</v>
      </c>
      <c r="Q2" s="10"/>
      <c r="R2" s="10"/>
      <c r="S2" s="10" t="s">
        <v>18</v>
      </c>
      <c r="T2" s="48" t="s">
        <v>19</v>
      </c>
      <c r="U2" s="10" t="s">
        <v>20</v>
      </c>
      <c r="V2" s="10" t="s">
        <v>21</v>
      </c>
      <c r="W2" s="49" t="n">
        <f aca="false">IF((F2="v"),I2," ")</f>
        <v>0</v>
      </c>
      <c r="X2" s="10" t="s">
        <v>22</v>
      </c>
      <c r="Y2" s="10" t="s">
        <v>23</v>
      </c>
      <c r="Z2" s="10" t="s">
        <v>24</v>
      </c>
      <c r="AA2" s="10" t="s">
        <v>25</v>
      </c>
      <c r="AB2" s="50" t="n">
        <f aca="false">AB1+Feb!AB2</f>
        <v>0</v>
      </c>
      <c r="AC2" s="41"/>
      <c r="AD2" s="10" t="s">
        <v>26</v>
      </c>
      <c r="AE2" s="10"/>
    </row>
    <row r="3" s="25" customFormat="true" ht="34.5" hidden="false" customHeight="true" outlineLevel="0" collapsed="false">
      <c r="A3" s="9" t="s">
        <v>0</v>
      </c>
      <c r="B3" s="10" t="s">
        <v>1</v>
      </c>
      <c r="C3" s="11" t="s">
        <v>2</v>
      </c>
      <c r="D3" s="45"/>
      <c r="E3" s="45"/>
      <c r="F3" s="20" t="s">
        <v>27</v>
      </c>
      <c r="G3" s="10" t="s">
        <v>6</v>
      </c>
      <c r="H3" s="10" t="s">
        <v>9</v>
      </c>
      <c r="I3" s="10" t="s">
        <v>7</v>
      </c>
      <c r="J3" s="15"/>
      <c r="K3" s="16"/>
      <c r="L3" s="23" t="s">
        <v>10</v>
      </c>
      <c r="M3" s="23" t="s">
        <v>11</v>
      </c>
      <c r="N3" s="24" t="s">
        <v>12</v>
      </c>
      <c r="O3" s="15"/>
      <c r="P3" s="20" t="s">
        <v>28</v>
      </c>
      <c r="Q3" s="20" t="s">
        <v>29</v>
      </c>
      <c r="R3" s="20" t="s">
        <v>30</v>
      </c>
      <c r="S3" s="10"/>
      <c r="T3" s="20" t="s">
        <v>31</v>
      </c>
      <c r="U3" s="10"/>
      <c r="V3" s="10"/>
      <c r="W3" s="50" t="s">
        <v>32</v>
      </c>
      <c r="X3" s="10"/>
      <c r="Y3" s="10"/>
      <c r="Z3" s="10"/>
      <c r="AA3" s="10"/>
      <c r="AB3" s="50" t="s">
        <v>33</v>
      </c>
      <c r="AC3" s="41"/>
      <c r="AD3" s="10" t="s">
        <v>34</v>
      </c>
      <c r="AE3" s="10"/>
    </row>
    <row r="4" s="26" customFormat="true" ht="12.75" hidden="false" customHeight="true" outlineLevel="0" collapsed="false">
      <c r="A4" s="9"/>
      <c r="B4" s="10"/>
      <c r="C4" s="11"/>
      <c r="D4" s="45"/>
      <c r="E4" s="45"/>
      <c r="F4" s="20"/>
      <c r="G4" s="10"/>
      <c r="H4" s="10"/>
      <c r="I4" s="10"/>
      <c r="J4" s="15"/>
      <c r="K4" s="16"/>
      <c r="L4" s="23"/>
      <c r="M4" s="23"/>
      <c r="N4" s="24"/>
      <c r="O4" s="15"/>
      <c r="P4" s="51" t="s">
        <v>35</v>
      </c>
      <c r="Q4" s="51" t="s">
        <v>36</v>
      </c>
      <c r="R4" s="51" t="s">
        <v>37</v>
      </c>
      <c r="S4" s="51" t="s">
        <v>38</v>
      </c>
      <c r="T4" s="51" t="s">
        <v>39</v>
      </c>
      <c r="U4" s="51" t="s">
        <v>40</v>
      </c>
      <c r="V4" s="51" t="s">
        <v>41</v>
      </c>
      <c r="W4" s="52" t="s">
        <v>42</v>
      </c>
      <c r="X4" s="51" t="s">
        <v>43</v>
      </c>
      <c r="Y4" s="51" t="s">
        <v>44</v>
      </c>
      <c r="Z4" s="51" t="s">
        <v>45</v>
      </c>
      <c r="AA4" s="51" t="s">
        <v>46</v>
      </c>
      <c r="AB4" s="51" t="s">
        <v>47</v>
      </c>
      <c r="AC4" s="41"/>
      <c r="AD4" s="10" t="s">
        <v>48</v>
      </c>
      <c r="AE4" s="10" t="s">
        <v>49</v>
      </c>
    </row>
    <row r="5" s="5" customFormat="true" ht="12" hidden="false" customHeight="false" outlineLevel="0" collapsed="false">
      <c r="A5" s="27" t="n">
        <v>46091</v>
      </c>
      <c r="B5" s="5" t="s">
        <v>54</v>
      </c>
      <c r="F5" s="5" t="s">
        <v>55</v>
      </c>
      <c r="G5" s="29" t="n">
        <v>480</v>
      </c>
      <c r="I5" s="6" t="n">
        <f aca="false">IF((G5&lt;&gt;0),G5-H5," ")</f>
        <v>480</v>
      </c>
      <c r="K5" s="6"/>
      <c r="L5" s="6"/>
      <c r="M5" s="7" t="n">
        <f aca="false">IF(G5&lt;&gt;0,G5-L5," ")</f>
        <v>480</v>
      </c>
      <c r="N5" s="8" t="n">
        <f aca="false">IF((G5-L5)&lt;&gt;0,N$1-A5," ")</f>
        <v>22</v>
      </c>
      <c r="P5" s="19" t="str">
        <f aca="false">IF((F5="s"),I5," ")</f>
        <v> </v>
      </c>
      <c r="Q5" s="19" t="str">
        <f aca="false">IF((F5="c"),I5," ")</f>
        <v> </v>
      </c>
      <c r="R5" s="19" t="str">
        <f aca="false">IF((F5="o"),I5," ")</f>
        <v> </v>
      </c>
      <c r="S5" s="19" t="str">
        <f aca="false">IF((F5="w"),I5," ")</f>
        <v> </v>
      </c>
      <c r="T5" s="19" t="str">
        <f aca="false">IF((F5="p"),I5," ")</f>
        <v> </v>
      </c>
      <c r="U5" s="19" t="str">
        <f aca="false">IF((F5="m"),I5," ")</f>
        <v> </v>
      </c>
      <c r="V5" s="19" t="str">
        <f aca="false">IF((F5="g"),I5," ")</f>
        <v> </v>
      </c>
      <c r="W5" s="29" t="str">
        <f aca="false">IF((F5="v"),I5," ")</f>
        <v> </v>
      </c>
      <c r="X5" s="19" t="str">
        <f aca="false">IF((F5="h"),I5," ")</f>
        <v> </v>
      </c>
      <c r="Y5" s="19" t="str">
        <f aca="false">IF((F5="a"),I5," ")</f>
        <v> </v>
      </c>
      <c r="Z5" s="19" t="n">
        <f aca="false">IF((F5="l"),I5," ")</f>
        <v>480</v>
      </c>
      <c r="AA5" s="19" t="str">
        <f aca="false">IF((F5="y"),I5," ")</f>
        <v> </v>
      </c>
      <c r="AB5" s="19" t="str">
        <f aca="false">IF((F5="fa"),I5," ")</f>
        <v> </v>
      </c>
      <c r="AC5" s="19"/>
      <c r="AD5" s="19"/>
      <c r="AE5" s="19"/>
    </row>
    <row r="6" customFormat="false" ht="12" hidden="false" customHeight="false" outlineLevel="0" collapsed="false">
      <c r="A6" s="27" t="n">
        <v>46101</v>
      </c>
      <c r="B6" s="2" t="s">
        <v>50</v>
      </c>
      <c r="F6" s="5" t="s">
        <v>51</v>
      </c>
      <c r="G6" s="29" t="n">
        <v>420</v>
      </c>
      <c r="I6" s="6" t="n">
        <f aca="false">IF((G6&lt;&gt;0),G6-H6," ")</f>
        <v>420</v>
      </c>
      <c r="J6" s="5"/>
      <c r="M6" s="7" t="n">
        <f aca="false">IF(G6&lt;&gt;0,G6-L6," ")</f>
        <v>420</v>
      </c>
      <c r="N6" s="8" t="n">
        <f aca="false">IF((G6-L6)&lt;&gt;0,N$1-A6," ")</f>
        <v>12</v>
      </c>
      <c r="O6" s="5"/>
      <c r="P6" s="19" t="str">
        <f aca="false">IF((F6="s"),I6," ")</f>
        <v> </v>
      </c>
      <c r="Q6" s="19" t="str">
        <f aca="false">IF((F6="c"),I6," ")</f>
        <v> </v>
      </c>
      <c r="R6" s="19" t="str">
        <f aca="false">IF((F6="o"),I6," ")</f>
        <v> </v>
      </c>
      <c r="S6" s="19" t="str">
        <f aca="false">IF((F6="w"),I6," ")</f>
        <v> </v>
      </c>
      <c r="T6" s="19" t="str">
        <f aca="false">IF((F6="p"),I6," ")</f>
        <v> </v>
      </c>
      <c r="U6" s="19" t="str">
        <f aca="false">IF((F6="m"),I6," ")</f>
        <v> </v>
      </c>
      <c r="V6" s="19" t="n">
        <f aca="false">IF((F6="g"),I6," ")</f>
        <v>420</v>
      </c>
      <c r="W6" s="29" t="str">
        <f aca="false">IF((F6="v"),I6," ")</f>
        <v> </v>
      </c>
      <c r="X6" s="19" t="str">
        <f aca="false">IF((F6="h"),I6," ")</f>
        <v> </v>
      </c>
      <c r="Y6" s="19" t="str">
        <f aca="false">IF((F6="a"),I6," ")</f>
        <v> </v>
      </c>
      <c r="Z6" s="19" t="str">
        <f aca="false">IF((F6="l"),I6," ")</f>
        <v> </v>
      </c>
      <c r="AA6" s="19" t="str">
        <f aca="false">IF((F6="y"),I6," ")</f>
        <v> </v>
      </c>
      <c r="AB6" s="19" t="str">
        <f aca="false">IF((F6="fa"),I6," ")</f>
        <v> </v>
      </c>
    </row>
    <row r="7" customFormat="false" ht="12" hidden="false" customHeight="false" outlineLevel="0" collapsed="false">
      <c r="A7" s="27"/>
      <c r="F7" s="58"/>
      <c r="G7" s="29"/>
      <c r="I7" s="6" t="str">
        <f aca="false">IF((G7&lt;&gt;0),G7-H7," ")</f>
        <v> </v>
      </c>
      <c r="J7" s="5"/>
      <c r="M7" s="7" t="str">
        <f aca="false">IF(G7&lt;&gt;0,G7-L7," ")</f>
        <v> </v>
      </c>
      <c r="N7" s="8" t="str">
        <f aca="false">IF((G7-L7)&lt;&gt;0,N$1-A7," ")</f>
        <v> </v>
      </c>
      <c r="O7" s="5"/>
      <c r="P7" s="19" t="str">
        <f aca="false">IF((F7="s"),I7," ")</f>
        <v> </v>
      </c>
      <c r="Q7" s="19" t="str">
        <f aca="false">IF((F7="c"),I7," ")</f>
        <v> </v>
      </c>
      <c r="R7" s="19" t="str">
        <f aca="false">IF((F7="o"),I7," ")</f>
        <v> </v>
      </c>
      <c r="S7" s="19" t="str">
        <f aca="false">IF((F7="w"),I7," ")</f>
        <v> </v>
      </c>
      <c r="T7" s="19" t="str">
        <f aca="false">IF((F7="p"),I7," ")</f>
        <v> </v>
      </c>
      <c r="U7" s="19" t="str">
        <f aca="false">IF((F7="m"),I7," ")</f>
        <v> </v>
      </c>
      <c r="V7" s="19" t="str">
        <f aca="false">IF((F7="g"),I7," ")</f>
        <v> </v>
      </c>
      <c r="W7" s="29" t="str">
        <f aca="false">IF((F7="v"),I7," ")</f>
        <v> </v>
      </c>
      <c r="X7" s="19" t="str">
        <f aca="false">IF((F7="h"),I7," ")</f>
        <v> </v>
      </c>
      <c r="Y7" s="19" t="str">
        <f aca="false">IF((F7="a"),I7," ")</f>
        <v> </v>
      </c>
      <c r="Z7" s="19" t="str">
        <f aca="false">IF((F7="l"),I7," ")</f>
        <v> </v>
      </c>
      <c r="AA7" s="19" t="str">
        <f aca="false">IF((F7="y"),I7," ")</f>
        <v> </v>
      </c>
      <c r="AB7" s="19" t="str">
        <f aca="false">IF((F7="fa"),I7," ")</f>
        <v> </v>
      </c>
    </row>
    <row r="8" customFormat="false" ht="12" hidden="false" customHeight="false" outlineLevel="0" collapsed="false">
      <c r="A8" s="27"/>
      <c r="F8" s="58"/>
      <c r="G8" s="29"/>
      <c r="I8" s="6" t="str">
        <f aca="false">IF((G8&lt;&gt;0),G8-H8," ")</f>
        <v> </v>
      </c>
      <c r="J8" s="5"/>
      <c r="M8" s="7" t="str">
        <f aca="false">IF(G8&lt;&gt;0,G8-L8," ")</f>
        <v> </v>
      </c>
      <c r="N8" s="8" t="str">
        <f aca="false">IF((G8-L8)&lt;&gt;0,N$1-A8," ")</f>
        <v> </v>
      </c>
      <c r="O8" s="5"/>
      <c r="P8" s="19" t="str">
        <f aca="false">IF((F8="s"),I8," ")</f>
        <v> </v>
      </c>
      <c r="Q8" s="19" t="str">
        <f aca="false">IF((F8="c"),I8," ")</f>
        <v> </v>
      </c>
      <c r="R8" s="19" t="str">
        <f aca="false">IF((F8="o"),I8," ")</f>
        <v> </v>
      </c>
      <c r="S8" s="19" t="str">
        <f aca="false">IF((F8="w"),I8," ")</f>
        <v> </v>
      </c>
      <c r="T8" s="19" t="str">
        <f aca="false">IF((F8="p"),I8," ")</f>
        <v> </v>
      </c>
      <c r="U8" s="19" t="str">
        <f aca="false">IF((F8="m"),I8," ")</f>
        <v> </v>
      </c>
      <c r="V8" s="19" t="str">
        <f aca="false">IF((F8="g"),I8," ")</f>
        <v> </v>
      </c>
      <c r="W8" s="29" t="str">
        <f aca="false">IF((F8="v"),I8," ")</f>
        <v> </v>
      </c>
      <c r="X8" s="19" t="str">
        <f aca="false">IF((F8="h"),I8," ")</f>
        <v> </v>
      </c>
      <c r="Y8" s="19" t="str">
        <f aca="false">IF((F8="a"),I8," ")</f>
        <v> </v>
      </c>
      <c r="Z8" s="19" t="str">
        <f aca="false">IF((F8="l"),I8," ")</f>
        <v> </v>
      </c>
      <c r="AA8" s="19" t="str">
        <f aca="false">IF((F8="y"),I8," ")</f>
        <v> </v>
      </c>
      <c r="AB8" s="19" t="str">
        <f aca="false">IF((F8="fa"),I8," ")</f>
        <v> </v>
      </c>
    </row>
    <row r="9" customFormat="false" ht="12" hidden="false" customHeight="false" outlineLevel="0" collapsed="false">
      <c r="A9" s="27"/>
      <c r="F9" s="58"/>
      <c r="G9" s="29"/>
      <c r="I9" s="6" t="str">
        <f aca="false">IF((G9&lt;&gt;0),G9-H9," ")</f>
        <v> </v>
      </c>
      <c r="J9" s="5"/>
      <c r="M9" s="7" t="str">
        <f aca="false">IF(G9&lt;&gt;0,G9-L9," ")</f>
        <v> </v>
      </c>
      <c r="N9" s="8" t="str">
        <f aca="false">IF((G9-L9)&lt;&gt;0,N$1-A9," ")</f>
        <v> </v>
      </c>
      <c r="O9" s="5"/>
      <c r="P9" s="19" t="str">
        <f aca="false">IF((F9="s"),I9," ")</f>
        <v> </v>
      </c>
      <c r="Q9" s="19" t="str">
        <f aca="false">IF((F9="c"),I9," ")</f>
        <v> </v>
      </c>
      <c r="R9" s="19" t="str">
        <f aca="false">IF((F9="o"),I9," ")</f>
        <v> </v>
      </c>
      <c r="S9" s="19" t="str">
        <f aca="false">IF((F9="w"),I9," ")</f>
        <v> </v>
      </c>
      <c r="T9" s="19" t="str">
        <f aca="false">IF((F9="p"),I9," ")</f>
        <v> </v>
      </c>
      <c r="U9" s="19" t="str">
        <f aca="false">IF((F9="m"),I9," ")</f>
        <v> </v>
      </c>
      <c r="V9" s="19" t="str">
        <f aca="false">IF((F9="g"),I9," ")</f>
        <v> </v>
      </c>
      <c r="W9" s="29" t="str">
        <f aca="false">IF((F9="v"),I9," ")</f>
        <v> </v>
      </c>
      <c r="X9" s="19" t="str">
        <f aca="false">IF((F9="h"),I9," ")</f>
        <v> </v>
      </c>
      <c r="Y9" s="19" t="str">
        <f aca="false">IF((F9="a"),I9," ")</f>
        <v> </v>
      </c>
      <c r="Z9" s="19" t="str">
        <f aca="false">IF((F9="l"),I9," ")</f>
        <v> </v>
      </c>
      <c r="AA9" s="19" t="str">
        <f aca="false">IF((F9="y"),I9," ")</f>
        <v> </v>
      </c>
      <c r="AB9" s="19" t="str">
        <f aca="false">IF((F9="fa"),I9," ")</f>
        <v> </v>
      </c>
    </row>
    <row r="10" customFormat="false" ht="12" hidden="false" customHeight="false" outlineLevel="0" collapsed="false">
      <c r="A10" s="27"/>
      <c r="F10" s="58"/>
      <c r="G10" s="29"/>
      <c r="I10" s="6" t="str">
        <f aca="false">IF((G10&lt;&gt;0),G10-H10," ")</f>
        <v> </v>
      </c>
      <c r="J10" s="5"/>
      <c r="M10" s="7" t="str">
        <f aca="false">IF(G10&lt;&gt;0,G10-L10," ")</f>
        <v> </v>
      </c>
      <c r="N10" s="8" t="str">
        <f aca="false">IF((G10-L10)&lt;&gt;0,N$1-A10," ")</f>
        <v> </v>
      </c>
      <c r="O10" s="5"/>
      <c r="P10" s="19" t="str">
        <f aca="false">IF((F10="s"),I10," ")</f>
        <v> </v>
      </c>
      <c r="Q10" s="19" t="str">
        <f aca="false">IF((F10="c"),I10," ")</f>
        <v> </v>
      </c>
      <c r="R10" s="19" t="str">
        <f aca="false">IF((F10="o"),I10," ")</f>
        <v> </v>
      </c>
      <c r="S10" s="19" t="str">
        <f aca="false">IF((F10="w"),I10," ")</f>
        <v> </v>
      </c>
      <c r="T10" s="19" t="str">
        <f aca="false">IF((F10="p"),I10," ")</f>
        <v> </v>
      </c>
      <c r="U10" s="19" t="str">
        <f aca="false">IF((F10="m"),I10," ")</f>
        <v> </v>
      </c>
      <c r="V10" s="19" t="str">
        <f aca="false">IF((F10="g"),I10," ")</f>
        <v> </v>
      </c>
      <c r="W10" s="29" t="str">
        <f aca="false">IF((F10="v"),I10," ")</f>
        <v> </v>
      </c>
      <c r="X10" s="19" t="str">
        <f aca="false">IF((F10="h"),I10," ")</f>
        <v> </v>
      </c>
      <c r="Y10" s="19" t="str">
        <f aca="false">IF((F10="a"),I10," ")</f>
        <v> </v>
      </c>
      <c r="Z10" s="19" t="str">
        <f aca="false">IF((F10="l"),I10," ")</f>
        <v> </v>
      </c>
      <c r="AA10" s="19" t="str">
        <f aca="false">IF((F10="y"),I10," ")</f>
        <v> </v>
      </c>
      <c r="AB10" s="19" t="str">
        <f aca="false">IF((F10="fa"),I10," ")</f>
        <v> </v>
      </c>
    </row>
    <row r="11" customFormat="false" ht="12" hidden="false" customHeight="false" outlineLevel="0" collapsed="false">
      <c r="A11" s="27"/>
      <c r="F11" s="58"/>
      <c r="G11" s="29"/>
      <c r="I11" s="6" t="str">
        <f aca="false">IF((G11&lt;&gt;0),G11-H11," ")</f>
        <v> </v>
      </c>
      <c r="J11" s="5"/>
      <c r="M11" s="7" t="str">
        <f aca="false">IF(G11&lt;&gt;0,G11-L11," ")</f>
        <v> </v>
      </c>
      <c r="N11" s="8" t="str">
        <f aca="false">IF((G11-L11)&lt;&gt;0,N$1-A11," ")</f>
        <v> </v>
      </c>
      <c r="O11" s="5"/>
      <c r="P11" s="19" t="str">
        <f aca="false">IF((F11="s"),I11," ")</f>
        <v> </v>
      </c>
      <c r="Q11" s="19" t="str">
        <f aca="false">IF((F11="c"),I11," ")</f>
        <v> </v>
      </c>
      <c r="R11" s="19" t="str">
        <f aca="false">IF((F11="o"),I11," ")</f>
        <v> </v>
      </c>
      <c r="S11" s="19" t="str">
        <f aca="false">IF((F11="w"),I11," ")</f>
        <v> </v>
      </c>
      <c r="T11" s="19" t="str">
        <f aca="false">IF((F11="p"),I11," ")</f>
        <v> </v>
      </c>
      <c r="U11" s="19" t="str">
        <f aca="false">IF((F11="m"),I11," ")</f>
        <v> </v>
      </c>
      <c r="V11" s="19" t="str">
        <f aca="false">IF((F11="g"),I11," ")</f>
        <v> </v>
      </c>
      <c r="W11" s="29" t="str">
        <f aca="false">IF((F11="v"),I11," ")</f>
        <v> </v>
      </c>
      <c r="X11" s="19" t="str">
        <f aca="false">IF((F11="h"),I11," ")</f>
        <v> </v>
      </c>
      <c r="Y11" s="19" t="str">
        <f aca="false">IF((F11="a"),I11," ")</f>
        <v> </v>
      </c>
      <c r="Z11" s="19" t="str">
        <f aca="false">IF((F11="l"),I11," ")</f>
        <v> </v>
      </c>
      <c r="AA11" s="19" t="str">
        <f aca="false">IF((F11="y"),I11," ")</f>
        <v> </v>
      </c>
      <c r="AB11" s="19" t="str">
        <f aca="false">IF((F11="fa"),I11," ")</f>
        <v> </v>
      </c>
    </row>
    <row r="12" customFormat="false" ht="12" hidden="false" customHeight="false" outlineLevel="0" collapsed="false">
      <c r="A12" s="27"/>
      <c r="F12" s="58"/>
      <c r="G12" s="29"/>
      <c r="I12" s="6" t="str">
        <f aca="false">IF((G12&lt;&gt;0),G12-H12," ")</f>
        <v> </v>
      </c>
      <c r="J12" s="5"/>
      <c r="M12" s="7" t="str">
        <f aca="false">IF(G12&lt;&gt;0,G12-L12," ")</f>
        <v> </v>
      </c>
      <c r="N12" s="8" t="str">
        <f aca="false">IF((G12-L12)&lt;&gt;0,N$1-A12," ")</f>
        <v> </v>
      </c>
      <c r="O12" s="5"/>
      <c r="P12" s="19" t="str">
        <f aca="false">IF((F12="s"),I12," ")</f>
        <v> </v>
      </c>
      <c r="Q12" s="19" t="str">
        <f aca="false">IF((F12="c"),I12," ")</f>
        <v> </v>
      </c>
      <c r="R12" s="19" t="str">
        <f aca="false">IF((F12="o"),I12," ")</f>
        <v> </v>
      </c>
      <c r="S12" s="19" t="str">
        <f aca="false">IF((F12="w"),I12," ")</f>
        <v> </v>
      </c>
      <c r="T12" s="19" t="str">
        <f aca="false">IF((F12="p"),I12," ")</f>
        <v> </v>
      </c>
      <c r="U12" s="19" t="str">
        <f aca="false">IF((F12="m"),I12," ")</f>
        <v> </v>
      </c>
      <c r="V12" s="19" t="str">
        <f aca="false">IF((F12="g"),I12," ")</f>
        <v> </v>
      </c>
      <c r="W12" s="29" t="str">
        <f aca="false">IF((F12="v"),I12," ")</f>
        <v> </v>
      </c>
      <c r="X12" s="19" t="str">
        <f aca="false">IF((F12="h"),I12," ")</f>
        <v> </v>
      </c>
      <c r="Y12" s="19" t="str">
        <f aca="false">IF((F12="a"),I12," ")</f>
        <v> </v>
      </c>
      <c r="Z12" s="19" t="str">
        <f aca="false">IF((F12="l"),I12," ")</f>
        <v> </v>
      </c>
      <c r="AA12" s="19" t="str">
        <f aca="false">IF((F12="y"),I12," ")</f>
        <v> </v>
      </c>
      <c r="AB12" s="19" t="str">
        <f aca="false">IF((F12="fa"),I12," ")</f>
        <v> </v>
      </c>
    </row>
    <row r="13" customFormat="false" ht="12" hidden="false" customHeight="false" outlineLevel="0" collapsed="false">
      <c r="A13" s="27"/>
      <c r="F13" s="58"/>
      <c r="G13" s="29"/>
      <c r="I13" s="6" t="str">
        <f aca="false">IF((G13&lt;&gt;0),G13-H13," ")</f>
        <v> </v>
      </c>
      <c r="J13" s="5"/>
      <c r="M13" s="7" t="str">
        <f aca="false">IF(G13&lt;&gt;0,G13-L13," ")</f>
        <v> </v>
      </c>
      <c r="N13" s="8" t="str">
        <f aca="false">IF((G13-L13)&lt;&gt;0,N$1-A13," ")</f>
        <v> </v>
      </c>
      <c r="O13" s="5"/>
      <c r="P13" s="19" t="str">
        <f aca="false">IF((F13="s"),I13," ")</f>
        <v> </v>
      </c>
      <c r="Q13" s="19" t="str">
        <f aca="false">IF((F13="c"),I13," ")</f>
        <v> </v>
      </c>
      <c r="R13" s="19" t="str">
        <f aca="false">IF((F13="o"),I13," ")</f>
        <v> </v>
      </c>
      <c r="S13" s="19" t="str">
        <f aca="false">IF((F13="w"),I13," ")</f>
        <v> </v>
      </c>
      <c r="T13" s="19" t="str">
        <f aca="false">IF((F13="p"),I13," ")</f>
        <v> </v>
      </c>
      <c r="U13" s="19" t="str">
        <f aca="false">IF((F13="m"),I13," ")</f>
        <v> </v>
      </c>
      <c r="V13" s="19" t="str">
        <f aca="false">IF((F13="g"),I13," ")</f>
        <v> </v>
      </c>
      <c r="W13" s="29" t="str">
        <f aca="false">IF((F13="v"),I13," ")</f>
        <v> </v>
      </c>
      <c r="X13" s="19" t="str">
        <f aca="false">IF((F13="h"),I13," ")</f>
        <v> </v>
      </c>
      <c r="Y13" s="19" t="str">
        <f aca="false">IF((F13="a"),I13," ")</f>
        <v> </v>
      </c>
      <c r="Z13" s="19" t="str">
        <f aca="false">IF((F13="l"),I13," ")</f>
        <v> </v>
      </c>
      <c r="AA13" s="19" t="str">
        <f aca="false">IF((F13="y"),I13," ")</f>
        <v> </v>
      </c>
      <c r="AB13" s="19" t="str">
        <f aca="false">IF((F13="fa"),I13," ")</f>
        <v> </v>
      </c>
    </row>
    <row r="14" customFormat="false" ht="12" hidden="false" customHeight="false" outlineLevel="0" collapsed="false">
      <c r="A14" s="27"/>
      <c r="F14" s="58"/>
      <c r="G14" s="29"/>
      <c r="I14" s="6" t="str">
        <f aca="false">IF((G14&lt;&gt;0),G14-H14," ")</f>
        <v> </v>
      </c>
      <c r="J14" s="5"/>
      <c r="M14" s="7" t="str">
        <f aca="false">IF(G14&lt;&gt;0,G14-L14," ")</f>
        <v> </v>
      </c>
      <c r="N14" s="8" t="str">
        <f aca="false">IF((G14-L14)&lt;&gt;0,N$1-A14," ")</f>
        <v> </v>
      </c>
      <c r="O14" s="5"/>
      <c r="P14" s="19" t="str">
        <f aca="false">IF((F14="s"),I14," ")</f>
        <v> </v>
      </c>
      <c r="Q14" s="19" t="str">
        <f aca="false">IF((F14="c"),I14," ")</f>
        <v> </v>
      </c>
      <c r="R14" s="19" t="str">
        <f aca="false">IF((F14="o"),I14," ")</f>
        <v> </v>
      </c>
      <c r="S14" s="19" t="str">
        <f aca="false">IF((F14="w"),I14," ")</f>
        <v> </v>
      </c>
      <c r="T14" s="19" t="str">
        <f aca="false">IF((F14="p"),I14," ")</f>
        <v> </v>
      </c>
      <c r="U14" s="19" t="str">
        <f aca="false">IF((F14="m"),I14," ")</f>
        <v> </v>
      </c>
      <c r="V14" s="19" t="str">
        <f aca="false">IF((F14="g"),I14," ")</f>
        <v> </v>
      </c>
      <c r="W14" s="29" t="str">
        <f aca="false">IF((F14="v"),I14," ")</f>
        <v> </v>
      </c>
      <c r="X14" s="19" t="str">
        <f aca="false">IF((F14="h"),I14," ")</f>
        <v> </v>
      </c>
      <c r="Y14" s="19" t="str">
        <f aca="false">IF((F14="a"),I14," ")</f>
        <v> </v>
      </c>
      <c r="Z14" s="19" t="str">
        <f aca="false">IF((F14="l"),I14," ")</f>
        <v> </v>
      </c>
      <c r="AA14" s="19" t="str">
        <f aca="false">IF((F14="y"),I14," ")</f>
        <v> </v>
      </c>
      <c r="AB14" s="19" t="str">
        <f aca="false">IF((F14="fa"),I14," ")</f>
        <v> </v>
      </c>
    </row>
    <row r="15" customFormat="false" ht="12" hidden="false" customHeight="false" outlineLevel="0" collapsed="false">
      <c r="A15" s="27"/>
      <c r="F15" s="58"/>
      <c r="G15" s="29"/>
      <c r="I15" s="6" t="str">
        <f aca="false">IF((G15&lt;&gt;0),G15-H15," ")</f>
        <v> </v>
      </c>
      <c r="J15" s="5"/>
      <c r="M15" s="7" t="str">
        <f aca="false">IF(G15&lt;&gt;0,G15-L15," ")</f>
        <v> </v>
      </c>
      <c r="N15" s="8" t="str">
        <f aca="false">IF((G15-L15)&lt;&gt;0,N$1-A15," ")</f>
        <v> </v>
      </c>
      <c r="O15" s="5"/>
      <c r="P15" s="19" t="str">
        <f aca="false">IF((F15="s"),I15," ")</f>
        <v> </v>
      </c>
      <c r="Q15" s="19" t="str">
        <f aca="false">IF((F15="c"),I15," ")</f>
        <v> </v>
      </c>
      <c r="R15" s="19" t="str">
        <f aca="false">IF((F15="o"),I15," ")</f>
        <v> </v>
      </c>
      <c r="S15" s="19" t="str">
        <f aca="false">IF((F15="w"),I15," ")</f>
        <v> </v>
      </c>
      <c r="T15" s="19" t="str">
        <f aca="false">IF((F15="p"),I15," ")</f>
        <v> </v>
      </c>
      <c r="U15" s="19" t="str">
        <f aca="false">IF((F15="m"),I15," ")</f>
        <v> </v>
      </c>
      <c r="V15" s="19" t="str">
        <f aca="false">IF((F15="g"),I15," ")</f>
        <v> </v>
      </c>
      <c r="W15" s="29" t="str">
        <f aca="false">IF((F15="v"),I15," ")</f>
        <v> </v>
      </c>
      <c r="X15" s="19" t="str">
        <f aca="false">IF((F15="h"),I15," ")</f>
        <v> </v>
      </c>
      <c r="Y15" s="19" t="str">
        <f aca="false">IF((F15="a"),I15," ")</f>
        <v> </v>
      </c>
      <c r="Z15" s="19" t="str">
        <f aca="false">IF((F15="l"),I15," ")</f>
        <v> </v>
      </c>
      <c r="AA15" s="19" t="str">
        <f aca="false">IF((F15="y"),I15," ")</f>
        <v> </v>
      </c>
      <c r="AB15" s="19" t="str">
        <f aca="false">IF((F15="fa"),I15," ")</f>
        <v> </v>
      </c>
    </row>
    <row r="16" customFormat="false" ht="12" hidden="false" customHeight="false" outlineLevel="0" collapsed="false">
      <c r="A16" s="27"/>
      <c r="F16" s="58"/>
      <c r="G16" s="29"/>
      <c r="I16" s="6" t="str">
        <f aca="false">IF((G16&lt;&gt;0),G16-H16," ")</f>
        <v> </v>
      </c>
      <c r="J16" s="5"/>
      <c r="M16" s="7" t="str">
        <f aca="false">IF(G16&lt;&gt;0,G16-L16," ")</f>
        <v> </v>
      </c>
      <c r="N16" s="8" t="str">
        <f aca="false">IF((G16-L16)&lt;&gt;0,N$1-A16," ")</f>
        <v> </v>
      </c>
      <c r="O16" s="5"/>
      <c r="P16" s="19" t="str">
        <f aca="false">IF((F16="s"),I16," ")</f>
        <v> </v>
      </c>
      <c r="Q16" s="19" t="str">
        <f aca="false">IF((F16="c"),I16," ")</f>
        <v> </v>
      </c>
      <c r="R16" s="19" t="str">
        <f aca="false">IF((F16="o"),I16," ")</f>
        <v> </v>
      </c>
      <c r="S16" s="19" t="str">
        <f aca="false">IF((F16="w"),I16," ")</f>
        <v> </v>
      </c>
      <c r="T16" s="19" t="str">
        <f aca="false">IF((F16="p"),I16," ")</f>
        <v> </v>
      </c>
      <c r="U16" s="19" t="str">
        <f aca="false">IF((F16="m"),I16," ")</f>
        <v> </v>
      </c>
      <c r="V16" s="19" t="str">
        <f aca="false">IF((F16="g"),I16," ")</f>
        <v> </v>
      </c>
      <c r="W16" s="29" t="str">
        <f aca="false">IF((F16="v"),I16," ")</f>
        <v> </v>
      </c>
      <c r="X16" s="19" t="str">
        <f aca="false">IF((F16="h"),I16," ")</f>
        <v> </v>
      </c>
      <c r="Y16" s="19" t="str">
        <f aca="false">IF((F16="a"),I16," ")</f>
        <v> </v>
      </c>
      <c r="Z16" s="19" t="str">
        <f aca="false">IF((F16="l"),I16," ")</f>
        <v> </v>
      </c>
      <c r="AA16" s="19" t="str">
        <f aca="false">IF((F16="y"),I16," ")</f>
        <v> </v>
      </c>
      <c r="AB16" s="19" t="str">
        <f aca="false">IF((F16="fa"),I16," ")</f>
        <v> </v>
      </c>
    </row>
    <row r="17" customFormat="false" ht="12" hidden="false" customHeight="false" outlineLevel="0" collapsed="false">
      <c r="A17" s="27"/>
      <c r="F17" s="58"/>
      <c r="G17" s="29"/>
      <c r="I17" s="6" t="str">
        <f aca="false">IF((G17&lt;&gt;0),G17-H17," ")</f>
        <v> </v>
      </c>
      <c r="J17" s="5"/>
      <c r="M17" s="7" t="str">
        <f aca="false">IF(G17&lt;&gt;0,G17-L17," ")</f>
        <v> </v>
      </c>
      <c r="N17" s="8" t="str">
        <f aca="false">IF((G17-L17)&lt;&gt;0,N$1-A17," ")</f>
        <v> </v>
      </c>
      <c r="O17" s="5"/>
      <c r="P17" s="19" t="str">
        <f aca="false">IF((F17="s"),I17," ")</f>
        <v> </v>
      </c>
      <c r="Q17" s="19" t="str">
        <f aca="false">IF((F17="c"),I17," ")</f>
        <v> </v>
      </c>
      <c r="R17" s="19" t="str">
        <f aca="false">IF((F17="o"),I17," ")</f>
        <v> </v>
      </c>
      <c r="S17" s="19" t="str">
        <f aca="false">IF((F17="w"),I17," ")</f>
        <v> </v>
      </c>
      <c r="T17" s="19" t="str">
        <f aca="false">IF((F17="p"),I17," ")</f>
        <v> </v>
      </c>
      <c r="U17" s="19" t="str">
        <f aca="false">IF((F17="m"),I17," ")</f>
        <v> </v>
      </c>
      <c r="V17" s="19" t="str">
        <f aca="false">IF((F17="g"),I17," ")</f>
        <v> </v>
      </c>
      <c r="W17" s="29" t="str">
        <f aca="false">IF((F17="v"),I17," ")</f>
        <v> </v>
      </c>
      <c r="X17" s="19" t="str">
        <f aca="false">IF((F17="h"),I17," ")</f>
        <v> </v>
      </c>
      <c r="Y17" s="19" t="str">
        <f aca="false">IF((F17="a"),I17," ")</f>
        <v> </v>
      </c>
      <c r="Z17" s="19" t="str">
        <f aca="false">IF((F17="l"),I17," ")</f>
        <v> </v>
      </c>
      <c r="AA17" s="19" t="str">
        <f aca="false">IF((F17="y"),I17," ")</f>
        <v> </v>
      </c>
      <c r="AB17" s="19" t="str">
        <f aca="false">IF((F17="fa"),I17," ")</f>
        <v> </v>
      </c>
    </row>
    <row r="18" customFormat="false" ht="12" hidden="false" customHeight="false" outlineLevel="0" collapsed="false">
      <c r="A18" s="27"/>
      <c r="F18" s="58"/>
      <c r="G18" s="29"/>
      <c r="I18" s="6" t="str">
        <f aca="false">IF((G18&lt;&gt;0),G18-H18," ")</f>
        <v> </v>
      </c>
      <c r="J18" s="5"/>
      <c r="M18" s="7" t="str">
        <f aca="false">IF(G18&lt;&gt;0,G18-L18," ")</f>
        <v> </v>
      </c>
      <c r="N18" s="8" t="str">
        <f aca="false">IF((G18-L18)&lt;&gt;0,N$1-A18," ")</f>
        <v> </v>
      </c>
      <c r="O18" s="5"/>
      <c r="P18" s="19" t="str">
        <f aca="false">IF((F18="s"),I18," ")</f>
        <v> </v>
      </c>
      <c r="Q18" s="19" t="str">
        <f aca="false">IF((F18="c"),I18," ")</f>
        <v> </v>
      </c>
      <c r="R18" s="19" t="str">
        <f aca="false">IF((F18="o"),I18," ")</f>
        <v> </v>
      </c>
      <c r="S18" s="19" t="str">
        <f aca="false">IF((F18="w"),I18," ")</f>
        <v> </v>
      </c>
      <c r="T18" s="19" t="str">
        <f aca="false">IF((F18="p"),I18," ")</f>
        <v> </v>
      </c>
      <c r="U18" s="19" t="str">
        <f aca="false">IF((F18="m"),I18," ")</f>
        <v> </v>
      </c>
      <c r="V18" s="19" t="str">
        <f aca="false">IF((F18="g"),I18," ")</f>
        <v> </v>
      </c>
      <c r="W18" s="29" t="str">
        <f aca="false">IF((F18="v"),I18," ")</f>
        <v> </v>
      </c>
      <c r="X18" s="19" t="str">
        <f aca="false">IF((F18="h"),I18," ")</f>
        <v> </v>
      </c>
      <c r="Y18" s="19" t="str">
        <f aca="false">IF((F18="a"),I18," ")</f>
        <v> </v>
      </c>
      <c r="Z18" s="19" t="str">
        <f aca="false">IF((F18="l"),I18," ")</f>
        <v> </v>
      </c>
      <c r="AA18" s="19" t="str">
        <f aca="false">IF((F18="y"),I18," ")</f>
        <v> </v>
      </c>
      <c r="AB18" s="19" t="str">
        <f aca="false">IF((F18="fa"),I18," ")</f>
        <v> </v>
      </c>
    </row>
    <row r="19" customFormat="false" ht="12" hidden="false" customHeight="false" outlineLevel="0" collapsed="false">
      <c r="A19" s="27"/>
      <c r="F19" s="58"/>
      <c r="G19" s="29"/>
      <c r="I19" s="6" t="str">
        <f aca="false">IF((G19&lt;&gt;0),G19-H19," ")</f>
        <v> </v>
      </c>
      <c r="J19" s="5"/>
      <c r="M19" s="7" t="str">
        <f aca="false">IF(G19&lt;&gt;0,G19-L19," ")</f>
        <v> </v>
      </c>
      <c r="N19" s="8" t="str">
        <f aca="false">IF((G19-L19)&lt;&gt;0,N$1-A19," ")</f>
        <v> </v>
      </c>
      <c r="O19" s="5"/>
      <c r="P19" s="19" t="str">
        <f aca="false">IF((F19="s"),I19," ")</f>
        <v> </v>
      </c>
      <c r="Q19" s="19" t="str">
        <f aca="false">IF((F19="c"),I19," ")</f>
        <v> </v>
      </c>
      <c r="R19" s="19" t="str">
        <f aca="false">IF((F19="o"),I19," ")</f>
        <v> </v>
      </c>
      <c r="S19" s="19" t="str">
        <f aca="false">IF((F19="w"),I19," ")</f>
        <v> </v>
      </c>
      <c r="T19" s="19" t="str">
        <f aca="false">IF((F19="p"),I19," ")</f>
        <v> </v>
      </c>
      <c r="U19" s="19" t="str">
        <f aca="false">IF((F19="m"),I19," ")</f>
        <v> </v>
      </c>
      <c r="V19" s="19" t="str">
        <f aca="false">IF((F19="g"),I19," ")</f>
        <v> </v>
      </c>
      <c r="W19" s="29" t="str">
        <f aca="false">IF((F19="v"),I19," ")</f>
        <v> </v>
      </c>
      <c r="X19" s="19" t="str">
        <f aca="false">IF((F19="h"),I19," ")</f>
        <v> </v>
      </c>
      <c r="Y19" s="19" t="str">
        <f aca="false">IF((F19="a"),I19," ")</f>
        <v> </v>
      </c>
      <c r="Z19" s="19" t="str">
        <f aca="false">IF((F19="l"),I19," ")</f>
        <v> </v>
      </c>
      <c r="AA19" s="19" t="str">
        <f aca="false">IF((F19="y"),I19," ")</f>
        <v> </v>
      </c>
      <c r="AB19" s="19" t="str">
        <f aca="false">IF((F19="fa"),I19," ")</f>
        <v> </v>
      </c>
    </row>
    <row r="20" customFormat="false" ht="12" hidden="false" customHeight="false" outlineLevel="0" collapsed="false">
      <c r="A20" s="27"/>
      <c r="F20" s="58"/>
      <c r="G20" s="29"/>
      <c r="I20" s="6" t="str">
        <f aca="false">IF((G20&lt;&gt;0),G20-H20," ")</f>
        <v> </v>
      </c>
      <c r="J20" s="5"/>
      <c r="M20" s="7" t="str">
        <f aca="false">IF(G20&lt;&gt;0,G20-L20," ")</f>
        <v> </v>
      </c>
      <c r="N20" s="8" t="str">
        <f aca="false">IF((G20-L20)&lt;&gt;0,N$1-A20," ")</f>
        <v> </v>
      </c>
      <c r="O20" s="5"/>
      <c r="P20" s="19" t="str">
        <f aca="false">IF((F20="s"),I20," ")</f>
        <v> </v>
      </c>
      <c r="Q20" s="19" t="str">
        <f aca="false">IF((F20="c"),I20," ")</f>
        <v> </v>
      </c>
      <c r="R20" s="19" t="str">
        <f aca="false">IF((F20="o"),I20," ")</f>
        <v> </v>
      </c>
      <c r="S20" s="19" t="str">
        <f aca="false">IF((F20="w"),I20," ")</f>
        <v> </v>
      </c>
      <c r="T20" s="19" t="str">
        <f aca="false">IF((F20="p"),I20," ")</f>
        <v> </v>
      </c>
      <c r="U20" s="19" t="str">
        <f aca="false">IF((F20="m"),I20," ")</f>
        <v> </v>
      </c>
      <c r="V20" s="19" t="str">
        <f aca="false">IF((F20="g"),I20," ")</f>
        <v> </v>
      </c>
      <c r="W20" s="29" t="str">
        <f aca="false">IF((F20="v"),I20," ")</f>
        <v> </v>
      </c>
      <c r="X20" s="19" t="str">
        <f aca="false">IF((F20="h"),I20," ")</f>
        <v> </v>
      </c>
      <c r="Y20" s="19" t="str">
        <f aca="false">IF((F20="a"),I20," ")</f>
        <v> </v>
      </c>
      <c r="Z20" s="19" t="str">
        <f aca="false">IF((F20="l"),I20," ")</f>
        <v> </v>
      </c>
      <c r="AA20" s="19" t="str">
        <f aca="false">IF((F20="y"),I20," ")</f>
        <v> </v>
      </c>
      <c r="AB20" s="19" t="str">
        <f aca="false">IF((F20="fa"),I20," ")</f>
        <v> </v>
      </c>
    </row>
    <row r="21" customFormat="false" ht="12" hidden="false" customHeight="false" outlineLevel="0" collapsed="false">
      <c r="A21" s="27"/>
      <c r="F21" s="58"/>
      <c r="G21" s="29"/>
      <c r="I21" s="6" t="str">
        <f aca="false">IF((G21&lt;&gt;0),G21-H21," ")</f>
        <v> </v>
      </c>
      <c r="J21" s="5"/>
      <c r="M21" s="7" t="str">
        <f aca="false">IF(G21&lt;&gt;0,G21-L21," ")</f>
        <v> </v>
      </c>
      <c r="N21" s="8" t="str">
        <f aca="false">IF((G21-L21)&lt;&gt;0,N$1-A21," ")</f>
        <v> </v>
      </c>
      <c r="O21" s="5"/>
      <c r="P21" s="19" t="str">
        <f aca="false">IF((F21="s"),I21," ")</f>
        <v> </v>
      </c>
      <c r="Q21" s="19" t="str">
        <f aca="false">IF((F21="c"),I21," ")</f>
        <v> </v>
      </c>
      <c r="R21" s="19" t="str">
        <f aca="false">IF((F21="o"),I21," ")</f>
        <v> </v>
      </c>
      <c r="S21" s="19" t="str">
        <f aca="false">IF((F21="w"),I21," ")</f>
        <v> </v>
      </c>
      <c r="T21" s="19" t="str">
        <f aca="false">IF((F21="p"),I21," ")</f>
        <v> </v>
      </c>
      <c r="U21" s="19" t="str">
        <f aca="false">IF((F21="m"),I21," ")</f>
        <v> </v>
      </c>
      <c r="V21" s="19" t="str">
        <f aca="false">IF((F21="g"),I21," ")</f>
        <v> </v>
      </c>
      <c r="W21" s="29" t="str">
        <f aca="false">IF((F21="v"),I21," ")</f>
        <v> </v>
      </c>
      <c r="X21" s="19" t="str">
        <f aca="false">IF((F21="h"),I21," ")</f>
        <v> </v>
      </c>
      <c r="Y21" s="19" t="str">
        <f aca="false">IF((F21="a"),I21," ")</f>
        <v> </v>
      </c>
      <c r="Z21" s="19" t="str">
        <f aca="false">IF((F21="l"),I21," ")</f>
        <v> </v>
      </c>
      <c r="AA21" s="19" t="str">
        <f aca="false">IF((F21="y"),I21," ")</f>
        <v> </v>
      </c>
      <c r="AB21" s="19" t="str">
        <f aca="false">IF((F21="fa"),I21," ")</f>
        <v> </v>
      </c>
    </row>
    <row r="22" customFormat="false" ht="12" hidden="false" customHeight="false" outlineLevel="0" collapsed="false">
      <c r="A22" s="27"/>
      <c r="F22" s="58"/>
      <c r="G22" s="29"/>
      <c r="I22" s="6" t="str">
        <f aca="false">IF((G22&lt;&gt;0),G22-H22," ")</f>
        <v> </v>
      </c>
      <c r="J22" s="5"/>
      <c r="M22" s="7" t="str">
        <f aca="false">IF(G22&lt;&gt;0,G22-L22," ")</f>
        <v> </v>
      </c>
      <c r="N22" s="8" t="str">
        <f aca="false">IF((G22-L22)&lt;&gt;0,N$1-A22," ")</f>
        <v> </v>
      </c>
      <c r="O22" s="5"/>
      <c r="P22" s="19" t="str">
        <f aca="false">IF((F22="s"),I22," ")</f>
        <v> </v>
      </c>
      <c r="Q22" s="19" t="str">
        <f aca="false">IF((F22="c"),I22," ")</f>
        <v> </v>
      </c>
      <c r="R22" s="19" t="str">
        <f aca="false">IF((F22="o"),I22," ")</f>
        <v> </v>
      </c>
      <c r="S22" s="19" t="str">
        <f aca="false">IF((F22="w"),I22," ")</f>
        <v> </v>
      </c>
      <c r="T22" s="19" t="str">
        <f aca="false">IF((F22="p"),I22," ")</f>
        <v> </v>
      </c>
      <c r="U22" s="19" t="str">
        <f aca="false">IF((F22="m"),I22," ")</f>
        <v> </v>
      </c>
      <c r="V22" s="19" t="str">
        <f aca="false">IF((F22="g"),I22," ")</f>
        <v> </v>
      </c>
      <c r="W22" s="29" t="str">
        <f aca="false">IF((F22="v"),I22," ")</f>
        <v> </v>
      </c>
      <c r="X22" s="19" t="str">
        <f aca="false">IF((F22="h"),I22," ")</f>
        <v> </v>
      </c>
      <c r="Y22" s="19" t="str">
        <f aca="false">IF((F22="a"),I22," ")</f>
        <v> </v>
      </c>
      <c r="Z22" s="19" t="str">
        <f aca="false">IF((F22="l"),I22," ")</f>
        <v> </v>
      </c>
      <c r="AA22" s="19" t="str">
        <f aca="false">IF((F22="y"),I22," ")</f>
        <v> </v>
      </c>
      <c r="AB22" s="19" t="str">
        <f aca="false">IF((F22="fa"),I22," ")</f>
        <v> </v>
      </c>
    </row>
    <row r="23" customFormat="false" ht="12" hidden="false" customHeight="false" outlineLevel="0" collapsed="false">
      <c r="A23" s="27"/>
      <c r="F23" s="58"/>
      <c r="G23" s="29"/>
      <c r="I23" s="6" t="str">
        <f aca="false">IF((G23&lt;&gt;0),G23-H23," ")</f>
        <v> </v>
      </c>
      <c r="J23" s="5"/>
      <c r="M23" s="7" t="str">
        <f aca="false">IF(G23&lt;&gt;0,G23-L23," ")</f>
        <v> </v>
      </c>
      <c r="N23" s="8" t="str">
        <f aca="false">IF((G23-L23)&lt;&gt;0,N$1-A23," ")</f>
        <v> </v>
      </c>
      <c r="O23" s="5"/>
      <c r="P23" s="19" t="str">
        <f aca="false">IF((F23="s"),I23," ")</f>
        <v> </v>
      </c>
      <c r="Q23" s="19" t="str">
        <f aca="false">IF((F23="c"),I23," ")</f>
        <v> </v>
      </c>
      <c r="R23" s="19" t="str">
        <f aca="false">IF((F23="o"),I23," ")</f>
        <v> </v>
      </c>
      <c r="S23" s="19" t="str">
        <f aca="false">IF((F23="w"),I23," ")</f>
        <v> </v>
      </c>
      <c r="T23" s="19" t="str">
        <f aca="false">IF((F23="p"),I23," ")</f>
        <v> </v>
      </c>
      <c r="U23" s="19" t="str">
        <f aca="false">IF((F23="m"),I23," ")</f>
        <v> </v>
      </c>
      <c r="V23" s="19" t="str">
        <f aca="false">IF((F23="g"),I23," ")</f>
        <v> </v>
      </c>
      <c r="W23" s="29" t="str">
        <f aca="false">IF((F23="v"),I23," ")</f>
        <v> </v>
      </c>
      <c r="X23" s="19" t="str">
        <f aca="false">IF((F23="h"),I23," ")</f>
        <v> </v>
      </c>
      <c r="Y23" s="19" t="str">
        <f aca="false">IF((F23="a"),I23," ")</f>
        <v> </v>
      </c>
      <c r="Z23" s="19" t="str">
        <f aca="false">IF((F23="l"),I23," ")</f>
        <v> </v>
      </c>
      <c r="AA23" s="19" t="str">
        <f aca="false">IF((F23="y"),I23," ")</f>
        <v> </v>
      </c>
      <c r="AB23" s="19" t="str">
        <f aca="false">IF((F23="fa"),I23," ")</f>
        <v> </v>
      </c>
    </row>
    <row r="24" customFormat="false" ht="12" hidden="false" customHeight="false" outlineLevel="0" collapsed="false">
      <c r="A24" s="27"/>
      <c r="F24" s="58"/>
      <c r="G24" s="29"/>
      <c r="I24" s="6" t="str">
        <f aca="false">IF((G24&lt;&gt;0),G24-H24," ")</f>
        <v> </v>
      </c>
      <c r="J24" s="5"/>
      <c r="M24" s="7" t="str">
        <f aca="false">IF(G24&lt;&gt;0,G24-L24," ")</f>
        <v> </v>
      </c>
      <c r="N24" s="8" t="str">
        <f aca="false">IF((G24-L24)&lt;&gt;0,N$1-A24," ")</f>
        <v> </v>
      </c>
      <c r="O24" s="5"/>
      <c r="P24" s="19" t="str">
        <f aca="false">IF((F24="s"),I24," ")</f>
        <v> </v>
      </c>
      <c r="Q24" s="19" t="str">
        <f aca="false">IF((F24="c"),I24," ")</f>
        <v> </v>
      </c>
      <c r="R24" s="19" t="str">
        <f aca="false">IF((F24="o"),I24," ")</f>
        <v> </v>
      </c>
      <c r="S24" s="19" t="str">
        <f aca="false">IF((F24="w"),I24," ")</f>
        <v> </v>
      </c>
      <c r="T24" s="19" t="str">
        <f aca="false">IF((F24="p"),I24," ")</f>
        <v> </v>
      </c>
      <c r="U24" s="19" t="str">
        <f aca="false">IF((F24="m"),I24," ")</f>
        <v> </v>
      </c>
      <c r="V24" s="19" t="str">
        <f aca="false">IF((F24="g"),I24," ")</f>
        <v> </v>
      </c>
      <c r="W24" s="29" t="str">
        <f aca="false">IF((F24="v"),I24," ")</f>
        <v> </v>
      </c>
      <c r="X24" s="19" t="str">
        <f aca="false">IF((F24="h"),I24," ")</f>
        <v> </v>
      </c>
      <c r="Y24" s="19" t="str">
        <f aca="false">IF((F24="a"),I24," ")</f>
        <v> </v>
      </c>
      <c r="Z24" s="19" t="str">
        <f aca="false">IF((F24="l"),I24," ")</f>
        <v> </v>
      </c>
      <c r="AA24" s="19" t="str">
        <f aca="false">IF((F24="y"),I24," ")</f>
        <v> </v>
      </c>
      <c r="AB24" s="19" t="str">
        <f aca="false">IF((F24="fa"),I24," ")</f>
        <v> </v>
      </c>
    </row>
    <row r="25" customFormat="false" ht="12" hidden="false" customHeight="false" outlineLevel="0" collapsed="false">
      <c r="A25" s="27"/>
      <c r="F25" s="58"/>
      <c r="G25" s="29"/>
      <c r="I25" s="6" t="str">
        <f aca="false">IF((G25&lt;&gt;0),G25-H25," ")</f>
        <v> </v>
      </c>
      <c r="J25" s="5"/>
      <c r="M25" s="7" t="str">
        <f aca="false">IF(G25&lt;&gt;0,G25-L25," ")</f>
        <v> </v>
      </c>
      <c r="N25" s="8" t="str">
        <f aca="false">IF((G25-L25)&lt;&gt;0,N$1-A25," ")</f>
        <v> </v>
      </c>
      <c r="O25" s="5"/>
      <c r="P25" s="19" t="str">
        <f aca="false">IF((F25="s"),I25," ")</f>
        <v> </v>
      </c>
      <c r="Q25" s="19" t="str">
        <f aca="false">IF((F25="c"),I25," ")</f>
        <v> </v>
      </c>
      <c r="R25" s="19" t="str">
        <f aca="false">IF((F25="o"),I25," ")</f>
        <v> </v>
      </c>
      <c r="S25" s="19" t="str">
        <f aca="false">IF((F25="w"),I25," ")</f>
        <v> </v>
      </c>
      <c r="T25" s="19" t="str">
        <f aca="false">IF((F25="p"),I25," ")</f>
        <v> </v>
      </c>
      <c r="U25" s="19" t="str">
        <f aca="false">IF((F25="m"),I25," ")</f>
        <v> </v>
      </c>
      <c r="V25" s="19" t="str">
        <f aca="false">IF((F25="g"),I25," ")</f>
        <v> </v>
      </c>
      <c r="W25" s="29" t="str">
        <f aca="false">IF((F25="v"),I25," ")</f>
        <v> </v>
      </c>
      <c r="X25" s="19" t="str">
        <f aca="false">IF((F25="h"),I25," ")</f>
        <v> </v>
      </c>
      <c r="Y25" s="19" t="str">
        <f aca="false">IF((F25="a"),I25," ")</f>
        <v> </v>
      </c>
      <c r="Z25" s="19" t="str">
        <f aca="false">IF((F25="l"),I25," ")</f>
        <v> </v>
      </c>
      <c r="AA25" s="19" t="str">
        <f aca="false">IF((F25="y"),I25," ")</f>
        <v> </v>
      </c>
      <c r="AB25" s="19" t="str">
        <f aca="false">IF((F25="fa"),I25," ")</f>
        <v> </v>
      </c>
    </row>
    <row r="26" customFormat="false" ht="12" hidden="false" customHeight="false" outlineLevel="0" collapsed="false">
      <c r="A26" s="27"/>
      <c r="F26" s="58"/>
      <c r="G26" s="29"/>
      <c r="I26" s="6" t="str">
        <f aca="false">IF((G26&lt;&gt;0),G26-H26," ")</f>
        <v> </v>
      </c>
      <c r="J26" s="5"/>
      <c r="M26" s="7" t="str">
        <f aca="false">IF(G26&lt;&gt;0,G26-L26," ")</f>
        <v> </v>
      </c>
      <c r="N26" s="8" t="str">
        <f aca="false">IF((G26-L26)&lt;&gt;0,N$1-A26," ")</f>
        <v> </v>
      </c>
      <c r="O26" s="5"/>
      <c r="P26" s="19" t="str">
        <f aca="false">IF((F26="s"),I26," ")</f>
        <v> </v>
      </c>
      <c r="Q26" s="19" t="str">
        <f aca="false">IF((F26="c"),I26," ")</f>
        <v> </v>
      </c>
      <c r="R26" s="19" t="str">
        <f aca="false">IF((F26="o"),I26," ")</f>
        <v> </v>
      </c>
      <c r="S26" s="19" t="str">
        <f aca="false">IF((F26="w"),I26," ")</f>
        <v> </v>
      </c>
      <c r="T26" s="19" t="str">
        <f aca="false">IF((F26="p"),I26," ")</f>
        <v> </v>
      </c>
      <c r="U26" s="19" t="str">
        <f aca="false">IF((F26="m"),I26," ")</f>
        <v> </v>
      </c>
      <c r="V26" s="19" t="str">
        <f aca="false">IF((F26="g"),I26," ")</f>
        <v> </v>
      </c>
      <c r="W26" s="29" t="str">
        <f aca="false">IF((F26="v"),I26," ")</f>
        <v> </v>
      </c>
      <c r="X26" s="19" t="str">
        <f aca="false">IF((F26="h"),I26," ")</f>
        <v> </v>
      </c>
      <c r="Y26" s="19" t="str">
        <f aca="false">IF((F26="a"),I26," ")</f>
        <v> </v>
      </c>
      <c r="Z26" s="19" t="str">
        <f aca="false">IF((F26="l"),I26," ")</f>
        <v> </v>
      </c>
      <c r="AA26" s="19" t="str">
        <f aca="false">IF((F26="y"),I26," ")</f>
        <v> </v>
      </c>
      <c r="AB26" s="19" t="str">
        <f aca="false">IF((F26="fa"),I26," ")</f>
        <v> </v>
      </c>
    </row>
    <row r="27" customFormat="false" ht="12" hidden="false" customHeight="false" outlineLevel="0" collapsed="false">
      <c r="A27" s="27"/>
      <c r="F27" s="58"/>
      <c r="G27" s="29"/>
      <c r="I27" s="6" t="str">
        <f aca="false">IF((G27&lt;&gt;0),G27-H27," ")</f>
        <v> </v>
      </c>
      <c r="J27" s="5"/>
      <c r="M27" s="7" t="str">
        <f aca="false">IF(G27&lt;&gt;0,G27-L27," ")</f>
        <v> </v>
      </c>
      <c r="N27" s="8" t="str">
        <f aca="false">IF((G27-L27)&lt;&gt;0,N$1-A27," ")</f>
        <v> </v>
      </c>
      <c r="O27" s="5"/>
      <c r="P27" s="19" t="str">
        <f aca="false">IF((F27="s"),I27," ")</f>
        <v> </v>
      </c>
      <c r="Q27" s="19" t="str">
        <f aca="false">IF((F27="c"),I27," ")</f>
        <v> </v>
      </c>
      <c r="R27" s="19" t="str">
        <f aca="false">IF((F27="o"),I27," ")</f>
        <v> </v>
      </c>
      <c r="S27" s="19" t="str">
        <f aca="false">IF((F27="w"),I27," ")</f>
        <v> </v>
      </c>
      <c r="T27" s="19" t="str">
        <f aca="false">IF((F27="p"),I27," ")</f>
        <v> </v>
      </c>
      <c r="U27" s="19" t="str">
        <f aca="false">IF((F27="m"),I27," ")</f>
        <v> </v>
      </c>
      <c r="V27" s="19" t="str">
        <f aca="false">IF((F27="g"),I27," ")</f>
        <v> </v>
      </c>
      <c r="W27" s="29" t="str">
        <f aca="false">IF((F27="v"),I27," ")</f>
        <v> </v>
      </c>
      <c r="X27" s="19" t="str">
        <f aca="false">IF((F27="h"),I27," ")</f>
        <v> </v>
      </c>
      <c r="Y27" s="19" t="str">
        <f aca="false">IF((F27="a"),I27," ")</f>
        <v> </v>
      </c>
      <c r="Z27" s="19" t="str">
        <f aca="false">IF((F27="l"),I27," ")</f>
        <v> </v>
      </c>
      <c r="AA27" s="19" t="str">
        <f aca="false">IF((F27="y"),I27," ")</f>
        <v> </v>
      </c>
      <c r="AB27" s="19" t="str">
        <f aca="false">IF((F27="fa"),I27," ")</f>
        <v> </v>
      </c>
    </row>
    <row r="28" customFormat="false" ht="12" hidden="false" customHeight="false" outlineLevel="0" collapsed="false">
      <c r="A28" s="27"/>
      <c r="F28" s="58"/>
      <c r="G28" s="29"/>
      <c r="I28" s="6" t="str">
        <f aca="false">IF((G28&lt;&gt;0),G28-H28," ")</f>
        <v> </v>
      </c>
      <c r="J28" s="5"/>
      <c r="M28" s="7" t="str">
        <f aca="false">IF(G28&lt;&gt;0,G28-L28," ")</f>
        <v> </v>
      </c>
      <c r="N28" s="8" t="str">
        <f aca="false">IF((G28-L28)&lt;&gt;0,N$1-A28," ")</f>
        <v> </v>
      </c>
      <c r="O28" s="5"/>
      <c r="P28" s="19" t="str">
        <f aca="false">IF((F28="s"),I28," ")</f>
        <v> </v>
      </c>
      <c r="Q28" s="19" t="str">
        <f aca="false">IF((F28="c"),I28," ")</f>
        <v> </v>
      </c>
      <c r="R28" s="19" t="str">
        <f aca="false">IF((F28="o"),I28," ")</f>
        <v> </v>
      </c>
      <c r="S28" s="19" t="str">
        <f aca="false">IF((F28="w"),I28," ")</f>
        <v> </v>
      </c>
      <c r="T28" s="19" t="str">
        <f aca="false">IF((F28="p"),I28," ")</f>
        <v> </v>
      </c>
      <c r="U28" s="19" t="str">
        <f aca="false">IF((F28="m"),I28," ")</f>
        <v> </v>
      </c>
      <c r="V28" s="19" t="str">
        <f aca="false">IF((F28="g"),I28," ")</f>
        <v> </v>
      </c>
      <c r="W28" s="29" t="str">
        <f aca="false">IF((F28="v"),I28," ")</f>
        <v> </v>
      </c>
      <c r="X28" s="19" t="str">
        <f aca="false">IF((F28="h"),I28," ")</f>
        <v> </v>
      </c>
      <c r="Y28" s="19" t="str">
        <f aca="false">IF((F28="a"),I28," ")</f>
        <v> </v>
      </c>
      <c r="Z28" s="19" t="str">
        <f aca="false">IF((F28="l"),I28," ")</f>
        <v> </v>
      </c>
      <c r="AA28" s="19" t="str">
        <f aca="false">IF((F28="y"),I28," ")</f>
        <v> </v>
      </c>
      <c r="AB28" s="19" t="str">
        <f aca="false">IF((F28="fa"),I28," ")</f>
        <v> </v>
      </c>
    </row>
    <row r="29" customFormat="false" ht="12" hidden="false" customHeight="false" outlineLevel="0" collapsed="false">
      <c r="A29" s="27"/>
      <c r="F29" s="58"/>
      <c r="G29" s="29"/>
      <c r="I29" s="6" t="str">
        <f aca="false">IF((G29&lt;&gt;0),G29-H29," ")</f>
        <v> </v>
      </c>
      <c r="J29" s="5"/>
      <c r="M29" s="7" t="str">
        <f aca="false">IF(G29&lt;&gt;0,G29-L29," ")</f>
        <v> </v>
      </c>
      <c r="N29" s="8" t="str">
        <f aca="false">IF((G29-L29)&lt;&gt;0,N$1-A29," ")</f>
        <v> </v>
      </c>
      <c r="O29" s="5"/>
      <c r="P29" s="19" t="str">
        <f aca="false">IF((F29="s"),I29," ")</f>
        <v> </v>
      </c>
      <c r="Q29" s="19" t="str">
        <f aca="false">IF((F29="c"),I29," ")</f>
        <v> </v>
      </c>
      <c r="R29" s="19" t="str">
        <f aca="false">IF((F29="o"),I29," ")</f>
        <v> </v>
      </c>
      <c r="S29" s="19" t="str">
        <f aca="false">IF((F29="w"),I29," ")</f>
        <v> </v>
      </c>
      <c r="T29" s="19" t="str">
        <f aca="false">IF((F29="p"),I29," ")</f>
        <v> </v>
      </c>
      <c r="U29" s="19" t="str">
        <f aca="false">IF((F29="m"),I29," ")</f>
        <v> </v>
      </c>
      <c r="V29" s="19" t="str">
        <f aca="false">IF((F29="g"),I29," ")</f>
        <v> </v>
      </c>
      <c r="W29" s="29" t="str">
        <f aca="false">IF((F29="v"),I29," ")</f>
        <v> </v>
      </c>
      <c r="X29" s="19" t="str">
        <f aca="false">IF((F29="h"),I29," ")</f>
        <v> </v>
      </c>
      <c r="Y29" s="19" t="str">
        <f aca="false">IF((F29="a"),I29," ")</f>
        <v> </v>
      </c>
      <c r="Z29" s="19" t="str">
        <f aca="false">IF((F29="l"),I29," ")</f>
        <v> </v>
      </c>
      <c r="AA29" s="19" t="str">
        <f aca="false">IF((F29="y"),I29," ")</f>
        <v> </v>
      </c>
      <c r="AB29" s="19" t="str">
        <f aca="false">IF((F29="fa"),I29," ")</f>
        <v> </v>
      </c>
    </row>
    <row r="30" customFormat="false" ht="12" hidden="false" customHeight="false" outlineLevel="0" collapsed="false">
      <c r="A30" s="27"/>
      <c r="F30" s="58"/>
      <c r="G30" s="29"/>
      <c r="I30" s="6" t="str">
        <f aca="false">IF((G30&lt;&gt;0),G30-H30," ")</f>
        <v> </v>
      </c>
      <c r="J30" s="5"/>
      <c r="M30" s="7" t="str">
        <f aca="false">IF(G30&lt;&gt;0,G30-L30," ")</f>
        <v> </v>
      </c>
      <c r="N30" s="8" t="str">
        <f aca="false">IF((G30-L30)&lt;&gt;0,N$1-A30," ")</f>
        <v> </v>
      </c>
      <c r="O30" s="5"/>
      <c r="P30" s="19" t="str">
        <f aca="false">IF((F30="s"),I30," ")</f>
        <v> </v>
      </c>
      <c r="Q30" s="19" t="str">
        <f aca="false">IF((F30="c"),I30," ")</f>
        <v> </v>
      </c>
      <c r="R30" s="19" t="str">
        <f aca="false">IF((F30="o"),I30," ")</f>
        <v> </v>
      </c>
      <c r="S30" s="19" t="str">
        <f aca="false">IF((F30="w"),I30," ")</f>
        <v> </v>
      </c>
      <c r="T30" s="19" t="str">
        <f aca="false">IF((F30="p"),I30," ")</f>
        <v> </v>
      </c>
      <c r="U30" s="19" t="str">
        <f aca="false">IF((F30="m"),I30," ")</f>
        <v> </v>
      </c>
      <c r="V30" s="19" t="str">
        <f aca="false">IF((F30="g"),I30," ")</f>
        <v> </v>
      </c>
      <c r="W30" s="29" t="str">
        <f aca="false">IF((F30="v"),I30," ")</f>
        <v> </v>
      </c>
      <c r="X30" s="19" t="str">
        <f aca="false">IF((F30="h"),I30," ")</f>
        <v> </v>
      </c>
      <c r="Y30" s="19" t="str">
        <f aca="false">IF((F30="a"),I30," ")</f>
        <v> </v>
      </c>
      <c r="Z30" s="19" t="str">
        <f aca="false">IF((F30="l"),I30," ")</f>
        <v> </v>
      </c>
      <c r="AA30" s="19" t="str">
        <f aca="false">IF((F30="y"),I30," ")</f>
        <v> </v>
      </c>
      <c r="AB30" s="19" t="str">
        <f aca="false">IF((F30="fa"),I30," ")</f>
        <v> </v>
      </c>
    </row>
    <row r="31" customFormat="false" ht="12" hidden="false" customHeight="false" outlineLevel="0" collapsed="false">
      <c r="A31" s="27"/>
      <c r="F31" s="58"/>
      <c r="G31" s="29"/>
      <c r="I31" s="6" t="str">
        <f aca="false">IF((G31&lt;&gt;0),G31-H31," ")</f>
        <v> </v>
      </c>
      <c r="J31" s="5"/>
      <c r="M31" s="7" t="str">
        <f aca="false">IF(G31&lt;&gt;0,G31-L31," ")</f>
        <v> </v>
      </c>
      <c r="N31" s="8" t="str">
        <f aca="false">IF((G31-L31)&lt;&gt;0,N$1-A31," ")</f>
        <v> </v>
      </c>
      <c r="O31" s="5"/>
      <c r="P31" s="19" t="str">
        <f aca="false">IF((F31="s"),I31," ")</f>
        <v> </v>
      </c>
      <c r="Q31" s="19" t="str">
        <f aca="false">IF((F31="c"),I31," ")</f>
        <v> </v>
      </c>
      <c r="R31" s="19" t="str">
        <f aca="false">IF((F31="o"),I31," ")</f>
        <v> </v>
      </c>
      <c r="S31" s="19" t="str">
        <f aca="false">IF((F31="w"),I31," ")</f>
        <v> </v>
      </c>
      <c r="T31" s="19" t="str">
        <f aca="false">IF((F31="p"),I31," ")</f>
        <v> </v>
      </c>
      <c r="U31" s="19" t="str">
        <f aca="false">IF((F31="m"),I31," ")</f>
        <v> </v>
      </c>
      <c r="V31" s="19" t="str">
        <f aca="false">IF((F31="g"),I31," ")</f>
        <v> </v>
      </c>
      <c r="W31" s="29" t="str">
        <f aca="false">IF((F31="v"),I31," ")</f>
        <v> </v>
      </c>
      <c r="X31" s="19" t="str">
        <f aca="false">IF((F31="h"),I31," ")</f>
        <v> </v>
      </c>
      <c r="Y31" s="19" t="str">
        <f aca="false">IF((F31="a"),I31," ")</f>
        <v> </v>
      </c>
      <c r="Z31" s="19" t="str">
        <f aca="false">IF((F31="l"),I31," ")</f>
        <v> </v>
      </c>
      <c r="AA31" s="19" t="str">
        <f aca="false">IF((F31="y"),I31," ")</f>
        <v> </v>
      </c>
      <c r="AB31" s="19" t="str">
        <f aca="false">IF((F31="fa"),I31," ")</f>
        <v> </v>
      </c>
    </row>
    <row r="32" customFormat="false" ht="12" hidden="false" customHeight="false" outlineLevel="0" collapsed="false">
      <c r="A32" s="27"/>
      <c r="F32" s="58"/>
      <c r="G32" s="29"/>
      <c r="I32" s="6" t="str">
        <f aca="false">IF((G32&lt;&gt;0),G32-H32," ")</f>
        <v> </v>
      </c>
      <c r="J32" s="5"/>
      <c r="M32" s="7" t="str">
        <f aca="false">IF(G32&lt;&gt;0,G32-L32," ")</f>
        <v> </v>
      </c>
      <c r="N32" s="8" t="str">
        <f aca="false">IF((G32-L32)&lt;&gt;0,N$1-A32," ")</f>
        <v> </v>
      </c>
      <c r="O32" s="5"/>
      <c r="P32" s="19" t="str">
        <f aca="false">IF((F32="s"),I32," ")</f>
        <v> </v>
      </c>
      <c r="Q32" s="19" t="str">
        <f aca="false">IF((F32="c"),I32," ")</f>
        <v> </v>
      </c>
      <c r="R32" s="19" t="str">
        <f aca="false">IF((F32="o"),I32," ")</f>
        <v> </v>
      </c>
      <c r="S32" s="19" t="str">
        <f aca="false">IF((F32="w"),I32," ")</f>
        <v> </v>
      </c>
      <c r="T32" s="19" t="str">
        <f aca="false">IF((F32="p"),I32," ")</f>
        <v> </v>
      </c>
      <c r="U32" s="19" t="str">
        <f aca="false">IF((F32="m"),I32," ")</f>
        <v> </v>
      </c>
      <c r="V32" s="19" t="str">
        <f aca="false">IF((F32="g"),I32," ")</f>
        <v> </v>
      </c>
      <c r="W32" s="29" t="str">
        <f aca="false">IF((F32="v"),I32," ")</f>
        <v> </v>
      </c>
      <c r="X32" s="19" t="str">
        <f aca="false">IF((F32="h"),I32," ")</f>
        <v> </v>
      </c>
      <c r="Y32" s="19" t="str">
        <f aca="false">IF((F32="a"),I32," ")</f>
        <v> </v>
      </c>
      <c r="Z32" s="19" t="str">
        <f aca="false">IF((F32="l"),I32," ")</f>
        <v> </v>
      </c>
      <c r="AA32" s="19" t="str">
        <f aca="false">IF((F32="y"),I32," ")</f>
        <v> </v>
      </c>
      <c r="AB32" s="19" t="str">
        <f aca="false">IF((F32="fa"),I32," ")</f>
        <v> </v>
      </c>
    </row>
    <row r="33" customFormat="false" ht="12" hidden="false" customHeight="false" outlineLevel="0" collapsed="false">
      <c r="A33" s="27"/>
      <c r="F33" s="58"/>
      <c r="G33" s="29"/>
      <c r="I33" s="6" t="str">
        <f aca="false">IF((G33&lt;&gt;0),G33-H33," ")</f>
        <v> </v>
      </c>
      <c r="J33" s="5"/>
      <c r="M33" s="7" t="str">
        <f aca="false">IF(G33&lt;&gt;0,G33-L33," ")</f>
        <v> </v>
      </c>
      <c r="N33" s="8" t="str">
        <f aca="false">IF((G33-L33)&lt;&gt;0,N$1-A33," ")</f>
        <v> </v>
      </c>
      <c r="O33" s="5"/>
      <c r="P33" s="19" t="str">
        <f aca="false">IF((F33="s"),I33," ")</f>
        <v> </v>
      </c>
      <c r="Q33" s="19" t="str">
        <f aca="false">IF((F33="c"),I33," ")</f>
        <v> </v>
      </c>
      <c r="R33" s="19" t="str">
        <f aca="false">IF((F33="o"),I33," ")</f>
        <v> </v>
      </c>
      <c r="S33" s="19" t="str">
        <f aca="false">IF((F33="w"),I33," ")</f>
        <v> </v>
      </c>
      <c r="T33" s="19" t="str">
        <f aca="false">IF((F33="p"),I33," ")</f>
        <v> </v>
      </c>
      <c r="U33" s="19" t="str">
        <f aca="false">IF((F33="m"),I33," ")</f>
        <v> </v>
      </c>
      <c r="V33" s="19" t="str">
        <f aca="false">IF((F33="g"),I33," ")</f>
        <v> </v>
      </c>
      <c r="W33" s="29" t="str">
        <f aca="false">IF((F33="v"),I33," ")</f>
        <v> </v>
      </c>
      <c r="X33" s="19" t="str">
        <f aca="false">IF((F33="h"),I33," ")</f>
        <v> </v>
      </c>
      <c r="Y33" s="19" t="str">
        <f aca="false">IF((F33="a"),I33," ")</f>
        <v> </v>
      </c>
      <c r="Z33" s="19" t="str">
        <f aca="false">IF((F33="l"),I33," ")</f>
        <v> </v>
      </c>
      <c r="AA33" s="19" t="str">
        <f aca="false">IF((F33="y"),I33," ")</f>
        <v> </v>
      </c>
      <c r="AB33" s="19" t="str">
        <f aca="false">IF((F33="fa"),I33," ")</f>
        <v> </v>
      </c>
    </row>
    <row r="34" customFormat="false" ht="12" hidden="false" customHeight="false" outlineLevel="0" collapsed="false">
      <c r="A34" s="27"/>
      <c r="F34" s="58"/>
      <c r="G34" s="29"/>
      <c r="I34" s="6" t="str">
        <f aca="false">IF((G34&lt;&gt;0),G34-H34," ")</f>
        <v> </v>
      </c>
      <c r="J34" s="5"/>
      <c r="M34" s="7" t="str">
        <f aca="false">IF(G34&lt;&gt;0,G34-L34," ")</f>
        <v> </v>
      </c>
      <c r="N34" s="8" t="str">
        <f aca="false">IF((G34-L34)&lt;&gt;0,N$1-A34," ")</f>
        <v> </v>
      </c>
      <c r="O34" s="5"/>
      <c r="P34" s="19" t="str">
        <f aca="false">IF((F34="s"),I34," ")</f>
        <v> </v>
      </c>
      <c r="Q34" s="19" t="str">
        <f aca="false">IF((F34="c"),I34," ")</f>
        <v> </v>
      </c>
      <c r="R34" s="19" t="str">
        <f aca="false">IF((F34="o"),I34," ")</f>
        <v> </v>
      </c>
      <c r="S34" s="19" t="str">
        <f aca="false">IF((F34="w"),I34," ")</f>
        <v> </v>
      </c>
      <c r="T34" s="19" t="str">
        <f aca="false">IF((F34="p"),I34," ")</f>
        <v> </v>
      </c>
      <c r="U34" s="19" t="str">
        <f aca="false">IF((F34="m"),I34," ")</f>
        <v> </v>
      </c>
      <c r="V34" s="19" t="str">
        <f aca="false">IF((F34="g"),I34," ")</f>
        <v> </v>
      </c>
      <c r="W34" s="29" t="str">
        <f aca="false">IF((F34="v"),I34," ")</f>
        <v> </v>
      </c>
      <c r="X34" s="19" t="str">
        <f aca="false">IF((F34="h"),I34," ")</f>
        <v> </v>
      </c>
      <c r="Y34" s="19" t="str">
        <f aca="false">IF((F34="a"),I34," ")</f>
        <v> </v>
      </c>
      <c r="Z34" s="19" t="str">
        <f aca="false">IF((F34="l"),I34," ")</f>
        <v> </v>
      </c>
      <c r="AA34" s="19" t="str">
        <f aca="false">IF((F34="y"),I34," ")</f>
        <v> </v>
      </c>
      <c r="AB34" s="19" t="str">
        <f aca="false">IF((F34="fa"),I34," ")</f>
        <v> </v>
      </c>
    </row>
    <row r="35" customFormat="false" ht="12" hidden="false" customHeight="false" outlineLevel="0" collapsed="false">
      <c r="A35" s="27"/>
      <c r="F35" s="58"/>
      <c r="G35" s="29"/>
      <c r="I35" s="6" t="str">
        <f aca="false">IF((G35&lt;&gt;0),G35-H35," ")</f>
        <v> </v>
      </c>
      <c r="J35" s="5"/>
      <c r="M35" s="7" t="str">
        <f aca="false">IF(G35&lt;&gt;0,G35-L35," ")</f>
        <v> </v>
      </c>
      <c r="N35" s="8" t="str">
        <f aca="false">IF((G35-L35)&lt;&gt;0,N$1-A35," ")</f>
        <v> </v>
      </c>
      <c r="O35" s="5"/>
      <c r="P35" s="19" t="str">
        <f aca="false">IF((F35="s"),I35," ")</f>
        <v> </v>
      </c>
      <c r="Q35" s="19" t="str">
        <f aca="false">IF((F35="c"),I35," ")</f>
        <v> </v>
      </c>
      <c r="R35" s="19" t="str">
        <f aca="false">IF((F35="o"),I35," ")</f>
        <v> </v>
      </c>
      <c r="S35" s="19" t="str">
        <f aca="false">IF((F35="w"),I35," ")</f>
        <v> </v>
      </c>
      <c r="T35" s="19" t="str">
        <f aca="false">IF((F35="p"),I35," ")</f>
        <v> </v>
      </c>
      <c r="U35" s="19" t="str">
        <f aca="false">IF((F35="m"),I35," ")</f>
        <v> </v>
      </c>
      <c r="V35" s="19" t="str">
        <f aca="false">IF((F35="g"),I35," ")</f>
        <v> </v>
      </c>
      <c r="W35" s="29" t="str">
        <f aca="false">IF((F35="v"),I35," ")</f>
        <v> </v>
      </c>
      <c r="X35" s="19" t="str">
        <f aca="false">IF((F35="h"),I35," ")</f>
        <v> </v>
      </c>
      <c r="Y35" s="19" t="str">
        <f aca="false">IF((F35="a"),I35," ")</f>
        <v> </v>
      </c>
      <c r="Z35" s="19" t="str">
        <f aca="false">IF((F35="l"),I35," ")</f>
        <v> </v>
      </c>
      <c r="AA35" s="19" t="str">
        <f aca="false">IF((F35="y"),I35," ")</f>
        <v> </v>
      </c>
      <c r="AB35" s="19" t="str">
        <f aca="false">IF((F35="fa"),I35," ")</f>
        <v> </v>
      </c>
    </row>
    <row r="36" customFormat="false" ht="12" hidden="false" customHeight="false" outlineLevel="0" collapsed="false">
      <c r="A36" s="27"/>
      <c r="F36" s="58"/>
      <c r="G36" s="29"/>
      <c r="I36" s="6" t="str">
        <f aca="false">IF((G36&lt;&gt;0),G36-H36," ")</f>
        <v> </v>
      </c>
      <c r="J36" s="5"/>
      <c r="M36" s="7" t="str">
        <f aca="false">IF(G36&lt;&gt;0,G36-L36," ")</f>
        <v> </v>
      </c>
      <c r="N36" s="8" t="str">
        <f aca="false">IF((G36-L36)&lt;&gt;0,N$1-A36," ")</f>
        <v> </v>
      </c>
      <c r="O36" s="5"/>
      <c r="P36" s="19" t="str">
        <f aca="false">IF((F36="s"),I36," ")</f>
        <v> </v>
      </c>
      <c r="Q36" s="19" t="str">
        <f aca="false">IF((F36="c"),I36," ")</f>
        <v> </v>
      </c>
      <c r="R36" s="19" t="str">
        <f aca="false">IF((F36="o"),I36," ")</f>
        <v> </v>
      </c>
      <c r="S36" s="19" t="str">
        <f aca="false">IF((F36="w"),I36," ")</f>
        <v> </v>
      </c>
      <c r="T36" s="19" t="str">
        <f aca="false">IF((F36="p"),I36," ")</f>
        <v> </v>
      </c>
      <c r="U36" s="19" t="str">
        <f aca="false">IF((F36="m"),I36," ")</f>
        <v> </v>
      </c>
      <c r="V36" s="19" t="str">
        <f aca="false">IF((F36="g"),I36," ")</f>
        <v> </v>
      </c>
      <c r="W36" s="29" t="str">
        <f aca="false">IF((F36="v"),I36," ")</f>
        <v> </v>
      </c>
      <c r="X36" s="19" t="str">
        <f aca="false">IF((F36="h"),I36," ")</f>
        <v> </v>
      </c>
      <c r="Y36" s="19" t="str">
        <f aca="false">IF((F36="a"),I36," ")</f>
        <v> </v>
      </c>
      <c r="Z36" s="19" t="str">
        <f aca="false">IF((F36="l"),I36," ")</f>
        <v> </v>
      </c>
      <c r="AA36" s="19" t="str">
        <f aca="false">IF((F36="y"),I36," ")</f>
        <v> </v>
      </c>
      <c r="AB36" s="19" t="str">
        <f aca="false">IF((F36="fa"),I36," ")</f>
        <v> </v>
      </c>
    </row>
    <row r="37" customFormat="false" ht="12" hidden="false" customHeight="false" outlineLevel="0" collapsed="false">
      <c r="A37" s="27"/>
      <c r="F37" s="58"/>
      <c r="G37" s="29"/>
      <c r="I37" s="6" t="str">
        <f aca="false">IF((G37&lt;&gt;0),G37-H37," ")</f>
        <v> </v>
      </c>
      <c r="J37" s="5"/>
      <c r="M37" s="7" t="str">
        <f aca="false">IF(G37&lt;&gt;0,G37-L37," ")</f>
        <v> </v>
      </c>
      <c r="N37" s="8" t="str">
        <f aca="false">IF((G37-L37)&lt;&gt;0,N$1-A37," ")</f>
        <v> </v>
      </c>
      <c r="O37" s="5"/>
      <c r="P37" s="19" t="str">
        <f aca="false">IF((F37="s"),I37," ")</f>
        <v> </v>
      </c>
      <c r="Q37" s="19" t="str">
        <f aca="false">IF((F37="c"),I37," ")</f>
        <v> </v>
      </c>
      <c r="R37" s="19" t="str">
        <f aca="false">IF((F37="o"),I37," ")</f>
        <v> </v>
      </c>
      <c r="S37" s="19" t="str">
        <f aca="false">IF((F37="w"),I37," ")</f>
        <v> </v>
      </c>
      <c r="T37" s="19" t="str">
        <f aca="false">IF((F37="p"),I37," ")</f>
        <v> </v>
      </c>
      <c r="U37" s="19" t="str">
        <f aca="false">IF((F37="m"),I37," ")</f>
        <v> </v>
      </c>
      <c r="V37" s="19" t="str">
        <f aca="false">IF((F37="g"),I37," ")</f>
        <v> </v>
      </c>
      <c r="W37" s="29" t="str">
        <f aca="false">IF((F37="v"),I37," ")</f>
        <v> </v>
      </c>
      <c r="X37" s="19" t="str">
        <f aca="false">IF((F37="h"),I37," ")</f>
        <v> </v>
      </c>
      <c r="Y37" s="19" t="str">
        <f aca="false">IF((F37="a"),I37," ")</f>
        <v> </v>
      </c>
      <c r="Z37" s="19" t="str">
        <f aca="false">IF((F37="l"),I37," ")</f>
        <v> </v>
      </c>
      <c r="AA37" s="19" t="str">
        <f aca="false">IF((F37="y"),I37," ")</f>
        <v> </v>
      </c>
      <c r="AB37" s="19" t="str">
        <f aca="false">IF((F37="fa"),I37," ")</f>
        <v> </v>
      </c>
    </row>
    <row r="38" customFormat="false" ht="12" hidden="false" customHeight="false" outlineLevel="0" collapsed="false">
      <c r="A38" s="27"/>
      <c r="F38" s="58"/>
      <c r="G38" s="29"/>
      <c r="I38" s="6" t="str">
        <f aca="false">IF((G38&lt;&gt;0),G38-H38," ")</f>
        <v> </v>
      </c>
      <c r="J38" s="5"/>
      <c r="M38" s="7" t="str">
        <f aca="false">IF(G38&lt;&gt;0,G38-L38," ")</f>
        <v> </v>
      </c>
      <c r="N38" s="8" t="str">
        <f aca="false">IF((G38-L38)&lt;&gt;0,N$1-A38," ")</f>
        <v> </v>
      </c>
      <c r="O38" s="5"/>
      <c r="P38" s="19" t="str">
        <f aca="false">IF((F38="s"),I38," ")</f>
        <v> </v>
      </c>
      <c r="Q38" s="19" t="str">
        <f aca="false">IF((F38="c"),I38," ")</f>
        <v> </v>
      </c>
      <c r="R38" s="19" t="str">
        <f aca="false">IF((F38="o"),I38," ")</f>
        <v> </v>
      </c>
      <c r="S38" s="19" t="str">
        <f aca="false">IF((F38="w"),I38," ")</f>
        <v> </v>
      </c>
      <c r="T38" s="19" t="str">
        <f aca="false">IF((F38="p"),I38," ")</f>
        <v> </v>
      </c>
      <c r="U38" s="19" t="str">
        <f aca="false">IF((F38="m"),I38," ")</f>
        <v> </v>
      </c>
      <c r="V38" s="19" t="str">
        <f aca="false">IF((F38="g"),I38," ")</f>
        <v> </v>
      </c>
      <c r="W38" s="29" t="str">
        <f aca="false">IF((F38="v"),I38," ")</f>
        <v> </v>
      </c>
      <c r="X38" s="19" t="str">
        <f aca="false">IF((F38="h"),I38," ")</f>
        <v> </v>
      </c>
      <c r="Y38" s="19" t="str">
        <f aca="false">IF((F38="a"),I38," ")</f>
        <v> </v>
      </c>
      <c r="Z38" s="19" t="str">
        <f aca="false">IF((F38="l"),I38," ")</f>
        <v> </v>
      </c>
      <c r="AA38" s="19" t="str">
        <f aca="false">IF((F38="y"),I38," ")</f>
        <v> </v>
      </c>
      <c r="AB38" s="19" t="str">
        <f aca="false">IF((F38="fa"),I38," ")</f>
        <v> </v>
      </c>
    </row>
    <row r="39" customFormat="false" ht="12" hidden="false" customHeight="false" outlineLevel="0" collapsed="false">
      <c r="A39" s="27"/>
      <c r="F39" s="58"/>
      <c r="G39" s="29"/>
      <c r="I39" s="6" t="str">
        <f aca="false">IF((G39&lt;&gt;0),G39-H39," ")</f>
        <v> </v>
      </c>
      <c r="J39" s="5"/>
      <c r="M39" s="7" t="str">
        <f aca="false">IF(G39&lt;&gt;0,G39-L39," ")</f>
        <v> </v>
      </c>
      <c r="N39" s="8" t="str">
        <f aca="false">IF((G39-L39)&lt;&gt;0,N$1-A39," ")</f>
        <v> </v>
      </c>
      <c r="O39" s="5"/>
      <c r="P39" s="19" t="str">
        <f aca="false">IF((F39="s"),I39," ")</f>
        <v> </v>
      </c>
      <c r="Q39" s="19" t="str">
        <f aca="false">IF((F39="c"),I39," ")</f>
        <v> </v>
      </c>
      <c r="R39" s="19" t="str">
        <f aca="false">IF((F39="o"),I39," ")</f>
        <v> </v>
      </c>
      <c r="S39" s="19" t="str">
        <f aca="false">IF((F39="w"),I39," ")</f>
        <v> </v>
      </c>
      <c r="T39" s="19" t="str">
        <f aca="false">IF((F39="p"),I39," ")</f>
        <v> </v>
      </c>
      <c r="U39" s="19" t="str">
        <f aca="false">IF((F39="m"),I39," ")</f>
        <v> </v>
      </c>
      <c r="V39" s="19" t="str">
        <f aca="false">IF((F39="g"),I39," ")</f>
        <v> </v>
      </c>
      <c r="W39" s="29" t="str">
        <f aca="false">IF((F39="v"),I39," ")</f>
        <v> </v>
      </c>
      <c r="X39" s="19" t="str">
        <f aca="false">IF((F39="h"),I39," ")</f>
        <v> </v>
      </c>
      <c r="Y39" s="19" t="str">
        <f aca="false">IF((F39="a"),I39," ")</f>
        <v> </v>
      </c>
      <c r="Z39" s="19" t="str">
        <f aca="false">IF((F39="l"),I39," ")</f>
        <v> </v>
      </c>
      <c r="AA39" s="19" t="str">
        <f aca="false">IF((F39="y"),I39," ")</f>
        <v> </v>
      </c>
      <c r="AB39" s="19" t="str">
        <f aca="false">IF((F39="fa"),I39," ")</f>
        <v> </v>
      </c>
    </row>
    <row r="40" customFormat="false" ht="12" hidden="false" customHeight="false" outlineLevel="0" collapsed="false">
      <c r="A40" s="27"/>
      <c r="F40" s="58"/>
      <c r="G40" s="29"/>
      <c r="I40" s="6" t="str">
        <f aca="false">IF((G40&lt;&gt;0),G40-H40," ")</f>
        <v> </v>
      </c>
      <c r="J40" s="5"/>
      <c r="M40" s="7" t="str">
        <f aca="false">IF(G40&lt;&gt;0,G40-L40," ")</f>
        <v> </v>
      </c>
      <c r="N40" s="8" t="str">
        <f aca="false">IF((G40-L40)&lt;&gt;0,N$1-A40," ")</f>
        <v> </v>
      </c>
      <c r="O40" s="5"/>
      <c r="P40" s="19" t="str">
        <f aca="false">IF((F40="s"),I40," ")</f>
        <v> </v>
      </c>
      <c r="Q40" s="19" t="str">
        <f aca="false">IF((F40="c"),I40," ")</f>
        <v> </v>
      </c>
      <c r="R40" s="19" t="str">
        <f aca="false">IF((F40="o"),I40," ")</f>
        <v> </v>
      </c>
      <c r="S40" s="19" t="str">
        <f aca="false">IF((F40="w"),I40," ")</f>
        <v> </v>
      </c>
      <c r="T40" s="19" t="str">
        <f aca="false">IF((F40="p"),I40," ")</f>
        <v> </v>
      </c>
      <c r="U40" s="19" t="str">
        <f aca="false">IF((F40="m"),I40," ")</f>
        <v> </v>
      </c>
      <c r="V40" s="19" t="str">
        <f aca="false">IF((F40="g"),I40," ")</f>
        <v> </v>
      </c>
      <c r="W40" s="29" t="str">
        <f aca="false">IF((F40="v"),I40," ")</f>
        <v> </v>
      </c>
      <c r="X40" s="19" t="str">
        <f aca="false">IF((F40="h"),I40," ")</f>
        <v> </v>
      </c>
      <c r="Y40" s="19" t="str">
        <f aca="false">IF((F40="a"),I40," ")</f>
        <v> </v>
      </c>
      <c r="Z40" s="19" t="str">
        <f aca="false">IF((F40="l"),I40," ")</f>
        <v> </v>
      </c>
      <c r="AA40" s="19" t="str">
        <f aca="false">IF((F40="y"),I40," ")</f>
        <v> </v>
      </c>
      <c r="AB40" s="19" t="str">
        <f aca="false">IF((F40="fa"),I40," ")</f>
        <v> </v>
      </c>
    </row>
    <row r="41" customFormat="false" ht="12" hidden="false" customHeight="false" outlineLevel="0" collapsed="false">
      <c r="A41" s="27"/>
      <c r="F41" s="58"/>
      <c r="G41" s="29"/>
      <c r="I41" s="6" t="str">
        <f aca="false">IF((G41&lt;&gt;0),G41-H41," ")</f>
        <v> </v>
      </c>
      <c r="J41" s="5"/>
      <c r="M41" s="7" t="str">
        <f aca="false">IF(G41&lt;&gt;0,G41-L41," ")</f>
        <v> </v>
      </c>
      <c r="N41" s="8" t="str">
        <f aca="false">IF((G41-L41)&lt;&gt;0,N$1-A41," ")</f>
        <v> </v>
      </c>
      <c r="O41" s="5"/>
      <c r="P41" s="19" t="str">
        <f aca="false">IF((F41="s"),I41," ")</f>
        <v> </v>
      </c>
      <c r="Q41" s="19" t="str">
        <f aca="false">IF((F41="c"),I41," ")</f>
        <v> </v>
      </c>
      <c r="R41" s="19" t="str">
        <f aca="false">IF((F41="o"),I41," ")</f>
        <v> </v>
      </c>
      <c r="S41" s="19" t="str">
        <f aca="false">IF((F41="w"),I41," ")</f>
        <v> </v>
      </c>
      <c r="T41" s="19" t="str">
        <f aca="false">IF((F41="p"),I41," ")</f>
        <v> </v>
      </c>
      <c r="U41" s="19" t="str">
        <f aca="false">IF((F41="m"),I41," ")</f>
        <v> </v>
      </c>
      <c r="V41" s="19" t="str">
        <f aca="false">IF((F41="g"),I41," ")</f>
        <v> </v>
      </c>
      <c r="W41" s="29" t="str">
        <f aca="false">IF((F41="v"),I41," ")</f>
        <v> </v>
      </c>
      <c r="X41" s="19" t="str">
        <f aca="false">IF((F41="h"),I41," ")</f>
        <v> </v>
      </c>
      <c r="Y41" s="19" t="str">
        <f aca="false">IF((F41="a"),I41," ")</f>
        <v> </v>
      </c>
      <c r="Z41" s="19" t="str">
        <f aca="false">IF((F41="l"),I41," ")</f>
        <v> </v>
      </c>
      <c r="AA41" s="19" t="str">
        <f aca="false">IF((F41="y"),I41," ")</f>
        <v> </v>
      </c>
      <c r="AB41" s="19" t="str">
        <f aca="false">IF((F41="fa"),I41," ")</f>
        <v> </v>
      </c>
    </row>
    <row r="42" customFormat="false" ht="12" hidden="false" customHeight="false" outlineLevel="0" collapsed="false">
      <c r="A42" s="27"/>
      <c r="F42" s="58"/>
      <c r="G42" s="29"/>
      <c r="I42" s="6" t="str">
        <f aca="false">IF((G42&lt;&gt;0),G42-H42," ")</f>
        <v> </v>
      </c>
      <c r="J42" s="5"/>
      <c r="M42" s="7" t="str">
        <f aca="false">IF(G42&lt;&gt;0,G42-L42," ")</f>
        <v> </v>
      </c>
      <c r="N42" s="8" t="str">
        <f aca="false">IF((G42-L42)&lt;&gt;0,N$1-A42," ")</f>
        <v> </v>
      </c>
      <c r="O42" s="5"/>
      <c r="P42" s="19" t="str">
        <f aca="false">IF((F42="s"),I42," ")</f>
        <v> </v>
      </c>
      <c r="Q42" s="19" t="str">
        <f aca="false">IF((F42="c"),I42," ")</f>
        <v> </v>
      </c>
      <c r="R42" s="19" t="str">
        <f aca="false">IF((F42="o"),I42," ")</f>
        <v> </v>
      </c>
      <c r="S42" s="19" t="str">
        <f aca="false">IF((F42="w"),I42," ")</f>
        <v> </v>
      </c>
      <c r="T42" s="19" t="str">
        <f aca="false">IF((F42="p"),I42," ")</f>
        <v> </v>
      </c>
      <c r="U42" s="19" t="str">
        <f aca="false">IF((F42="m"),I42," ")</f>
        <v> </v>
      </c>
      <c r="V42" s="19" t="str">
        <f aca="false">IF((F42="g"),I42," ")</f>
        <v> </v>
      </c>
      <c r="W42" s="29" t="str">
        <f aca="false">IF((F42="v"),I42," ")</f>
        <v> </v>
      </c>
      <c r="X42" s="19" t="str">
        <f aca="false">IF((F42="h"),I42," ")</f>
        <v> </v>
      </c>
      <c r="Y42" s="19" t="str">
        <f aca="false">IF((F42="a"),I42," ")</f>
        <v> </v>
      </c>
      <c r="Z42" s="19" t="str">
        <f aca="false">IF((F42="l"),I42," ")</f>
        <v> </v>
      </c>
      <c r="AA42" s="19" t="str">
        <f aca="false">IF((F42="y"),I42," ")</f>
        <v> </v>
      </c>
      <c r="AB42" s="19" t="str">
        <f aca="false">IF((F42="fa"),I42," ")</f>
        <v> </v>
      </c>
    </row>
    <row r="43" customFormat="false" ht="12" hidden="false" customHeight="false" outlineLevel="0" collapsed="false">
      <c r="A43" s="27"/>
      <c r="F43" s="58"/>
      <c r="G43" s="29"/>
      <c r="I43" s="6" t="str">
        <f aca="false">IF((G43&lt;&gt;0),G43-H43," ")</f>
        <v> </v>
      </c>
      <c r="J43" s="5"/>
      <c r="M43" s="7" t="str">
        <f aca="false">IF(G43&lt;&gt;0,G43-L43," ")</f>
        <v> </v>
      </c>
      <c r="N43" s="8" t="str">
        <f aca="false">IF((G43-L43)&lt;&gt;0,N$1-A43," ")</f>
        <v> </v>
      </c>
      <c r="O43" s="5"/>
      <c r="P43" s="19" t="str">
        <f aca="false">IF((F43="s"),I43," ")</f>
        <v> </v>
      </c>
      <c r="Q43" s="19" t="str">
        <f aca="false">IF((F43="c"),I43," ")</f>
        <v> </v>
      </c>
      <c r="R43" s="19" t="str">
        <f aca="false">IF((F43="o"),I43," ")</f>
        <v> </v>
      </c>
      <c r="S43" s="19" t="str">
        <f aca="false">IF((F43="w"),I43," ")</f>
        <v> </v>
      </c>
      <c r="T43" s="19" t="str">
        <f aca="false">IF((F43="p"),I43," ")</f>
        <v> </v>
      </c>
      <c r="U43" s="19" t="str">
        <f aca="false">IF((F43="m"),I43," ")</f>
        <v> </v>
      </c>
      <c r="V43" s="19" t="str">
        <f aca="false">IF((F43="g"),I43," ")</f>
        <v> </v>
      </c>
      <c r="W43" s="29" t="str">
        <f aca="false">IF((F43="v"),I43," ")</f>
        <v> </v>
      </c>
      <c r="X43" s="19" t="str">
        <f aca="false">IF((F43="h"),I43," ")</f>
        <v> </v>
      </c>
      <c r="Y43" s="19" t="str">
        <f aca="false">IF((F43="a"),I43," ")</f>
        <v> </v>
      </c>
      <c r="Z43" s="19" t="str">
        <f aca="false">IF((F43="l"),I43," ")</f>
        <v> </v>
      </c>
      <c r="AA43" s="19" t="str">
        <f aca="false">IF((F43="y"),I43," ")</f>
        <v> </v>
      </c>
      <c r="AB43" s="19" t="str">
        <f aca="false">IF((F43="fa"),I43," ")</f>
        <v> </v>
      </c>
    </row>
    <row r="44" customFormat="false" ht="12" hidden="false" customHeight="false" outlineLevel="0" collapsed="false">
      <c r="A44" s="27"/>
      <c r="F44" s="58"/>
      <c r="G44" s="29"/>
      <c r="I44" s="6" t="str">
        <f aca="false">IF((G44&lt;&gt;0),G44-H44," ")</f>
        <v> </v>
      </c>
      <c r="J44" s="5"/>
      <c r="M44" s="7" t="str">
        <f aca="false">IF(G44&lt;&gt;0,G44-L44," ")</f>
        <v> </v>
      </c>
      <c r="N44" s="8" t="str">
        <f aca="false">IF((G44-L44)&lt;&gt;0,N$1-A44," ")</f>
        <v> </v>
      </c>
      <c r="O44" s="5"/>
      <c r="P44" s="19" t="str">
        <f aca="false">IF((F44="s"),I44," ")</f>
        <v> </v>
      </c>
      <c r="Q44" s="19" t="str">
        <f aca="false">IF((F44="c"),I44," ")</f>
        <v> </v>
      </c>
      <c r="R44" s="19" t="str">
        <f aca="false">IF((F44="o"),I44," ")</f>
        <v> </v>
      </c>
      <c r="S44" s="19" t="str">
        <f aca="false">IF((F44="w"),I44," ")</f>
        <v> </v>
      </c>
      <c r="T44" s="19" t="str">
        <f aca="false">IF((F44="p"),I44," ")</f>
        <v> </v>
      </c>
      <c r="U44" s="19" t="str">
        <f aca="false">IF((F44="m"),I44," ")</f>
        <v> </v>
      </c>
      <c r="V44" s="19" t="str">
        <f aca="false">IF((F44="g"),I44," ")</f>
        <v> </v>
      </c>
      <c r="W44" s="29" t="str">
        <f aca="false">IF((F44="v"),I44," ")</f>
        <v> </v>
      </c>
      <c r="X44" s="19" t="str">
        <f aca="false">IF((F44="h"),I44," ")</f>
        <v> </v>
      </c>
      <c r="Y44" s="19" t="str">
        <f aca="false">IF((F44="a"),I44," ")</f>
        <v> </v>
      </c>
      <c r="Z44" s="19" t="str">
        <f aca="false">IF((F44="l"),I44," ")</f>
        <v> </v>
      </c>
      <c r="AA44" s="19" t="str">
        <f aca="false">IF((F44="y"),I44," ")</f>
        <v> </v>
      </c>
      <c r="AB44" s="19" t="str">
        <f aca="false">IF((F44="fa"),I44," ")</f>
        <v> </v>
      </c>
    </row>
    <row r="45" customFormat="false" ht="12" hidden="false" customHeight="false" outlineLevel="0" collapsed="false">
      <c r="A45" s="27"/>
      <c r="F45" s="58"/>
      <c r="G45" s="29"/>
      <c r="I45" s="6" t="str">
        <f aca="false">IF((G45&lt;&gt;0),G45-H45," ")</f>
        <v> </v>
      </c>
      <c r="J45" s="5"/>
      <c r="M45" s="7" t="str">
        <f aca="false">IF(G45&lt;&gt;0,G45-L45," ")</f>
        <v> </v>
      </c>
      <c r="N45" s="8" t="str">
        <f aca="false">IF((G45-L45)&lt;&gt;0,N$1-A45," ")</f>
        <v> </v>
      </c>
      <c r="O45" s="5"/>
      <c r="P45" s="19" t="str">
        <f aca="false">IF((F45="s"),I45," ")</f>
        <v> </v>
      </c>
      <c r="Q45" s="19" t="str">
        <f aca="false">IF((F45="c"),I45," ")</f>
        <v> </v>
      </c>
      <c r="R45" s="19" t="str">
        <f aca="false">IF((F45="o"),I45," ")</f>
        <v> </v>
      </c>
      <c r="S45" s="19" t="str">
        <f aca="false">IF((F45="w"),I45," ")</f>
        <v> </v>
      </c>
      <c r="T45" s="19" t="str">
        <f aca="false">IF((F45="p"),I45," ")</f>
        <v> </v>
      </c>
      <c r="U45" s="19" t="str">
        <f aca="false">IF((F45="m"),I45," ")</f>
        <v> </v>
      </c>
      <c r="V45" s="19" t="str">
        <f aca="false">IF((F45="g"),I45," ")</f>
        <v> </v>
      </c>
      <c r="W45" s="29" t="str">
        <f aca="false">IF((F45="v"),I45," ")</f>
        <v> </v>
      </c>
      <c r="X45" s="19" t="str">
        <f aca="false">IF((F45="h"),I45," ")</f>
        <v> </v>
      </c>
      <c r="Y45" s="19" t="str">
        <f aca="false">IF((F45="a"),I45," ")</f>
        <v> </v>
      </c>
      <c r="Z45" s="19" t="str">
        <f aca="false">IF((F45="l"),I45," ")</f>
        <v> </v>
      </c>
      <c r="AA45" s="19" t="str">
        <f aca="false">IF((F45="y"),I45," ")</f>
        <v> </v>
      </c>
      <c r="AB45" s="19" t="str">
        <f aca="false">IF((F45="fa"),I45," ")</f>
        <v> </v>
      </c>
    </row>
    <row r="46" customFormat="false" ht="12" hidden="false" customHeight="false" outlineLevel="0" collapsed="false">
      <c r="A46" s="27"/>
      <c r="F46" s="58"/>
      <c r="G46" s="29"/>
      <c r="I46" s="6" t="str">
        <f aca="false">IF((G46&lt;&gt;0),G46-H46," ")</f>
        <v> </v>
      </c>
      <c r="J46" s="5"/>
      <c r="M46" s="7" t="str">
        <f aca="false">IF(G46&lt;&gt;0,G46-L46," ")</f>
        <v> </v>
      </c>
      <c r="N46" s="8" t="str">
        <f aca="false">IF((G46-L46)&lt;&gt;0,N$1-A46," ")</f>
        <v> </v>
      </c>
      <c r="O46" s="5"/>
      <c r="P46" s="19" t="str">
        <f aca="false">IF((F46="s"),I46," ")</f>
        <v> </v>
      </c>
      <c r="Q46" s="19" t="str">
        <f aca="false">IF((F46="c"),I46," ")</f>
        <v> </v>
      </c>
      <c r="R46" s="19" t="str">
        <f aca="false">IF((F46="o"),I46," ")</f>
        <v> </v>
      </c>
      <c r="S46" s="19" t="str">
        <f aca="false">IF((F46="w"),I46," ")</f>
        <v> </v>
      </c>
      <c r="T46" s="19" t="str">
        <f aca="false">IF((F46="p"),I46," ")</f>
        <v> </v>
      </c>
      <c r="U46" s="19" t="str">
        <f aca="false">IF((F46="m"),I46," ")</f>
        <v> </v>
      </c>
      <c r="V46" s="19" t="str">
        <f aca="false">IF((F46="g"),I46," ")</f>
        <v> </v>
      </c>
      <c r="W46" s="29" t="str">
        <f aca="false">IF((F46="v"),I46," ")</f>
        <v> </v>
      </c>
      <c r="X46" s="19" t="str">
        <f aca="false">IF((F46="h"),I46," ")</f>
        <v> </v>
      </c>
      <c r="Y46" s="19" t="str">
        <f aca="false">IF((F46="a"),I46," ")</f>
        <v> </v>
      </c>
      <c r="Z46" s="19" t="str">
        <f aca="false">IF((F46="l"),I46," ")</f>
        <v> </v>
      </c>
      <c r="AA46" s="19" t="str">
        <f aca="false">IF((F46="y"),I46," ")</f>
        <v> </v>
      </c>
      <c r="AB46" s="19" t="str">
        <f aca="false">IF((F46="fa"),I46," ")</f>
        <v> </v>
      </c>
    </row>
    <row r="47" customFormat="false" ht="12" hidden="false" customHeight="false" outlineLevel="0" collapsed="false">
      <c r="A47" s="27"/>
      <c r="F47" s="58"/>
      <c r="G47" s="29"/>
      <c r="I47" s="6" t="str">
        <f aca="false">IF((G47&lt;&gt;0),G47-H47," ")</f>
        <v> </v>
      </c>
      <c r="J47" s="5"/>
      <c r="M47" s="7" t="str">
        <f aca="false">IF(G47&lt;&gt;0,G47-L47," ")</f>
        <v> </v>
      </c>
      <c r="N47" s="8" t="str">
        <f aca="false">IF((G47-L47)&lt;&gt;0,N$1-A47," ")</f>
        <v> </v>
      </c>
      <c r="O47" s="5"/>
      <c r="P47" s="19" t="str">
        <f aca="false">IF((F47="s"),I47," ")</f>
        <v> </v>
      </c>
      <c r="Q47" s="19" t="str">
        <f aca="false">IF((F47="c"),I47," ")</f>
        <v> </v>
      </c>
      <c r="R47" s="19" t="str">
        <f aca="false">IF((F47="o"),I47," ")</f>
        <v> </v>
      </c>
      <c r="S47" s="19" t="str">
        <f aca="false">IF((F47="w"),I47," ")</f>
        <v> </v>
      </c>
      <c r="T47" s="19" t="str">
        <f aca="false">IF((F47="p"),I47," ")</f>
        <v> </v>
      </c>
      <c r="U47" s="19" t="str">
        <f aca="false">IF((F47="m"),I47," ")</f>
        <v> </v>
      </c>
      <c r="V47" s="19" t="str">
        <f aca="false">IF((F47="g"),I47," ")</f>
        <v> </v>
      </c>
      <c r="W47" s="29" t="str">
        <f aca="false">IF((F47="v"),I47," ")</f>
        <v> </v>
      </c>
      <c r="X47" s="19" t="str">
        <f aca="false">IF((F47="h"),I47," ")</f>
        <v> </v>
      </c>
      <c r="Y47" s="19" t="str">
        <f aca="false">IF((F47="a"),I47," ")</f>
        <v> </v>
      </c>
      <c r="Z47" s="19" t="str">
        <f aca="false">IF((F47="l"),I47," ")</f>
        <v> </v>
      </c>
      <c r="AA47" s="19" t="str">
        <f aca="false">IF((F47="y"),I47," ")</f>
        <v> </v>
      </c>
      <c r="AB47" s="19" t="str">
        <f aca="false">IF((F47="fa"),I47," ")</f>
        <v> </v>
      </c>
    </row>
    <row r="48" customFormat="false" ht="12" hidden="false" customHeight="false" outlineLevel="0" collapsed="false">
      <c r="A48" s="27"/>
      <c r="F48" s="58"/>
      <c r="G48" s="29"/>
      <c r="I48" s="6" t="str">
        <f aca="false">IF((G48&lt;&gt;0),G48-H48," ")</f>
        <v> </v>
      </c>
      <c r="J48" s="5"/>
      <c r="M48" s="7" t="str">
        <f aca="false">IF(G48&lt;&gt;0,G48-L48," ")</f>
        <v> </v>
      </c>
      <c r="N48" s="8" t="str">
        <f aca="false">IF((G48-L48)&lt;&gt;0,N$1-A48," ")</f>
        <v> </v>
      </c>
      <c r="O48" s="5"/>
      <c r="P48" s="19" t="str">
        <f aca="false">IF((F48="s"),I48," ")</f>
        <v> </v>
      </c>
      <c r="Q48" s="19" t="str">
        <f aca="false">IF((F48="c"),I48," ")</f>
        <v> </v>
      </c>
      <c r="R48" s="19" t="str">
        <f aca="false">IF((F48="o"),I48," ")</f>
        <v> </v>
      </c>
      <c r="S48" s="19" t="str">
        <f aca="false">IF((F48="w"),I48," ")</f>
        <v> </v>
      </c>
      <c r="T48" s="19" t="str">
        <f aca="false">IF((F48="p"),I48," ")</f>
        <v> </v>
      </c>
      <c r="U48" s="19" t="str">
        <f aca="false">IF((F48="m"),I48," ")</f>
        <v> </v>
      </c>
      <c r="V48" s="19" t="str">
        <f aca="false">IF((F48="g"),I48," ")</f>
        <v> </v>
      </c>
      <c r="W48" s="29" t="str">
        <f aca="false">IF((F48="v"),I48," ")</f>
        <v> </v>
      </c>
      <c r="X48" s="19" t="str">
        <f aca="false">IF((F48="h"),I48," ")</f>
        <v> </v>
      </c>
      <c r="Y48" s="19" t="str">
        <f aca="false">IF((F48="a"),I48," ")</f>
        <v> </v>
      </c>
      <c r="Z48" s="19" t="str">
        <f aca="false">IF((F48="l"),I48," ")</f>
        <v> </v>
      </c>
      <c r="AA48" s="19" t="str">
        <f aca="false">IF((F48="y"),I48," ")</f>
        <v> </v>
      </c>
      <c r="AB48" s="19" t="str">
        <f aca="false">IF((F48="fa"),I48," ")</f>
        <v> </v>
      </c>
    </row>
    <row r="49" customFormat="false" ht="12" hidden="false" customHeight="false" outlineLevel="0" collapsed="false">
      <c r="A49" s="27"/>
      <c r="F49" s="58"/>
      <c r="G49" s="29"/>
      <c r="I49" s="6" t="str">
        <f aca="false">IF((G49&lt;&gt;0),G49-H49," ")</f>
        <v> </v>
      </c>
      <c r="J49" s="5"/>
      <c r="M49" s="7" t="str">
        <f aca="false">IF(G49&lt;&gt;0,G49-L49," ")</f>
        <v> </v>
      </c>
      <c r="N49" s="8" t="str">
        <f aca="false">IF((G49-L49)&lt;&gt;0,N$1-A49," ")</f>
        <v> </v>
      </c>
      <c r="O49" s="5"/>
      <c r="P49" s="19" t="str">
        <f aca="false">IF((F49="s"),I49," ")</f>
        <v> </v>
      </c>
      <c r="Q49" s="19" t="str">
        <f aca="false">IF((F49="c"),I49," ")</f>
        <v> </v>
      </c>
      <c r="R49" s="19" t="str">
        <f aca="false">IF((F49="o"),I49," ")</f>
        <v> </v>
      </c>
      <c r="S49" s="19" t="str">
        <f aca="false">IF((F49="w"),I49," ")</f>
        <v> </v>
      </c>
      <c r="T49" s="19" t="str">
        <f aca="false">IF((F49="p"),I49," ")</f>
        <v> </v>
      </c>
      <c r="U49" s="19" t="str">
        <f aca="false">IF((F49="m"),I49," ")</f>
        <v> </v>
      </c>
      <c r="V49" s="19" t="str">
        <f aca="false">IF((F49="g"),I49," ")</f>
        <v> </v>
      </c>
      <c r="W49" s="29" t="str">
        <f aca="false">IF((F49="v"),I49," ")</f>
        <v> </v>
      </c>
      <c r="X49" s="19" t="str">
        <f aca="false">IF((F49="h"),I49," ")</f>
        <v> </v>
      </c>
      <c r="Y49" s="19" t="str">
        <f aca="false">IF((F49="a"),I49," ")</f>
        <v> </v>
      </c>
      <c r="Z49" s="19" t="str">
        <f aca="false">IF((F49="l"),I49," ")</f>
        <v> </v>
      </c>
      <c r="AA49" s="19" t="str">
        <f aca="false">IF((F49="y"),I49," ")</f>
        <v> </v>
      </c>
      <c r="AB49" s="19" t="str">
        <f aca="false">IF((F49="fa"),I49," ")</f>
        <v> </v>
      </c>
    </row>
    <row r="50" customFormat="false" ht="12" hidden="false" customHeight="false" outlineLevel="0" collapsed="false">
      <c r="A50" s="27"/>
      <c r="F50" s="58"/>
      <c r="G50" s="29"/>
      <c r="I50" s="6" t="str">
        <f aca="false">IF((G50&lt;&gt;0),G50-H50," ")</f>
        <v> </v>
      </c>
      <c r="J50" s="5"/>
      <c r="M50" s="7" t="str">
        <f aca="false">IF(G50&lt;&gt;0,G50-L50," ")</f>
        <v> </v>
      </c>
      <c r="N50" s="8" t="str">
        <f aca="false">IF((G50-L50)&lt;&gt;0,N$1-A50," ")</f>
        <v> </v>
      </c>
      <c r="O50" s="5"/>
      <c r="P50" s="19" t="str">
        <f aca="false">IF((F50="s"),I50," ")</f>
        <v> </v>
      </c>
      <c r="Q50" s="19" t="str">
        <f aca="false">IF((F50="c"),I50," ")</f>
        <v> </v>
      </c>
      <c r="R50" s="19" t="str">
        <f aca="false">IF((F50="o"),I50," ")</f>
        <v> </v>
      </c>
      <c r="S50" s="19" t="str">
        <f aca="false">IF((F50="w"),I50," ")</f>
        <v> </v>
      </c>
      <c r="T50" s="19" t="str">
        <f aca="false">IF((F50="p"),I50," ")</f>
        <v> </v>
      </c>
      <c r="U50" s="19" t="str">
        <f aca="false">IF((F50="m"),I50," ")</f>
        <v> </v>
      </c>
      <c r="V50" s="19" t="str">
        <f aca="false">IF((F50="g"),I50," ")</f>
        <v> </v>
      </c>
      <c r="W50" s="29" t="str">
        <f aca="false">IF((F50="v"),I50," ")</f>
        <v> </v>
      </c>
      <c r="X50" s="19" t="str">
        <f aca="false">IF((F50="h"),I50," ")</f>
        <v> </v>
      </c>
      <c r="Y50" s="19" t="str">
        <f aca="false">IF((F50="a"),I50," ")</f>
        <v> </v>
      </c>
      <c r="Z50" s="19" t="str">
        <f aca="false">IF((F50="l"),I50," ")</f>
        <v> </v>
      </c>
      <c r="AA50" s="19" t="str">
        <f aca="false">IF((F50="y"),I50," ")</f>
        <v> </v>
      </c>
      <c r="AB50" s="19" t="str">
        <f aca="false">IF((F50="fa"),I50," ")</f>
        <v> </v>
      </c>
    </row>
    <row r="51" customFormat="false" ht="12" hidden="false" customHeight="false" outlineLevel="0" collapsed="false">
      <c r="A51" s="27"/>
      <c r="F51" s="58"/>
      <c r="G51" s="29"/>
      <c r="I51" s="6" t="str">
        <f aca="false">IF((G51&lt;&gt;0),G51-H51," ")</f>
        <v> </v>
      </c>
      <c r="J51" s="5"/>
      <c r="M51" s="7" t="str">
        <f aca="false">IF(G51&lt;&gt;0,G51-L51," ")</f>
        <v> </v>
      </c>
      <c r="N51" s="8" t="str">
        <f aca="false">IF((G51-L51)&lt;&gt;0,N$1-A51," ")</f>
        <v> </v>
      </c>
      <c r="O51" s="5"/>
      <c r="P51" s="19" t="str">
        <f aca="false">IF((F51="s"),I51," ")</f>
        <v> </v>
      </c>
      <c r="Q51" s="19" t="str">
        <f aca="false">IF((F51="c"),I51," ")</f>
        <v> </v>
      </c>
      <c r="R51" s="19" t="str">
        <f aca="false">IF((F51="o"),I51," ")</f>
        <v> </v>
      </c>
      <c r="S51" s="19" t="str">
        <f aca="false">IF((F51="w"),I51," ")</f>
        <v> </v>
      </c>
      <c r="T51" s="19" t="str">
        <f aca="false">IF((F51="p"),I51," ")</f>
        <v> </v>
      </c>
      <c r="U51" s="19" t="str">
        <f aca="false">IF((F51="m"),I51," ")</f>
        <v> </v>
      </c>
      <c r="V51" s="19" t="str">
        <f aca="false">IF((F51="g"),I51," ")</f>
        <v> </v>
      </c>
      <c r="W51" s="29" t="str">
        <f aca="false">IF((F51="v"),I51," ")</f>
        <v> </v>
      </c>
      <c r="X51" s="19" t="str">
        <f aca="false">IF((F51="h"),I51," ")</f>
        <v> </v>
      </c>
      <c r="Y51" s="19" t="str">
        <f aca="false">IF((F51="a"),I51," ")</f>
        <v> </v>
      </c>
      <c r="Z51" s="19" t="str">
        <f aca="false">IF((F51="l"),I51," ")</f>
        <v> </v>
      </c>
      <c r="AA51" s="19" t="str">
        <f aca="false">IF((F51="y"),I51," ")</f>
        <v> </v>
      </c>
      <c r="AB51" s="19" t="str">
        <f aca="false">IF((F51="fa"),I51," ")</f>
        <v> </v>
      </c>
    </row>
    <row r="52" customFormat="false" ht="12" hidden="false" customHeight="false" outlineLevel="0" collapsed="false">
      <c r="A52" s="27"/>
      <c r="F52" s="58"/>
      <c r="G52" s="29"/>
      <c r="I52" s="6" t="str">
        <f aca="false">IF((G52&lt;&gt;0),G52-H52," ")</f>
        <v> </v>
      </c>
      <c r="J52" s="5"/>
      <c r="M52" s="7" t="str">
        <f aca="false">IF(G52&lt;&gt;0,G52-L52," ")</f>
        <v> </v>
      </c>
      <c r="N52" s="8" t="str">
        <f aca="false">IF((G52-L52)&lt;&gt;0,N$1-A52," ")</f>
        <v> </v>
      </c>
      <c r="O52" s="5"/>
      <c r="P52" s="19" t="str">
        <f aca="false">IF((F52="s"),I52," ")</f>
        <v> </v>
      </c>
      <c r="Q52" s="19" t="str">
        <f aca="false">IF((F52="c"),I52," ")</f>
        <v> </v>
      </c>
      <c r="R52" s="19" t="str">
        <f aca="false">IF((F52="o"),I52," ")</f>
        <v> </v>
      </c>
      <c r="S52" s="19" t="str">
        <f aca="false">IF((F52="w"),I52," ")</f>
        <v> </v>
      </c>
      <c r="T52" s="19" t="str">
        <f aca="false">IF((F52="p"),I52," ")</f>
        <v> </v>
      </c>
      <c r="U52" s="19" t="str">
        <f aca="false">IF((F52="m"),I52," ")</f>
        <v> </v>
      </c>
      <c r="V52" s="19" t="str">
        <f aca="false">IF((F52="g"),I52," ")</f>
        <v> </v>
      </c>
      <c r="W52" s="29" t="str">
        <f aca="false">IF((F52="v"),I52," ")</f>
        <v> </v>
      </c>
      <c r="X52" s="19" t="str">
        <f aca="false">IF((F52="h"),I52," ")</f>
        <v> </v>
      </c>
      <c r="Y52" s="19" t="str">
        <f aca="false">IF((F52="a"),I52," ")</f>
        <v> </v>
      </c>
      <c r="Z52" s="19" t="str">
        <f aca="false">IF((F52="l"),I52," ")</f>
        <v> </v>
      </c>
      <c r="AA52" s="19" t="str">
        <f aca="false">IF((F52="y"),I52," ")</f>
        <v> </v>
      </c>
      <c r="AB52" s="19" t="str">
        <f aca="false">IF((F52="fa"),I52," ")</f>
        <v> </v>
      </c>
    </row>
    <row r="53" customFormat="false" ht="12" hidden="false" customHeight="false" outlineLevel="0" collapsed="false">
      <c r="A53" s="27"/>
      <c r="F53" s="58"/>
      <c r="G53" s="29"/>
      <c r="I53" s="6" t="str">
        <f aca="false">IF((G53&lt;&gt;0),G53-H53," ")</f>
        <v> </v>
      </c>
      <c r="J53" s="5"/>
      <c r="M53" s="7" t="str">
        <f aca="false">IF(G53&lt;&gt;0,G53-L53," ")</f>
        <v> </v>
      </c>
      <c r="N53" s="8" t="str">
        <f aca="false">IF((G53-L53)&lt;&gt;0,N$1-A53," ")</f>
        <v> </v>
      </c>
      <c r="O53" s="5"/>
      <c r="P53" s="19" t="str">
        <f aca="false">IF((F53="s"),I53," ")</f>
        <v> </v>
      </c>
      <c r="Q53" s="19" t="str">
        <f aca="false">IF((F53="c"),I53," ")</f>
        <v> </v>
      </c>
      <c r="R53" s="19" t="str">
        <f aca="false">IF((F53="o"),I53," ")</f>
        <v> </v>
      </c>
      <c r="S53" s="19" t="str">
        <f aca="false">IF((F53="w"),I53," ")</f>
        <v> </v>
      </c>
      <c r="T53" s="19" t="str">
        <f aca="false">IF((F53="p"),I53," ")</f>
        <v> </v>
      </c>
      <c r="U53" s="19" t="str">
        <f aca="false">IF((F53="m"),I53," ")</f>
        <v> </v>
      </c>
      <c r="V53" s="19" t="str">
        <f aca="false">IF((F53="g"),I53," ")</f>
        <v> </v>
      </c>
      <c r="W53" s="29" t="str">
        <f aca="false">IF((F53="v"),I53," ")</f>
        <v> </v>
      </c>
      <c r="X53" s="19" t="str">
        <f aca="false">IF((F53="h"),I53," ")</f>
        <v> </v>
      </c>
      <c r="Y53" s="19" t="str">
        <f aca="false">IF((F53="a"),I53," ")</f>
        <v> </v>
      </c>
      <c r="Z53" s="19" t="str">
        <f aca="false">IF((F53="l"),I53," ")</f>
        <v> </v>
      </c>
      <c r="AA53" s="19" t="str">
        <f aca="false">IF((F53="y"),I53," ")</f>
        <v> </v>
      </c>
      <c r="AB53" s="19" t="str">
        <f aca="false">IF((F53="fa"),I53," ")</f>
        <v> </v>
      </c>
    </row>
    <row r="54" customFormat="false" ht="12" hidden="false" customHeight="false" outlineLevel="0" collapsed="false">
      <c r="A54" s="27"/>
      <c r="F54" s="58"/>
      <c r="G54" s="29"/>
      <c r="I54" s="6" t="str">
        <f aca="false">IF((G54&lt;&gt;0),G54-H54," ")</f>
        <v> </v>
      </c>
      <c r="J54" s="5"/>
      <c r="M54" s="7" t="str">
        <f aca="false">IF(G54&lt;&gt;0,G54-L54," ")</f>
        <v> </v>
      </c>
      <c r="N54" s="8" t="str">
        <f aca="false">IF((G54-L54)&lt;&gt;0,N$1-A54," ")</f>
        <v> </v>
      </c>
      <c r="O54" s="5"/>
      <c r="P54" s="19" t="str">
        <f aca="false">IF((F54="s"),I54," ")</f>
        <v> </v>
      </c>
      <c r="Q54" s="19" t="str">
        <f aca="false">IF((F54="c"),I54," ")</f>
        <v> </v>
      </c>
      <c r="R54" s="19" t="str">
        <f aca="false">IF((F54="o"),I54," ")</f>
        <v> </v>
      </c>
      <c r="S54" s="19" t="str">
        <f aca="false">IF((F54="w"),I54," ")</f>
        <v> </v>
      </c>
      <c r="T54" s="19" t="str">
        <f aca="false">IF((F54="p"),I54," ")</f>
        <v> </v>
      </c>
      <c r="U54" s="19" t="str">
        <f aca="false">IF((F54="m"),I54," ")</f>
        <v> </v>
      </c>
      <c r="V54" s="19" t="str">
        <f aca="false">IF((F54="g"),I54," ")</f>
        <v> </v>
      </c>
      <c r="W54" s="29" t="str">
        <f aca="false">IF((F54="v"),I54," ")</f>
        <v> </v>
      </c>
      <c r="X54" s="19" t="str">
        <f aca="false">IF((F54="h"),I54," ")</f>
        <v> </v>
      </c>
      <c r="Y54" s="19" t="str">
        <f aca="false">IF((F54="a"),I54," ")</f>
        <v> </v>
      </c>
      <c r="Z54" s="19" t="str">
        <f aca="false">IF((F54="l"),I54," ")</f>
        <v> </v>
      </c>
      <c r="AA54" s="19" t="str">
        <f aca="false">IF((F54="y"),I54," ")</f>
        <v> </v>
      </c>
      <c r="AB54" s="19" t="str">
        <f aca="false">IF((F54="fa"),I54," ")</f>
        <v> </v>
      </c>
    </row>
    <row r="55" customFormat="false" ht="12" hidden="false" customHeight="false" outlineLevel="0" collapsed="false">
      <c r="A55" s="27"/>
      <c r="F55" s="58"/>
      <c r="G55" s="29"/>
      <c r="I55" s="6" t="str">
        <f aca="false">IF((G55&lt;&gt;0),G55-H55," ")</f>
        <v> </v>
      </c>
      <c r="J55" s="5"/>
      <c r="M55" s="7" t="str">
        <f aca="false">IF(G55&lt;&gt;0,G55-L55," ")</f>
        <v> </v>
      </c>
      <c r="N55" s="8" t="str">
        <f aca="false">IF((G55-L55)&lt;&gt;0,N$1-A55," ")</f>
        <v> </v>
      </c>
      <c r="O55" s="5"/>
      <c r="P55" s="19" t="str">
        <f aca="false">IF((F55="s"),I55," ")</f>
        <v> </v>
      </c>
      <c r="Q55" s="19" t="str">
        <f aca="false">IF((F55="c"),I55," ")</f>
        <v> </v>
      </c>
      <c r="R55" s="19" t="str">
        <f aca="false">IF((F55="o"),I55," ")</f>
        <v> </v>
      </c>
      <c r="S55" s="19" t="str">
        <f aca="false">IF((F55="w"),I55," ")</f>
        <v> </v>
      </c>
      <c r="T55" s="19" t="str">
        <f aca="false">IF((F55="p"),I55," ")</f>
        <v> </v>
      </c>
      <c r="U55" s="19" t="str">
        <f aca="false">IF((F55="m"),I55," ")</f>
        <v> </v>
      </c>
      <c r="V55" s="19" t="str">
        <f aca="false">IF((F55="g"),I55," ")</f>
        <v> </v>
      </c>
      <c r="W55" s="29" t="str">
        <f aca="false">IF((F55="v"),I55," ")</f>
        <v> </v>
      </c>
      <c r="X55" s="19" t="str">
        <f aca="false">IF((F55="h"),I55," ")</f>
        <v> </v>
      </c>
      <c r="Y55" s="19" t="str">
        <f aca="false">IF((F55="a"),I55," ")</f>
        <v> </v>
      </c>
      <c r="Z55" s="19" t="str">
        <f aca="false">IF((F55="l"),I55," ")</f>
        <v> </v>
      </c>
      <c r="AA55" s="19" t="str">
        <f aca="false">IF((F55="y"),I55," ")</f>
        <v> </v>
      </c>
      <c r="AB55" s="19" t="str">
        <f aca="false">IF((F55="fa"),I55," ")</f>
        <v> </v>
      </c>
    </row>
    <row r="56" customFormat="false" ht="12" hidden="false" customHeight="false" outlineLevel="0" collapsed="false">
      <c r="A56" s="27"/>
      <c r="F56" s="58"/>
      <c r="G56" s="29"/>
      <c r="I56" s="6" t="str">
        <f aca="false">IF((G56&lt;&gt;0),G56-H56," ")</f>
        <v> </v>
      </c>
      <c r="J56" s="5"/>
      <c r="M56" s="7" t="str">
        <f aca="false">IF(G56&lt;&gt;0,G56-L56," ")</f>
        <v> </v>
      </c>
      <c r="N56" s="8" t="str">
        <f aca="false">IF((G56-L56)&lt;&gt;0,N$1-A56," ")</f>
        <v> </v>
      </c>
      <c r="O56" s="5"/>
      <c r="P56" s="19" t="str">
        <f aca="false">IF((F56="s"),I56," ")</f>
        <v> </v>
      </c>
      <c r="Q56" s="19" t="str">
        <f aca="false">IF((F56="c"),I56," ")</f>
        <v> </v>
      </c>
      <c r="R56" s="19" t="str">
        <f aca="false">IF((F56="o"),I56," ")</f>
        <v> </v>
      </c>
      <c r="S56" s="19" t="str">
        <f aca="false">IF((F56="w"),I56," ")</f>
        <v> </v>
      </c>
      <c r="T56" s="19" t="str">
        <f aca="false">IF((F56="p"),I56," ")</f>
        <v> </v>
      </c>
      <c r="U56" s="19" t="str">
        <f aca="false">IF((F56="m"),I56," ")</f>
        <v> </v>
      </c>
      <c r="V56" s="19" t="str">
        <f aca="false">IF((F56="g"),I56," ")</f>
        <v> </v>
      </c>
      <c r="W56" s="29" t="str">
        <f aca="false">IF((F56="v"),I56," ")</f>
        <v> </v>
      </c>
      <c r="X56" s="19" t="str">
        <f aca="false">IF((F56="h"),I56," ")</f>
        <v> </v>
      </c>
      <c r="Y56" s="19" t="str">
        <f aca="false">IF((F56="a"),I56," ")</f>
        <v> </v>
      </c>
      <c r="Z56" s="19" t="str">
        <f aca="false">IF((F56="l"),I56," ")</f>
        <v> </v>
      </c>
      <c r="AA56" s="19" t="str">
        <f aca="false">IF((F56="y"),I56," ")</f>
        <v> </v>
      </c>
      <c r="AB56" s="19" t="str">
        <f aca="false">IF((F56="fa"),I56," ")</f>
        <v> </v>
      </c>
    </row>
    <row r="57" customFormat="false" ht="12" hidden="false" customHeight="false" outlineLevel="0" collapsed="false">
      <c r="A57" s="27"/>
      <c r="F57" s="58"/>
      <c r="G57" s="29"/>
      <c r="I57" s="6" t="str">
        <f aca="false">IF((G57&lt;&gt;0),G57-H57," ")</f>
        <v> </v>
      </c>
      <c r="J57" s="5"/>
      <c r="M57" s="7" t="str">
        <f aca="false">IF(G57&lt;&gt;0,G57-L57," ")</f>
        <v> </v>
      </c>
      <c r="N57" s="8" t="str">
        <f aca="false">IF((G57-L57)&lt;&gt;0,N$1-A57," ")</f>
        <v> </v>
      </c>
      <c r="O57" s="5"/>
      <c r="P57" s="19" t="str">
        <f aca="false">IF((F57="s"),I57," ")</f>
        <v> </v>
      </c>
      <c r="Q57" s="19" t="str">
        <f aca="false">IF((F57="c"),I57," ")</f>
        <v> </v>
      </c>
      <c r="R57" s="19" t="str">
        <f aca="false">IF((F57="o"),I57," ")</f>
        <v> </v>
      </c>
      <c r="S57" s="19" t="str">
        <f aca="false">IF((F57="w"),I57," ")</f>
        <v> </v>
      </c>
      <c r="T57" s="19" t="str">
        <f aca="false">IF((F57="p"),I57," ")</f>
        <v> </v>
      </c>
      <c r="U57" s="19" t="str">
        <f aca="false">IF((F57="m"),I57," ")</f>
        <v> </v>
      </c>
      <c r="V57" s="19" t="str">
        <f aca="false">IF((F57="g"),I57," ")</f>
        <v> </v>
      </c>
      <c r="W57" s="29" t="str">
        <f aca="false">IF((F57="v"),I57," ")</f>
        <v> </v>
      </c>
      <c r="X57" s="19" t="str">
        <f aca="false">IF((F57="h"),I57," ")</f>
        <v> </v>
      </c>
      <c r="Y57" s="19" t="str">
        <f aca="false">IF((F57="a"),I57," ")</f>
        <v> </v>
      </c>
      <c r="Z57" s="19" t="str">
        <f aca="false">IF((F57="l"),I57," ")</f>
        <v> </v>
      </c>
      <c r="AA57" s="19" t="str">
        <f aca="false">IF((F57="y"),I57," ")</f>
        <v> </v>
      </c>
      <c r="AB57" s="19" t="str">
        <f aca="false">IF((F57="fa"),I57," ")</f>
        <v> </v>
      </c>
    </row>
    <row r="58" customFormat="false" ht="12" hidden="false" customHeight="false" outlineLevel="0" collapsed="false">
      <c r="A58" s="27"/>
      <c r="F58" s="58"/>
      <c r="G58" s="29"/>
      <c r="I58" s="6" t="str">
        <f aca="false">IF((G58&lt;&gt;0),G58-H58," ")</f>
        <v> </v>
      </c>
      <c r="J58" s="5"/>
      <c r="M58" s="7" t="str">
        <f aca="false">IF(G58&lt;&gt;0,G58-L58," ")</f>
        <v> </v>
      </c>
      <c r="N58" s="8" t="str">
        <f aca="false">IF((G58-L58)&lt;&gt;0,N$1-A58," ")</f>
        <v> </v>
      </c>
      <c r="O58" s="5"/>
      <c r="P58" s="19" t="str">
        <f aca="false">IF((F58="s"),I58," ")</f>
        <v> </v>
      </c>
      <c r="Q58" s="19" t="str">
        <f aca="false">IF((F58="c"),I58," ")</f>
        <v> </v>
      </c>
      <c r="R58" s="19" t="str">
        <f aca="false">IF((F58="o"),I58," ")</f>
        <v> </v>
      </c>
      <c r="S58" s="19" t="str">
        <f aca="false">IF((F58="w"),I58," ")</f>
        <v> </v>
      </c>
      <c r="T58" s="19" t="str">
        <f aca="false">IF((F58="p"),I58," ")</f>
        <v> </v>
      </c>
      <c r="U58" s="19" t="str">
        <f aca="false">IF((F58="m"),I58," ")</f>
        <v> </v>
      </c>
      <c r="V58" s="19" t="str">
        <f aca="false">IF((F58="g"),I58," ")</f>
        <v> </v>
      </c>
      <c r="W58" s="29" t="str">
        <f aca="false">IF((F58="v"),I58," ")</f>
        <v> </v>
      </c>
      <c r="X58" s="19" t="str">
        <f aca="false">IF((F58="h"),I58," ")</f>
        <v> </v>
      </c>
      <c r="Y58" s="19" t="str">
        <f aca="false">IF((F58="a"),I58," ")</f>
        <v> </v>
      </c>
      <c r="Z58" s="19" t="str">
        <f aca="false">IF((F58="l"),I58," ")</f>
        <v> </v>
      </c>
      <c r="AA58" s="19" t="str">
        <f aca="false">IF((F58="y"),I58," ")</f>
        <v> </v>
      </c>
      <c r="AB58" s="19" t="str">
        <f aca="false">IF((F58="fa"),I58," ")</f>
        <v> </v>
      </c>
    </row>
    <row r="59" customFormat="false" ht="12" hidden="false" customHeight="false" outlineLevel="0" collapsed="false">
      <c r="A59" s="27"/>
      <c r="F59" s="58"/>
      <c r="G59" s="29"/>
      <c r="I59" s="6" t="str">
        <f aca="false">IF((G59&lt;&gt;0),G59-H59," ")</f>
        <v> </v>
      </c>
      <c r="J59" s="5"/>
      <c r="M59" s="7" t="str">
        <f aca="false">IF(G59&lt;&gt;0,G59-L59," ")</f>
        <v> </v>
      </c>
      <c r="N59" s="8" t="str">
        <f aca="false">IF((G59-L59)&lt;&gt;0,N$1-A59," ")</f>
        <v> </v>
      </c>
      <c r="O59" s="5"/>
      <c r="P59" s="19" t="str">
        <f aca="false">IF((F59="s"),I59," ")</f>
        <v> </v>
      </c>
      <c r="Q59" s="19" t="str">
        <f aca="false">IF((F59="c"),I59," ")</f>
        <v> </v>
      </c>
      <c r="R59" s="19" t="str">
        <f aca="false">IF((F59="o"),I59," ")</f>
        <v> </v>
      </c>
      <c r="S59" s="19" t="str">
        <f aca="false">IF((F59="w"),I59," ")</f>
        <v> </v>
      </c>
      <c r="T59" s="19" t="str">
        <f aca="false">IF((F59="p"),I59," ")</f>
        <v> </v>
      </c>
      <c r="U59" s="19" t="str">
        <f aca="false">IF((F59="m"),I59," ")</f>
        <v> </v>
      </c>
      <c r="V59" s="19" t="str">
        <f aca="false">IF((F59="g"),I59," ")</f>
        <v> </v>
      </c>
      <c r="W59" s="29" t="str">
        <f aca="false">IF((F59="v"),I59," ")</f>
        <v> </v>
      </c>
      <c r="X59" s="19" t="str">
        <f aca="false">IF((F59="h"),I59," ")</f>
        <v> </v>
      </c>
      <c r="Y59" s="19" t="str">
        <f aca="false">IF((F59="a"),I59," ")</f>
        <v> </v>
      </c>
      <c r="Z59" s="19" t="str">
        <f aca="false">IF((F59="l"),I59," ")</f>
        <v> </v>
      </c>
      <c r="AA59" s="19" t="str">
        <f aca="false">IF((F59="y"),I59," ")</f>
        <v> </v>
      </c>
      <c r="AB59" s="19" t="str">
        <f aca="false">IF((F59="fa"),I59," ")</f>
        <v> </v>
      </c>
    </row>
    <row r="60" customFormat="false" ht="12" hidden="false" customHeight="false" outlineLevel="0" collapsed="false">
      <c r="A60" s="27"/>
      <c r="F60" s="58"/>
      <c r="G60" s="29"/>
      <c r="I60" s="6" t="str">
        <f aca="false">IF((G60&lt;&gt;0),G60-H60," ")</f>
        <v> </v>
      </c>
      <c r="J60" s="5"/>
      <c r="M60" s="7" t="str">
        <f aca="false">IF(G60&lt;&gt;0,G60-L60," ")</f>
        <v> </v>
      </c>
      <c r="N60" s="8" t="str">
        <f aca="false">IF((G60-L60)&lt;&gt;0,N$1-A60," ")</f>
        <v> </v>
      </c>
      <c r="O60" s="5"/>
      <c r="P60" s="19" t="str">
        <f aca="false">IF((F60="s"),I60," ")</f>
        <v> </v>
      </c>
      <c r="Q60" s="19" t="str">
        <f aca="false">IF((F60="c"),I60," ")</f>
        <v> </v>
      </c>
      <c r="R60" s="19" t="str">
        <f aca="false">IF((F60="o"),I60," ")</f>
        <v> </v>
      </c>
      <c r="S60" s="19" t="str">
        <f aca="false">IF((F60="w"),I60," ")</f>
        <v> </v>
      </c>
      <c r="T60" s="19" t="str">
        <f aca="false">IF((F60="p"),I60," ")</f>
        <v> </v>
      </c>
      <c r="U60" s="19" t="str">
        <f aca="false">IF((F60="m"),I60," ")</f>
        <v> </v>
      </c>
      <c r="V60" s="19" t="str">
        <f aca="false">IF((F60="g"),I60," ")</f>
        <v> </v>
      </c>
      <c r="W60" s="29" t="str">
        <f aca="false">IF((F60="v"),I60," ")</f>
        <v> </v>
      </c>
      <c r="X60" s="19" t="str">
        <f aca="false">IF((F60="h"),I60," ")</f>
        <v> </v>
      </c>
      <c r="Y60" s="19" t="str">
        <f aca="false">IF((F60="a"),I60," ")</f>
        <v> </v>
      </c>
      <c r="Z60" s="19" t="str">
        <f aca="false">IF((F60="l"),I60," ")</f>
        <v> </v>
      </c>
      <c r="AA60" s="19" t="str">
        <f aca="false">IF((F60="y"),I60," ")</f>
        <v> </v>
      </c>
      <c r="AB60" s="19" t="str">
        <f aca="false">IF((F60="fa"),I60," ")</f>
        <v> </v>
      </c>
    </row>
    <row r="61" customFormat="false" ht="12" hidden="false" customHeight="false" outlineLevel="0" collapsed="false">
      <c r="A61" s="27"/>
      <c r="F61" s="58"/>
      <c r="G61" s="29"/>
      <c r="I61" s="6" t="str">
        <f aca="false">IF((G61&lt;&gt;0),G61-H61," ")</f>
        <v> </v>
      </c>
      <c r="J61" s="5"/>
      <c r="M61" s="7" t="str">
        <f aca="false">IF(G61&lt;&gt;0,G61-L61," ")</f>
        <v> </v>
      </c>
      <c r="N61" s="8" t="str">
        <f aca="false">IF((G61-L61)&lt;&gt;0,N$1-A61," ")</f>
        <v> </v>
      </c>
      <c r="O61" s="5"/>
      <c r="P61" s="19" t="str">
        <f aca="false">IF((F61="s"),I61," ")</f>
        <v> </v>
      </c>
      <c r="Q61" s="19" t="str">
        <f aca="false">IF((F61="c"),I61," ")</f>
        <v> </v>
      </c>
      <c r="R61" s="19" t="str">
        <f aca="false">IF((F61="o"),I61," ")</f>
        <v> </v>
      </c>
      <c r="S61" s="19" t="str">
        <f aca="false">IF((F61="w"),I61," ")</f>
        <v> </v>
      </c>
      <c r="T61" s="19" t="str">
        <f aca="false">IF((F61="p"),I61," ")</f>
        <v> </v>
      </c>
      <c r="U61" s="19" t="str">
        <f aca="false">IF((F61="m"),I61," ")</f>
        <v> </v>
      </c>
      <c r="V61" s="19" t="str">
        <f aca="false">IF((F61="g"),I61," ")</f>
        <v> </v>
      </c>
      <c r="W61" s="29" t="str">
        <f aca="false">IF((F61="v"),I61," ")</f>
        <v> </v>
      </c>
      <c r="X61" s="19" t="str">
        <f aca="false">IF((F61="h"),I61," ")</f>
        <v> </v>
      </c>
      <c r="Y61" s="19" t="str">
        <f aca="false">IF((F61="a"),I61," ")</f>
        <v> </v>
      </c>
      <c r="Z61" s="19" t="str">
        <f aca="false">IF((F61="l"),I61," ")</f>
        <v> </v>
      </c>
      <c r="AA61" s="19" t="str">
        <f aca="false">IF((F61="y"),I61," ")</f>
        <v> </v>
      </c>
      <c r="AB61" s="19" t="str">
        <f aca="false">IF((F61="fa"),I61," ")</f>
        <v> </v>
      </c>
    </row>
    <row r="62" customFormat="false" ht="12" hidden="false" customHeight="false" outlineLevel="0" collapsed="false">
      <c r="A62" s="27"/>
      <c r="F62" s="58"/>
      <c r="G62" s="29"/>
      <c r="I62" s="6" t="str">
        <f aca="false">IF((G62&lt;&gt;0),G62-H62," ")</f>
        <v> </v>
      </c>
      <c r="J62" s="5"/>
      <c r="M62" s="7" t="str">
        <f aca="false">IF(G62&lt;&gt;0,G62-L62," ")</f>
        <v> </v>
      </c>
      <c r="N62" s="8" t="str">
        <f aca="false">IF((G62-L62)&lt;&gt;0,N$1-A62," ")</f>
        <v> </v>
      </c>
      <c r="O62" s="5"/>
      <c r="P62" s="19" t="str">
        <f aca="false">IF((F62="s"),I62," ")</f>
        <v> </v>
      </c>
      <c r="Q62" s="19" t="str">
        <f aca="false">IF((F62="c"),I62," ")</f>
        <v> </v>
      </c>
      <c r="R62" s="19" t="str">
        <f aca="false">IF((F62="o"),I62," ")</f>
        <v> </v>
      </c>
      <c r="S62" s="19" t="str">
        <f aca="false">IF((F62="w"),I62," ")</f>
        <v> </v>
      </c>
      <c r="T62" s="19" t="str">
        <f aca="false">IF((F62="p"),I62," ")</f>
        <v> </v>
      </c>
      <c r="U62" s="19" t="str">
        <f aca="false">IF((F62="m"),I62," ")</f>
        <v> </v>
      </c>
      <c r="V62" s="19" t="str">
        <f aca="false">IF((F62="g"),I62," ")</f>
        <v> </v>
      </c>
      <c r="W62" s="29" t="str">
        <f aca="false">IF((F62="v"),I62," ")</f>
        <v> </v>
      </c>
      <c r="X62" s="19" t="str">
        <f aca="false">IF((F62="h"),I62," ")</f>
        <v> </v>
      </c>
      <c r="Y62" s="19" t="str">
        <f aca="false">IF((F62="a"),I62," ")</f>
        <v> </v>
      </c>
      <c r="Z62" s="19" t="str">
        <f aca="false">IF((F62="l"),I62," ")</f>
        <v> </v>
      </c>
      <c r="AA62" s="19" t="str">
        <f aca="false">IF((F62="y"),I62," ")</f>
        <v> </v>
      </c>
      <c r="AB62" s="19" t="str">
        <f aca="false">IF((F62="fa"),I62," ")</f>
        <v> </v>
      </c>
    </row>
    <row r="63" customFormat="false" ht="12" hidden="false" customHeight="false" outlineLevel="0" collapsed="false">
      <c r="A63" s="27"/>
      <c r="F63" s="58"/>
      <c r="G63" s="29"/>
      <c r="I63" s="6" t="str">
        <f aca="false">IF((G63&lt;&gt;0),G63-H63," ")</f>
        <v> </v>
      </c>
      <c r="J63" s="5"/>
      <c r="M63" s="7" t="str">
        <f aca="false">IF(G63&lt;&gt;0,G63-L63," ")</f>
        <v> </v>
      </c>
      <c r="N63" s="8" t="str">
        <f aca="false">IF((G63-L63)&lt;&gt;0,N$1-A63," ")</f>
        <v> </v>
      </c>
      <c r="O63" s="5"/>
      <c r="P63" s="19" t="str">
        <f aca="false">IF((F63="s"),I63," ")</f>
        <v> </v>
      </c>
      <c r="Q63" s="19" t="str">
        <f aca="false">IF((F63="c"),I63," ")</f>
        <v> </v>
      </c>
      <c r="R63" s="19" t="str">
        <f aca="false">IF((F63="o"),I63," ")</f>
        <v> </v>
      </c>
      <c r="S63" s="19" t="str">
        <f aca="false">IF((F63="w"),I63," ")</f>
        <v> </v>
      </c>
      <c r="T63" s="19" t="str">
        <f aca="false">IF((F63="p"),I63," ")</f>
        <v> </v>
      </c>
      <c r="U63" s="19" t="str">
        <f aca="false">IF((F63="m"),I63," ")</f>
        <v> </v>
      </c>
      <c r="V63" s="19" t="str">
        <f aca="false">IF((F63="g"),I63," ")</f>
        <v> </v>
      </c>
      <c r="W63" s="29" t="str">
        <f aca="false">IF((F63="v"),I63," ")</f>
        <v> </v>
      </c>
      <c r="X63" s="19" t="str">
        <f aca="false">IF((F63="h"),I63," ")</f>
        <v> </v>
      </c>
      <c r="Y63" s="19" t="str">
        <f aca="false">IF((F63="a"),I63," ")</f>
        <v> </v>
      </c>
      <c r="Z63" s="19" t="str">
        <f aca="false">IF((F63="l"),I63," ")</f>
        <v> </v>
      </c>
      <c r="AA63" s="19" t="str">
        <f aca="false">IF((F63="y"),I63," ")</f>
        <v> </v>
      </c>
      <c r="AB63" s="19" t="str">
        <f aca="false">IF((F63="fa"),I63," ")</f>
        <v> </v>
      </c>
    </row>
    <row r="64" customFormat="false" ht="12" hidden="false" customHeight="false" outlineLevel="0" collapsed="false">
      <c r="A64" s="27"/>
      <c r="F64" s="58"/>
      <c r="G64" s="29"/>
      <c r="I64" s="6" t="str">
        <f aca="false">IF((G64&lt;&gt;0),G64-H64," ")</f>
        <v> </v>
      </c>
      <c r="J64" s="5"/>
      <c r="M64" s="7" t="str">
        <f aca="false">IF(G64&lt;&gt;0,G64-L64," ")</f>
        <v> </v>
      </c>
      <c r="N64" s="8" t="str">
        <f aca="false">IF((G64-L64)&lt;&gt;0,N$1-A64," ")</f>
        <v> </v>
      </c>
      <c r="O64" s="5"/>
      <c r="P64" s="19" t="str">
        <f aca="false">IF((F64="s"),I64," ")</f>
        <v> </v>
      </c>
      <c r="Q64" s="19" t="str">
        <f aca="false">IF((F64="c"),I64," ")</f>
        <v> </v>
      </c>
      <c r="R64" s="19" t="str">
        <f aca="false">IF((F64="o"),I64," ")</f>
        <v> </v>
      </c>
      <c r="S64" s="19" t="str">
        <f aca="false">IF((F64="w"),I64," ")</f>
        <v> </v>
      </c>
      <c r="T64" s="19" t="str">
        <f aca="false">IF((F64="p"),I64," ")</f>
        <v> </v>
      </c>
      <c r="U64" s="19" t="str">
        <f aca="false">IF((F64="m"),I64," ")</f>
        <v> </v>
      </c>
      <c r="V64" s="19" t="str">
        <f aca="false">IF((F64="g"),I64," ")</f>
        <v> </v>
      </c>
      <c r="W64" s="29" t="str">
        <f aca="false">IF((F64="v"),I64," ")</f>
        <v> </v>
      </c>
      <c r="X64" s="19" t="str">
        <f aca="false">IF((F64="h"),I64," ")</f>
        <v> </v>
      </c>
      <c r="Y64" s="19" t="str">
        <f aca="false">IF((F64="a"),I64," ")</f>
        <v> </v>
      </c>
      <c r="Z64" s="19" t="str">
        <f aca="false">IF((F64="l"),I64," ")</f>
        <v> </v>
      </c>
      <c r="AA64" s="19" t="str">
        <f aca="false">IF((F64="y"),I64," ")</f>
        <v> </v>
      </c>
      <c r="AB64" s="19" t="str">
        <f aca="false">IF((F64="fa"),I64," ")</f>
        <v> </v>
      </c>
    </row>
    <row r="65" customFormat="false" ht="12" hidden="false" customHeight="false" outlineLevel="0" collapsed="false">
      <c r="A65" s="27"/>
      <c r="F65" s="58"/>
      <c r="G65" s="29"/>
      <c r="I65" s="6" t="str">
        <f aca="false">IF((G65&lt;&gt;0),G65-H65," ")</f>
        <v> </v>
      </c>
      <c r="J65" s="5"/>
      <c r="M65" s="7" t="str">
        <f aca="false">IF(G65&lt;&gt;0,G65-L65," ")</f>
        <v> </v>
      </c>
      <c r="N65" s="8" t="str">
        <f aca="false">IF((G65-L65)&lt;&gt;0,N$1-A65," ")</f>
        <v> </v>
      </c>
      <c r="O65" s="5"/>
      <c r="P65" s="19" t="str">
        <f aca="false">IF((F65="s"),I65," ")</f>
        <v> </v>
      </c>
      <c r="Q65" s="19" t="str">
        <f aca="false">IF((F65="c"),I65," ")</f>
        <v> </v>
      </c>
      <c r="R65" s="19" t="str">
        <f aca="false">IF((F65="o"),I65," ")</f>
        <v> </v>
      </c>
      <c r="S65" s="19" t="str">
        <f aca="false">IF((F65="w"),I65," ")</f>
        <v> </v>
      </c>
      <c r="T65" s="19" t="str">
        <f aca="false">IF((F65="p"),I65," ")</f>
        <v> </v>
      </c>
      <c r="U65" s="19" t="str">
        <f aca="false">IF((F65="m"),I65," ")</f>
        <v> </v>
      </c>
      <c r="V65" s="19" t="str">
        <f aca="false">IF((F65="g"),I65," ")</f>
        <v> </v>
      </c>
      <c r="W65" s="29" t="str">
        <f aca="false">IF((F65="v"),I65," ")</f>
        <v> </v>
      </c>
      <c r="X65" s="19" t="str">
        <f aca="false">IF((F65="h"),I65," ")</f>
        <v> </v>
      </c>
      <c r="Y65" s="19" t="str">
        <f aca="false">IF((F65="a"),I65," ")</f>
        <v> </v>
      </c>
      <c r="Z65" s="19" t="str">
        <f aca="false">IF((F65="l"),I65," ")</f>
        <v> </v>
      </c>
      <c r="AA65" s="19" t="str">
        <f aca="false">IF((F65="y"),I65," ")</f>
        <v> </v>
      </c>
      <c r="AB65" s="19" t="str">
        <f aca="false">IF((F65="fa"),I65," ")</f>
        <v> </v>
      </c>
    </row>
    <row r="66" customFormat="false" ht="12" hidden="false" customHeight="false" outlineLevel="0" collapsed="false">
      <c r="A66" s="27"/>
      <c r="F66" s="58"/>
      <c r="G66" s="29"/>
      <c r="I66" s="6" t="str">
        <f aca="false">IF((G66&lt;&gt;0),G66-H66," ")</f>
        <v> </v>
      </c>
      <c r="J66" s="5"/>
      <c r="M66" s="7" t="str">
        <f aca="false">IF(G66&lt;&gt;0,G66-L66," ")</f>
        <v> </v>
      </c>
      <c r="N66" s="8" t="str">
        <f aca="false">IF((G66-L66)&lt;&gt;0,N$1-A66," ")</f>
        <v> </v>
      </c>
      <c r="O66" s="5"/>
      <c r="P66" s="19" t="str">
        <f aca="false">IF((F66="s"),I66," ")</f>
        <v> </v>
      </c>
      <c r="Q66" s="19" t="str">
        <f aca="false">IF((F66="c"),I66," ")</f>
        <v> </v>
      </c>
      <c r="R66" s="19" t="str">
        <f aca="false">IF((F66="o"),I66," ")</f>
        <v> </v>
      </c>
      <c r="S66" s="19" t="str">
        <f aca="false">IF((F66="w"),I66," ")</f>
        <v> </v>
      </c>
      <c r="T66" s="19" t="str">
        <f aca="false">IF((F66="p"),I66," ")</f>
        <v> </v>
      </c>
      <c r="U66" s="19" t="str">
        <f aca="false">IF((F66="m"),I66," ")</f>
        <v> </v>
      </c>
      <c r="V66" s="19" t="str">
        <f aca="false">IF((F66="g"),I66," ")</f>
        <v> </v>
      </c>
      <c r="W66" s="29" t="str">
        <f aca="false">IF((F66="v"),I66," ")</f>
        <v> </v>
      </c>
      <c r="X66" s="19" t="str">
        <f aca="false">IF((F66="h"),I66," ")</f>
        <v> </v>
      </c>
      <c r="Y66" s="19" t="str">
        <f aca="false">IF((F66="a"),I66," ")</f>
        <v> </v>
      </c>
      <c r="Z66" s="19" t="str">
        <f aca="false">IF((F66="l"),I66," ")</f>
        <v> </v>
      </c>
      <c r="AA66" s="19" t="str">
        <f aca="false">IF((F66="y"),I66," ")</f>
        <v> </v>
      </c>
      <c r="AB66" s="19" t="str">
        <f aca="false">IF((F66="fa"),I66," ")</f>
        <v> </v>
      </c>
    </row>
    <row r="67" customFormat="false" ht="12" hidden="false" customHeight="false" outlineLevel="0" collapsed="false">
      <c r="A67" s="27"/>
      <c r="F67" s="58"/>
      <c r="G67" s="29"/>
      <c r="I67" s="6" t="str">
        <f aca="false">IF((G67&lt;&gt;0),G67-H67," ")</f>
        <v> </v>
      </c>
      <c r="J67" s="5"/>
      <c r="M67" s="7" t="str">
        <f aca="false">IF(G67&lt;&gt;0,G67-L67," ")</f>
        <v> </v>
      </c>
      <c r="N67" s="8" t="str">
        <f aca="false">IF((G67-L67)&lt;&gt;0,N$1-A67," ")</f>
        <v> </v>
      </c>
      <c r="O67" s="5"/>
      <c r="P67" s="19" t="str">
        <f aca="false">IF((F67="s"),I67," ")</f>
        <v> </v>
      </c>
      <c r="Q67" s="19" t="str">
        <f aca="false">IF((F67="c"),I67," ")</f>
        <v> </v>
      </c>
      <c r="R67" s="19" t="str">
        <f aca="false">IF((F67="o"),I67," ")</f>
        <v> </v>
      </c>
      <c r="S67" s="19" t="str">
        <f aca="false">IF((F67="w"),I67," ")</f>
        <v> </v>
      </c>
      <c r="T67" s="19" t="str">
        <f aca="false">IF((F67="p"),I67," ")</f>
        <v> </v>
      </c>
      <c r="U67" s="19" t="str">
        <f aca="false">IF((F67="m"),I67," ")</f>
        <v> </v>
      </c>
      <c r="V67" s="19" t="str">
        <f aca="false">IF((F67="g"),I67," ")</f>
        <v> </v>
      </c>
      <c r="W67" s="29" t="str">
        <f aca="false">IF((F67="v"),I67," ")</f>
        <v> </v>
      </c>
      <c r="X67" s="19" t="str">
        <f aca="false">IF((F67="h"),I67," ")</f>
        <v> </v>
      </c>
      <c r="Y67" s="19" t="str">
        <f aca="false">IF((F67="a"),I67," ")</f>
        <v> </v>
      </c>
      <c r="Z67" s="19" t="str">
        <f aca="false">IF((F67="l"),I67," ")</f>
        <v> </v>
      </c>
      <c r="AA67" s="19" t="str">
        <f aca="false">IF((F67="y"),I67," ")</f>
        <v> </v>
      </c>
      <c r="AB67" s="19" t="str">
        <f aca="false">IF((F67="fa"),I67," ")</f>
        <v> </v>
      </c>
    </row>
    <row r="68" customFormat="false" ht="12" hidden="false" customHeight="false" outlineLevel="0" collapsed="false">
      <c r="A68" s="27"/>
      <c r="F68" s="58"/>
      <c r="G68" s="29"/>
      <c r="I68" s="6" t="str">
        <f aca="false">IF((G68&lt;&gt;0),G68-H68," ")</f>
        <v> </v>
      </c>
      <c r="J68" s="5"/>
      <c r="M68" s="7" t="str">
        <f aca="false">IF(G68&lt;&gt;0,G68-L68," ")</f>
        <v> </v>
      </c>
      <c r="N68" s="8" t="str">
        <f aca="false">IF((G68-L68)&lt;&gt;0,N$1-A68," ")</f>
        <v> </v>
      </c>
      <c r="O68" s="5"/>
      <c r="P68" s="19" t="str">
        <f aca="false">IF((F68="s"),I68," ")</f>
        <v> </v>
      </c>
      <c r="Q68" s="19" t="str">
        <f aca="false">IF((F68="c"),I68," ")</f>
        <v> </v>
      </c>
      <c r="R68" s="19" t="str">
        <f aca="false">IF((F68="o"),I68," ")</f>
        <v> </v>
      </c>
      <c r="S68" s="19" t="str">
        <f aca="false">IF((F68="w"),I68," ")</f>
        <v> </v>
      </c>
      <c r="T68" s="19" t="str">
        <f aca="false">IF((F68="p"),I68," ")</f>
        <v> </v>
      </c>
      <c r="U68" s="19" t="str">
        <f aca="false">IF((F68="m"),I68," ")</f>
        <v> </v>
      </c>
      <c r="V68" s="19" t="str">
        <f aca="false">IF((F68="g"),I68," ")</f>
        <v> </v>
      </c>
      <c r="W68" s="29" t="str">
        <f aca="false">IF((F68="v"),I68," ")</f>
        <v> </v>
      </c>
      <c r="X68" s="19" t="str">
        <f aca="false">IF((F68="h"),I68," ")</f>
        <v> </v>
      </c>
      <c r="Y68" s="19" t="str">
        <f aca="false">IF((F68="a"),I68," ")</f>
        <v> </v>
      </c>
      <c r="Z68" s="19" t="str">
        <f aca="false">IF((F68="l"),I68," ")</f>
        <v> </v>
      </c>
      <c r="AA68" s="19" t="str">
        <f aca="false">IF((F68="y"),I68," ")</f>
        <v> </v>
      </c>
      <c r="AB68" s="19" t="str">
        <f aca="false">IF((F68="fa"),I68," ")</f>
        <v> </v>
      </c>
    </row>
    <row r="69" customFormat="false" ht="12" hidden="false" customHeight="false" outlineLevel="0" collapsed="false">
      <c r="A69" s="27"/>
      <c r="F69" s="58" t="str">
        <f aca="false">IF((G69&lt;&gt;0),"Enter Letter"," ")</f>
        <v> </v>
      </c>
      <c r="G69" s="29"/>
      <c r="I69" s="6" t="str">
        <f aca="false">IF((G69&lt;&gt;0),G69-H69," ")</f>
        <v> </v>
      </c>
      <c r="J69" s="5"/>
      <c r="M69" s="7" t="str">
        <f aca="false">IF(G69&lt;&gt;0,G69-L69," ")</f>
        <v> </v>
      </c>
      <c r="N69" s="8" t="str">
        <f aca="false">IF((G69-L69)&lt;&gt;0,N$1-A69," ")</f>
        <v> </v>
      </c>
      <c r="O69" s="5"/>
      <c r="P69" s="19" t="str">
        <f aca="false">IF((F69="s"),I69," ")</f>
        <v> </v>
      </c>
      <c r="Q69" s="19" t="str">
        <f aca="false">IF((F69="c"),I69," ")</f>
        <v> </v>
      </c>
      <c r="R69" s="19" t="str">
        <f aca="false">IF((F69="o"),I69," ")</f>
        <v> </v>
      </c>
      <c r="S69" s="19" t="str">
        <f aca="false">IF((F69="w"),I69," ")</f>
        <v> </v>
      </c>
      <c r="T69" s="19" t="str">
        <f aca="false">IF((F69="p"),I69," ")</f>
        <v> </v>
      </c>
      <c r="U69" s="19" t="str">
        <f aca="false">IF((F69="m"),I69," ")</f>
        <v> </v>
      </c>
      <c r="V69" s="19" t="str">
        <f aca="false">IF((F69="g"),I69," ")</f>
        <v> </v>
      </c>
      <c r="W69" s="29" t="str">
        <f aca="false">IF((F69="v"),I69," ")</f>
        <v> </v>
      </c>
      <c r="X69" s="19" t="str">
        <f aca="false">IF((F69="h"),I69," ")</f>
        <v> </v>
      </c>
      <c r="Y69" s="19" t="str">
        <f aca="false">IF((F69="a"),I69," ")</f>
        <v> </v>
      </c>
      <c r="Z69" s="19" t="str">
        <f aca="false">IF((F69="l"),I69," ")</f>
        <v> </v>
      </c>
      <c r="AA69" s="19" t="str">
        <f aca="false">IF((F69="y"),I69," ")</f>
        <v> </v>
      </c>
      <c r="AB69" s="19" t="str">
        <f aca="false">IF((F69="fa"),I69," ")</f>
        <v> </v>
      </c>
    </row>
    <row r="70" customFormat="false" ht="12" hidden="false" customHeight="false" outlineLevel="0" collapsed="false">
      <c r="A70" s="27"/>
      <c r="F70" s="58" t="str">
        <f aca="false">IF((G70&lt;&gt;0),"Enter Letter"," ")</f>
        <v> </v>
      </c>
      <c r="G70" s="29"/>
      <c r="H70" s="6" t="str">
        <f aca="false">IF(G70&lt;&gt;0,G70*H$2/(100+H$2)," ")</f>
        <v> </v>
      </c>
      <c r="I70" s="6" t="str">
        <f aca="false">IF((G70&lt;&gt;0),G70-H70," ")</f>
        <v> </v>
      </c>
      <c r="J70" s="5"/>
      <c r="M70" s="7" t="str">
        <f aca="false">IF(G70&lt;&gt;0,G70-L70," ")</f>
        <v> </v>
      </c>
      <c r="N70" s="8" t="str">
        <f aca="false">IF((G70-L70)&lt;&gt;0,N$1-A70," ")</f>
        <v> </v>
      </c>
      <c r="O70" s="5"/>
      <c r="P70" s="19" t="str">
        <f aca="false">IF((F70="s"),I70," ")</f>
        <v> </v>
      </c>
      <c r="Q70" s="19" t="str">
        <f aca="false">IF((F70="c"),I70," ")</f>
        <v> </v>
      </c>
      <c r="R70" s="19" t="str">
        <f aca="false">IF((F70="o"),I70," ")</f>
        <v> </v>
      </c>
      <c r="S70" s="19" t="str">
        <f aca="false">IF((F70="w"),I70," ")</f>
        <v> </v>
      </c>
      <c r="T70" s="19" t="str">
        <f aca="false">IF((F70="p"),I70," ")</f>
        <v> </v>
      </c>
      <c r="U70" s="19" t="str">
        <f aca="false">IF((F70="m"),I70," ")</f>
        <v> </v>
      </c>
      <c r="V70" s="19" t="str">
        <f aca="false">IF((F70="g"),I70," ")</f>
        <v> </v>
      </c>
      <c r="W70" s="29" t="str">
        <f aca="false">IF((F70="v"),I70," ")</f>
        <v> </v>
      </c>
      <c r="X70" s="19" t="str">
        <f aca="false">IF((F70="h"),I70," ")</f>
        <v> </v>
      </c>
      <c r="Y70" s="19" t="str">
        <f aca="false">IF((F70="a"),I70," ")</f>
        <v> </v>
      </c>
      <c r="Z70" s="19" t="str">
        <f aca="false">IF((F70="l"),I70," ")</f>
        <v> </v>
      </c>
      <c r="AA70" s="19" t="str">
        <f aca="false">IF((F70="y"),I70," ")</f>
        <v> </v>
      </c>
      <c r="AB70" s="19" t="str">
        <f aca="false">IF((F70="fa"),I70," ")</f>
        <v> </v>
      </c>
    </row>
    <row r="71" customFormat="false" ht="12" hidden="false" customHeight="false" outlineLevel="0" collapsed="false">
      <c r="A71" s="27"/>
      <c r="F71" s="58" t="str">
        <f aca="false">IF((G71&lt;&gt;0),"Enter Letter"," ")</f>
        <v> </v>
      </c>
      <c r="G71" s="29"/>
      <c r="H71" s="6" t="str">
        <f aca="false">IF(G71&lt;&gt;0,G71*H$2/(100+H$2)," ")</f>
        <v> </v>
      </c>
      <c r="I71" s="6" t="str">
        <f aca="false">IF((G71&lt;&gt;0),G71-H71," ")</f>
        <v> </v>
      </c>
      <c r="J71" s="5"/>
      <c r="M71" s="7" t="str">
        <f aca="false">IF(G71&lt;&gt;0,G71-L71," ")</f>
        <v> </v>
      </c>
      <c r="N71" s="8" t="str">
        <f aca="false">IF((G71-L71)&lt;&gt;0,N$1-A71," ")</f>
        <v> </v>
      </c>
      <c r="O71" s="5"/>
      <c r="P71" s="19" t="str">
        <f aca="false">IF((F71="s"),I71," ")</f>
        <v> </v>
      </c>
      <c r="Q71" s="19" t="str">
        <f aca="false">IF((F71="c"),I71," ")</f>
        <v> </v>
      </c>
      <c r="R71" s="19" t="str">
        <f aca="false">IF((F71="o"),I71," ")</f>
        <v> </v>
      </c>
      <c r="S71" s="19" t="str">
        <f aca="false">IF((F71="w"),I71," ")</f>
        <v> </v>
      </c>
      <c r="T71" s="19" t="str">
        <f aca="false">IF((F71="p"),I71," ")</f>
        <v> </v>
      </c>
      <c r="U71" s="19" t="str">
        <f aca="false">IF((F71="m"),I71," ")</f>
        <v> </v>
      </c>
      <c r="V71" s="19" t="str">
        <f aca="false">IF((F71="g"),I71," ")</f>
        <v> </v>
      </c>
      <c r="W71" s="29" t="str">
        <f aca="false">IF((F71="v"),I71," ")</f>
        <v> </v>
      </c>
      <c r="X71" s="19" t="str">
        <f aca="false">IF((F71="h"),I71," ")</f>
        <v> </v>
      </c>
      <c r="Y71" s="19" t="str">
        <f aca="false">IF((F71="a"),I71," ")</f>
        <v> </v>
      </c>
      <c r="Z71" s="19" t="str">
        <f aca="false">IF((F71="l"),I71," ")</f>
        <v> </v>
      </c>
      <c r="AA71" s="19" t="str">
        <f aca="false">IF((F71="y"),I71," ")</f>
        <v> </v>
      </c>
      <c r="AB71" s="19" t="str">
        <f aca="false">IF((F71="fa"),I71," ")</f>
        <v> </v>
      </c>
    </row>
    <row r="72" customFormat="false" ht="12" hidden="false" customHeight="false" outlineLevel="0" collapsed="false">
      <c r="A72" s="27"/>
      <c r="F72" s="58" t="str">
        <f aca="false">IF((G72&lt;&gt;0),"Enter Letter"," ")</f>
        <v> </v>
      </c>
      <c r="G72" s="29"/>
      <c r="H72" s="6" t="str">
        <f aca="false">IF(G72&lt;&gt;0,G72*H$2/(100+H$2)," ")</f>
        <v> </v>
      </c>
      <c r="I72" s="6" t="str">
        <f aca="false">IF((G72&lt;&gt;0),G72-H72," ")</f>
        <v> </v>
      </c>
      <c r="J72" s="5"/>
      <c r="M72" s="7" t="str">
        <f aca="false">IF(G72&lt;&gt;0,G72-L72," ")</f>
        <v> </v>
      </c>
      <c r="N72" s="8" t="str">
        <f aca="false">IF((G72-L72)&lt;&gt;0,N$1-A72," ")</f>
        <v> </v>
      </c>
      <c r="O72" s="5"/>
      <c r="P72" s="19" t="str">
        <f aca="false">IF((F72="s"),I72," ")</f>
        <v> </v>
      </c>
      <c r="Q72" s="19" t="str">
        <f aca="false">IF((F72="c"),I72," ")</f>
        <v> </v>
      </c>
      <c r="R72" s="19" t="str">
        <f aca="false">IF((F72="o"),I72," ")</f>
        <v> </v>
      </c>
      <c r="S72" s="19" t="str">
        <f aca="false">IF((F72="w"),I72," ")</f>
        <v> </v>
      </c>
      <c r="T72" s="19" t="str">
        <f aca="false">IF((F72="p"),I72," ")</f>
        <v> </v>
      </c>
      <c r="U72" s="19" t="str">
        <f aca="false">IF((F72="m"),I72," ")</f>
        <v> </v>
      </c>
      <c r="V72" s="19" t="str">
        <f aca="false">IF((F72="g"),I72," ")</f>
        <v> </v>
      </c>
      <c r="W72" s="29" t="str">
        <f aca="false">IF((F72="v"),I72," ")</f>
        <v> </v>
      </c>
      <c r="X72" s="19" t="str">
        <f aca="false">IF((F72="h"),I72," ")</f>
        <v> </v>
      </c>
      <c r="Y72" s="19" t="str">
        <f aca="false">IF((F72="a"),I72," ")</f>
        <v> </v>
      </c>
      <c r="Z72" s="19" t="str">
        <f aca="false">IF((F72="l"),I72," ")</f>
        <v> </v>
      </c>
      <c r="AA72" s="19" t="str">
        <f aca="false">IF((F72="y"),I72," ")</f>
        <v> </v>
      </c>
      <c r="AB72" s="19" t="str">
        <f aca="false">IF((F72="fa"),I72," ")</f>
        <v> </v>
      </c>
    </row>
    <row r="73" customFormat="false" ht="12" hidden="false" customHeight="false" outlineLevel="0" collapsed="false">
      <c r="A73" s="27"/>
      <c r="F73" s="58" t="str">
        <f aca="false">IF((G73&lt;&gt;0),"Enter Letter"," ")</f>
        <v> </v>
      </c>
      <c r="G73" s="29"/>
      <c r="H73" s="6" t="str">
        <f aca="false">IF(G73&lt;&gt;0,G73*H$2/(100+H$2)," ")</f>
        <v> </v>
      </c>
      <c r="I73" s="6" t="str">
        <f aca="false">IF((G73&lt;&gt;0),G73-H73," ")</f>
        <v> </v>
      </c>
      <c r="J73" s="5"/>
      <c r="M73" s="7" t="str">
        <f aca="false">IF(G73&lt;&gt;0,G73-L73," ")</f>
        <v> </v>
      </c>
      <c r="N73" s="8" t="str">
        <f aca="false">IF((G73-L73)&lt;&gt;0,N$1-A73," ")</f>
        <v> </v>
      </c>
      <c r="O73" s="5"/>
      <c r="P73" s="19" t="str">
        <f aca="false">IF((F73="s"),I73," ")</f>
        <v> </v>
      </c>
      <c r="Q73" s="19" t="str">
        <f aca="false">IF((F73="c"),I73," ")</f>
        <v> </v>
      </c>
      <c r="R73" s="19" t="str">
        <f aca="false">IF((F73="o"),I73," ")</f>
        <v> </v>
      </c>
      <c r="S73" s="19" t="str">
        <f aca="false">IF((F73="w"),I73," ")</f>
        <v> </v>
      </c>
      <c r="T73" s="19" t="str">
        <f aca="false">IF((F73="p"),I73," ")</f>
        <v> </v>
      </c>
      <c r="U73" s="19" t="str">
        <f aca="false">IF((F73="m"),I73," ")</f>
        <v> </v>
      </c>
      <c r="V73" s="19" t="str">
        <f aca="false">IF((F73="g"),I73," ")</f>
        <v> </v>
      </c>
      <c r="W73" s="29" t="str">
        <f aca="false">IF((F73="v"),I73," ")</f>
        <v> </v>
      </c>
      <c r="X73" s="19" t="str">
        <f aca="false">IF((F73="h"),I73," ")</f>
        <v> </v>
      </c>
      <c r="Y73" s="19" t="str">
        <f aca="false">IF((F73="a"),I73," ")</f>
        <v> </v>
      </c>
      <c r="Z73" s="19" t="str">
        <f aca="false">IF((F73="l"),I73," ")</f>
        <v> </v>
      </c>
      <c r="AA73" s="19" t="str">
        <f aca="false">IF((F73="y"),I73," ")</f>
        <v> </v>
      </c>
      <c r="AB73" s="19" t="str">
        <f aca="false">IF((F73="fa"),I73," ")</f>
        <v> </v>
      </c>
    </row>
    <row r="74" customFormat="false" ht="12" hidden="false" customHeight="false" outlineLevel="0" collapsed="false">
      <c r="A74" s="27"/>
      <c r="F74" s="58" t="str">
        <f aca="false">IF((G74&lt;&gt;0),"Enter Letter"," ")</f>
        <v> </v>
      </c>
      <c r="G74" s="29"/>
      <c r="H74" s="6" t="str">
        <f aca="false">IF(G74&lt;&gt;0,G74*H$2/(100+H$2)," ")</f>
        <v> </v>
      </c>
      <c r="I74" s="6" t="str">
        <f aca="false">IF((G74&lt;&gt;0),G74-H74," ")</f>
        <v> </v>
      </c>
      <c r="J74" s="5"/>
      <c r="M74" s="7" t="str">
        <f aca="false">IF(G74&lt;&gt;0,G74-L74," ")</f>
        <v> </v>
      </c>
      <c r="N74" s="8" t="str">
        <f aca="false">IF((G74-L74)&lt;&gt;0,N$1-A74," ")</f>
        <v> </v>
      </c>
      <c r="O74" s="5"/>
      <c r="P74" s="19" t="str">
        <f aca="false">IF((F74="s"),I74," ")</f>
        <v> </v>
      </c>
      <c r="Q74" s="19" t="str">
        <f aca="false">IF((F74="c"),I74," ")</f>
        <v> </v>
      </c>
      <c r="R74" s="19" t="str">
        <f aca="false">IF((F74="o"),I74," ")</f>
        <v> </v>
      </c>
      <c r="S74" s="19" t="str">
        <f aca="false">IF((F74="w"),I74," ")</f>
        <v> </v>
      </c>
      <c r="T74" s="19" t="str">
        <f aca="false">IF((F74="p"),I74," ")</f>
        <v> </v>
      </c>
      <c r="U74" s="19" t="str">
        <f aca="false">IF((F74="m"),I74," ")</f>
        <v> </v>
      </c>
      <c r="V74" s="19" t="str">
        <f aca="false">IF((F74="g"),I74," ")</f>
        <v> </v>
      </c>
      <c r="W74" s="29" t="str">
        <f aca="false">IF((F74="v"),I74," ")</f>
        <v> </v>
      </c>
      <c r="X74" s="19" t="str">
        <f aca="false">IF((F74="h"),I74," ")</f>
        <v> </v>
      </c>
      <c r="Y74" s="19" t="str">
        <f aca="false">IF((F74="a"),I74," ")</f>
        <v> </v>
      </c>
      <c r="Z74" s="19" t="str">
        <f aca="false">IF((F74="l"),I74," ")</f>
        <v> </v>
      </c>
      <c r="AA74" s="19" t="str">
        <f aca="false">IF((F74="y"),I74," ")</f>
        <v> </v>
      </c>
      <c r="AB74" s="19" t="str">
        <f aca="false">IF((F74="fa"),I74," ")</f>
        <v> </v>
      </c>
    </row>
    <row r="75" customFormat="false" ht="12" hidden="false" customHeight="false" outlineLevel="0" collapsed="false">
      <c r="A75" s="27"/>
      <c r="F75" s="58" t="str">
        <f aca="false">IF((G75&lt;&gt;0),"Enter Letter"," ")</f>
        <v> </v>
      </c>
      <c r="G75" s="29"/>
      <c r="H75" s="6" t="str">
        <f aca="false">IF(G75&lt;&gt;0,G75*H$2/(100+H$2)," ")</f>
        <v> </v>
      </c>
      <c r="I75" s="6" t="str">
        <f aca="false">IF((G75&lt;&gt;0),G75-H75," ")</f>
        <v> </v>
      </c>
      <c r="J75" s="5"/>
      <c r="M75" s="7" t="str">
        <f aca="false">IF(G75&lt;&gt;0,G75-L75," ")</f>
        <v> </v>
      </c>
      <c r="N75" s="8" t="str">
        <f aca="false">IF((G75-L75)&lt;&gt;0,N$1-A75," ")</f>
        <v> </v>
      </c>
      <c r="O75" s="5"/>
      <c r="P75" s="19" t="str">
        <f aca="false">IF((F75="s"),I75," ")</f>
        <v> </v>
      </c>
      <c r="Q75" s="19" t="str">
        <f aca="false">IF((F75="c"),I75," ")</f>
        <v> </v>
      </c>
      <c r="R75" s="19" t="str">
        <f aca="false">IF((F75="o"),I75," ")</f>
        <v> </v>
      </c>
      <c r="S75" s="19" t="str">
        <f aca="false">IF((F75="w"),I75," ")</f>
        <v> </v>
      </c>
      <c r="T75" s="19" t="str">
        <f aca="false">IF((F75="p"),I75," ")</f>
        <v> </v>
      </c>
      <c r="U75" s="19" t="str">
        <f aca="false">IF((F75="m"),I75," ")</f>
        <v> </v>
      </c>
      <c r="V75" s="19" t="str">
        <f aca="false">IF((F75="g"),I75," ")</f>
        <v> </v>
      </c>
      <c r="W75" s="29" t="str">
        <f aca="false">IF((F75="v"),I75," ")</f>
        <v> </v>
      </c>
      <c r="X75" s="19" t="str">
        <f aca="false">IF((F75="h"),I75," ")</f>
        <v> </v>
      </c>
      <c r="Y75" s="19" t="str">
        <f aca="false">IF((F75="a"),I75," ")</f>
        <v> </v>
      </c>
      <c r="Z75" s="19" t="str">
        <f aca="false">IF((F75="l"),I75," ")</f>
        <v> </v>
      </c>
      <c r="AA75" s="19" t="str">
        <f aca="false">IF((F75="y"),I75," ")</f>
        <v> </v>
      </c>
      <c r="AB75" s="19" t="str">
        <f aca="false">IF((F75="fa"),I75," ")</f>
        <v> </v>
      </c>
    </row>
    <row r="76" customFormat="false" ht="12" hidden="false" customHeight="false" outlineLevel="0" collapsed="false">
      <c r="A76" s="27"/>
      <c r="F76" s="58" t="str">
        <f aca="false">IF((G76&lt;&gt;0),"Enter Letter"," ")</f>
        <v> </v>
      </c>
      <c r="G76" s="29"/>
      <c r="H76" s="6" t="str">
        <f aca="false">IF(G76&lt;&gt;0,G76*H$2/(100+H$2)," ")</f>
        <v> </v>
      </c>
      <c r="I76" s="6" t="str">
        <f aca="false">IF((G76&lt;&gt;0),G76-H76," ")</f>
        <v> </v>
      </c>
      <c r="J76" s="5"/>
      <c r="M76" s="7" t="str">
        <f aca="false">IF(G76&lt;&gt;0,G76-L76," ")</f>
        <v> </v>
      </c>
      <c r="N76" s="8" t="str">
        <f aca="false">IF((G76-L76)&lt;&gt;0,N$1-A76," ")</f>
        <v> </v>
      </c>
      <c r="O76" s="5"/>
      <c r="P76" s="19" t="str">
        <f aca="false">IF((F76="s"),I76," ")</f>
        <v> </v>
      </c>
      <c r="Q76" s="19" t="str">
        <f aca="false">IF((F76="c"),I76," ")</f>
        <v> </v>
      </c>
      <c r="R76" s="19" t="str">
        <f aca="false">IF((F76="o"),I76," ")</f>
        <v> </v>
      </c>
      <c r="S76" s="19" t="str">
        <f aca="false">IF((F76="w"),I76," ")</f>
        <v> </v>
      </c>
      <c r="T76" s="19" t="str">
        <f aca="false">IF((F76="p"),I76," ")</f>
        <v> </v>
      </c>
      <c r="U76" s="19" t="str">
        <f aca="false">IF((F76="m"),I76," ")</f>
        <v> </v>
      </c>
      <c r="V76" s="19" t="str">
        <f aca="false">IF((F76="g"),I76," ")</f>
        <v> </v>
      </c>
      <c r="W76" s="29" t="str">
        <f aca="false">IF((F76="v"),I76," ")</f>
        <v> </v>
      </c>
      <c r="X76" s="19" t="str">
        <f aca="false">IF((F76="h"),I76," ")</f>
        <v> </v>
      </c>
      <c r="Y76" s="19" t="str">
        <f aca="false">IF((F76="a"),I76," ")</f>
        <v> </v>
      </c>
      <c r="Z76" s="19" t="str">
        <f aca="false">IF((F76="l"),I76," ")</f>
        <v> </v>
      </c>
      <c r="AA76" s="19" t="str">
        <f aca="false">IF((F76="y"),I76," ")</f>
        <v> </v>
      </c>
      <c r="AB76" s="19" t="str">
        <f aca="false">IF((F76="fa"),I76," ")</f>
        <v> </v>
      </c>
    </row>
    <row r="77" customFormat="false" ht="12" hidden="false" customHeight="false" outlineLevel="0" collapsed="false">
      <c r="A77" s="27"/>
      <c r="F77" s="58" t="str">
        <f aca="false">IF((G77&lt;&gt;0),"Enter Letter"," ")</f>
        <v> </v>
      </c>
      <c r="G77" s="29"/>
      <c r="H77" s="6" t="str">
        <f aca="false">IF(G77&lt;&gt;0,G77*H$2/(100+H$2)," ")</f>
        <v> </v>
      </c>
      <c r="I77" s="6" t="str">
        <f aca="false">IF((G77&lt;&gt;0),G77-H77," ")</f>
        <v> </v>
      </c>
      <c r="J77" s="5"/>
      <c r="M77" s="7" t="str">
        <f aca="false">IF(G77&lt;&gt;0,G77-L77," ")</f>
        <v> </v>
      </c>
      <c r="N77" s="8" t="str">
        <f aca="false">IF((G77-L77)&lt;&gt;0,N$1-A77," ")</f>
        <v> </v>
      </c>
      <c r="O77" s="5"/>
      <c r="P77" s="19" t="str">
        <f aca="false">IF((F77="s"),I77," ")</f>
        <v> </v>
      </c>
      <c r="Q77" s="19" t="str">
        <f aca="false">IF((F77="c"),I77," ")</f>
        <v> </v>
      </c>
      <c r="R77" s="19" t="str">
        <f aca="false">IF((F77="o"),I77," ")</f>
        <v> </v>
      </c>
      <c r="S77" s="19" t="str">
        <f aca="false">IF((F77="w"),I77," ")</f>
        <v> </v>
      </c>
      <c r="T77" s="19" t="str">
        <f aca="false">IF((F77="p"),I77," ")</f>
        <v> </v>
      </c>
      <c r="U77" s="19" t="str">
        <f aca="false">IF((F77="m"),I77," ")</f>
        <v> </v>
      </c>
      <c r="V77" s="19" t="str">
        <f aca="false">IF((F77="g"),I77," ")</f>
        <v> </v>
      </c>
      <c r="W77" s="29" t="str">
        <f aca="false">IF((F77="v"),I77," ")</f>
        <v> </v>
      </c>
      <c r="X77" s="19" t="str">
        <f aca="false">IF((F77="h"),I77," ")</f>
        <v> </v>
      </c>
      <c r="Y77" s="19" t="str">
        <f aca="false">IF((F77="a"),I77," ")</f>
        <v> </v>
      </c>
      <c r="Z77" s="19" t="str">
        <f aca="false">IF((F77="l"),I77," ")</f>
        <v> </v>
      </c>
      <c r="AA77" s="19" t="str">
        <f aca="false">IF((F77="y"),I77," ")</f>
        <v> </v>
      </c>
      <c r="AB77" s="19" t="str">
        <f aca="false">IF((F77="fa"),I77," ")</f>
        <v> </v>
      </c>
    </row>
    <row r="78" customFormat="false" ht="12" hidden="false" customHeight="false" outlineLevel="0" collapsed="false">
      <c r="A78" s="27"/>
      <c r="F78" s="58" t="str">
        <f aca="false">IF((G78&lt;&gt;0),"Enter Letter"," ")</f>
        <v> </v>
      </c>
      <c r="G78" s="29"/>
      <c r="H78" s="6" t="str">
        <f aca="false">IF(G78&lt;&gt;0,G78*H$2/(100+H$2)," ")</f>
        <v> </v>
      </c>
      <c r="I78" s="6" t="str">
        <f aca="false">IF((G78&lt;&gt;0),G78-H78," ")</f>
        <v> </v>
      </c>
      <c r="J78" s="5"/>
      <c r="M78" s="7" t="str">
        <f aca="false">IF(G78&lt;&gt;0,G78-L78," ")</f>
        <v> </v>
      </c>
      <c r="N78" s="8" t="str">
        <f aca="false">IF((G78-L78)&lt;&gt;0,N$1-A78," ")</f>
        <v> </v>
      </c>
      <c r="O78" s="5"/>
      <c r="P78" s="19" t="str">
        <f aca="false">IF((F78="s"),I78," ")</f>
        <v> </v>
      </c>
      <c r="Q78" s="19" t="str">
        <f aca="false">IF((F78="c"),I78," ")</f>
        <v> </v>
      </c>
      <c r="R78" s="19" t="str">
        <f aca="false">IF((F78="o"),I78," ")</f>
        <v> </v>
      </c>
      <c r="S78" s="19" t="str">
        <f aca="false">IF((F78="w"),I78," ")</f>
        <v> </v>
      </c>
      <c r="T78" s="19" t="str">
        <f aca="false">IF((F78="p"),I78," ")</f>
        <v> </v>
      </c>
      <c r="U78" s="19" t="str">
        <f aca="false">IF((F78="m"),I78," ")</f>
        <v> </v>
      </c>
      <c r="V78" s="19" t="str">
        <f aca="false">IF((F78="g"),I78," ")</f>
        <v> </v>
      </c>
      <c r="W78" s="29" t="str">
        <f aca="false">IF((F78="v"),I78," ")</f>
        <v> </v>
      </c>
      <c r="X78" s="19" t="str">
        <f aca="false">IF((F78="h"),I78," ")</f>
        <v> </v>
      </c>
      <c r="Y78" s="19" t="str">
        <f aca="false">IF((F78="a"),I78," ")</f>
        <v> </v>
      </c>
      <c r="Z78" s="19" t="str">
        <f aca="false">IF((F78="l"),I78," ")</f>
        <v> </v>
      </c>
      <c r="AA78" s="19" t="str">
        <f aca="false">IF((F78="y"),I78," ")</f>
        <v> </v>
      </c>
      <c r="AB78" s="19" t="str">
        <f aca="false">IF((F78="fa"),I78," ")</f>
        <v> </v>
      </c>
    </row>
    <row r="79" customFormat="false" ht="12" hidden="false" customHeight="false" outlineLevel="0" collapsed="false">
      <c r="A79" s="27"/>
      <c r="F79" s="58" t="str">
        <f aca="false">IF((G79&lt;&gt;0),"Enter Letter"," ")</f>
        <v> </v>
      </c>
      <c r="G79" s="29"/>
      <c r="H79" s="6" t="str">
        <f aca="false">IF(G79&lt;&gt;0,G79*H$2/(100+H$2)," ")</f>
        <v> </v>
      </c>
      <c r="I79" s="6" t="str">
        <f aca="false">IF((G79&lt;&gt;0),G79-H79," ")</f>
        <v> </v>
      </c>
      <c r="J79" s="5"/>
      <c r="M79" s="7" t="str">
        <f aca="false">IF(G79&lt;&gt;0,G79-L79," ")</f>
        <v> </v>
      </c>
      <c r="N79" s="8" t="str">
        <f aca="false">IF((G79-L79)&lt;&gt;0,N$1-A79," ")</f>
        <v> </v>
      </c>
      <c r="O79" s="5"/>
      <c r="P79" s="19" t="str">
        <f aca="false">IF((F79="s"),I79," ")</f>
        <v> </v>
      </c>
      <c r="Q79" s="19" t="str">
        <f aca="false">IF((F79="c"),I79," ")</f>
        <v> </v>
      </c>
      <c r="R79" s="19" t="str">
        <f aca="false">IF((F79="o"),I79," ")</f>
        <v> </v>
      </c>
      <c r="S79" s="19" t="str">
        <f aca="false">IF((F79="w"),I79," ")</f>
        <v> </v>
      </c>
      <c r="T79" s="19" t="str">
        <f aca="false">IF((F79="p"),I79," ")</f>
        <v> </v>
      </c>
      <c r="U79" s="19" t="str">
        <f aca="false">IF((F79="m"),I79," ")</f>
        <v> </v>
      </c>
      <c r="V79" s="19" t="str">
        <f aca="false">IF((F79="g"),I79," ")</f>
        <v> </v>
      </c>
      <c r="W79" s="29" t="str">
        <f aca="false">IF((F79="v"),I79," ")</f>
        <v> </v>
      </c>
      <c r="X79" s="19" t="str">
        <f aca="false">IF((F79="h"),I79," ")</f>
        <v> </v>
      </c>
      <c r="Y79" s="19" t="str">
        <f aca="false">IF((F79="a"),I79," ")</f>
        <v> </v>
      </c>
      <c r="Z79" s="19" t="str">
        <f aca="false">IF((F79="l"),I79," ")</f>
        <v> </v>
      </c>
      <c r="AA79" s="19" t="str">
        <f aca="false">IF((F79="y"),I79," ")</f>
        <v> </v>
      </c>
      <c r="AB79" s="19" t="str">
        <f aca="false">IF((F79="fa"),I79," ")</f>
        <v> </v>
      </c>
    </row>
    <row r="80" customFormat="false" ht="12" hidden="false" customHeight="false" outlineLevel="0" collapsed="false">
      <c r="A80" s="27"/>
      <c r="F80" s="58" t="str">
        <f aca="false">IF((G80&lt;&gt;0),"Enter Letter"," ")</f>
        <v> </v>
      </c>
      <c r="G80" s="29"/>
      <c r="H80" s="6" t="str">
        <f aca="false">IF(G80&lt;&gt;0,G80*H$2/(100+H$2)," ")</f>
        <v> </v>
      </c>
      <c r="I80" s="6" t="str">
        <f aca="false">IF((G80&lt;&gt;0),G80-H80," ")</f>
        <v> </v>
      </c>
      <c r="J80" s="5"/>
      <c r="M80" s="7" t="str">
        <f aca="false">IF(G80&lt;&gt;0,G80-L80," ")</f>
        <v> </v>
      </c>
      <c r="N80" s="8" t="str">
        <f aca="false">IF((G80-L80)&lt;&gt;0,N$1-A80," ")</f>
        <v> </v>
      </c>
      <c r="O80" s="5"/>
      <c r="P80" s="19" t="str">
        <f aca="false">IF((F80="s"),I80," ")</f>
        <v> </v>
      </c>
      <c r="Q80" s="19" t="str">
        <f aca="false">IF((F80="c"),I80," ")</f>
        <v> </v>
      </c>
      <c r="R80" s="19" t="str">
        <f aca="false">IF((F80="o"),I80," ")</f>
        <v> </v>
      </c>
      <c r="S80" s="19" t="str">
        <f aca="false">IF((F80="w"),I80," ")</f>
        <v> </v>
      </c>
      <c r="T80" s="19" t="str">
        <f aca="false">IF((F80="p"),I80," ")</f>
        <v> </v>
      </c>
      <c r="U80" s="19" t="str">
        <f aca="false">IF((F80="m"),I80," ")</f>
        <v> </v>
      </c>
      <c r="V80" s="19" t="str">
        <f aca="false">IF((F80="g"),I80," ")</f>
        <v> </v>
      </c>
      <c r="W80" s="29" t="str">
        <f aca="false">IF((F80="v"),I80," ")</f>
        <v> </v>
      </c>
      <c r="X80" s="19" t="str">
        <f aca="false">IF((F80="h"),I80," ")</f>
        <v> </v>
      </c>
      <c r="Y80" s="19" t="str">
        <f aca="false">IF((F80="a"),I80," ")</f>
        <v> </v>
      </c>
      <c r="Z80" s="19" t="str">
        <f aca="false">IF((F80="l"),I80," ")</f>
        <v> </v>
      </c>
      <c r="AA80" s="19" t="str">
        <f aca="false">IF((F80="y"),I80," ")</f>
        <v> </v>
      </c>
      <c r="AB80" s="19" t="str">
        <f aca="false">IF((F80="fa"),I80," ")</f>
        <v> </v>
      </c>
    </row>
    <row r="81" customFormat="false" ht="12" hidden="false" customHeight="false" outlineLevel="0" collapsed="false">
      <c r="A81" s="27"/>
      <c r="F81" s="58" t="str">
        <f aca="false">IF((G81&lt;&gt;0),"Enter Letter"," ")</f>
        <v> </v>
      </c>
      <c r="G81" s="29"/>
      <c r="H81" s="6" t="str">
        <f aca="false">IF(G81&lt;&gt;0,G81*H$2/(100+H$2)," ")</f>
        <v> </v>
      </c>
      <c r="I81" s="6" t="str">
        <f aca="false">IF((G81&lt;&gt;0),G81-H81," ")</f>
        <v> </v>
      </c>
      <c r="J81" s="5"/>
      <c r="M81" s="7" t="str">
        <f aca="false">IF(G81&lt;&gt;0,G81-L81," ")</f>
        <v> </v>
      </c>
      <c r="N81" s="8" t="str">
        <f aca="false">IF((G81-L81)&lt;&gt;0,N$1-A81," ")</f>
        <v> </v>
      </c>
      <c r="O81" s="5"/>
      <c r="P81" s="19" t="str">
        <f aca="false">IF((F81="s"),I81," ")</f>
        <v> </v>
      </c>
      <c r="Q81" s="19" t="str">
        <f aca="false">IF((F81="c"),I81," ")</f>
        <v> </v>
      </c>
      <c r="R81" s="19" t="str">
        <f aca="false">IF((F81="o"),I81," ")</f>
        <v> </v>
      </c>
      <c r="S81" s="19" t="str">
        <f aca="false">IF((F81="w"),I81," ")</f>
        <v> </v>
      </c>
      <c r="T81" s="19" t="str">
        <f aca="false">IF((F81="p"),I81," ")</f>
        <v> </v>
      </c>
      <c r="U81" s="19" t="str">
        <f aca="false">IF((F81="m"),I81," ")</f>
        <v> </v>
      </c>
      <c r="V81" s="19" t="str">
        <f aca="false">IF((F81="g"),I81," ")</f>
        <v> </v>
      </c>
      <c r="W81" s="29" t="str">
        <f aca="false">IF((F81="v"),I81," ")</f>
        <v> </v>
      </c>
      <c r="X81" s="19" t="str">
        <f aca="false">IF((F81="h"),I81," ")</f>
        <v> </v>
      </c>
      <c r="Y81" s="19" t="str">
        <f aca="false">IF((F81="a"),I81," ")</f>
        <v> </v>
      </c>
      <c r="Z81" s="19" t="str">
        <f aca="false">IF((F81="l"),I81," ")</f>
        <v> </v>
      </c>
      <c r="AA81" s="19" t="str">
        <f aca="false">IF((F81="y"),I81," ")</f>
        <v> </v>
      </c>
      <c r="AB81" s="19" t="str">
        <f aca="false">IF((F81="fa"),I81," ")</f>
        <v> </v>
      </c>
    </row>
    <row r="82" customFormat="false" ht="12" hidden="false" customHeight="false" outlineLevel="0" collapsed="false">
      <c r="A82" s="27"/>
      <c r="F82" s="58" t="str">
        <f aca="false">IF((G82&lt;&gt;0),"Enter Letter"," ")</f>
        <v> </v>
      </c>
      <c r="G82" s="29"/>
      <c r="H82" s="6" t="str">
        <f aca="false">IF(G82&lt;&gt;0,G82*H$2/(100+H$2)," ")</f>
        <v> </v>
      </c>
      <c r="I82" s="6" t="str">
        <f aca="false">IF((G82&lt;&gt;0),G82-H82," ")</f>
        <v> </v>
      </c>
      <c r="J82" s="5"/>
      <c r="M82" s="7" t="str">
        <f aca="false">IF(G82&lt;&gt;0,G82-L82," ")</f>
        <v> </v>
      </c>
      <c r="N82" s="8" t="str">
        <f aca="false">IF((G82-L82)&lt;&gt;0,N$1-A82," ")</f>
        <v> </v>
      </c>
      <c r="O82" s="5"/>
      <c r="P82" s="19" t="str">
        <f aca="false">IF((F82="s"),I82," ")</f>
        <v> </v>
      </c>
      <c r="Q82" s="19" t="str">
        <f aca="false">IF((F82="c"),I82," ")</f>
        <v> </v>
      </c>
      <c r="R82" s="19" t="str">
        <f aca="false">IF((F82="o"),I82," ")</f>
        <v> </v>
      </c>
      <c r="S82" s="19" t="str">
        <f aca="false">IF((F82="w"),I82," ")</f>
        <v> </v>
      </c>
      <c r="T82" s="19" t="str">
        <f aca="false">IF((F82="p"),I82," ")</f>
        <v> </v>
      </c>
      <c r="U82" s="19" t="str">
        <f aca="false">IF((F82="m"),I82," ")</f>
        <v> </v>
      </c>
      <c r="V82" s="19" t="str">
        <f aca="false">IF((F82="g"),I82," ")</f>
        <v> </v>
      </c>
      <c r="W82" s="29" t="str">
        <f aca="false">IF((F82="v"),I82," ")</f>
        <v> </v>
      </c>
      <c r="X82" s="19" t="str">
        <f aca="false">IF((F82="h"),I82," ")</f>
        <v> </v>
      </c>
      <c r="Y82" s="19" t="str">
        <f aca="false">IF((F82="a"),I82," ")</f>
        <v> </v>
      </c>
      <c r="Z82" s="19" t="str">
        <f aca="false">IF((F82="l"),I82," ")</f>
        <v> </v>
      </c>
      <c r="AA82" s="19" t="str">
        <f aca="false">IF((F82="y"),I82," ")</f>
        <v> </v>
      </c>
      <c r="AB82" s="19" t="str">
        <f aca="false">IF((F82="fa"),I82," ")</f>
        <v> </v>
      </c>
    </row>
    <row r="83" customFormat="false" ht="12" hidden="false" customHeight="false" outlineLevel="0" collapsed="false">
      <c r="A83" s="27"/>
      <c r="F83" s="58" t="str">
        <f aca="false">IF((G83&lt;&gt;0),"Enter Letter"," ")</f>
        <v> </v>
      </c>
      <c r="G83" s="29"/>
      <c r="H83" s="6" t="str">
        <f aca="false">IF(G83&lt;&gt;0,G83*H$2/(100+H$2)," ")</f>
        <v> </v>
      </c>
      <c r="I83" s="6" t="str">
        <f aca="false">IF((G83&lt;&gt;0),G83-H83," ")</f>
        <v> </v>
      </c>
      <c r="J83" s="5"/>
      <c r="M83" s="7" t="str">
        <f aca="false">IF(G83&lt;&gt;0,G83-L83," ")</f>
        <v> </v>
      </c>
      <c r="N83" s="8" t="str">
        <f aca="false">IF((G83-L83)&lt;&gt;0,N$1-A83," ")</f>
        <v> </v>
      </c>
      <c r="O83" s="5"/>
      <c r="P83" s="19" t="str">
        <f aca="false">IF((F83="s"),I83," ")</f>
        <v> </v>
      </c>
      <c r="Q83" s="19" t="str">
        <f aca="false">IF((F83="c"),I83," ")</f>
        <v> </v>
      </c>
      <c r="R83" s="19" t="str">
        <f aca="false">IF((F83="o"),I83," ")</f>
        <v> </v>
      </c>
      <c r="S83" s="19" t="str">
        <f aca="false">IF((F83="w"),I83," ")</f>
        <v> </v>
      </c>
      <c r="T83" s="19" t="str">
        <f aca="false">IF((F83="p"),I83," ")</f>
        <v> </v>
      </c>
      <c r="U83" s="19" t="str">
        <f aca="false">IF((F83="m"),I83," ")</f>
        <v> </v>
      </c>
      <c r="V83" s="19" t="str">
        <f aca="false">IF((F83="g"),I83," ")</f>
        <v> </v>
      </c>
      <c r="W83" s="29" t="str">
        <f aca="false">IF((F83="v"),I83," ")</f>
        <v> </v>
      </c>
      <c r="X83" s="19" t="str">
        <f aca="false">IF((F83="h"),I83," ")</f>
        <v> </v>
      </c>
      <c r="Y83" s="19" t="str">
        <f aca="false">IF((F83="a"),I83," ")</f>
        <v> </v>
      </c>
      <c r="Z83" s="19" t="str">
        <f aca="false">IF((F83="l"),I83," ")</f>
        <v> </v>
      </c>
      <c r="AA83" s="19" t="str">
        <f aca="false">IF((F83="y"),I83," ")</f>
        <v> </v>
      </c>
      <c r="AB83" s="19" t="str">
        <f aca="false">IF((F83="fa"),I83," ")</f>
        <v> </v>
      </c>
    </row>
    <row r="84" customFormat="false" ht="12" hidden="false" customHeight="false" outlineLevel="0" collapsed="false">
      <c r="A84" s="27"/>
      <c r="F84" s="58" t="str">
        <f aca="false">IF((G84&lt;&gt;0),"Enter Letter"," ")</f>
        <v> </v>
      </c>
      <c r="G84" s="29"/>
      <c r="H84" s="6" t="str">
        <f aca="false">IF(G84&lt;&gt;0,G84*H$2/(100+H$2)," ")</f>
        <v> </v>
      </c>
      <c r="I84" s="6" t="str">
        <f aca="false">IF((G84&lt;&gt;0),G84-H84," ")</f>
        <v> </v>
      </c>
      <c r="J84" s="5"/>
      <c r="M84" s="7" t="str">
        <f aca="false">IF(G84&lt;&gt;0,G84-L84," ")</f>
        <v> </v>
      </c>
      <c r="N84" s="8" t="str">
        <f aca="false">IF((G84-L84)&lt;&gt;0,N$1-A84," ")</f>
        <v> </v>
      </c>
      <c r="O84" s="5"/>
      <c r="P84" s="19" t="str">
        <f aca="false">IF((F84="s"),I84," ")</f>
        <v> </v>
      </c>
      <c r="Q84" s="19" t="str">
        <f aca="false">IF((F84="c"),I84," ")</f>
        <v> </v>
      </c>
      <c r="R84" s="19" t="str">
        <f aca="false">IF((F84="o"),I84," ")</f>
        <v> </v>
      </c>
      <c r="S84" s="19" t="str">
        <f aca="false">IF((F84="w"),I84," ")</f>
        <v> </v>
      </c>
      <c r="T84" s="19" t="str">
        <f aca="false">IF((F84="p"),I84," ")</f>
        <v> </v>
      </c>
      <c r="U84" s="19" t="str">
        <f aca="false">IF((F84="m"),I84," ")</f>
        <v> </v>
      </c>
      <c r="V84" s="19" t="str">
        <f aca="false">IF((F84="g"),I84," ")</f>
        <v> </v>
      </c>
      <c r="W84" s="29" t="str">
        <f aca="false">IF((F84="v"),I84," ")</f>
        <v> </v>
      </c>
      <c r="X84" s="19" t="str">
        <f aca="false">IF((F84="h"),I84," ")</f>
        <v> </v>
      </c>
      <c r="Y84" s="19" t="str">
        <f aca="false">IF((F84="a"),I84," ")</f>
        <v> </v>
      </c>
      <c r="Z84" s="19" t="str">
        <f aca="false">IF((F84="l"),I84," ")</f>
        <v> </v>
      </c>
      <c r="AA84" s="19" t="str">
        <f aca="false">IF((F84="y"),I84," ")</f>
        <v> </v>
      </c>
      <c r="AB84" s="19" t="str">
        <f aca="false">IF((F84="fa"),I84," ")</f>
        <v> </v>
      </c>
    </row>
    <row r="85" customFormat="false" ht="12" hidden="false" customHeight="false" outlineLevel="0" collapsed="false">
      <c r="A85" s="27"/>
      <c r="F85" s="58" t="str">
        <f aca="false">IF((G85&lt;&gt;0),"Enter Letter"," ")</f>
        <v> </v>
      </c>
      <c r="G85" s="29"/>
      <c r="H85" s="6" t="str">
        <f aca="false">IF(G85&lt;&gt;0,G85*H$2/(100+H$2)," ")</f>
        <v> </v>
      </c>
      <c r="I85" s="6" t="str">
        <f aca="false">IF((G85&lt;&gt;0),G85-H85," ")</f>
        <v> </v>
      </c>
      <c r="J85" s="5"/>
      <c r="M85" s="7" t="str">
        <f aca="false">IF(G85&lt;&gt;0,G85-L85," ")</f>
        <v> </v>
      </c>
      <c r="N85" s="8" t="str">
        <f aca="false">IF((G85-L85)&lt;&gt;0,N$1-A85," ")</f>
        <v> </v>
      </c>
      <c r="O85" s="5"/>
      <c r="P85" s="19" t="str">
        <f aca="false">IF((F85="s"),I85," ")</f>
        <v> </v>
      </c>
      <c r="Q85" s="19" t="str">
        <f aca="false">IF((F85="c"),I85," ")</f>
        <v> </v>
      </c>
      <c r="R85" s="19" t="str">
        <f aca="false">IF((F85="o"),I85," ")</f>
        <v> </v>
      </c>
      <c r="S85" s="19" t="str">
        <f aca="false">IF((F85="w"),I85," ")</f>
        <v> </v>
      </c>
      <c r="T85" s="19" t="str">
        <f aca="false">IF((F85="p"),I85," ")</f>
        <v> </v>
      </c>
      <c r="U85" s="19" t="str">
        <f aca="false">IF((F85="m"),I85," ")</f>
        <v> </v>
      </c>
      <c r="V85" s="19" t="str">
        <f aca="false">IF((F85="g"),I85," ")</f>
        <v> </v>
      </c>
      <c r="W85" s="29" t="str">
        <f aca="false">IF((F85="v"),I85," ")</f>
        <v> </v>
      </c>
      <c r="X85" s="19" t="str">
        <f aca="false">IF((F85="h"),I85," ")</f>
        <v> </v>
      </c>
      <c r="Y85" s="19" t="str">
        <f aca="false">IF((F85="a"),I85," ")</f>
        <v> </v>
      </c>
      <c r="Z85" s="19" t="str">
        <f aca="false">IF((F85="l"),I85," ")</f>
        <v> </v>
      </c>
      <c r="AA85" s="19" t="str">
        <f aca="false">IF((F85="y"),I85," ")</f>
        <v> </v>
      </c>
      <c r="AB85" s="19" t="str">
        <f aca="false">IF((F85="fa"),I85," ")</f>
        <v> </v>
      </c>
    </row>
    <row r="86" customFormat="false" ht="12" hidden="false" customHeight="false" outlineLevel="0" collapsed="false">
      <c r="A86" s="27"/>
      <c r="F86" s="58" t="str">
        <f aca="false">IF((G86&lt;&gt;0),"Enter Letter"," ")</f>
        <v> </v>
      </c>
      <c r="G86" s="29"/>
      <c r="H86" s="6" t="str">
        <f aca="false">IF(G86&lt;&gt;0,G86*H$2/(100+H$2)," ")</f>
        <v> </v>
      </c>
      <c r="I86" s="6" t="str">
        <f aca="false">IF((G86&lt;&gt;0),G86-H86," ")</f>
        <v> </v>
      </c>
      <c r="J86" s="5"/>
      <c r="M86" s="7" t="str">
        <f aca="false">IF(G86&lt;&gt;0,G86-L86," ")</f>
        <v> </v>
      </c>
      <c r="N86" s="8" t="str">
        <f aca="false">IF((G86-L86)&lt;&gt;0,N$1-A86," ")</f>
        <v> </v>
      </c>
      <c r="O86" s="5"/>
      <c r="P86" s="19" t="str">
        <f aca="false">IF((F86="s"),I86," ")</f>
        <v> </v>
      </c>
      <c r="Q86" s="19" t="str">
        <f aca="false">IF((F86="c"),I86," ")</f>
        <v> </v>
      </c>
      <c r="R86" s="19" t="str">
        <f aca="false">IF((F86="o"),I86," ")</f>
        <v> </v>
      </c>
      <c r="S86" s="19" t="str">
        <f aca="false">IF((F86="w"),I86," ")</f>
        <v> </v>
      </c>
      <c r="T86" s="19" t="str">
        <f aca="false">IF((F86="p"),I86," ")</f>
        <v> </v>
      </c>
      <c r="U86" s="19" t="str">
        <f aca="false">IF((F86="m"),I86," ")</f>
        <v> </v>
      </c>
      <c r="V86" s="19" t="str">
        <f aca="false">IF((F86="g"),I86," ")</f>
        <v> </v>
      </c>
      <c r="W86" s="29" t="str">
        <f aca="false">IF((F86="v"),I86," ")</f>
        <v> </v>
      </c>
      <c r="X86" s="19" t="str">
        <f aca="false">IF((F86="h"),I86," ")</f>
        <v> </v>
      </c>
      <c r="Y86" s="19" t="str">
        <f aca="false">IF((F86="a"),I86," ")</f>
        <v> </v>
      </c>
      <c r="Z86" s="19" t="str">
        <f aca="false">IF((F86="l"),I86," ")</f>
        <v> </v>
      </c>
      <c r="AA86" s="19" t="str">
        <f aca="false">IF((F86="y"),I86," ")</f>
        <v> </v>
      </c>
      <c r="AB86" s="19" t="str">
        <f aca="false">IF((F86="fa"),I86," ")</f>
        <v> </v>
      </c>
    </row>
    <row r="87" customFormat="false" ht="12" hidden="false" customHeight="false" outlineLevel="0" collapsed="false">
      <c r="A87" s="27"/>
      <c r="F87" s="58" t="str">
        <f aca="false">IF((G87&lt;&gt;0),"Enter Letter"," ")</f>
        <v> </v>
      </c>
      <c r="G87" s="29"/>
      <c r="H87" s="6" t="str">
        <f aca="false">IF(G87&lt;&gt;0,G87*H$2/(100+H$2)," ")</f>
        <v> </v>
      </c>
      <c r="I87" s="6" t="str">
        <f aca="false">IF((G87&lt;&gt;0),G87-H87," ")</f>
        <v> </v>
      </c>
      <c r="J87" s="5"/>
      <c r="M87" s="7" t="str">
        <f aca="false">IF(G87&lt;&gt;0,G87-L87," ")</f>
        <v> </v>
      </c>
      <c r="N87" s="8" t="str">
        <f aca="false">IF((G87-L87)&lt;&gt;0,N$1-A87," ")</f>
        <v> </v>
      </c>
      <c r="O87" s="5"/>
      <c r="P87" s="19" t="str">
        <f aca="false">IF((F87="s"),I87," ")</f>
        <v> </v>
      </c>
      <c r="Q87" s="19" t="str">
        <f aca="false">IF((F87="c"),I87," ")</f>
        <v> </v>
      </c>
      <c r="R87" s="19" t="str">
        <f aca="false">IF((F87="o"),I87," ")</f>
        <v> </v>
      </c>
      <c r="S87" s="19" t="str">
        <f aca="false">IF((F87="w"),I87," ")</f>
        <v> </v>
      </c>
      <c r="T87" s="19" t="str">
        <f aca="false">IF((F87="p"),I87," ")</f>
        <v> </v>
      </c>
      <c r="U87" s="19" t="str">
        <f aca="false">IF((F87="m"),I87," ")</f>
        <v> </v>
      </c>
      <c r="V87" s="19" t="str">
        <f aca="false">IF((F87="g"),I87," ")</f>
        <v> </v>
      </c>
      <c r="W87" s="29" t="str">
        <f aca="false">IF((F87="v"),I87," ")</f>
        <v> </v>
      </c>
      <c r="X87" s="19" t="str">
        <f aca="false">IF((F87="h"),I87," ")</f>
        <v> </v>
      </c>
      <c r="Y87" s="19" t="str">
        <f aca="false">IF((F87="a"),I87," ")</f>
        <v> </v>
      </c>
      <c r="Z87" s="19" t="str">
        <f aca="false">IF((F87="l"),I87," ")</f>
        <v> </v>
      </c>
      <c r="AA87" s="19" t="str">
        <f aca="false">IF((F87="y"),I87," ")</f>
        <v> </v>
      </c>
      <c r="AB87" s="19" t="str">
        <f aca="false">IF((F87="fa"),I87," ")</f>
        <v> </v>
      </c>
    </row>
    <row r="88" customFormat="false" ht="12" hidden="false" customHeight="false" outlineLevel="0" collapsed="false">
      <c r="A88" s="27"/>
      <c r="F88" s="58" t="str">
        <f aca="false">IF((G88&lt;&gt;0),"Enter Letter"," ")</f>
        <v> </v>
      </c>
      <c r="G88" s="29"/>
      <c r="H88" s="6" t="str">
        <f aca="false">IF(G88&lt;&gt;0,G88*H$2/(100+H$2)," ")</f>
        <v> </v>
      </c>
      <c r="I88" s="6" t="str">
        <f aca="false">IF((G88&lt;&gt;0),G88-H88," ")</f>
        <v> </v>
      </c>
      <c r="J88" s="5"/>
      <c r="M88" s="7" t="str">
        <f aca="false">IF(G88&lt;&gt;0,G88-L88," ")</f>
        <v> </v>
      </c>
      <c r="N88" s="8" t="str">
        <f aca="false">IF((G88-L88)&lt;&gt;0,N$1-A88," ")</f>
        <v> </v>
      </c>
      <c r="O88" s="5"/>
      <c r="P88" s="19" t="str">
        <f aca="false">IF((F88="s"),I88," ")</f>
        <v> </v>
      </c>
      <c r="Q88" s="19" t="str">
        <f aca="false">IF((F88="c"),I88," ")</f>
        <v> </v>
      </c>
      <c r="R88" s="19" t="str">
        <f aca="false">IF((F88="o"),I88," ")</f>
        <v> </v>
      </c>
      <c r="S88" s="19" t="str">
        <f aca="false">IF((F88="w"),I88," ")</f>
        <v> </v>
      </c>
      <c r="T88" s="19" t="str">
        <f aca="false">IF((F88="p"),I88," ")</f>
        <v> </v>
      </c>
      <c r="U88" s="19" t="str">
        <f aca="false">IF((F88="m"),I88," ")</f>
        <v> </v>
      </c>
      <c r="V88" s="19" t="str">
        <f aca="false">IF((F88="g"),I88," ")</f>
        <v> </v>
      </c>
      <c r="W88" s="29" t="str">
        <f aca="false">IF((F88="v"),I88," ")</f>
        <v> </v>
      </c>
      <c r="X88" s="19" t="str">
        <f aca="false">IF((F88="h"),I88," ")</f>
        <v> </v>
      </c>
      <c r="Y88" s="19" t="str">
        <f aca="false">IF((F88="a"),I88," ")</f>
        <v> </v>
      </c>
      <c r="Z88" s="19" t="str">
        <f aca="false">IF((F88="l"),I88," ")</f>
        <v> </v>
      </c>
      <c r="AA88" s="19" t="str">
        <f aca="false">IF((F88="y"),I88," ")</f>
        <v> </v>
      </c>
      <c r="AB88" s="19" t="str">
        <f aca="false">IF((F88="fa"),I88," ")</f>
        <v> </v>
      </c>
    </row>
    <row r="89" customFormat="false" ht="12" hidden="false" customHeight="false" outlineLevel="0" collapsed="false">
      <c r="A89" s="27"/>
      <c r="F89" s="58" t="str">
        <f aca="false">IF((G89&lt;&gt;0),"Enter Letter"," ")</f>
        <v> </v>
      </c>
      <c r="G89" s="29"/>
      <c r="H89" s="6" t="str">
        <f aca="false">IF(G89&lt;&gt;0,G89*H$2/(100+H$2)," ")</f>
        <v> </v>
      </c>
      <c r="I89" s="6" t="str">
        <f aca="false">IF((G89&lt;&gt;0),G89-H89," ")</f>
        <v> </v>
      </c>
      <c r="J89" s="5"/>
      <c r="M89" s="7" t="str">
        <f aca="false">IF(G89&lt;&gt;0,G89-L89," ")</f>
        <v> </v>
      </c>
      <c r="N89" s="8" t="str">
        <f aca="false">IF((G89-L89)&lt;&gt;0,N$1-A89," ")</f>
        <v> </v>
      </c>
      <c r="O89" s="5"/>
      <c r="P89" s="19" t="str">
        <f aca="false">IF((F89="s"),I89," ")</f>
        <v> </v>
      </c>
      <c r="Q89" s="19" t="str">
        <f aca="false">IF((F89="c"),I89," ")</f>
        <v> </v>
      </c>
      <c r="R89" s="19" t="str">
        <f aca="false">IF((F89="o"),I89," ")</f>
        <v> </v>
      </c>
      <c r="S89" s="19" t="str">
        <f aca="false">IF((F89="w"),I89," ")</f>
        <v> </v>
      </c>
      <c r="T89" s="19" t="str">
        <f aca="false">IF((F89="p"),I89," ")</f>
        <v> </v>
      </c>
      <c r="U89" s="19" t="str">
        <f aca="false">IF((F89="m"),I89," ")</f>
        <v> </v>
      </c>
      <c r="V89" s="19" t="str">
        <f aca="false">IF((F89="g"),I89," ")</f>
        <v> </v>
      </c>
      <c r="W89" s="29" t="str">
        <f aca="false">IF((F89="v"),I89," ")</f>
        <v> </v>
      </c>
      <c r="X89" s="19" t="str">
        <f aca="false">IF((F89="h"),I89," ")</f>
        <v> </v>
      </c>
      <c r="Y89" s="19" t="str">
        <f aca="false">IF((F89="a"),I89," ")</f>
        <v> </v>
      </c>
      <c r="Z89" s="19" t="str">
        <f aca="false">IF((F89="l"),I89," ")</f>
        <v> </v>
      </c>
      <c r="AA89" s="19" t="str">
        <f aca="false">IF((F89="y"),I89," ")</f>
        <v> </v>
      </c>
      <c r="AB89" s="19" t="str">
        <f aca="false">IF((F89="fa"),I89," ")</f>
        <v> </v>
      </c>
    </row>
    <row r="90" customFormat="false" ht="12" hidden="false" customHeight="false" outlineLevel="0" collapsed="false">
      <c r="A90" s="27"/>
      <c r="F90" s="58" t="str">
        <f aca="false">IF((G90&lt;&gt;0),"Enter Letter"," ")</f>
        <v> </v>
      </c>
      <c r="G90" s="29"/>
      <c r="H90" s="6" t="str">
        <f aca="false">IF(G90&lt;&gt;0,G90*H$2/(100+H$2)," ")</f>
        <v> </v>
      </c>
      <c r="I90" s="6" t="str">
        <f aca="false">IF((G90&lt;&gt;0),G90-H90," ")</f>
        <v> </v>
      </c>
      <c r="J90" s="5"/>
      <c r="M90" s="7" t="str">
        <f aca="false">IF(G90&lt;&gt;0,G90-L90," ")</f>
        <v> </v>
      </c>
      <c r="N90" s="8" t="str">
        <f aca="false">IF((G90-L90)&lt;&gt;0,N$1-A90," ")</f>
        <v> </v>
      </c>
      <c r="O90" s="5"/>
      <c r="P90" s="19" t="str">
        <f aca="false">IF((F90="s"),I90," ")</f>
        <v> </v>
      </c>
      <c r="Q90" s="19" t="str">
        <f aca="false">IF((F90="c"),I90," ")</f>
        <v> </v>
      </c>
      <c r="R90" s="19" t="str">
        <f aca="false">IF((F90="o"),I90," ")</f>
        <v> </v>
      </c>
      <c r="S90" s="19" t="str">
        <f aca="false">IF((F90="w"),I90," ")</f>
        <v> </v>
      </c>
      <c r="T90" s="19" t="str">
        <f aca="false">IF((F90="p"),I90," ")</f>
        <v> </v>
      </c>
      <c r="U90" s="19" t="str">
        <f aca="false">IF((F90="m"),I90," ")</f>
        <v> </v>
      </c>
      <c r="V90" s="19" t="str">
        <f aca="false">IF((F90="g"),I90," ")</f>
        <v> </v>
      </c>
      <c r="W90" s="29" t="str">
        <f aca="false">IF((F90="v"),I90," ")</f>
        <v> </v>
      </c>
      <c r="X90" s="19" t="str">
        <f aca="false">IF((F90="h"),I90," ")</f>
        <v> </v>
      </c>
      <c r="Y90" s="19" t="str">
        <f aca="false">IF((F90="a"),I90," ")</f>
        <v> </v>
      </c>
      <c r="Z90" s="19" t="str">
        <f aca="false">IF((F90="l"),I90," ")</f>
        <v> </v>
      </c>
      <c r="AA90" s="19" t="str">
        <f aca="false">IF((F90="y"),I90," ")</f>
        <v> </v>
      </c>
      <c r="AB90" s="19" t="str">
        <f aca="false">IF((F90="fa"),I90," ")</f>
        <v> </v>
      </c>
    </row>
    <row r="91" customFormat="false" ht="12" hidden="false" customHeight="false" outlineLevel="0" collapsed="false">
      <c r="A91" s="27"/>
      <c r="F91" s="58" t="str">
        <f aca="false">IF((G91&lt;&gt;0),"Enter Letter"," ")</f>
        <v> </v>
      </c>
      <c r="G91" s="29"/>
      <c r="H91" s="6" t="str">
        <f aca="false">IF(G91&lt;&gt;0,G91*H$2/(100+H$2)," ")</f>
        <v> </v>
      </c>
      <c r="I91" s="6" t="str">
        <f aca="false">IF((G91&lt;&gt;0),G91-H91," ")</f>
        <v> </v>
      </c>
      <c r="J91" s="5"/>
      <c r="M91" s="7" t="str">
        <f aca="false">IF(G91&lt;&gt;0,G91-L91," ")</f>
        <v> </v>
      </c>
      <c r="N91" s="8" t="str">
        <f aca="false">IF((G91-L91)&lt;&gt;0,N$1-A91," ")</f>
        <v> </v>
      </c>
      <c r="O91" s="5"/>
      <c r="P91" s="19" t="str">
        <f aca="false">IF((F91="s"),I91," ")</f>
        <v> </v>
      </c>
      <c r="Q91" s="19" t="str">
        <f aca="false">IF((F91="c"),I91," ")</f>
        <v> </v>
      </c>
      <c r="R91" s="19" t="str">
        <f aca="false">IF((F91="o"),I91," ")</f>
        <v> </v>
      </c>
      <c r="S91" s="19" t="str">
        <f aca="false">IF((F91="w"),I91," ")</f>
        <v> </v>
      </c>
      <c r="T91" s="19" t="str">
        <f aca="false">IF((F91="p"),I91," ")</f>
        <v> </v>
      </c>
      <c r="U91" s="19" t="str">
        <f aca="false">IF((F91="m"),I91," ")</f>
        <v> </v>
      </c>
      <c r="V91" s="19" t="str">
        <f aca="false">IF((F91="g"),I91," ")</f>
        <v> </v>
      </c>
      <c r="W91" s="29" t="str">
        <f aca="false">IF((F91="v"),I91," ")</f>
        <v> </v>
      </c>
      <c r="X91" s="19" t="str">
        <f aca="false">IF((F91="h"),I91," ")</f>
        <v> </v>
      </c>
      <c r="Y91" s="19" t="str">
        <f aca="false">IF((F91="a"),I91," ")</f>
        <v> </v>
      </c>
      <c r="Z91" s="19" t="str">
        <f aca="false">IF((F91="l"),I91," ")</f>
        <v> </v>
      </c>
      <c r="AA91" s="19" t="str">
        <f aca="false">IF((F91="y"),I91," ")</f>
        <v> </v>
      </c>
      <c r="AB91" s="19" t="str">
        <f aca="false">IF((F91="fa"),I91," ")</f>
        <v> </v>
      </c>
    </row>
    <row r="92" customFormat="false" ht="12" hidden="false" customHeight="false" outlineLevel="0" collapsed="false">
      <c r="A92" s="27"/>
      <c r="F92" s="58" t="str">
        <f aca="false">IF((G92&lt;&gt;0),"Enter Letter"," ")</f>
        <v> </v>
      </c>
      <c r="G92" s="29"/>
      <c r="H92" s="6" t="str">
        <f aca="false">IF(G92&lt;&gt;0,G92*H$2/(100+H$2)," ")</f>
        <v> </v>
      </c>
      <c r="I92" s="6" t="str">
        <f aca="false">IF((G92&lt;&gt;0),G92-H92," ")</f>
        <v> </v>
      </c>
      <c r="J92" s="5"/>
      <c r="M92" s="7" t="str">
        <f aca="false">IF(G92&lt;&gt;0,G92-L92," ")</f>
        <v> </v>
      </c>
      <c r="N92" s="8" t="str">
        <f aca="false">IF((G92-L92)&lt;&gt;0,N$1-A92," ")</f>
        <v> </v>
      </c>
      <c r="O92" s="5"/>
      <c r="P92" s="19" t="str">
        <f aca="false">IF((F92="s"),I92," ")</f>
        <v> </v>
      </c>
      <c r="Q92" s="19" t="str">
        <f aca="false">IF((F92="c"),I92," ")</f>
        <v> </v>
      </c>
      <c r="R92" s="19" t="str">
        <f aca="false">IF((F92="o"),I92," ")</f>
        <v> </v>
      </c>
      <c r="S92" s="19" t="str">
        <f aca="false">IF((F92="w"),I92," ")</f>
        <v> </v>
      </c>
      <c r="T92" s="19" t="str">
        <f aca="false">IF((F92="p"),I92," ")</f>
        <v> </v>
      </c>
      <c r="U92" s="19" t="str">
        <f aca="false">IF((F92="m"),I92," ")</f>
        <v> </v>
      </c>
      <c r="V92" s="19" t="str">
        <f aca="false">IF((F92="g"),I92," ")</f>
        <v> </v>
      </c>
      <c r="W92" s="29" t="str">
        <f aca="false">IF((F92="v"),I92," ")</f>
        <v> </v>
      </c>
      <c r="X92" s="19" t="str">
        <f aca="false">IF((F92="h"),I92," ")</f>
        <v> </v>
      </c>
      <c r="Y92" s="19" t="str">
        <f aca="false">IF((F92="a"),I92," ")</f>
        <v> </v>
      </c>
      <c r="Z92" s="19" t="str">
        <f aca="false">IF((F92="l"),I92," ")</f>
        <v> </v>
      </c>
      <c r="AA92" s="19" t="str">
        <f aca="false">IF((F92="y"),I92," ")</f>
        <v> </v>
      </c>
      <c r="AB92" s="19" t="str">
        <f aca="false">IF((F92="fa"),I92," ")</f>
        <v> </v>
      </c>
    </row>
    <row r="93" customFormat="false" ht="12" hidden="false" customHeight="false" outlineLevel="0" collapsed="false">
      <c r="A93" s="27"/>
      <c r="F93" s="58" t="str">
        <f aca="false">IF((G93&lt;&gt;0),"Enter Letter"," ")</f>
        <v> </v>
      </c>
      <c r="G93" s="29"/>
      <c r="H93" s="6" t="str">
        <f aca="false">IF(G93&lt;&gt;0,G93*H$2/(100+H$2)," ")</f>
        <v> </v>
      </c>
      <c r="I93" s="6" t="str">
        <f aca="false">IF((G93&lt;&gt;0),G93-H93," ")</f>
        <v> </v>
      </c>
      <c r="J93" s="5"/>
      <c r="M93" s="7" t="str">
        <f aca="false">IF(G93&lt;&gt;0,G93-L93," ")</f>
        <v> </v>
      </c>
      <c r="N93" s="8" t="str">
        <f aca="false">IF((G93-L93)&lt;&gt;0,N$1-A93," ")</f>
        <v> </v>
      </c>
      <c r="O93" s="5"/>
      <c r="P93" s="19" t="str">
        <f aca="false">IF((F93="s"),I93," ")</f>
        <v> </v>
      </c>
      <c r="Q93" s="19" t="str">
        <f aca="false">IF((F93="c"),I93," ")</f>
        <v> </v>
      </c>
      <c r="R93" s="19" t="str">
        <f aca="false">IF((F93="o"),I93," ")</f>
        <v> </v>
      </c>
      <c r="S93" s="19" t="str">
        <f aca="false">IF((F93="w"),I93," ")</f>
        <v> </v>
      </c>
      <c r="T93" s="19" t="str">
        <f aca="false">IF((F93="p"),I93," ")</f>
        <v> </v>
      </c>
      <c r="U93" s="19" t="str">
        <f aca="false">IF((F93="m"),I93," ")</f>
        <v> </v>
      </c>
      <c r="V93" s="19" t="str">
        <f aca="false">IF((F93="g"),I93," ")</f>
        <v> </v>
      </c>
      <c r="W93" s="29" t="str">
        <f aca="false">IF((F93="v"),I93," ")</f>
        <v> </v>
      </c>
      <c r="X93" s="19" t="str">
        <f aca="false">IF((F93="h"),I93," ")</f>
        <v> </v>
      </c>
      <c r="Y93" s="19" t="str">
        <f aca="false">IF((F93="a"),I93," ")</f>
        <v> </v>
      </c>
      <c r="Z93" s="19" t="str">
        <f aca="false">IF((F93="l"),I93," ")</f>
        <v> </v>
      </c>
      <c r="AA93" s="19" t="str">
        <f aca="false">IF((F93="y"),I93," ")</f>
        <v> </v>
      </c>
      <c r="AB93" s="19" t="str">
        <f aca="false">IF((F93="fa"),I93," ")</f>
        <v> </v>
      </c>
    </row>
    <row r="94" customFormat="false" ht="12" hidden="false" customHeight="false" outlineLevel="0" collapsed="false">
      <c r="A94" s="27"/>
      <c r="F94" s="58" t="str">
        <f aca="false">IF((G94&lt;&gt;0),"Enter Letter"," ")</f>
        <v> </v>
      </c>
      <c r="G94" s="29"/>
      <c r="H94" s="6" t="str">
        <f aca="false">IF(G94&lt;&gt;0,G94*H$2/(100+H$2)," ")</f>
        <v> </v>
      </c>
      <c r="I94" s="6" t="str">
        <f aca="false">IF((G94&lt;&gt;0),G94-H94," ")</f>
        <v> </v>
      </c>
      <c r="J94" s="5"/>
      <c r="M94" s="7" t="str">
        <f aca="false">IF(G94&lt;&gt;0,G94-L94," ")</f>
        <v> </v>
      </c>
      <c r="N94" s="8" t="str">
        <f aca="false">IF((G94-L94)&lt;&gt;0,N$1-A94," ")</f>
        <v> </v>
      </c>
      <c r="O94" s="5"/>
      <c r="P94" s="19" t="str">
        <f aca="false">IF((F94="s"),I94," ")</f>
        <v> </v>
      </c>
      <c r="Q94" s="19" t="str">
        <f aca="false">IF((F94="c"),I94," ")</f>
        <v> </v>
      </c>
      <c r="R94" s="19" t="str">
        <f aca="false">IF((F94="o"),I94," ")</f>
        <v> </v>
      </c>
      <c r="S94" s="19" t="str">
        <f aca="false">IF((F94="w"),I94," ")</f>
        <v> </v>
      </c>
      <c r="T94" s="19" t="str">
        <f aca="false">IF((F94="p"),I94," ")</f>
        <v> </v>
      </c>
      <c r="U94" s="19" t="str">
        <f aca="false">IF((F94="m"),I94," ")</f>
        <v> </v>
      </c>
      <c r="V94" s="19" t="str">
        <f aca="false">IF((F94="g"),I94," ")</f>
        <v> </v>
      </c>
      <c r="W94" s="29" t="str">
        <f aca="false">IF((F94="v"),I94," ")</f>
        <v> </v>
      </c>
      <c r="X94" s="19" t="str">
        <f aca="false">IF((F94="h"),I94," ")</f>
        <v> </v>
      </c>
      <c r="Y94" s="19" t="str">
        <f aca="false">IF((F94="a"),I94," ")</f>
        <v> </v>
      </c>
      <c r="Z94" s="19" t="str">
        <f aca="false">IF((F94="l"),I94," ")</f>
        <v> </v>
      </c>
      <c r="AA94" s="19" t="str">
        <f aca="false">IF((F94="y"),I94," ")</f>
        <v> </v>
      </c>
      <c r="AB94" s="19" t="str">
        <f aca="false">IF((F94="fa"),I94," ")</f>
        <v> </v>
      </c>
    </row>
    <row r="95" customFormat="false" ht="12" hidden="false" customHeight="false" outlineLevel="0" collapsed="false">
      <c r="A95" s="27"/>
      <c r="F95" s="58" t="str">
        <f aca="false">IF((G95&lt;&gt;0),"Enter Letter"," ")</f>
        <v> </v>
      </c>
      <c r="G95" s="29"/>
      <c r="H95" s="6" t="str">
        <f aca="false">IF(G95&lt;&gt;0,G95*H$2/(100+H$2)," ")</f>
        <v> </v>
      </c>
      <c r="I95" s="6" t="str">
        <f aca="false">IF((G95&lt;&gt;0),G95-H95," ")</f>
        <v> </v>
      </c>
      <c r="J95" s="5"/>
      <c r="M95" s="7" t="str">
        <f aca="false">IF(G95&lt;&gt;0,G95-L95," ")</f>
        <v> </v>
      </c>
      <c r="N95" s="8" t="str">
        <f aca="false">IF((G95-L95)&lt;&gt;0,N$1-A95," ")</f>
        <v> </v>
      </c>
      <c r="O95" s="5"/>
      <c r="P95" s="19" t="str">
        <f aca="false">IF((F95="s"),I95," ")</f>
        <v> </v>
      </c>
      <c r="Q95" s="19" t="str">
        <f aca="false">IF((F95="c"),I95," ")</f>
        <v> </v>
      </c>
      <c r="R95" s="19" t="str">
        <f aca="false">IF((F95="o"),I95," ")</f>
        <v> </v>
      </c>
      <c r="S95" s="19" t="str">
        <f aca="false">IF((F95="w"),I95," ")</f>
        <v> </v>
      </c>
      <c r="T95" s="19" t="str">
        <f aca="false">IF((F95="p"),I95," ")</f>
        <v> </v>
      </c>
      <c r="U95" s="19" t="str">
        <f aca="false">IF((F95="m"),I95," ")</f>
        <v> </v>
      </c>
      <c r="V95" s="19" t="str">
        <f aca="false">IF((F95="g"),I95," ")</f>
        <v> </v>
      </c>
      <c r="W95" s="29" t="str">
        <f aca="false">IF((F95="v"),I95," ")</f>
        <v> </v>
      </c>
      <c r="X95" s="19" t="str">
        <f aca="false">IF((F95="h"),I95," ")</f>
        <v> </v>
      </c>
      <c r="Y95" s="19" t="str">
        <f aca="false">IF((F95="a"),I95," ")</f>
        <v> </v>
      </c>
      <c r="Z95" s="19" t="str">
        <f aca="false">IF((F95="l"),I95," ")</f>
        <v> </v>
      </c>
      <c r="AA95" s="19" t="str">
        <f aca="false">IF((F95="y"),I95," ")</f>
        <v> </v>
      </c>
      <c r="AB95" s="19" t="str">
        <f aca="false">IF((F95="fa"),I95," ")</f>
        <v> </v>
      </c>
    </row>
    <row r="96" customFormat="false" ht="12" hidden="false" customHeight="false" outlineLevel="0" collapsed="false">
      <c r="A96" s="27"/>
      <c r="F96" s="58" t="str">
        <f aca="false">IF((G96&lt;&gt;0),"Enter Letter"," ")</f>
        <v> </v>
      </c>
      <c r="G96" s="29"/>
      <c r="H96" s="6" t="str">
        <f aca="false">IF(G96&lt;&gt;0,G96*H$2/(100+H$2)," ")</f>
        <v> </v>
      </c>
      <c r="I96" s="6" t="str">
        <f aca="false">IF((G96&lt;&gt;0),G96-H96," ")</f>
        <v> </v>
      </c>
      <c r="J96" s="5"/>
      <c r="M96" s="7" t="str">
        <f aca="false">IF(G96&lt;&gt;0,G96-L96," ")</f>
        <v> </v>
      </c>
      <c r="N96" s="8" t="str">
        <f aca="false">IF((G96-L96)&lt;&gt;0,N$1-A96," ")</f>
        <v> </v>
      </c>
      <c r="O96" s="5"/>
      <c r="P96" s="19" t="str">
        <f aca="false">IF((F96="s"),I96," ")</f>
        <v> </v>
      </c>
      <c r="Q96" s="19" t="str">
        <f aca="false">IF((F96="c"),I96," ")</f>
        <v> </v>
      </c>
      <c r="R96" s="19" t="str">
        <f aca="false">IF((F96="o"),I96," ")</f>
        <v> </v>
      </c>
      <c r="S96" s="19" t="str">
        <f aca="false">IF((F96="w"),I96," ")</f>
        <v> </v>
      </c>
      <c r="T96" s="19" t="str">
        <f aca="false">IF((F96="p"),I96," ")</f>
        <v> </v>
      </c>
      <c r="U96" s="19" t="str">
        <f aca="false">IF((F96="m"),I96," ")</f>
        <v> </v>
      </c>
      <c r="V96" s="19" t="str">
        <f aca="false">IF((F96="g"),I96," ")</f>
        <v> </v>
      </c>
      <c r="W96" s="29" t="str">
        <f aca="false">IF((F96="v"),I96," ")</f>
        <v> </v>
      </c>
      <c r="X96" s="19" t="str">
        <f aca="false">IF((F96="h"),I96," ")</f>
        <v> </v>
      </c>
      <c r="Y96" s="19" t="str">
        <f aca="false">IF((F96="a"),I96," ")</f>
        <v> </v>
      </c>
      <c r="Z96" s="19" t="str">
        <f aca="false">IF((F96="l"),I96," ")</f>
        <v> </v>
      </c>
      <c r="AA96" s="19" t="str">
        <f aca="false">IF((F96="y"),I96," ")</f>
        <v> </v>
      </c>
      <c r="AB96" s="19" t="str">
        <f aca="false">IF((F96="fa"),I96," ")</f>
        <v> </v>
      </c>
    </row>
    <row r="97" customFormat="false" ht="12" hidden="false" customHeight="false" outlineLevel="0" collapsed="false">
      <c r="A97" s="27"/>
      <c r="F97" s="58" t="str">
        <f aca="false">IF((G97&lt;&gt;0),"Enter Letter"," ")</f>
        <v> </v>
      </c>
      <c r="G97" s="29"/>
      <c r="H97" s="6" t="str">
        <f aca="false">IF(G97&lt;&gt;0,G97*H$2/(100+H$2)," ")</f>
        <v> </v>
      </c>
      <c r="I97" s="6" t="str">
        <f aca="false">IF((G97&lt;&gt;0),G97-H97," ")</f>
        <v> </v>
      </c>
      <c r="J97" s="5"/>
      <c r="M97" s="7" t="str">
        <f aca="false">IF(G97&lt;&gt;0,G97-L97," ")</f>
        <v> </v>
      </c>
      <c r="N97" s="8" t="str">
        <f aca="false">IF((G97-L97)&lt;&gt;0,N$1-A97," ")</f>
        <v> </v>
      </c>
      <c r="O97" s="5"/>
      <c r="P97" s="19" t="str">
        <f aca="false">IF((F97="s"),I97," ")</f>
        <v> </v>
      </c>
      <c r="Q97" s="19" t="str">
        <f aca="false">IF((F97="c"),I97," ")</f>
        <v> </v>
      </c>
      <c r="R97" s="19" t="str">
        <f aca="false">IF((F97="o"),I97," ")</f>
        <v> </v>
      </c>
      <c r="S97" s="19" t="str">
        <f aca="false">IF((F97="w"),I97," ")</f>
        <v> </v>
      </c>
      <c r="T97" s="19" t="str">
        <f aca="false">IF((F97="p"),I97," ")</f>
        <v> </v>
      </c>
      <c r="U97" s="19" t="str">
        <f aca="false">IF((F97="m"),I97," ")</f>
        <v> </v>
      </c>
      <c r="V97" s="19" t="str">
        <f aca="false">IF((F97="g"),I97," ")</f>
        <v> </v>
      </c>
      <c r="W97" s="29" t="str">
        <f aca="false">IF((F97="v"),I97," ")</f>
        <v> </v>
      </c>
      <c r="X97" s="19" t="str">
        <f aca="false">IF((F97="h"),I97," ")</f>
        <v> </v>
      </c>
      <c r="Y97" s="19" t="str">
        <f aca="false">IF((F97="a"),I97," ")</f>
        <v> </v>
      </c>
      <c r="Z97" s="19" t="str">
        <f aca="false">IF((F97="l"),I97," ")</f>
        <v> </v>
      </c>
      <c r="AA97" s="19" t="str">
        <f aca="false">IF((F97="y"),I97," ")</f>
        <v> </v>
      </c>
      <c r="AB97" s="19" t="str">
        <f aca="false">IF((F97="fa"),I97," ")</f>
        <v> </v>
      </c>
    </row>
    <row r="98" customFormat="false" ht="12" hidden="false" customHeight="false" outlineLevel="0" collapsed="false">
      <c r="A98" s="27"/>
      <c r="F98" s="58" t="str">
        <f aca="false">IF((G98&lt;&gt;0),"Enter Letter"," ")</f>
        <v> </v>
      </c>
      <c r="G98" s="29"/>
      <c r="H98" s="6" t="str">
        <f aca="false">IF(G98&lt;&gt;0,G98*H$2/(100+H$2)," ")</f>
        <v> </v>
      </c>
      <c r="I98" s="6" t="str">
        <f aca="false">IF((G98&lt;&gt;0),G98-H98," ")</f>
        <v> </v>
      </c>
      <c r="J98" s="5"/>
      <c r="M98" s="7" t="str">
        <f aca="false">IF(G98&lt;&gt;0,G98-L98," ")</f>
        <v> </v>
      </c>
      <c r="N98" s="8" t="str">
        <f aca="false">IF((G98-L98)&lt;&gt;0,N$1-A98," ")</f>
        <v> </v>
      </c>
      <c r="O98" s="5"/>
      <c r="P98" s="19" t="str">
        <f aca="false">IF((F98="s"),I98," ")</f>
        <v> </v>
      </c>
      <c r="Q98" s="19" t="str">
        <f aca="false">IF((F98="c"),I98," ")</f>
        <v> </v>
      </c>
      <c r="R98" s="19" t="str">
        <f aca="false">IF((F98="o"),I98," ")</f>
        <v> </v>
      </c>
      <c r="S98" s="19" t="str">
        <f aca="false">IF((F98="w"),I98," ")</f>
        <v> </v>
      </c>
      <c r="T98" s="19" t="str">
        <f aca="false">IF((F98="p"),I98," ")</f>
        <v> </v>
      </c>
      <c r="U98" s="19" t="str">
        <f aca="false">IF((F98="m"),I98," ")</f>
        <v> </v>
      </c>
      <c r="V98" s="19" t="str">
        <f aca="false">IF((F98="g"),I98," ")</f>
        <v> </v>
      </c>
      <c r="W98" s="29" t="str">
        <f aca="false">IF((F98="v"),I98," ")</f>
        <v> </v>
      </c>
      <c r="X98" s="19" t="str">
        <f aca="false">IF((F98="h"),I98," ")</f>
        <v> </v>
      </c>
      <c r="Y98" s="19" t="str">
        <f aca="false">IF((F98="a"),I98," ")</f>
        <v> </v>
      </c>
      <c r="Z98" s="19" t="str">
        <f aca="false">IF((F98="l"),I98," ")</f>
        <v> </v>
      </c>
      <c r="AA98" s="19" t="str">
        <f aca="false">IF((F98="y"),I98," ")</f>
        <v> </v>
      </c>
      <c r="AB98" s="19" t="str">
        <f aca="false">IF((F98="fa"),I98," ")</f>
        <v> </v>
      </c>
    </row>
    <row r="99" customFormat="false" ht="12" hidden="false" customHeight="false" outlineLevel="0" collapsed="false">
      <c r="A99" s="27"/>
      <c r="F99" s="58" t="str">
        <f aca="false">IF((G99&lt;&gt;0),"Enter Letter"," ")</f>
        <v> </v>
      </c>
      <c r="G99" s="29"/>
      <c r="H99" s="6" t="str">
        <f aca="false">IF(G99&lt;&gt;0,G99*H$2/(100+H$2)," ")</f>
        <v> </v>
      </c>
      <c r="I99" s="6" t="str">
        <f aca="false">IF((G99&lt;&gt;0),G99-H99," ")</f>
        <v> </v>
      </c>
      <c r="J99" s="5"/>
      <c r="M99" s="7" t="str">
        <f aca="false">IF(G99&lt;&gt;0,G99-L99," ")</f>
        <v> </v>
      </c>
      <c r="N99" s="8" t="str">
        <f aca="false">IF((G99-L99)&lt;&gt;0,N$1-A99," ")</f>
        <v> </v>
      </c>
      <c r="O99" s="5"/>
      <c r="P99" s="19" t="str">
        <f aca="false">IF((F99="s"),I99," ")</f>
        <v> </v>
      </c>
      <c r="Q99" s="19" t="str">
        <f aca="false">IF((F99="c"),I99," ")</f>
        <v> </v>
      </c>
      <c r="R99" s="19" t="str">
        <f aca="false">IF((F99="o"),I99," ")</f>
        <v> </v>
      </c>
      <c r="S99" s="19" t="str">
        <f aca="false">IF((F99="w"),I99," ")</f>
        <v> </v>
      </c>
      <c r="T99" s="19" t="str">
        <f aca="false">IF((F99="p"),I99," ")</f>
        <v> </v>
      </c>
      <c r="U99" s="19" t="str">
        <f aca="false">IF((F99="m"),I99," ")</f>
        <v> </v>
      </c>
      <c r="V99" s="19" t="str">
        <f aca="false">IF((F99="g"),I99," ")</f>
        <v> </v>
      </c>
      <c r="W99" s="29" t="str">
        <f aca="false">IF((F99="v"),I99," ")</f>
        <v> </v>
      </c>
      <c r="X99" s="19" t="str">
        <f aca="false">IF((F99="h"),I99," ")</f>
        <v> </v>
      </c>
      <c r="Y99" s="19" t="str">
        <f aca="false">IF((F99="a"),I99," ")</f>
        <v> </v>
      </c>
      <c r="Z99" s="19" t="str">
        <f aca="false">IF((F99="l"),I99," ")</f>
        <v> </v>
      </c>
      <c r="AA99" s="19" t="str">
        <f aca="false">IF((F99="y"),I99," ")</f>
        <v> </v>
      </c>
      <c r="AB99" s="19" t="str">
        <f aca="false">IF((F99="fa"),I99," ")</f>
        <v> </v>
      </c>
    </row>
    <row r="100" customFormat="false" ht="12" hidden="false" customHeight="false" outlineLevel="0" collapsed="false">
      <c r="A100" s="27"/>
      <c r="F100" s="58" t="str">
        <f aca="false">IF((G100&lt;&gt;0),"Enter Letter"," ")</f>
        <v> </v>
      </c>
      <c r="G100" s="29"/>
      <c r="H100" s="6" t="str">
        <f aca="false">IF(G100&lt;&gt;0,G100*H$2/(100+H$2)," ")</f>
        <v> </v>
      </c>
      <c r="I100" s="6" t="str">
        <f aca="false">IF((G100&lt;&gt;0),G100-H100," ")</f>
        <v> </v>
      </c>
      <c r="J100" s="5"/>
      <c r="M100" s="7" t="str">
        <f aca="false">IF(G100&lt;&gt;0,G100-L100," ")</f>
        <v> </v>
      </c>
      <c r="N100" s="8" t="str">
        <f aca="false">IF((G100-L100)&lt;&gt;0,N$1-A100," ")</f>
        <v> </v>
      </c>
      <c r="O100" s="5"/>
      <c r="P100" s="19" t="str">
        <f aca="false">IF((F100="s"),I100," ")</f>
        <v> </v>
      </c>
      <c r="Q100" s="19" t="str">
        <f aca="false">IF((F100="c"),I100," ")</f>
        <v> </v>
      </c>
      <c r="R100" s="19" t="str">
        <f aca="false">IF((F100="o"),I100," ")</f>
        <v> </v>
      </c>
      <c r="S100" s="19" t="str">
        <f aca="false">IF((F100="w"),I100," ")</f>
        <v> </v>
      </c>
      <c r="T100" s="19" t="str">
        <f aca="false">IF((F100="p"),I100," ")</f>
        <v> </v>
      </c>
      <c r="U100" s="19" t="str">
        <f aca="false">IF((F100="m"),I100," ")</f>
        <v> </v>
      </c>
      <c r="V100" s="19" t="str">
        <f aca="false">IF((F100="g"),I100," ")</f>
        <v> </v>
      </c>
      <c r="W100" s="29" t="str">
        <f aca="false">IF((F100="v"),I100," ")</f>
        <v> </v>
      </c>
      <c r="X100" s="19" t="str">
        <f aca="false">IF((F100="h"),I100," ")</f>
        <v> </v>
      </c>
      <c r="Y100" s="19" t="str">
        <f aca="false">IF((F100="a"),I100," ")</f>
        <v> </v>
      </c>
      <c r="Z100" s="19" t="str">
        <f aca="false">IF((F100="l"),I100," ")</f>
        <v> </v>
      </c>
      <c r="AA100" s="19" t="str">
        <f aca="false">IF((F100="y"),I100," ")</f>
        <v> </v>
      </c>
      <c r="AB100" s="19" t="str">
        <f aca="false">IF((F100="fa"),I100," ")</f>
        <v> </v>
      </c>
    </row>
    <row r="101" customFormat="false" ht="12" hidden="false" customHeight="false" outlineLevel="0" collapsed="false">
      <c r="A101" s="27"/>
      <c r="F101" s="58" t="str">
        <f aca="false">IF((G101&lt;&gt;0),"Enter Letter"," ")</f>
        <v> </v>
      </c>
      <c r="G101" s="29"/>
      <c r="H101" s="6" t="str">
        <f aca="false">IF(G101&lt;&gt;0,G101*H$2/(100+H$2)," ")</f>
        <v> </v>
      </c>
      <c r="I101" s="6" t="str">
        <f aca="false">IF((G101&lt;&gt;0),G101-H101," ")</f>
        <v> </v>
      </c>
      <c r="J101" s="5"/>
      <c r="M101" s="7" t="str">
        <f aca="false">IF(G101&lt;&gt;0,G101-L101," ")</f>
        <v> </v>
      </c>
      <c r="N101" s="8" t="str">
        <f aca="false">IF((G101-L101)&lt;&gt;0,N$1-A101," ")</f>
        <v> </v>
      </c>
      <c r="O101" s="5"/>
      <c r="P101" s="19" t="str">
        <f aca="false">IF((F101="s"),I101," ")</f>
        <v> </v>
      </c>
      <c r="Q101" s="19" t="str">
        <f aca="false">IF((F101="c"),I101," ")</f>
        <v> </v>
      </c>
      <c r="R101" s="19" t="str">
        <f aca="false">IF((F101="o"),I101," ")</f>
        <v> </v>
      </c>
      <c r="S101" s="19" t="str">
        <f aca="false">IF((F101="w"),I101," ")</f>
        <v> </v>
      </c>
      <c r="T101" s="19" t="str">
        <f aca="false">IF((F101="p"),I101," ")</f>
        <v> </v>
      </c>
      <c r="U101" s="19" t="str">
        <f aca="false">IF((F101="m"),I101," ")</f>
        <v> </v>
      </c>
      <c r="V101" s="19" t="str">
        <f aca="false">IF((F101="g"),I101," ")</f>
        <v> </v>
      </c>
      <c r="W101" s="29" t="str">
        <f aca="false">IF((F101="v"),I101," ")</f>
        <v> </v>
      </c>
      <c r="X101" s="19" t="str">
        <f aca="false">IF((F101="h"),I101," ")</f>
        <v> </v>
      </c>
      <c r="Y101" s="19" t="str">
        <f aca="false">IF((F101="a"),I101," ")</f>
        <v> </v>
      </c>
      <c r="Z101" s="19" t="str">
        <f aca="false">IF((F101="l"),I101," ")</f>
        <v> </v>
      </c>
      <c r="AA101" s="19" t="str">
        <f aca="false">IF((F101="y"),I101," ")</f>
        <v> </v>
      </c>
      <c r="AB101" s="19" t="str">
        <f aca="false">IF((F101="fa"),I101," ")</f>
        <v> </v>
      </c>
    </row>
    <row r="102" customFormat="false" ht="12" hidden="false" customHeight="false" outlineLevel="0" collapsed="false">
      <c r="A102" s="27"/>
      <c r="F102" s="58" t="str">
        <f aca="false">IF((G102&lt;&gt;0),"Enter Letter"," ")</f>
        <v> </v>
      </c>
      <c r="G102" s="29"/>
      <c r="H102" s="6" t="str">
        <f aca="false">IF(G102&lt;&gt;0,G102*H$2/(100+H$2)," ")</f>
        <v> </v>
      </c>
      <c r="I102" s="6" t="str">
        <f aca="false">IF((G102&lt;&gt;0),G102-H102," ")</f>
        <v> </v>
      </c>
      <c r="J102" s="5"/>
      <c r="M102" s="7" t="str">
        <f aca="false">IF(G102&lt;&gt;0,G102-L102," ")</f>
        <v> </v>
      </c>
      <c r="N102" s="8" t="str">
        <f aca="false">IF((G102-L102)&lt;&gt;0,N$1-A102," ")</f>
        <v> </v>
      </c>
      <c r="O102" s="5"/>
      <c r="P102" s="19" t="str">
        <f aca="false">IF((F102="s"),I102," ")</f>
        <v> </v>
      </c>
      <c r="Q102" s="19" t="str">
        <f aca="false">IF((F102="c"),I102," ")</f>
        <v> </v>
      </c>
      <c r="R102" s="19" t="str">
        <f aca="false">IF((F102="o"),I102," ")</f>
        <v> </v>
      </c>
      <c r="S102" s="19" t="str">
        <f aca="false">IF((F102="w"),I102," ")</f>
        <v> </v>
      </c>
      <c r="T102" s="19" t="str">
        <f aca="false">IF((F102="p"),I102," ")</f>
        <v> </v>
      </c>
      <c r="U102" s="19" t="str">
        <f aca="false">IF((F102="m"),I102," ")</f>
        <v> </v>
      </c>
      <c r="V102" s="19" t="str">
        <f aca="false">IF((F102="g"),I102," ")</f>
        <v> </v>
      </c>
      <c r="W102" s="29" t="str">
        <f aca="false">IF((F102="v"),I102," ")</f>
        <v> </v>
      </c>
      <c r="X102" s="19" t="str">
        <f aca="false">IF((F102="h"),I102," ")</f>
        <v> </v>
      </c>
      <c r="Y102" s="19" t="str">
        <f aca="false">IF((F102="a"),I102," ")</f>
        <v> </v>
      </c>
      <c r="Z102" s="19" t="str">
        <f aca="false">IF((F102="l"),I102," ")</f>
        <v> </v>
      </c>
      <c r="AA102" s="19" t="str">
        <f aca="false">IF((F102="y"),I102," ")</f>
        <v> </v>
      </c>
      <c r="AB102" s="19" t="str">
        <f aca="false">IF((F102="fa"),I102," ")</f>
        <v> </v>
      </c>
    </row>
    <row r="103" customFormat="false" ht="12" hidden="false" customHeight="false" outlineLevel="0" collapsed="false">
      <c r="A103" s="27"/>
      <c r="F103" s="58" t="str">
        <f aca="false">IF((G103&lt;&gt;0),"Enter Letter"," ")</f>
        <v> </v>
      </c>
      <c r="G103" s="29"/>
      <c r="H103" s="6" t="str">
        <f aca="false">IF(G103&lt;&gt;0,G103*H$2/(100+H$2)," ")</f>
        <v> </v>
      </c>
      <c r="I103" s="6" t="str">
        <f aca="false">IF((G103&lt;&gt;0),G103-H103," ")</f>
        <v> </v>
      </c>
      <c r="J103" s="5"/>
      <c r="M103" s="7" t="str">
        <f aca="false">IF(G103&lt;&gt;0,G103-L103," ")</f>
        <v> </v>
      </c>
      <c r="N103" s="8" t="str">
        <f aca="false">IF((G103-L103)&lt;&gt;0,N$1-A103," ")</f>
        <v> </v>
      </c>
      <c r="O103" s="5"/>
      <c r="P103" s="19" t="str">
        <f aca="false">IF((F103="s"),I103," ")</f>
        <v> </v>
      </c>
      <c r="Q103" s="19" t="str">
        <f aca="false">IF((F103="c"),I103," ")</f>
        <v> </v>
      </c>
      <c r="R103" s="19" t="str">
        <f aca="false">IF((F103="o"),I103," ")</f>
        <v> </v>
      </c>
      <c r="S103" s="19" t="str">
        <f aca="false">IF((F103="w"),I103," ")</f>
        <v> </v>
      </c>
      <c r="T103" s="19" t="str">
        <f aca="false">IF((F103="p"),I103," ")</f>
        <v> </v>
      </c>
      <c r="U103" s="19" t="str">
        <f aca="false">IF((F103="m"),I103," ")</f>
        <v> </v>
      </c>
      <c r="V103" s="19" t="str">
        <f aca="false">IF((F103="g"),I103," ")</f>
        <v> </v>
      </c>
      <c r="W103" s="29" t="str">
        <f aca="false">IF((F103="v"),I103," ")</f>
        <v> </v>
      </c>
      <c r="X103" s="19" t="str">
        <f aca="false">IF((F103="h"),I103," ")</f>
        <v> </v>
      </c>
      <c r="Y103" s="19" t="str">
        <f aca="false">IF((F103="a"),I103," ")</f>
        <v> </v>
      </c>
      <c r="Z103" s="19" t="str">
        <f aca="false">IF((F103="l"),I103," ")</f>
        <v> </v>
      </c>
      <c r="AA103" s="19" t="str">
        <f aca="false">IF((F103="y"),I103," ")</f>
        <v> </v>
      </c>
      <c r="AB103" s="19" t="str">
        <f aca="false">IF((F103="fa"),I103," ")</f>
        <v> </v>
      </c>
    </row>
    <row r="104" customFormat="false" ht="12" hidden="false" customHeight="false" outlineLevel="0" collapsed="false">
      <c r="A104" s="27"/>
      <c r="F104" s="58" t="str">
        <f aca="false">IF((G104&lt;&gt;0),"Enter Letter"," ")</f>
        <v> </v>
      </c>
      <c r="G104" s="29"/>
      <c r="H104" s="6" t="str">
        <f aca="false">IF(G104&lt;&gt;0,G104*H$2/(100+H$2)," ")</f>
        <v> </v>
      </c>
      <c r="I104" s="6" t="str">
        <f aca="false">IF((G104&lt;&gt;0),G104-H104," ")</f>
        <v> </v>
      </c>
      <c r="J104" s="5"/>
      <c r="M104" s="7" t="str">
        <f aca="false">IF(G104&lt;&gt;0,G104-L104," ")</f>
        <v> </v>
      </c>
      <c r="N104" s="8" t="str">
        <f aca="false">IF((G104-L104)&lt;&gt;0,N$1-A104," ")</f>
        <v> </v>
      </c>
      <c r="O104" s="5"/>
      <c r="P104" s="19" t="str">
        <f aca="false">IF((F104="s"),I104," ")</f>
        <v> </v>
      </c>
      <c r="Q104" s="19" t="str">
        <f aca="false">IF((F104="c"),I104," ")</f>
        <v> </v>
      </c>
      <c r="R104" s="19" t="str">
        <f aca="false">IF((F104="o"),I104," ")</f>
        <v> </v>
      </c>
      <c r="S104" s="19" t="str">
        <f aca="false">IF((F104="w"),I104," ")</f>
        <v> </v>
      </c>
      <c r="T104" s="19" t="str">
        <f aca="false">IF((F104="p"),I104," ")</f>
        <v> </v>
      </c>
      <c r="U104" s="19" t="str">
        <f aca="false">IF((F104="m"),I104," ")</f>
        <v> </v>
      </c>
      <c r="V104" s="19" t="str">
        <f aca="false">IF((F104="g"),I104," ")</f>
        <v> </v>
      </c>
      <c r="W104" s="29" t="str">
        <f aca="false">IF((F104="v"),I104," ")</f>
        <v> </v>
      </c>
      <c r="X104" s="19" t="str">
        <f aca="false">IF((F104="h"),I104," ")</f>
        <v> </v>
      </c>
      <c r="Y104" s="19" t="str">
        <f aca="false">IF((F104="a"),I104," ")</f>
        <v> </v>
      </c>
      <c r="Z104" s="19" t="str">
        <f aca="false">IF((F104="l"),I104," ")</f>
        <v> </v>
      </c>
      <c r="AA104" s="19" t="str">
        <f aca="false">IF((F104="y"),I104," ")</f>
        <v> </v>
      </c>
      <c r="AB104" s="19" t="str">
        <f aca="false">IF((F104="fa"),I104," ")</f>
        <v> </v>
      </c>
    </row>
    <row r="105" customFormat="false" ht="12" hidden="false" customHeight="false" outlineLevel="0" collapsed="false">
      <c r="A105" s="27"/>
      <c r="F105" s="58" t="str">
        <f aca="false">IF((G105&lt;&gt;0),"Enter Letter"," ")</f>
        <v> </v>
      </c>
      <c r="G105" s="29"/>
      <c r="H105" s="6" t="str">
        <f aca="false">IF(G105&lt;&gt;0,G105*H$2/(100+H$2)," ")</f>
        <v> </v>
      </c>
      <c r="I105" s="6" t="str">
        <f aca="false">IF((G105&lt;&gt;0),G105-H105," ")</f>
        <v> </v>
      </c>
      <c r="J105" s="5"/>
      <c r="M105" s="7" t="str">
        <f aca="false">IF(G105&lt;&gt;0,G105-L105," ")</f>
        <v> </v>
      </c>
      <c r="N105" s="8" t="str">
        <f aca="false">IF((G105-L105)&lt;&gt;0,N$1-A105," ")</f>
        <v> </v>
      </c>
      <c r="O105" s="5"/>
      <c r="P105" s="19" t="str">
        <f aca="false">IF((F105="s"),I105," ")</f>
        <v> </v>
      </c>
      <c r="Q105" s="19" t="str">
        <f aca="false">IF((F105="c"),I105," ")</f>
        <v> </v>
      </c>
      <c r="R105" s="19" t="str">
        <f aca="false">IF((F105="o"),I105," ")</f>
        <v> </v>
      </c>
      <c r="S105" s="19" t="str">
        <f aca="false">IF((F105="w"),I105," ")</f>
        <v> </v>
      </c>
      <c r="T105" s="19" t="str">
        <f aca="false">IF((F105="p"),I105," ")</f>
        <v> </v>
      </c>
      <c r="U105" s="19" t="str">
        <f aca="false">IF((F105="m"),I105," ")</f>
        <v> </v>
      </c>
      <c r="V105" s="19" t="str">
        <f aca="false">IF((F105="g"),I105," ")</f>
        <v> </v>
      </c>
      <c r="W105" s="29" t="str">
        <f aca="false">IF((F105="v"),I105," ")</f>
        <v> </v>
      </c>
      <c r="X105" s="19" t="str">
        <f aca="false">IF((F105="h"),I105," ")</f>
        <v> </v>
      </c>
      <c r="Y105" s="19" t="str">
        <f aca="false">IF((F105="a"),I105," ")</f>
        <v> </v>
      </c>
      <c r="Z105" s="19" t="str">
        <f aca="false">IF((F105="l"),I105," ")</f>
        <v> </v>
      </c>
      <c r="AA105" s="19" t="str">
        <f aca="false">IF((F105="y"),I105," ")</f>
        <v> </v>
      </c>
      <c r="AB105" s="19" t="str">
        <f aca="false">IF((F105="fa"),I105," ")</f>
        <v> </v>
      </c>
    </row>
    <row r="106" customFormat="false" ht="12" hidden="false" customHeight="false" outlineLevel="0" collapsed="false">
      <c r="A106" s="27"/>
      <c r="F106" s="58" t="str">
        <f aca="false">IF((G106&lt;&gt;0),"Enter Letter"," ")</f>
        <v> </v>
      </c>
      <c r="G106" s="29"/>
      <c r="H106" s="6" t="str">
        <f aca="false">IF(G106&lt;&gt;0,G106*H$2/(100+H$2)," ")</f>
        <v> </v>
      </c>
      <c r="I106" s="6" t="str">
        <f aca="false">IF((G106&lt;&gt;0),G106-H106," ")</f>
        <v> </v>
      </c>
      <c r="J106" s="5"/>
      <c r="M106" s="7" t="str">
        <f aca="false">IF(G106&lt;&gt;0,G106-L106," ")</f>
        <v> </v>
      </c>
      <c r="N106" s="8" t="str">
        <f aca="false">IF((G106-L106)&lt;&gt;0,N$1-A106," ")</f>
        <v> </v>
      </c>
      <c r="O106" s="5"/>
      <c r="P106" s="19" t="str">
        <f aca="false">IF((F106="s"),I106," ")</f>
        <v> </v>
      </c>
      <c r="Q106" s="19" t="str">
        <f aca="false">IF((F106="c"),I106," ")</f>
        <v> </v>
      </c>
      <c r="R106" s="19" t="str">
        <f aca="false">IF((F106="o"),I106," ")</f>
        <v> </v>
      </c>
      <c r="S106" s="19" t="str">
        <f aca="false">IF((F106="w"),I106," ")</f>
        <v> </v>
      </c>
      <c r="T106" s="19" t="str">
        <f aca="false">IF((F106="p"),I106," ")</f>
        <v> </v>
      </c>
      <c r="U106" s="19" t="str">
        <f aca="false">IF((F106="m"),I106," ")</f>
        <v> </v>
      </c>
      <c r="V106" s="19" t="str">
        <f aca="false">IF((F106="g"),I106," ")</f>
        <v> </v>
      </c>
      <c r="W106" s="29" t="str">
        <f aca="false">IF((F106="v"),I106," ")</f>
        <v> </v>
      </c>
      <c r="X106" s="19" t="str">
        <f aca="false">IF((F106="h"),I106," ")</f>
        <v> </v>
      </c>
      <c r="Y106" s="19" t="str">
        <f aca="false">IF((F106="a"),I106," ")</f>
        <v> </v>
      </c>
      <c r="Z106" s="19" t="str">
        <f aca="false">IF((F106="l"),I106," ")</f>
        <v> </v>
      </c>
      <c r="AA106" s="19" t="str">
        <f aca="false">IF((F106="y"),I106," ")</f>
        <v> </v>
      </c>
      <c r="AB106" s="19" t="str">
        <f aca="false">IF((F106="fa"),I106," ")</f>
        <v> </v>
      </c>
    </row>
    <row r="107" customFormat="false" ht="12" hidden="false" customHeight="false" outlineLevel="0" collapsed="false">
      <c r="A107" s="27"/>
      <c r="F107" s="58" t="str">
        <f aca="false">IF((G107&lt;&gt;0),"Enter Letter"," ")</f>
        <v> </v>
      </c>
      <c r="G107" s="29"/>
      <c r="H107" s="6" t="str">
        <f aca="false">IF(G107&lt;&gt;0,G107*H$2/(100+H$2)," ")</f>
        <v> </v>
      </c>
      <c r="I107" s="6" t="str">
        <f aca="false">IF((G107&lt;&gt;0),G107-H107," ")</f>
        <v> </v>
      </c>
      <c r="J107" s="5"/>
      <c r="M107" s="7" t="str">
        <f aca="false">IF(G107&lt;&gt;0,G107-L107," ")</f>
        <v> </v>
      </c>
      <c r="N107" s="8" t="str">
        <f aca="false">IF((G107-L107)&lt;&gt;0,N$1-A107," ")</f>
        <v> </v>
      </c>
      <c r="O107" s="5"/>
      <c r="P107" s="19" t="str">
        <f aca="false">IF((F107="s"),I107," ")</f>
        <v> </v>
      </c>
      <c r="Q107" s="19" t="str">
        <f aca="false">IF((F107="c"),I107," ")</f>
        <v> </v>
      </c>
      <c r="R107" s="19" t="str">
        <f aca="false">IF((F107="o"),I107," ")</f>
        <v> </v>
      </c>
      <c r="S107" s="19" t="str">
        <f aca="false">IF((F107="w"),I107," ")</f>
        <v> </v>
      </c>
      <c r="T107" s="19" t="str">
        <f aca="false">IF((F107="p"),I107," ")</f>
        <v> </v>
      </c>
      <c r="U107" s="19" t="str">
        <f aca="false">IF((F107="m"),I107," ")</f>
        <v> </v>
      </c>
      <c r="V107" s="19" t="str">
        <f aca="false">IF((F107="g"),I107," ")</f>
        <v> </v>
      </c>
      <c r="W107" s="29" t="str">
        <f aca="false">IF((F107="v"),I107," ")</f>
        <v> </v>
      </c>
      <c r="X107" s="19" t="str">
        <f aca="false">IF((F107="h"),I107," ")</f>
        <v> </v>
      </c>
      <c r="Y107" s="19" t="str">
        <f aca="false">IF((F107="a"),I107," ")</f>
        <v> </v>
      </c>
      <c r="Z107" s="19" t="str">
        <f aca="false">IF((F107="l"),I107," ")</f>
        <v> </v>
      </c>
      <c r="AA107" s="19" t="str">
        <f aca="false">IF((F107="y"),I107," ")</f>
        <v> </v>
      </c>
      <c r="AB107" s="19" t="str">
        <f aca="false">IF((F107="fa"),I107," ")</f>
        <v> </v>
      </c>
    </row>
    <row r="108" customFormat="false" ht="12" hidden="false" customHeight="false" outlineLevel="0" collapsed="false">
      <c r="A108" s="27"/>
      <c r="F108" s="58" t="str">
        <f aca="false">IF((G108&lt;&gt;0),"Enter Letter"," ")</f>
        <v> </v>
      </c>
      <c r="G108" s="29"/>
      <c r="H108" s="6" t="str">
        <f aca="false">IF(G108&lt;&gt;0,G108*H$2/(100+H$2)," ")</f>
        <v> </v>
      </c>
      <c r="I108" s="6" t="str">
        <f aca="false">IF((G108&lt;&gt;0),G108-H108," ")</f>
        <v> </v>
      </c>
      <c r="J108" s="5"/>
      <c r="M108" s="7" t="str">
        <f aca="false">IF(G108&lt;&gt;0,G108-L108," ")</f>
        <v> </v>
      </c>
      <c r="N108" s="8" t="str">
        <f aca="false">IF((G108-L108)&lt;&gt;0,N$1-A108," ")</f>
        <v> </v>
      </c>
      <c r="O108" s="5"/>
      <c r="P108" s="19" t="str">
        <f aca="false">IF((F108="s"),I108," ")</f>
        <v> </v>
      </c>
      <c r="Q108" s="19" t="str">
        <f aca="false">IF((F108="c"),I108," ")</f>
        <v> </v>
      </c>
      <c r="R108" s="19" t="str">
        <f aca="false">IF((F108="o"),I108," ")</f>
        <v> </v>
      </c>
      <c r="S108" s="19" t="str">
        <f aca="false">IF((F108="w"),I108," ")</f>
        <v> </v>
      </c>
      <c r="T108" s="19" t="str">
        <f aca="false">IF((F108="p"),I108," ")</f>
        <v> </v>
      </c>
      <c r="U108" s="19" t="str">
        <f aca="false">IF((F108="m"),I108," ")</f>
        <v> </v>
      </c>
      <c r="V108" s="19" t="str">
        <f aca="false">IF((F108="g"),I108," ")</f>
        <v> </v>
      </c>
      <c r="W108" s="29" t="str">
        <f aca="false">IF((F108="v"),I108," ")</f>
        <v> </v>
      </c>
      <c r="X108" s="19" t="str">
        <f aca="false">IF((F108="h"),I108," ")</f>
        <v> </v>
      </c>
      <c r="Y108" s="19" t="str">
        <f aca="false">IF((F108="a"),I108," ")</f>
        <v> </v>
      </c>
      <c r="Z108" s="19" t="str">
        <f aca="false">IF((F108="l"),I108," ")</f>
        <v> </v>
      </c>
      <c r="AA108" s="19" t="str">
        <f aca="false">IF((F108="y"),I108," ")</f>
        <v> </v>
      </c>
      <c r="AB108" s="19" t="str">
        <f aca="false">IF((F108="fa"),I108," ")</f>
        <v> </v>
      </c>
    </row>
    <row r="109" customFormat="false" ht="12" hidden="false" customHeight="false" outlineLevel="0" collapsed="false">
      <c r="A109" s="27"/>
      <c r="F109" s="58" t="str">
        <f aca="false">IF((G109&lt;&gt;0),"Enter Letter"," ")</f>
        <v> </v>
      </c>
      <c r="G109" s="29"/>
      <c r="H109" s="6" t="str">
        <f aca="false">IF(G109&lt;&gt;0,G109*H$2/(100+H$2)," ")</f>
        <v> </v>
      </c>
      <c r="I109" s="6" t="str">
        <f aca="false">IF((G109&lt;&gt;0),G109-H109," ")</f>
        <v> </v>
      </c>
      <c r="J109" s="5"/>
      <c r="M109" s="7" t="str">
        <f aca="false">IF(G109&lt;&gt;0,G109-L109," ")</f>
        <v> </v>
      </c>
      <c r="N109" s="8" t="str">
        <f aca="false">IF((G109-L109)&lt;&gt;0,N$1-A109," ")</f>
        <v> </v>
      </c>
      <c r="O109" s="5"/>
      <c r="P109" s="19" t="str">
        <f aca="false">IF((F109="s"),I109," ")</f>
        <v> </v>
      </c>
      <c r="Q109" s="19" t="str">
        <f aca="false">IF((F109="c"),I109," ")</f>
        <v> </v>
      </c>
      <c r="R109" s="19" t="str">
        <f aca="false">IF((F109="o"),I109," ")</f>
        <v> </v>
      </c>
      <c r="S109" s="19" t="str">
        <f aca="false">IF((F109="w"),I109," ")</f>
        <v> </v>
      </c>
      <c r="T109" s="19" t="str">
        <f aca="false">IF((F109="p"),I109," ")</f>
        <v> </v>
      </c>
      <c r="U109" s="19" t="str">
        <f aca="false">IF((F109="m"),I109," ")</f>
        <v> </v>
      </c>
      <c r="V109" s="19" t="str">
        <f aca="false">IF((F109="g"),I109," ")</f>
        <v> </v>
      </c>
      <c r="W109" s="29" t="str">
        <f aca="false">IF((F109="v"),I109," ")</f>
        <v> </v>
      </c>
      <c r="X109" s="19" t="str">
        <f aca="false">IF((F109="h"),I109," ")</f>
        <v> </v>
      </c>
      <c r="Y109" s="19" t="str">
        <f aca="false">IF((F109="a"),I109," ")</f>
        <v> </v>
      </c>
      <c r="Z109" s="19" t="str">
        <f aca="false">IF((F109="l"),I109," ")</f>
        <v> </v>
      </c>
      <c r="AA109" s="19" t="str">
        <f aca="false">IF((F109="y"),I109," ")</f>
        <v> </v>
      </c>
      <c r="AB109" s="19" t="str">
        <f aca="false">IF((F109="fa"),I109," ")</f>
        <v> </v>
      </c>
    </row>
    <row r="110" customFormat="false" ht="12" hidden="false" customHeight="false" outlineLevel="0" collapsed="false">
      <c r="A110" s="27"/>
      <c r="F110" s="58" t="str">
        <f aca="false">IF((G110&lt;&gt;0),"Enter Letter"," ")</f>
        <v> </v>
      </c>
      <c r="G110" s="29"/>
      <c r="H110" s="6" t="str">
        <f aca="false">IF(G110&lt;&gt;0,G110*H$2/(100+H$2)," ")</f>
        <v> </v>
      </c>
      <c r="I110" s="6" t="str">
        <f aca="false">IF((G110&lt;&gt;0),G110-H110," ")</f>
        <v> </v>
      </c>
      <c r="J110" s="5"/>
      <c r="M110" s="7" t="str">
        <f aca="false">IF(G110&lt;&gt;0,G110-L110," ")</f>
        <v> </v>
      </c>
      <c r="N110" s="8" t="str">
        <f aca="false">IF((G110-L110)&lt;&gt;0,N$1-A110," ")</f>
        <v> </v>
      </c>
      <c r="O110" s="5"/>
      <c r="P110" s="19" t="str">
        <f aca="false">IF((F110="s"),I110," ")</f>
        <v> </v>
      </c>
      <c r="Q110" s="19" t="str">
        <f aca="false">IF((F110="c"),I110," ")</f>
        <v> </v>
      </c>
      <c r="R110" s="19" t="str">
        <f aca="false">IF((F110="o"),I110," ")</f>
        <v> </v>
      </c>
      <c r="S110" s="19" t="str">
        <f aca="false">IF((F110="w"),I110," ")</f>
        <v> </v>
      </c>
      <c r="T110" s="19" t="str">
        <f aca="false">IF((F110="p"),I110," ")</f>
        <v> </v>
      </c>
      <c r="U110" s="19" t="str">
        <f aca="false">IF((F110="m"),I110," ")</f>
        <v> </v>
      </c>
      <c r="V110" s="19" t="str">
        <f aca="false">IF((F110="g"),I110," ")</f>
        <v> </v>
      </c>
      <c r="W110" s="29" t="str">
        <f aca="false">IF((F110="v"),I110," ")</f>
        <v> </v>
      </c>
      <c r="X110" s="19" t="str">
        <f aca="false">IF((F110="h"),I110," ")</f>
        <v> </v>
      </c>
      <c r="Y110" s="19" t="str">
        <f aca="false">IF((F110="a"),I110," ")</f>
        <v> </v>
      </c>
      <c r="Z110" s="19" t="str">
        <f aca="false">IF((F110="l"),I110," ")</f>
        <v> </v>
      </c>
      <c r="AA110" s="19" t="str">
        <f aca="false">IF((F110="y"),I110," ")</f>
        <v> </v>
      </c>
      <c r="AB110" s="19" t="str">
        <f aca="false">IF((F110="fa"),I110," ")</f>
        <v> </v>
      </c>
    </row>
    <row r="111" customFormat="false" ht="12" hidden="false" customHeight="false" outlineLevel="0" collapsed="false">
      <c r="A111" s="27"/>
      <c r="F111" s="58" t="str">
        <f aca="false">IF((G111&lt;&gt;0),"Enter Letter"," ")</f>
        <v> </v>
      </c>
      <c r="G111" s="29"/>
      <c r="H111" s="6" t="str">
        <f aca="false">IF(G111&lt;&gt;0,G111*H$2/(100+H$2)," ")</f>
        <v> </v>
      </c>
      <c r="I111" s="6" t="str">
        <f aca="false">IF((G111&lt;&gt;0),G111-H111," ")</f>
        <v> </v>
      </c>
      <c r="J111" s="5"/>
      <c r="M111" s="7" t="str">
        <f aca="false">IF(G111&lt;&gt;0,G111-L111," ")</f>
        <v> </v>
      </c>
      <c r="N111" s="8" t="str">
        <f aca="false">IF((G111-L111)&lt;&gt;0,N$1-A111," ")</f>
        <v> </v>
      </c>
      <c r="O111" s="5"/>
      <c r="P111" s="19" t="str">
        <f aca="false">IF((F111="s"),I111," ")</f>
        <v> </v>
      </c>
      <c r="Q111" s="19" t="str">
        <f aca="false">IF((F111="c"),I111," ")</f>
        <v> </v>
      </c>
      <c r="R111" s="19" t="str">
        <f aca="false">IF((F111="o"),I111," ")</f>
        <v> </v>
      </c>
      <c r="S111" s="19" t="str">
        <f aca="false">IF((F111="w"),I111," ")</f>
        <v> </v>
      </c>
      <c r="T111" s="19" t="str">
        <f aca="false">IF((F111="p"),I111," ")</f>
        <v> </v>
      </c>
      <c r="U111" s="19" t="str">
        <f aca="false">IF((F111="m"),I111," ")</f>
        <v> </v>
      </c>
      <c r="V111" s="19" t="str">
        <f aca="false">IF((F111="g"),I111," ")</f>
        <v> </v>
      </c>
      <c r="W111" s="29" t="str">
        <f aca="false">IF((F111="v"),I111," ")</f>
        <v> </v>
      </c>
      <c r="X111" s="19" t="str">
        <f aca="false">IF((F111="h"),I111," ")</f>
        <v> </v>
      </c>
      <c r="Y111" s="19" t="str">
        <f aca="false">IF((F111="a"),I111," ")</f>
        <v> </v>
      </c>
      <c r="Z111" s="19" t="str">
        <f aca="false">IF((F111="l"),I111," ")</f>
        <v> </v>
      </c>
      <c r="AA111" s="19" t="str">
        <f aca="false">IF((F111="y"),I111," ")</f>
        <v> </v>
      </c>
      <c r="AB111" s="19" t="str">
        <f aca="false">IF((F111="fa"),I111," ")</f>
        <v> </v>
      </c>
    </row>
    <row r="112" customFormat="false" ht="12" hidden="false" customHeight="false" outlineLevel="0" collapsed="false">
      <c r="A112" s="27"/>
      <c r="F112" s="58" t="str">
        <f aca="false">IF((G112&lt;&gt;0),"Enter Letter"," ")</f>
        <v> </v>
      </c>
      <c r="G112" s="29"/>
      <c r="H112" s="6" t="str">
        <f aca="false">IF(G112&lt;&gt;0,G112*H$2/(100+H$2)," ")</f>
        <v> </v>
      </c>
      <c r="I112" s="6" t="str">
        <f aca="false">IF((G112&lt;&gt;0),G112-H112," ")</f>
        <v> </v>
      </c>
      <c r="J112" s="5"/>
      <c r="M112" s="7" t="str">
        <f aca="false">IF(G112&lt;&gt;0,G112-L112," ")</f>
        <v> </v>
      </c>
      <c r="N112" s="8" t="str">
        <f aca="false">IF((G112-L112)&lt;&gt;0,N$1-A112," ")</f>
        <v> </v>
      </c>
      <c r="O112" s="5"/>
      <c r="P112" s="19" t="str">
        <f aca="false">IF((F112="s"),I112," ")</f>
        <v> </v>
      </c>
      <c r="Q112" s="19" t="str">
        <f aca="false">IF((F112="c"),I112," ")</f>
        <v> </v>
      </c>
      <c r="R112" s="19" t="str">
        <f aca="false">IF((F112="o"),I112," ")</f>
        <v> </v>
      </c>
      <c r="S112" s="19" t="str">
        <f aca="false">IF((F112="w"),I112," ")</f>
        <v> </v>
      </c>
      <c r="T112" s="19" t="str">
        <f aca="false">IF((F112="p"),I112," ")</f>
        <v> </v>
      </c>
      <c r="U112" s="19" t="str">
        <f aca="false">IF((F112="m"),I112," ")</f>
        <v> </v>
      </c>
      <c r="V112" s="19" t="str">
        <f aca="false">IF((F112="g"),I112," ")</f>
        <v> </v>
      </c>
      <c r="W112" s="29" t="str">
        <f aca="false">IF((F112="v"),I112," ")</f>
        <v> </v>
      </c>
      <c r="X112" s="19" t="str">
        <f aca="false">IF((F112="h"),I112," ")</f>
        <v> </v>
      </c>
      <c r="Y112" s="19" t="str">
        <f aca="false">IF((F112="a"),I112," ")</f>
        <v> </v>
      </c>
      <c r="Z112" s="19" t="str">
        <f aca="false">IF((F112="l"),I112," ")</f>
        <v> </v>
      </c>
      <c r="AA112" s="19" t="str">
        <f aca="false">IF((F112="y"),I112," ")</f>
        <v> </v>
      </c>
      <c r="AB112" s="19" t="str">
        <f aca="false">IF((F112="fa"),I112," ")</f>
        <v> </v>
      </c>
    </row>
    <row r="113" customFormat="false" ht="12" hidden="false" customHeight="false" outlineLevel="0" collapsed="false">
      <c r="A113" s="27"/>
      <c r="F113" s="58" t="str">
        <f aca="false">IF((G113&lt;&gt;0),"Enter Letter"," ")</f>
        <v> </v>
      </c>
      <c r="G113" s="29"/>
      <c r="H113" s="6" t="str">
        <f aca="false">IF(G113&lt;&gt;0,G113*H$2/(100+H$2)," ")</f>
        <v> </v>
      </c>
      <c r="I113" s="6" t="str">
        <f aca="false">IF((G113&lt;&gt;0),G113-H113," ")</f>
        <v> </v>
      </c>
      <c r="J113" s="5"/>
      <c r="M113" s="7" t="str">
        <f aca="false">IF(G113&lt;&gt;0,G113-L113," ")</f>
        <v> </v>
      </c>
      <c r="N113" s="8" t="str">
        <f aca="false">IF((G113-L113)&lt;&gt;0,N$1-A113," ")</f>
        <v> </v>
      </c>
      <c r="O113" s="5"/>
      <c r="P113" s="19" t="str">
        <f aca="false">IF((F113="s"),I113," ")</f>
        <v> </v>
      </c>
      <c r="Q113" s="19" t="str">
        <f aca="false">IF((F113="c"),I113," ")</f>
        <v> </v>
      </c>
      <c r="R113" s="19" t="str">
        <f aca="false">IF((F113="o"),I113," ")</f>
        <v> </v>
      </c>
      <c r="S113" s="19" t="str">
        <f aca="false">IF((F113="w"),I113," ")</f>
        <v> </v>
      </c>
      <c r="T113" s="19" t="str">
        <f aca="false">IF((F113="p"),I113," ")</f>
        <v> </v>
      </c>
      <c r="U113" s="19" t="str">
        <f aca="false">IF((F113="m"),I113," ")</f>
        <v> </v>
      </c>
      <c r="V113" s="19" t="str">
        <f aca="false">IF((F113="g"),I113," ")</f>
        <v> </v>
      </c>
      <c r="W113" s="29" t="str">
        <f aca="false">IF((F113="v"),I113," ")</f>
        <v> </v>
      </c>
      <c r="X113" s="19" t="str">
        <f aca="false">IF((F113="h"),I113," ")</f>
        <v> </v>
      </c>
      <c r="Y113" s="19" t="str">
        <f aca="false">IF((F113="a"),I113," ")</f>
        <v> </v>
      </c>
      <c r="Z113" s="19" t="str">
        <f aca="false">IF((F113="l"),I113," ")</f>
        <v> </v>
      </c>
      <c r="AA113" s="19" t="str">
        <f aca="false">IF((F113="y"),I113," ")</f>
        <v> </v>
      </c>
      <c r="AB113" s="19" t="str">
        <f aca="false">IF((F113="fa"),I113," ")</f>
        <v> </v>
      </c>
    </row>
    <row r="114" customFormat="false" ht="12" hidden="false" customHeight="false" outlineLevel="0" collapsed="false">
      <c r="A114" s="27"/>
      <c r="F114" s="58" t="str">
        <f aca="false">IF((G114&lt;&gt;0),"Enter Letter"," ")</f>
        <v> </v>
      </c>
      <c r="G114" s="29"/>
      <c r="H114" s="6" t="str">
        <f aca="false">IF(G114&lt;&gt;0,G114*H$2/(100+H$2)," ")</f>
        <v> </v>
      </c>
      <c r="I114" s="6" t="str">
        <f aca="false">IF((G114&lt;&gt;0),G114-H114," ")</f>
        <v> </v>
      </c>
      <c r="J114" s="5"/>
      <c r="M114" s="7" t="str">
        <f aca="false">IF(G114&lt;&gt;0,G114-L114," ")</f>
        <v> </v>
      </c>
      <c r="N114" s="8" t="str">
        <f aca="false">IF((G114-L114)&lt;&gt;0,N$1-A114," ")</f>
        <v> </v>
      </c>
      <c r="O114" s="5"/>
      <c r="P114" s="19" t="str">
        <f aca="false">IF((F114="s"),I114," ")</f>
        <v> </v>
      </c>
      <c r="Q114" s="19" t="str">
        <f aca="false">IF((F114="c"),I114," ")</f>
        <v> </v>
      </c>
      <c r="R114" s="19" t="str">
        <f aca="false">IF((F114="o"),I114," ")</f>
        <v> </v>
      </c>
      <c r="S114" s="19" t="str">
        <f aca="false">IF((F114="w"),I114," ")</f>
        <v> </v>
      </c>
      <c r="T114" s="19" t="str">
        <f aca="false">IF((F114="p"),I114," ")</f>
        <v> </v>
      </c>
      <c r="U114" s="19" t="str">
        <f aca="false">IF((F114="m"),I114," ")</f>
        <v> </v>
      </c>
      <c r="V114" s="19" t="str">
        <f aca="false">IF((F114="g"),I114," ")</f>
        <v> </v>
      </c>
      <c r="W114" s="29" t="str">
        <f aca="false">IF((F114="v"),I114," ")</f>
        <v> </v>
      </c>
      <c r="X114" s="19" t="str">
        <f aca="false">IF((F114="h"),I114," ")</f>
        <v> </v>
      </c>
      <c r="Y114" s="19" t="str">
        <f aca="false">IF((F114="a"),I114," ")</f>
        <v> </v>
      </c>
      <c r="Z114" s="19" t="str">
        <f aca="false">IF((F114="l"),I114," ")</f>
        <v> </v>
      </c>
      <c r="AA114" s="19" t="str">
        <f aca="false">IF((F114="y"),I114," ")</f>
        <v> </v>
      </c>
      <c r="AB114" s="19" t="str">
        <f aca="false">IF((F114="fa"),I114," ")</f>
        <v> </v>
      </c>
    </row>
    <row r="115" customFormat="false" ht="12" hidden="false" customHeight="false" outlineLevel="0" collapsed="false">
      <c r="A115" s="27"/>
      <c r="F115" s="58" t="str">
        <f aca="false">IF((G115&lt;&gt;0),"Enter Letter"," ")</f>
        <v> </v>
      </c>
      <c r="G115" s="29"/>
      <c r="H115" s="6" t="str">
        <f aca="false">IF(G115&lt;&gt;0,G115*H$2/(100+H$2)," ")</f>
        <v> </v>
      </c>
      <c r="I115" s="6" t="str">
        <f aca="false">IF((G115&lt;&gt;0),G115-H115," ")</f>
        <v> </v>
      </c>
      <c r="J115" s="5"/>
      <c r="M115" s="7" t="str">
        <f aca="false">IF(G115&lt;&gt;0,G115-L115," ")</f>
        <v> </v>
      </c>
      <c r="N115" s="8" t="str">
        <f aca="false">IF((G115-L115)&lt;&gt;0,N$1-A115," ")</f>
        <v> </v>
      </c>
      <c r="O115" s="5"/>
      <c r="P115" s="19" t="str">
        <f aca="false">IF((F115="s"),I115," ")</f>
        <v> </v>
      </c>
      <c r="Q115" s="19" t="str">
        <f aca="false">IF((F115="c"),I115," ")</f>
        <v> </v>
      </c>
      <c r="R115" s="19" t="str">
        <f aca="false">IF((F115="o"),I115," ")</f>
        <v> </v>
      </c>
      <c r="S115" s="19" t="str">
        <f aca="false">IF((F115="w"),I115," ")</f>
        <v> </v>
      </c>
      <c r="T115" s="19" t="str">
        <f aca="false">IF((F115="p"),I115," ")</f>
        <v> </v>
      </c>
      <c r="U115" s="19" t="str">
        <f aca="false">IF((F115="m"),I115," ")</f>
        <v> </v>
      </c>
      <c r="V115" s="19" t="str">
        <f aca="false">IF((F115="g"),I115," ")</f>
        <v> </v>
      </c>
      <c r="W115" s="29" t="str">
        <f aca="false">IF((F115="v"),I115," ")</f>
        <v> </v>
      </c>
      <c r="X115" s="19" t="str">
        <f aca="false">IF((F115="h"),I115," ")</f>
        <v> </v>
      </c>
      <c r="Y115" s="19" t="str">
        <f aca="false">IF((F115="a"),I115," ")</f>
        <v> </v>
      </c>
      <c r="Z115" s="19" t="str">
        <f aca="false">IF((F115="l"),I115," ")</f>
        <v> </v>
      </c>
      <c r="AA115" s="19" t="str">
        <f aca="false">IF((F115="y"),I115," ")</f>
        <v> </v>
      </c>
      <c r="AB115" s="19" t="str">
        <f aca="false">IF((F115="fa"),I115," ")</f>
        <v> </v>
      </c>
    </row>
    <row r="116" customFormat="false" ht="12" hidden="false" customHeight="false" outlineLevel="0" collapsed="false">
      <c r="A116" s="27"/>
      <c r="F116" s="58" t="str">
        <f aca="false">IF((G116&lt;&gt;0),"Enter Letter"," ")</f>
        <v> </v>
      </c>
      <c r="G116" s="29"/>
      <c r="H116" s="6" t="str">
        <f aca="false">IF(G116&lt;&gt;0,G116*H$2/(100+H$2)," ")</f>
        <v> </v>
      </c>
      <c r="I116" s="6" t="str">
        <f aca="false">IF((G116&lt;&gt;0),G116-H116," ")</f>
        <v> </v>
      </c>
      <c r="J116" s="5"/>
      <c r="M116" s="7" t="str">
        <f aca="false">IF(G116&lt;&gt;0,G116-L116," ")</f>
        <v> </v>
      </c>
      <c r="N116" s="8" t="str">
        <f aca="false">IF((G116-L116)&lt;&gt;0,N$1-A116," ")</f>
        <v> </v>
      </c>
      <c r="O116" s="5"/>
      <c r="P116" s="19" t="str">
        <f aca="false">IF((F116="s"),I116," ")</f>
        <v> </v>
      </c>
      <c r="Q116" s="19" t="str">
        <f aca="false">IF((F116="c"),I116," ")</f>
        <v> </v>
      </c>
      <c r="R116" s="19" t="str">
        <f aca="false">IF((F116="o"),I116," ")</f>
        <v> </v>
      </c>
      <c r="S116" s="19" t="str">
        <f aca="false">IF((F116="w"),I116," ")</f>
        <v> </v>
      </c>
      <c r="T116" s="19" t="str">
        <f aca="false">IF((F116="p"),I116," ")</f>
        <v> </v>
      </c>
      <c r="U116" s="19" t="str">
        <f aca="false">IF((F116="m"),I116," ")</f>
        <v> </v>
      </c>
      <c r="V116" s="19" t="str">
        <f aca="false">IF((F116="g"),I116," ")</f>
        <v> </v>
      </c>
      <c r="W116" s="29" t="str">
        <f aca="false">IF((F116="v"),I116," ")</f>
        <v> </v>
      </c>
      <c r="X116" s="19" t="str">
        <f aca="false">IF((F116="h"),I116," ")</f>
        <v> </v>
      </c>
      <c r="Y116" s="19" t="str">
        <f aca="false">IF((F116="a"),I116," ")</f>
        <v> </v>
      </c>
      <c r="Z116" s="19" t="str">
        <f aca="false">IF((F116="l"),I116," ")</f>
        <v> </v>
      </c>
      <c r="AA116" s="19" t="str">
        <f aca="false">IF((F116="y"),I116," ")</f>
        <v> </v>
      </c>
      <c r="AB116" s="19" t="str">
        <f aca="false">IF((F116="fa"),I116," ")</f>
        <v> </v>
      </c>
    </row>
    <row r="117" customFormat="false" ht="12" hidden="false" customHeight="false" outlineLevel="0" collapsed="false">
      <c r="A117" s="27"/>
      <c r="F117" s="58" t="str">
        <f aca="false">IF((G117&lt;&gt;0),"Enter Letter"," ")</f>
        <v> </v>
      </c>
      <c r="G117" s="29"/>
      <c r="H117" s="6" t="str">
        <f aca="false">IF(G117&lt;&gt;0,G117*H$2/(100+H$2)," ")</f>
        <v> </v>
      </c>
      <c r="I117" s="6" t="str">
        <f aca="false">IF((G117&lt;&gt;0),G117-H117," ")</f>
        <v> </v>
      </c>
      <c r="J117" s="5"/>
      <c r="M117" s="7" t="str">
        <f aca="false">IF(G117&lt;&gt;0,G117-L117," ")</f>
        <v> </v>
      </c>
      <c r="N117" s="8" t="str">
        <f aca="false">IF((G117-L117)&lt;&gt;0,N$1-A117," ")</f>
        <v> </v>
      </c>
      <c r="O117" s="5"/>
      <c r="P117" s="19" t="str">
        <f aca="false">IF((F117="s"),I117," ")</f>
        <v> </v>
      </c>
      <c r="Q117" s="19" t="str">
        <f aca="false">IF((F117="c"),I117," ")</f>
        <v> </v>
      </c>
      <c r="R117" s="19" t="str">
        <f aca="false">IF((F117="o"),I117," ")</f>
        <v> </v>
      </c>
      <c r="S117" s="19" t="str">
        <f aca="false">IF((F117="w"),I117," ")</f>
        <v> </v>
      </c>
      <c r="T117" s="19" t="str">
        <f aca="false">IF((F117="p"),I117," ")</f>
        <v> </v>
      </c>
      <c r="U117" s="19" t="str">
        <f aca="false">IF((F117="m"),I117," ")</f>
        <v> </v>
      </c>
      <c r="V117" s="19" t="str">
        <f aca="false">IF((F117="g"),I117," ")</f>
        <v> </v>
      </c>
      <c r="W117" s="29" t="str">
        <f aca="false">IF((F117="v"),I117," ")</f>
        <v> </v>
      </c>
      <c r="X117" s="19" t="str">
        <f aca="false">IF((F117="h"),I117," ")</f>
        <v> </v>
      </c>
      <c r="Y117" s="19" t="str">
        <f aca="false">IF((F117="a"),I117," ")</f>
        <v> </v>
      </c>
      <c r="Z117" s="19" t="str">
        <f aca="false">IF((F117="l"),I117," ")</f>
        <v> </v>
      </c>
      <c r="AA117" s="19" t="str">
        <f aca="false">IF((F117="y"),I117," ")</f>
        <v> </v>
      </c>
      <c r="AB117" s="19" t="str">
        <f aca="false">IF((F117="fa"),I117," ")</f>
        <v> </v>
      </c>
    </row>
    <row r="118" customFormat="false" ht="12" hidden="false" customHeight="false" outlineLevel="0" collapsed="false">
      <c r="A118" s="27"/>
      <c r="F118" s="58" t="str">
        <f aca="false">IF((G118&lt;&gt;0),"Enter Letter"," ")</f>
        <v> </v>
      </c>
      <c r="G118" s="29"/>
      <c r="H118" s="6" t="str">
        <f aca="false">IF(G118&lt;&gt;0,G118*H$2/(100+H$2)," ")</f>
        <v> </v>
      </c>
      <c r="I118" s="6" t="str">
        <f aca="false">IF((G118&lt;&gt;0),G118-H118," ")</f>
        <v> </v>
      </c>
      <c r="J118" s="5"/>
      <c r="M118" s="7" t="str">
        <f aca="false">IF(G118&lt;&gt;0,G118-L118," ")</f>
        <v> </v>
      </c>
      <c r="N118" s="8" t="str">
        <f aca="false">IF((G118-L118)&lt;&gt;0,N$1-A118," ")</f>
        <v> </v>
      </c>
      <c r="O118" s="5"/>
      <c r="P118" s="19" t="str">
        <f aca="false">IF((F118="s"),I118," ")</f>
        <v> </v>
      </c>
      <c r="Q118" s="19" t="str">
        <f aca="false">IF((F118="c"),I118," ")</f>
        <v> </v>
      </c>
      <c r="R118" s="19" t="str">
        <f aca="false">IF((F118="o"),I118," ")</f>
        <v> </v>
      </c>
      <c r="S118" s="19" t="str">
        <f aca="false">IF((F118="w"),I118," ")</f>
        <v> </v>
      </c>
      <c r="T118" s="19" t="str">
        <f aca="false">IF((F118="p"),I118," ")</f>
        <v> </v>
      </c>
      <c r="U118" s="19" t="str">
        <f aca="false">IF((F118="m"),I118," ")</f>
        <v> </v>
      </c>
      <c r="V118" s="19" t="str">
        <f aca="false">IF((F118="g"),I118," ")</f>
        <v> </v>
      </c>
      <c r="W118" s="29" t="str">
        <f aca="false">IF((F118="v"),I118," ")</f>
        <v> </v>
      </c>
      <c r="X118" s="19" t="str">
        <f aca="false">IF((F118="h"),I118," ")</f>
        <v> </v>
      </c>
      <c r="Y118" s="19" t="str">
        <f aca="false">IF((F118="a"),I118," ")</f>
        <v> </v>
      </c>
      <c r="Z118" s="19" t="str">
        <f aca="false">IF((F118="l"),I118," ")</f>
        <v> </v>
      </c>
      <c r="AA118" s="19" t="str">
        <f aca="false">IF((F118="y"),I118," ")</f>
        <v> </v>
      </c>
      <c r="AB118" s="19" t="str">
        <f aca="false">IF((F118="fa"),I118," ")</f>
        <v> </v>
      </c>
    </row>
    <row r="119" customFormat="false" ht="12" hidden="false" customHeight="false" outlineLevel="0" collapsed="false">
      <c r="A119" s="27"/>
      <c r="F119" s="58" t="str">
        <f aca="false">IF((G119&lt;&gt;0),"Enter Letter"," ")</f>
        <v> </v>
      </c>
      <c r="G119" s="29"/>
      <c r="H119" s="6" t="str">
        <f aca="false">IF(G119&lt;&gt;0,G119*H$2/(100+H$2)," ")</f>
        <v> </v>
      </c>
      <c r="I119" s="6" t="str">
        <f aca="false">IF((G119&lt;&gt;0),G119-H119," ")</f>
        <v> </v>
      </c>
      <c r="J119" s="5"/>
      <c r="M119" s="7" t="str">
        <f aca="false">IF(G119&lt;&gt;0,G119-L119," ")</f>
        <v> </v>
      </c>
      <c r="N119" s="8" t="str">
        <f aca="false">IF((G119-L119)&lt;&gt;0,N$1-A119," ")</f>
        <v> </v>
      </c>
      <c r="O119" s="5"/>
      <c r="P119" s="19" t="str">
        <f aca="false">IF((F119="s"),I119," ")</f>
        <v> </v>
      </c>
      <c r="Q119" s="19" t="str">
        <f aca="false">IF((F119="c"),I119," ")</f>
        <v> </v>
      </c>
      <c r="R119" s="19" t="str">
        <f aca="false">IF((F119="o"),I119," ")</f>
        <v> </v>
      </c>
      <c r="S119" s="19" t="str">
        <f aca="false">IF((F119="w"),I119," ")</f>
        <v> </v>
      </c>
      <c r="T119" s="19" t="str">
        <f aca="false">IF((F119="p"),I119," ")</f>
        <v> </v>
      </c>
      <c r="U119" s="19" t="str">
        <f aca="false">IF((F119="m"),I119," ")</f>
        <v> </v>
      </c>
      <c r="V119" s="19" t="str">
        <f aca="false">IF((F119="g"),I119," ")</f>
        <v> </v>
      </c>
      <c r="W119" s="29" t="str">
        <f aca="false">IF((F119="v"),I119," ")</f>
        <v> </v>
      </c>
      <c r="X119" s="19" t="str">
        <f aca="false">IF((F119="h"),I119," ")</f>
        <v> </v>
      </c>
      <c r="Y119" s="19" t="str">
        <f aca="false">IF((F119="a"),I119," ")</f>
        <v> </v>
      </c>
      <c r="Z119" s="19" t="str">
        <f aca="false">IF((F119="l"),I119," ")</f>
        <v> </v>
      </c>
      <c r="AA119" s="19" t="str">
        <f aca="false">IF((F119="y"),I119," ")</f>
        <v> </v>
      </c>
      <c r="AB119" s="19" t="str">
        <f aca="false">IF((F119="fa"),I119," ")</f>
        <v> </v>
      </c>
    </row>
    <row r="120" customFormat="false" ht="12" hidden="false" customHeight="false" outlineLevel="0" collapsed="false">
      <c r="A120" s="27"/>
      <c r="F120" s="58" t="str">
        <f aca="false">IF((G120&lt;&gt;0),"Enter Letter"," ")</f>
        <v> </v>
      </c>
      <c r="G120" s="29"/>
      <c r="H120" s="6" t="str">
        <f aca="false">IF(G120&lt;&gt;0,G120*H$2/(100+H$2)," ")</f>
        <v> </v>
      </c>
      <c r="I120" s="6" t="str">
        <f aca="false">IF((G120&lt;&gt;0),G120-H120," ")</f>
        <v> </v>
      </c>
      <c r="J120" s="5"/>
      <c r="M120" s="7" t="str">
        <f aca="false">IF(G120&lt;&gt;0,G120-L120," ")</f>
        <v> </v>
      </c>
      <c r="N120" s="8" t="str">
        <f aca="false">IF((G120-L120)&lt;&gt;0,N$1-A120," ")</f>
        <v> </v>
      </c>
      <c r="O120" s="5"/>
      <c r="P120" s="19" t="str">
        <f aca="false">IF((F120="s"),I120," ")</f>
        <v> </v>
      </c>
      <c r="Q120" s="19" t="str">
        <f aca="false">IF((F120="c"),I120," ")</f>
        <v> </v>
      </c>
      <c r="R120" s="19" t="str">
        <f aca="false">IF((F120="o"),I120," ")</f>
        <v> </v>
      </c>
      <c r="S120" s="19" t="str">
        <f aca="false">IF((F120="w"),I120," ")</f>
        <v> </v>
      </c>
      <c r="T120" s="19" t="str">
        <f aca="false">IF((F120="p"),I120," ")</f>
        <v> </v>
      </c>
      <c r="U120" s="19" t="str">
        <f aca="false">IF((F120="m"),I120," ")</f>
        <v> </v>
      </c>
      <c r="V120" s="19" t="str">
        <f aca="false">IF((F120="g"),I120," ")</f>
        <v> </v>
      </c>
      <c r="W120" s="29" t="str">
        <f aca="false">IF((F120="v"),I120," ")</f>
        <v> </v>
      </c>
      <c r="X120" s="19" t="str">
        <f aca="false">IF((F120="h"),I120," ")</f>
        <v> </v>
      </c>
      <c r="Y120" s="19" t="str">
        <f aca="false">IF((F120="a"),I120," ")</f>
        <v> </v>
      </c>
      <c r="Z120" s="19" t="str">
        <f aca="false">IF((F120="l"),I120," ")</f>
        <v> </v>
      </c>
      <c r="AA120" s="19" t="str">
        <f aca="false">IF((F120="y"),I120," ")</f>
        <v> </v>
      </c>
      <c r="AB120" s="19" t="str">
        <f aca="false">IF((F120="fa"),I120," ")</f>
        <v> </v>
      </c>
    </row>
    <row r="121" customFormat="false" ht="12" hidden="false" customHeight="false" outlineLevel="0" collapsed="false">
      <c r="A121" s="27"/>
      <c r="F121" s="58" t="str">
        <f aca="false">IF((G121&lt;&gt;0),"Enter Letter"," ")</f>
        <v> </v>
      </c>
      <c r="G121" s="29"/>
      <c r="H121" s="6" t="str">
        <f aca="false">IF(G121&lt;&gt;0,G121*H$2/(100+H$2)," ")</f>
        <v> </v>
      </c>
      <c r="I121" s="6" t="str">
        <f aca="false">IF((G121&lt;&gt;0),G121-H121," ")</f>
        <v> </v>
      </c>
      <c r="J121" s="5"/>
      <c r="M121" s="7" t="str">
        <f aca="false">IF(G121&lt;&gt;0,G121-L121," ")</f>
        <v> </v>
      </c>
      <c r="N121" s="8" t="str">
        <f aca="false">IF((G121-L121)&lt;&gt;0,N$1-A121," ")</f>
        <v> </v>
      </c>
      <c r="O121" s="5"/>
      <c r="P121" s="19" t="str">
        <f aca="false">IF((F121="s"),I121," ")</f>
        <v> </v>
      </c>
      <c r="Q121" s="19" t="str">
        <f aca="false">IF((F121="c"),I121," ")</f>
        <v> </v>
      </c>
      <c r="R121" s="19" t="str">
        <f aca="false">IF((F121="o"),I121," ")</f>
        <v> </v>
      </c>
      <c r="S121" s="19" t="str">
        <f aca="false">IF((F121="w"),I121," ")</f>
        <v> </v>
      </c>
      <c r="T121" s="19" t="str">
        <f aca="false">IF((F121="p"),I121," ")</f>
        <v> </v>
      </c>
      <c r="U121" s="19" t="str">
        <f aca="false">IF((F121="m"),I121," ")</f>
        <v> </v>
      </c>
      <c r="V121" s="19" t="str">
        <f aca="false">IF((F121="g"),I121," ")</f>
        <v> </v>
      </c>
      <c r="W121" s="29" t="str">
        <f aca="false">IF((F121="v"),I121," ")</f>
        <v> </v>
      </c>
      <c r="X121" s="19" t="str">
        <f aca="false">IF((F121="h"),I121," ")</f>
        <v> </v>
      </c>
      <c r="Y121" s="19" t="str">
        <f aca="false">IF((F121="a"),I121," ")</f>
        <v> </v>
      </c>
      <c r="Z121" s="19" t="str">
        <f aca="false">IF((F121="l"),I121," ")</f>
        <v> </v>
      </c>
      <c r="AA121" s="19" t="str">
        <f aca="false">IF((F121="y"),I121," ")</f>
        <v> </v>
      </c>
      <c r="AB121" s="19" t="str">
        <f aca="false">IF((F121="fa"),I121," ")</f>
        <v> </v>
      </c>
    </row>
    <row r="122" customFormat="false" ht="12" hidden="false" customHeight="false" outlineLevel="0" collapsed="false">
      <c r="A122" s="27"/>
      <c r="F122" s="58" t="str">
        <f aca="false">IF((G122&lt;&gt;0),"Enter Letter"," ")</f>
        <v> </v>
      </c>
      <c r="G122" s="29"/>
      <c r="H122" s="6" t="str">
        <f aca="false">IF(G122&lt;&gt;0,G122*H$2/(100+H$2)," ")</f>
        <v> </v>
      </c>
      <c r="I122" s="6" t="str">
        <f aca="false">IF((G122&lt;&gt;0),G122-H122," ")</f>
        <v> </v>
      </c>
      <c r="J122" s="5"/>
      <c r="M122" s="7" t="str">
        <f aca="false">IF(G122&lt;&gt;0,G122-L122," ")</f>
        <v> </v>
      </c>
      <c r="N122" s="8" t="str">
        <f aca="false">IF((G122-L122)&lt;&gt;0,N$1-A122," ")</f>
        <v> </v>
      </c>
      <c r="O122" s="5"/>
      <c r="P122" s="19" t="str">
        <f aca="false">IF((F122="s"),I122," ")</f>
        <v> </v>
      </c>
      <c r="Q122" s="19" t="str">
        <f aca="false">IF((F122="c"),I122," ")</f>
        <v> </v>
      </c>
      <c r="R122" s="19" t="str">
        <f aca="false">IF((F122="o"),I122," ")</f>
        <v> </v>
      </c>
      <c r="S122" s="19" t="str">
        <f aca="false">IF((F122="w"),I122," ")</f>
        <v> </v>
      </c>
      <c r="T122" s="19" t="str">
        <f aca="false">IF((F122="p"),I122," ")</f>
        <v> </v>
      </c>
      <c r="U122" s="19" t="str">
        <f aca="false">IF((F122="m"),I122," ")</f>
        <v> </v>
      </c>
      <c r="V122" s="19" t="str">
        <f aca="false">IF((F122="g"),I122," ")</f>
        <v> </v>
      </c>
      <c r="W122" s="29" t="str">
        <f aca="false">IF((F122="v"),I122," ")</f>
        <v> </v>
      </c>
      <c r="X122" s="19" t="str">
        <f aca="false">IF((F122="h"),I122," ")</f>
        <v> </v>
      </c>
      <c r="Y122" s="19" t="str">
        <f aca="false">IF((F122="a"),I122," ")</f>
        <v> </v>
      </c>
      <c r="Z122" s="19" t="str">
        <f aca="false">IF((F122="l"),I122," ")</f>
        <v> </v>
      </c>
      <c r="AA122" s="19" t="str">
        <f aca="false">IF((F122="y"),I122," ")</f>
        <v> </v>
      </c>
      <c r="AB122" s="19" t="str">
        <f aca="false">IF((F122="fa"),I122," ")</f>
        <v> </v>
      </c>
    </row>
    <row r="123" customFormat="false" ht="12" hidden="false" customHeight="false" outlineLevel="0" collapsed="false">
      <c r="A123" s="27"/>
      <c r="F123" s="58" t="str">
        <f aca="false">IF((G123&lt;&gt;0),"Enter Letter"," ")</f>
        <v> </v>
      </c>
      <c r="G123" s="29"/>
      <c r="H123" s="6" t="str">
        <f aca="false">IF(G123&lt;&gt;0,G123*H$2/(100+H$2)," ")</f>
        <v> </v>
      </c>
      <c r="I123" s="6" t="str">
        <f aca="false">IF((G123&lt;&gt;0),G123-H123," ")</f>
        <v> </v>
      </c>
      <c r="J123" s="5"/>
      <c r="M123" s="7" t="str">
        <f aca="false">IF(G123&lt;&gt;0,G123-L123," ")</f>
        <v> </v>
      </c>
      <c r="N123" s="8" t="str">
        <f aca="false">IF((G123-L123)&lt;&gt;0,N$1-A123," ")</f>
        <v> </v>
      </c>
      <c r="O123" s="5"/>
      <c r="P123" s="19" t="str">
        <f aca="false">IF((F123="s"),I123," ")</f>
        <v> </v>
      </c>
      <c r="Q123" s="19" t="str">
        <f aca="false">IF((F123="c"),I123," ")</f>
        <v> </v>
      </c>
      <c r="R123" s="19" t="str">
        <f aca="false">IF((F123="o"),I123," ")</f>
        <v> </v>
      </c>
      <c r="S123" s="19" t="str">
        <f aca="false">IF((F123="w"),I123," ")</f>
        <v> </v>
      </c>
      <c r="T123" s="19" t="str">
        <f aca="false">IF((F123="p"),I123," ")</f>
        <v> </v>
      </c>
      <c r="U123" s="19" t="str">
        <f aca="false">IF((F123="m"),I123," ")</f>
        <v> </v>
      </c>
      <c r="V123" s="19" t="str">
        <f aca="false">IF((F123="g"),I123," ")</f>
        <v> </v>
      </c>
      <c r="W123" s="29" t="str">
        <f aca="false">IF((F123="v"),I123," ")</f>
        <v> </v>
      </c>
      <c r="X123" s="19" t="str">
        <f aca="false">IF((F123="h"),I123," ")</f>
        <v> </v>
      </c>
      <c r="Y123" s="19" t="str">
        <f aca="false">IF((F123="a"),I123," ")</f>
        <v> </v>
      </c>
      <c r="Z123" s="19" t="str">
        <f aca="false">IF((F123="l"),I123," ")</f>
        <v> </v>
      </c>
      <c r="AA123" s="19" t="str">
        <f aca="false">IF((F123="y"),I123," ")</f>
        <v> </v>
      </c>
      <c r="AB123" s="19" t="str">
        <f aca="false">IF((F123="fa"),I123," ")</f>
        <v> </v>
      </c>
    </row>
    <row r="124" customFormat="false" ht="12" hidden="false" customHeight="false" outlineLevel="0" collapsed="false">
      <c r="A124" s="27"/>
      <c r="F124" s="58" t="str">
        <f aca="false">IF((G124&lt;&gt;0),"Enter Letter"," ")</f>
        <v> </v>
      </c>
      <c r="G124" s="29"/>
      <c r="H124" s="6" t="str">
        <f aca="false">IF(G124&lt;&gt;0,G124*H$2/(100+H$2)," ")</f>
        <v> </v>
      </c>
      <c r="I124" s="6" t="str">
        <f aca="false">IF((G124&lt;&gt;0),G124-H124," ")</f>
        <v> </v>
      </c>
      <c r="J124" s="5"/>
      <c r="M124" s="7" t="str">
        <f aca="false">IF(G124&lt;&gt;0,G124-L124," ")</f>
        <v> </v>
      </c>
      <c r="N124" s="8" t="str">
        <f aca="false">IF((G124-L124)&lt;&gt;0,N$1-A124," ")</f>
        <v> </v>
      </c>
      <c r="O124" s="5"/>
      <c r="P124" s="19" t="str">
        <f aca="false">IF((F124="s"),I124," ")</f>
        <v> </v>
      </c>
      <c r="Q124" s="19" t="str">
        <f aca="false">IF((F124="c"),I124," ")</f>
        <v> </v>
      </c>
      <c r="R124" s="19" t="str">
        <f aca="false">IF((F124="o"),I124," ")</f>
        <v> </v>
      </c>
      <c r="S124" s="19" t="str">
        <f aca="false">IF((F124="w"),I124," ")</f>
        <v> </v>
      </c>
      <c r="T124" s="19" t="str">
        <f aca="false">IF((F124="p"),I124," ")</f>
        <v> </v>
      </c>
      <c r="U124" s="19" t="str">
        <f aca="false">IF((F124="m"),I124," ")</f>
        <v> </v>
      </c>
      <c r="V124" s="19" t="str">
        <f aca="false">IF((F124="g"),I124," ")</f>
        <v> </v>
      </c>
      <c r="W124" s="29" t="str">
        <f aca="false">IF((F124="v"),I124," ")</f>
        <v> </v>
      </c>
      <c r="X124" s="19" t="str">
        <f aca="false">IF((F124="h"),I124," ")</f>
        <v> </v>
      </c>
      <c r="Y124" s="19" t="str">
        <f aca="false">IF((F124="a"),I124," ")</f>
        <v> </v>
      </c>
      <c r="Z124" s="19" t="str">
        <f aca="false">IF((F124="l"),I124," ")</f>
        <v> </v>
      </c>
      <c r="AA124" s="19" t="str">
        <f aca="false">IF((F124="y"),I124," ")</f>
        <v> </v>
      </c>
      <c r="AB124" s="19" t="str">
        <f aca="false">IF((F124="fa"),I124," ")</f>
        <v> </v>
      </c>
    </row>
    <row r="125" customFormat="false" ht="12" hidden="false" customHeight="false" outlineLevel="0" collapsed="false">
      <c r="A125" s="27"/>
      <c r="F125" s="58" t="str">
        <f aca="false">IF((G125&lt;&gt;0),"Enter Letter"," ")</f>
        <v> </v>
      </c>
      <c r="G125" s="29"/>
      <c r="H125" s="6" t="str">
        <f aca="false">IF(G125&lt;&gt;0,G125*H$2/(100+H$2)," ")</f>
        <v> </v>
      </c>
      <c r="I125" s="6" t="str">
        <f aca="false">IF((G125&lt;&gt;0),G125-H125," ")</f>
        <v> </v>
      </c>
      <c r="J125" s="5"/>
      <c r="M125" s="7" t="str">
        <f aca="false">IF(G125&lt;&gt;0,G125-L125," ")</f>
        <v> </v>
      </c>
      <c r="N125" s="8" t="str">
        <f aca="false">IF((G125-L125)&lt;&gt;0,N$1-A125," ")</f>
        <v> </v>
      </c>
      <c r="O125" s="5"/>
      <c r="P125" s="19" t="str">
        <f aca="false">IF((F125="s"),I125," ")</f>
        <v> </v>
      </c>
      <c r="Q125" s="19" t="str">
        <f aca="false">IF((F125="c"),I125," ")</f>
        <v> </v>
      </c>
      <c r="R125" s="19" t="str">
        <f aca="false">IF((F125="o"),I125," ")</f>
        <v> </v>
      </c>
      <c r="S125" s="19" t="str">
        <f aca="false">IF((F125="w"),I125," ")</f>
        <v> </v>
      </c>
      <c r="T125" s="19" t="str">
        <f aca="false">IF((F125="p"),I125," ")</f>
        <v> </v>
      </c>
      <c r="U125" s="19" t="str">
        <f aca="false">IF((F125="m"),I125," ")</f>
        <v> </v>
      </c>
      <c r="V125" s="19" t="str">
        <f aca="false">IF((F125="g"),I125," ")</f>
        <v> </v>
      </c>
      <c r="W125" s="29" t="str">
        <f aca="false">IF((F125="v"),I125," ")</f>
        <v> </v>
      </c>
      <c r="X125" s="19" t="str">
        <f aca="false">IF((F125="h"),I125," ")</f>
        <v> </v>
      </c>
      <c r="Y125" s="19" t="str">
        <f aca="false">IF((F125="a"),I125," ")</f>
        <v> </v>
      </c>
      <c r="Z125" s="19" t="str">
        <f aca="false">IF((F125="l"),I125," ")</f>
        <v> </v>
      </c>
      <c r="AA125" s="19" t="str">
        <f aca="false">IF((F125="y"),I125," ")</f>
        <v> </v>
      </c>
      <c r="AB125" s="19" t="str">
        <f aca="false">IF((F125="fa"),I125," ")</f>
        <v> </v>
      </c>
    </row>
    <row r="126" customFormat="false" ht="12" hidden="false" customHeight="false" outlineLevel="0" collapsed="false">
      <c r="A126" s="27"/>
      <c r="F126" s="58" t="str">
        <f aca="false">IF((G126&lt;&gt;0),"Enter Letter"," ")</f>
        <v> </v>
      </c>
      <c r="G126" s="29"/>
      <c r="H126" s="6" t="str">
        <f aca="false">IF(G126&lt;&gt;0,G126*H$2/(100+H$2)," ")</f>
        <v> </v>
      </c>
      <c r="I126" s="6" t="str">
        <f aca="false">IF((G126&lt;&gt;0),G126-H126," ")</f>
        <v> </v>
      </c>
      <c r="J126" s="5"/>
      <c r="M126" s="7" t="str">
        <f aca="false">IF(G126&lt;&gt;0,G126-L126," ")</f>
        <v> </v>
      </c>
      <c r="N126" s="8" t="str">
        <f aca="false">IF((G126-L126)&lt;&gt;0,N$1-A126," ")</f>
        <v> </v>
      </c>
      <c r="O126" s="5"/>
      <c r="P126" s="19" t="str">
        <f aca="false">IF((F126="s"),I126," ")</f>
        <v> </v>
      </c>
      <c r="Q126" s="19" t="str">
        <f aca="false">IF((F126="c"),I126," ")</f>
        <v> </v>
      </c>
      <c r="R126" s="19" t="str">
        <f aca="false">IF((F126="o"),I126," ")</f>
        <v> </v>
      </c>
      <c r="S126" s="19" t="str">
        <f aca="false">IF((F126="w"),I126," ")</f>
        <v> </v>
      </c>
      <c r="T126" s="19" t="str">
        <f aca="false">IF((F126="p"),I126," ")</f>
        <v> </v>
      </c>
      <c r="U126" s="19" t="str">
        <f aca="false">IF((F126="m"),I126," ")</f>
        <v> </v>
      </c>
      <c r="V126" s="19" t="str">
        <f aca="false">IF((F126="g"),I126," ")</f>
        <v> </v>
      </c>
      <c r="W126" s="29" t="str">
        <f aca="false">IF((F126="v"),I126," ")</f>
        <v> </v>
      </c>
      <c r="X126" s="19" t="str">
        <f aca="false">IF((F126="h"),I126," ")</f>
        <v> </v>
      </c>
      <c r="Y126" s="19" t="str">
        <f aca="false">IF((F126="a"),I126," ")</f>
        <v> </v>
      </c>
      <c r="Z126" s="19" t="str">
        <f aca="false">IF((F126="l"),I126," ")</f>
        <v> </v>
      </c>
      <c r="AA126" s="19" t="str">
        <f aca="false">IF((F126="y"),I126," ")</f>
        <v> </v>
      </c>
      <c r="AB126" s="19" t="str">
        <f aca="false">IF((F126="fa"),I126," ")</f>
        <v> </v>
      </c>
    </row>
    <row r="127" customFormat="false" ht="12" hidden="false" customHeight="false" outlineLevel="0" collapsed="false">
      <c r="A127" s="27"/>
      <c r="F127" s="58" t="str">
        <f aca="false">IF((G127&lt;&gt;0),"Enter Letter"," ")</f>
        <v> </v>
      </c>
      <c r="G127" s="29"/>
      <c r="H127" s="6" t="str">
        <f aca="false">IF(G127&lt;&gt;0,G127*H$2/(100+H$2)," ")</f>
        <v> </v>
      </c>
      <c r="I127" s="6" t="str">
        <f aca="false">IF((G127&lt;&gt;0),G127-H127," ")</f>
        <v> </v>
      </c>
      <c r="J127" s="5"/>
      <c r="M127" s="7" t="str">
        <f aca="false">IF(G127&lt;&gt;0,G127-L127," ")</f>
        <v> </v>
      </c>
      <c r="N127" s="8" t="str">
        <f aca="false">IF((G127-L127)&lt;&gt;0,N$1-A127," ")</f>
        <v> </v>
      </c>
      <c r="O127" s="5"/>
      <c r="P127" s="19" t="str">
        <f aca="false">IF((F127="s"),I127," ")</f>
        <v> </v>
      </c>
      <c r="Q127" s="19" t="str">
        <f aca="false">IF((F127="c"),I127," ")</f>
        <v> </v>
      </c>
      <c r="R127" s="19" t="str">
        <f aca="false">IF((F127="o"),I127," ")</f>
        <v> </v>
      </c>
      <c r="S127" s="19" t="str">
        <f aca="false">IF((F127="w"),I127," ")</f>
        <v> </v>
      </c>
      <c r="T127" s="19" t="str">
        <f aca="false">IF((F127="p"),I127," ")</f>
        <v> </v>
      </c>
      <c r="U127" s="19" t="str">
        <f aca="false">IF((F127="m"),I127," ")</f>
        <v> </v>
      </c>
      <c r="V127" s="19" t="str">
        <f aca="false">IF((F127="g"),I127," ")</f>
        <v> </v>
      </c>
      <c r="W127" s="29" t="str">
        <f aca="false">IF((F127="v"),I127," ")</f>
        <v> </v>
      </c>
      <c r="X127" s="19" t="str">
        <f aca="false">IF((F127="h"),I127," ")</f>
        <v> </v>
      </c>
      <c r="Y127" s="19" t="str">
        <f aca="false">IF((F127="a"),I127," ")</f>
        <v> </v>
      </c>
      <c r="Z127" s="19" t="str">
        <f aca="false">IF((F127="l"),I127," ")</f>
        <v> </v>
      </c>
      <c r="AA127" s="19" t="str">
        <f aca="false">IF((F127="y"),I127," ")</f>
        <v> </v>
      </c>
      <c r="AB127" s="19" t="str">
        <f aca="false">IF((F127="fa"),I127," ")</f>
        <v> </v>
      </c>
    </row>
    <row r="128" customFormat="false" ht="12" hidden="false" customHeight="false" outlineLevel="0" collapsed="false">
      <c r="A128" s="27"/>
      <c r="F128" s="58" t="str">
        <f aca="false">IF((G128&lt;&gt;0),"Enter Letter"," ")</f>
        <v> </v>
      </c>
      <c r="G128" s="29"/>
      <c r="H128" s="6" t="str">
        <f aca="false">IF(G128&lt;&gt;0,G128*H$2/(100+H$2)," ")</f>
        <v> </v>
      </c>
      <c r="I128" s="6" t="str">
        <f aca="false">IF((G128&lt;&gt;0),G128-H128," ")</f>
        <v> </v>
      </c>
      <c r="J128" s="5"/>
      <c r="M128" s="7" t="str">
        <f aca="false">IF(G128&lt;&gt;0,G128-L128," ")</f>
        <v> </v>
      </c>
      <c r="N128" s="8" t="str">
        <f aca="false">IF((G128-L128)&lt;&gt;0,N$1-A128," ")</f>
        <v> </v>
      </c>
      <c r="O128" s="5"/>
      <c r="P128" s="19" t="str">
        <f aca="false">IF((F128="s"),I128," ")</f>
        <v> </v>
      </c>
      <c r="Q128" s="19" t="str">
        <f aca="false">IF((F128="c"),I128," ")</f>
        <v> </v>
      </c>
      <c r="R128" s="19" t="str">
        <f aca="false">IF((F128="o"),I128," ")</f>
        <v> </v>
      </c>
      <c r="S128" s="19" t="str">
        <f aca="false">IF((F128="w"),I128," ")</f>
        <v> </v>
      </c>
      <c r="T128" s="19" t="str">
        <f aca="false">IF((F128="p"),I128," ")</f>
        <v> </v>
      </c>
      <c r="U128" s="19" t="str">
        <f aca="false">IF((F128="m"),I128," ")</f>
        <v> </v>
      </c>
      <c r="V128" s="19" t="str">
        <f aca="false">IF((F128="g"),I128," ")</f>
        <v> </v>
      </c>
      <c r="W128" s="29" t="str">
        <f aca="false">IF((F128="v"),I128," ")</f>
        <v> </v>
      </c>
      <c r="X128" s="19" t="str">
        <f aca="false">IF((F128="h"),I128," ")</f>
        <v> </v>
      </c>
      <c r="Y128" s="19" t="str">
        <f aca="false">IF((F128="a"),I128," ")</f>
        <v> </v>
      </c>
      <c r="Z128" s="19" t="str">
        <f aca="false">IF((F128="l"),I128," ")</f>
        <v> </v>
      </c>
      <c r="AA128" s="19" t="str">
        <f aca="false">IF((F128="y"),I128," ")</f>
        <v> </v>
      </c>
      <c r="AB128" s="19" t="str">
        <f aca="false">IF((F128="fa"),I128," ")</f>
        <v> </v>
      </c>
    </row>
    <row r="129" customFormat="false" ht="12" hidden="false" customHeight="false" outlineLevel="0" collapsed="false">
      <c r="A129" s="27"/>
      <c r="F129" s="58" t="str">
        <f aca="false">IF((G129&lt;&gt;0),"Enter Letter"," ")</f>
        <v> </v>
      </c>
      <c r="G129" s="29"/>
      <c r="H129" s="6" t="str">
        <f aca="false">IF(G129&lt;&gt;0,G129*H$2/(100+H$2)," ")</f>
        <v> </v>
      </c>
      <c r="I129" s="6" t="str">
        <f aca="false">IF((G129&lt;&gt;0),G129-H129," ")</f>
        <v> </v>
      </c>
      <c r="J129" s="5"/>
      <c r="M129" s="7" t="str">
        <f aca="false">IF(G129&lt;&gt;0,G129-L129," ")</f>
        <v> </v>
      </c>
      <c r="N129" s="8" t="str">
        <f aca="false">IF((G129-L129)&lt;&gt;0,N$1-A129," ")</f>
        <v> </v>
      </c>
      <c r="O129" s="5"/>
      <c r="P129" s="19" t="str">
        <f aca="false">IF((F129="s"),I129," ")</f>
        <v> </v>
      </c>
      <c r="Q129" s="19" t="str">
        <f aca="false">IF((F129="c"),I129," ")</f>
        <v> </v>
      </c>
      <c r="R129" s="19" t="str">
        <f aca="false">IF((F129="o"),I129," ")</f>
        <v> </v>
      </c>
      <c r="S129" s="19" t="str">
        <f aca="false">IF((F129="w"),I129," ")</f>
        <v> </v>
      </c>
      <c r="T129" s="19" t="str">
        <f aca="false">IF((F129="p"),I129," ")</f>
        <v> </v>
      </c>
      <c r="U129" s="19" t="str">
        <f aca="false">IF((F129="m"),I129," ")</f>
        <v> </v>
      </c>
      <c r="V129" s="19" t="str">
        <f aca="false">IF((F129="g"),I129," ")</f>
        <v> </v>
      </c>
      <c r="W129" s="29" t="str">
        <f aca="false">IF((F129="v"),I129," ")</f>
        <v> </v>
      </c>
      <c r="X129" s="19" t="str">
        <f aca="false">IF((F129="h"),I129," ")</f>
        <v> </v>
      </c>
      <c r="Y129" s="19" t="str">
        <f aca="false">IF((F129="a"),I129," ")</f>
        <v> </v>
      </c>
      <c r="Z129" s="19" t="str">
        <f aca="false">IF((F129="l"),I129," ")</f>
        <v> </v>
      </c>
      <c r="AA129" s="19" t="str">
        <f aca="false">IF((F129="y"),I129," ")</f>
        <v> </v>
      </c>
      <c r="AB129" s="19" t="str">
        <f aca="false">IF((F129="fa"),I129," ")</f>
        <v> </v>
      </c>
    </row>
    <row r="130" customFormat="false" ht="12" hidden="false" customHeight="false" outlineLevel="0" collapsed="false">
      <c r="A130" s="27"/>
      <c r="F130" s="58" t="str">
        <f aca="false">IF((G130&lt;&gt;0),"Enter Letter"," ")</f>
        <v> </v>
      </c>
      <c r="G130" s="29"/>
      <c r="H130" s="6" t="str">
        <f aca="false">IF(G130&lt;&gt;0,G130*H$2/(100+H$2)," ")</f>
        <v> </v>
      </c>
      <c r="I130" s="6" t="str">
        <f aca="false">IF((G130&lt;&gt;0),G130-H130," ")</f>
        <v> </v>
      </c>
      <c r="J130" s="5"/>
      <c r="M130" s="7" t="str">
        <f aca="false">IF(G130&lt;&gt;0,G130-L130," ")</f>
        <v> </v>
      </c>
      <c r="N130" s="8" t="str">
        <f aca="false">IF((G130-L130)&lt;&gt;0,N$1-A130," ")</f>
        <v> </v>
      </c>
      <c r="O130" s="5"/>
      <c r="P130" s="19" t="str">
        <f aca="false">IF((F130="s"),I130," ")</f>
        <v> </v>
      </c>
      <c r="Q130" s="19" t="str">
        <f aca="false">IF((F130="c"),I130," ")</f>
        <v> </v>
      </c>
      <c r="R130" s="19" t="str">
        <f aca="false">IF((F130="o"),I130," ")</f>
        <v> </v>
      </c>
      <c r="S130" s="19" t="str">
        <f aca="false">IF((F130="w"),I130," ")</f>
        <v> </v>
      </c>
      <c r="T130" s="19" t="str">
        <f aca="false">IF((F130="p"),I130," ")</f>
        <v> </v>
      </c>
      <c r="U130" s="19" t="str">
        <f aca="false">IF((F130="m"),I130," ")</f>
        <v> </v>
      </c>
      <c r="V130" s="19" t="str">
        <f aca="false">IF((F130="g"),I130," ")</f>
        <v> </v>
      </c>
      <c r="W130" s="29" t="str">
        <f aca="false">IF((F130="v"),I130," ")</f>
        <v> </v>
      </c>
      <c r="X130" s="19" t="str">
        <f aca="false">IF((F130="h"),I130," ")</f>
        <v> </v>
      </c>
      <c r="Y130" s="19" t="str">
        <f aca="false">IF((F130="a"),I130," ")</f>
        <v> </v>
      </c>
      <c r="Z130" s="19" t="str">
        <f aca="false">IF((F130="l"),I130," ")</f>
        <v> </v>
      </c>
      <c r="AA130" s="19" t="str">
        <f aca="false">IF((F130="y"),I130," ")</f>
        <v> </v>
      </c>
      <c r="AB130" s="19" t="str">
        <f aca="false">IF((F130="fa"),I130," ")</f>
        <v> </v>
      </c>
    </row>
    <row r="131" customFormat="false" ht="12" hidden="false" customHeight="false" outlineLevel="0" collapsed="false">
      <c r="A131" s="27"/>
      <c r="F131" s="58" t="str">
        <f aca="false">IF((G131&lt;&gt;0),"Enter Letter"," ")</f>
        <v> </v>
      </c>
      <c r="G131" s="29"/>
      <c r="H131" s="6" t="str">
        <f aca="false">IF(G131&lt;&gt;0,G131*H$2/(100+H$2)," ")</f>
        <v> </v>
      </c>
      <c r="I131" s="6" t="str">
        <f aca="false">IF((G131&lt;&gt;0),G131-H131," ")</f>
        <v> </v>
      </c>
      <c r="J131" s="5"/>
      <c r="M131" s="7" t="str">
        <f aca="false">IF(G131&lt;&gt;0,G131-L131," ")</f>
        <v> </v>
      </c>
      <c r="N131" s="8" t="str">
        <f aca="false">IF((G131-L131)&lt;&gt;0,N$1-A131," ")</f>
        <v> </v>
      </c>
      <c r="O131" s="5"/>
      <c r="P131" s="19" t="str">
        <f aca="false">IF((F131="s"),I131," ")</f>
        <v> </v>
      </c>
      <c r="Q131" s="19" t="str">
        <f aca="false">IF((F131="c"),I131," ")</f>
        <v> </v>
      </c>
      <c r="R131" s="19" t="str">
        <f aca="false">IF((F131="o"),I131," ")</f>
        <v> </v>
      </c>
      <c r="S131" s="19" t="str">
        <f aca="false">IF((F131="w"),I131," ")</f>
        <v> </v>
      </c>
      <c r="T131" s="19" t="str">
        <f aca="false">IF((F131="p"),I131," ")</f>
        <v> </v>
      </c>
      <c r="U131" s="19" t="str">
        <f aca="false">IF((F131="m"),I131," ")</f>
        <v> </v>
      </c>
      <c r="V131" s="19" t="str">
        <f aca="false">IF((F131="g"),I131," ")</f>
        <v> </v>
      </c>
      <c r="W131" s="29" t="str">
        <f aca="false">IF((F131="v"),I131," ")</f>
        <v> </v>
      </c>
      <c r="X131" s="19" t="str">
        <f aca="false">IF((F131="h"),I131," ")</f>
        <v> </v>
      </c>
      <c r="Y131" s="19" t="str">
        <f aca="false">IF((F131="a"),I131," ")</f>
        <v> </v>
      </c>
      <c r="Z131" s="19" t="str">
        <f aca="false">IF((F131="l"),I131," ")</f>
        <v> </v>
      </c>
      <c r="AA131" s="19" t="str">
        <f aca="false">IF((F131="y"),I131," ")</f>
        <v> </v>
      </c>
      <c r="AB131" s="19" t="str">
        <f aca="false">IF((F131="fa"),I131," ")</f>
        <v> </v>
      </c>
    </row>
    <row r="132" customFormat="false" ht="12" hidden="false" customHeight="false" outlineLevel="0" collapsed="false">
      <c r="A132" s="27"/>
      <c r="F132" s="58" t="str">
        <f aca="false">IF((G132&lt;&gt;0),"Enter Letter"," ")</f>
        <v> </v>
      </c>
      <c r="G132" s="29"/>
      <c r="H132" s="6" t="str">
        <f aca="false">IF(G132&lt;&gt;0,G132*H$2/(100+H$2)," ")</f>
        <v> </v>
      </c>
      <c r="I132" s="6" t="str">
        <f aca="false">IF((G132&lt;&gt;0),G132-H132," ")</f>
        <v> </v>
      </c>
      <c r="J132" s="5"/>
      <c r="M132" s="7" t="str">
        <f aca="false">IF(G132&lt;&gt;0,G132-L132," ")</f>
        <v> </v>
      </c>
      <c r="N132" s="8" t="str">
        <f aca="false">IF((G132-L132)&lt;&gt;0,N$1-A132," ")</f>
        <v> </v>
      </c>
      <c r="O132" s="5"/>
      <c r="P132" s="19" t="str">
        <f aca="false">IF((F132="s"),I132," ")</f>
        <v> </v>
      </c>
      <c r="Q132" s="19" t="str">
        <f aca="false">IF((F132="c"),I132," ")</f>
        <v> </v>
      </c>
      <c r="R132" s="19" t="str">
        <f aca="false">IF((F132="o"),I132," ")</f>
        <v> </v>
      </c>
      <c r="S132" s="19" t="str">
        <f aca="false">IF((F132="w"),I132," ")</f>
        <v> </v>
      </c>
      <c r="T132" s="19" t="str">
        <f aca="false">IF((F132="p"),I132," ")</f>
        <v> </v>
      </c>
      <c r="U132" s="19" t="str">
        <f aca="false">IF((F132="m"),I132," ")</f>
        <v> </v>
      </c>
      <c r="V132" s="19" t="str">
        <f aca="false">IF((F132="g"),I132," ")</f>
        <v> </v>
      </c>
      <c r="W132" s="29" t="str">
        <f aca="false">IF((F132="v"),I132," ")</f>
        <v> </v>
      </c>
      <c r="X132" s="19" t="str">
        <f aca="false">IF((F132="h"),I132," ")</f>
        <v> </v>
      </c>
      <c r="Y132" s="19" t="str">
        <f aca="false">IF((F132="a"),I132," ")</f>
        <v> </v>
      </c>
      <c r="Z132" s="19" t="str">
        <f aca="false">IF((F132="l"),I132," ")</f>
        <v> </v>
      </c>
      <c r="AA132" s="19" t="str">
        <f aca="false">IF((F132="y"),I132," ")</f>
        <v> </v>
      </c>
      <c r="AB132" s="19" t="str">
        <f aca="false">IF((F132="fa"),I132," ")</f>
        <v> </v>
      </c>
    </row>
    <row r="133" customFormat="false" ht="12" hidden="false" customHeight="false" outlineLevel="0" collapsed="false">
      <c r="A133" s="27"/>
      <c r="F133" s="58" t="str">
        <f aca="false">IF((G133&lt;&gt;0),"Enter Letter"," ")</f>
        <v> </v>
      </c>
      <c r="G133" s="29"/>
      <c r="H133" s="6" t="str">
        <f aca="false">IF(G133&lt;&gt;0,G133*H$2/(100+H$2)," ")</f>
        <v> </v>
      </c>
      <c r="I133" s="6" t="str">
        <f aca="false">IF((G133&lt;&gt;0),G133-H133," ")</f>
        <v> </v>
      </c>
      <c r="J133" s="5"/>
      <c r="M133" s="7" t="str">
        <f aca="false">IF(G133&lt;&gt;0,G133-L133," ")</f>
        <v> </v>
      </c>
      <c r="N133" s="8" t="str">
        <f aca="false">IF((G133-L133)&lt;&gt;0,N$1-A133," ")</f>
        <v> </v>
      </c>
      <c r="O133" s="5"/>
      <c r="P133" s="19" t="str">
        <f aca="false">IF((F133="s"),I133," ")</f>
        <v> </v>
      </c>
      <c r="Q133" s="19" t="str">
        <f aca="false">IF((F133="c"),I133," ")</f>
        <v> </v>
      </c>
      <c r="R133" s="19" t="str">
        <f aca="false">IF((F133="o"),I133," ")</f>
        <v> </v>
      </c>
      <c r="S133" s="19" t="str">
        <f aca="false">IF((F133="w"),I133," ")</f>
        <v> </v>
      </c>
      <c r="T133" s="19" t="str">
        <f aca="false">IF((F133="p"),I133," ")</f>
        <v> </v>
      </c>
      <c r="U133" s="19" t="str">
        <f aca="false">IF((F133="m"),I133," ")</f>
        <v> </v>
      </c>
      <c r="V133" s="19" t="str">
        <f aca="false">IF((F133="g"),I133," ")</f>
        <v> </v>
      </c>
      <c r="W133" s="29" t="str">
        <f aca="false">IF((F133="v"),I133," ")</f>
        <v> </v>
      </c>
      <c r="X133" s="19" t="str">
        <f aca="false">IF((F133="h"),I133," ")</f>
        <v> </v>
      </c>
      <c r="Y133" s="19" t="str">
        <f aca="false">IF((F133="a"),I133," ")</f>
        <v> </v>
      </c>
      <c r="Z133" s="19" t="str">
        <f aca="false">IF((F133="l"),I133," ")</f>
        <v> </v>
      </c>
      <c r="AA133" s="19" t="str">
        <f aca="false">IF((F133="y"),I133," ")</f>
        <v> </v>
      </c>
      <c r="AB133" s="19" t="str">
        <f aca="false">IF((F133="fa"),I133," ")</f>
        <v> </v>
      </c>
    </row>
    <row r="134" customFormat="false" ht="12" hidden="false" customHeight="false" outlineLevel="0" collapsed="false">
      <c r="A134" s="27"/>
      <c r="F134" s="58" t="str">
        <f aca="false">IF((G134&lt;&gt;0),"Enter Letter"," ")</f>
        <v> </v>
      </c>
      <c r="G134" s="29"/>
      <c r="H134" s="6" t="str">
        <f aca="false">IF(G134&lt;&gt;0,G134*H$2/(100+H$2)," ")</f>
        <v> </v>
      </c>
      <c r="I134" s="6" t="str">
        <f aca="false">IF((G134&lt;&gt;0),G134-H134," ")</f>
        <v> </v>
      </c>
      <c r="J134" s="5"/>
      <c r="M134" s="7" t="str">
        <f aca="false">IF(G134&lt;&gt;0,G134-L134," ")</f>
        <v> </v>
      </c>
      <c r="N134" s="8" t="str">
        <f aca="false">IF((G134-L134)&lt;&gt;0,N$1-A134," ")</f>
        <v> </v>
      </c>
      <c r="O134" s="5"/>
      <c r="P134" s="19" t="str">
        <f aca="false">IF((F134="s"),I134," ")</f>
        <v> </v>
      </c>
      <c r="Q134" s="19" t="str">
        <f aca="false">IF((F134="c"),I134," ")</f>
        <v> </v>
      </c>
      <c r="R134" s="19" t="str">
        <f aca="false">IF((F134="o"),I134," ")</f>
        <v> </v>
      </c>
      <c r="S134" s="19" t="str">
        <f aca="false">IF((F134="w"),I134," ")</f>
        <v> </v>
      </c>
      <c r="T134" s="19" t="str">
        <f aca="false">IF((F134="p"),I134," ")</f>
        <v> </v>
      </c>
      <c r="U134" s="19" t="str">
        <f aca="false">IF((F134="m"),I134," ")</f>
        <v> </v>
      </c>
      <c r="V134" s="19" t="str">
        <f aca="false">IF((F134="g"),I134," ")</f>
        <v> </v>
      </c>
      <c r="W134" s="29" t="str">
        <f aca="false">IF((F134="v"),I134," ")</f>
        <v> </v>
      </c>
      <c r="X134" s="19" t="str">
        <f aca="false">IF((F134="h"),I134," ")</f>
        <v> </v>
      </c>
      <c r="Y134" s="19" t="str">
        <f aca="false">IF((F134="a"),I134," ")</f>
        <v> </v>
      </c>
      <c r="Z134" s="19" t="str">
        <f aca="false">IF((F134="l"),I134," ")</f>
        <v> </v>
      </c>
      <c r="AA134" s="19" t="str">
        <f aca="false">IF((F134="y"),I134," ")</f>
        <v> </v>
      </c>
      <c r="AB134" s="19" t="str">
        <f aca="false">IF((F134="fa"),I134," ")</f>
        <v> </v>
      </c>
    </row>
    <row r="135" customFormat="false" ht="12" hidden="false" customHeight="false" outlineLevel="0" collapsed="false">
      <c r="A135" s="27"/>
      <c r="F135" s="58" t="str">
        <f aca="false">IF((G135&lt;&gt;0),"Enter Letter"," ")</f>
        <v> </v>
      </c>
      <c r="G135" s="29"/>
      <c r="H135" s="6" t="str">
        <f aca="false">IF(G135&lt;&gt;0,G135*H$2/(100+H$2)," ")</f>
        <v> </v>
      </c>
      <c r="I135" s="6" t="str">
        <f aca="false">IF((G135&lt;&gt;0),G135-H135," ")</f>
        <v> </v>
      </c>
      <c r="J135" s="5"/>
      <c r="M135" s="7" t="str">
        <f aca="false">IF(G135&lt;&gt;0,G135-L135," ")</f>
        <v> </v>
      </c>
      <c r="N135" s="8" t="str">
        <f aca="false">IF((G135-L135)&lt;&gt;0,N$1-A135," ")</f>
        <v> </v>
      </c>
      <c r="O135" s="5"/>
      <c r="P135" s="19" t="str">
        <f aca="false">IF((F135="s"),I135," ")</f>
        <v> </v>
      </c>
      <c r="Q135" s="19" t="str">
        <f aca="false">IF((F135="c"),I135," ")</f>
        <v> </v>
      </c>
      <c r="R135" s="19" t="str">
        <f aca="false">IF((F135="o"),I135," ")</f>
        <v> </v>
      </c>
      <c r="S135" s="19" t="str">
        <f aca="false">IF((F135="w"),I135," ")</f>
        <v> </v>
      </c>
      <c r="T135" s="19" t="str">
        <f aca="false">IF((F135="p"),I135," ")</f>
        <v> </v>
      </c>
      <c r="U135" s="19" t="str">
        <f aca="false">IF((F135="m"),I135," ")</f>
        <v> </v>
      </c>
      <c r="V135" s="19" t="str">
        <f aca="false">IF((F135="g"),I135," ")</f>
        <v> </v>
      </c>
      <c r="W135" s="29" t="str">
        <f aca="false">IF((F135="v"),I135," ")</f>
        <v> </v>
      </c>
      <c r="X135" s="19" t="str">
        <f aca="false">IF((F135="h"),I135," ")</f>
        <v> </v>
      </c>
      <c r="Y135" s="19" t="str">
        <f aca="false">IF((F135="a"),I135," ")</f>
        <v> </v>
      </c>
      <c r="Z135" s="19" t="str">
        <f aca="false">IF((F135="l"),I135," ")</f>
        <v> </v>
      </c>
      <c r="AA135" s="19" t="str">
        <f aca="false">IF((F135="y"),I135," ")</f>
        <v> </v>
      </c>
      <c r="AB135" s="19" t="str">
        <f aca="false">IF((F135="fa"),I135," ")</f>
        <v> </v>
      </c>
    </row>
    <row r="136" customFormat="false" ht="12" hidden="false" customHeight="false" outlineLevel="0" collapsed="false">
      <c r="A136" s="27"/>
      <c r="F136" s="58" t="str">
        <f aca="false">IF((G136&lt;&gt;0),"Enter Letter"," ")</f>
        <v> </v>
      </c>
      <c r="G136" s="29"/>
      <c r="H136" s="6" t="str">
        <f aca="false">IF(G136&lt;&gt;0,G136*H$2/(100+H$2)," ")</f>
        <v> </v>
      </c>
      <c r="I136" s="6" t="str">
        <f aca="false">IF((G136&lt;&gt;0),G136-H136," ")</f>
        <v> </v>
      </c>
      <c r="J136" s="5"/>
      <c r="M136" s="7" t="str">
        <f aca="false">IF(G136&lt;&gt;0,G136-L136," ")</f>
        <v> </v>
      </c>
      <c r="N136" s="8" t="str">
        <f aca="false">IF((G136-L136)&lt;&gt;0,N$1-A136," ")</f>
        <v> </v>
      </c>
      <c r="O136" s="5"/>
      <c r="P136" s="19" t="str">
        <f aca="false">IF((F136="s"),I136," ")</f>
        <v> </v>
      </c>
      <c r="Q136" s="19" t="str">
        <f aca="false">IF((F136="c"),I136," ")</f>
        <v> </v>
      </c>
      <c r="R136" s="19" t="str">
        <f aca="false">IF((F136="o"),I136," ")</f>
        <v> </v>
      </c>
      <c r="S136" s="19" t="str">
        <f aca="false">IF((F136="w"),I136," ")</f>
        <v> </v>
      </c>
      <c r="T136" s="19" t="str">
        <f aca="false">IF((F136="p"),I136," ")</f>
        <v> </v>
      </c>
      <c r="U136" s="19" t="str">
        <f aca="false">IF((F136="m"),I136," ")</f>
        <v> </v>
      </c>
      <c r="V136" s="19" t="str">
        <f aca="false">IF((F136="g"),I136," ")</f>
        <v> </v>
      </c>
      <c r="W136" s="29" t="str">
        <f aca="false">IF((F136="v"),I136," ")</f>
        <v> </v>
      </c>
      <c r="X136" s="19" t="str">
        <f aca="false">IF((F136="h"),I136," ")</f>
        <v> </v>
      </c>
      <c r="Y136" s="19" t="str">
        <f aca="false">IF((F136="a"),I136," ")</f>
        <v> </v>
      </c>
      <c r="Z136" s="19" t="str">
        <f aca="false">IF((F136="l"),I136," ")</f>
        <v> </v>
      </c>
      <c r="AA136" s="19" t="str">
        <f aca="false">IF((F136="y"),I136," ")</f>
        <v> </v>
      </c>
      <c r="AB136" s="19" t="str">
        <f aca="false">IF((F136="fa"),I136," ")</f>
        <v> </v>
      </c>
    </row>
    <row r="137" customFormat="false" ht="12" hidden="false" customHeight="false" outlineLevel="0" collapsed="false">
      <c r="A137" s="27"/>
      <c r="F137" s="58" t="str">
        <f aca="false">IF((G137&lt;&gt;0),"Enter Letter"," ")</f>
        <v> </v>
      </c>
      <c r="G137" s="29"/>
      <c r="H137" s="6" t="str">
        <f aca="false">IF(G137&lt;&gt;0,G137*H$2/(100+H$2)," ")</f>
        <v> </v>
      </c>
      <c r="I137" s="6" t="str">
        <f aca="false">IF((G137&lt;&gt;0),G137-H137," ")</f>
        <v> </v>
      </c>
      <c r="J137" s="5"/>
      <c r="M137" s="7" t="str">
        <f aca="false">IF(G137&lt;&gt;0,G137-L137," ")</f>
        <v> </v>
      </c>
      <c r="N137" s="8" t="str">
        <f aca="false">IF((G137-L137)&lt;&gt;0,N$1-A137," ")</f>
        <v> </v>
      </c>
      <c r="O137" s="5"/>
      <c r="P137" s="19" t="str">
        <f aca="false">IF((F137="s"),I137," ")</f>
        <v> </v>
      </c>
      <c r="Q137" s="19" t="str">
        <f aca="false">IF((F137="c"),I137," ")</f>
        <v> </v>
      </c>
      <c r="R137" s="19" t="str">
        <f aca="false">IF((F137="o"),I137," ")</f>
        <v> </v>
      </c>
      <c r="S137" s="19" t="str">
        <f aca="false">IF((F137="w"),I137," ")</f>
        <v> </v>
      </c>
      <c r="T137" s="19" t="str">
        <f aca="false">IF((F137="p"),I137," ")</f>
        <v> </v>
      </c>
      <c r="U137" s="19" t="str">
        <f aca="false">IF((F137="m"),I137," ")</f>
        <v> </v>
      </c>
      <c r="V137" s="19" t="str">
        <f aca="false">IF((F137="g"),I137," ")</f>
        <v> </v>
      </c>
      <c r="W137" s="29" t="str">
        <f aca="false">IF((F137="v"),I137," ")</f>
        <v> </v>
      </c>
      <c r="X137" s="19" t="str">
        <f aca="false">IF((F137="h"),I137," ")</f>
        <v> </v>
      </c>
      <c r="Y137" s="19" t="str">
        <f aca="false">IF((F137="a"),I137," ")</f>
        <v> </v>
      </c>
      <c r="Z137" s="19" t="str">
        <f aca="false">IF((F137="l"),I137," ")</f>
        <v> </v>
      </c>
      <c r="AA137" s="19" t="str">
        <f aca="false">IF((F137="y"),I137," ")</f>
        <v> </v>
      </c>
      <c r="AB137" s="19" t="str">
        <f aca="false">IF((F137="fa"),I137," ")</f>
        <v> </v>
      </c>
    </row>
    <row r="138" customFormat="false" ht="12" hidden="false" customHeight="false" outlineLevel="0" collapsed="false">
      <c r="A138" s="27"/>
      <c r="F138" s="58" t="str">
        <f aca="false">IF((G138&lt;&gt;0),"Enter Letter"," ")</f>
        <v> </v>
      </c>
      <c r="G138" s="29"/>
      <c r="H138" s="6" t="str">
        <f aca="false">IF(G138&lt;&gt;0,G138*H$2/(100+H$2)," ")</f>
        <v> </v>
      </c>
      <c r="I138" s="6" t="str">
        <f aca="false">IF((G138&lt;&gt;0),G138-H138," ")</f>
        <v> </v>
      </c>
      <c r="J138" s="5"/>
      <c r="M138" s="7" t="str">
        <f aca="false">IF(G138&lt;&gt;0,G138-L138," ")</f>
        <v> </v>
      </c>
      <c r="N138" s="8" t="str">
        <f aca="false">IF((G138-L138)&lt;&gt;0,N$1-A138," ")</f>
        <v> </v>
      </c>
      <c r="O138" s="5"/>
      <c r="P138" s="19" t="str">
        <f aca="false">IF((F138="s"),I138," ")</f>
        <v> </v>
      </c>
      <c r="Q138" s="19" t="str">
        <f aca="false">IF((F138="c"),I138," ")</f>
        <v> </v>
      </c>
      <c r="R138" s="19" t="str">
        <f aca="false">IF((F138="o"),I138," ")</f>
        <v> </v>
      </c>
      <c r="S138" s="19" t="str">
        <f aca="false">IF((F138="w"),I138," ")</f>
        <v> </v>
      </c>
      <c r="T138" s="19" t="str">
        <f aca="false">IF((F138="p"),I138," ")</f>
        <v> </v>
      </c>
      <c r="U138" s="19" t="str">
        <f aca="false">IF((F138="m"),I138," ")</f>
        <v> </v>
      </c>
      <c r="V138" s="19" t="str">
        <f aca="false">IF((F138="g"),I138," ")</f>
        <v> </v>
      </c>
      <c r="W138" s="29" t="str">
        <f aca="false">IF((F138="v"),I138," ")</f>
        <v> </v>
      </c>
      <c r="X138" s="19" t="str">
        <f aca="false">IF((F138="h"),I138," ")</f>
        <v> </v>
      </c>
      <c r="Y138" s="19" t="str">
        <f aca="false">IF((F138="a"),I138," ")</f>
        <v> </v>
      </c>
      <c r="Z138" s="19" t="str">
        <f aca="false">IF((F138="l"),I138," ")</f>
        <v> </v>
      </c>
      <c r="AA138" s="19" t="str">
        <f aca="false">IF((F138="y"),I138," ")</f>
        <v> </v>
      </c>
      <c r="AB138" s="19" t="str">
        <f aca="false">IF((F138="fa"),I138," ")</f>
        <v> </v>
      </c>
    </row>
    <row r="139" customFormat="false" ht="12" hidden="false" customHeight="false" outlineLevel="0" collapsed="false">
      <c r="A139" s="27"/>
      <c r="F139" s="58" t="str">
        <f aca="false">IF((G139&lt;&gt;0),"Enter Letter"," ")</f>
        <v> </v>
      </c>
      <c r="G139" s="29"/>
      <c r="H139" s="6" t="str">
        <f aca="false">IF(G139&lt;&gt;0,G139*H$2/(100+H$2)," ")</f>
        <v> </v>
      </c>
      <c r="I139" s="6" t="str">
        <f aca="false">IF((G139&lt;&gt;0),G139-H139," ")</f>
        <v> </v>
      </c>
      <c r="J139" s="5"/>
      <c r="M139" s="7" t="str">
        <f aca="false">IF(G139&lt;&gt;0,G139-L139," ")</f>
        <v> </v>
      </c>
      <c r="N139" s="8" t="str">
        <f aca="false">IF((G139-L139)&lt;&gt;0,N$1-A139," ")</f>
        <v> </v>
      </c>
      <c r="O139" s="5"/>
      <c r="P139" s="19" t="str">
        <f aca="false">IF((F139="s"),I139," ")</f>
        <v> </v>
      </c>
      <c r="Q139" s="19" t="str">
        <f aca="false">IF((F139="c"),I139," ")</f>
        <v> </v>
      </c>
      <c r="R139" s="19" t="str">
        <f aca="false">IF((F139="o"),I139," ")</f>
        <v> </v>
      </c>
      <c r="S139" s="19" t="str">
        <f aca="false">IF((F139="w"),I139," ")</f>
        <v> </v>
      </c>
      <c r="T139" s="19" t="str">
        <f aca="false">IF((F139="p"),I139," ")</f>
        <v> </v>
      </c>
      <c r="U139" s="19" t="str">
        <f aca="false">IF((F139="m"),I139," ")</f>
        <v> </v>
      </c>
      <c r="V139" s="19" t="str">
        <f aca="false">IF((F139="g"),I139," ")</f>
        <v> </v>
      </c>
      <c r="W139" s="29" t="str">
        <f aca="false">IF((F139="v"),I139," ")</f>
        <v> </v>
      </c>
      <c r="X139" s="19" t="str">
        <f aca="false">IF((F139="h"),I139," ")</f>
        <v> </v>
      </c>
      <c r="Y139" s="19" t="str">
        <f aca="false">IF((F139="a"),I139," ")</f>
        <v> </v>
      </c>
      <c r="Z139" s="19" t="str">
        <f aca="false">IF((F139="l"),I139," ")</f>
        <v> </v>
      </c>
      <c r="AA139" s="19" t="str">
        <f aca="false">IF((F139="y"),I139," ")</f>
        <v> </v>
      </c>
      <c r="AB139" s="19" t="str">
        <f aca="false">IF((F139="fa"),I139," ")</f>
        <v> </v>
      </c>
    </row>
    <row r="140" customFormat="false" ht="12" hidden="false" customHeight="false" outlineLevel="0" collapsed="false">
      <c r="A140" s="27"/>
      <c r="F140" s="58" t="str">
        <f aca="false">IF((G140&lt;&gt;0),"Enter Letter"," ")</f>
        <v> </v>
      </c>
      <c r="G140" s="29"/>
      <c r="H140" s="6" t="str">
        <f aca="false">IF(G140&lt;&gt;0,G140*H$2/(100+H$2)," ")</f>
        <v> </v>
      </c>
      <c r="I140" s="6" t="str">
        <f aca="false">IF((G140&lt;&gt;0),G140-H140," ")</f>
        <v> </v>
      </c>
      <c r="J140" s="5"/>
      <c r="M140" s="7" t="str">
        <f aca="false">IF(G140&lt;&gt;0,G140-L140," ")</f>
        <v> </v>
      </c>
      <c r="N140" s="8" t="str">
        <f aca="false">IF((G140-L140)&lt;&gt;0,N$1-A140," ")</f>
        <v> </v>
      </c>
      <c r="O140" s="5"/>
      <c r="P140" s="19" t="str">
        <f aca="false">IF((F140="s"),I140," ")</f>
        <v> </v>
      </c>
      <c r="Q140" s="19" t="str">
        <f aca="false">IF((F140="c"),I140," ")</f>
        <v> </v>
      </c>
      <c r="R140" s="19" t="str">
        <f aca="false">IF((F140="o"),I140," ")</f>
        <v> </v>
      </c>
      <c r="S140" s="19" t="str">
        <f aca="false">IF((F140="w"),I140," ")</f>
        <v> </v>
      </c>
      <c r="T140" s="19" t="str">
        <f aca="false">IF((F140="p"),I140," ")</f>
        <v> </v>
      </c>
      <c r="U140" s="19" t="str">
        <f aca="false">IF((F140="m"),I140," ")</f>
        <v> </v>
      </c>
      <c r="V140" s="19" t="str">
        <f aca="false">IF((F140="g"),I140," ")</f>
        <v> </v>
      </c>
      <c r="W140" s="29" t="str">
        <f aca="false">IF((F140="v"),I140," ")</f>
        <v> </v>
      </c>
      <c r="X140" s="19" t="str">
        <f aca="false">IF((F140="h"),I140," ")</f>
        <v> </v>
      </c>
      <c r="Y140" s="19" t="str">
        <f aca="false">IF((F140="a"),I140," ")</f>
        <v> </v>
      </c>
      <c r="Z140" s="19" t="str">
        <f aca="false">IF((F140="l"),I140," ")</f>
        <v> </v>
      </c>
      <c r="AA140" s="19" t="str">
        <f aca="false">IF((F140="y"),I140," ")</f>
        <v> </v>
      </c>
      <c r="AB140" s="19" t="str">
        <f aca="false">IF((F140="fa"),I140," ")</f>
        <v> </v>
      </c>
    </row>
    <row r="141" customFormat="false" ht="12" hidden="false" customHeight="false" outlineLevel="0" collapsed="false">
      <c r="A141" s="27"/>
      <c r="F141" s="58" t="str">
        <f aca="false">IF((G141&lt;&gt;0),"Enter Letter"," ")</f>
        <v> </v>
      </c>
      <c r="G141" s="29"/>
      <c r="H141" s="6" t="str">
        <f aca="false">IF(G141&lt;&gt;0,G141*H$2/(100+H$2)," ")</f>
        <v> </v>
      </c>
      <c r="I141" s="6" t="str">
        <f aca="false">IF((G141&lt;&gt;0),G141-H141," ")</f>
        <v> </v>
      </c>
      <c r="J141" s="5"/>
      <c r="M141" s="7" t="str">
        <f aca="false">IF(G141&lt;&gt;0,G141-L141," ")</f>
        <v> </v>
      </c>
      <c r="N141" s="8" t="str">
        <f aca="false">IF((G141-L141)&lt;&gt;0,N$1-A141," ")</f>
        <v> </v>
      </c>
      <c r="O141" s="5"/>
      <c r="P141" s="19" t="str">
        <f aca="false">IF((F141="s"),I141," ")</f>
        <v> </v>
      </c>
      <c r="Q141" s="19" t="str">
        <f aca="false">IF((F141="c"),I141," ")</f>
        <v> </v>
      </c>
      <c r="R141" s="19" t="str">
        <f aca="false">IF((F141="o"),I141," ")</f>
        <v> </v>
      </c>
      <c r="S141" s="19" t="str">
        <f aca="false">IF((F141="w"),I141," ")</f>
        <v> </v>
      </c>
      <c r="T141" s="19" t="str">
        <f aca="false">IF((F141="p"),I141," ")</f>
        <v> </v>
      </c>
      <c r="U141" s="19" t="str">
        <f aca="false">IF((F141="m"),I141," ")</f>
        <v> </v>
      </c>
      <c r="V141" s="19" t="str">
        <f aca="false">IF((F141="g"),I141," ")</f>
        <v> </v>
      </c>
      <c r="W141" s="29" t="str">
        <f aca="false">IF((F141="v"),I141," ")</f>
        <v> </v>
      </c>
      <c r="X141" s="19" t="str">
        <f aca="false">IF((F141="h"),I141," ")</f>
        <v> </v>
      </c>
      <c r="Y141" s="19" t="str">
        <f aca="false">IF((F141="a"),I141," ")</f>
        <v> </v>
      </c>
      <c r="Z141" s="19" t="str">
        <f aca="false">IF((F141="l"),I141," ")</f>
        <v> </v>
      </c>
      <c r="AA141" s="19" t="str">
        <f aca="false">IF((F141="y"),I141," ")</f>
        <v> </v>
      </c>
      <c r="AB141" s="19" t="str">
        <f aca="false">IF((F141="fa"),I141," ")</f>
        <v> </v>
      </c>
    </row>
    <row r="142" customFormat="false" ht="12" hidden="false" customHeight="false" outlineLevel="0" collapsed="false">
      <c r="A142" s="27"/>
      <c r="F142" s="58" t="str">
        <f aca="false">IF((G142&lt;&gt;0),"Enter Letter"," ")</f>
        <v> </v>
      </c>
      <c r="G142" s="29"/>
      <c r="H142" s="6" t="str">
        <f aca="false">IF(G142&lt;&gt;0,G142*H$2/(100+H$2)," ")</f>
        <v> </v>
      </c>
      <c r="I142" s="6" t="str">
        <f aca="false">IF((G142&lt;&gt;0),G142-H142," ")</f>
        <v> </v>
      </c>
      <c r="J142" s="5"/>
      <c r="M142" s="7" t="str">
        <f aca="false">IF(G142&lt;&gt;0,G142-L142," ")</f>
        <v> </v>
      </c>
      <c r="N142" s="8" t="str">
        <f aca="false">IF((G142-L142)&lt;&gt;0,N$1-A142," ")</f>
        <v> </v>
      </c>
      <c r="O142" s="5"/>
      <c r="P142" s="19" t="str">
        <f aca="false">IF((F142="s"),I142," ")</f>
        <v> </v>
      </c>
      <c r="Q142" s="19" t="str">
        <f aca="false">IF((F142="c"),I142," ")</f>
        <v> </v>
      </c>
      <c r="R142" s="19" t="str">
        <f aca="false">IF((F142="o"),I142," ")</f>
        <v> </v>
      </c>
      <c r="S142" s="19" t="str">
        <f aca="false">IF((F142="w"),I142," ")</f>
        <v> </v>
      </c>
      <c r="T142" s="19" t="str">
        <f aca="false">IF((F142="p"),I142," ")</f>
        <v> </v>
      </c>
      <c r="U142" s="19" t="str">
        <f aca="false">IF((F142="m"),I142," ")</f>
        <v> </v>
      </c>
      <c r="V142" s="19" t="str">
        <f aca="false">IF((F142="g"),I142," ")</f>
        <v> </v>
      </c>
      <c r="W142" s="29" t="str">
        <f aca="false">IF((F142="v"),I142," ")</f>
        <v> </v>
      </c>
      <c r="X142" s="19" t="str">
        <f aca="false">IF((F142="h"),I142," ")</f>
        <v> </v>
      </c>
      <c r="Y142" s="19" t="str">
        <f aca="false">IF((F142="a"),I142," ")</f>
        <v> </v>
      </c>
      <c r="Z142" s="19" t="str">
        <f aca="false">IF((F142="l"),I142," ")</f>
        <v> </v>
      </c>
      <c r="AA142" s="19" t="str">
        <f aca="false">IF((F142="y"),I142," ")</f>
        <v> </v>
      </c>
      <c r="AB142" s="19" t="str">
        <f aca="false">IF((F142="fa"),I142," ")</f>
        <v> </v>
      </c>
    </row>
    <row r="143" customFormat="false" ht="12" hidden="false" customHeight="false" outlineLevel="0" collapsed="false">
      <c r="A143" s="27"/>
      <c r="F143" s="58" t="str">
        <f aca="false">IF((G143&lt;&gt;0),"Enter Letter"," ")</f>
        <v> </v>
      </c>
      <c r="G143" s="29"/>
      <c r="H143" s="6" t="str">
        <f aca="false">IF(G143&lt;&gt;0,G143*H$2/(100+H$2)," ")</f>
        <v> </v>
      </c>
      <c r="I143" s="6" t="str">
        <f aca="false">IF((G143&lt;&gt;0),G143-H143," ")</f>
        <v> </v>
      </c>
      <c r="J143" s="5"/>
      <c r="M143" s="7" t="str">
        <f aca="false">IF(G143&lt;&gt;0,G143-L143," ")</f>
        <v> </v>
      </c>
      <c r="N143" s="8" t="str">
        <f aca="false">IF((G143-L143)&lt;&gt;0,N$1-A143," ")</f>
        <v> </v>
      </c>
      <c r="O143" s="5"/>
      <c r="P143" s="19" t="str">
        <f aca="false">IF((F143="s"),I143," ")</f>
        <v> </v>
      </c>
      <c r="Q143" s="19" t="str">
        <f aca="false">IF((F143="c"),I143," ")</f>
        <v> </v>
      </c>
      <c r="R143" s="19" t="str">
        <f aca="false">IF((F143="o"),I143," ")</f>
        <v> </v>
      </c>
      <c r="S143" s="19" t="str">
        <f aca="false">IF((F143="w"),I143," ")</f>
        <v> </v>
      </c>
      <c r="T143" s="19" t="str">
        <f aca="false">IF((F143="p"),I143," ")</f>
        <v> </v>
      </c>
      <c r="U143" s="19" t="str">
        <f aca="false">IF((F143="m"),I143," ")</f>
        <v> </v>
      </c>
      <c r="V143" s="19" t="str">
        <f aca="false">IF((F143="g"),I143," ")</f>
        <v> </v>
      </c>
      <c r="W143" s="29" t="str">
        <f aca="false">IF((F143="v"),I143," ")</f>
        <v> </v>
      </c>
      <c r="X143" s="19" t="str">
        <f aca="false">IF((F143="h"),I143," ")</f>
        <v> </v>
      </c>
      <c r="Y143" s="19" t="str">
        <f aca="false">IF((F143="a"),I143," ")</f>
        <v> </v>
      </c>
      <c r="Z143" s="19" t="str">
        <f aca="false">IF((F143="l"),I143," ")</f>
        <v> </v>
      </c>
      <c r="AA143" s="19" t="str">
        <f aca="false">IF((F143="y"),I143," ")</f>
        <v> </v>
      </c>
      <c r="AB143" s="19" t="str">
        <f aca="false">IF((F143="fa"),I143," ")</f>
        <v> </v>
      </c>
    </row>
    <row r="144" customFormat="false" ht="12" hidden="false" customHeight="false" outlineLevel="0" collapsed="false">
      <c r="A144" s="27"/>
      <c r="F144" s="58" t="str">
        <f aca="false">IF((G144&lt;&gt;0),"Enter Letter"," ")</f>
        <v> </v>
      </c>
      <c r="G144" s="29"/>
      <c r="H144" s="6" t="str">
        <f aca="false">IF(G144&lt;&gt;0,G144*H$2/(100+H$2)," ")</f>
        <v> </v>
      </c>
      <c r="I144" s="6" t="str">
        <f aca="false">IF((G144&lt;&gt;0),G144-H144," ")</f>
        <v> </v>
      </c>
      <c r="J144" s="5"/>
      <c r="M144" s="7" t="str">
        <f aca="false">IF(G144&lt;&gt;0,G144-L144," ")</f>
        <v> </v>
      </c>
      <c r="N144" s="8" t="str">
        <f aca="false">IF((G144-L144)&lt;&gt;0,N$1-A144," ")</f>
        <v> </v>
      </c>
      <c r="O144" s="5"/>
      <c r="P144" s="19" t="str">
        <f aca="false">IF((F144="s"),I144," ")</f>
        <v> </v>
      </c>
      <c r="Q144" s="19" t="str">
        <f aca="false">IF((F144="c"),I144," ")</f>
        <v> </v>
      </c>
      <c r="R144" s="19" t="str">
        <f aca="false">IF((F144="o"),I144," ")</f>
        <v> </v>
      </c>
      <c r="S144" s="19" t="str">
        <f aca="false">IF((F144="w"),I144," ")</f>
        <v> </v>
      </c>
      <c r="T144" s="19" t="str">
        <f aca="false">IF((F144="p"),I144," ")</f>
        <v> </v>
      </c>
      <c r="U144" s="19" t="str">
        <f aca="false">IF((F144="m"),I144," ")</f>
        <v> </v>
      </c>
      <c r="V144" s="19" t="str">
        <f aca="false">IF((F144="g"),I144," ")</f>
        <v> </v>
      </c>
      <c r="W144" s="29" t="str">
        <f aca="false">IF((F144="v"),I144," ")</f>
        <v> </v>
      </c>
      <c r="X144" s="19" t="str">
        <f aca="false">IF((F144="h"),I144," ")</f>
        <v> </v>
      </c>
      <c r="Y144" s="19" t="str">
        <f aca="false">IF((F144="a"),I144," ")</f>
        <v> </v>
      </c>
      <c r="Z144" s="19" t="str">
        <f aca="false">IF((F144="l"),I144," ")</f>
        <v> </v>
      </c>
      <c r="AA144" s="19" t="str">
        <f aca="false">IF((F144="y"),I144," ")</f>
        <v> </v>
      </c>
      <c r="AB144" s="19" t="str">
        <f aca="false">IF((F144="fa"),I144," ")</f>
        <v> </v>
      </c>
    </row>
    <row r="145" customFormat="false" ht="12" hidden="false" customHeight="false" outlineLevel="0" collapsed="false">
      <c r="A145" s="27"/>
      <c r="F145" s="58" t="str">
        <f aca="false">IF((G145&lt;&gt;0),"Enter Letter"," ")</f>
        <v> </v>
      </c>
      <c r="G145" s="29"/>
      <c r="H145" s="6" t="str">
        <f aca="false">IF(G145&lt;&gt;0,G145*H$2/(100+H$2)," ")</f>
        <v> </v>
      </c>
      <c r="I145" s="6" t="str">
        <f aca="false">IF((G145&lt;&gt;0),G145-H145," ")</f>
        <v> </v>
      </c>
      <c r="J145" s="5"/>
      <c r="M145" s="7" t="str">
        <f aca="false">IF(G145&lt;&gt;0,G145-L145," ")</f>
        <v> </v>
      </c>
      <c r="N145" s="8" t="str">
        <f aca="false">IF((G145-L145)&lt;&gt;0,N$1-A145," ")</f>
        <v> </v>
      </c>
      <c r="O145" s="5"/>
      <c r="P145" s="19" t="str">
        <f aca="false">IF((F145="s"),I145," ")</f>
        <v> </v>
      </c>
      <c r="Q145" s="19" t="str">
        <f aca="false">IF((F145="c"),I145," ")</f>
        <v> </v>
      </c>
      <c r="R145" s="19" t="str">
        <f aca="false">IF((F145="o"),I145," ")</f>
        <v> </v>
      </c>
      <c r="S145" s="19" t="str">
        <f aca="false">IF((F145="w"),I145," ")</f>
        <v> </v>
      </c>
      <c r="T145" s="19" t="str">
        <f aca="false">IF((F145="p"),I145," ")</f>
        <v> </v>
      </c>
      <c r="U145" s="19" t="str">
        <f aca="false">IF((F145="m"),I145," ")</f>
        <v> </v>
      </c>
      <c r="V145" s="19" t="str">
        <f aca="false">IF((F145="g"),I145," ")</f>
        <v> </v>
      </c>
      <c r="W145" s="29" t="str">
        <f aca="false">IF((F145="v"),I145," ")</f>
        <v> </v>
      </c>
      <c r="X145" s="19" t="str">
        <f aca="false">IF((F145="h"),I145," ")</f>
        <v> </v>
      </c>
      <c r="Y145" s="19" t="str">
        <f aca="false">IF((F145="a"),I145," ")</f>
        <v> </v>
      </c>
      <c r="Z145" s="19" t="str">
        <f aca="false">IF((F145="l"),I145," ")</f>
        <v> </v>
      </c>
      <c r="AA145" s="19" t="str">
        <f aca="false">IF((F145="y"),I145," ")</f>
        <v> </v>
      </c>
      <c r="AB145" s="19" t="str">
        <f aca="false">IF((F145="fa"),I145," ")</f>
        <v> </v>
      </c>
    </row>
    <row r="146" customFormat="false" ht="12" hidden="false" customHeight="false" outlineLevel="0" collapsed="false">
      <c r="A146" s="27"/>
      <c r="F146" s="58" t="str">
        <f aca="false">IF((G146&lt;&gt;0),"Enter Letter"," ")</f>
        <v> </v>
      </c>
      <c r="G146" s="29"/>
      <c r="H146" s="6" t="str">
        <f aca="false">IF(G146&lt;&gt;0,G146*H$2/(100+H$2)," ")</f>
        <v> </v>
      </c>
      <c r="I146" s="6" t="str">
        <f aca="false">IF((G146&lt;&gt;0),G146-H146," ")</f>
        <v> </v>
      </c>
      <c r="J146" s="5"/>
      <c r="M146" s="7" t="str">
        <f aca="false">IF(G146&lt;&gt;0,G146-L146," ")</f>
        <v> </v>
      </c>
      <c r="N146" s="8" t="str">
        <f aca="false">IF((G146-L146)&lt;&gt;0,N$1-A146," ")</f>
        <v> </v>
      </c>
      <c r="O146" s="5"/>
      <c r="P146" s="19" t="str">
        <f aca="false">IF((F146="s"),I146," ")</f>
        <v> </v>
      </c>
      <c r="Q146" s="19" t="str">
        <f aca="false">IF((F146="c"),I146," ")</f>
        <v> </v>
      </c>
      <c r="R146" s="19" t="str">
        <f aca="false">IF((F146="o"),I146," ")</f>
        <v> </v>
      </c>
      <c r="S146" s="19" t="str">
        <f aca="false">IF((F146="w"),I146," ")</f>
        <v> </v>
      </c>
      <c r="T146" s="19" t="str">
        <f aca="false">IF((F146="p"),I146," ")</f>
        <v> </v>
      </c>
      <c r="U146" s="19" t="str">
        <f aca="false">IF((F146="m"),I146," ")</f>
        <v> </v>
      </c>
      <c r="V146" s="19" t="str">
        <f aca="false">IF((F146="g"),I146," ")</f>
        <v> </v>
      </c>
      <c r="W146" s="29" t="str">
        <f aca="false">IF((F146="v"),I146," ")</f>
        <v> </v>
      </c>
      <c r="X146" s="19" t="str">
        <f aca="false">IF((F146="h"),I146," ")</f>
        <v> </v>
      </c>
      <c r="Y146" s="19" t="str">
        <f aca="false">IF((F146="a"),I146," ")</f>
        <v> </v>
      </c>
      <c r="Z146" s="19" t="str">
        <f aca="false">IF((F146="l"),I146," ")</f>
        <v> </v>
      </c>
      <c r="AA146" s="19" t="str">
        <f aca="false">IF((F146="y"),I146," ")</f>
        <v> </v>
      </c>
      <c r="AB146" s="19" t="str">
        <f aca="false">IF((F146="fa"),I146," ")</f>
        <v> </v>
      </c>
    </row>
    <row r="147" customFormat="false" ht="12" hidden="false" customHeight="false" outlineLevel="0" collapsed="false">
      <c r="A147" s="27"/>
      <c r="F147" s="58" t="str">
        <f aca="false">IF((G147&lt;&gt;0),"Enter Letter"," ")</f>
        <v> </v>
      </c>
      <c r="G147" s="29"/>
      <c r="H147" s="6" t="str">
        <f aca="false">IF(G147&lt;&gt;0,G147*H$2/(100+H$2)," ")</f>
        <v> </v>
      </c>
      <c r="I147" s="6" t="str">
        <f aca="false">IF((G147&lt;&gt;0),G147-H147," ")</f>
        <v> </v>
      </c>
      <c r="J147" s="5"/>
      <c r="M147" s="7" t="str">
        <f aca="false">IF(G147&lt;&gt;0,G147-L147," ")</f>
        <v> </v>
      </c>
      <c r="N147" s="8" t="str">
        <f aca="false">IF((G147-L147)&lt;&gt;0,N$1-A147," ")</f>
        <v> </v>
      </c>
      <c r="O147" s="5"/>
      <c r="P147" s="19" t="str">
        <f aca="false">IF((F147="s"),I147," ")</f>
        <v> </v>
      </c>
      <c r="Q147" s="19" t="str">
        <f aca="false">IF((F147="c"),I147," ")</f>
        <v> </v>
      </c>
      <c r="R147" s="19" t="str">
        <f aca="false">IF((F147="o"),I147," ")</f>
        <v> </v>
      </c>
      <c r="S147" s="19" t="str">
        <f aca="false">IF((F147="w"),I147," ")</f>
        <v> </v>
      </c>
      <c r="T147" s="19" t="str">
        <f aca="false">IF((F147="p"),I147," ")</f>
        <v> </v>
      </c>
      <c r="U147" s="19" t="str">
        <f aca="false">IF((F147="m"),I147," ")</f>
        <v> </v>
      </c>
      <c r="V147" s="19" t="str">
        <f aca="false">IF((F147="g"),I147," ")</f>
        <v> </v>
      </c>
      <c r="W147" s="29" t="str">
        <f aca="false">IF((F147="v"),I147," ")</f>
        <v> </v>
      </c>
      <c r="X147" s="19" t="str">
        <f aca="false">IF((F147="h"),I147," ")</f>
        <v> </v>
      </c>
      <c r="Y147" s="19" t="str">
        <f aca="false">IF((F147="a"),I147," ")</f>
        <v> </v>
      </c>
      <c r="Z147" s="19" t="str">
        <f aca="false">IF((F147="l"),I147," ")</f>
        <v> </v>
      </c>
      <c r="AA147" s="19" t="str">
        <f aca="false">IF((F147="y"),I147," ")</f>
        <v> </v>
      </c>
      <c r="AB147" s="19" t="str">
        <f aca="false">IF((F147="fa"),I147," ")</f>
        <v> </v>
      </c>
    </row>
    <row r="148" customFormat="false" ht="12" hidden="false" customHeight="false" outlineLevel="0" collapsed="false">
      <c r="A148" s="27"/>
      <c r="F148" s="58" t="str">
        <f aca="false">IF((G148&lt;&gt;0),"Enter Letter"," ")</f>
        <v> </v>
      </c>
      <c r="G148" s="29"/>
      <c r="H148" s="6" t="str">
        <f aca="false">IF(G148&lt;&gt;0,G148*H$2/(100+H$2)," ")</f>
        <v> </v>
      </c>
      <c r="I148" s="6" t="str">
        <f aca="false">IF((G148&lt;&gt;0),G148-H148," ")</f>
        <v> </v>
      </c>
      <c r="J148" s="5"/>
      <c r="M148" s="7" t="str">
        <f aca="false">IF(G148&lt;&gt;0,G148-L148," ")</f>
        <v> </v>
      </c>
      <c r="N148" s="8" t="str">
        <f aca="false">IF((G148-L148)&lt;&gt;0,N$1-A148," ")</f>
        <v> </v>
      </c>
      <c r="O148" s="5"/>
      <c r="P148" s="19" t="str">
        <f aca="false">IF((F148="s"),I148," ")</f>
        <v> </v>
      </c>
      <c r="Q148" s="19" t="str">
        <f aca="false">IF((F148="c"),I148," ")</f>
        <v> </v>
      </c>
      <c r="R148" s="19" t="str">
        <f aca="false">IF((F148="o"),I148," ")</f>
        <v> </v>
      </c>
      <c r="S148" s="19" t="str">
        <f aca="false">IF((F148="w"),I148," ")</f>
        <v> </v>
      </c>
      <c r="T148" s="19" t="str">
        <f aca="false">IF((F148="p"),I148," ")</f>
        <v> </v>
      </c>
      <c r="U148" s="19" t="str">
        <f aca="false">IF((F148="m"),I148," ")</f>
        <v> </v>
      </c>
      <c r="V148" s="19" t="str">
        <f aca="false">IF((F148="g"),I148," ")</f>
        <v> </v>
      </c>
      <c r="W148" s="29" t="str">
        <f aca="false">IF((F148="v"),I148," ")</f>
        <v> </v>
      </c>
      <c r="X148" s="19" t="str">
        <f aca="false">IF((F148="h"),I148," ")</f>
        <v> </v>
      </c>
      <c r="Y148" s="19" t="str">
        <f aca="false">IF((F148="a"),I148," ")</f>
        <v> </v>
      </c>
      <c r="Z148" s="19" t="str">
        <f aca="false">IF((F148="l"),I148," ")</f>
        <v> </v>
      </c>
      <c r="AA148" s="19" t="str">
        <f aca="false">IF((F148="y"),I148," ")</f>
        <v> </v>
      </c>
      <c r="AB148" s="19" t="str">
        <f aca="false">IF((F148="fa"),I148," ")</f>
        <v> </v>
      </c>
    </row>
    <row r="149" customFormat="false" ht="12" hidden="false" customHeight="false" outlineLevel="0" collapsed="false">
      <c r="A149" s="27"/>
      <c r="F149" s="58" t="str">
        <f aca="false">IF((G149&lt;&gt;0),"Enter Letter"," ")</f>
        <v> </v>
      </c>
      <c r="G149" s="29"/>
      <c r="H149" s="6" t="str">
        <f aca="false">IF(G149&lt;&gt;0,G149*H$2/(100+H$2)," ")</f>
        <v> </v>
      </c>
      <c r="I149" s="6" t="str">
        <f aca="false">IF((G149&lt;&gt;0),G149-H149," ")</f>
        <v> </v>
      </c>
      <c r="J149" s="5"/>
      <c r="M149" s="7" t="str">
        <f aca="false">IF(G149&lt;&gt;0,G149-L149," ")</f>
        <v> </v>
      </c>
      <c r="N149" s="8" t="str">
        <f aca="false">IF((G149-L149)&lt;&gt;0,N$1-A149," ")</f>
        <v> </v>
      </c>
      <c r="O149" s="5"/>
      <c r="P149" s="19" t="str">
        <f aca="false">IF((F149="s"),I149," ")</f>
        <v> </v>
      </c>
      <c r="Q149" s="19" t="str">
        <f aca="false">IF((F149="c"),I149," ")</f>
        <v> </v>
      </c>
      <c r="R149" s="19" t="str">
        <f aca="false">IF((F149="o"),I149," ")</f>
        <v> </v>
      </c>
      <c r="S149" s="19" t="str">
        <f aca="false">IF((F149="w"),I149," ")</f>
        <v> </v>
      </c>
      <c r="T149" s="19" t="str">
        <f aca="false">IF((F149="p"),I149," ")</f>
        <v> </v>
      </c>
      <c r="U149" s="19" t="str">
        <f aca="false">IF((F149="m"),I149," ")</f>
        <v> </v>
      </c>
      <c r="V149" s="19" t="str">
        <f aca="false">IF((F149="g"),I149," ")</f>
        <v> </v>
      </c>
      <c r="W149" s="29" t="str">
        <f aca="false">IF((F149="v"),I149," ")</f>
        <v> </v>
      </c>
      <c r="X149" s="19" t="str">
        <f aca="false">IF((F149="h"),I149," ")</f>
        <v> </v>
      </c>
      <c r="Y149" s="19" t="str">
        <f aca="false">IF((F149="a"),I149," ")</f>
        <v> </v>
      </c>
      <c r="Z149" s="19" t="str">
        <f aca="false">IF((F149="l"),I149," ")</f>
        <v> </v>
      </c>
      <c r="AA149" s="19" t="str">
        <f aca="false">IF((F149="y"),I149," ")</f>
        <v> </v>
      </c>
      <c r="AB149" s="19" t="str">
        <f aca="false">IF((F149="fa"),I149," ")</f>
        <v> </v>
      </c>
    </row>
    <row r="150" customFormat="false" ht="12" hidden="false" customHeight="false" outlineLevel="0" collapsed="false">
      <c r="A150" s="27"/>
      <c r="F150" s="58" t="str">
        <f aca="false">IF((G150&lt;&gt;0),"Enter Letter"," ")</f>
        <v> </v>
      </c>
      <c r="G150" s="29"/>
      <c r="H150" s="6" t="str">
        <f aca="false">IF(G150&lt;&gt;0,G150*H$2/(100+H$2)," ")</f>
        <v> </v>
      </c>
      <c r="I150" s="6" t="str">
        <f aca="false">IF((G150&lt;&gt;0),G150-H150," ")</f>
        <v> </v>
      </c>
      <c r="J150" s="5"/>
      <c r="M150" s="7" t="str">
        <f aca="false">IF(G150&lt;&gt;0,G150-L150," ")</f>
        <v> </v>
      </c>
      <c r="N150" s="8" t="str">
        <f aca="false">IF((G150-L150)&lt;&gt;0,N$1-A150," ")</f>
        <v> </v>
      </c>
      <c r="O150" s="5"/>
      <c r="P150" s="19" t="str">
        <f aca="false">IF((F150="s"),I150," ")</f>
        <v> </v>
      </c>
      <c r="Q150" s="19" t="str">
        <f aca="false">IF((F150="c"),I150," ")</f>
        <v> </v>
      </c>
      <c r="R150" s="19" t="str">
        <f aca="false">IF((F150="o"),I150," ")</f>
        <v> </v>
      </c>
      <c r="S150" s="19" t="str">
        <f aca="false">IF((F150="w"),I150," ")</f>
        <v> </v>
      </c>
      <c r="T150" s="19" t="str">
        <f aca="false">IF((F150="p"),I150," ")</f>
        <v> </v>
      </c>
      <c r="U150" s="19" t="str">
        <f aca="false">IF((F150="m"),I150," ")</f>
        <v> </v>
      </c>
      <c r="V150" s="19" t="str">
        <f aca="false">IF((F150="g"),I150," ")</f>
        <v> </v>
      </c>
      <c r="W150" s="29" t="str">
        <f aca="false">IF((F150="v"),I150," ")</f>
        <v> </v>
      </c>
      <c r="X150" s="19" t="str">
        <f aca="false">IF((F150="h"),I150," ")</f>
        <v> </v>
      </c>
      <c r="Y150" s="19" t="str">
        <f aca="false">IF((F150="a"),I150," ")</f>
        <v> </v>
      </c>
      <c r="Z150" s="19" t="str">
        <f aca="false">IF((F150="l"),I150," ")</f>
        <v> </v>
      </c>
      <c r="AA150" s="19" t="str">
        <f aca="false">IF((F150="y"),I150," ")</f>
        <v> </v>
      </c>
      <c r="AB150" s="19" t="str">
        <f aca="false">IF((F150="fa"),I150," ")</f>
        <v> </v>
      </c>
    </row>
    <row r="151" customFormat="false" ht="12" hidden="false" customHeight="false" outlineLevel="0" collapsed="false">
      <c r="A151" s="27"/>
      <c r="F151" s="58" t="str">
        <f aca="false">IF((G151&lt;&gt;0),"Enter Letter"," ")</f>
        <v> </v>
      </c>
      <c r="G151" s="29"/>
      <c r="H151" s="6" t="str">
        <f aca="false">IF(G151&lt;&gt;0,G151*H$2/(100+H$2)," ")</f>
        <v> </v>
      </c>
      <c r="I151" s="6" t="str">
        <f aca="false">IF((G151&lt;&gt;0),G151-H151," ")</f>
        <v> </v>
      </c>
      <c r="J151" s="5"/>
      <c r="M151" s="7" t="str">
        <f aca="false">IF(G151&lt;&gt;0,G151-L151," ")</f>
        <v> </v>
      </c>
      <c r="N151" s="8" t="str">
        <f aca="false">IF((G151-L151)&lt;&gt;0,N$1-A151," ")</f>
        <v> </v>
      </c>
      <c r="O151" s="5"/>
      <c r="P151" s="19" t="str">
        <f aca="false">IF((F151="s"),I151," ")</f>
        <v> </v>
      </c>
      <c r="Q151" s="19" t="str">
        <f aca="false">IF((F151="c"),I151," ")</f>
        <v> </v>
      </c>
      <c r="R151" s="19" t="str">
        <f aca="false">IF((F151="o"),I151," ")</f>
        <v> </v>
      </c>
      <c r="S151" s="19" t="str">
        <f aca="false">IF((F151="w"),I151," ")</f>
        <v> </v>
      </c>
      <c r="T151" s="19" t="str">
        <f aca="false">IF((F151="p"),I151," ")</f>
        <v> </v>
      </c>
      <c r="U151" s="19" t="str">
        <f aca="false">IF((F151="m"),I151," ")</f>
        <v> </v>
      </c>
      <c r="V151" s="19" t="str">
        <f aca="false">IF((F151="g"),I151," ")</f>
        <v> </v>
      </c>
      <c r="W151" s="29" t="str">
        <f aca="false">IF((F151="v"),I151," ")</f>
        <v> </v>
      </c>
      <c r="X151" s="19" t="str">
        <f aca="false">IF((F151="h"),I151," ")</f>
        <v> </v>
      </c>
      <c r="Y151" s="19" t="str">
        <f aca="false">IF((F151="a"),I151," ")</f>
        <v> </v>
      </c>
      <c r="Z151" s="19" t="str">
        <f aca="false">IF((F151="l"),I151," ")</f>
        <v> </v>
      </c>
      <c r="AA151" s="19" t="str">
        <f aca="false">IF((F151="y"),I151," ")</f>
        <v> </v>
      </c>
      <c r="AB151" s="19" t="str">
        <f aca="false">IF((F151="fa"),I151," ")</f>
        <v> </v>
      </c>
    </row>
    <row r="152" customFormat="false" ht="12" hidden="false" customHeight="false" outlineLevel="0" collapsed="false">
      <c r="A152" s="27"/>
      <c r="F152" s="58" t="str">
        <f aca="false">IF((G152&lt;&gt;0),"Enter Letter"," ")</f>
        <v> </v>
      </c>
      <c r="G152" s="29"/>
      <c r="H152" s="6" t="str">
        <f aca="false">IF(G152&lt;&gt;0,G152*H$2/(100+H$2)," ")</f>
        <v> </v>
      </c>
      <c r="I152" s="6" t="str">
        <f aca="false">IF((G152&lt;&gt;0),G152-H152," ")</f>
        <v> </v>
      </c>
      <c r="J152" s="5"/>
      <c r="M152" s="7" t="str">
        <f aca="false">IF(G152&lt;&gt;0,G152-L152," ")</f>
        <v> </v>
      </c>
      <c r="N152" s="8" t="str">
        <f aca="false">IF((G152-L152)&lt;&gt;0,N$1-A152," ")</f>
        <v> </v>
      </c>
      <c r="O152" s="5"/>
      <c r="P152" s="19" t="str">
        <f aca="false">IF((F152="s"),I152," ")</f>
        <v> </v>
      </c>
      <c r="Q152" s="19" t="str">
        <f aca="false">IF((F152="c"),I152," ")</f>
        <v> </v>
      </c>
      <c r="R152" s="19" t="str">
        <f aca="false">IF((F152="o"),I152," ")</f>
        <v> </v>
      </c>
      <c r="S152" s="19" t="str">
        <f aca="false">IF((F152="w"),I152," ")</f>
        <v> </v>
      </c>
      <c r="T152" s="19" t="str">
        <f aca="false">IF((F152="p"),I152," ")</f>
        <v> </v>
      </c>
      <c r="U152" s="19" t="str">
        <f aca="false">IF((F152="m"),I152," ")</f>
        <v> </v>
      </c>
      <c r="V152" s="19" t="str">
        <f aca="false">IF((F152="g"),I152," ")</f>
        <v> </v>
      </c>
      <c r="W152" s="29" t="str">
        <f aca="false">IF((F152="v"),I152," ")</f>
        <v> </v>
      </c>
      <c r="X152" s="19" t="str">
        <f aca="false">IF((F152="h"),I152," ")</f>
        <v> </v>
      </c>
      <c r="Y152" s="19" t="str">
        <f aca="false">IF((F152="a"),I152," ")</f>
        <v> </v>
      </c>
      <c r="Z152" s="19" t="str">
        <f aca="false">IF((F152="l"),I152," ")</f>
        <v> </v>
      </c>
      <c r="AA152" s="19" t="str">
        <f aca="false">IF((F152="y"),I152," ")</f>
        <v> </v>
      </c>
      <c r="AB152" s="19" t="str">
        <f aca="false">IF((F152="fa"),I152," ")</f>
        <v> </v>
      </c>
    </row>
    <row r="153" customFormat="false" ht="12" hidden="false" customHeight="false" outlineLevel="0" collapsed="false">
      <c r="A153" s="27"/>
      <c r="F153" s="58" t="str">
        <f aca="false">IF((G153&lt;&gt;0),"Enter Letter"," ")</f>
        <v> </v>
      </c>
      <c r="G153" s="29"/>
      <c r="H153" s="6" t="str">
        <f aca="false">IF(G153&lt;&gt;0,G153*H$2/(100+H$2)," ")</f>
        <v> </v>
      </c>
      <c r="I153" s="6" t="str">
        <f aca="false">IF((G153&lt;&gt;0),G153-H153," ")</f>
        <v> </v>
      </c>
      <c r="J153" s="5"/>
      <c r="M153" s="7" t="str">
        <f aca="false">IF(G153&lt;&gt;0,G153-L153," ")</f>
        <v> </v>
      </c>
      <c r="N153" s="8" t="str">
        <f aca="false">IF((G153-L153)&lt;&gt;0,N$1-A153," ")</f>
        <v> </v>
      </c>
      <c r="O153" s="5"/>
      <c r="P153" s="19" t="str">
        <f aca="false">IF((F153="s"),I153," ")</f>
        <v> </v>
      </c>
      <c r="Q153" s="19" t="str">
        <f aca="false">IF((F153="c"),I153," ")</f>
        <v> </v>
      </c>
      <c r="R153" s="19" t="str">
        <f aca="false">IF((F153="o"),I153," ")</f>
        <v> </v>
      </c>
      <c r="S153" s="19" t="str">
        <f aca="false">IF((F153="w"),I153," ")</f>
        <v> </v>
      </c>
      <c r="T153" s="19" t="str">
        <f aca="false">IF((F153="p"),I153," ")</f>
        <v> </v>
      </c>
      <c r="U153" s="19" t="str">
        <f aca="false">IF((F153="m"),I153," ")</f>
        <v> </v>
      </c>
      <c r="V153" s="19" t="str">
        <f aca="false">IF((F153="g"),I153," ")</f>
        <v> </v>
      </c>
      <c r="W153" s="29" t="str">
        <f aca="false">IF((F153="v"),I153," ")</f>
        <v> </v>
      </c>
      <c r="X153" s="19" t="str">
        <f aca="false">IF((F153="h"),I153," ")</f>
        <v> </v>
      </c>
      <c r="Y153" s="19" t="str">
        <f aca="false">IF((F153="a"),I153," ")</f>
        <v> </v>
      </c>
      <c r="Z153" s="19" t="str">
        <f aca="false">IF((F153="l"),I153," ")</f>
        <v> </v>
      </c>
      <c r="AA153" s="19" t="str">
        <f aca="false">IF((F153="y"),I153," ")</f>
        <v> </v>
      </c>
      <c r="AB153" s="19" t="str">
        <f aca="false">IF((F153="fa"),I153," ")</f>
        <v> </v>
      </c>
    </row>
    <row r="154" customFormat="false" ht="12" hidden="false" customHeight="false" outlineLevel="0" collapsed="false">
      <c r="A154" s="27"/>
      <c r="F154" s="58" t="str">
        <f aca="false">IF((G154&lt;&gt;0),"Enter Letter"," ")</f>
        <v> </v>
      </c>
      <c r="G154" s="29"/>
      <c r="H154" s="6" t="str">
        <f aca="false">IF(G154&lt;&gt;0,G154*H$2/(100+H$2)," ")</f>
        <v> </v>
      </c>
      <c r="I154" s="6" t="str">
        <f aca="false">IF((G154&lt;&gt;0),G154-H154," ")</f>
        <v> </v>
      </c>
      <c r="J154" s="5"/>
      <c r="M154" s="7" t="str">
        <f aca="false">IF(G154&lt;&gt;0,G154-L154," ")</f>
        <v> </v>
      </c>
      <c r="N154" s="8" t="str">
        <f aca="false">IF((G154-L154)&lt;&gt;0,N$1-A154," ")</f>
        <v> </v>
      </c>
      <c r="O154" s="5"/>
      <c r="P154" s="19" t="str">
        <f aca="false">IF((F154="s"),I154," ")</f>
        <v> </v>
      </c>
      <c r="Q154" s="19" t="str">
        <f aca="false">IF((F154="c"),I154," ")</f>
        <v> </v>
      </c>
      <c r="R154" s="19" t="str">
        <f aca="false">IF((F154="o"),I154," ")</f>
        <v> </v>
      </c>
      <c r="S154" s="19" t="str">
        <f aca="false">IF((F154="w"),I154," ")</f>
        <v> </v>
      </c>
      <c r="T154" s="19" t="str">
        <f aca="false">IF((F154="p"),I154," ")</f>
        <v> </v>
      </c>
      <c r="U154" s="19" t="str">
        <f aca="false">IF((F154="m"),I154," ")</f>
        <v> </v>
      </c>
      <c r="V154" s="19" t="str">
        <f aca="false">IF((F154="g"),I154," ")</f>
        <v> </v>
      </c>
      <c r="W154" s="29" t="str">
        <f aca="false">IF((F154="v"),I154," ")</f>
        <v> </v>
      </c>
      <c r="X154" s="19" t="str">
        <f aca="false">IF((F154="h"),I154," ")</f>
        <v> </v>
      </c>
      <c r="Y154" s="19" t="str">
        <f aca="false">IF((F154="a"),I154," ")</f>
        <v> </v>
      </c>
      <c r="Z154" s="19" t="str">
        <f aca="false">IF((F154="l"),I154," ")</f>
        <v> </v>
      </c>
      <c r="AA154" s="19" t="str">
        <f aca="false">IF((F154="y"),I154," ")</f>
        <v> </v>
      </c>
      <c r="AB154" s="19" t="str">
        <f aca="false">IF((F154="fa"),I154," ")</f>
        <v> </v>
      </c>
    </row>
    <row r="155" customFormat="false" ht="12" hidden="false" customHeight="false" outlineLevel="0" collapsed="false">
      <c r="A155" s="27"/>
      <c r="F155" s="58" t="str">
        <f aca="false">IF((G155&lt;&gt;0),"Enter Letter"," ")</f>
        <v> </v>
      </c>
      <c r="G155" s="29"/>
      <c r="H155" s="6" t="str">
        <f aca="false">IF(G155&lt;&gt;0,G155*H$2/(100+H$2)," ")</f>
        <v> </v>
      </c>
      <c r="I155" s="6" t="str">
        <f aca="false">IF((G155&lt;&gt;0),G155-H155," ")</f>
        <v> </v>
      </c>
      <c r="J155" s="5"/>
      <c r="M155" s="7" t="str">
        <f aca="false">IF(G155&lt;&gt;0,G155-L155," ")</f>
        <v> </v>
      </c>
      <c r="N155" s="8" t="str">
        <f aca="false">IF((G155-L155)&lt;&gt;0,N$1-A155," ")</f>
        <v> </v>
      </c>
      <c r="O155" s="5"/>
      <c r="P155" s="19" t="str">
        <f aca="false">IF((F155="s"),I155," ")</f>
        <v> </v>
      </c>
      <c r="Q155" s="19" t="str">
        <f aca="false">IF((F155="c"),I155," ")</f>
        <v> </v>
      </c>
      <c r="R155" s="19" t="str">
        <f aca="false">IF((F155="o"),I155," ")</f>
        <v> </v>
      </c>
      <c r="S155" s="19" t="str">
        <f aca="false">IF((F155="w"),I155," ")</f>
        <v> </v>
      </c>
      <c r="T155" s="19" t="str">
        <f aca="false">IF((F155="p"),I155," ")</f>
        <v> </v>
      </c>
      <c r="U155" s="19" t="str">
        <f aca="false">IF((F155="m"),I155," ")</f>
        <v> </v>
      </c>
      <c r="V155" s="19" t="str">
        <f aca="false">IF((F155="g"),I155," ")</f>
        <v> </v>
      </c>
      <c r="W155" s="29" t="str">
        <f aca="false">IF((F155="v"),I155," ")</f>
        <v> </v>
      </c>
      <c r="X155" s="19" t="str">
        <f aca="false">IF((F155="h"),I155," ")</f>
        <v> </v>
      </c>
      <c r="Y155" s="19" t="str">
        <f aca="false">IF((F155="a"),I155," ")</f>
        <v> </v>
      </c>
      <c r="Z155" s="19" t="str">
        <f aca="false">IF((F155="l"),I155," ")</f>
        <v> </v>
      </c>
      <c r="AA155" s="19" t="str">
        <f aca="false">IF((F155="y"),I155," ")</f>
        <v> </v>
      </c>
      <c r="AB155" s="19" t="str">
        <f aca="false">IF((F155="fa"),I155," ")</f>
        <v> </v>
      </c>
    </row>
    <row r="156" customFormat="false" ht="12" hidden="false" customHeight="false" outlineLevel="0" collapsed="false">
      <c r="A156" s="27"/>
      <c r="F156" s="58" t="str">
        <f aca="false">IF((G156&lt;&gt;0),"Enter Letter"," ")</f>
        <v> </v>
      </c>
      <c r="G156" s="29"/>
      <c r="H156" s="6" t="str">
        <f aca="false">IF(G156&lt;&gt;0,G156*H$2/(100+H$2)," ")</f>
        <v> </v>
      </c>
      <c r="I156" s="6" t="str">
        <f aca="false">IF((G156&lt;&gt;0),G156-H156," ")</f>
        <v> </v>
      </c>
      <c r="J156" s="5"/>
      <c r="M156" s="7" t="str">
        <f aca="false">IF(G156&lt;&gt;0,G156-L156," ")</f>
        <v> </v>
      </c>
      <c r="N156" s="8" t="str">
        <f aca="false">IF((G156-L156)&lt;&gt;0,N$1-A156," ")</f>
        <v> </v>
      </c>
      <c r="O156" s="5"/>
      <c r="P156" s="19" t="str">
        <f aca="false">IF((F156="s"),I156," ")</f>
        <v> </v>
      </c>
      <c r="Q156" s="19" t="str">
        <f aca="false">IF((F156="c"),I156," ")</f>
        <v> </v>
      </c>
      <c r="R156" s="19" t="str">
        <f aca="false">IF((F156="o"),I156," ")</f>
        <v> </v>
      </c>
      <c r="S156" s="19" t="str">
        <f aca="false">IF((F156="w"),I156," ")</f>
        <v> </v>
      </c>
      <c r="T156" s="19" t="str">
        <f aca="false">IF((F156="p"),I156," ")</f>
        <v> </v>
      </c>
      <c r="U156" s="19" t="str">
        <f aca="false">IF((F156="m"),I156," ")</f>
        <v> </v>
      </c>
      <c r="V156" s="19" t="str">
        <f aca="false">IF((F156="g"),I156," ")</f>
        <v> </v>
      </c>
      <c r="W156" s="29" t="str">
        <f aca="false">IF((F156="v"),I156," ")</f>
        <v> </v>
      </c>
      <c r="X156" s="19" t="str">
        <f aca="false">IF((F156="h"),I156," ")</f>
        <v> </v>
      </c>
      <c r="Y156" s="19" t="str">
        <f aca="false">IF((F156="a"),I156," ")</f>
        <v> </v>
      </c>
      <c r="Z156" s="19" t="str">
        <f aca="false">IF((F156="l"),I156," ")</f>
        <v> </v>
      </c>
      <c r="AA156" s="19" t="str">
        <f aca="false">IF((F156="y"),I156," ")</f>
        <v> </v>
      </c>
      <c r="AB156" s="19" t="str">
        <f aca="false">IF((F156="fa"),I156," ")</f>
        <v> </v>
      </c>
    </row>
    <row r="157" customFormat="false" ht="12" hidden="false" customHeight="false" outlineLevel="0" collapsed="false">
      <c r="A157" s="27"/>
      <c r="F157" s="58" t="str">
        <f aca="false">IF((G157&lt;&gt;0),"Enter Letter"," ")</f>
        <v> </v>
      </c>
      <c r="G157" s="29"/>
      <c r="H157" s="6" t="str">
        <f aca="false">IF(G157&lt;&gt;0,G157*H$2/(100+H$2)," ")</f>
        <v> </v>
      </c>
      <c r="I157" s="6" t="str">
        <f aca="false">IF((G157&lt;&gt;0),G157-H157," ")</f>
        <v> </v>
      </c>
      <c r="J157" s="5"/>
      <c r="M157" s="7" t="str">
        <f aca="false">IF(G157&lt;&gt;0,G157-L157," ")</f>
        <v> </v>
      </c>
      <c r="N157" s="8" t="str">
        <f aca="false">IF((G157-L157)&lt;&gt;0,N$1-A157," ")</f>
        <v> </v>
      </c>
      <c r="O157" s="5"/>
      <c r="P157" s="19" t="str">
        <f aca="false">IF((F157="s"),I157," ")</f>
        <v> </v>
      </c>
      <c r="Q157" s="19" t="str">
        <f aca="false">IF((F157="c"),I157," ")</f>
        <v> </v>
      </c>
      <c r="R157" s="19" t="str">
        <f aca="false">IF((F157="o"),I157," ")</f>
        <v> </v>
      </c>
      <c r="S157" s="19" t="str">
        <f aca="false">IF((F157="w"),I157," ")</f>
        <v> </v>
      </c>
      <c r="T157" s="19" t="str">
        <f aca="false">IF((F157="p"),I157," ")</f>
        <v> </v>
      </c>
      <c r="U157" s="19" t="str">
        <f aca="false">IF((F157="m"),I157," ")</f>
        <v> </v>
      </c>
      <c r="V157" s="19" t="str">
        <f aca="false">IF((F157="g"),I157," ")</f>
        <v> </v>
      </c>
      <c r="W157" s="29" t="str">
        <f aca="false">IF((F157="v"),I157," ")</f>
        <v> </v>
      </c>
      <c r="X157" s="19" t="str">
        <f aca="false">IF((F157="h"),I157," ")</f>
        <v> </v>
      </c>
      <c r="Y157" s="19" t="str">
        <f aca="false">IF((F157="a"),I157," ")</f>
        <v> </v>
      </c>
      <c r="Z157" s="19" t="str">
        <f aca="false">IF((F157="l"),I157," ")</f>
        <v> </v>
      </c>
      <c r="AA157" s="19" t="str">
        <f aca="false">IF((F157="y"),I157," ")</f>
        <v> </v>
      </c>
      <c r="AB157" s="19" t="str">
        <f aca="false">IF((F157="fa"),I157," ")</f>
        <v> </v>
      </c>
    </row>
    <row r="158" customFormat="false" ht="12" hidden="false" customHeight="false" outlineLevel="0" collapsed="false">
      <c r="A158" s="27"/>
      <c r="F158" s="58" t="str">
        <f aca="false">IF((G158&lt;&gt;0),"Enter Letter"," ")</f>
        <v> </v>
      </c>
      <c r="G158" s="29"/>
      <c r="H158" s="6" t="str">
        <f aca="false">IF(G158&lt;&gt;0,G158*H$2/(100+H$2)," ")</f>
        <v> </v>
      </c>
      <c r="I158" s="6" t="str">
        <f aca="false">IF((G158&lt;&gt;0),G158-H158," ")</f>
        <v> </v>
      </c>
      <c r="J158" s="5"/>
      <c r="M158" s="7" t="str">
        <f aca="false">IF(G158&lt;&gt;0,G158-L158," ")</f>
        <v> </v>
      </c>
      <c r="N158" s="8" t="str">
        <f aca="false">IF((G158-L158)&lt;&gt;0,N$1-A158," ")</f>
        <v> </v>
      </c>
      <c r="O158" s="5"/>
      <c r="P158" s="19" t="str">
        <f aca="false">IF((F158="s"),I158," ")</f>
        <v> </v>
      </c>
      <c r="Q158" s="19" t="str">
        <f aca="false">IF((F158="c"),I158," ")</f>
        <v> </v>
      </c>
      <c r="R158" s="19" t="str">
        <f aca="false">IF((F158="o"),I158," ")</f>
        <v> </v>
      </c>
      <c r="S158" s="19" t="str">
        <f aca="false">IF((F158="w"),I158," ")</f>
        <v> </v>
      </c>
      <c r="T158" s="19" t="str">
        <f aca="false">IF((F158="p"),I158," ")</f>
        <v> </v>
      </c>
      <c r="U158" s="19" t="str">
        <f aca="false">IF((F158="m"),I158," ")</f>
        <v> </v>
      </c>
      <c r="V158" s="19" t="str">
        <f aca="false">IF((F158="g"),I158," ")</f>
        <v> </v>
      </c>
      <c r="W158" s="29" t="str">
        <f aca="false">IF((F158="v"),I158," ")</f>
        <v> </v>
      </c>
      <c r="X158" s="19" t="str">
        <f aca="false">IF((F158="h"),I158," ")</f>
        <v> </v>
      </c>
      <c r="Y158" s="19" t="str">
        <f aca="false">IF((F158="a"),I158," ")</f>
        <v> </v>
      </c>
      <c r="Z158" s="19" t="str">
        <f aca="false">IF((F158="l"),I158," ")</f>
        <v> </v>
      </c>
      <c r="AA158" s="19" t="str">
        <f aca="false">IF((F158="y"),I158," ")</f>
        <v> </v>
      </c>
      <c r="AB158" s="19" t="str">
        <f aca="false">IF((F158="fa"),I158," ")</f>
        <v> </v>
      </c>
    </row>
    <row r="159" customFormat="false" ht="12" hidden="false" customHeight="false" outlineLevel="0" collapsed="false">
      <c r="A159" s="27"/>
      <c r="F159" s="58" t="str">
        <f aca="false">IF((G159&lt;&gt;0),"Enter Letter"," ")</f>
        <v> </v>
      </c>
      <c r="G159" s="29"/>
      <c r="H159" s="6" t="str">
        <f aca="false">IF(G159&lt;&gt;0,G159*H$2/(100+H$2)," ")</f>
        <v> </v>
      </c>
      <c r="I159" s="6" t="str">
        <f aca="false">IF((G159&lt;&gt;0),G159-H159," ")</f>
        <v> </v>
      </c>
      <c r="J159" s="5"/>
      <c r="M159" s="7" t="str">
        <f aca="false">IF(G159&lt;&gt;0,G159-L159," ")</f>
        <v> </v>
      </c>
      <c r="N159" s="8" t="str">
        <f aca="false">IF((G159-L159)&lt;&gt;0,N$1-A159," ")</f>
        <v> </v>
      </c>
      <c r="O159" s="5"/>
      <c r="P159" s="19" t="str">
        <f aca="false">IF((F159="s"),I159," ")</f>
        <v> </v>
      </c>
      <c r="Q159" s="19" t="str">
        <f aca="false">IF((F159="c"),I159," ")</f>
        <v> </v>
      </c>
      <c r="R159" s="19" t="str">
        <f aca="false">IF((F159="o"),I159," ")</f>
        <v> </v>
      </c>
      <c r="S159" s="19" t="str">
        <f aca="false">IF((F159="w"),I159," ")</f>
        <v> </v>
      </c>
      <c r="T159" s="19" t="str">
        <f aca="false">IF((F159="p"),I159," ")</f>
        <v> </v>
      </c>
      <c r="U159" s="19" t="str">
        <f aca="false">IF((F159="m"),I159," ")</f>
        <v> </v>
      </c>
      <c r="V159" s="19" t="str">
        <f aca="false">IF((F159="g"),I159," ")</f>
        <v> </v>
      </c>
      <c r="W159" s="29" t="str">
        <f aca="false">IF((F159="v"),I159," ")</f>
        <v> </v>
      </c>
      <c r="X159" s="19" t="str">
        <f aca="false">IF((F159="h"),I159," ")</f>
        <v> </v>
      </c>
      <c r="Y159" s="19" t="str">
        <f aca="false">IF((F159="a"),I159," ")</f>
        <v> </v>
      </c>
      <c r="Z159" s="19" t="str">
        <f aca="false">IF((F159="l"),I159," ")</f>
        <v> </v>
      </c>
      <c r="AA159" s="19" t="str">
        <f aca="false">IF((F159="y"),I159," ")</f>
        <v> </v>
      </c>
      <c r="AB159" s="19" t="str">
        <f aca="false">IF((F159="fa"),I159," ")</f>
        <v> </v>
      </c>
    </row>
    <row r="160" customFormat="false" ht="12" hidden="false" customHeight="false" outlineLevel="0" collapsed="false">
      <c r="A160" s="27"/>
      <c r="F160" s="58" t="str">
        <f aca="false">IF((G160&lt;&gt;0),"Enter Letter"," ")</f>
        <v> </v>
      </c>
      <c r="G160" s="29"/>
      <c r="H160" s="6" t="str">
        <f aca="false">IF(G160&lt;&gt;0,G160*H$2/(100+H$2)," ")</f>
        <v> </v>
      </c>
      <c r="I160" s="6" t="str">
        <f aca="false">IF((G160&lt;&gt;0),G160-H160," ")</f>
        <v> </v>
      </c>
      <c r="J160" s="5"/>
      <c r="M160" s="7" t="str">
        <f aca="false">IF(G160&lt;&gt;0,G160-L160," ")</f>
        <v> </v>
      </c>
      <c r="N160" s="8" t="str">
        <f aca="false">IF((G160-L160)&lt;&gt;0,N$1-A160," ")</f>
        <v> </v>
      </c>
      <c r="O160" s="5"/>
      <c r="P160" s="19" t="str">
        <f aca="false">IF((F160="s"),I160," ")</f>
        <v> </v>
      </c>
      <c r="Q160" s="19" t="str">
        <f aca="false">IF((F160="c"),I160," ")</f>
        <v> </v>
      </c>
      <c r="R160" s="19" t="str">
        <f aca="false">IF((F160="o"),I160," ")</f>
        <v> </v>
      </c>
      <c r="S160" s="19" t="str">
        <f aca="false">IF((F160="w"),I160," ")</f>
        <v> </v>
      </c>
      <c r="T160" s="19" t="str">
        <f aca="false">IF((F160="p"),I160," ")</f>
        <v> </v>
      </c>
      <c r="U160" s="19" t="str">
        <f aca="false">IF((F160="m"),I160," ")</f>
        <v> </v>
      </c>
      <c r="V160" s="19" t="str">
        <f aca="false">IF((F160="g"),I160," ")</f>
        <v> </v>
      </c>
      <c r="W160" s="29" t="str">
        <f aca="false">IF((F160="v"),I160," ")</f>
        <v> </v>
      </c>
      <c r="X160" s="19" t="str">
        <f aca="false">IF((F160="h"),I160," ")</f>
        <v> </v>
      </c>
      <c r="Y160" s="19" t="str">
        <f aca="false">IF((F160="a"),I160," ")</f>
        <v> </v>
      </c>
      <c r="Z160" s="19" t="str">
        <f aca="false">IF((F160="l"),I160," ")</f>
        <v> </v>
      </c>
      <c r="AA160" s="19" t="str">
        <f aca="false">IF((F160="y"),I160," ")</f>
        <v> </v>
      </c>
      <c r="AB160" s="19" t="str">
        <f aca="false">IF((F160="fa"),I160," ")</f>
        <v> </v>
      </c>
    </row>
    <row r="161" customFormat="false" ht="12" hidden="false" customHeight="false" outlineLevel="0" collapsed="false">
      <c r="A161" s="27"/>
      <c r="F161" s="58" t="str">
        <f aca="false">IF((G161&lt;&gt;0),"Enter Letter"," ")</f>
        <v> </v>
      </c>
      <c r="G161" s="29"/>
      <c r="H161" s="6" t="str">
        <f aca="false">IF(G161&lt;&gt;0,G161*H$2/(100+H$2)," ")</f>
        <v> </v>
      </c>
      <c r="I161" s="6" t="str">
        <f aca="false">IF((G161&lt;&gt;0),G161-H161," ")</f>
        <v> </v>
      </c>
      <c r="J161" s="5"/>
      <c r="M161" s="7" t="str">
        <f aca="false">IF(G161&lt;&gt;0,G161-L161," ")</f>
        <v> </v>
      </c>
      <c r="N161" s="8" t="str">
        <f aca="false">IF((G161-L161)&lt;&gt;0,N$1-A161," ")</f>
        <v> </v>
      </c>
      <c r="O161" s="5"/>
      <c r="P161" s="19" t="str">
        <f aca="false">IF((F161="s"),I161," ")</f>
        <v> </v>
      </c>
      <c r="Q161" s="19" t="str">
        <f aca="false">IF((F161="c"),I161," ")</f>
        <v> </v>
      </c>
      <c r="R161" s="19" t="str">
        <f aca="false">IF((F161="o"),I161," ")</f>
        <v> </v>
      </c>
      <c r="S161" s="19" t="str">
        <f aca="false">IF((F161="w"),I161," ")</f>
        <v> </v>
      </c>
      <c r="T161" s="19" t="str">
        <f aca="false">IF((F161="p"),I161," ")</f>
        <v> </v>
      </c>
      <c r="U161" s="19" t="str">
        <f aca="false">IF((F161="m"),I161," ")</f>
        <v> </v>
      </c>
      <c r="V161" s="19" t="str">
        <f aca="false">IF((F161="g"),I161," ")</f>
        <v> </v>
      </c>
      <c r="W161" s="29" t="str">
        <f aca="false">IF((F161="v"),I161," ")</f>
        <v> </v>
      </c>
      <c r="X161" s="19" t="str">
        <f aca="false">IF((F161="h"),I161," ")</f>
        <v> </v>
      </c>
      <c r="Y161" s="19" t="str">
        <f aca="false">IF((F161="a"),I161," ")</f>
        <v> </v>
      </c>
      <c r="Z161" s="19" t="str">
        <f aca="false">IF((F161="l"),I161," ")</f>
        <v> </v>
      </c>
      <c r="AA161" s="19" t="str">
        <f aca="false">IF((F161="y"),I161," ")</f>
        <v> </v>
      </c>
      <c r="AB161" s="19" t="str">
        <f aca="false">IF((F161="fa"),I161," ")</f>
        <v> </v>
      </c>
    </row>
    <row r="162" customFormat="false" ht="12" hidden="false" customHeight="false" outlineLevel="0" collapsed="false">
      <c r="A162" s="27"/>
      <c r="F162" s="58" t="str">
        <f aca="false">IF((G162&lt;&gt;0),"Enter Letter"," ")</f>
        <v> </v>
      </c>
      <c r="G162" s="29"/>
      <c r="H162" s="6" t="str">
        <f aca="false">IF(G162&lt;&gt;0,G162*H$2/(100+H$2)," ")</f>
        <v> </v>
      </c>
      <c r="I162" s="6" t="str">
        <f aca="false">IF((G162&lt;&gt;0),G162-H162," ")</f>
        <v> </v>
      </c>
      <c r="J162" s="5"/>
      <c r="M162" s="7" t="str">
        <f aca="false">IF(G162&lt;&gt;0,G162-L162," ")</f>
        <v> </v>
      </c>
      <c r="N162" s="8" t="str">
        <f aca="false">IF((G162-L162)&lt;&gt;0,N$1-A162," ")</f>
        <v> </v>
      </c>
      <c r="O162" s="5"/>
      <c r="P162" s="19" t="str">
        <f aca="false">IF((F162="s"),I162," ")</f>
        <v> </v>
      </c>
      <c r="Q162" s="19" t="str">
        <f aca="false">IF((F162="c"),I162," ")</f>
        <v> </v>
      </c>
      <c r="R162" s="19" t="str">
        <f aca="false">IF((F162="o"),I162," ")</f>
        <v> </v>
      </c>
      <c r="S162" s="19" t="str">
        <f aca="false">IF((F162="w"),I162," ")</f>
        <v> </v>
      </c>
      <c r="T162" s="19" t="str">
        <f aca="false">IF((F162="p"),I162," ")</f>
        <v> </v>
      </c>
      <c r="U162" s="19" t="str">
        <f aca="false">IF((F162="m"),I162," ")</f>
        <v> </v>
      </c>
      <c r="V162" s="19" t="str">
        <f aca="false">IF((F162="g"),I162," ")</f>
        <v> </v>
      </c>
      <c r="W162" s="29" t="str">
        <f aca="false">IF((F162="v"),I162," ")</f>
        <v> </v>
      </c>
      <c r="X162" s="19" t="str">
        <f aca="false">IF((F162="h"),I162," ")</f>
        <v> </v>
      </c>
      <c r="Y162" s="19" t="str">
        <f aca="false">IF((F162="a"),I162," ")</f>
        <v> </v>
      </c>
      <c r="Z162" s="19" t="str">
        <f aca="false">IF((F162="l"),I162," ")</f>
        <v> </v>
      </c>
      <c r="AA162" s="19" t="str">
        <f aca="false">IF((F162="y"),I162," ")</f>
        <v> </v>
      </c>
      <c r="AB162" s="19" t="str">
        <f aca="false">IF((F162="fa"),I162," ")</f>
        <v> </v>
      </c>
    </row>
    <row r="163" customFormat="false" ht="12" hidden="false" customHeight="false" outlineLevel="0" collapsed="false">
      <c r="A163" s="27"/>
      <c r="F163" s="58" t="str">
        <f aca="false">IF((G163&lt;&gt;0),"Enter Letter"," ")</f>
        <v> </v>
      </c>
      <c r="G163" s="29"/>
      <c r="H163" s="6" t="str">
        <f aca="false">IF(G163&lt;&gt;0,G163*H$2/(100+H$2)," ")</f>
        <v> </v>
      </c>
      <c r="I163" s="6" t="str">
        <f aca="false">IF((G163&lt;&gt;0),G163-H163," ")</f>
        <v> </v>
      </c>
      <c r="J163" s="5"/>
      <c r="M163" s="7" t="str">
        <f aca="false">IF(G163&lt;&gt;0,G163-L163," ")</f>
        <v> </v>
      </c>
      <c r="N163" s="8" t="str">
        <f aca="false">IF((G163-L163)&lt;&gt;0,N$1-A163," ")</f>
        <v> </v>
      </c>
      <c r="O163" s="5"/>
      <c r="P163" s="19" t="str">
        <f aca="false">IF((F163="s"),I163," ")</f>
        <v> </v>
      </c>
      <c r="Q163" s="19" t="str">
        <f aca="false">IF((F163="c"),I163," ")</f>
        <v> </v>
      </c>
      <c r="R163" s="19" t="str">
        <f aca="false">IF((F163="o"),I163," ")</f>
        <v> </v>
      </c>
      <c r="S163" s="19" t="str">
        <f aca="false">IF((F163="w"),I163," ")</f>
        <v> </v>
      </c>
      <c r="T163" s="19" t="str">
        <f aca="false">IF((F163="p"),I163," ")</f>
        <v> </v>
      </c>
      <c r="U163" s="19" t="str">
        <f aca="false">IF((F163="m"),I163," ")</f>
        <v> </v>
      </c>
      <c r="V163" s="19" t="str">
        <f aca="false">IF((F163="g"),I163," ")</f>
        <v> </v>
      </c>
      <c r="W163" s="29" t="str">
        <f aca="false">IF((F163="v"),I163," ")</f>
        <v> </v>
      </c>
      <c r="X163" s="19" t="str">
        <f aca="false">IF((F163="h"),I163," ")</f>
        <v> </v>
      </c>
      <c r="Y163" s="19" t="str">
        <f aca="false">IF((F163="a"),I163," ")</f>
        <v> </v>
      </c>
      <c r="Z163" s="19" t="str">
        <f aca="false">IF((F163="l"),I163," ")</f>
        <v> </v>
      </c>
      <c r="AA163" s="19" t="str">
        <f aca="false">IF((F163="y"),I163," ")</f>
        <v> </v>
      </c>
      <c r="AB163" s="19" t="str">
        <f aca="false">IF((F163="fa"),I163," ")</f>
        <v> </v>
      </c>
    </row>
    <row r="164" customFormat="false" ht="12" hidden="false" customHeight="false" outlineLevel="0" collapsed="false">
      <c r="A164" s="27"/>
      <c r="F164" s="58" t="str">
        <f aca="false">IF((G164&lt;&gt;0),"Enter Letter"," ")</f>
        <v> </v>
      </c>
      <c r="G164" s="29"/>
      <c r="H164" s="6" t="str">
        <f aca="false">IF(G164&lt;&gt;0,G164*H$2/(100+H$2)," ")</f>
        <v> </v>
      </c>
      <c r="I164" s="6" t="str">
        <f aca="false">IF((G164&lt;&gt;0),G164-H164," ")</f>
        <v> </v>
      </c>
      <c r="J164" s="5"/>
      <c r="M164" s="7" t="str">
        <f aca="false">IF(G164&lt;&gt;0,G164-L164," ")</f>
        <v> </v>
      </c>
      <c r="N164" s="8" t="str">
        <f aca="false">IF((G164-L164)&lt;&gt;0,N$1-A164," ")</f>
        <v> </v>
      </c>
      <c r="O164" s="5"/>
      <c r="P164" s="19" t="str">
        <f aca="false">IF((F164="s"),I164," ")</f>
        <v> </v>
      </c>
      <c r="Q164" s="19" t="str">
        <f aca="false">IF((F164="c"),I164," ")</f>
        <v> </v>
      </c>
      <c r="R164" s="19" t="str">
        <f aca="false">IF((F164="o"),I164," ")</f>
        <v> </v>
      </c>
      <c r="S164" s="19" t="str">
        <f aca="false">IF((F164="w"),I164," ")</f>
        <v> </v>
      </c>
      <c r="T164" s="19" t="str">
        <f aca="false">IF((F164="p"),I164," ")</f>
        <v> </v>
      </c>
      <c r="U164" s="19" t="str">
        <f aca="false">IF((F164="m"),I164," ")</f>
        <v> </v>
      </c>
      <c r="V164" s="19" t="str">
        <f aca="false">IF((F164="g"),I164," ")</f>
        <v> </v>
      </c>
      <c r="W164" s="29" t="str">
        <f aca="false">IF((F164="v"),I164," ")</f>
        <v> </v>
      </c>
      <c r="X164" s="19" t="str">
        <f aca="false">IF((F164="h"),I164," ")</f>
        <v> </v>
      </c>
      <c r="Y164" s="19" t="str">
        <f aca="false">IF((F164="a"),I164," ")</f>
        <v> </v>
      </c>
      <c r="Z164" s="19" t="str">
        <f aca="false">IF((F164="l"),I164," ")</f>
        <v> </v>
      </c>
      <c r="AA164" s="19" t="str">
        <f aca="false">IF((F164="y"),I164," ")</f>
        <v> </v>
      </c>
      <c r="AB164" s="19" t="str">
        <f aca="false">IF((F164="fa"),I164," ")</f>
        <v> </v>
      </c>
    </row>
    <row r="165" customFormat="false" ht="12" hidden="false" customHeight="false" outlineLevel="0" collapsed="false">
      <c r="A165" s="27"/>
      <c r="F165" s="58" t="str">
        <f aca="false">IF((G165&lt;&gt;0),"Enter Letter"," ")</f>
        <v> </v>
      </c>
      <c r="G165" s="29"/>
      <c r="H165" s="6" t="str">
        <f aca="false">IF(G165&lt;&gt;0,G165*H$2/(100+H$2)," ")</f>
        <v> </v>
      </c>
      <c r="I165" s="6" t="str">
        <f aca="false">IF((G165&lt;&gt;0),G165-H165," ")</f>
        <v> </v>
      </c>
      <c r="J165" s="5"/>
      <c r="M165" s="7" t="str">
        <f aca="false">IF(G165&lt;&gt;0,G165-L165," ")</f>
        <v> </v>
      </c>
      <c r="N165" s="8" t="str">
        <f aca="false">IF((G165-L165)&lt;&gt;0,N$1-A165," ")</f>
        <v> </v>
      </c>
      <c r="O165" s="5"/>
      <c r="P165" s="19" t="str">
        <f aca="false">IF((F165="s"),I165," ")</f>
        <v> </v>
      </c>
      <c r="Q165" s="19" t="str">
        <f aca="false">IF((F165="c"),I165," ")</f>
        <v> </v>
      </c>
      <c r="R165" s="19" t="str">
        <f aca="false">IF((F165="o"),I165," ")</f>
        <v> </v>
      </c>
      <c r="S165" s="19" t="str">
        <f aca="false">IF((F165="w"),I165," ")</f>
        <v> </v>
      </c>
      <c r="T165" s="19" t="str">
        <f aca="false">IF((F165="p"),I165," ")</f>
        <v> </v>
      </c>
      <c r="U165" s="19" t="str">
        <f aca="false">IF((F165="m"),I165," ")</f>
        <v> </v>
      </c>
      <c r="V165" s="19" t="str">
        <f aca="false">IF((F165="g"),I165," ")</f>
        <v> </v>
      </c>
      <c r="W165" s="29" t="str">
        <f aca="false">IF((F165="v"),I165," ")</f>
        <v> </v>
      </c>
      <c r="X165" s="19" t="str">
        <f aca="false">IF((F165="h"),I165," ")</f>
        <v> </v>
      </c>
      <c r="Y165" s="19" t="str">
        <f aca="false">IF((F165="a"),I165," ")</f>
        <v> </v>
      </c>
      <c r="Z165" s="19" t="str">
        <f aca="false">IF((F165="l"),I165," ")</f>
        <v> </v>
      </c>
      <c r="AA165" s="19" t="str">
        <f aca="false">IF((F165="y"),I165," ")</f>
        <v> </v>
      </c>
      <c r="AB165" s="19" t="str">
        <f aca="false">IF((F165="fa"),I165," ")</f>
        <v> </v>
      </c>
    </row>
    <row r="166" customFormat="false" ht="12" hidden="false" customHeight="false" outlineLevel="0" collapsed="false">
      <c r="A166" s="27"/>
      <c r="F166" s="58" t="str">
        <f aca="false">IF((G166&lt;&gt;0),"Enter Letter"," ")</f>
        <v> </v>
      </c>
      <c r="G166" s="29"/>
      <c r="H166" s="6" t="str">
        <f aca="false">IF(G166&lt;&gt;0,G166*H$2/(100+H$2)," ")</f>
        <v> </v>
      </c>
      <c r="I166" s="6" t="str">
        <f aca="false">IF((G166&lt;&gt;0),G166-H166," ")</f>
        <v> </v>
      </c>
      <c r="J166" s="5"/>
      <c r="M166" s="7" t="str">
        <f aca="false">IF(G166&lt;&gt;0,G166-L166," ")</f>
        <v> </v>
      </c>
      <c r="N166" s="8" t="str">
        <f aca="false">IF((G166-L166)&lt;&gt;0,N$1-A166," ")</f>
        <v> </v>
      </c>
      <c r="O166" s="5"/>
      <c r="P166" s="19" t="str">
        <f aca="false">IF((F166="s"),I166," ")</f>
        <v> </v>
      </c>
      <c r="Q166" s="19" t="str">
        <f aca="false">IF((F166="c"),I166," ")</f>
        <v> </v>
      </c>
      <c r="R166" s="19" t="str">
        <f aca="false">IF((F166="o"),I166," ")</f>
        <v> </v>
      </c>
      <c r="S166" s="19" t="str">
        <f aca="false">IF((F166="w"),I166," ")</f>
        <v> </v>
      </c>
      <c r="T166" s="19" t="str">
        <f aca="false">IF((F166="p"),I166," ")</f>
        <v> </v>
      </c>
      <c r="U166" s="19" t="str">
        <f aca="false">IF((F166="m"),I166," ")</f>
        <v> </v>
      </c>
      <c r="V166" s="19" t="str">
        <f aca="false">IF((F166="g"),I166," ")</f>
        <v> </v>
      </c>
      <c r="W166" s="29" t="str">
        <f aca="false">IF((F166="v"),I166," ")</f>
        <v> </v>
      </c>
      <c r="X166" s="19" t="str">
        <f aca="false">IF((F166="h"),I166," ")</f>
        <v> </v>
      </c>
      <c r="Y166" s="19" t="str">
        <f aca="false">IF((F166="a"),I166," ")</f>
        <v> </v>
      </c>
      <c r="Z166" s="19" t="str">
        <f aca="false">IF((F166="l"),I166," ")</f>
        <v> </v>
      </c>
      <c r="AA166" s="19" t="str">
        <f aca="false">IF((F166="y"),I166," ")</f>
        <v> </v>
      </c>
      <c r="AB166" s="19" t="str">
        <f aca="false">IF((F166="fa"),I166," ")</f>
        <v> </v>
      </c>
    </row>
    <row r="167" customFormat="false" ht="12" hidden="false" customHeight="false" outlineLevel="0" collapsed="false">
      <c r="A167" s="27"/>
      <c r="F167" s="58" t="str">
        <f aca="false">IF((G167&lt;&gt;0),"Enter Letter"," ")</f>
        <v> </v>
      </c>
      <c r="G167" s="29"/>
      <c r="H167" s="6" t="str">
        <f aca="false">IF(G167&lt;&gt;0,G167*H$2/(100+H$2)," ")</f>
        <v> </v>
      </c>
      <c r="I167" s="6" t="str">
        <f aca="false">IF((G167&lt;&gt;0),G167-H167," ")</f>
        <v> </v>
      </c>
      <c r="J167" s="5"/>
      <c r="M167" s="7" t="str">
        <f aca="false">IF(G167&lt;&gt;0,G167-L167," ")</f>
        <v> </v>
      </c>
      <c r="N167" s="8" t="str">
        <f aca="false">IF((G167-L167)&lt;&gt;0,N$1-A167," ")</f>
        <v> </v>
      </c>
      <c r="O167" s="5"/>
      <c r="P167" s="19" t="str">
        <f aca="false">IF((F167="s"),I167," ")</f>
        <v> </v>
      </c>
      <c r="Q167" s="19" t="str">
        <f aca="false">IF((F167="c"),I167," ")</f>
        <v> </v>
      </c>
      <c r="R167" s="19" t="str">
        <f aca="false">IF((F167="o"),I167," ")</f>
        <v> </v>
      </c>
      <c r="S167" s="19" t="str">
        <f aca="false">IF((F167="w"),I167," ")</f>
        <v> </v>
      </c>
      <c r="T167" s="19" t="str">
        <f aca="false">IF((F167="p"),I167," ")</f>
        <v> </v>
      </c>
      <c r="U167" s="19" t="str">
        <f aca="false">IF((F167="m"),I167," ")</f>
        <v> </v>
      </c>
      <c r="V167" s="19" t="str">
        <f aca="false">IF((F167="g"),I167," ")</f>
        <v> </v>
      </c>
      <c r="W167" s="29" t="str">
        <f aca="false">IF((F167="v"),I167," ")</f>
        <v> </v>
      </c>
      <c r="X167" s="19" t="str">
        <f aca="false">IF((F167="h"),I167," ")</f>
        <v> </v>
      </c>
      <c r="Y167" s="19" t="str">
        <f aca="false">IF((F167="a"),I167," ")</f>
        <v> </v>
      </c>
      <c r="Z167" s="19" t="str">
        <f aca="false">IF((F167="l"),I167," ")</f>
        <v> </v>
      </c>
      <c r="AA167" s="19" t="str">
        <f aca="false">IF((F167="y"),I167," ")</f>
        <v> </v>
      </c>
      <c r="AB167" s="19" t="str">
        <f aca="false">IF((F167="fa"),I167," ")</f>
        <v> </v>
      </c>
    </row>
    <row r="168" customFormat="false" ht="12" hidden="false" customHeight="false" outlineLevel="0" collapsed="false">
      <c r="A168" s="27"/>
      <c r="F168" s="58" t="str">
        <f aca="false">IF((G168&lt;&gt;0),"Enter Letter"," ")</f>
        <v> </v>
      </c>
      <c r="G168" s="29"/>
      <c r="H168" s="6" t="str">
        <f aca="false">IF(G168&lt;&gt;0,G168*H$2/(100+H$2)," ")</f>
        <v> </v>
      </c>
      <c r="I168" s="6" t="str">
        <f aca="false">IF((G168&lt;&gt;0),G168-H168," ")</f>
        <v> </v>
      </c>
      <c r="J168" s="5"/>
      <c r="M168" s="7" t="str">
        <f aca="false">IF(G168&lt;&gt;0,G168-L168," ")</f>
        <v> </v>
      </c>
      <c r="N168" s="8" t="str">
        <f aca="false">IF((G168-L168)&lt;&gt;0,N$1-A168," ")</f>
        <v> </v>
      </c>
      <c r="O168" s="5"/>
      <c r="P168" s="19" t="str">
        <f aca="false">IF((F168="s"),I168," ")</f>
        <v> </v>
      </c>
      <c r="Q168" s="19" t="str">
        <f aca="false">IF((F168="c"),I168," ")</f>
        <v> </v>
      </c>
      <c r="R168" s="19" t="str">
        <f aca="false">IF((F168="o"),I168," ")</f>
        <v> </v>
      </c>
      <c r="S168" s="19" t="str">
        <f aca="false">IF((F168="w"),I168," ")</f>
        <v> </v>
      </c>
      <c r="T168" s="19" t="str">
        <f aca="false">IF((F168="p"),I168," ")</f>
        <v> </v>
      </c>
      <c r="U168" s="19" t="str">
        <f aca="false">IF((F168="m"),I168," ")</f>
        <v> </v>
      </c>
      <c r="V168" s="19" t="str">
        <f aca="false">IF((F168="g"),I168," ")</f>
        <v> </v>
      </c>
      <c r="W168" s="29" t="str">
        <f aca="false">IF((F168="v"),I168," ")</f>
        <v> </v>
      </c>
      <c r="X168" s="19" t="str">
        <f aca="false">IF((F168="h"),I168," ")</f>
        <v> </v>
      </c>
      <c r="Y168" s="19" t="str">
        <f aca="false">IF((F168="a"),I168," ")</f>
        <v> </v>
      </c>
      <c r="Z168" s="19" t="str">
        <f aca="false">IF((F168="l"),I168," ")</f>
        <v> </v>
      </c>
      <c r="AA168" s="19" t="str">
        <f aca="false">IF((F168="y"),I168," ")</f>
        <v> </v>
      </c>
      <c r="AB168" s="19" t="str">
        <f aca="false">IF((F168="fa"),I168," ")</f>
        <v> </v>
      </c>
    </row>
    <row r="169" customFormat="false" ht="12" hidden="false" customHeight="false" outlineLevel="0" collapsed="false">
      <c r="A169" s="27"/>
      <c r="F169" s="58" t="str">
        <f aca="false">IF((G169&lt;&gt;0),"Enter Letter"," ")</f>
        <v> </v>
      </c>
      <c r="G169" s="29"/>
      <c r="H169" s="6" t="str">
        <f aca="false">IF(G169&lt;&gt;0,G169*H$2/(100+H$2)," ")</f>
        <v> </v>
      </c>
      <c r="I169" s="6" t="str">
        <f aca="false">IF((G169&lt;&gt;0),G169-H169," ")</f>
        <v> </v>
      </c>
      <c r="J169" s="5"/>
      <c r="M169" s="7" t="str">
        <f aca="false">IF(G169&lt;&gt;0,G169-L169," ")</f>
        <v> </v>
      </c>
      <c r="N169" s="8" t="str">
        <f aca="false">IF((G169-L169)&lt;&gt;0,N$1-A169," ")</f>
        <v> </v>
      </c>
      <c r="O169" s="5"/>
      <c r="P169" s="19" t="str">
        <f aca="false">IF((F169="s"),I169," ")</f>
        <v> </v>
      </c>
      <c r="Q169" s="19" t="str">
        <f aca="false">IF((F169="c"),I169," ")</f>
        <v> </v>
      </c>
      <c r="R169" s="19" t="str">
        <f aca="false">IF((F169="o"),I169," ")</f>
        <v> </v>
      </c>
      <c r="S169" s="19" t="str">
        <f aca="false">IF((F169="w"),I169," ")</f>
        <v> </v>
      </c>
      <c r="T169" s="19" t="str">
        <f aca="false">IF((F169="p"),I169," ")</f>
        <v> </v>
      </c>
      <c r="U169" s="19" t="str">
        <f aca="false">IF((F169="m"),I169," ")</f>
        <v> </v>
      </c>
      <c r="V169" s="19" t="str">
        <f aca="false">IF((F169="g"),I169," ")</f>
        <v> </v>
      </c>
      <c r="W169" s="29" t="str">
        <f aca="false">IF((F169="v"),I169," ")</f>
        <v> </v>
      </c>
      <c r="X169" s="19" t="str">
        <f aca="false">IF((F169="h"),I169," ")</f>
        <v> </v>
      </c>
      <c r="Y169" s="19" t="str">
        <f aca="false">IF((F169="a"),I169," ")</f>
        <v> </v>
      </c>
      <c r="Z169" s="19" t="str">
        <f aca="false">IF((F169="l"),I169," ")</f>
        <v> </v>
      </c>
      <c r="AA169" s="19" t="str">
        <f aca="false">IF((F169="y"),I169," ")</f>
        <v> </v>
      </c>
      <c r="AB169" s="19" t="str">
        <f aca="false">IF((F169="fa"),I169," ")</f>
        <v> </v>
      </c>
    </row>
    <row r="170" customFormat="false" ht="12" hidden="false" customHeight="false" outlineLevel="0" collapsed="false">
      <c r="A170" s="27"/>
      <c r="F170" s="58" t="str">
        <f aca="false">IF((G170&lt;&gt;0),"Enter Letter"," ")</f>
        <v> </v>
      </c>
      <c r="G170" s="29"/>
      <c r="H170" s="6" t="str">
        <f aca="false">IF(G170&lt;&gt;0,G170*H$2/(100+H$2)," ")</f>
        <v> </v>
      </c>
      <c r="I170" s="6" t="str">
        <f aca="false">IF((G170&lt;&gt;0),G170-H170," ")</f>
        <v> </v>
      </c>
      <c r="J170" s="5"/>
      <c r="M170" s="7" t="str">
        <f aca="false">IF(G170&lt;&gt;0,G170-L170," ")</f>
        <v> </v>
      </c>
      <c r="N170" s="8" t="str">
        <f aca="false">IF((G170-L170)&lt;&gt;0,N$1-A170," ")</f>
        <v> </v>
      </c>
      <c r="O170" s="5"/>
      <c r="P170" s="19" t="str">
        <f aca="false">IF((F170="s"),I170," ")</f>
        <v> </v>
      </c>
      <c r="Q170" s="19" t="str">
        <f aca="false">IF((F170="c"),I170," ")</f>
        <v> </v>
      </c>
      <c r="R170" s="19" t="str">
        <f aca="false">IF((F170="o"),I170," ")</f>
        <v> </v>
      </c>
      <c r="S170" s="19" t="str">
        <f aca="false">IF((F170="w"),I170," ")</f>
        <v> </v>
      </c>
      <c r="T170" s="19" t="str">
        <f aca="false">IF((F170="p"),I170," ")</f>
        <v> </v>
      </c>
      <c r="U170" s="19" t="str">
        <f aca="false">IF((F170="m"),I170," ")</f>
        <v> </v>
      </c>
      <c r="V170" s="19" t="str">
        <f aca="false">IF((F170="g"),I170," ")</f>
        <v> </v>
      </c>
      <c r="W170" s="29" t="str">
        <f aca="false">IF((F170="v"),I170," ")</f>
        <v> </v>
      </c>
      <c r="X170" s="19" t="str">
        <f aca="false">IF((F170="h"),I170," ")</f>
        <v> </v>
      </c>
      <c r="Y170" s="19" t="str">
        <f aca="false">IF((F170="a"),I170," ")</f>
        <v> </v>
      </c>
      <c r="Z170" s="19" t="str">
        <f aca="false">IF((F170="l"),I170," ")</f>
        <v> </v>
      </c>
      <c r="AA170" s="19" t="str">
        <f aca="false">IF((F170="y"),I170," ")</f>
        <v> </v>
      </c>
      <c r="AB170" s="19" t="str">
        <f aca="false">IF((F170="fa"),I170," ")</f>
        <v> </v>
      </c>
    </row>
    <row r="171" customFormat="false" ht="12" hidden="false" customHeight="false" outlineLevel="0" collapsed="false">
      <c r="A171" s="27"/>
      <c r="F171" s="58" t="str">
        <f aca="false">IF((G171&lt;&gt;0),"Enter Letter"," ")</f>
        <v> </v>
      </c>
      <c r="G171" s="29"/>
      <c r="H171" s="6" t="str">
        <f aca="false">IF(G171&lt;&gt;0,G171*H$2/(100+H$2)," ")</f>
        <v> </v>
      </c>
      <c r="I171" s="6" t="str">
        <f aca="false">IF((G171&lt;&gt;0),G171-H171," ")</f>
        <v> </v>
      </c>
      <c r="J171" s="5"/>
      <c r="M171" s="7" t="str">
        <f aca="false">IF(G171&lt;&gt;0,G171-L171," ")</f>
        <v> </v>
      </c>
      <c r="N171" s="8" t="str">
        <f aca="false">IF((G171-L171)&lt;&gt;0,N$1-A171," ")</f>
        <v> </v>
      </c>
      <c r="O171" s="5"/>
      <c r="P171" s="19" t="str">
        <f aca="false">IF((F171="s"),I171," ")</f>
        <v> </v>
      </c>
      <c r="Q171" s="19" t="str">
        <f aca="false">IF((F171="c"),I171," ")</f>
        <v> </v>
      </c>
      <c r="R171" s="19" t="str">
        <f aca="false">IF((F171="o"),I171," ")</f>
        <v> </v>
      </c>
      <c r="S171" s="19" t="str">
        <f aca="false">IF((F171="w"),I171," ")</f>
        <v> </v>
      </c>
      <c r="T171" s="19" t="str">
        <f aca="false">IF((F171="p"),I171," ")</f>
        <v> </v>
      </c>
      <c r="U171" s="19" t="str">
        <f aca="false">IF((F171="m"),I171," ")</f>
        <v> </v>
      </c>
      <c r="V171" s="19" t="str">
        <f aca="false">IF((F171="g"),I171," ")</f>
        <v> </v>
      </c>
      <c r="W171" s="29" t="str">
        <f aca="false">IF((F171="v"),I171," ")</f>
        <v> </v>
      </c>
      <c r="X171" s="19" t="str">
        <f aca="false">IF((F171="h"),I171," ")</f>
        <v> </v>
      </c>
      <c r="Y171" s="19" t="str">
        <f aca="false">IF((F171="a"),I171," ")</f>
        <v> </v>
      </c>
      <c r="Z171" s="19" t="str">
        <f aca="false">IF((F171="l"),I171," ")</f>
        <v> </v>
      </c>
      <c r="AA171" s="19" t="str">
        <f aca="false">IF((F171="y"),I171," ")</f>
        <v> </v>
      </c>
      <c r="AB171" s="19" t="str">
        <f aca="false">IF((F171="fa"),I171," ")</f>
        <v> </v>
      </c>
    </row>
    <row r="172" customFormat="false" ht="12" hidden="false" customHeight="false" outlineLevel="0" collapsed="false">
      <c r="A172" s="27"/>
      <c r="F172" s="58" t="str">
        <f aca="false">IF((G172&lt;&gt;0),"Enter Letter"," ")</f>
        <v> </v>
      </c>
      <c r="G172" s="29"/>
      <c r="H172" s="6" t="str">
        <f aca="false">IF(G172&lt;&gt;0,G172*H$2/(100+H$2)," ")</f>
        <v> </v>
      </c>
      <c r="I172" s="6" t="str">
        <f aca="false">IF((G172&lt;&gt;0),G172-H172," ")</f>
        <v> </v>
      </c>
      <c r="J172" s="5"/>
      <c r="M172" s="7" t="str">
        <f aca="false">IF(G172&lt;&gt;0,G172-L172," ")</f>
        <v> </v>
      </c>
      <c r="N172" s="8" t="str">
        <f aca="false">IF((G172-L172)&lt;&gt;0,N$1-A172," ")</f>
        <v> </v>
      </c>
      <c r="O172" s="5"/>
      <c r="P172" s="19" t="str">
        <f aca="false">IF((F172="s"),I172," ")</f>
        <v> </v>
      </c>
      <c r="Q172" s="19" t="str">
        <f aca="false">IF((F172="c"),I172," ")</f>
        <v> </v>
      </c>
      <c r="R172" s="19" t="str">
        <f aca="false">IF((F172="o"),I172," ")</f>
        <v> </v>
      </c>
      <c r="S172" s="19" t="str">
        <f aca="false">IF((F172="w"),I172," ")</f>
        <v> </v>
      </c>
      <c r="T172" s="19" t="str">
        <f aca="false">IF((F172="p"),I172," ")</f>
        <v> </v>
      </c>
      <c r="U172" s="19" t="str">
        <f aca="false">IF((F172="m"),I172," ")</f>
        <v> </v>
      </c>
      <c r="V172" s="19" t="str">
        <f aca="false">IF((F172="g"),I172," ")</f>
        <v> </v>
      </c>
      <c r="W172" s="29" t="str">
        <f aca="false">IF((F172="v"),I172," ")</f>
        <v> </v>
      </c>
      <c r="X172" s="19" t="str">
        <f aca="false">IF((F172="h"),I172," ")</f>
        <v> </v>
      </c>
      <c r="Y172" s="19" t="str">
        <f aca="false">IF((F172="a"),I172," ")</f>
        <v> </v>
      </c>
      <c r="Z172" s="19" t="str">
        <f aca="false">IF((F172="l"),I172," ")</f>
        <v> </v>
      </c>
      <c r="AA172" s="19" t="str">
        <f aca="false">IF((F172="y"),I172," ")</f>
        <v> </v>
      </c>
      <c r="AB172" s="19" t="str">
        <f aca="false">IF((F172="fa"),I172," ")</f>
        <v> </v>
      </c>
    </row>
    <row r="173" customFormat="false" ht="12" hidden="false" customHeight="false" outlineLevel="0" collapsed="false">
      <c r="A173" s="27"/>
      <c r="F173" s="58" t="str">
        <f aca="false">IF((G173&lt;&gt;0),"Enter Letter"," ")</f>
        <v> </v>
      </c>
      <c r="G173" s="29"/>
      <c r="H173" s="6" t="str">
        <f aca="false">IF(G173&lt;&gt;0,G173*H$2/(100+H$2)," ")</f>
        <v> </v>
      </c>
      <c r="I173" s="6" t="str">
        <f aca="false">IF((G173&lt;&gt;0),G173-H173," ")</f>
        <v> </v>
      </c>
      <c r="J173" s="5"/>
      <c r="M173" s="7" t="str">
        <f aca="false">IF(G173&lt;&gt;0,G173-L173," ")</f>
        <v> </v>
      </c>
      <c r="N173" s="8" t="str">
        <f aca="false">IF((G173-L173)&lt;&gt;0,N$1-A173," ")</f>
        <v> </v>
      </c>
      <c r="O173" s="5"/>
      <c r="P173" s="19" t="str">
        <f aca="false">IF((F173="s"),I173," ")</f>
        <v> </v>
      </c>
      <c r="Q173" s="19" t="str">
        <f aca="false">IF((F173="c"),I173," ")</f>
        <v> </v>
      </c>
      <c r="R173" s="19" t="str">
        <f aca="false">IF((F173="o"),I173," ")</f>
        <v> </v>
      </c>
      <c r="S173" s="19" t="str">
        <f aca="false">IF((F173="w"),I173," ")</f>
        <v> </v>
      </c>
      <c r="T173" s="19" t="str">
        <f aca="false">IF((F173="p"),I173," ")</f>
        <v> </v>
      </c>
      <c r="U173" s="19" t="str">
        <f aca="false">IF((F173="m"),I173," ")</f>
        <v> </v>
      </c>
      <c r="V173" s="19" t="str">
        <f aca="false">IF((F173="g"),I173," ")</f>
        <v> </v>
      </c>
      <c r="W173" s="29" t="str">
        <f aca="false">IF((F173="v"),I173," ")</f>
        <v> </v>
      </c>
      <c r="X173" s="19" t="str">
        <f aca="false">IF((F173="h"),I173," ")</f>
        <v> </v>
      </c>
      <c r="Y173" s="19" t="str">
        <f aca="false">IF((F173="a"),I173," ")</f>
        <v> </v>
      </c>
      <c r="Z173" s="19" t="str">
        <f aca="false">IF((F173="l"),I173," ")</f>
        <v> </v>
      </c>
      <c r="AA173" s="19" t="str">
        <f aca="false">IF((F173="y"),I173," ")</f>
        <v> </v>
      </c>
      <c r="AB173" s="19" t="str">
        <f aca="false">IF((F173="fa"),I173," ")</f>
        <v> </v>
      </c>
    </row>
    <row r="174" customFormat="false" ht="12" hidden="false" customHeight="false" outlineLevel="0" collapsed="false">
      <c r="A174" s="27"/>
      <c r="F174" s="58" t="str">
        <f aca="false">IF((G174&lt;&gt;0),"Enter Letter"," ")</f>
        <v> </v>
      </c>
      <c r="G174" s="29"/>
      <c r="H174" s="6" t="str">
        <f aca="false">IF(G174&lt;&gt;0,G174*H$2/(100+H$2)," ")</f>
        <v> </v>
      </c>
      <c r="I174" s="6" t="str">
        <f aca="false">IF((G174&lt;&gt;0),G174-H174," ")</f>
        <v> </v>
      </c>
      <c r="J174" s="5"/>
      <c r="M174" s="7" t="str">
        <f aca="false">IF(G174&lt;&gt;0,G174-L174," ")</f>
        <v> </v>
      </c>
      <c r="N174" s="8" t="str">
        <f aca="false">IF((G174-L174)&lt;&gt;0,N$1-A174," ")</f>
        <v> </v>
      </c>
      <c r="O174" s="5"/>
      <c r="P174" s="19" t="str">
        <f aca="false">IF((F174="s"),I174," ")</f>
        <v> </v>
      </c>
      <c r="Q174" s="19" t="str">
        <f aca="false">IF((F174="c"),I174," ")</f>
        <v> </v>
      </c>
      <c r="R174" s="19" t="str">
        <f aca="false">IF((F174="o"),I174," ")</f>
        <v> </v>
      </c>
      <c r="S174" s="19" t="str">
        <f aca="false">IF((F174="w"),I174," ")</f>
        <v> </v>
      </c>
      <c r="T174" s="19" t="str">
        <f aca="false">IF((F174="p"),I174," ")</f>
        <v> </v>
      </c>
      <c r="U174" s="19" t="str">
        <f aca="false">IF((F174="m"),I174," ")</f>
        <v> </v>
      </c>
      <c r="V174" s="19" t="str">
        <f aca="false">IF((F174="g"),I174," ")</f>
        <v> </v>
      </c>
      <c r="W174" s="29" t="str">
        <f aca="false">IF((F174="v"),I174," ")</f>
        <v> </v>
      </c>
      <c r="X174" s="19" t="str">
        <f aca="false">IF((F174="h"),I174," ")</f>
        <v> </v>
      </c>
      <c r="Y174" s="19" t="str">
        <f aca="false">IF((F174="a"),I174," ")</f>
        <v> </v>
      </c>
      <c r="Z174" s="19" t="str">
        <f aca="false">IF((F174="l"),I174," ")</f>
        <v> </v>
      </c>
      <c r="AA174" s="19" t="str">
        <f aca="false">IF((F174="y"),I174," ")</f>
        <v> </v>
      </c>
      <c r="AB174" s="19" t="str">
        <f aca="false">IF((F174="fa"),I174," ")</f>
        <v> </v>
      </c>
    </row>
    <row r="175" customFormat="false" ht="12" hidden="false" customHeight="false" outlineLevel="0" collapsed="false">
      <c r="A175" s="27"/>
      <c r="F175" s="58" t="str">
        <f aca="false">IF((G175&lt;&gt;0),"Enter Letter"," ")</f>
        <v> </v>
      </c>
      <c r="G175" s="29"/>
      <c r="H175" s="6" t="str">
        <f aca="false">IF(G175&lt;&gt;0,G175*H$2/(100+H$2)," ")</f>
        <v> </v>
      </c>
      <c r="I175" s="6" t="str">
        <f aca="false">IF((G175&lt;&gt;0),G175-H175," ")</f>
        <v> </v>
      </c>
      <c r="J175" s="5"/>
      <c r="M175" s="7" t="str">
        <f aca="false">IF(G175&lt;&gt;0,G175-L175," ")</f>
        <v> </v>
      </c>
      <c r="N175" s="8" t="str">
        <f aca="false">IF((G175-L175)&lt;&gt;0,N$1-A175," ")</f>
        <v> </v>
      </c>
      <c r="O175" s="5"/>
      <c r="P175" s="19" t="str">
        <f aca="false">IF((F175="s"),I175," ")</f>
        <v> </v>
      </c>
      <c r="Q175" s="19" t="str">
        <f aca="false">IF((F175="c"),I175," ")</f>
        <v> </v>
      </c>
      <c r="R175" s="19" t="str">
        <f aca="false">IF((F175="o"),I175," ")</f>
        <v> </v>
      </c>
      <c r="S175" s="19" t="str">
        <f aca="false">IF((F175="w"),I175," ")</f>
        <v> </v>
      </c>
      <c r="T175" s="19" t="str">
        <f aca="false">IF((F175="p"),I175," ")</f>
        <v> </v>
      </c>
      <c r="U175" s="19" t="str">
        <f aca="false">IF((F175="m"),I175," ")</f>
        <v> </v>
      </c>
      <c r="V175" s="19" t="str">
        <f aca="false">IF((F175="g"),I175," ")</f>
        <v> </v>
      </c>
      <c r="W175" s="29" t="str">
        <f aca="false">IF((F175="v"),I175," ")</f>
        <v> </v>
      </c>
      <c r="X175" s="19" t="str">
        <f aca="false">IF((F175="h"),I175," ")</f>
        <v> </v>
      </c>
      <c r="Y175" s="19" t="str">
        <f aca="false">IF((F175="a"),I175," ")</f>
        <v> </v>
      </c>
      <c r="Z175" s="19" t="str">
        <f aca="false">IF((F175="l"),I175," ")</f>
        <v> </v>
      </c>
      <c r="AA175" s="19" t="str">
        <f aca="false">IF((F175="y"),I175," ")</f>
        <v> </v>
      </c>
      <c r="AB175" s="19" t="str">
        <f aca="false">IF((F175="fa"),I175," ")</f>
        <v> </v>
      </c>
    </row>
    <row r="176" customFormat="false" ht="12" hidden="false" customHeight="false" outlineLevel="0" collapsed="false">
      <c r="A176" s="27"/>
      <c r="F176" s="58" t="str">
        <f aca="false">IF((G176&lt;&gt;0),"Enter Letter"," ")</f>
        <v> </v>
      </c>
      <c r="G176" s="29"/>
      <c r="H176" s="6" t="str">
        <f aca="false">IF(G176&lt;&gt;0,G176*H$2/(100+H$2)," ")</f>
        <v> </v>
      </c>
      <c r="I176" s="6" t="str">
        <f aca="false">IF((G176&lt;&gt;0),G176-H176," ")</f>
        <v> </v>
      </c>
      <c r="J176" s="5"/>
      <c r="M176" s="7" t="str">
        <f aca="false">IF(G176&lt;&gt;0,G176-L176," ")</f>
        <v> </v>
      </c>
      <c r="N176" s="8" t="str">
        <f aca="false">IF((G176-L176)&lt;&gt;0,N$1-A176," ")</f>
        <v> </v>
      </c>
      <c r="O176" s="5"/>
      <c r="P176" s="19" t="str">
        <f aca="false">IF((F176="s"),I176," ")</f>
        <v> </v>
      </c>
      <c r="Q176" s="19" t="str">
        <f aca="false">IF((F176="c"),I176," ")</f>
        <v> </v>
      </c>
      <c r="R176" s="19" t="str">
        <f aca="false">IF((F176="o"),I176," ")</f>
        <v> </v>
      </c>
      <c r="S176" s="19" t="str">
        <f aca="false">IF((F176="w"),I176," ")</f>
        <v> </v>
      </c>
      <c r="T176" s="19" t="str">
        <f aca="false">IF((F176="p"),I176," ")</f>
        <v> </v>
      </c>
      <c r="U176" s="19" t="str">
        <f aca="false">IF((F176="m"),I176," ")</f>
        <v> </v>
      </c>
      <c r="V176" s="19" t="str">
        <f aca="false">IF((F176="g"),I176," ")</f>
        <v> </v>
      </c>
      <c r="W176" s="29" t="str">
        <f aca="false">IF((F176="v"),I176," ")</f>
        <v> </v>
      </c>
      <c r="X176" s="19" t="str">
        <f aca="false">IF((F176="h"),I176," ")</f>
        <v> </v>
      </c>
      <c r="Y176" s="19" t="str">
        <f aca="false">IF((F176="a"),I176," ")</f>
        <v> </v>
      </c>
      <c r="Z176" s="19" t="str">
        <f aca="false">IF((F176="l"),I176," ")</f>
        <v> </v>
      </c>
      <c r="AA176" s="19" t="str">
        <f aca="false">IF((F176="y"),I176," ")</f>
        <v> </v>
      </c>
      <c r="AB176" s="19" t="str">
        <f aca="false">IF((F176="fa"),I176," ")</f>
        <v> </v>
      </c>
    </row>
    <row r="177" customFormat="false" ht="12" hidden="false" customHeight="false" outlineLevel="0" collapsed="false">
      <c r="A177" s="27"/>
      <c r="F177" s="58" t="str">
        <f aca="false">IF((G177&lt;&gt;0),"Enter Letter"," ")</f>
        <v> </v>
      </c>
      <c r="G177" s="29"/>
      <c r="H177" s="6" t="str">
        <f aca="false">IF(G177&lt;&gt;0,G177*H$2/(100+H$2)," ")</f>
        <v> </v>
      </c>
      <c r="I177" s="6" t="str">
        <f aca="false">IF((G177&lt;&gt;0),G177-H177," ")</f>
        <v> </v>
      </c>
      <c r="J177" s="5"/>
      <c r="M177" s="7" t="str">
        <f aca="false">IF(G177&lt;&gt;0,G177-L177," ")</f>
        <v> </v>
      </c>
      <c r="N177" s="8" t="str">
        <f aca="false">IF((G177-L177)&lt;&gt;0,N$1-A177," ")</f>
        <v> </v>
      </c>
      <c r="O177" s="5"/>
      <c r="P177" s="19" t="str">
        <f aca="false">IF((F177="s"),I177," ")</f>
        <v> </v>
      </c>
      <c r="Q177" s="19" t="str">
        <f aca="false">IF((F177="c"),I177," ")</f>
        <v> </v>
      </c>
      <c r="R177" s="19" t="str">
        <f aca="false">IF((F177="o"),I177," ")</f>
        <v> </v>
      </c>
      <c r="S177" s="19" t="str">
        <f aca="false">IF((F177="w"),I177," ")</f>
        <v> </v>
      </c>
      <c r="T177" s="19" t="str">
        <f aca="false">IF((F177="p"),I177," ")</f>
        <v> </v>
      </c>
      <c r="U177" s="19" t="str">
        <f aca="false">IF((F177="m"),I177," ")</f>
        <v> </v>
      </c>
      <c r="V177" s="19" t="str">
        <f aca="false">IF((F177="g"),I177," ")</f>
        <v> </v>
      </c>
      <c r="W177" s="29" t="str">
        <f aca="false">IF((F177="v"),I177," ")</f>
        <v> </v>
      </c>
      <c r="X177" s="19" t="str">
        <f aca="false">IF((F177="h"),I177," ")</f>
        <v> </v>
      </c>
      <c r="Y177" s="19" t="str">
        <f aca="false">IF((F177="a"),I177," ")</f>
        <v> </v>
      </c>
      <c r="Z177" s="19" t="str">
        <f aca="false">IF((F177="l"),I177," ")</f>
        <v> </v>
      </c>
      <c r="AA177" s="19" t="str">
        <f aca="false">IF((F177="y"),I177," ")</f>
        <v> </v>
      </c>
      <c r="AB177" s="19" t="str">
        <f aca="false">IF((F177="fa"),I177," ")</f>
        <v> </v>
      </c>
    </row>
    <row r="178" customFormat="false" ht="12" hidden="false" customHeight="false" outlineLevel="0" collapsed="false">
      <c r="A178" s="27"/>
      <c r="F178" s="58" t="str">
        <f aca="false">IF((G178&lt;&gt;0),"Enter Letter"," ")</f>
        <v> </v>
      </c>
      <c r="G178" s="29"/>
      <c r="H178" s="6" t="str">
        <f aca="false">IF(G178&lt;&gt;0,G178*H$2/(100+H$2)," ")</f>
        <v> </v>
      </c>
      <c r="I178" s="6" t="str">
        <f aca="false">IF((G178&lt;&gt;0),G178-H178," ")</f>
        <v> </v>
      </c>
      <c r="J178" s="5"/>
      <c r="M178" s="7" t="str">
        <f aca="false">IF(G178&lt;&gt;0,G178-L178," ")</f>
        <v> </v>
      </c>
      <c r="N178" s="8" t="str">
        <f aca="false">IF((G178-L178)&lt;&gt;0,N$1-A178," ")</f>
        <v> </v>
      </c>
      <c r="O178" s="5"/>
      <c r="P178" s="19" t="str">
        <f aca="false">IF((F178="s"),I178," ")</f>
        <v> </v>
      </c>
      <c r="Q178" s="19" t="str">
        <f aca="false">IF((F178="c"),I178," ")</f>
        <v> </v>
      </c>
      <c r="R178" s="19" t="str">
        <f aca="false">IF((F178="o"),I178," ")</f>
        <v> </v>
      </c>
      <c r="S178" s="19" t="str">
        <f aca="false">IF((F178="w"),I178," ")</f>
        <v> </v>
      </c>
      <c r="T178" s="19" t="str">
        <f aca="false">IF((F178="p"),I178," ")</f>
        <v> </v>
      </c>
      <c r="U178" s="19" t="str">
        <f aca="false">IF((F178="m"),I178," ")</f>
        <v> </v>
      </c>
      <c r="V178" s="19" t="str">
        <f aca="false">IF((F178="g"),I178," ")</f>
        <v> </v>
      </c>
      <c r="W178" s="29" t="str">
        <f aca="false">IF((F178="v"),I178," ")</f>
        <v> </v>
      </c>
      <c r="X178" s="19" t="str">
        <f aca="false">IF((F178="h"),I178," ")</f>
        <v> </v>
      </c>
      <c r="Y178" s="19" t="str">
        <f aca="false">IF((F178="a"),I178," ")</f>
        <v> </v>
      </c>
      <c r="Z178" s="19" t="str">
        <f aca="false">IF((F178="l"),I178," ")</f>
        <v> </v>
      </c>
      <c r="AA178" s="19" t="str">
        <f aca="false">IF((F178="y"),I178," ")</f>
        <v> </v>
      </c>
      <c r="AB178" s="19" t="str">
        <f aca="false">IF((F178="fa"),I178," ")</f>
        <v> </v>
      </c>
    </row>
    <row r="179" customFormat="false" ht="12" hidden="false" customHeight="false" outlineLevel="0" collapsed="false">
      <c r="A179" s="27"/>
      <c r="F179" s="58" t="str">
        <f aca="false">IF((G179&lt;&gt;0),"Enter Letter"," ")</f>
        <v> </v>
      </c>
      <c r="G179" s="29"/>
      <c r="H179" s="6" t="str">
        <f aca="false">IF(G179&lt;&gt;0,G179*H$2/(100+H$2)," ")</f>
        <v> </v>
      </c>
      <c r="I179" s="6" t="str">
        <f aca="false">IF((G179&lt;&gt;0),G179-H179," ")</f>
        <v> </v>
      </c>
      <c r="J179" s="5"/>
      <c r="M179" s="7" t="str">
        <f aca="false">IF(G179&lt;&gt;0,G179-L179," ")</f>
        <v> </v>
      </c>
      <c r="N179" s="8" t="str">
        <f aca="false">IF((G179-L179)&lt;&gt;0,N$1-A179," ")</f>
        <v> </v>
      </c>
      <c r="O179" s="5"/>
      <c r="P179" s="19" t="str">
        <f aca="false">IF((F179="s"),I179," ")</f>
        <v> </v>
      </c>
      <c r="Q179" s="19" t="str">
        <f aca="false">IF((F179="c"),I179," ")</f>
        <v> </v>
      </c>
      <c r="R179" s="19" t="str">
        <f aca="false">IF((F179="o"),I179," ")</f>
        <v> </v>
      </c>
      <c r="S179" s="19" t="str">
        <f aca="false">IF((F179="w"),I179," ")</f>
        <v> </v>
      </c>
      <c r="T179" s="19" t="str">
        <f aca="false">IF((F179="p"),I179," ")</f>
        <v> </v>
      </c>
      <c r="U179" s="19" t="str">
        <f aca="false">IF((F179="m"),I179," ")</f>
        <v> </v>
      </c>
      <c r="V179" s="19" t="str">
        <f aca="false">IF((F179="g"),I179," ")</f>
        <v> </v>
      </c>
      <c r="W179" s="29" t="str">
        <f aca="false">IF((F179="v"),I179," ")</f>
        <v> </v>
      </c>
      <c r="X179" s="19" t="str">
        <f aca="false">IF((F179="h"),I179," ")</f>
        <v> </v>
      </c>
      <c r="Y179" s="19" t="str">
        <f aca="false">IF((F179="a"),I179," ")</f>
        <v> </v>
      </c>
      <c r="Z179" s="19" t="str">
        <f aca="false">IF((F179="l"),I179," ")</f>
        <v> </v>
      </c>
      <c r="AA179" s="19" t="str">
        <f aca="false">IF((F179="y"),I179," ")</f>
        <v> </v>
      </c>
      <c r="AB179" s="19" t="str">
        <f aca="false">IF((F179="fa"),I179," ")</f>
        <v> </v>
      </c>
    </row>
    <row r="180" customFormat="false" ht="12" hidden="false" customHeight="false" outlineLevel="0" collapsed="false">
      <c r="A180" s="27"/>
      <c r="F180" s="58" t="str">
        <f aca="false">IF((G180&lt;&gt;0),"Enter Letter"," ")</f>
        <v> </v>
      </c>
      <c r="G180" s="29"/>
      <c r="H180" s="6" t="str">
        <f aca="false">IF(G180&lt;&gt;0,G180*H$2/(100+H$2)," ")</f>
        <v> </v>
      </c>
      <c r="I180" s="6" t="str">
        <f aca="false">IF((G180&lt;&gt;0),G180-H180," ")</f>
        <v> </v>
      </c>
      <c r="J180" s="5"/>
      <c r="M180" s="7" t="str">
        <f aca="false">IF(G180&lt;&gt;0,G180-L180," ")</f>
        <v> </v>
      </c>
      <c r="N180" s="8" t="str">
        <f aca="false">IF((G180-L180)&lt;&gt;0,N$1-A180," ")</f>
        <v> </v>
      </c>
      <c r="O180" s="5"/>
      <c r="P180" s="19" t="str">
        <f aca="false">IF((F180="s"),I180," ")</f>
        <v> </v>
      </c>
      <c r="Q180" s="19" t="str">
        <f aca="false">IF((F180="c"),I180," ")</f>
        <v> </v>
      </c>
      <c r="R180" s="19" t="str">
        <f aca="false">IF((F180="o"),I180," ")</f>
        <v> </v>
      </c>
      <c r="S180" s="19" t="str">
        <f aca="false">IF((F180="w"),I180," ")</f>
        <v> </v>
      </c>
      <c r="T180" s="19" t="str">
        <f aca="false">IF((F180="p"),I180," ")</f>
        <v> </v>
      </c>
      <c r="U180" s="19" t="str">
        <f aca="false">IF((F180="m"),I180," ")</f>
        <v> </v>
      </c>
      <c r="V180" s="19" t="str">
        <f aca="false">IF((F180="g"),I180," ")</f>
        <v> </v>
      </c>
      <c r="W180" s="29" t="str">
        <f aca="false">IF((F180="v"),I180," ")</f>
        <v> </v>
      </c>
      <c r="X180" s="19" t="str">
        <f aca="false">IF((F180="h"),I180," ")</f>
        <v> </v>
      </c>
      <c r="Y180" s="19" t="str">
        <f aca="false">IF((F180="a"),I180," ")</f>
        <v> </v>
      </c>
      <c r="Z180" s="19" t="str">
        <f aca="false">IF((F180="l"),I180," ")</f>
        <v> </v>
      </c>
      <c r="AA180" s="19" t="str">
        <f aca="false">IF((F180="y"),I180," ")</f>
        <v> </v>
      </c>
      <c r="AB180" s="19" t="str">
        <f aca="false">IF((F180="fa"),I180," ")</f>
        <v> </v>
      </c>
    </row>
    <row r="181" customFormat="false" ht="12" hidden="false" customHeight="false" outlineLevel="0" collapsed="false">
      <c r="A181" s="27"/>
      <c r="F181" s="58" t="str">
        <f aca="false">IF((G181&lt;&gt;0),"Enter Letter"," ")</f>
        <v> </v>
      </c>
      <c r="G181" s="29"/>
      <c r="H181" s="6" t="str">
        <f aca="false">IF(G181&lt;&gt;0,G181*H$2/(100+H$2)," ")</f>
        <v> </v>
      </c>
      <c r="I181" s="6" t="str">
        <f aca="false">IF((G181&lt;&gt;0),G181-H181," ")</f>
        <v> </v>
      </c>
      <c r="J181" s="5"/>
      <c r="M181" s="7" t="str">
        <f aca="false">IF(G181&lt;&gt;0,G181-L181," ")</f>
        <v> </v>
      </c>
      <c r="N181" s="8" t="str">
        <f aca="false">IF((G181-L181)&lt;&gt;0,N$1-A181," ")</f>
        <v> </v>
      </c>
      <c r="O181" s="5"/>
      <c r="P181" s="19" t="str">
        <f aca="false">IF((F181="s"),I181," ")</f>
        <v> </v>
      </c>
      <c r="Q181" s="19" t="str">
        <f aca="false">IF((F181="c"),I181," ")</f>
        <v> </v>
      </c>
      <c r="R181" s="19" t="str">
        <f aca="false">IF((F181="o"),I181," ")</f>
        <v> </v>
      </c>
      <c r="S181" s="19" t="str">
        <f aca="false">IF((F181="w"),I181," ")</f>
        <v> </v>
      </c>
      <c r="T181" s="19" t="str">
        <f aca="false">IF((F181="p"),I181," ")</f>
        <v> </v>
      </c>
      <c r="U181" s="19" t="str">
        <f aca="false">IF((F181="m"),I181," ")</f>
        <v> </v>
      </c>
      <c r="V181" s="19" t="str">
        <f aca="false">IF((F181="g"),I181," ")</f>
        <v> </v>
      </c>
      <c r="W181" s="29" t="str">
        <f aca="false">IF((F181="v"),I181," ")</f>
        <v> </v>
      </c>
      <c r="X181" s="19" t="str">
        <f aca="false">IF((F181="h"),I181," ")</f>
        <v> </v>
      </c>
      <c r="Y181" s="19" t="str">
        <f aca="false">IF((F181="a"),I181," ")</f>
        <v> </v>
      </c>
      <c r="Z181" s="19" t="str">
        <f aca="false">IF((F181="l"),I181," ")</f>
        <v> </v>
      </c>
      <c r="AA181" s="19" t="str">
        <f aca="false">IF((F181="y"),I181," ")</f>
        <v> </v>
      </c>
      <c r="AB181" s="19" t="str">
        <f aca="false">IF((F181="fa"),I181," ")</f>
        <v> </v>
      </c>
    </row>
    <row r="182" customFormat="false" ht="12" hidden="false" customHeight="false" outlineLevel="0" collapsed="false">
      <c r="A182" s="27"/>
      <c r="F182" s="58" t="str">
        <f aca="false">IF((G182&lt;&gt;0),"Enter Letter"," ")</f>
        <v> </v>
      </c>
      <c r="G182" s="29"/>
      <c r="H182" s="6" t="str">
        <f aca="false">IF(G182&lt;&gt;0,G182*H$2/(100+H$2)," ")</f>
        <v> </v>
      </c>
      <c r="I182" s="6" t="str">
        <f aca="false">IF((G182&lt;&gt;0),G182-H182," ")</f>
        <v> </v>
      </c>
      <c r="J182" s="5"/>
      <c r="M182" s="7" t="str">
        <f aca="false">IF(G182&lt;&gt;0,G182-L182," ")</f>
        <v> </v>
      </c>
      <c r="N182" s="8" t="str">
        <f aca="false">IF((G182-L182)&lt;&gt;0,N$1-A182," ")</f>
        <v> </v>
      </c>
      <c r="O182" s="5"/>
      <c r="P182" s="19" t="str">
        <f aca="false">IF((F182="s"),I182," ")</f>
        <v> </v>
      </c>
      <c r="Q182" s="19" t="str">
        <f aca="false">IF((F182="c"),I182," ")</f>
        <v> </v>
      </c>
      <c r="R182" s="19" t="str">
        <f aca="false">IF((F182="o"),I182," ")</f>
        <v> </v>
      </c>
      <c r="S182" s="19" t="str">
        <f aca="false">IF((F182="w"),I182," ")</f>
        <v> </v>
      </c>
      <c r="T182" s="19" t="str">
        <f aca="false">IF((F182="p"),I182," ")</f>
        <v> </v>
      </c>
      <c r="U182" s="19" t="str">
        <f aca="false">IF((F182="m"),I182," ")</f>
        <v> </v>
      </c>
      <c r="V182" s="19" t="str">
        <f aca="false">IF((F182="g"),I182," ")</f>
        <v> </v>
      </c>
      <c r="W182" s="29" t="str">
        <f aca="false">IF((F182="v"),I182," ")</f>
        <v> </v>
      </c>
      <c r="X182" s="19" t="str">
        <f aca="false">IF((F182="h"),I182," ")</f>
        <v> </v>
      </c>
      <c r="Y182" s="19" t="str">
        <f aca="false">IF((F182="a"),I182," ")</f>
        <v> </v>
      </c>
      <c r="Z182" s="19" t="str">
        <f aca="false">IF((F182="l"),I182," ")</f>
        <v> </v>
      </c>
      <c r="AA182" s="19" t="str">
        <f aca="false">IF((F182="y"),I182," ")</f>
        <v> </v>
      </c>
      <c r="AB182" s="19" t="str">
        <f aca="false">IF((F182="fa"),I182," ")</f>
        <v> </v>
      </c>
    </row>
    <row r="183" customFormat="false" ht="12" hidden="false" customHeight="false" outlineLevel="0" collapsed="false">
      <c r="A183" s="27"/>
      <c r="F183" s="58" t="str">
        <f aca="false">IF((G183&lt;&gt;0),"Enter Letter"," ")</f>
        <v> </v>
      </c>
      <c r="G183" s="29"/>
      <c r="H183" s="6" t="str">
        <f aca="false">IF(G183&lt;&gt;0,G183*H$2/(100+H$2)," ")</f>
        <v> </v>
      </c>
      <c r="I183" s="6" t="str">
        <f aca="false">IF((G183&lt;&gt;0),G183-H183," ")</f>
        <v> </v>
      </c>
      <c r="J183" s="5"/>
      <c r="M183" s="7" t="str">
        <f aca="false">IF(G183&lt;&gt;0,G183-L183," ")</f>
        <v> </v>
      </c>
      <c r="N183" s="8" t="str">
        <f aca="false">IF((G183-L183)&lt;&gt;0,N$1-A183," ")</f>
        <v> </v>
      </c>
      <c r="O183" s="5"/>
      <c r="P183" s="19" t="str">
        <f aca="false">IF((F183="s"),I183," ")</f>
        <v> </v>
      </c>
      <c r="Q183" s="19" t="str">
        <f aca="false">IF((F183="c"),I183," ")</f>
        <v> </v>
      </c>
      <c r="R183" s="19" t="str">
        <f aca="false">IF((F183="o"),I183," ")</f>
        <v> </v>
      </c>
      <c r="S183" s="19" t="str">
        <f aca="false">IF((F183="w"),I183," ")</f>
        <v> </v>
      </c>
      <c r="T183" s="19" t="str">
        <f aca="false">IF((F183="p"),I183," ")</f>
        <v> </v>
      </c>
      <c r="U183" s="19" t="str">
        <f aca="false">IF((F183="m"),I183," ")</f>
        <v> </v>
      </c>
      <c r="V183" s="19" t="str">
        <f aca="false">IF((F183="g"),I183," ")</f>
        <v> </v>
      </c>
      <c r="W183" s="29" t="str">
        <f aca="false">IF((F183="v"),I183," ")</f>
        <v> </v>
      </c>
      <c r="X183" s="19" t="str">
        <f aca="false">IF((F183="h"),I183," ")</f>
        <v> </v>
      </c>
      <c r="Y183" s="19" t="str">
        <f aca="false">IF((F183="a"),I183," ")</f>
        <v> </v>
      </c>
      <c r="Z183" s="19" t="str">
        <f aca="false">IF((F183="l"),I183," ")</f>
        <v> </v>
      </c>
      <c r="AA183" s="19" t="str">
        <f aca="false">IF((F183="y"),I183," ")</f>
        <v> </v>
      </c>
      <c r="AB183" s="19" t="str">
        <f aca="false">IF((F183="fa"),I183," ")</f>
        <v> </v>
      </c>
    </row>
    <row r="184" customFormat="false" ht="12" hidden="false" customHeight="false" outlineLevel="0" collapsed="false">
      <c r="A184" s="27"/>
      <c r="F184" s="58" t="str">
        <f aca="false">IF((G184&lt;&gt;0),"Enter Letter"," ")</f>
        <v> </v>
      </c>
      <c r="G184" s="29"/>
      <c r="H184" s="6" t="str">
        <f aca="false">IF(G184&lt;&gt;0,G184*H$2/(100+H$2)," ")</f>
        <v> </v>
      </c>
      <c r="I184" s="6" t="str">
        <f aca="false">IF((G184&lt;&gt;0),G184-H184," ")</f>
        <v> </v>
      </c>
      <c r="J184" s="5"/>
      <c r="M184" s="7" t="str">
        <f aca="false">IF(G184&lt;&gt;0,G184-L184," ")</f>
        <v> </v>
      </c>
      <c r="N184" s="8" t="str">
        <f aca="false">IF((G184-L184)&lt;&gt;0,N$1-A184," ")</f>
        <v> </v>
      </c>
      <c r="O184" s="5"/>
      <c r="P184" s="19" t="str">
        <f aca="false">IF((F184="s"),I184," ")</f>
        <v> </v>
      </c>
      <c r="Q184" s="19" t="str">
        <f aca="false">IF((F184="c"),I184," ")</f>
        <v> </v>
      </c>
      <c r="R184" s="19" t="str">
        <f aca="false">IF((F184="o"),I184," ")</f>
        <v> </v>
      </c>
      <c r="S184" s="19" t="str">
        <f aca="false">IF((F184="w"),I184," ")</f>
        <v> </v>
      </c>
      <c r="T184" s="19" t="str">
        <f aca="false">IF((F184="p"),I184," ")</f>
        <v> </v>
      </c>
      <c r="U184" s="19" t="str">
        <f aca="false">IF((F184="m"),I184," ")</f>
        <v> </v>
      </c>
      <c r="V184" s="19" t="str">
        <f aca="false">IF((F184="g"),I184," ")</f>
        <v> </v>
      </c>
      <c r="W184" s="29" t="str">
        <f aca="false">IF((F184="v"),I184," ")</f>
        <v> </v>
      </c>
      <c r="X184" s="19" t="str">
        <f aca="false">IF((F184="h"),I184," ")</f>
        <v> </v>
      </c>
      <c r="Y184" s="19" t="str">
        <f aca="false">IF((F184="a"),I184," ")</f>
        <v> </v>
      </c>
      <c r="Z184" s="19" t="str">
        <f aca="false">IF((F184="l"),I184," ")</f>
        <v> </v>
      </c>
      <c r="AA184" s="19" t="str">
        <f aca="false">IF((F184="y"),I184," ")</f>
        <v> </v>
      </c>
      <c r="AB184" s="19" t="str">
        <f aca="false">IF((F184="fa"),I184," ")</f>
        <v> </v>
      </c>
    </row>
    <row r="185" customFormat="false" ht="12" hidden="false" customHeight="false" outlineLevel="0" collapsed="false">
      <c r="A185" s="27"/>
      <c r="F185" s="58" t="str">
        <f aca="false">IF((G185&lt;&gt;0),"Enter Letter"," ")</f>
        <v> </v>
      </c>
      <c r="G185" s="29"/>
      <c r="H185" s="6" t="str">
        <f aca="false">IF(G185&lt;&gt;0,G185*H$2/(100+H$2)," ")</f>
        <v> </v>
      </c>
      <c r="I185" s="6" t="str">
        <f aca="false">IF((G185&lt;&gt;0),G185-H185," ")</f>
        <v> </v>
      </c>
      <c r="J185" s="5"/>
      <c r="M185" s="7" t="str">
        <f aca="false">IF(G185&lt;&gt;0,G185-L185," ")</f>
        <v> </v>
      </c>
      <c r="N185" s="8" t="str">
        <f aca="false">IF((G185-L185)&lt;&gt;0,N$1-A185," ")</f>
        <v> </v>
      </c>
      <c r="O185" s="5"/>
      <c r="P185" s="19" t="str">
        <f aca="false">IF((F185="s"),I185," ")</f>
        <v> </v>
      </c>
      <c r="Q185" s="19" t="str">
        <f aca="false">IF((F185="c"),I185," ")</f>
        <v> </v>
      </c>
      <c r="R185" s="19" t="str">
        <f aca="false">IF((F185="o"),I185," ")</f>
        <v> </v>
      </c>
      <c r="S185" s="19" t="str">
        <f aca="false">IF((F185="w"),I185," ")</f>
        <v> </v>
      </c>
      <c r="T185" s="19" t="str">
        <f aca="false">IF((F185="p"),I185," ")</f>
        <v> </v>
      </c>
      <c r="U185" s="19" t="str">
        <f aca="false">IF((F185="m"),I185," ")</f>
        <v> </v>
      </c>
      <c r="V185" s="19" t="str">
        <f aca="false">IF((F185="g"),I185," ")</f>
        <v> </v>
      </c>
      <c r="W185" s="29" t="str">
        <f aca="false">IF((F185="v"),I185," ")</f>
        <v> </v>
      </c>
      <c r="X185" s="19" t="str">
        <f aca="false">IF((F185="h"),I185," ")</f>
        <v> </v>
      </c>
      <c r="Y185" s="19" t="str">
        <f aca="false">IF((F185="a"),I185," ")</f>
        <v> </v>
      </c>
      <c r="Z185" s="19" t="str">
        <f aca="false">IF((F185="l"),I185," ")</f>
        <v> </v>
      </c>
      <c r="AA185" s="19" t="str">
        <f aca="false">IF((F185="y"),I185," ")</f>
        <v> </v>
      </c>
      <c r="AB185" s="19" t="str">
        <f aca="false">IF((F185="fa"),I185," ")</f>
        <v> </v>
      </c>
    </row>
    <row r="186" customFormat="false" ht="12" hidden="false" customHeight="false" outlineLevel="0" collapsed="false">
      <c r="A186" s="27"/>
      <c r="F186" s="58" t="str">
        <f aca="false">IF((G186&lt;&gt;0),"Enter Letter"," ")</f>
        <v> </v>
      </c>
      <c r="G186" s="29"/>
      <c r="H186" s="6" t="str">
        <f aca="false">IF(G186&lt;&gt;0,G186*H$2/(100+H$2)," ")</f>
        <v> </v>
      </c>
      <c r="I186" s="6" t="str">
        <f aca="false">IF((G186&lt;&gt;0),G186-H186," ")</f>
        <v> </v>
      </c>
      <c r="J186" s="5"/>
      <c r="M186" s="7" t="str">
        <f aca="false">IF(G186&lt;&gt;0,G186-L186," ")</f>
        <v> </v>
      </c>
      <c r="N186" s="8" t="str">
        <f aca="false">IF((G186-L186)&lt;&gt;0,N$1-A186," ")</f>
        <v> </v>
      </c>
      <c r="O186" s="5"/>
      <c r="P186" s="19" t="str">
        <f aca="false">IF((F186="s"),I186," ")</f>
        <v> </v>
      </c>
      <c r="Q186" s="19" t="str">
        <f aca="false">IF((F186="c"),I186," ")</f>
        <v> </v>
      </c>
      <c r="R186" s="19" t="str">
        <f aca="false">IF((F186="o"),I186," ")</f>
        <v> </v>
      </c>
      <c r="S186" s="19" t="str">
        <f aca="false">IF((F186="w"),I186," ")</f>
        <v> </v>
      </c>
      <c r="T186" s="19" t="str">
        <f aca="false">IF((F186="p"),I186," ")</f>
        <v> </v>
      </c>
      <c r="U186" s="19" t="str">
        <f aca="false">IF((F186="m"),I186," ")</f>
        <v> </v>
      </c>
      <c r="V186" s="19" t="str">
        <f aca="false">IF((F186="g"),I186," ")</f>
        <v> </v>
      </c>
      <c r="W186" s="29" t="str">
        <f aca="false">IF((F186="v"),I186," ")</f>
        <v> </v>
      </c>
      <c r="X186" s="19" t="str">
        <f aca="false">IF((F186="h"),I186," ")</f>
        <v> </v>
      </c>
      <c r="Y186" s="19" t="str">
        <f aca="false">IF((F186="a"),I186," ")</f>
        <v> </v>
      </c>
      <c r="Z186" s="19" t="str">
        <f aca="false">IF((F186="l"),I186," ")</f>
        <v> </v>
      </c>
      <c r="AA186" s="19" t="str">
        <f aca="false">IF((F186="y"),I186," ")</f>
        <v> </v>
      </c>
      <c r="AB186" s="19" t="str">
        <f aca="false">IF((F186="fa"),I186," ")</f>
        <v> </v>
      </c>
    </row>
    <row r="187" customFormat="false" ht="12" hidden="false" customHeight="false" outlineLevel="0" collapsed="false">
      <c r="A187" s="27"/>
      <c r="F187" s="58" t="str">
        <f aca="false">IF((G187&lt;&gt;0),"Enter Letter"," ")</f>
        <v> </v>
      </c>
      <c r="G187" s="29"/>
      <c r="H187" s="6" t="str">
        <f aca="false">IF(G187&lt;&gt;0,G187*H$2/(100+H$2)," ")</f>
        <v> </v>
      </c>
      <c r="I187" s="6" t="str">
        <f aca="false">IF((G187&lt;&gt;0),G187-H187," ")</f>
        <v> </v>
      </c>
      <c r="J187" s="5"/>
      <c r="M187" s="7" t="str">
        <f aca="false">IF(G187&lt;&gt;0,G187-L187," ")</f>
        <v> </v>
      </c>
      <c r="N187" s="8" t="str">
        <f aca="false">IF((G187-L187)&lt;&gt;0,N$1-A187," ")</f>
        <v> </v>
      </c>
      <c r="O187" s="5"/>
      <c r="P187" s="19" t="str">
        <f aca="false">IF((F187="s"),I187," ")</f>
        <v> </v>
      </c>
      <c r="Q187" s="19" t="str">
        <f aca="false">IF((F187="c"),I187," ")</f>
        <v> </v>
      </c>
      <c r="R187" s="19" t="str">
        <f aca="false">IF((F187="o"),I187," ")</f>
        <v> </v>
      </c>
      <c r="S187" s="19" t="str">
        <f aca="false">IF((F187="w"),I187," ")</f>
        <v> </v>
      </c>
      <c r="T187" s="19" t="str">
        <f aca="false">IF((F187="p"),I187," ")</f>
        <v> </v>
      </c>
      <c r="U187" s="19" t="str">
        <f aca="false">IF((F187="m"),I187," ")</f>
        <v> </v>
      </c>
      <c r="V187" s="19" t="str">
        <f aca="false">IF((F187="g"),I187," ")</f>
        <v> </v>
      </c>
      <c r="W187" s="29" t="str">
        <f aca="false">IF((F187="v"),I187," ")</f>
        <v> </v>
      </c>
      <c r="X187" s="19" t="str">
        <f aca="false">IF((F187="h"),I187," ")</f>
        <v> </v>
      </c>
      <c r="Y187" s="19" t="str">
        <f aca="false">IF((F187="a"),I187," ")</f>
        <v> </v>
      </c>
      <c r="Z187" s="19" t="str">
        <f aca="false">IF((F187="l"),I187," ")</f>
        <v> </v>
      </c>
      <c r="AA187" s="19" t="str">
        <f aca="false">IF((F187="y"),I187," ")</f>
        <v> </v>
      </c>
      <c r="AB187" s="19" t="str">
        <f aca="false">IF((F187="fa"),I187," ")</f>
        <v> </v>
      </c>
    </row>
    <row r="188" customFormat="false" ht="12" hidden="false" customHeight="false" outlineLevel="0" collapsed="false">
      <c r="A188" s="27"/>
      <c r="F188" s="58" t="str">
        <f aca="false">IF((G188&lt;&gt;0),"Enter Letter"," ")</f>
        <v> </v>
      </c>
      <c r="G188" s="29"/>
      <c r="H188" s="6" t="str">
        <f aca="false">IF(G188&lt;&gt;0,G188*H$2/(100+H$2)," ")</f>
        <v> </v>
      </c>
      <c r="I188" s="6" t="str">
        <f aca="false">IF((G188&lt;&gt;0),G188-H188," ")</f>
        <v> </v>
      </c>
      <c r="J188" s="5"/>
      <c r="M188" s="7" t="str">
        <f aca="false">IF(G188&lt;&gt;0,G188-L188," ")</f>
        <v> </v>
      </c>
      <c r="N188" s="8" t="str">
        <f aca="false">IF((G188-L188)&lt;&gt;0,N$1-A188," ")</f>
        <v> </v>
      </c>
      <c r="O188" s="5"/>
      <c r="P188" s="19" t="str">
        <f aca="false">IF((F188="s"),I188," ")</f>
        <v> </v>
      </c>
      <c r="Q188" s="19" t="str">
        <f aca="false">IF((F188="c"),I188," ")</f>
        <v> </v>
      </c>
      <c r="R188" s="19" t="str">
        <f aca="false">IF((F188="o"),I188," ")</f>
        <v> </v>
      </c>
      <c r="S188" s="19" t="str">
        <f aca="false">IF((F188="w"),I188," ")</f>
        <v> </v>
      </c>
      <c r="T188" s="19" t="str">
        <f aca="false">IF((F188="p"),I188," ")</f>
        <v> </v>
      </c>
      <c r="U188" s="19" t="str">
        <f aca="false">IF((F188="m"),I188," ")</f>
        <v> </v>
      </c>
      <c r="V188" s="19" t="str">
        <f aca="false">IF((F188="g"),I188," ")</f>
        <v> </v>
      </c>
      <c r="W188" s="29" t="str">
        <f aca="false">IF((F188="v"),I188," ")</f>
        <v> </v>
      </c>
      <c r="X188" s="19" t="str">
        <f aca="false">IF((F188="h"),I188," ")</f>
        <v> </v>
      </c>
      <c r="Y188" s="19" t="str">
        <f aca="false">IF((F188="a"),I188," ")</f>
        <v> </v>
      </c>
      <c r="Z188" s="19" t="str">
        <f aca="false">IF((F188="l"),I188," ")</f>
        <v> </v>
      </c>
      <c r="AA188" s="19" t="str">
        <f aca="false">IF((F188="y"),I188," ")</f>
        <v> </v>
      </c>
      <c r="AB188" s="19" t="str">
        <f aca="false">IF((F188="fa"),I188," ")</f>
        <v> </v>
      </c>
    </row>
    <row r="189" customFormat="false" ht="12" hidden="false" customHeight="false" outlineLevel="0" collapsed="false">
      <c r="A189" s="27"/>
      <c r="F189" s="58" t="str">
        <f aca="false">IF((G189&lt;&gt;0),"Enter Letter"," ")</f>
        <v> </v>
      </c>
      <c r="G189" s="29"/>
      <c r="H189" s="6" t="str">
        <f aca="false">IF(G189&lt;&gt;0,G189*H$2/(100+H$2)," ")</f>
        <v> </v>
      </c>
      <c r="I189" s="6" t="str">
        <f aca="false">IF((G189&lt;&gt;0),G189-H189," ")</f>
        <v> </v>
      </c>
      <c r="J189" s="5"/>
      <c r="M189" s="7" t="str">
        <f aca="false">IF(G189&lt;&gt;0,G189-L189," ")</f>
        <v> </v>
      </c>
      <c r="N189" s="8" t="str">
        <f aca="false">IF((G189-L189)&lt;&gt;0,N$1-A189," ")</f>
        <v> </v>
      </c>
      <c r="O189" s="5"/>
      <c r="P189" s="19" t="str">
        <f aca="false">IF((F189="s"),I189," ")</f>
        <v> </v>
      </c>
      <c r="Q189" s="19" t="str">
        <f aca="false">IF((F189="c"),I189," ")</f>
        <v> </v>
      </c>
      <c r="R189" s="19" t="str">
        <f aca="false">IF((F189="o"),I189," ")</f>
        <v> </v>
      </c>
      <c r="S189" s="19" t="str">
        <f aca="false">IF((F189="w"),I189," ")</f>
        <v> </v>
      </c>
      <c r="T189" s="19" t="str">
        <f aca="false">IF((F189="p"),I189," ")</f>
        <v> </v>
      </c>
      <c r="U189" s="19" t="str">
        <f aca="false">IF((F189="m"),I189," ")</f>
        <v> </v>
      </c>
      <c r="V189" s="19" t="str">
        <f aca="false">IF((F189="g"),I189," ")</f>
        <v> </v>
      </c>
      <c r="W189" s="29" t="str">
        <f aca="false">IF((F189="v"),I189," ")</f>
        <v> </v>
      </c>
      <c r="X189" s="19" t="str">
        <f aca="false">IF((F189="h"),I189," ")</f>
        <v> </v>
      </c>
      <c r="Y189" s="19" t="str">
        <f aca="false">IF((F189="a"),I189," ")</f>
        <v> </v>
      </c>
      <c r="Z189" s="19" t="str">
        <f aca="false">IF((F189="l"),I189," ")</f>
        <v> </v>
      </c>
      <c r="AA189" s="19" t="str">
        <f aca="false">IF((F189="y"),I189," ")</f>
        <v> </v>
      </c>
      <c r="AB189" s="19" t="str">
        <f aca="false">IF((F189="fa"),I189," ")</f>
        <v> </v>
      </c>
    </row>
    <row r="190" customFormat="false" ht="12" hidden="false" customHeight="false" outlineLevel="0" collapsed="false">
      <c r="A190" s="27"/>
      <c r="F190" s="58" t="str">
        <f aca="false">IF((G190&lt;&gt;0),"Enter Letter"," ")</f>
        <v> </v>
      </c>
      <c r="G190" s="29"/>
      <c r="H190" s="6" t="str">
        <f aca="false">IF(G190&lt;&gt;0,G190*H$2/(100+H$2)," ")</f>
        <v> </v>
      </c>
      <c r="I190" s="6" t="str">
        <f aca="false">IF((G190&lt;&gt;0),G190-H190," ")</f>
        <v> </v>
      </c>
      <c r="J190" s="5"/>
      <c r="M190" s="7" t="str">
        <f aca="false">IF(G190&lt;&gt;0,G190-L190," ")</f>
        <v> </v>
      </c>
      <c r="N190" s="8" t="str">
        <f aca="false">IF((G190-L190)&lt;&gt;0,N$1-A190," ")</f>
        <v> </v>
      </c>
      <c r="O190" s="5"/>
      <c r="P190" s="19" t="str">
        <f aca="false">IF((F190="s"),I190," ")</f>
        <v> </v>
      </c>
      <c r="Q190" s="19" t="str">
        <f aca="false">IF((F190="c"),I190," ")</f>
        <v> </v>
      </c>
      <c r="R190" s="19" t="str">
        <f aca="false">IF((F190="o"),I190," ")</f>
        <v> </v>
      </c>
      <c r="S190" s="19" t="str">
        <f aca="false">IF((F190="w"),I190," ")</f>
        <v> </v>
      </c>
      <c r="T190" s="19" t="str">
        <f aca="false">IF((F190="p"),I190," ")</f>
        <v> </v>
      </c>
      <c r="U190" s="19" t="str">
        <f aca="false">IF((F190="m"),I190," ")</f>
        <v> </v>
      </c>
      <c r="V190" s="19" t="str">
        <f aca="false">IF((F190="g"),I190," ")</f>
        <v> </v>
      </c>
      <c r="W190" s="29" t="str">
        <f aca="false">IF((F190="v"),I190," ")</f>
        <v> </v>
      </c>
      <c r="X190" s="19" t="str">
        <f aca="false">IF((F190="h"),I190," ")</f>
        <v> </v>
      </c>
      <c r="Y190" s="19" t="str">
        <f aca="false">IF((F190="a"),I190," ")</f>
        <v> </v>
      </c>
      <c r="Z190" s="19" t="str">
        <f aca="false">IF((F190="l"),I190," ")</f>
        <v> </v>
      </c>
      <c r="AA190" s="19" t="str">
        <f aca="false">IF((F190="y"),I190," ")</f>
        <v> </v>
      </c>
      <c r="AB190" s="19" t="str">
        <f aca="false">IF((F190="fa"),I190," ")</f>
        <v> </v>
      </c>
    </row>
    <row r="191" customFormat="false" ht="12" hidden="false" customHeight="false" outlineLevel="0" collapsed="false">
      <c r="A191" s="27"/>
      <c r="F191" s="58" t="str">
        <f aca="false">IF((G191&lt;&gt;0),"Enter Letter"," ")</f>
        <v> </v>
      </c>
      <c r="G191" s="29"/>
      <c r="H191" s="6" t="str">
        <f aca="false">IF(G191&lt;&gt;0,G191*H$2/(100+H$2)," ")</f>
        <v> </v>
      </c>
      <c r="I191" s="6" t="str">
        <f aca="false">IF((G191&lt;&gt;0),G191-H191," ")</f>
        <v> </v>
      </c>
      <c r="J191" s="5"/>
      <c r="M191" s="7" t="str">
        <f aca="false">IF(G191&lt;&gt;0,G191-L191," ")</f>
        <v> </v>
      </c>
      <c r="N191" s="8" t="str">
        <f aca="false">IF((G191-L191)&lt;&gt;0,N$1-A191," ")</f>
        <v> </v>
      </c>
      <c r="O191" s="5"/>
      <c r="P191" s="19" t="str">
        <f aca="false">IF((F191="s"),I191," ")</f>
        <v> </v>
      </c>
      <c r="Q191" s="19" t="str">
        <f aca="false">IF((F191="c"),I191," ")</f>
        <v> </v>
      </c>
      <c r="R191" s="19" t="str">
        <f aca="false">IF((F191="o"),I191," ")</f>
        <v> </v>
      </c>
      <c r="S191" s="19" t="str">
        <f aca="false">IF((F191="w"),I191," ")</f>
        <v> </v>
      </c>
      <c r="T191" s="19" t="str">
        <f aca="false">IF((F191="p"),I191," ")</f>
        <v> </v>
      </c>
      <c r="U191" s="19" t="str">
        <f aca="false">IF((F191="m"),I191," ")</f>
        <v> </v>
      </c>
      <c r="V191" s="19" t="str">
        <f aca="false">IF((F191="g"),I191," ")</f>
        <v> </v>
      </c>
      <c r="W191" s="29" t="str">
        <f aca="false">IF((F191="v"),I191," ")</f>
        <v> </v>
      </c>
      <c r="X191" s="19" t="str">
        <f aca="false">IF((F191="h"),I191," ")</f>
        <v> </v>
      </c>
      <c r="Y191" s="19" t="str">
        <f aca="false">IF((F191="a"),I191," ")</f>
        <v> </v>
      </c>
      <c r="Z191" s="19" t="str">
        <f aca="false">IF((F191="l"),I191," ")</f>
        <v> </v>
      </c>
      <c r="AA191" s="19" t="str">
        <f aca="false">IF((F191="y"),I191," ")</f>
        <v> </v>
      </c>
      <c r="AB191" s="19" t="str">
        <f aca="false">IF((F191="fa"),I191," ")</f>
        <v> </v>
      </c>
    </row>
    <row r="192" customFormat="false" ht="12" hidden="false" customHeight="false" outlineLevel="0" collapsed="false">
      <c r="A192" s="27"/>
      <c r="F192" s="58" t="str">
        <f aca="false">IF((G192&lt;&gt;0),"Enter Letter"," ")</f>
        <v> </v>
      </c>
      <c r="G192" s="29"/>
      <c r="H192" s="6" t="str">
        <f aca="false">IF(G192&lt;&gt;0,G192*H$2/(100+H$2)," ")</f>
        <v> </v>
      </c>
      <c r="I192" s="6" t="str">
        <f aca="false">IF((G192&lt;&gt;0),G192-H192," ")</f>
        <v> </v>
      </c>
      <c r="J192" s="5"/>
      <c r="M192" s="7" t="str">
        <f aca="false">IF(G192&lt;&gt;0,G192-L192," ")</f>
        <v> </v>
      </c>
      <c r="N192" s="8" t="str">
        <f aca="false">IF((G192-L192)&lt;&gt;0,N$1-A192," ")</f>
        <v> </v>
      </c>
      <c r="O192" s="5"/>
      <c r="P192" s="19" t="str">
        <f aca="false">IF((F192="s"),I192," ")</f>
        <v> </v>
      </c>
      <c r="Q192" s="19" t="str">
        <f aca="false">IF((F192="c"),I192," ")</f>
        <v> </v>
      </c>
      <c r="R192" s="19" t="str">
        <f aca="false">IF((F192="o"),I192," ")</f>
        <v> </v>
      </c>
      <c r="S192" s="19" t="str">
        <f aca="false">IF((F192="w"),I192," ")</f>
        <v> </v>
      </c>
      <c r="T192" s="19" t="str">
        <f aca="false">IF((F192="p"),I192," ")</f>
        <v> </v>
      </c>
      <c r="U192" s="19" t="str">
        <f aca="false">IF((F192="m"),I192," ")</f>
        <v> </v>
      </c>
      <c r="V192" s="19" t="str">
        <f aca="false">IF((F192="g"),I192," ")</f>
        <v> </v>
      </c>
      <c r="W192" s="29" t="str">
        <f aca="false">IF((F192="v"),I192," ")</f>
        <v> </v>
      </c>
      <c r="X192" s="19" t="str">
        <f aca="false">IF((F192="h"),I192," ")</f>
        <v> </v>
      </c>
      <c r="Y192" s="19" t="str">
        <f aca="false">IF((F192="a"),I192," ")</f>
        <v> </v>
      </c>
      <c r="Z192" s="19" t="str">
        <f aca="false">IF((F192="l"),I192," ")</f>
        <v> </v>
      </c>
      <c r="AA192" s="19" t="str">
        <f aca="false">IF((F192="y"),I192," ")</f>
        <v> </v>
      </c>
      <c r="AB192" s="19" t="str">
        <f aca="false">IF((F192="fa"),I192," ")</f>
        <v> </v>
      </c>
    </row>
    <row r="193" customFormat="false" ht="12" hidden="false" customHeight="false" outlineLevel="0" collapsed="false">
      <c r="A193" s="27"/>
      <c r="F193" s="58" t="str">
        <f aca="false">IF((G193&lt;&gt;0),"Enter Letter"," ")</f>
        <v> </v>
      </c>
      <c r="G193" s="29"/>
      <c r="H193" s="6" t="str">
        <f aca="false">IF(G193&lt;&gt;0,G193*H$2/(100+H$2)," ")</f>
        <v> </v>
      </c>
      <c r="I193" s="6" t="str">
        <f aca="false">IF((G193&lt;&gt;0),G193-H193," ")</f>
        <v> </v>
      </c>
      <c r="J193" s="5"/>
      <c r="M193" s="7" t="str">
        <f aca="false">IF(G193&lt;&gt;0,G193-L193," ")</f>
        <v> </v>
      </c>
      <c r="N193" s="8" t="str">
        <f aca="false">IF((G193-L193)&lt;&gt;0,N$1-A193," ")</f>
        <v> </v>
      </c>
      <c r="O193" s="5"/>
      <c r="P193" s="19" t="str">
        <f aca="false">IF((F193="s"),I193," ")</f>
        <v> </v>
      </c>
      <c r="Q193" s="19" t="str">
        <f aca="false">IF((F193="c"),I193," ")</f>
        <v> </v>
      </c>
      <c r="R193" s="19" t="str">
        <f aca="false">IF((F193="o"),I193," ")</f>
        <v> </v>
      </c>
      <c r="S193" s="19" t="str">
        <f aca="false">IF((F193="w"),I193," ")</f>
        <v> </v>
      </c>
      <c r="T193" s="19" t="str">
        <f aca="false">IF((F193="p"),I193," ")</f>
        <v> </v>
      </c>
      <c r="U193" s="19" t="str">
        <f aca="false">IF((F193="m"),I193," ")</f>
        <v> </v>
      </c>
      <c r="V193" s="19" t="str">
        <f aca="false">IF((F193="g"),I193," ")</f>
        <v> </v>
      </c>
      <c r="W193" s="29" t="str">
        <f aca="false">IF((F193="v"),I193," ")</f>
        <v> </v>
      </c>
      <c r="X193" s="19" t="str">
        <f aca="false">IF((F193="h"),I193," ")</f>
        <v> </v>
      </c>
      <c r="Y193" s="19" t="str">
        <f aca="false">IF((F193="a"),I193," ")</f>
        <v> </v>
      </c>
      <c r="Z193" s="19" t="str">
        <f aca="false">IF((F193="l"),I193," ")</f>
        <v> </v>
      </c>
      <c r="AA193" s="19" t="str">
        <f aca="false">IF((F193="y"),I193," ")</f>
        <v> </v>
      </c>
      <c r="AB193" s="19" t="str">
        <f aca="false">IF((F193="fa"),I193," ")</f>
        <v> </v>
      </c>
    </row>
    <row r="194" customFormat="false" ht="12" hidden="false" customHeight="false" outlineLevel="0" collapsed="false">
      <c r="A194" s="27"/>
      <c r="F194" s="58" t="str">
        <f aca="false">IF((G194&lt;&gt;0),"Enter Letter"," ")</f>
        <v> </v>
      </c>
      <c r="G194" s="29"/>
      <c r="H194" s="6" t="str">
        <f aca="false">IF(G194&lt;&gt;0,G194*H$2/(100+H$2)," ")</f>
        <v> </v>
      </c>
      <c r="I194" s="6" t="str">
        <f aca="false">IF((G194&lt;&gt;0),G194-H194," ")</f>
        <v> </v>
      </c>
      <c r="J194" s="5"/>
      <c r="M194" s="7" t="str">
        <f aca="false">IF(G194&lt;&gt;0,G194-L194," ")</f>
        <v> </v>
      </c>
      <c r="N194" s="8" t="str">
        <f aca="false">IF((G194-L194)&lt;&gt;0,N$1-A194," ")</f>
        <v> </v>
      </c>
      <c r="O194" s="5"/>
      <c r="P194" s="19" t="str">
        <f aca="false">IF((F194="s"),I194," ")</f>
        <v> </v>
      </c>
      <c r="Q194" s="19" t="str">
        <f aca="false">IF((F194="c"),I194," ")</f>
        <v> </v>
      </c>
      <c r="R194" s="19" t="str">
        <f aca="false">IF((F194="o"),I194," ")</f>
        <v> </v>
      </c>
      <c r="S194" s="19" t="str">
        <f aca="false">IF((F194="w"),I194," ")</f>
        <v> </v>
      </c>
      <c r="T194" s="19" t="str">
        <f aca="false">IF((F194="p"),I194," ")</f>
        <v> </v>
      </c>
      <c r="U194" s="19" t="str">
        <f aca="false">IF((F194="m"),I194," ")</f>
        <v> </v>
      </c>
      <c r="V194" s="19" t="str">
        <f aca="false">IF((F194="g"),I194," ")</f>
        <v> </v>
      </c>
      <c r="W194" s="29" t="str">
        <f aca="false">IF((F194="v"),I194," ")</f>
        <v> </v>
      </c>
      <c r="X194" s="19" t="str">
        <f aca="false">IF((F194="h"),I194," ")</f>
        <v> </v>
      </c>
      <c r="Y194" s="19" t="str">
        <f aca="false">IF((F194="a"),I194," ")</f>
        <v> </v>
      </c>
      <c r="Z194" s="19" t="str">
        <f aca="false">IF((F194="l"),I194," ")</f>
        <v> </v>
      </c>
      <c r="AA194" s="19" t="str">
        <f aca="false">IF((F194="y"),I194," ")</f>
        <v> </v>
      </c>
      <c r="AB194" s="19" t="str">
        <f aca="false">IF((F194="fa"),I194," ")</f>
        <v> </v>
      </c>
    </row>
    <row r="195" customFormat="false" ht="12" hidden="false" customHeight="false" outlineLevel="0" collapsed="false">
      <c r="A195" s="27"/>
      <c r="F195" s="58" t="str">
        <f aca="false">IF((G195&lt;&gt;0),"Enter Letter"," ")</f>
        <v> </v>
      </c>
      <c r="G195" s="29"/>
      <c r="H195" s="6" t="str">
        <f aca="false">IF(G195&lt;&gt;0,G195*H$2/(100+H$2)," ")</f>
        <v> </v>
      </c>
      <c r="I195" s="6" t="str">
        <f aca="false">IF((G195&lt;&gt;0),G195-H195," ")</f>
        <v> </v>
      </c>
      <c r="J195" s="5"/>
      <c r="M195" s="7" t="str">
        <f aca="false">IF(G195&lt;&gt;0,G195-L195," ")</f>
        <v> </v>
      </c>
      <c r="N195" s="8" t="str">
        <f aca="false">IF((G195-L195)&lt;&gt;0,N$1-A195," ")</f>
        <v> </v>
      </c>
      <c r="O195" s="5"/>
      <c r="P195" s="19" t="str">
        <f aca="false">IF((F195="s"),I195," ")</f>
        <v> </v>
      </c>
      <c r="Q195" s="19" t="str">
        <f aca="false">IF((F195="c"),I195," ")</f>
        <v> </v>
      </c>
      <c r="R195" s="19" t="str">
        <f aca="false">IF((F195="o"),I195," ")</f>
        <v> </v>
      </c>
      <c r="S195" s="19" t="str">
        <f aca="false">IF((F195="w"),I195," ")</f>
        <v> </v>
      </c>
      <c r="T195" s="19" t="str">
        <f aca="false">IF((F195="p"),I195," ")</f>
        <v> </v>
      </c>
      <c r="U195" s="19" t="str">
        <f aca="false">IF((F195="m"),I195," ")</f>
        <v> </v>
      </c>
      <c r="V195" s="19" t="str">
        <f aca="false">IF((F195="g"),I195," ")</f>
        <v> </v>
      </c>
      <c r="W195" s="29" t="str">
        <f aca="false">IF((F195="v"),I195," ")</f>
        <v> </v>
      </c>
      <c r="X195" s="19" t="str">
        <f aca="false">IF((F195="h"),I195," ")</f>
        <v> </v>
      </c>
      <c r="Y195" s="19" t="str">
        <f aca="false">IF((F195="a"),I195," ")</f>
        <v> </v>
      </c>
      <c r="Z195" s="19" t="str">
        <f aca="false">IF((F195="l"),I195," ")</f>
        <v> </v>
      </c>
      <c r="AA195" s="19" t="str">
        <f aca="false">IF((F195="y"),I195," ")</f>
        <v> </v>
      </c>
      <c r="AB195" s="19" t="str">
        <f aca="false">IF((F195="fa"),I195," ")</f>
        <v> </v>
      </c>
    </row>
    <row r="196" customFormat="false" ht="12" hidden="false" customHeight="false" outlineLevel="0" collapsed="false">
      <c r="A196" s="27"/>
      <c r="F196" s="58" t="str">
        <f aca="false">IF((G196&lt;&gt;0),"Enter Letter"," ")</f>
        <v> </v>
      </c>
      <c r="G196" s="29"/>
      <c r="H196" s="6" t="str">
        <f aca="false">IF(G196&lt;&gt;0,G196*H$2/(100+H$2)," ")</f>
        <v> </v>
      </c>
      <c r="I196" s="6" t="str">
        <f aca="false">IF((G196&lt;&gt;0),G196-H196," ")</f>
        <v> </v>
      </c>
      <c r="J196" s="5"/>
      <c r="M196" s="7" t="str">
        <f aca="false">IF(G196&lt;&gt;0,G196-L196," ")</f>
        <v> </v>
      </c>
      <c r="N196" s="8" t="str">
        <f aca="false">IF((G196-L196)&lt;&gt;0,N$1-A196," ")</f>
        <v> </v>
      </c>
      <c r="O196" s="5"/>
      <c r="P196" s="19" t="str">
        <f aca="false">IF((F196="s"),I196," ")</f>
        <v> </v>
      </c>
      <c r="Q196" s="19" t="str">
        <f aca="false">IF((F196="c"),I196," ")</f>
        <v> </v>
      </c>
      <c r="R196" s="19" t="str">
        <f aca="false">IF((F196="o"),I196," ")</f>
        <v> </v>
      </c>
      <c r="S196" s="19" t="str">
        <f aca="false">IF((F196="w"),I196," ")</f>
        <v> </v>
      </c>
      <c r="T196" s="19" t="str">
        <f aca="false">IF((F196="p"),I196," ")</f>
        <v> </v>
      </c>
      <c r="U196" s="19" t="str">
        <f aca="false">IF((F196="m"),I196," ")</f>
        <v> </v>
      </c>
      <c r="V196" s="19" t="str">
        <f aca="false">IF((F196="g"),I196," ")</f>
        <v> </v>
      </c>
      <c r="W196" s="29" t="str">
        <f aca="false">IF((F196="v"),I196," ")</f>
        <v> </v>
      </c>
      <c r="X196" s="19" t="str">
        <f aca="false">IF((F196="h"),I196," ")</f>
        <v> </v>
      </c>
      <c r="Y196" s="19" t="str">
        <f aca="false">IF((F196="a"),I196," ")</f>
        <v> </v>
      </c>
      <c r="Z196" s="19" t="str">
        <f aca="false">IF((F196="l"),I196," ")</f>
        <v> </v>
      </c>
      <c r="AA196" s="19" t="str">
        <f aca="false">IF((F196="y"),I196," ")</f>
        <v> </v>
      </c>
      <c r="AB196" s="19" t="str">
        <f aca="false">IF((F196="fa"),I196," ")</f>
        <v> </v>
      </c>
    </row>
    <row r="197" customFormat="false" ht="12" hidden="false" customHeight="false" outlineLevel="0" collapsed="false">
      <c r="A197" s="27"/>
      <c r="F197" s="58" t="str">
        <f aca="false">IF((G197&lt;&gt;0),"Enter Letter"," ")</f>
        <v> </v>
      </c>
      <c r="G197" s="29"/>
      <c r="H197" s="6" t="str">
        <f aca="false">IF(G197&lt;&gt;0,G197*H$2/(100+H$2)," ")</f>
        <v> </v>
      </c>
      <c r="I197" s="6" t="str">
        <f aca="false">IF((G197&lt;&gt;0),G197-H197," ")</f>
        <v> </v>
      </c>
      <c r="J197" s="5"/>
      <c r="M197" s="7" t="str">
        <f aca="false">IF(G197&lt;&gt;0,G197-L197," ")</f>
        <v> </v>
      </c>
      <c r="N197" s="8" t="str">
        <f aca="false">IF((G197-L197)&lt;&gt;0,N$1-A197," ")</f>
        <v> </v>
      </c>
      <c r="O197" s="5"/>
      <c r="P197" s="19" t="str">
        <f aca="false">IF((F197="s"),I197," ")</f>
        <v> </v>
      </c>
      <c r="Q197" s="19" t="str">
        <f aca="false">IF((F197="c"),I197," ")</f>
        <v> </v>
      </c>
      <c r="R197" s="19" t="str">
        <f aca="false">IF((F197="o"),I197," ")</f>
        <v> </v>
      </c>
      <c r="S197" s="19" t="str">
        <f aca="false">IF((F197="w"),I197," ")</f>
        <v> </v>
      </c>
      <c r="T197" s="19" t="str">
        <f aca="false">IF((F197="p"),I197," ")</f>
        <v> </v>
      </c>
      <c r="U197" s="19" t="str">
        <f aca="false">IF((F197="m"),I197," ")</f>
        <v> </v>
      </c>
      <c r="V197" s="19" t="str">
        <f aca="false">IF((F197="g"),I197," ")</f>
        <v> </v>
      </c>
      <c r="W197" s="29" t="str">
        <f aca="false">IF((F197="v"),I197," ")</f>
        <v> </v>
      </c>
      <c r="X197" s="19" t="str">
        <f aca="false">IF((F197="h"),I197," ")</f>
        <v> </v>
      </c>
      <c r="Y197" s="19" t="str">
        <f aca="false">IF((F197="a"),I197," ")</f>
        <v> </v>
      </c>
      <c r="Z197" s="19" t="str">
        <f aca="false">IF((F197="l"),I197," ")</f>
        <v> </v>
      </c>
      <c r="AA197" s="19" t="str">
        <f aca="false">IF((F197="y"),I197," ")</f>
        <v> </v>
      </c>
      <c r="AB197" s="19" t="str">
        <f aca="false">IF((F197="fa"),I197," ")</f>
        <v> </v>
      </c>
    </row>
    <row r="198" customFormat="false" ht="12" hidden="false" customHeight="false" outlineLevel="0" collapsed="false">
      <c r="A198" s="27"/>
      <c r="F198" s="58" t="str">
        <f aca="false">IF((G198&lt;&gt;0),"Enter Letter"," ")</f>
        <v> </v>
      </c>
      <c r="G198" s="29"/>
      <c r="H198" s="6" t="str">
        <f aca="false">IF(G198&lt;&gt;0,G198*H$2/(100+H$2)," ")</f>
        <v> </v>
      </c>
      <c r="I198" s="6" t="str">
        <f aca="false">IF((G198&lt;&gt;0),G198-H198," ")</f>
        <v> </v>
      </c>
      <c r="J198" s="5"/>
      <c r="M198" s="7" t="str">
        <f aca="false">IF(G198&lt;&gt;0,G198-L198," ")</f>
        <v> </v>
      </c>
      <c r="N198" s="8" t="str">
        <f aca="false">IF((G198-L198)&lt;&gt;0,N$1-A198," ")</f>
        <v> </v>
      </c>
      <c r="O198" s="5"/>
      <c r="P198" s="19" t="str">
        <f aca="false">IF((F198="s"),I198," ")</f>
        <v> </v>
      </c>
      <c r="Q198" s="19" t="str">
        <f aca="false">IF((F198="c"),I198," ")</f>
        <v> </v>
      </c>
      <c r="R198" s="19" t="str">
        <f aca="false">IF((F198="o"),I198," ")</f>
        <v> </v>
      </c>
      <c r="S198" s="19" t="str">
        <f aca="false">IF((F198="w"),I198," ")</f>
        <v> </v>
      </c>
      <c r="T198" s="19" t="str">
        <f aca="false">IF((F198="p"),I198," ")</f>
        <v> </v>
      </c>
      <c r="U198" s="19" t="str">
        <f aca="false">IF((F198="m"),I198," ")</f>
        <v> </v>
      </c>
      <c r="V198" s="19" t="str">
        <f aca="false">IF((F198="g"),I198," ")</f>
        <v> </v>
      </c>
      <c r="W198" s="29" t="str">
        <f aca="false">IF((F198="v"),I198," ")</f>
        <v> </v>
      </c>
      <c r="X198" s="19" t="str">
        <f aca="false">IF((F198="h"),I198," ")</f>
        <v> </v>
      </c>
      <c r="Y198" s="19" t="str">
        <f aca="false">IF((F198="a"),I198," ")</f>
        <v> </v>
      </c>
      <c r="Z198" s="19" t="str">
        <f aca="false">IF((F198="l"),I198," ")</f>
        <v> </v>
      </c>
      <c r="AA198" s="19" t="str">
        <f aca="false">IF((F198="y"),I198," ")</f>
        <v> </v>
      </c>
      <c r="AB198" s="19" t="str">
        <f aca="false">IF((F198="fa"),I198," ")</f>
        <v> </v>
      </c>
    </row>
    <row r="199" customFormat="false" ht="12" hidden="false" customHeight="false" outlineLevel="0" collapsed="false">
      <c r="A199" s="27"/>
      <c r="F199" s="58" t="str">
        <f aca="false">IF((G199&lt;&gt;0),"Enter Letter"," ")</f>
        <v> </v>
      </c>
      <c r="G199" s="29"/>
      <c r="H199" s="6" t="str">
        <f aca="false">IF(G199&lt;&gt;0,G199*H$2/(100+H$2)," ")</f>
        <v> </v>
      </c>
      <c r="I199" s="6" t="str">
        <f aca="false">IF((G199&lt;&gt;0),G199-H199," ")</f>
        <v> </v>
      </c>
      <c r="J199" s="5"/>
      <c r="M199" s="7" t="str">
        <f aca="false">IF(G199&lt;&gt;0,G199-L199," ")</f>
        <v> </v>
      </c>
      <c r="N199" s="8" t="str">
        <f aca="false">IF((G199-L199)&lt;&gt;0,N$1-A199," ")</f>
        <v> </v>
      </c>
      <c r="O199" s="5"/>
      <c r="P199" s="19" t="str">
        <f aca="false">IF((F199="s"),I199," ")</f>
        <v> </v>
      </c>
      <c r="Q199" s="19" t="str">
        <f aca="false">IF((F199="c"),I199," ")</f>
        <v> </v>
      </c>
      <c r="R199" s="19" t="str">
        <f aca="false">IF((F199="o"),I199," ")</f>
        <v> </v>
      </c>
      <c r="S199" s="19" t="str">
        <f aca="false">IF((F199="w"),I199," ")</f>
        <v> </v>
      </c>
      <c r="T199" s="19" t="str">
        <f aca="false">IF((F199="p"),I199," ")</f>
        <v> </v>
      </c>
      <c r="U199" s="19" t="str">
        <f aca="false">IF((F199="m"),I199," ")</f>
        <v> </v>
      </c>
      <c r="V199" s="19" t="str">
        <f aca="false">IF((F199="g"),I199," ")</f>
        <v> </v>
      </c>
      <c r="W199" s="29" t="str">
        <f aca="false">IF((F199="v"),I199," ")</f>
        <v> </v>
      </c>
      <c r="X199" s="19" t="str">
        <f aca="false">IF((F199="h"),I199," ")</f>
        <v> </v>
      </c>
      <c r="Y199" s="19" t="str">
        <f aca="false">IF((F199="a"),I199," ")</f>
        <v> </v>
      </c>
      <c r="Z199" s="19" t="str">
        <f aca="false">IF((F199="l"),I199," ")</f>
        <v> </v>
      </c>
      <c r="AA199" s="19" t="str">
        <f aca="false">IF((F199="y"),I199," ")</f>
        <v> </v>
      </c>
      <c r="AB199" s="19" t="str">
        <f aca="false">IF((F199="fa"),I199," ")</f>
        <v> </v>
      </c>
    </row>
    <row r="200" customFormat="false" ht="12" hidden="false" customHeight="false" outlineLevel="0" collapsed="false">
      <c r="A200" s="27"/>
      <c r="F200" s="58" t="str">
        <f aca="false">IF((G200&lt;&gt;0),"Enter Letter"," ")</f>
        <v> </v>
      </c>
      <c r="G200" s="29"/>
      <c r="H200" s="6" t="str">
        <f aca="false">IF(G200&lt;&gt;0,G200*H$2/(100+H$2)," ")</f>
        <v> </v>
      </c>
      <c r="I200" s="6" t="str">
        <f aca="false">IF((G200&lt;&gt;0),G200-H200," ")</f>
        <v> </v>
      </c>
      <c r="J200" s="5"/>
      <c r="M200" s="7" t="str">
        <f aca="false">IF(G200&lt;&gt;0,G200-L200," ")</f>
        <v> </v>
      </c>
      <c r="N200" s="8" t="str">
        <f aca="false">IF((G200-L200)&lt;&gt;0,N$1-A200," ")</f>
        <v> </v>
      </c>
      <c r="O200" s="5"/>
      <c r="P200" s="19" t="str">
        <f aca="false">IF((F200="s"),I200," ")</f>
        <v> </v>
      </c>
      <c r="Q200" s="19" t="str">
        <f aca="false">IF((F200="c"),I200," ")</f>
        <v> </v>
      </c>
      <c r="R200" s="19" t="str">
        <f aca="false">IF((F200="o"),I200," ")</f>
        <v> </v>
      </c>
      <c r="S200" s="19" t="str">
        <f aca="false">IF((F200="w"),I200," ")</f>
        <v> </v>
      </c>
      <c r="T200" s="19" t="str">
        <f aca="false">IF((F200="p"),I200," ")</f>
        <v> </v>
      </c>
      <c r="U200" s="19" t="str">
        <f aca="false">IF((F200="m"),I200," ")</f>
        <v> </v>
      </c>
      <c r="V200" s="19" t="str">
        <f aca="false">IF((F200="g"),I200," ")</f>
        <v> </v>
      </c>
      <c r="W200" s="29" t="str">
        <f aca="false">IF((F200="v"),I200," ")</f>
        <v> </v>
      </c>
      <c r="X200" s="19" t="str">
        <f aca="false">IF((F200="h"),I200," ")</f>
        <v> </v>
      </c>
      <c r="Y200" s="19" t="str">
        <f aca="false">IF((F200="a"),I200," ")</f>
        <v> </v>
      </c>
      <c r="Z200" s="19" t="str">
        <f aca="false">IF((F200="l"),I200," ")</f>
        <v> </v>
      </c>
      <c r="AA200" s="19" t="str">
        <f aca="false">IF((F200="y"),I200," ")</f>
        <v> </v>
      </c>
      <c r="AB200" s="19" t="str">
        <f aca="false">IF((F200="fa"),I200," ")</f>
        <v> </v>
      </c>
    </row>
    <row r="201" customFormat="false" ht="12" hidden="false" customHeight="false" outlineLevel="0" collapsed="false">
      <c r="A201" s="27"/>
      <c r="F201" s="58" t="str">
        <f aca="false">IF((G201&lt;&gt;0),"Enter Letter"," ")</f>
        <v> </v>
      </c>
      <c r="G201" s="29"/>
      <c r="H201" s="6" t="str">
        <f aca="false">IF(G201&lt;&gt;0,G201*H$2/(100+H$2)," ")</f>
        <v> </v>
      </c>
      <c r="I201" s="6" t="str">
        <f aca="false">IF((G201&lt;&gt;0),G201-H201," ")</f>
        <v> </v>
      </c>
      <c r="J201" s="5"/>
      <c r="M201" s="7" t="str">
        <f aca="false">IF(G201&lt;&gt;0,G201-L201," ")</f>
        <v> </v>
      </c>
      <c r="N201" s="8" t="str">
        <f aca="false">IF((G201-L201)&lt;&gt;0,N$1-A201," ")</f>
        <v> </v>
      </c>
      <c r="O201" s="5"/>
      <c r="P201" s="19" t="str">
        <f aca="false">IF((F201="s"),I201," ")</f>
        <v> </v>
      </c>
      <c r="Q201" s="19" t="str">
        <f aca="false">IF((F201="c"),I201," ")</f>
        <v> </v>
      </c>
      <c r="R201" s="19" t="str">
        <f aca="false">IF((F201="o"),I201," ")</f>
        <v> </v>
      </c>
      <c r="S201" s="19" t="str">
        <f aca="false">IF((F201="w"),I201," ")</f>
        <v> </v>
      </c>
      <c r="T201" s="19" t="str">
        <f aca="false">IF((F201="p"),I201," ")</f>
        <v> </v>
      </c>
      <c r="U201" s="19" t="str">
        <f aca="false">IF((F201="m"),I201," ")</f>
        <v> </v>
      </c>
      <c r="V201" s="19" t="str">
        <f aca="false">IF((F201="g"),I201," ")</f>
        <v> </v>
      </c>
      <c r="W201" s="29" t="str">
        <f aca="false">IF((F201="v"),I201," ")</f>
        <v> </v>
      </c>
      <c r="X201" s="19" t="str">
        <f aca="false">IF((F201="h"),I201," ")</f>
        <v> </v>
      </c>
      <c r="Y201" s="19" t="str">
        <f aca="false">IF((F201="a"),I201," ")</f>
        <v> </v>
      </c>
      <c r="Z201" s="19" t="str">
        <f aca="false">IF((F201="l"),I201," ")</f>
        <v> </v>
      </c>
      <c r="AA201" s="19" t="str">
        <f aca="false">IF((F201="y"),I201," ")</f>
        <v> </v>
      </c>
      <c r="AB201" s="19" t="str">
        <f aca="false">IF((F201="fa"),I201," ")</f>
        <v> </v>
      </c>
    </row>
    <row r="202" customFormat="false" ht="12" hidden="false" customHeight="false" outlineLevel="0" collapsed="false">
      <c r="A202" s="27"/>
      <c r="F202" s="58" t="str">
        <f aca="false">IF((G202&lt;&gt;0),"Enter Letter"," ")</f>
        <v> </v>
      </c>
      <c r="G202" s="29"/>
      <c r="H202" s="6" t="str">
        <f aca="false">IF(G202&lt;&gt;0,G202*H$2/(100+H$2)," ")</f>
        <v> </v>
      </c>
      <c r="I202" s="6" t="str">
        <f aca="false">IF((G202&lt;&gt;0),G202-H202," ")</f>
        <v> </v>
      </c>
      <c r="J202" s="5"/>
      <c r="M202" s="7" t="str">
        <f aca="false">IF(G202&lt;&gt;0,G202-L202," ")</f>
        <v> </v>
      </c>
      <c r="N202" s="8" t="str">
        <f aca="false">IF((G202-L202)&lt;&gt;0,N$1-A202," ")</f>
        <v> </v>
      </c>
      <c r="O202" s="5"/>
      <c r="P202" s="19" t="str">
        <f aca="false">IF((F202="s"),I202," ")</f>
        <v> </v>
      </c>
      <c r="Q202" s="19" t="str">
        <f aca="false">IF((F202="c"),I202," ")</f>
        <v> </v>
      </c>
      <c r="R202" s="19" t="str">
        <f aca="false">IF((F202="o"),I202," ")</f>
        <v> </v>
      </c>
      <c r="S202" s="19" t="str">
        <f aca="false">IF((F202="w"),I202," ")</f>
        <v> </v>
      </c>
      <c r="T202" s="19" t="str">
        <f aca="false">IF((F202="p"),I202," ")</f>
        <v> </v>
      </c>
      <c r="U202" s="19" t="str">
        <f aca="false">IF((F202="m"),I202," ")</f>
        <v> </v>
      </c>
      <c r="V202" s="19" t="str">
        <f aca="false">IF((F202="g"),I202," ")</f>
        <v> </v>
      </c>
      <c r="W202" s="29" t="str">
        <f aca="false">IF((F202="v"),I202," ")</f>
        <v> </v>
      </c>
      <c r="X202" s="19" t="str">
        <f aca="false">IF((F202="h"),I202," ")</f>
        <v> </v>
      </c>
      <c r="Y202" s="19" t="str">
        <f aca="false">IF((F202="a"),I202," ")</f>
        <v> </v>
      </c>
      <c r="Z202" s="19" t="str">
        <f aca="false">IF((F202="l"),I202," ")</f>
        <v> </v>
      </c>
      <c r="AA202" s="19" t="str">
        <f aca="false">IF((F202="y"),I202," ")</f>
        <v> </v>
      </c>
      <c r="AB202" s="19" t="str">
        <f aca="false">IF((F202="fa"),I202," ")</f>
        <v> </v>
      </c>
    </row>
    <row r="203" customFormat="false" ht="12" hidden="false" customHeight="false" outlineLevel="0" collapsed="false">
      <c r="A203" s="27"/>
      <c r="F203" s="58" t="str">
        <f aca="false">IF((G203&lt;&gt;0),"Enter Letter"," ")</f>
        <v> </v>
      </c>
      <c r="G203" s="29"/>
      <c r="H203" s="6" t="str">
        <f aca="false">IF(G203&lt;&gt;0,G203*H$2/(100+H$2)," ")</f>
        <v> </v>
      </c>
      <c r="I203" s="6" t="str">
        <f aca="false">IF((G203&lt;&gt;0),G203-H203," ")</f>
        <v> </v>
      </c>
      <c r="J203" s="5"/>
      <c r="M203" s="7" t="str">
        <f aca="false">IF(G203&lt;&gt;0,G203-L203," ")</f>
        <v> </v>
      </c>
      <c r="N203" s="8" t="str">
        <f aca="false">IF((G203-L203)&lt;&gt;0,N$1-A203," ")</f>
        <v> </v>
      </c>
      <c r="O203" s="5"/>
      <c r="P203" s="19" t="str">
        <f aca="false">IF((F203="s"),I203," ")</f>
        <v> </v>
      </c>
      <c r="Q203" s="19" t="str">
        <f aca="false">IF((F203="c"),I203," ")</f>
        <v> </v>
      </c>
      <c r="R203" s="19" t="str">
        <f aca="false">IF((F203="o"),I203," ")</f>
        <v> </v>
      </c>
      <c r="S203" s="19" t="str">
        <f aca="false">IF((F203="w"),I203," ")</f>
        <v> </v>
      </c>
      <c r="T203" s="19" t="str">
        <f aca="false">IF((F203="p"),I203," ")</f>
        <v> </v>
      </c>
      <c r="U203" s="19" t="str">
        <f aca="false">IF((F203="m"),I203," ")</f>
        <v> </v>
      </c>
      <c r="V203" s="19" t="str">
        <f aca="false">IF((F203="g"),I203," ")</f>
        <v> </v>
      </c>
      <c r="W203" s="29" t="str">
        <f aca="false">IF((F203="v"),I203," ")</f>
        <v> </v>
      </c>
      <c r="X203" s="19" t="str">
        <f aca="false">IF((F203="h"),I203," ")</f>
        <v> </v>
      </c>
      <c r="Y203" s="19" t="str">
        <f aca="false">IF((F203="a"),I203," ")</f>
        <v> </v>
      </c>
      <c r="Z203" s="19" t="str">
        <f aca="false">IF((F203="l"),I203," ")</f>
        <v> </v>
      </c>
      <c r="AA203" s="19" t="str">
        <f aca="false">IF((F203="y"),I203," ")</f>
        <v> </v>
      </c>
      <c r="AB203" s="19" t="str">
        <f aca="false">IF((F203="fa"),I203," ")</f>
        <v> </v>
      </c>
    </row>
    <row r="204" customFormat="false" ht="12" hidden="false" customHeight="false" outlineLevel="0" collapsed="false">
      <c r="A204" s="27"/>
      <c r="F204" s="58" t="str">
        <f aca="false">IF((G204&lt;&gt;0),"Enter Letter"," ")</f>
        <v> </v>
      </c>
      <c r="G204" s="29"/>
      <c r="H204" s="6" t="str">
        <f aca="false">IF(G204&lt;&gt;0,G204*H$2/(100+H$2)," ")</f>
        <v> </v>
      </c>
      <c r="I204" s="6" t="str">
        <f aca="false">IF((G204&lt;&gt;0),G204-H204," ")</f>
        <v> </v>
      </c>
      <c r="J204" s="5"/>
      <c r="M204" s="7" t="str">
        <f aca="false">IF(G204&lt;&gt;0,G204-L204," ")</f>
        <v> </v>
      </c>
      <c r="N204" s="8" t="str">
        <f aca="false">IF((G204-L204)&lt;&gt;0,N$1-A204," ")</f>
        <v> </v>
      </c>
      <c r="O204" s="5"/>
      <c r="P204" s="19" t="str">
        <f aca="false">IF((F204="s"),I204," ")</f>
        <v> </v>
      </c>
      <c r="Q204" s="19" t="str">
        <f aca="false">IF((F204="c"),I204," ")</f>
        <v> </v>
      </c>
      <c r="R204" s="19" t="str">
        <f aca="false">IF((F204="o"),I204," ")</f>
        <v> </v>
      </c>
      <c r="S204" s="19" t="str">
        <f aca="false">IF((F204="w"),I204," ")</f>
        <v> </v>
      </c>
      <c r="T204" s="19" t="str">
        <f aca="false">IF((F204="p"),I204," ")</f>
        <v> </v>
      </c>
      <c r="U204" s="19" t="str">
        <f aca="false">IF((F204="m"),I204," ")</f>
        <v> </v>
      </c>
      <c r="V204" s="19" t="str">
        <f aca="false">IF((F204="g"),I204," ")</f>
        <v> </v>
      </c>
      <c r="W204" s="29" t="str">
        <f aca="false">IF((F204="v"),I204," ")</f>
        <v> </v>
      </c>
      <c r="X204" s="19" t="str">
        <f aca="false">IF((F204="h"),I204," ")</f>
        <v> </v>
      </c>
      <c r="Y204" s="19" t="str">
        <f aca="false">IF((F204="a"),I204," ")</f>
        <v> </v>
      </c>
      <c r="Z204" s="19" t="str">
        <f aca="false">IF((F204="l"),I204," ")</f>
        <v> </v>
      </c>
      <c r="AA204" s="19" t="str">
        <f aca="false">IF((F204="y"),I204," ")</f>
        <v> </v>
      </c>
      <c r="AB204" s="19" t="str">
        <f aca="false">IF((F204="fa"),I204," ")</f>
        <v> </v>
      </c>
    </row>
    <row r="205" customFormat="false" ht="12" hidden="false" customHeight="false" outlineLevel="0" collapsed="false">
      <c r="A205" s="27"/>
      <c r="F205" s="58" t="str">
        <f aca="false">IF((G205&lt;&gt;0),"Enter Letter"," ")</f>
        <v> </v>
      </c>
      <c r="G205" s="29"/>
      <c r="H205" s="6" t="str">
        <f aca="false">IF(G205&lt;&gt;0,G205*H$2/(100+H$2)," ")</f>
        <v> </v>
      </c>
      <c r="I205" s="6" t="str">
        <f aca="false">IF((G205&lt;&gt;0),G205-H205," ")</f>
        <v> </v>
      </c>
      <c r="J205" s="5"/>
      <c r="M205" s="7" t="str">
        <f aca="false">IF(G205&lt;&gt;0,G205-L205," ")</f>
        <v> </v>
      </c>
      <c r="N205" s="8" t="str">
        <f aca="false">IF((G205-L205)&lt;&gt;0,N$1-A205," ")</f>
        <v> </v>
      </c>
      <c r="O205" s="5"/>
      <c r="P205" s="19" t="str">
        <f aca="false">IF((F205="s"),I205," ")</f>
        <v> </v>
      </c>
      <c r="Q205" s="19" t="str">
        <f aca="false">IF((F205="c"),I205," ")</f>
        <v> </v>
      </c>
      <c r="R205" s="19" t="str">
        <f aca="false">IF((F205="o"),I205," ")</f>
        <v> </v>
      </c>
      <c r="S205" s="19" t="str">
        <f aca="false">IF((F205="w"),I205," ")</f>
        <v> </v>
      </c>
      <c r="T205" s="19" t="str">
        <f aca="false">IF((F205="p"),I205," ")</f>
        <v> </v>
      </c>
      <c r="U205" s="19" t="str">
        <f aca="false">IF((F205="m"),I205," ")</f>
        <v> </v>
      </c>
      <c r="V205" s="19" t="str">
        <f aca="false">IF((F205="g"),I205," ")</f>
        <v> </v>
      </c>
      <c r="W205" s="29" t="str">
        <f aca="false">IF((F205="v"),I205," ")</f>
        <v> </v>
      </c>
      <c r="X205" s="19" t="str">
        <f aca="false">IF((F205="h"),I205," ")</f>
        <v> </v>
      </c>
      <c r="Y205" s="19" t="str">
        <f aca="false">IF((F205="a"),I205," ")</f>
        <v> </v>
      </c>
      <c r="Z205" s="19" t="str">
        <f aca="false">IF((F205="l"),I205," ")</f>
        <v> </v>
      </c>
      <c r="AA205" s="19" t="str">
        <f aca="false">IF((F205="y"),I205," ")</f>
        <v> </v>
      </c>
      <c r="AB205" s="19" t="str">
        <f aca="false">IF((F205="fa"),I205," ")</f>
        <v> </v>
      </c>
    </row>
    <row r="206" customFormat="false" ht="12" hidden="false" customHeight="false" outlineLevel="0" collapsed="false">
      <c r="A206" s="27"/>
      <c r="F206" s="58" t="str">
        <f aca="false">IF((G206&lt;&gt;0),"Enter Letter"," ")</f>
        <v> </v>
      </c>
      <c r="G206" s="29"/>
      <c r="H206" s="6" t="str">
        <f aca="false">IF(G206&lt;&gt;0,G206*H$2/(100+H$2)," ")</f>
        <v> </v>
      </c>
      <c r="I206" s="6" t="str">
        <f aca="false">IF((G206&lt;&gt;0),G206-H206," ")</f>
        <v> </v>
      </c>
      <c r="J206" s="5"/>
      <c r="M206" s="7" t="str">
        <f aca="false">IF(G206&lt;&gt;0,G206-L206," ")</f>
        <v> </v>
      </c>
      <c r="N206" s="8" t="str">
        <f aca="false">IF((G206-L206)&lt;&gt;0,N$1-A206," ")</f>
        <v> </v>
      </c>
      <c r="O206" s="5"/>
      <c r="P206" s="19" t="str">
        <f aca="false">IF((F206="s"),I206," ")</f>
        <v> </v>
      </c>
      <c r="Q206" s="19" t="str">
        <f aca="false">IF((F206="c"),I206," ")</f>
        <v> </v>
      </c>
      <c r="R206" s="19" t="str">
        <f aca="false">IF((F206="o"),I206," ")</f>
        <v> </v>
      </c>
      <c r="S206" s="19" t="str">
        <f aca="false">IF((F206="w"),I206," ")</f>
        <v> </v>
      </c>
      <c r="T206" s="19" t="str">
        <f aca="false">IF((F206="p"),I206," ")</f>
        <v> </v>
      </c>
      <c r="U206" s="19" t="str">
        <f aca="false">IF((F206="m"),I206," ")</f>
        <v> </v>
      </c>
      <c r="V206" s="19" t="str">
        <f aca="false">IF((F206="g"),I206," ")</f>
        <v> </v>
      </c>
      <c r="W206" s="29" t="str">
        <f aca="false">IF((F206="v"),I206," ")</f>
        <v> </v>
      </c>
      <c r="X206" s="19" t="str">
        <f aca="false">IF((F206="h"),I206," ")</f>
        <v> </v>
      </c>
      <c r="Y206" s="19" t="str">
        <f aca="false">IF((F206="a"),I206," ")</f>
        <v> </v>
      </c>
      <c r="Z206" s="19" t="str">
        <f aca="false">IF((F206="l"),I206," ")</f>
        <v> </v>
      </c>
      <c r="AA206" s="19" t="str">
        <f aca="false">IF((F206="y"),I206," ")</f>
        <v> </v>
      </c>
      <c r="AB206" s="19" t="str">
        <f aca="false">IF((F206="fa"),I206," ")</f>
        <v> </v>
      </c>
    </row>
    <row r="207" customFormat="false" ht="12" hidden="false" customHeight="false" outlineLevel="0" collapsed="false">
      <c r="A207" s="27"/>
      <c r="F207" s="58" t="str">
        <f aca="false">IF((G207&lt;&gt;0),"Enter Letter"," ")</f>
        <v> </v>
      </c>
      <c r="G207" s="29"/>
      <c r="H207" s="6" t="str">
        <f aca="false">IF(G207&lt;&gt;0,G207*H$2/(100+H$2)," ")</f>
        <v> </v>
      </c>
      <c r="I207" s="6" t="str">
        <f aca="false">IF((G207&lt;&gt;0),G207-H207," ")</f>
        <v> </v>
      </c>
      <c r="J207" s="5"/>
      <c r="M207" s="7" t="str">
        <f aca="false">IF(G207&lt;&gt;0,G207-L207," ")</f>
        <v> </v>
      </c>
      <c r="N207" s="8" t="str">
        <f aca="false">IF((G207-L207)&lt;&gt;0,N$1-A207," ")</f>
        <v> </v>
      </c>
      <c r="O207" s="5"/>
      <c r="P207" s="19" t="str">
        <f aca="false">IF((F207="s"),I207," ")</f>
        <v> </v>
      </c>
      <c r="Q207" s="19" t="str">
        <f aca="false">IF((F207="c"),I207," ")</f>
        <v> </v>
      </c>
      <c r="R207" s="19" t="str">
        <f aca="false">IF((F207="o"),I207," ")</f>
        <v> </v>
      </c>
      <c r="S207" s="19" t="str">
        <f aca="false">IF((F207="w"),I207," ")</f>
        <v> </v>
      </c>
      <c r="T207" s="19" t="str">
        <f aca="false">IF((F207="p"),I207," ")</f>
        <v> </v>
      </c>
      <c r="U207" s="19" t="str">
        <f aca="false">IF((F207="m"),I207," ")</f>
        <v> </v>
      </c>
      <c r="V207" s="19" t="str">
        <f aca="false">IF((F207="g"),I207," ")</f>
        <v> </v>
      </c>
      <c r="W207" s="29" t="str">
        <f aca="false">IF((F207="v"),I207," ")</f>
        <v> </v>
      </c>
      <c r="X207" s="19" t="str">
        <f aca="false">IF((F207="h"),I207," ")</f>
        <v> </v>
      </c>
      <c r="Y207" s="19" t="str">
        <f aca="false">IF((F207="a"),I207," ")</f>
        <v> </v>
      </c>
      <c r="Z207" s="19" t="str">
        <f aca="false">IF((F207="l"),I207," ")</f>
        <v> </v>
      </c>
      <c r="AA207" s="19" t="str">
        <f aca="false">IF((F207="y"),I207," ")</f>
        <v> </v>
      </c>
      <c r="AB207" s="19" t="str">
        <f aca="false">IF((F207="fa"),I207," ")</f>
        <v> </v>
      </c>
    </row>
    <row r="208" customFormat="false" ht="12" hidden="false" customHeight="false" outlineLevel="0" collapsed="false">
      <c r="A208" s="27"/>
      <c r="F208" s="58" t="str">
        <f aca="false">IF((G208&lt;&gt;0),"Enter Letter"," ")</f>
        <v> </v>
      </c>
      <c r="G208" s="29"/>
      <c r="H208" s="6" t="str">
        <f aca="false">IF(G208&lt;&gt;0,G208*H$2/(100+H$2)," ")</f>
        <v> </v>
      </c>
      <c r="I208" s="6" t="str">
        <f aca="false">IF((G208&lt;&gt;0),G208-H208," ")</f>
        <v> </v>
      </c>
      <c r="J208" s="5"/>
      <c r="M208" s="7" t="str">
        <f aca="false">IF(G208&lt;&gt;0,G208-L208," ")</f>
        <v> </v>
      </c>
      <c r="N208" s="8" t="str">
        <f aca="false">IF((G208-L208)&lt;&gt;0,N$1-A208," ")</f>
        <v> </v>
      </c>
      <c r="O208" s="5"/>
      <c r="P208" s="19" t="str">
        <f aca="false">IF((F208="s"),I208," ")</f>
        <v> </v>
      </c>
      <c r="Q208" s="19" t="str">
        <f aca="false">IF((F208="c"),I208," ")</f>
        <v> </v>
      </c>
      <c r="R208" s="19" t="str">
        <f aca="false">IF((F208="o"),I208," ")</f>
        <v> </v>
      </c>
      <c r="S208" s="19" t="str">
        <f aca="false">IF((F208="w"),I208," ")</f>
        <v> </v>
      </c>
      <c r="T208" s="19" t="str">
        <f aca="false">IF((F208="p"),I208," ")</f>
        <v> </v>
      </c>
      <c r="U208" s="19" t="str">
        <f aca="false">IF((F208="m"),I208," ")</f>
        <v> </v>
      </c>
      <c r="V208" s="19" t="str">
        <f aca="false">IF((F208="g"),I208," ")</f>
        <v> </v>
      </c>
      <c r="W208" s="29" t="str">
        <f aca="false">IF((F208="v"),I208," ")</f>
        <v> </v>
      </c>
      <c r="X208" s="19" t="str">
        <f aca="false">IF((F208="h"),I208," ")</f>
        <v> </v>
      </c>
      <c r="Y208" s="19" t="str">
        <f aca="false">IF((F208="a"),I208," ")</f>
        <v> </v>
      </c>
      <c r="Z208" s="19" t="str">
        <f aca="false">IF((F208="l"),I208," ")</f>
        <v> </v>
      </c>
      <c r="AA208" s="19" t="str">
        <f aca="false">IF((F208="y"),I208," ")</f>
        <v> </v>
      </c>
      <c r="AB208" s="19" t="str">
        <f aca="false">IF((F208="fa"),I208," ")</f>
        <v> </v>
      </c>
    </row>
    <row r="209" customFormat="false" ht="12" hidden="false" customHeight="false" outlineLevel="0" collapsed="false">
      <c r="A209" s="27"/>
      <c r="F209" s="58" t="str">
        <f aca="false">IF((G209&lt;&gt;0),"Enter Letter"," ")</f>
        <v> </v>
      </c>
      <c r="G209" s="29"/>
      <c r="H209" s="6" t="str">
        <f aca="false">IF(G209&lt;&gt;0,G209*H$2/(100+H$2)," ")</f>
        <v> </v>
      </c>
      <c r="I209" s="6" t="str">
        <f aca="false">IF((G209&lt;&gt;0),G209-H209," ")</f>
        <v> </v>
      </c>
      <c r="J209" s="5"/>
      <c r="M209" s="7" t="str">
        <f aca="false">IF(G209&lt;&gt;0,G209-L209," ")</f>
        <v> </v>
      </c>
      <c r="N209" s="8" t="str">
        <f aca="false">IF((G209-L209)&lt;&gt;0,N$1-A209," ")</f>
        <v> </v>
      </c>
      <c r="O209" s="5"/>
      <c r="P209" s="19" t="str">
        <f aca="false">IF((F209="s"),I209," ")</f>
        <v> </v>
      </c>
      <c r="Q209" s="19" t="str">
        <f aca="false">IF((F209="c"),I209," ")</f>
        <v> </v>
      </c>
      <c r="R209" s="19" t="str">
        <f aca="false">IF((F209="o"),I209," ")</f>
        <v> </v>
      </c>
      <c r="S209" s="19" t="str">
        <f aca="false">IF((F209="w"),I209," ")</f>
        <v> </v>
      </c>
      <c r="T209" s="19" t="str">
        <f aca="false">IF((F209="p"),I209," ")</f>
        <v> </v>
      </c>
      <c r="U209" s="19" t="str">
        <f aca="false">IF((F209="m"),I209," ")</f>
        <v> </v>
      </c>
      <c r="V209" s="19" t="str">
        <f aca="false">IF((F209="g"),I209," ")</f>
        <v> </v>
      </c>
      <c r="W209" s="29" t="str">
        <f aca="false">IF((F209="v"),I209," ")</f>
        <v> </v>
      </c>
      <c r="X209" s="19" t="str">
        <f aca="false">IF((F209="h"),I209," ")</f>
        <v> </v>
      </c>
      <c r="Y209" s="19" t="str">
        <f aca="false">IF((F209="a"),I209," ")</f>
        <v> </v>
      </c>
      <c r="Z209" s="19" t="str">
        <f aca="false">IF((F209="l"),I209," ")</f>
        <v> </v>
      </c>
      <c r="AA209" s="19" t="str">
        <f aca="false">IF((F209="y"),I209," ")</f>
        <v> </v>
      </c>
      <c r="AB209" s="19" t="str">
        <f aca="false">IF((F209="fa"),I209," ")</f>
        <v> </v>
      </c>
    </row>
    <row r="210" customFormat="false" ht="12" hidden="false" customHeight="false" outlineLevel="0" collapsed="false">
      <c r="A210" s="27"/>
      <c r="F210" s="58" t="str">
        <f aca="false">IF((G210&lt;&gt;0),"Enter Letter"," ")</f>
        <v> </v>
      </c>
      <c r="G210" s="29"/>
      <c r="H210" s="6" t="str">
        <f aca="false">IF(G210&lt;&gt;0,G210*H$2/(100+H$2)," ")</f>
        <v> </v>
      </c>
      <c r="I210" s="6" t="str">
        <f aca="false">IF((G210&lt;&gt;0),G210-H210," ")</f>
        <v> </v>
      </c>
      <c r="J210" s="5"/>
      <c r="M210" s="7" t="str">
        <f aca="false">IF(G210&lt;&gt;0,G210-L210," ")</f>
        <v> </v>
      </c>
      <c r="N210" s="8" t="str">
        <f aca="false">IF((G210-L210)&lt;&gt;0,N$1-A210," ")</f>
        <v> </v>
      </c>
      <c r="O210" s="5"/>
      <c r="P210" s="19" t="str">
        <f aca="false">IF((F210="s"),I210," ")</f>
        <v> </v>
      </c>
      <c r="Q210" s="19" t="str">
        <f aca="false">IF((F210="c"),I210," ")</f>
        <v> </v>
      </c>
      <c r="R210" s="19" t="str">
        <f aca="false">IF((F210="o"),I210," ")</f>
        <v> </v>
      </c>
      <c r="S210" s="19" t="str">
        <f aca="false">IF((F210="w"),I210," ")</f>
        <v> </v>
      </c>
      <c r="T210" s="19" t="str">
        <f aca="false">IF((F210="p"),I210," ")</f>
        <v> </v>
      </c>
      <c r="U210" s="19" t="str">
        <f aca="false">IF((F210="m"),I210," ")</f>
        <v> </v>
      </c>
      <c r="V210" s="19" t="str">
        <f aca="false">IF((F210="g"),I210," ")</f>
        <v> </v>
      </c>
      <c r="W210" s="29" t="str">
        <f aca="false">IF((F210="v"),I210," ")</f>
        <v> </v>
      </c>
      <c r="X210" s="19" t="str">
        <f aca="false">IF((F210="h"),I210," ")</f>
        <v> </v>
      </c>
      <c r="Y210" s="19" t="str">
        <f aca="false">IF((F210="a"),I210," ")</f>
        <v> </v>
      </c>
      <c r="Z210" s="19" t="str">
        <f aca="false">IF((F210="l"),I210," ")</f>
        <v> </v>
      </c>
      <c r="AA210" s="19" t="str">
        <f aca="false">IF((F210="y"),I210," ")</f>
        <v> </v>
      </c>
      <c r="AB210" s="19" t="str">
        <f aca="false">IF((F210="fa"),I210," ")</f>
        <v> </v>
      </c>
    </row>
    <row r="211" customFormat="false" ht="12" hidden="false" customHeight="false" outlineLevel="0" collapsed="false">
      <c r="A211" s="27"/>
      <c r="F211" s="58" t="str">
        <f aca="false">IF((G211&lt;&gt;0),"Enter Letter"," ")</f>
        <v> </v>
      </c>
      <c r="G211" s="29"/>
      <c r="H211" s="6" t="str">
        <f aca="false">IF(G211&lt;&gt;0,G211*H$2/(100+H$2)," ")</f>
        <v> </v>
      </c>
      <c r="I211" s="6" t="str">
        <f aca="false">IF((G211&lt;&gt;0),G211-H211," ")</f>
        <v> </v>
      </c>
      <c r="J211" s="5"/>
      <c r="M211" s="7" t="str">
        <f aca="false">IF(G211&lt;&gt;0,G211-L211," ")</f>
        <v> </v>
      </c>
      <c r="N211" s="8" t="str">
        <f aca="false">IF((G211-L211)&lt;&gt;0,N$1-A211," ")</f>
        <v> </v>
      </c>
      <c r="O211" s="5"/>
      <c r="P211" s="19" t="str">
        <f aca="false">IF((F211="s"),I211," ")</f>
        <v> </v>
      </c>
      <c r="Q211" s="19" t="str">
        <f aca="false">IF((F211="c"),I211," ")</f>
        <v> </v>
      </c>
      <c r="R211" s="19" t="str">
        <f aca="false">IF((F211="o"),I211," ")</f>
        <v> </v>
      </c>
      <c r="S211" s="19" t="str">
        <f aca="false">IF((F211="w"),I211," ")</f>
        <v> </v>
      </c>
      <c r="T211" s="19" t="str">
        <f aca="false">IF((F211="p"),I211," ")</f>
        <v> </v>
      </c>
      <c r="U211" s="19" t="str">
        <f aca="false">IF((F211="m"),I211," ")</f>
        <v> </v>
      </c>
      <c r="V211" s="19" t="str">
        <f aca="false">IF((F211="g"),I211," ")</f>
        <v> </v>
      </c>
      <c r="W211" s="29" t="str">
        <f aca="false">IF((F211="v"),I211," ")</f>
        <v> </v>
      </c>
      <c r="X211" s="19" t="str">
        <f aca="false">IF((F211="h"),I211," ")</f>
        <v> </v>
      </c>
      <c r="Y211" s="19" t="str">
        <f aca="false">IF((F211="a"),I211," ")</f>
        <v> </v>
      </c>
      <c r="Z211" s="19" t="str">
        <f aca="false">IF((F211="l"),I211," ")</f>
        <v> </v>
      </c>
      <c r="AA211" s="19" t="str">
        <f aca="false">IF((F211="y"),I211," ")</f>
        <v> </v>
      </c>
      <c r="AB211" s="19" t="str">
        <f aca="false">IF((F211="fa"),I211," ")</f>
        <v> </v>
      </c>
    </row>
    <row r="212" customFormat="false" ht="12" hidden="false" customHeight="false" outlineLevel="0" collapsed="false">
      <c r="A212" s="27"/>
      <c r="F212" s="58" t="str">
        <f aca="false">IF((G212&lt;&gt;0),"Enter Letter"," ")</f>
        <v> </v>
      </c>
      <c r="G212" s="29"/>
      <c r="H212" s="6" t="str">
        <f aca="false">IF(G212&lt;&gt;0,G212*H$2/(100+H$2)," ")</f>
        <v> </v>
      </c>
      <c r="I212" s="6" t="str">
        <f aca="false">IF((G212&lt;&gt;0),G212-H212," ")</f>
        <v> </v>
      </c>
      <c r="J212" s="5"/>
      <c r="M212" s="7" t="str">
        <f aca="false">IF(G212&lt;&gt;0,G212-L212," ")</f>
        <v> </v>
      </c>
      <c r="N212" s="8" t="str">
        <f aca="false">IF((G212-L212)&lt;&gt;0,N$1-A212," ")</f>
        <v> </v>
      </c>
      <c r="O212" s="5"/>
      <c r="P212" s="19" t="str">
        <f aca="false">IF((F212="s"),I212," ")</f>
        <v> </v>
      </c>
      <c r="Q212" s="19" t="str">
        <f aca="false">IF((F212="c"),I212," ")</f>
        <v> </v>
      </c>
      <c r="R212" s="19" t="str">
        <f aca="false">IF((F212="o"),I212," ")</f>
        <v> </v>
      </c>
      <c r="S212" s="19" t="str">
        <f aca="false">IF((F212="w"),I212," ")</f>
        <v> </v>
      </c>
      <c r="T212" s="19" t="str">
        <f aca="false">IF((F212="p"),I212," ")</f>
        <v> </v>
      </c>
      <c r="U212" s="19" t="str">
        <f aca="false">IF((F212="m"),I212," ")</f>
        <v> </v>
      </c>
      <c r="V212" s="19" t="str">
        <f aca="false">IF((F212="g"),I212," ")</f>
        <v> </v>
      </c>
      <c r="W212" s="29" t="str">
        <f aca="false">IF((F212="v"),I212," ")</f>
        <v> </v>
      </c>
      <c r="X212" s="19" t="str">
        <f aca="false">IF((F212="h"),I212," ")</f>
        <v> </v>
      </c>
      <c r="Y212" s="19" t="str">
        <f aca="false">IF((F212="a"),I212," ")</f>
        <v> </v>
      </c>
      <c r="Z212" s="19" t="str">
        <f aca="false">IF((F212="l"),I212," ")</f>
        <v> </v>
      </c>
      <c r="AA212" s="19" t="str">
        <f aca="false">IF((F212="y"),I212," ")</f>
        <v> </v>
      </c>
      <c r="AB212" s="19" t="str">
        <f aca="false">IF((F212="fa"),I212," ")</f>
        <v> </v>
      </c>
    </row>
    <row r="213" customFormat="false" ht="12" hidden="false" customHeight="false" outlineLevel="0" collapsed="false">
      <c r="A213" s="27"/>
      <c r="F213" s="58" t="str">
        <f aca="false">IF((G213&lt;&gt;0),"Enter Letter"," ")</f>
        <v> </v>
      </c>
      <c r="G213" s="29"/>
      <c r="H213" s="6" t="str">
        <f aca="false">IF(G213&lt;&gt;0,G213*H$2/(100+H$2)," ")</f>
        <v> </v>
      </c>
      <c r="I213" s="6" t="str">
        <f aca="false">IF((G213&lt;&gt;0),G213-H213," ")</f>
        <v> </v>
      </c>
      <c r="J213" s="5"/>
      <c r="M213" s="7" t="str">
        <f aca="false">IF(G213&lt;&gt;0,G213-L213," ")</f>
        <v> </v>
      </c>
      <c r="N213" s="8" t="str">
        <f aca="false">IF((G213-L213)&lt;&gt;0,N$1-A213," ")</f>
        <v> </v>
      </c>
      <c r="O213" s="5"/>
      <c r="P213" s="19" t="str">
        <f aca="false">IF((F213="s"),I213," ")</f>
        <v> </v>
      </c>
      <c r="Q213" s="19" t="str">
        <f aca="false">IF((F213="c"),I213," ")</f>
        <v> </v>
      </c>
      <c r="R213" s="19" t="str">
        <f aca="false">IF((F213="o"),I213," ")</f>
        <v> </v>
      </c>
      <c r="S213" s="19" t="str">
        <f aca="false">IF((F213="w"),I213," ")</f>
        <v> </v>
      </c>
      <c r="T213" s="19" t="str">
        <f aca="false">IF((F213="p"),I213," ")</f>
        <v> </v>
      </c>
      <c r="U213" s="19" t="str">
        <f aca="false">IF((F213="m"),I213," ")</f>
        <v> </v>
      </c>
      <c r="V213" s="19" t="str">
        <f aca="false">IF((F213="g"),I213," ")</f>
        <v> </v>
      </c>
      <c r="W213" s="29" t="str">
        <f aca="false">IF((F213="v"),I213," ")</f>
        <v> </v>
      </c>
      <c r="X213" s="19" t="str">
        <f aca="false">IF((F213="h"),I213," ")</f>
        <v> </v>
      </c>
      <c r="Y213" s="19" t="str">
        <f aca="false">IF((F213="a"),I213," ")</f>
        <v> </v>
      </c>
      <c r="Z213" s="19" t="str">
        <f aca="false">IF((F213="l"),I213," ")</f>
        <v> </v>
      </c>
      <c r="AA213" s="19" t="str">
        <f aca="false">IF((F213="y"),I213," ")</f>
        <v> </v>
      </c>
      <c r="AB213" s="19" t="str">
        <f aca="false">IF((F213="fa"),I213," ")</f>
        <v> </v>
      </c>
    </row>
    <row r="214" customFormat="false" ht="12" hidden="false" customHeight="false" outlineLevel="0" collapsed="false">
      <c r="A214" s="27"/>
      <c r="F214" s="58" t="str">
        <f aca="false">IF((G214&lt;&gt;0),"Enter Letter"," ")</f>
        <v> </v>
      </c>
      <c r="G214" s="29"/>
      <c r="H214" s="6" t="str">
        <f aca="false">IF(G214&lt;&gt;0,G214*H$2/(100+H$2)," ")</f>
        <v> </v>
      </c>
      <c r="I214" s="6" t="str">
        <f aca="false">IF((G214&lt;&gt;0),G214-H214," ")</f>
        <v> </v>
      </c>
      <c r="J214" s="5"/>
      <c r="M214" s="7" t="str">
        <f aca="false">IF(G214&lt;&gt;0,G214-L214," ")</f>
        <v> </v>
      </c>
      <c r="N214" s="8" t="str">
        <f aca="false">IF((G214-L214)&lt;&gt;0,N$1-A214," ")</f>
        <v> </v>
      </c>
      <c r="O214" s="5"/>
      <c r="P214" s="19" t="str">
        <f aca="false">IF((F214="s"),I214," ")</f>
        <v> </v>
      </c>
      <c r="Q214" s="19" t="str">
        <f aca="false">IF((F214="c"),I214," ")</f>
        <v> </v>
      </c>
      <c r="R214" s="19" t="str">
        <f aca="false">IF((F214="o"),I214," ")</f>
        <v> </v>
      </c>
      <c r="S214" s="19" t="str">
        <f aca="false">IF((F214="w"),I214," ")</f>
        <v> </v>
      </c>
      <c r="T214" s="19" t="str">
        <f aca="false">IF((F214="p"),I214," ")</f>
        <v> </v>
      </c>
      <c r="U214" s="19" t="str">
        <f aca="false">IF((F214="m"),I214," ")</f>
        <v> </v>
      </c>
      <c r="V214" s="19" t="str">
        <f aca="false">IF((F214="g"),I214," ")</f>
        <v> </v>
      </c>
      <c r="W214" s="29" t="str">
        <f aca="false">IF((F214="v"),I214," ")</f>
        <v> </v>
      </c>
      <c r="X214" s="19" t="str">
        <f aca="false">IF((F214="h"),I214," ")</f>
        <v> </v>
      </c>
      <c r="Y214" s="19" t="str">
        <f aca="false">IF((F214="a"),I214," ")</f>
        <v> </v>
      </c>
      <c r="Z214" s="19" t="str">
        <f aca="false">IF((F214="l"),I214," ")</f>
        <v> </v>
      </c>
      <c r="AA214" s="19" t="str">
        <f aca="false">IF((F214="y"),I214," ")</f>
        <v> </v>
      </c>
      <c r="AB214" s="19" t="str">
        <f aca="false">IF((F214="fa"),I214," ")</f>
        <v> </v>
      </c>
    </row>
    <row r="215" customFormat="false" ht="12" hidden="false" customHeight="false" outlineLevel="0" collapsed="false">
      <c r="A215" s="27"/>
      <c r="F215" s="58" t="str">
        <f aca="false">IF((G215&lt;&gt;0),"Enter Letter"," ")</f>
        <v> </v>
      </c>
      <c r="G215" s="29"/>
      <c r="H215" s="6" t="str">
        <f aca="false">IF(G215&lt;&gt;0,G215*H$2/(100+H$2)," ")</f>
        <v> </v>
      </c>
      <c r="I215" s="6" t="str">
        <f aca="false">IF((G215&lt;&gt;0),G215-H215," ")</f>
        <v> </v>
      </c>
      <c r="J215" s="5"/>
      <c r="M215" s="7" t="str">
        <f aca="false">IF(G215&lt;&gt;0,G215-L215," ")</f>
        <v> </v>
      </c>
      <c r="N215" s="8" t="str">
        <f aca="false">IF((G215-L215)&lt;&gt;0,N$1-A215," ")</f>
        <v> </v>
      </c>
      <c r="O215" s="5"/>
      <c r="P215" s="19" t="str">
        <f aca="false">IF((F215="s"),I215," ")</f>
        <v> </v>
      </c>
      <c r="Q215" s="19" t="str">
        <f aca="false">IF((F215="c"),I215," ")</f>
        <v> </v>
      </c>
      <c r="R215" s="19" t="str">
        <f aca="false">IF((F215="o"),I215," ")</f>
        <v> </v>
      </c>
      <c r="S215" s="19" t="str">
        <f aca="false">IF((F215="w"),I215," ")</f>
        <v> </v>
      </c>
      <c r="T215" s="19" t="str">
        <f aca="false">IF((F215="p"),I215," ")</f>
        <v> </v>
      </c>
      <c r="U215" s="19" t="str">
        <f aca="false">IF((F215="m"),I215," ")</f>
        <v> </v>
      </c>
      <c r="V215" s="19" t="str">
        <f aca="false">IF((F215="g"),I215," ")</f>
        <v> </v>
      </c>
      <c r="W215" s="29" t="str">
        <f aca="false">IF((F215="v"),I215," ")</f>
        <v> </v>
      </c>
      <c r="X215" s="19" t="str">
        <f aca="false">IF((F215="h"),I215," ")</f>
        <v> </v>
      </c>
      <c r="Y215" s="19" t="str">
        <f aca="false">IF((F215="a"),I215," ")</f>
        <v> </v>
      </c>
      <c r="Z215" s="19" t="str">
        <f aca="false">IF((F215="l"),I215," ")</f>
        <v> </v>
      </c>
      <c r="AA215" s="19" t="str">
        <f aca="false">IF((F215="y"),I215," ")</f>
        <v> </v>
      </c>
      <c r="AB215" s="19" t="str">
        <f aca="false">IF((F215="fa"),I215," ")</f>
        <v> </v>
      </c>
    </row>
    <row r="216" customFormat="false" ht="12" hidden="false" customHeight="false" outlineLevel="0" collapsed="false">
      <c r="A216" s="27"/>
      <c r="F216" s="58" t="str">
        <f aca="false">IF((G216&lt;&gt;0),"Enter Letter"," ")</f>
        <v> </v>
      </c>
      <c r="G216" s="29"/>
      <c r="H216" s="6" t="str">
        <f aca="false">IF(G216&lt;&gt;0,G216*H$2/(100+H$2)," ")</f>
        <v> </v>
      </c>
      <c r="I216" s="6" t="str">
        <f aca="false">IF((G216&lt;&gt;0),G216-H216," ")</f>
        <v> </v>
      </c>
      <c r="J216" s="5"/>
      <c r="M216" s="7" t="str">
        <f aca="false">IF(G216&lt;&gt;0,G216-L216," ")</f>
        <v> </v>
      </c>
      <c r="N216" s="8" t="str">
        <f aca="false">IF((G216-L216)&lt;&gt;0,N$1-A216," ")</f>
        <v> </v>
      </c>
      <c r="O216" s="5"/>
      <c r="P216" s="19" t="str">
        <f aca="false">IF((F216="s"),I216," ")</f>
        <v> </v>
      </c>
      <c r="Q216" s="19" t="str">
        <f aca="false">IF((F216="c"),I216," ")</f>
        <v> </v>
      </c>
      <c r="R216" s="19" t="str">
        <f aca="false">IF((F216="o"),I216," ")</f>
        <v> </v>
      </c>
      <c r="S216" s="19" t="str">
        <f aca="false">IF((F216="w"),I216," ")</f>
        <v> </v>
      </c>
      <c r="T216" s="19" t="str">
        <f aca="false">IF((F216="p"),I216," ")</f>
        <v> </v>
      </c>
      <c r="U216" s="19" t="str">
        <f aca="false">IF((F216="m"),I216," ")</f>
        <v> </v>
      </c>
      <c r="V216" s="19" t="str">
        <f aca="false">IF((F216="g"),I216," ")</f>
        <v> </v>
      </c>
      <c r="W216" s="29" t="str">
        <f aca="false">IF((F216="v"),I216," ")</f>
        <v> </v>
      </c>
      <c r="X216" s="19" t="str">
        <f aca="false">IF((F216="h"),I216," ")</f>
        <v> </v>
      </c>
      <c r="Y216" s="19" t="str">
        <f aca="false">IF((F216="a"),I216," ")</f>
        <v> </v>
      </c>
      <c r="Z216" s="19" t="str">
        <f aca="false">IF((F216="l"),I216," ")</f>
        <v> </v>
      </c>
      <c r="AA216" s="19" t="str">
        <f aca="false">IF((F216="y"),I216," ")</f>
        <v> </v>
      </c>
      <c r="AB216" s="19" t="str">
        <f aca="false">IF((F216="fa"),I216," ")</f>
        <v> </v>
      </c>
    </row>
    <row r="217" customFormat="false" ht="12" hidden="false" customHeight="false" outlineLevel="0" collapsed="false">
      <c r="A217" s="27"/>
      <c r="F217" s="58" t="str">
        <f aca="false">IF((G217&lt;&gt;0),"Enter Letter"," ")</f>
        <v> </v>
      </c>
      <c r="G217" s="29"/>
      <c r="H217" s="6" t="str">
        <f aca="false">IF(G217&lt;&gt;0,G217*H$2/(100+H$2)," ")</f>
        <v> </v>
      </c>
      <c r="I217" s="6" t="str">
        <f aca="false">IF((G217&lt;&gt;0),G217-H217," ")</f>
        <v> </v>
      </c>
      <c r="J217" s="5"/>
      <c r="M217" s="7" t="str">
        <f aca="false">IF(G217&lt;&gt;0,G217-L217," ")</f>
        <v> </v>
      </c>
      <c r="N217" s="8" t="str">
        <f aca="false">IF((G217-L217)&lt;&gt;0,N$1-A217," ")</f>
        <v> </v>
      </c>
      <c r="O217" s="5"/>
      <c r="P217" s="19" t="str">
        <f aca="false">IF((F217="s"),I217," ")</f>
        <v> </v>
      </c>
      <c r="Q217" s="19" t="str">
        <f aca="false">IF((F217="c"),I217," ")</f>
        <v> </v>
      </c>
      <c r="R217" s="19" t="str">
        <f aca="false">IF((F217="o"),I217," ")</f>
        <v> </v>
      </c>
      <c r="S217" s="19" t="str">
        <f aca="false">IF((F217="w"),I217," ")</f>
        <v> </v>
      </c>
      <c r="T217" s="19" t="str">
        <f aca="false">IF((F217="p"),I217," ")</f>
        <v> </v>
      </c>
      <c r="U217" s="19" t="str">
        <f aca="false">IF((F217="m"),I217," ")</f>
        <v> </v>
      </c>
      <c r="V217" s="19" t="str">
        <f aca="false">IF((F217="g"),I217," ")</f>
        <v> </v>
      </c>
      <c r="W217" s="29" t="str">
        <f aca="false">IF((F217="v"),I217," ")</f>
        <v> </v>
      </c>
      <c r="X217" s="19" t="str">
        <f aca="false">IF((F217="h"),I217," ")</f>
        <v> </v>
      </c>
      <c r="Y217" s="19" t="str">
        <f aca="false">IF((F217="a"),I217," ")</f>
        <v> </v>
      </c>
      <c r="Z217" s="19" t="str">
        <f aca="false">IF((F217="l"),I217," ")</f>
        <v> </v>
      </c>
      <c r="AA217" s="19" t="str">
        <f aca="false">IF((F217="y"),I217," ")</f>
        <v> </v>
      </c>
      <c r="AB217" s="19" t="str">
        <f aca="false">IF((F217="fa"),I217," ")</f>
        <v> </v>
      </c>
    </row>
    <row r="218" customFormat="false" ht="12" hidden="false" customHeight="false" outlineLevel="0" collapsed="false">
      <c r="A218" s="27"/>
      <c r="F218" s="58" t="str">
        <f aca="false">IF((G218&lt;&gt;0),"Enter Letter"," ")</f>
        <v> </v>
      </c>
      <c r="G218" s="29"/>
      <c r="H218" s="6" t="str">
        <f aca="false">IF(G218&lt;&gt;0,G218*H$2/(100+H$2)," ")</f>
        <v> </v>
      </c>
      <c r="I218" s="6" t="str">
        <f aca="false">IF((G218&lt;&gt;0),G218-H218," ")</f>
        <v> </v>
      </c>
      <c r="J218" s="5"/>
      <c r="M218" s="7" t="str">
        <f aca="false">IF(G218&lt;&gt;0,G218-L218," ")</f>
        <v> </v>
      </c>
      <c r="N218" s="8" t="str">
        <f aca="false">IF((G218-L218)&lt;&gt;0,N$1-A218," ")</f>
        <v> </v>
      </c>
      <c r="O218" s="5"/>
      <c r="P218" s="19" t="str">
        <f aca="false">IF((F218="s"),I218," ")</f>
        <v> </v>
      </c>
      <c r="Q218" s="19" t="str">
        <f aca="false">IF((F218="c"),I218," ")</f>
        <v> </v>
      </c>
      <c r="R218" s="19" t="str">
        <f aca="false">IF((F218="o"),I218," ")</f>
        <v> </v>
      </c>
      <c r="S218" s="19" t="str">
        <f aca="false">IF((F218="w"),I218," ")</f>
        <v> </v>
      </c>
      <c r="T218" s="19" t="str">
        <f aca="false">IF((F218="p"),I218," ")</f>
        <v> </v>
      </c>
      <c r="U218" s="19" t="str">
        <f aca="false">IF((F218="m"),I218," ")</f>
        <v> </v>
      </c>
      <c r="V218" s="19" t="str">
        <f aca="false">IF((F218="g"),I218," ")</f>
        <v> </v>
      </c>
      <c r="W218" s="29" t="str">
        <f aca="false">IF((F218="v"),I218," ")</f>
        <v> </v>
      </c>
      <c r="X218" s="19" t="str">
        <f aca="false">IF((F218="h"),I218," ")</f>
        <v> </v>
      </c>
      <c r="Y218" s="19" t="str">
        <f aca="false">IF((F218="a"),I218," ")</f>
        <v> </v>
      </c>
      <c r="Z218" s="19" t="str">
        <f aca="false">IF((F218="l"),I218," ")</f>
        <v> </v>
      </c>
      <c r="AA218" s="19" t="str">
        <f aca="false">IF((F218="y"),I218," ")</f>
        <v> </v>
      </c>
      <c r="AB218" s="19" t="str">
        <f aca="false">IF((F218="fa"),I218," ")</f>
        <v> </v>
      </c>
    </row>
    <row r="219" customFormat="false" ht="12" hidden="false" customHeight="false" outlineLevel="0" collapsed="false">
      <c r="A219" s="27"/>
      <c r="F219" s="58" t="str">
        <f aca="false">IF((G219&lt;&gt;0),"Enter Letter"," ")</f>
        <v> </v>
      </c>
      <c r="G219" s="29"/>
      <c r="H219" s="6" t="str">
        <f aca="false">IF(G219&lt;&gt;0,G219*H$2/(100+H$2)," ")</f>
        <v> </v>
      </c>
      <c r="I219" s="6" t="str">
        <f aca="false">IF((G219&lt;&gt;0),G219-H219," ")</f>
        <v> </v>
      </c>
      <c r="J219" s="5"/>
      <c r="M219" s="7" t="str">
        <f aca="false">IF(G219&lt;&gt;0,G219-L219," ")</f>
        <v> </v>
      </c>
      <c r="N219" s="8" t="str">
        <f aca="false">IF((G219-L219)&lt;&gt;0,N$1-A219," ")</f>
        <v> </v>
      </c>
      <c r="O219" s="5"/>
      <c r="P219" s="19" t="str">
        <f aca="false">IF((F219="s"),I219," ")</f>
        <v> </v>
      </c>
      <c r="Q219" s="19" t="str">
        <f aca="false">IF((F219="c"),I219," ")</f>
        <v> </v>
      </c>
      <c r="R219" s="19" t="str">
        <f aca="false">IF((F219="o"),I219," ")</f>
        <v> </v>
      </c>
      <c r="S219" s="19" t="str">
        <f aca="false">IF((F219="w"),I219," ")</f>
        <v> </v>
      </c>
      <c r="T219" s="19" t="str">
        <f aca="false">IF((F219="p"),I219," ")</f>
        <v> </v>
      </c>
      <c r="U219" s="19" t="str">
        <f aca="false">IF((F219="m"),I219," ")</f>
        <v> </v>
      </c>
      <c r="V219" s="19" t="str">
        <f aca="false">IF((F219="g"),I219," ")</f>
        <v> </v>
      </c>
      <c r="W219" s="29" t="str">
        <f aca="false">IF((F219="v"),I219," ")</f>
        <v> </v>
      </c>
      <c r="X219" s="19" t="str">
        <f aca="false">IF((F219="h"),I219," ")</f>
        <v> </v>
      </c>
      <c r="Y219" s="19" t="str">
        <f aca="false">IF((F219="a"),I219," ")</f>
        <v> </v>
      </c>
      <c r="Z219" s="19" t="str">
        <f aca="false">IF((F219="l"),I219," ")</f>
        <v> </v>
      </c>
      <c r="AA219" s="19" t="str">
        <f aca="false">IF((F219="y"),I219," ")</f>
        <v> </v>
      </c>
      <c r="AB219" s="19" t="str">
        <f aca="false">IF((F219="fa"),I219," ")</f>
        <v> </v>
      </c>
    </row>
    <row r="220" customFormat="false" ht="12" hidden="false" customHeight="false" outlineLevel="0" collapsed="false">
      <c r="A220" s="27"/>
      <c r="F220" s="58" t="str">
        <f aca="false">IF((G220&lt;&gt;0),"Enter Letter"," ")</f>
        <v> </v>
      </c>
      <c r="G220" s="29"/>
      <c r="H220" s="6" t="str">
        <f aca="false">IF(G220&lt;&gt;0,G220*H$2/(100+H$2)," ")</f>
        <v> </v>
      </c>
      <c r="I220" s="6" t="str">
        <f aca="false">IF((G220&lt;&gt;0),G220-H220," ")</f>
        <v> </v>
      </c>
      <c r="J220" s="5"/>
      <c r="M220" s="7" t="str">
        <f aca="false">IF(G220&lt;&gt;0,G220-L220," ")</f>
        <v> </v>
      </c>
      <c r="N220" s="8" t="str">
        <f aca="false">IF((G220-L220)&lt;&gt;0,N$1-A220," ")</f>
        <v> </v>
      </c>
      <c r="O220" s="5"/>
      <c r="P220" s="19" t="str">
        <f aca="false">IF((F220="s"),I220," ")</f>
        <v> </v>
      </c>
      <c r="Q220" s="19" t="str">
        <f aca="false">IF((F220="c"),I220," ")</f>
        <v> </v>
      </c>
      <c r="R220" s="19" t="str">
        <f aca="false">IF((F220="o"),I220," ")</f>
        <v> </v>
      </c>
      <c r="S220" s="19" t="str">
        <f aca="false">IF((F220="w"),I220," ")</f>
        <v> </v>
      </c>
      <c r="T220" s="19" t="str">
        <f aca="false">IF((F220="p"),I220," ")</f>
        <v> </v>
      </c>
      <c r="U220" s="19" t="str">
        <f aca="false">IF((F220="m"),I220," ")</f>
        <v> </v>
      </c>
      <c r="V220" s="19" t="str">
        <f aca="false">IF((F220="g"),I220," ")</f>
        <v> </v>
      </c>
      <c r="W220" s="29" t="str">
        <f aca="false">IF((F220="v"),I220," ")</f>
        <v> </v>
      </c>
      <c r="X220" s="19" t="str">
        <f aca="false">IF((F220="h"),I220," ")</f>
        <v> </v>
      </c>
      <c r="Y220" s="19" t="str">
        <f aca="false">IF((F220="a"),I220," ")</f>
        <v> </v>
      </c>
      <c r="Z220" s="19" t="str">
        <f aca="false">IF((F220="l"),I220," ")</f>
        <v> </v>
      </c>
      <c r="AA220" s="19" t="str">
        <f aca="false">IF((F220="y"),I220," ")</f>
        <v> </v>
      </c>
      <c r="AB220" s="19" t="str">
        <f aca="false">IF((F220="fa"),I220," ")</f>
        <v> </v>
      </c>
    </row>
    <row r="221" customFormat="false" ht="12" hidden="false" customHeight="false" outlineLevel="0" collapsed="false">
      <c r="A221" s="27"/>
      <c r="F221" s="58" t="str">
        <f aca="false">IF((G221&lt;&gt;0),"Enter Letter"," ")</f>
        <v> </v>
      </c>
      <c r="G221" s="29"/>
      <c r="H221" s="6" t="str">
        <f aca="false">IF(G221&lt;&gt;0,G221*H$2/(100+H$2)," ")</f>
        <v> </v>
      </c>
      <c r="I221" s="6" t="str">
        <f aca="false">IF((G221&lt;&gt;0),G221-H221," ")</f>
        <v> </v>
      </c>
      <c r="J221" s="5"/>
      <c r="M221" s="7" t="str">
        <f aca="false">IF(G221&lt;&gt;0,G221-L221," ")</f>
        <v> </v>
      </c>
      <c r="N221" s="8" t="str">
        <f aca="false">IF((G221-L221)&lt;&gt;0,N$1-A221," ")</f>
        <v> </v>
      </c>
      <c r="O221" s="5"/>
      <c r="P221" s="19" t="str">
        <f aca="false">IF((F221="s"),I221," ")</f>
        <v> </v>
      </c>
      <c r="Q221" s="19" t="str">
        <f aca="false">IF((F221="c"),I221," ")</f>
        <v> </v>
      </c>
      <c r="R221" s="19" t="str">
        <f aca="false">IF((F221="o"),I221," ")</f>
        <v> </v>
      </c>
      <c r="S221" s="19" t="str">
        <f aca="false">IF((F221="w"),I221," ")</f>
        <v> </v>
      </c>
      <c r="T221" s="19" t="str">
        <f aca="false">IF((F221="p"),I221," ")</f>
        <v> </v>
      </c>
      <c r="U221" s="19" t="str">
        <f aca="false">IF((F221="m"),I221," ")</f>
        <v> </v>
      </c>
      <c r="V221" s="19" t="str">
        <f aca="false">IF((F221="g"),I221," ")</f>
        <v> </v>
      </c>
      <c r="W221" s="29" t="str">
        <f aca="false">IF((F221="v"),I221," ")</f>
        <v> </v>
      </c>
      <c r="X221" s="19" t="str">
        <f aca="false">IF((F221="h"),I221," ")</f>
        <v> </v>
      </c>
      <c r="Y221" s="19" t="str">
        <f aca="false">IF((F221="a"),I221," ")</f>
        <v> </v>
      </c>
      <c r="Z221" s="19" t="str">
        <f aca="false">IF((F221="l"),I221," ")</f>
        <v> </v>
      </c>
      <c r="AA221" s="19" t="str">
        <f aca="false">IF((F221="y"),I221," ")</f>
        <v> </v>
      </c>
      <c r="AB221" s="19" t="str">
        <f aca="false">IF((F221="fa"),I221," ")</f>
        <v> </v>
      </c>
    </row>
    <row r="222" customFormat="false" ht="12" hidden="false" customHeight="false" outlineLevel="0" collapsed="false">
      <c r="A222" s="27"/>
      <c r="F222" s="58" t="str">
        <f aca="false">IF((G222&lt;&gt;0),"Enter Letter"," ")</f>
        <v> </v>
      </c>
      <c r="G222" s="29"/>
      <c r="H222" s="6" t="str">
        <f aca="false">IF(G222&lt;&gt;0,G222*H$2/(100+H$2)," ")</f>
        <v> </v>
      </c>
      <c r="I222" s="6" t="str">
        <f aca="false">IF((G222&lt;&gt;0),G222-H222," ")</f>
        <v> </v>
      </c>
      <c r="J222" s="5"/>
      <c r="M222" s="7" t="str">
        <f aca="false">IF(G222&lt;&gt;0,G222-L222," ")</f>
        <v> </v>
      </c>
      <c r="N222" s="8" t="str">
        <f aca="false">IF((G222-L222)&lt;&gt;0,N$1-A222," ")</f>
        <v> </v>
      </c>
      <c r="O222" s="5"/>
      <c r="P222" s="19" t="str">
        <f aca="false">IF((F222="s"),I222," ")</f>
        <v> </v>
      </c>
      <c r="Q222" s="19" t="str">
        <f aca="false">IF((F222="c"),I222," ")</f>
        <v> </v>
      </c>
      <c r="R222" s="19" t="str">
        <f aca="false">IF((F222="o"),I222," ")</f>
        <v> </v>
      </c>
      <c r="S222" s="19" t="str">
        <f aca="false">IF((F222="w"),I222," ")</f>
        <v> </v>
      </c>
      <c r="T222" s="19" t="str">
        <f aca="false">IF((F222="p"),I222," ")</f>
        <v> </v>
      </c>
      <c r="U222" s="19" t="str">
        <f aca="false">IF((F222="m"),I222," ")</f>
        <v> </v>
      </c>
      <c r="V222" s="19" t="str">
        <f aca="false">IF((F222="g"),I222," ")</f>
        <v> </v>
      </c>
      <c r="W222" s="29" t="str">
        <f aca="false">IF((F222="v"),I222," ")</f>
        <v> </v>
      </c>
      <c r="X222" s="19" t="str">
        <f aca="false">IF((F222="h"),I222," ")</f>
        <v> </v>
      </c>
      <c r="Y222" s="19" t="str">
        <f aca="false">IF((F222="a"),I222," ")</f>
        <v> </v>
      </c>
      <c r="Z222" s="19" t="str">
        <f aca="false">IF((F222="l"),I222," ")</f>
        <v> </v>
      </c>
      <c r="AA222" s="19" t="str">
        <f aca="false">IF((F222="y"),I222," ")</f>
        <v> </v>
      </c>
      <c r="AB222" s="19" t="str">
        <f aca="false">IF((F222="fa"),I222," ")</f>
        <v> </v>
      </c>
    </row>
    <row r="223" customFormat="false" ht="12" hidden="false" customHeight="false" outlineLevel="0" collapsed="false">
      <c r="A223" s="27"/>
      <c r="F223" s="58" t="str">
        <f aca="false">IF((G223&lt;&gt;0),"Enter Letter"," ")</f>
        <v> </v>
      </c>
      <c r="G223" s="29"/>
      <c r="H223" s="6" t="str">
        <f aca="false">IF(G223&lt;&gt;0,G223*H$2/(100+H$2)," ")</f>
        <v> </v>
      </c>
      <c r="I223" s="6" t="str">
        <f aca="false">IF((G223&lt;&gt;0),G223-H223," ")</f>
        <v> </v>
      </c>
      <c r="J223" s="5"/>
      <c r="M223" s="7" t="str">
        <f aca="false">IF(G223&lt;&gt;0,G223-L223," ")</f>
        <v> </v>
      </c>
      <c r="N223" s="8" t="str">
        <f aca="false">IF((G223-L223)&lt;&gt;0,N$1-A223," ")</f>
        <v> </v>
      </c>
      <c r="O223" s="5"/>
      <c r="P223" s="19" t="str">
        <f aca="false">IF((F223="s"),I223," ")</f>
        <v> </v>
      </c>
      <c r="Q223" s="19" t="str">
        <f aca="false">IF((F223="c"),I223," ")</f>
        <v> </v>
      </c>
      <c r="R223" s="19" t="str">
        <f aca="false">IF((F223="o"),I223," ")</f>
        <v> </v>
      </c>
      <c r="S223" s="19" t="str">
        <f aca="false">IF((F223="w"),I223," ")</f>
        <v> </v>
      </c>
      <c r="T223" s="19" t="str">
        <f aca="false">IF((F223="p"),I223," ")</f>
        <v> </v>
      </c>
      <c r="U223" s="19" t="str">
        <f aca="false">IF((F223="m"),I223," ")</f>
        <v> </v>
      </c>
      <c r="V223" s="19" t="str">
        <f aca="false">IF((F223="g"),I223," ")</f>
        <v> </v>
      </c>
      <c r="W223" s="29" t="str">
        <f aca="false">IF((F223="v"),I223," ")</f>
        <v> </v>
      </c>
      <c r="X223" s="19" t="str">
        <f aca="false">IF((F223="h"),I223," ")</f>
        <v> </v>
      </c>
      <c r="Y223" s="19" t="str">
        <f aca="false">IF((F223="a"),I223," ")</f>
        <v> </v>
      </c>
      <c r="Z223" s="19" t="str">
        <f aca="false">IF((F223="l"),I223," ")</f>
        <v> </v>
      </c>
      <c r="AA223" s="19" t="str">
        <f aca="false">IF((F223="y"),I223," ")</f>
        <v> </v>
      </c>
      <c r="AB223" s="19" t="str">
        <f aca="false">IF((F223="fa"),I223," ")</f>
        <v> </v>
      </c>
    </row>
    <row r="224" customFormat="false" ht="12" hidden="false" customHeight="false" outlineLevel="0" collapsed="false">
      <c r="A224" s="27"/>
      <c r="F224" s="58" t="str">
        <f aca="false">IF((G224&lt;&gt;0),"Enter Letter"," ")</f>
        <v> </v>
      </c>
      <c r="G224" s="29"/>
      <c r="H224" s="6" t="str">
        <f aca="false">IF(G224&lt;&gt;0,G224*H$2/(100+H$2)," ")</f>
        <v> </v>
      </c>
      <c r="I224" s="6" t="str">
        <f aca="false">IF((G224&lt;&gt;0),G224-H224," ")</f>
        <v> </v>
      </c>
      <c r="J224" s="5"/>
      <c r="M224" s="7" t="str">
        <f aca="false">IF(G224&lt;&gt;0,G224-L224," ")</f>
        <v> </v>
      </c>
      <c r="N224" s="8" t="str">
        <f aca="false">IF((G224-L224)&lt;&gt;0,N$1-A224," ")</f>
        <v> </v>
      </c>
      <c r="O224" s="5"/>
      <c r="P224" s="19" t="str">
        <f aca="false">IF((F224="s"),I224," ")</f>
        <v> </v>
      </c>
      <c r="Q224" s="19" t="str">
        <f aca="false">IF((F224="c"),I224," ")</f>
        <v> </v>
      </c>
      <c r="R224" s="19" t="str">
        <f aca="false">IF((F224="o"),I224," ")</f>
        <v> </v>
      </c>
      <c r="S224" s="19" t="str">
        <f aca="false">IF((F224="w"),I224," ")</f>
        <v> </v>
      </c>
      <c r="T224" s="19" t="str">
        <f aca="false">IF((F224="p"),I224," ")</f>
        <v> </v>
      </c>
      <c r="U224" s="19" t="str">
        <f aca="false">IF((F224="m"),I224," ")</f>
        <v> </v>
      </c>
      <c r="V224" s="19" t="str">
        <f aca="false">IF((F224="g"),I224," ")</f>
        <v> </v>
      </c>
      <c r="W224" s="29" t="str">
        <f aca="false">IF((F224="v"),I224," ")</f>
        <v> </v>
      </c>
      <c r="X224" s="19" t="str">
        <f aca="false">IF((F224="h"),I224," ")</f>
        <v> </v>
      </c>
      <c r="Y224" s="19" t="str">
        <f aca="false">IF((F224="a"),I224," ")</f>
        <v> </v>
      </c>
      <c r="Z224" s="19" t="str">
        <f aca="false">IF((F224="l"),I224," ")</f>
        <v> </v>
      </c>
      <c r="AA224" s="19" t="str">
        <f aca="false">IF((F224="y"),I224," ")</f>
        <v> </v>
      </c>
      <c r="AB224" s="19" t="str">
        <f aca="false">IF((F224="fa"),I224," ")</f>
        <v> </v>
      </c>
    </row>
    <row r="225" customFormat="false" ht="12" hidden="false" customHeight="false" outlineLevel="0" collapsed="false">
      <c r="A225" s="27"/>
      <c r="F225" s="58" t="str">
        <f aca="false">IF((G225&lt;&gt;0),"Enter Letter"," ")</f>
        <v> </v>
      </c>
      <c r="G225" s="29"/>
      <c r="H225" s="6" t="str">
        <f aca="false">IF(G225&lt;&gt;0,G225*H$2/(100+H$2)," ")</f>
        <v> </v>
      </c>
      <c r="I225" s="6" t="str">
        <f aca="false">IF((G225&lt;&gt;0),G225-H225," ")</f>
        <v> </v>
      </c>
      <c r="J225" s="5"/>
      <c r="M225" s="7" t="str">
        <f aca="false">IF(G225&lt;&gt;0,G225-L225," ")</f>
        <v> </v>
      </c>
      <c r="N225" s="8" t="str">
        <f aca="false">IF((G225-L225)&lt;&gt;0,N$1-A225," ")</f>
        <v> </v>
      </c>
      <c r="O225" s="5"/>
      <c r="P225" s="19" t="str">
        <f aca="false">IF((F225="s"),I225," ")</f>
        <v> </v>
      </c>
      <c r="Q225" s="19" t="str">
        <f aca="false">IF((F225="c"),I225," ")</f>
        <v> </v>
      </c>
      <c r="R225" s="19" t="str">
        <f aca="false">IF((F225="o"),I225," ")</f>
        <v> </v>
      </c>
      <c r="S225" s="19" t="str">
        <f aca="false">IF((F225="w"),I225," ")</f>
        <v> </v>
      </c>
      <c r="T225" s="19" t="str">
        <f aca="false">IF((F225="p"),I225," ")</f>
        <v> </v>
      </c>
      <c r="U225" s="19" t="str">
        <f aca="false">IF((F225="m"),I225," ")</f>
        <v> </v>
      </c>
      <c r="V225" s="19" t="str">
        <f aca="false">IF((F225="g"),I225," ")</f>
        <v> </v>
      </c>
      <c r="W225" s="29" t="str">
        <f aca="false">IF((F225="v"),I225," ")</f>
        <v> </v>
      </c>
      <c r="X225" s="19" t="str">
        <f aca="false">IF((F225="h"),I225," ")</f>
        <v> </v>
      </c>
      <c r="Y225" s="19" t="str">
        <f aca="false">IF((F225="a"),I225," ")</f>
        <v> </v>
      </c>
      <c r="Z225" s="19" t="str">
        <f aca="false">IF((F225="l"),I225," ")</f>
        <v> </v>
      </c>
      <c r="AA225" s="19" t="str">
        <f aca="false">IF((F225="y"),I225," ")</f>
        <v> </v>
      </c>
      <c r="AB225" s="19" t="str">
        <f aca="false">IF((F225="fa"),I225," ")</f>
        <v> </v>
      </c>
    </row>
    <row r="226" customFormat="false" ht="12" hidden="false" customHeight="false" outlineLevel="0" collapsed="false">
      <c r="A226" s="27"/>
      <c r="F226" s="58" t="str">
        <f aca="false">IF((G226&lt;&gt;0),"Enter Letter"," ")</f>
        <v> </v>
      </c>
      <c r="G226" s="29"/>
      <c r="H226" s="6" t="str">
        <f aca="false">IF(G226&lt;&gt;0,G226*H$2/(100+H$2)," ")</f>
        <v> </v>
      </c>
      <c r="I226" s="6" t="str">
        <f aca="false">IF((G226&lt;&gt;0),G226-H226," ")</f>
        <v> </v>
      </c>
      <c r="J226" s="5"/>
      <c r="M226" s="7" t="str">
        <f aca="false">IF(G226&lt;&gt;0,G226-L226," ")</f>
        <v> </v>
      </c>
      <c r="N226" s="8" t="str">
        <f aca="false">IF((G226-L226)&lt;&gt;0,N$1-A226," ")</f>
        <v> </v>
      </c>
      <c r="O226" s="5"/>
      <c r="P226" s="19" t="str">
        <f aca="false">IF((F226="s"),I226," ")</f>
        <v> </v>
      </c>
      <c r="Q226" s="19" t="str">
        <f aca="false">IF((F226="c"),I226," ")</f>
        <v> </v>
      </c>
      <c r="R226" s="19" t="str">
        <f aca="false">IF((F226="o"),I226," ")</f>
        <v> </v>
      </c>
      <c r="S226" s="19" t="str">
        <f aca="false">IF((F226="w"),I226," ")</f>
        <v> </v>
      </c>
      <c r="T226" s="19" t="str">
        <f aca="false">IF((F226="p"),I226," ")</f>
        <v> </v>
      </c>
      <c r="U226" s="19" t="str">
        <f aca="false">IF((F226="m"),I226," ")</f>
        <v> </v>
      </c>
      <c r="V226" s="19" t="str">
        <f aca="false">IF((F226="g"),I226," ")</f>
        <v> </v>
      </c>
      <c r="W226" s="29" t="str">
        <f aca="false">IF((F226="v"),I226," ")</f>
        <v> </v>
      </c>
      <c r="X226" s="19" t="str">
        <f aca="false">IF((F226="h"),I226," ")</f>
        <v> </v>
      </c>
      <c r="Y226" s="19" t="str">
        <f aca="false">IF((F226="a"),I226," ")</f>
        <v> </v>
      </c>
      <c r="Z226" s="19" t="str">
        <f aca="false">IF((F226="l"),I226," ")</f>
        <v> </v>
      </c>
      <c r="AA226" s="19" t="str">
        <f aca="false">IF((F226="y"),I226," ")</f>
        <v> </v>
      </c>
      <c r="AB226" s="19" t="str">
        <f aca="false">IF((F226="fa"),I226," ")</f>
        <v> </v>
      </c>
    </row>
    <row r="227" customFormat="false" ht="12" hidden="false" customHeight="false" outlineLevel="0" collapsed="false">
      <c r="A227" s="27"/>
      <c r="F227" s="58" t="str">
        <f aca="false">IF((G227&lt;&gt;0),"Enter Letter"," ")</f>
        <v> </v>
      </c>
      <c r="G227" s="29"/>
      <c r="H227" s="6" t="str">
        <f aca="false">IF(G227&lt;&gt;0,G227*H$2/(100+H$2)," ")</f>
        <v> </v>
      </c>
      <c r="I227" s="6" t="str">
        <f aca="false">IF((G227&lt;&gt;0),G227-H227," ")</f>
        <v> </v>
      </c>
      <c r="J227" s="5"/>
      <c r="M227" s="7" t="str">
        <f aca="false">IF(G227&lt;&gt;0,G227-L227," ")</f>
        <v> </v>
      </c>
      <c r="N227" s="8" t="str">
        <f aca="false">IF((G227-L227)&lt;&gt;0,N$1-A227," ")</f>
        <v> </v>
      </c>
      <c r="O227" s="5"/>
      <c r="P227" s="19" t="str">
        <f aca="false">IF((F227="s"),I227," ")</f>
        <v> </v>
      </c>
      <c r="Q227" s="19" t="str">
        <f aca="false">IF((F227="c"),I227," ")</f>
        <v> </v>
      </c>
      <c r="R227" s="19" t="str">
        <f aca="false">IF((F227="o"),I227," ")</f>
        <v> </v>
      </c>
      <c r="S227" s="19" t="str">
        <f aca="false">IF((F227="w"),I227," ")</f>
        <v> </v>
      </c>
      <c r="T227" s="19" t="str">
        <f aca="false">IF((F227="p"),I227," ")</f>
        <v> </v>
      </c>
      <c r="U227" s="19" t="str">
        <f aca="false">IF((F227="m"),I227," ")</f>
        <v> </v>
      </c>
      <c r="V227" s="19" t="str">
        <f aca="false">IF((F227="g"),I227," ")</f>
        <v> </v>
      </c>
      <c r="W227" s="29" t="str">
        <f aca="false">IF((F227="v"),I227," ")</f>
        <v> </v>
      </c>
      <c r="X227" s="19" t="str">
        <f aca="false">IF((F227="h"),I227," ")</f>
        <v> </v>
      </c>
      <c r="Y227" s="19" t="str">
        <f aca="false">IF((F227="a"),I227," ")</f>
        <v> </v>
      </c>
      <c r="Z227" s="19" t="str">
        <f aca="false">IF((F227="l"),I227," ")</f>
        <v> </v>
      </c>
      <c r="AA227" s="19" t="str">
        <f aca="false">IF((F227="y"),I227," ")</f>
        <v> </v>
      </c>
      <c r="AB227" s="19" t="str">
        <f aca="false">IF((F227="fa"),I227," ")</f>
        <v> </v>
      </c>
    </row>
    <row r="228" customFormat="false" ht="12" hidden="false" customHeight="false" outlineLevel="0" collapsed="false">
      <c r="A228" s="27"/>
      <c r="F228" s="58" t="str">
        <f aca="false">IF((G228&lt;&gt;0),"Enter Letter"," ")</f>
        <v> </v>
      </c>
      <c r="G228" s="29"/>
      <c r="H228" s="6" t="str">
        <f aca="false">IF(G228&lt;&gt;0,G228*H$2/(100+H$2)," ")</f>
        <v> </v>
      </c>
      <c r="I228" s="6" t="str">
        <f aca="false">IF((G228&lt;&gt;0),G228-H228," ")</f>
        <v> </v>
      </c>
      <c r="J228" s="5"/>
      <c r="M228" s="7" t="str">
        <f aca="false">IF(G228&lt;&gt;0,G228-L228," ")</f>
        <v> </v>
      </c>
      <c r="N228" s="8" t="str">
        <f aca="false">IF((G228-L228)&lt;&gt;0,N$1-A228," ")</f>
        <v> </v>
      </c>
      <c r="O228" s="5"/>
      <c r="P228" s="19" t="str">
        <f aca="false">IF((F228="s"),I228," ")</f>
        <v> </v>
      </c>
      <c r="Q228" s="19" t="str">
        <f aca="false">IF((F228="c"),I228," ")</f>
        <v> </v>
      </c>
      <c r="R228" s="19" t="str">
        <f aca="false">IF((F228="o"),I228," ")</f>
        <v> </v>
      </c>
      <c r="S228" s="19" t="str">
        <f aca="false">IF((F228="w"),I228," ")</f>
        <v> </v>
      </c>
      <c r="T228" s="19" t="str">
        <f aca="false">IF((F228="p"),I228," ")</f>
        <v> </v>
      </c>
      <c r="U228" s="19" t="str">
        <f aca="false">IF((F228="m"),I228," ")</f>
        <v> </v>
      </c>
      <c r="V228" s="19" t="str">
        <f aca="false">IF((F228="g"),I228," ")</f>
        <v> </v>
      </c>
      <c r="W228" s="29" t="str">
        <f aca="false">IF((F228="v"),I228," ")</f>
        <v> </v>
      </c>
      <c r="X228" s="19" t="str">
        <f aca="false">IF((F228="h"),I228," ")</f>
        <v> </v>
      </c>
      <c r="Y228" s="19" t="str">
        <f aca="false">IF((F228="a"),I228," ")</f>
        <v> </v>
      </c>
      <c r="Z228" s="19" t="str">
        <f aca="false">IF((F228="l"),I228," ")</f>
        <v> </v>
      </c>
      <c r="AA228" s="19" t="str">
        <f aca="false">IF((F228="y"),I228," ")</f>
        <v> </v>
      </c>
      <c r="AB228" s="19" t="str">
        <f aca="false">IF((F228="fa"),I228," ")</f>
        <v> </v>
      </c>
    </row>
    <row r="229" customFormat="false" ht="12" hidden="false" customHeight="false" outlineLevel="0" collapsed="false">
      <c r="A229" s="27"/>
      <c r="F229" s="58" t="str">
        <f aca="false">IF((G229&lt;&gt;0),"Enter Letter"," ")</f>
        <v> </v>
      </c>
      <c r="G229" s="29"/>
      <c r="H229" s="6" t="str">
        <f aca="false">IF(G229&lt;&gt;0,G229*H$2/(100+H$2)," ")</f>
        <v> </v>
      </c>
      <c r="I229" s="6" t="str">
        <f aca="false">IF((G229&lt;&gt;0),G229-H229," ")</f>
        <v> </v>
      </c>
      <c r="J229" s="5"/>
      <c r="M229" s="7" t="str">
        <f aca="false">IF(G229&lt;&gt;0,G229-L229," ")</f>
        <v> </v>
      </c>
      <c r="N229" s="8" t="str">
        <f aca="false">IF((G229-L229)&lt;&gt;0,N$1-A229," ")</f>
        <v> </v>
      </c>
      <c r="O229" s="5"/>
      <c r="P229" s="19" t="str">
        <f aca="false">IF((F229="s"),I229," ")</f>
        <v> </v>
      </c>
      <c r="Q229" s="19" t="str">
        <f aca="false">IF((F229="c"),I229," ")</f>
        <v> </v>
      </c>
      <c r="R229" s="19" t="str">
        <f aca="false">IF((F229="o"),I229," ")</f>
        <v> </v>
      </c>
      <c r="S229" s="19" t="str">
        <f aca="false">IF((F229="w"),I229," ")</f>
        <v> </v>
      </c>
      <c r="T229" s="19" t="str">
        <f aca="false">IF((F229="p"),I229," ")</f>
        <v> </v>
      </c>
      <c r="U229" s="19" t="str">
        <f aca="false">IF((F229="m"),I229," ")</f>
        <v> </v>
      </c>
      <c r="V229" s="19" t="str">
        <f aca="false">IF((F229="g"),I229," ")</f>
        <v> </v>
      </c>
      <c r="W229" s="29" t="str">
        <f aca="false">IF((F229="v"),I229," ")</f>
        <v> </v>
      </c>
      <c r="X229" s="19" t="str">
        <f aca="false">IF((F229="h"),I229," ")</f>
        <v> </v>
      </c>
      <c r="Y229" s="19" t="str">
        <f aca="false">IF((F229="a"),I229," ")</f>
        <v> </v>
      </c>
      <c r="Z229" s="19" t="str">
        <f aca="false">IF((F229="l"),I229," ")</f>
        <v> </v>
      </c>
      <c r="AA229" s="19" t="str">
        <f aca="false">IF((F229="y"),I229," ")</f>
        <v> </v>
      </c>
      <c r="AB229" s="19" t="str">
        <f aca="false">IF((F229="fa"),I229," ")</f>
        <v> </v>
      </c>
    </row>
    <row r="230" customFormat="false" ht="12" hidden="false" customHeight="false" outlineLevel="0" collapsed="false">
      <c r="A230" s="27"/>
      <c r="F230" s="58" t="str">
        <f aca="false">IF((G230&lt;&gt;0),"Enter Letter"," ")</f>
        <v> </v>
      </c>
      <c r="G230" s="29"/>
      <c r="H230" s="6" t="str">
        <f aca="false">IF(G230&lt;&gt;0,G230*H$2/(100+H$2)," ")</f>
        <v> </v>
      </c>
      <c r="I230" s="6" t="str">
        <f aca="false">IF((G230&lt;&gt;0),G230-H230," ")</f>
        <v> </v>
      </c>
      <c r="J230" s="5"/>
      <c r="M230" s="7" t="str">
        <f aca="false">IF(G230&lt;&gt;0,G230-L230," ")</f>
        <v> </v>
      </c>
      <c r="N230" s="8" t="str">
        <f aca="false">IF((G230-L230)&lt;&gt;0,N$1-A230," ")</f>
        <v> </v>
      </c>
      <c r="O230" s="5"/>
      <c r="P230" s="19" t="str">
        <f aca="false">IF((F230="s"),I230," ")</f>
        <v> </v>
      </c>
      <c r="Q230" s="19" t="str">
        <f aca="false">IF((F230="c"),I230," ")</f>
        <v> </v>
      </c>
      <c r="R230" s="19" t="str">
        <f aca="false">IF((F230="o"),I230," ")</f>
        <v> </v>
      </c>
      <c r="S230" s="19" t="str">
        <f aca="false">IF((F230="w"),I230," ")</f>
        <v> </v>
      </c>
      <c r="T230" s="19" t="str">
        <f aca="false">IF((F230="p"),I230," ")</f>
        <v> </v>
      </c>
      <c r="U230" s="19" t="str">
        <f aca="false">IF((F230="m"),I230," ")</f>
        <v> </v>
      </c>
      <c r="V230" s="19" t="str">
        <f aca="false">IF((F230="g"),I230," ")</f>
        <v> </v>
      </c>
      <c r="W230" s="29" t="str">
        <f aca="false">IF((F230="v"),I230," ")</f>
        <v> </v>
      </c>
      <c r="X230" s="19" t="str">
        <f aca="false">IF((F230="h"),I230," ")</f>
        <v> </v>
      </c>
      <c r="Y230" s="19" t="str">
        <f aca="false">IF((F230="a"),I230," ")</f>
        <v> </v>
      </c>
      <c r="Z230" s="19" t="str">
        <f aca="false">IF((F230="l"),I230," ")</f>
        <v> </v>
      </c>
      <c r="AA230" s="19" t="str">
        <f aca="false">IF((F230="y"),I230," ")</f>
        <v> </v>
      </c>
      <c r="AB230" s="19" t="str">
        <f aca="false">IF((F230="fa"),I230," ")</f>
        <v> </v>
      </c>
    </row>
    <row r="231" customFormat="false" ht="12" hidden="false" customHeight="false" outlineLevel="0" collapsed="false">
      <c r="A231" s="27"/>
      <c r="F231" s="58" t="str">
        <f aca="false">IF((G231&lt;&gt;0),"Enter Letter"," ")</f>
        <v> </v>
      </c>
      <c r="G231" s="29"/>
      <c r="H231" s="6" t="str">
        <f aca="false">IF(G231&lt;&gt;0,G231*H$2/(100+H$2)," ")</f>
        <v> </v>
      </c>
      <c r="I231" s="6" t="str">
        <f aca="false">IF((G231&lt;&gt;0),G231-H231," ")</f>
        <v> </v>
      </c>
      <c r="J231" s="5"/>
      <c r="M231" s="7" t="str">
        <f aca="false">IF(G231&lt;&gt;0,G231-L231," ")</f>
        <v> </v>
      </c>
      <c r="N231" s="8" t="str">
        <f aca="false">IF((G231-L231)&lt;&gt;0,N$1-A231," ")</f>
        <v> </v>
      </c>
      <c r="O231" s="5"/>
      <c r="P231" s="19" t="str">
        <f aca="false">IF((F231="s"),I231," ")</f>
        <v> </v>
      </c>
      <c r="Q231" s="19" t="str">
        <f aca="false">IF((F231="c"),I231," ")</f>
        <v> </v>
      </c>
      <c r="R231" s="19" t="str">
        <f aca="false">IF((F231="o"),I231," ")</f>
        <v> </v>
      </c>
      <c r="S231" s="19" t="str">
        <f aca="false">IF((F231="w"),I231," ")</f>
        <v> </v>
      </c>
      <c r="T231" s="19" t="str">
        <f aca="false">IF((F231="p"),I231," ")</f>
        <v> </v>
      </c>
      <c r="U231" s="19" t="str">
        <f aca="false">IF((F231="m"),I231," ")</f>
        <v> </v>
      </c>
      <c r="V231" s="19" t="str">
        <f aca="false">IF((F231="g"),I231," ")</f>
        <v> </v>
      </c>
      <c r="W231" s="29" t="str">
        <f aca="false">IF((F231="v"),I231," ")</f>
        <v> </v>
      </c>
      <c r="X231" s="19" t="str">
        <f aca="false">IF((F231="h"),I231," ")</f>
        <v> </v>
      </c>
      <c r="Y231" s="19" t="str">
        <f aca="false">IF((F231="a"),I231," ")</f>
        <v> </v>
      </c>
      <c r="Z231" s="19" t="str">
        <f aca="false">IF((F231="l"),I231," ")</f>
        <v> </v>
      </c>
      <c r="AA231" s="19" t="str">
        <f aca="false">IF((F231="y"),I231," ")</f>
        <v> </v>
      </c>
      <c r="AB231" s="19" t="str">
        <f aca="false">IF((F231="fa"),I231," ")</f>
        <v> </v>
      </c>
    </row>
    <row r="232" customFormat="false" ht="12" hidden="false" customHeight="false" outlineLevel="0" collapsed="false">
      <c r="A232" s="27"/>
      <c r="F232" s="58" t="str">
        <f aca="false">IF((G232&lt;&gt;0),"Enter Letter"," ")</f>
        <v> </v>
      </c>
      <c r="G232" s="29"/>
      <c r="H232" s="6" t="str">
        <f aca="false">IF(G232&lt;&gt;0,G232*H$2/(100+H$2)," ")</f>
        <v> </v>
      </c>
      <c r="I232" s="6" t="str">
        <f aca="false">IF((G232&lt;&gt;0),G232-H232," ")</f>
        <v> </v>
      </c>
      <c r="J232" s="5"/>
      <c r="M232" s="7" t="str">
        <f aca="false">IF(G232&lt;&gt;0,G232-L232," ")</f>
        <v> </v>
      </c>
      <c r="N232" s="8" t="str">
        <f aca="false">IF((G232-L232)&lt;&gt;0,N$1-A232," ")</f>
        <v> </v>
      </c>
      <c r="O232" s="5"/>
      <c r="P232" s="19" t="str">
        <f aca="false">IF((F232="s"),I232," ")</f>
        <v> </v>
      </c>
      <c r="Q232" s="19" t="str">
        <f aca="false">IF((F232="c"),I232," ")</f>
        <v> </v>
      </c>
      <c r="R232" s="19" t="str">
        <f aca="false">IF((F232="o"),I232," ")</f>
        <v> </v>
      </c>
      <c r="S232" s="19" t="str">
        <f aca="false">IF((F232="w"),I232," ")</f>
        <v> </v>
      </c>
      <c r="T232" s="19" t="str">
        <f aca="false">IF((F232="p"),I232," ")</f>
        <v> </v>
      </c>
      <c r="U232" s="19" t="str">
        <f aca="false">IF((F232="m"),I232," ")</f>
        <v> </v>
      </c>
      <c r="V232" s="19" t="str">
        <f aca="false">IF((F232="g"),I232," ")</f>
        <v> </v>
      </c>
      <c r="W232" s="29" t="str">
        <f aca="false">IF((F232="v"),I232," ")</f>
        <v> </v>
      </c>
      <c r="X232" s="19" t="str">
        <f aca="false">IF((F232="h"),I232," ")</f>
        <v> </v>
      </c>
      <c r="Y232" s="19" t="str">
        <f aca="false">IF((F232="a"),I232," ")</f>
        <v> </v>
      </c>
      <c r="Z232" s="19" t="str">
        <f aca="false">IF((F232="l"),I232," ")</f>
        <v> </v>
      </c>
      <c r="AA232" s="19" t="str">
        <f aca="false">IF((F232="y"),I232," ")</f>
        <v> </v>
      </c>
      <c r="AB232" s="19" t="str">
        <f aca="false">IF((F232="fa"),I232," ")</f>
        <v> </v>
      </c>
    </row>
    <row r="233" customFormat="false" ht="12" hidden="false" customHeight="false" outlineLevel="0" collapsed="false">
      <c r="A233" s="27"/>
      <c r="F233" s="58" t="str">
        <f aca="false">IF((G233&lt;&gt;0),"Enter Letter"," ")</f>
        <v> </v>
      </c>
      <c r="G233" s="29"/>
      <c r="H233" s="6" t="str">
        <f aca="false">IF(G233&lt;&gt;0,G233*H$2/(100+H$2)," ")</f>
        <v> </v>
      </c>
      <c r="I233" s="6" t="str">
        <f aca="false">IF((G233&lt;&gt;0),G233-H233," ")</f>
        <v> </v>
      </c>
      <c r="J233" s="5"/>
      <c r="M233" s="7" t="str">
        <f aca="false">IF(G233&lt;&gt;0,G233-L233," ")</f>
        <v> </v>
      </c>
      <c r="N233" s="8" t="str">
        <f aca="false">IF((G233-L233)&lt;&gt;0,N$1-A233," ")</f>
        <v> </v>
      </c>
      <c r="O233" s="5"/>
      <c r="P233" s="19" t="str">
        <f aca="false">IF((F233="s"),I233," ")</f>
        <v> </v>
      </c>
      <c r="Q233" s="19" t="str">
        <f aca="false">IF((F233="c"),I233," ")</f>
        <v> </v>
      </c>
      <c r="R233" s="19" t="str">
        <f aca="false">IF((F233="o"),I233," ")</f>
        <v> </v>
      </c>
      <c r="S233" s="19" t="str">
        <f aca="false">IF((F233="w"),I233," ")</f>
        <v> </v>
      </c>
      <c r="T233" s="19" t="str">
        <f aca="false">IF((F233="p"),I233," ")</f>
        <v> </v>
      </c>
      <c r="U233" s="19" t="str">
        <f aca="false">IF((F233="m"),I233," ")</f>
        <v> </v>
      </c>
      <c r="V233" s="19" t="str">
        <f aca="false">IF((F233="g"),I233," ")</f>
        <v> </v>
      </c>
      <c r="W233" s="29" t="str">
        <f aca="false">IF((F233="v"),I233," ")</f>
        <v> </v>
      </c>
      <c r="X233" s="19" t="str">
        <f aca="false">IF((F233="h"),I233," ")</f>
        <v> </v>
      </c>
      <c r="Y233" s="19" t="str">
        <f aca="false">IF((F233="a"),I233," ")</f>
        <v> </v>
      </c>
      <c r="Z233" s="19" t="str">
        <f aca="false">IF((F233="l"),I233," ")</f>
        <v> </v>
      </c>
      <c r="AA233" s="19" t="str">
        <f aca="false">IF((F233="y"),I233," ")</f>
        <v> </v>
      </c>
      <c r="AB233" s="19" t="str">
        <f aca="false">IF((F233="fa"),I233," ")</f>
        <v> </v>
      </c>
    </row>
    <row r="234" customFormat="false" ht="12" hidden="false" customHeight="false" outlineLevel="0" collapsed="false">
      <c r="A234" s="27"/>
      <c r="F234" s="58" t="str">
        <f aca="false">IF((G234&lt;&gt;0),"Enter Letter"," ")</f>
        <v> </v>
      </c>
      <c r="G234" s="29"/>
      <c r="H234" s="6" t="str">
        <f aca="false">IF(G234&lt;&gt;0,G234*H$2/(100+H$2)," ")</f>
        <v> </v>
      </c>
      <c r="I234" s="6" t="str">
        <f aca="false">IF((G234&lt;&gt;0),G234-H234," ")</f>
        <v> </v>
      </c>
      <c r="J234" s="5"/>
      <c r="M234" s="7" t="str">
        <f aca="false">IF(G234&lt;&gt;0,G234-L234," ")</f>
        <v> </v>
      </c>
      <c r="N234" s="8" t="str">
        <f aca="false">IF((G234-L234)&lt;&gt;0,N$1-A234," ")</f>
        <v> </v>
      </c>
      <c r="O234" s="5"/>
      <c r="P234" s="19" t="str">
        <f aca="false">IF((F234="s"),I234," ")</f>
        <v> </v>
      </c>
      <c r="Q234" s="19" t="str">
        <f aca="false">IF((F234="c"),I234," ")</f>
        <v> </v>
      </c>
      <c r="R234" s="19" t="str">
        <f aca="false">IF((F234="o"),I234," ")</f>
        <v> </v>
      </c>
      <c r="S234" s="19" t="str">
        <f aca="false">IF((F234="w"),I234," ")</f>
        <v> </v>
      </c>
      <c r="T234" s="19" t="str">
        <f aca="false">IF((F234="p"),I234," ")</f>
        <v> </v>
      </c>
      <c r="U234" s="19" t="str">
        <f aca="false">IF((F234="m"),I234," ")</f>
        <v> </v>
      </c>
      <c r="V234" s="19" t="str">
        <f aca="false">IF((F234="g"),I234," ")</f>
        <v> </v>
      </c>
      <c r="W234" s="29" t="str">
        <f aca="false">IF((F234="v"),I234," ")</f>
        <v> </v>
      </c>
      <c r="X234" s="19" t="str">
        <f aca="false">IF((F234="h"),I234," ")</f>
        <v> </v>
      </c>
      <c r="Y234" s="19" t="str">
        <f aca="false">IF((F234="a"),I234," ")</f>
        <v> </v>
      </c>
      <c r="Z234" s="19" t="str">
        <f aca="false">IF((F234="l"),I234," ")</f>
        <v> </v>
      </c>
      <c r="AA234" s="19" t="str">
        <f aca="false">IF((F234="y"),I234," ")</f>
        <v> </v>
      </c>
      <c r="AB234" s="19" t="str">
        <f aca="false">IF((F234="fa"),I234," ")</f>
        <v> </v>
      </c>
    </row>
    <row r="235" customFormat="false" ht="12" hidden="false" customHeight="false" outlineLevel="0" collapsed="false">
      <c r="A235" s="27"/>
      <c r="F235" s="58" t="str">
        <f aca="false">IF((G235&lt;&gt;0),"Enter Letter"," ")</f>
        <v> </v>
      </c>
      <c r="G235" s="29"/>
      <c r="H235" s="6" t="str">
        <f aca="false">IF(G235&lt;&gt;0,G235*H$2/(100+H$2)," ")</f>
        <v> </v>
      </c>
      <c r="I235" s="6" t="str">
        <f aca="false">IF((G235&lt;&gt;0),G235-H235," ")</f>
        <v> </v>
      </c>
      <c r="J235" s="5"/>
      <c r="M235" s="7" t="str">
        <f aca="false">IF(G235&lt;&gt;0,G235-L235," ")</f>
        <v> </v>
      </c>
      <c r="N235" s="8" t="str">
        <f aca="false">IF((G235-L235)&lt;&gt;0,N$1-A235," ")</f>
        <v> </v>
      </c>
      <c r="O235" s="5"/>
      <c r="P235" s="19" t="str">
        <f aca="false">IF((F235="s"),I235," ")</f>
        <v> </v>
      </c>
      <c r="Q235" s="19" t="str">
        <f aca="false">IF((F235="c"),I235," ")</f>
        <v> </v>
      </c>
      <c r="R235" s="19" t="str">
        <f aca="false">IF((F235="o"),I235," ")</f>
        <v> </v>
      </c>
      <c r="S235" s="19" t="str">
        <f aca="false">IF((F235="w"),I235," ")</f>
        <v> </v>
      </c>
      <c r="T235" s="19" t="str">
        <f aca="false">IF((F235="p"),I235," ")</f>
        <v> </v>
      </c>
      <c r="U235" s="19" t="str">
        <f aca="false">IF((F235="m"),I235," ")</f>
        <v> </v>
      </c>
      <c r="V235" s="19" t="str">
        <f aca="false">IF((F235="g"),I235," ")</f>
        <v> </v>
      </c>
      <c r="W235" s="29" t="str">
        <f aca="false">IF((F235="v"),I235," ")</f>
        <v> </v>
      </c>
      <c r="X235" s="19" t="str">
        <f aca="false">IF((F235="h"),I235," ")</f>
        <v> </v>
      </c>
      <c r="Y235" s="19" t="str">
        <f aca="false">IF((F235="a"),I235," ")</f>
        <v> </v>
      </c>
      <c r="Z235" s="19" t="str">
        <f aca="false">IF((F235="l"),I235," ")</f>
        <v> </v>
      </c>
      <c r="AA235" s="19" t="str">
        <f aca="false">IF((F235="y"),I235," ")</f>
        <v> </v>
      </c>
      <c r="AB235" s="19" t="str">
        <f aca="false">IF((F235="fa"),I235," ")</f>
        <v> </v>
      </c>
    </row>
    <row r="236" customFormat="false" ht="12" hidden="false" customHeight="false" outlineLevel="0" collapsed="false">
      <c r="A236" s="27"/>
      <c r="F236" s="58" t="str">
        <f aca="false">IF((G236&lt;&gt;0),"Enter Letter"," ")</f>
        <v> </v>
      </c>
      <c r="G236" s="29"/>
      <c r="H236" s="6" t="str">
        <f aca="false">IF(G236&lt;&gt;0,G236*H$2/(100+H$2)," ")</f>
        <v> </v>
      </c>
      <c r="I236" s="6" t="str">
        <f aca="false">IF((G236&lt;&gt;0),G236-H236," ")</f>
        <v> </v>
      </c>
      <c r="J236" s="5"/>
      <c r="M236" s="7" t="str">
        <f aca="false">IF(G236&lt;&gt;0,G236-L236," ")</f>
        <v> </v>
      </c>
      <c r="N236" s="8" t="str">
        <f aca="false">IF((G236-L236)&lt;&gt;0,N$1-A236," ")</f>
        <v> </v>
      </c>
      <c r="O236" s="5"/>
      <c r="P236" s="19" t="str">
        <f aca="false">IF((F236="s"),I236," ")</f>
        <v> </v>
      </c>
      <c r="Q236" s="19" t="str">
        <f aca="false">IF((F236="c"),I236," ")</f>
        <v> </v>
      </c>
      <c r="R236" s="19" t="str">
        <f aca="false">IF((F236="o"),I236," ")</f>
        <v> </v>
      </c>
      <c r="S236" s="19" t="str">
        <f aca="false">IF((F236="w"),I236," ")</f>
        <v> </v>
      </c>
      <c r="T236" s="19" t="str">
        <f aca="false">IF((F236="p"),I236," ")</f>
        <v> </v>
      </c>
      <c r="U236" s="19" t="str">
        <f aca="false">IF((F236="m"),I236," ")</f>
        <v> </v>
      </c>
      <c r="V236" s="19" t="str">
        <f aca="false">IF((F236="g"),I236," ")</f>
        <v> </v>
      </c>
      <c r="W236" s="29" t="str">
        <f aca="false">IF((F236="v"),I236," ")</f>
        <v> </v>
      </c>
      <c r="X236" s="19" t="str">
        <f aca="false">IF((F236="h"),I236," ")</f>
        <v> </v>
      </c>
      <c r="Y236" s="19" t="str">
        <f aca="false">IF((F236="a"),I236," ")</f>
        <v> </v>
      </c>
      <c r="Z236" s="19" t="str">
        <f aca="false">IF((F236="l"),I236," ")</f>
        <v> </v>
      </c>
      <c r="AA236" s="19" t="str">
        <f aca="false">IF((F236="y"),I236," ")</f>
        <v> </v>
      </c>
      <c r="AB236" s="19" t="str">
        <f aca="false">IF((F236="fa"),I236," ")</f>
        <v> </v>
      </c>
    </row>
    <row r="237" customFormat="false" ht="12" hidden="false" customHeight="false" outlineLevel="0" collapsed="false">
      <c r="A237" s="27"/>
      <c r="F237" s="58" t="str">
        <f aca="false">IF((G237&lt;&gt;0),"Enter Letter"," ")</f>
        <v> </v>
      </c>
      <c r="G237" s="29"/>
      <c r="H237" s="6" t="str">
        <f aca="false">IF(G237&lt;&gt;0,G237*H$2/(100+H$2)," ")</f>
        <v> </v>
      </c>
      <c r="I237" s="6" t="str">
        <f aca="false">IF((G237&lt;&gt;0),G237-H237," ")</f>
        <v> </v>
      </c>
      <c r="J237" s="5"/>
      <c r="M237" s="7" t="str">
        <f aca="false">IF(G237&lt;&gt;0,G237-L237," ")</f>
        <v> </v>
      </c>
      <c r="N237" s="8" t="str">
        <f aca="false">IF((G237-L237)&lt;&gt;0,N$1-A237," ")</f>
        <v> </v>
      </c>
      <c r="O237" s="5"/>
      <c r="P237" s="19" t="str">
        <f aca="false">IF((F237="s"),I237," ")</f>
        <v> </v>
      </c>
      <c r="Q237" s="19" t="str">
        <f aca="false">IF((F237="c"),I237," ")</f>
        <v> </v>
      </c>
      <c r="R237" s="19" t="str">
        <f aca="false">IF((F237="o"),I237," ")</f>
        <v> </v>
      </c>
      <c r="S237" s="19" t="str">
        <f aca="false">IF((F237="w"),I237," ")</f>
        <v> </v>
      </c>
      <c r="T237" s="19" t="str">
        <f aca="false">IF((F237="p"),I237," ")</f>
        <v> </v>
      </c>
      <c r="U237" s="19" t="str">
        <f aca="false">IF((F237="m"),I237," ")</f>
        <v> </v>
      </c>
      <c r="V237" s="19" t="str">
        <f aca="false">IF((F237="g"),I237," ")</f>
        <v> </v>
      </c>
      <c r="W237" s="29" t="str">
        <f aca="false">IF((F237="v"),I237," ")</f>
        <v> </v>
      </c>
      <c r="X237" s="19" t="str">
        <f aca="false">IF((F237="h"),I237," ")</f>
        <v> </v>
      </c>
      <c r="Y237" s="19" t="str">
        <f aca="false">IF((F237="a"),I237," ")</f>
        <v> </v>
      </c>
      <c r="Z237" s="19" t="str">
        <f aca="false">IF((F237="l"),I237," ")</f>
        <v> </v>
      </c>
      <c r="AA237" s="19" t="str">
        <f aca="false">IF((F237="y"),I237," ")</f>
        <v> </v>
      </c>
      <c r="AB237" s="19" t="str">
        <f aca="false">IF((F237="fa"),I237," ")</f>
        <v> </v>
      </c>
    </row>
    <row r="238" customFormat="false" ht="12" hidden="false" customHeight="false" outlineLevel="0" collapsed="false">
      <c r="A238" s="27"/>
      <c r="F238" s="58" t="str">
        <f aca="false">IF((G238&lt;&gt;0),"Enter Letter"," ")</f>
        <v> </v>
      </c>
      <c r="G238" s="29"/>
      <c r="H238" s="6" t="str">
        <f aca="false">IF(G238&lt;&gt;0,G238*H$2/(100+H$2)," ")</f>
        <v> </v>
      </c>
      <c r="I238" s="6" t="str">
        <f aca="false">IF((G238&lt;&gt;0),G238-H238," ")</f>
        <v> </v>
      </c>
      <c r="J238" s="5"/>
      <c r="M238" s="7" t="str">
        <f aca="false">IF(G238&lt;&gt;0,G238-L238," ")</f>
        <v> </v>
      </c>
      <c r="N238" s="8" t="str">
        <f aca="false">IF((G238-L238)&lt;&gt;0,N$1-A238," ")</f>
        <v> </v>
      </c>
      <c r="O238" s="5"/>
      <c r="P238" s="19" t="str">
        <f aca="false">IF((F238="s"),I238," ")</f>
        <v> </v>
      </c>
      <c r="Q238" s="19" t="str">
        <f aca="false">IF((F238="c"),I238," ")</f>
        <v> </v>
      </c>
      <c r="R238" s="19" t="str">
        <f aca="false">IF((F238="o"),I238," ")</f>
        <v> </v>
      </c>
      <c r="S238" s="19" t="str">
        <f aca="false">IF((F238="w"),I238," ")</f>
        <v> </v>
      </c>
      <c r="T238" s="19" t="str">
        <f aca="false">IF((F238="p"),I238," ")</f>
        <v> </v>
      </c>
      <c r="U238" s="19" t="str">
        <f aca="false">IF((F238="m"),I238," ")</f>
        <v> </v>
      </c>
      <c r="V238" s="19" t="str">
        <f aca="false">IF((F238="g"),I238," ")</f>
        <v> </v>
      </c>
      <c r="W238" s="29" t="str">
        <f aca="false">IF((F238="v"),I238," ")</f>
        <v> </v>
      </c>
      <c r="X238" s="19" t="str">
        <f aca="false">IF((F238="h"),I238," ")</f>
        <v> </v>
      </c>
      <c r="Y238" s="19" t="str">
        <f aca="false">IF((F238="a"),I238," ")</f>
        <v> </v>
      </c>
      <c r="Z238" s="19" t="str">
        <f aca="false">IF((F238="l"),I238," ")</f>
        <v> </v>
      </c>
      <c r="AA238" s="19" t="str">
        <f aca="false">IF((F238="y"),I238," ")</f>
        <v> </v>
      </c>
      <c r="AB238" s="19" t="str">
        <f aca="false">IF((F238="fa"),I238," ")</f>
        <v> </v>
      </c>
    </row>
    <row r="239" customFormat="false" ht="12" hidden="false" customHeight="false" outlineLevel="0" collapsed="false">
      <c r="A239" s="27"/>
      <c r="F239" s="58" t="str">
        <f aca="false">IF((G239&lt;&gt;0),"Enter Letter"," ")</f>
        <v> </v>
      </c>
      <c r="G239" s="29"/>
      <c r="H239" s="6" t="str">
        <f aca="false">IF(G239&lt;&gt;0,G239*H$2/(100+H$2)," ")</f>
        <v> </v>
      </c>
      <c r="I239" s="6" t="str">
        <f aca="false">IF((G239&lt;&gt;0),G239-H239," ")</f>
        <v> </v>
      </c>
      <c r="J239" s="5"/>
      <c r="M239" s="7" t="str">
        <f aca="false">IF(G239&lt;&gt;0,G239-L239," ")</f>
        <v> </v>
      </c>
      <c r="N239" s="8" t="str">
        <f aca="false">IF((G239-L239)&lt;&gt;0,N$1-A239," ")</f>
        <v> </v>
      </c>
      <c r="O239" s="5"/>
      <c r="P239" s="19" t="str">
        <f aca="false">IF((F239="s"),I239," ")</f>
        <v> </v>
      </c>
      <c r="Q239" s="19" t="str">
        <f aca="false">IF((F239="c"),I239," ")</f>
        <v> </v>
      </c>
      <c r="R239" s="19" t="str">
        <f aca="false">IF((F239="o"),I239," ")</f>
        <v> </v>
      </c>
      <c r="S239" s="19" t="str">
        <f aca="false">IF((F239="w"),I239," ")</f>
        <v> </v>
      </c>
      <c r="T239" s="19" t="str">
        <f aca="false">IF((F239="p"),I239," ")</f>
        <v> </v>
      </c>
      <c r="U239" s="19" t="str">
        <f aca="false">IF((F239="m"),I239," ")</f>
        <v> </v>
      </c>
      <c r="V239" s="19" t="str">
        <f aca="false">IF((F239="g"),I239," ")</f>
        <v> </v>
      </c>
      <c r="W239" s="29" t="str">
        <f aca="false">IF((F239="v"),I239," ")</f>
        <v> </v>
      </c>
      <c r="X239" s="19" t="str">
        <f aca="false">IF((F239="h"),I239," ")</f>
        <v> </v>
      </c>
      <c r="Y239" s="19" t="str">
        <f aca="false">IF((F239="a"),I239," ")</f>
        <v> </v>
      </c>
      <c r="Z239" s="19" t="str">
        <f aca="false">IF((F239="l"),I239," ")</f>
        <v> </v>
      </c>
      <c r="AA239" s="19" t="str">
        <f aca="false">IF((F239="y"),I239," ")</f>
        <v> </v>
      </c>
      <c r="AB239" s="19" t="str">
        <f aca="false">IF((F239="fa"),I239," ")</f>
        <v> </v>
      </c>
    </row>
    <row r="240" customFormat="false" ht="12" hidden="false" customHeight="false" outlineLevel="0" collapsed="false">
      <c r="A240" s="27"/>
      <c r="F240" s="58" t="str">
        <f aca="false">IF((G240&lt;&gt;0),"Enter Letter"," ")</f>
        <v> </v>
      </c>
      <c r="G240" s="29"/>
      <c r="H240" s="6" t="str">
        <f aca="false">IF(G240&lt;&gt;0,G240*H$2/(100+H$2)," ")</f>
        <v> </v>
      </c>
      <c r="I240" s="6" t="str">
        <f aca="false">IF((G240&lt;&gt;0),G240-H240," ")</f>
        <v> </v>
      </c>
      <c r="J240" s="5"/>
      <c r="M240" s="7" t="str">
        <f aca="false">IF(G240&lt;&gt;0,G240-L240," ")</f>
        <v> </v>
      </c>
      <c r="N240" s="8" t="str">
        <f aca="false">IF((G240-L240)&lt;&gt;0,N$1-A240," ")</f>
        <v> </v>
      </c>
      <c r="O240" s="5"/>
      <c r="P240" s="19" t="str">
        <f aca="false">IF((F240="s"),I240," ")</f>
        <v> </v>
      </c>
      <c r="Q240" s="19" t="str">
        <f aca="false">IF((F240="c"),I240," ")</f>
        <v> </v>
      </c>
      <c r="R240" s="19" t="str">
        <f aca="false">IF((F240="o"),I240," ")</f>
        <v> </v>
      </c>
      <c r="S240" s="19" t="str">
        <f aca="false">IF((F240="w"),I240," ")</f>
        <v> </v>
      </c>
      <c r="T240" s="19" t="str">
        <f aca="false">IF((F240="p"),I240," ")</f>
        <v> </v>
      </c>
      <c r="U240" s="19" t="str">
        <f aca="false">IF((F240="m"),I240," ")</f>
        <v> </v>
      </c>
      <c r="V240" s="19" t="str">
        <f aca="false">IF((F240="g"),I240," ")</f>
        <v> </v>
      </c>
      <c r="W240" s="29" t="str">
        <f aca="false">IF((F240="v"),I240," ")</f>
        <v> </v>
      </c>
      <c r="X240" s="19" t="str">
        <f aca="false">IF((F240="h"),I240," ")</f>
        <v> </v>
      </c>
      <c r="Y240" s="19" t="str">
        <f aca="false">IF((F240="a"),I240," ")</f>
        <v> </v>
      </c>
      <c r="Z240" s="19" t="str">
        <f aca="false">IF((F240="l"),I240," ")</f>
        <v> </v>
      </c>
      <c r="AA240" s="19" t="str">
        <f aca="false">IF((F240="y"),I240," ")</f>
        <v> </v>
      </c>
      <c r="AB240" s="19" t="str">
        <f aca="false">IF((F240="fa"),I240," ")</f>
        <v> </v>
      </c>
    </row>
    <row r="241" customFormat="false" ht="12" hidden="false" customHeight="false" outlineLevel="0" collapsed="false">
      <c r="A241" s="27"/>
      <c r="F241" s="58" t="str">
        <f aca="false">IF((G241&lt;&gt;0),"Enter Letter"," ")</f>
        <v> </v>
      </c>
      <c r="G241" s="29"/>
      <c r="H241" s="6" t="str">
        <f aca="false">IF(G241&lt;&gt;0,G241*H$2/(100+H$2)," ")</f>
        <v> </v>
      </c>
      <c r="I241" s="6" t="str">
        <f aca="false">IF((G241&lt;&gt;0),G241-H241," ")</f>
        <v> </v>
      </c>
      <c r="J241" s="5"/>
      <c r="M241" s="7" t="str">
        <f aca="false">IF(G241&lt;&gt;0,G241-L241," ")</f>
        <v> </v>
      </c>
      <c r="N241" s="8" t="str">
        <f aca="false">IF((G241-L241)&lt;&gt;0,N$1-A241," ")</f>
        <v> </v>
      </c>
      <c r="O241" s="5"/>
      <c r="P241" s="19" t="str">
        <f aca="false">IF((F241="s"),I241," ")</f>
        <v> </v>
      </c>
      <c r="Q241" s="19" t="str">
        <f aca="false">IF((F241="c"),I241," ")</f>
        <v> </v>
      </c>
      <c r="R241" s="19" t="str">
        <f aca="false">IF((F241="o"),I241," ")</f>
        <v> </v>
      </c>
      <c r="S241" s="19" t="str">
        <f aca="false">IF((F241="w"),I241," ")</f>
        <v> </v>
      </c>
      <c r="T241" s="19" t="str">
        <f aca="false">IF((F241="p"),I241," ")</f>
        <v> </v>
      </c>
      <c r="U241" s="19" t="str">
        <f aca="false">IF((F241="m"),I241," ")</f>
        <v> </v>
      </c>
      <c r="V241" s="19" t="str">
        <f aca="false">IF((F241="g"),I241," ")</f>
        <v> </v>
      </c>
      <c r="W241" s="29" t="str">
        <f aca="false">IF((F241="v"),I241," ")</f>
        <v> </v>
      </c>
      <c r="X241" s="19" t="str">
        <f aca="false">IF((F241="h"),I241," ")</f>
        <v> </v>
      </c>
      <c r="Y241" s="19" t="str">
        <f aca="false">IF((F241="a"),I241," ")</f>
        <v> </v>
      </c>
      <c r="Z241" s="19" t="str">
        <f aca="false">IF((F241="l"),I241," ")</f>
        <v> </v>
      </c>
      <c r="AA241" s="19" t="str">
        <f aca="false">IF((F241="y"),I241," ")</f>
        <v> </v>
      </c>
      <c r="AB241" s="19" t="str">
        <f aca="false">IF((F241="fa"),I241," ")</f>
        <v> </v>
      </c>
    </row>
    <row r="242" customFormat="false" ht="12" hidden="false" customHeight="false" outlineLevel="0" collapsed="false">
      <c r="A242" s="27"/>
      <c r="F242" s="58" t="str">
        <f aca="false">IF((G242&lt;&gt;0),"Enter Letter"," ")</f>
        <v> </v>
      </c>
      <c r="G242" s="29"/>
      <c r="H242" s="6" t="str">
        <f aca="false">IF(G242&lt;&gt;0,G242*H$2/(100+H$2)," ")</f>
        <v> </v>
      </c>
      <c r="I242" s="6" t="str">
        <f aca="false">IF((G242&lt;&gt;0),G242-H242," ")</f>
        <v> </v>
      </c>
      <c r="J242" s="5"/>
      <c r="M242" s="7" t="str">
        <f aca="false">IF(G242&lt;&gt;0,G242-L242," ")</f>
        <v> </v>
      </c>
      <c r="N242" s="8" t="str">
        <f aca="false">IF((G242-L242)&lt;&gt;0,N$1-A242," ")</f>
        <v> </v>
      </c>
      <c r="O242" s="5"/>
      <c r="P242" s="19" t="str">
        <f aca="false">IF((F242="s"),I242," ")</f>
        <v> </v>
      </c>
      <c r="Q242" s="19" t="str">
        <f aca="false">IF((F242="c"),I242," ")</f>
        <v> </v>
      </c>
      <c r="R242" s="19" t="str">
        <f aca="false">IF((F242="o"),I242," ")</f>
        <v> </v>
      </c>
      <c r="S242" s="19" t="str">
        <f aca="false">IF((F242="w"),I242," ")</f>
        <v> </v>
      </c>
      <c r="T242" s="19" t="str">
        <f aca="false">IF((F242="p"),I242," ")</f>
        <v> </v>
      </c>
      <c r="U242" s="19" t="str">
        <f aca="false">IF((F242="m"),I242," ")</f>
        <v> </v>
      </c>
      <c r="V242" s="19" t="str">
        <f aca="false">IF((F242="g"),I242," ")</f>
        <v> </v>
      </c>
      <c r="W242" s="29" t="str">
        <f aca="false">IF((F242="v"),I242," ")</f>
        <v> </v>
      </c>
      <c r="X242" s="19" t="str">
        <f aca="false">IF((F242="h"),I242," ")</f>
        <v> </v>
      </c>
      <c r="Y242" s="19" t="str">
        <f aca="false">IF((F242="a"),I242," ")</f>
        <v> </v>
      </c>
      <c r="Z242" s="19" t="str">
        <f aca="false">IF((F242="l"),I242," ")</f>
        <v> </v>
      </c>
      <c r="AA242" s="19" t="str">
        <f aca="false">IF((F242="y"),I242," ")</f>
        <v> </v>
      </c>
      <c r="AB242" s="19" t="str">
        <f aca="false">IF((F242="fa"),I242," ")</f>
        <v> </v>
      </c>
    </row>
    <row r="243" customFormat="false" ht="12" hidden="false" customHeight="false" outlineLevel="0" collapsed="false">
      <c r="A243" s="27"/>
      <c r="F243" s="58" t="str">
        <f aca="false">IF((G243&lt;&gt;0),"Enter Letter"," ")</f>
        <v> </v>
      </c>
      <c r="G243" s="29"/>
      <c r="H243" s="6" t="str">
        <f aca="false">IF(G243&lt;&gt;0,G243*H$2/(100+H$2)," ")</f>
        <v> </v>
      </c>
      <c r="I243" s="6" t="str">
        <f aca="false">IF((G243&lt;&gt;0),G243-H243," ")</f>
        <v> </v>
      </c>
      <c r="J243" s="5"/>
      <c r="M243" s="7" t="str">
        <f aca="false">IF(G243&lt;&gt;0,G243-L243," ")</f>
        <v> </v>
      </c>
      <c r="N243" s="8" t="str">
        <f aca="false">IF((G243-L243)&lt;&gt;0,N$1-A243," ")</f>
        <v> </v>
      </c>
      <c r="O243" s="5"/>
      <c r="P243" s="19" t="str">
        <f aca="false">IF((F243="s"),I243," ")</f>
        <v> </v>
      </c>
      <c r="Q243" s="19" t="str">
        <f aca="false">IF((F243="c"),I243," ")</f>
        <v> </v>
      </c>
      <c r="R243" s="19" t="str">
        <f aca="false">IF((F243="o"),I243," ")</f>
        <v> </v>
      </c>
      <c r="S243" s="19" t="str">
        <f aca="false">IF((F243="w"),I243," ")</f>
        <v> </v>
      </c>
      <c r="T243" s="19" t="str">
        <f aca="false">IF((F243="p"),I243," ")</f>
        <v> </v>
      </c>
      <c r="U243" s="19" t="str">
        <f aca="false">IF((F243="m"),I243," ")</f>
        <v> </v>
      </c>
      <c r="V243" s="19" t="str">
        <f aca="false">IF((F243="g"),I243," ")</f>
        <v> </v>
      </c>
      <c r="W243" s="29" t="str">
        <f aca="false">IF((F243="v"),I243," ")</f>
        <v> </v>
      </c>
      <c r="X243" s="19" t="str">
        <f aca="false">IF((F243="h"),I243," ")</f>
        <v> </v>
      </c>
      <c r="Y243" s="19" t="str">
        <f aca="false">IF((F243="a"),I243," ")</f>
        <v> </v>
      </c>
      <c r="Z243" s="19" t="str">
        <f aca="false">IF((F243="l"),I243," ")</f>
        <v> </v>
      </c>
      <c r="AA243" s="19" t="str">
        <f aca="false">IF((F243="y"),I243," ")</f>
        <v> </v>
      </c>
      <c r="AB243" s="19" t="str">
        <f aca="false">IF((F243="fa"),I243," ")</f>
        <v> </v>
      </c>
    </row>
    <row r="244" customFormat="false" ht="12" hidden="false" customHeight="false" outlineLevel="0" collapsed="false">
      <c r="A244" s="27"/>
      <c r="F244" s="58" t="str">
        <f aca="false">IF((G244&lt;&gt;0),"Enter Letter"," ")</f>
        <v> </v>
      </c>
      <c r="G244" s="29"/>
      <c r="H244" s="6" t="str">
        <f aca="false">IF(G244&lt;&gt;0,G244*H$2/(100+H$2)," ")</f>
        <v> </v>
      </c>
      <c r="I244" s="6" t="str">
        <f aca="false">IF((G244&lt;&gt;0),G244-H244," ")</f>
        <v> </v>
      </c>
      <c r="J244" s="5"/>
      <c r="M244" s="7" t="str">
        <f aca="false">IF(G244&lt;&gt;0,G244-L244," ")</f>
        <v> </v>
      </c>
      <c r="N244" s="8" t="str">
        <f aca="false">IF((G244-L244)&lt;&gt;0,N$1-A244," ")</f>
        <v> </v>
      </c>
      <c r="O244" s="5"/>
      <c r="P244" s="19" t="str">
        <f aca="false">IF((F244="s"),I244," ")</f>
        <v> </v>
      </c>
      <c r="Q244" s="19" t="str">
        <f aca="false">IF((F244="c"),I244," ")</f>
        <v> </v>
      </c>
      <c r="R244" s="19" t="str">
        <f aca="false">IF((F244="o"),I244," ")</f>
        <v> </v>
      </c>
      <c r="S244" s="19" t="str">
        <f aca="false">IF((F244="w"),I244," ")</f>
        <v> </v>
      </c>
      <c r="T244" s="19" t="str">
        <f aca="false">IF((F244="p"),I244," ")</f>
        <v> </v>
      </c>
      <c r="U244" s="19" t="str">
        <f aca="false">IF((F244="m"),I244," ")</f>
        <v> </v>
      </c>
      <c r="V244" s="19" t="str">
        <f aca="false">IF((F244="g"),I244," ")</f>
        <v> </v>
      </c>
      <c r="W244" s="29" t="str">
        <f aca="false">IF((F244="v"),I244," ")</f>
        <v> </v>
      </c>
      <c r="X244" s="19" t="str">
        <f aca="false">IF((F244="h"),I244," ")</f>
        <v> </v>
      </c>
      <c r="Y244" s="19" t="str">
        <f aca="false">IF((F244="a"),I244," ")</f>
        <v> </v>
      </c>
      <c r="Z244" s="19" t="str">
        <f aca="false">IF((F244="l"),I244," ")</f>
        <v> </v>
      </c>
      <c r="AA244" s="19" t="str">
        <f aca="false">IF((F244="y"),I244," ")</f>
        <v> </v>
      </c>
      <c r="AB244" s="19" t="str">
        <f aca="false">IF((F244="fa"),I244," ")</f>
        <v> </v>
      </c>
    </row>
    <row r="245" customFormat="false" ht="12" hidden="false" customHeight="false" outlineLevel="0" collapsed="false">
      <c r="A245" s="27"/>
      <c r="F245" s="58" t="str">
        <f aca="false">IF((G245&lt;&gt;0),"Enter Letter"," ")</f>
        <v> </v>
      </c>
      <c r="G245" s="29"/>
      <c r="H245" s="6" t="str">
        <f aca="false">IF(G245&lt;&gt;0,G245*H$2/(100+H$2)," ")</f>
        <v> </v>
      </c>
      <c r="I245" s="6" t="str">
        <f aca="false">IF((G245&lt;&gt;0),G245-H245," ")</f>
        <v> </v>
      </c>
      <c r="J245" s="5"/>
      <c r="M245" s="7" t="str">
        <f aca="false">IF(G245&lt;&gt;0,G245-L245," ")</f>
        <v> </v>
      </c>
      <c r="N245" s="8" t="str">
        <f aca="false">IF((G245-L245)&lt;&gt;0,N$1-A245," ")</f>
        <v> </v>
      </c>
      <c r="O245" s="5"/>
      <c r="P245" s="19" t="str">
        <f aca="false">IF((F245="s"),I245," ")</f>
        <v> </v>
      </c>
      <c r="Q245" s="19" t="str">
        <f aca="false">IF((F245="c"),I245," ")</f>
        <v> </v>
      </c>
      <c r="R245" s="19" t="str">
        <f aca="false">IF((F245="o"),I245," ")</f>
        <v> </v>
      </c>
      <c r="S245" s="19" t="str">
        <f aca="false">IF((F245="w"),I245," ")</f>
        <v> </v>
      </c>
      <c r="T245" s="19" t="str">
        <f aca="false">IF((F245="p"),I245," ")</f>
        <v> </v>
      </c>
      <c r="U245" s="19" t="str">
        <f aca="false">IF((F245="m"),I245," ")</f>
        <v> </v>
      </c>
      <c r="V245" s="19" t="str">
        <f aca="false">IF((F245="g"),I245," ")</f>
        <v> </v>
      </c>
      <c r="W245" s="29" t="str">
        <f aca="false">IF((F245="v"),I245," ")</f>
        <v> </v>
      </c>
      <c r="X245" s="19" t="str">
        <f aca="false">IF((F245="h"),I245," ")</f>
        <v> </v>
      </c>
      <c r="Y245" s="19" t="str">
        <f aca="false">IF((F245="a"),I245," ")</f>
        <v> </v>
      </c>
      <c r="Z245" s="19" t="str">
        <f aca="false">IF((F245="l"),I245," ")</f>
        <v> </v>
      </c>
      <c r="AA245" s="19" t="str">
        <f aca="false">IF((F245="y"),I245," ")</f>
        <v> </v>
      </c>
      <c r="AB245" s="19" t="str">
        <f aca="false">IF((F245="fa"),I245," ")</f>
        <v> </v>
      </c>
    </row>
    <row r="246" customFormat="false" ht="12" hidden="false" customHeight="false" outlineLevel="0" collapsed="false">
      <c r="A246" s="27"/>
      <c r="F246" s="58" t="str">
        <f aca="false">IF((G246&lt;&gt;0),"Enter Letter"," ")</f>
        <v> </v>
      </c>
      <c r="G246" s="29"/>
      <c r="H246" s="6" t="str">
        <f aca="false">IF(G246&lt;&gt;0,G246*H$2/(100+H$2)," ")</f>
        <v> </v>
      </c>
      <c r="I246" s="6" t="str">
        <f aca="false">IF((G246&lt;&gt;0),G246-H246," ")</f>
        <v> </v>
      </c>
      <c r="J246" s="5"/>
      <c r="M246" s="7" t="str">
        <f aca="false">IF(G246&lt;&gt;0,G246-L246," ")</f>
        <v> </v>
      </c>
      <c r="N246" s="8" t="str">
        <f aca="false">IF((G246-L246)&lt;&gt;0,N$1-A246," ")</f>
        <v> </v>
      </c>
      <c r="O246" s="5"/>
      <c r="P246" s="19" t="str">
        <f aca="false">IF((F246="s"),I246," ")</f>
        <v> </v>
      </c>
      <c r="Q246" s="19" t="str">
        <f aca="false">IF((F246="c"),I246," ")</f>
        <v> </v>
      </c>
      <c r="R246" s="19" t="str">
        <f aca="false">IF((F246="o"),I246," ")</f>
        <v> </v>
      </c>
      <c r="S246" s="19" t="str">
        <f aca="false">IF((F246="w"),I246," ")</f>
        <v> </v>
      </c>
      <c r="T246" s="19" t="str">
        <f aca="false">IF((F246="p"),I246," ")</f>
        <v> </v>
      </c>
      <c r="U246" s="19" t="str">
        <f aca="false">IF((F246="m"),I246," ")</f>
        <v> </v>
      </c>
      <c r="V246" s="19" t="str">
        <f aca="false">IF((F246="g"),I246," ")</f>
        <v> </v>
      </c>
      <c r="W246" s="29" t="str">
        <f aca="false">IF((F246="v"),I246," ")</f>
        <v> </v>
      </c>
      <c r="X246" s="19" t="str">
        <f aca="false">IF((F246="h"),I246," ")</f>
        <v> </v>
      </c>
      <c r="Y246" s="19" t="str">
        <f aca="false">IF((F246="a"),I246," ")</f>
        <v> </v>
      </c>
      <c r="Z246" s="19" t="str">
        <f aca="false">IF((F246="l"),I246," ")</f>
        <v> </v>
      </c>
      <c r="AA246" s="19" t="str">
        <f aca="false">IF((F246="y"),I246," ")</f>
        <v> </v>
      </c>
      <c r="AB246" s="19" t="str">
        <f aca="false">IF((F246="fa"),I246," ")</f>
        <v> </v>
      </c>
    </row>
    <row r="247" customFormat="false" ht="12" hidden="false" customHeight="false" outlineLevel="0" collapsed="false">
      <c r="A247" s="27"/>
      <c r="F247" s="58" t="str">
        <f aca="false">IF((G247&lt;&gt;0),"Enter Letter"," ")</f>
        <v> </v>
      </c>
      <c r="G247" s="29"/>
      <c r="H247" s="6" t="str">
        <f aca="false">IF(G247&lt;&gt;0,G247*H$2/(100+H$2)," ")</f>
        <v> </v>
      </c>
      <c r="I247" s="6" t="str">
        <f aca="false">IF((G247&lt;&gt;0),G247-H247," ")</f>
        <v> </v>
      </c>
      <c r="J247" s="5"/>
      <c r="M247" s="7" t="str">
        <f aca="false">IF(G247&lt;&gt;0,G247-L247," ")</f>
        <v> </v>
      </c>
      <c r="N247" s="8" t="str">
        <f aca="false">IF((G247-L247)&lt;&gt;0,N$1-A247," ")</f>
        <v> </v>
      </c>
      <c r="O247" s="5"/>
      <c r="P247" s="19" t="str">
        <f aca="false">IF((F247="s"),I247," ")</f>
        <v> </v>
      </c>
      <c r="Q247" s="19" t="str">
        <f aca="false">IF((F247="c"),I247," ")</f>
        <v> </v>
      </c>
      <c r="R247" s="19" t="str">
        <f aca="false">IF((F247="o"),I247," ")</f>
        <v> </v>
      </c>
      <c r="S247" s="19" t="str">
        <f aca="false">IF((F247="w"),I247," ")</f>
        <v> </v>
      </c>
      <c r="T247" s="19" t="str">
        <f aca="false">IF((F247="p"),I247," ")</f>
        <v> </v>
      </c>
      <c r="U247" s="19" t="str">
        <f aca="false">IF((F247="m"),I247," ")</f>
        <v> </v>
      </c>
      <c r="V247" s="19" t="str">
        <f aca="false">IF((F247="g"),I247," ")</f>
        <v> </v>
      </c>
      <c r="W247" s="29" t="str">
        <f aca="false">IF((F247="v"),I247," ")</f>
        <v> </v>
      </c>
      <c r="X247" s="19" t="str">
        <f aca="false">IF((F247="h"),I247," ")</f>
        <v> </v>
      </c>
      <c r="Y247" s="19" t="str">
        <f aca="false">IF((F247="a"),I247," ")</f>
        <v> </v>
      </c>
      <c r="Z247" s="19" t="str">
        <f aca="false">IF((F247="l"),I247," ")</f>
        <v> </v>
      </c>
      <c r="AA247" s="19" t="str">
        <f aca="false">IF((F247="y"),I247," ")</f>
        <v> </v>
      </c>
      <c r="AB247" s="19" t="str">
        <f aca="false">IF((F247="fa"),I247," ")</f>
        <v> </v>
      </c>
    </row>
    <row r="248" customFormat="false" ht="12" hidden="false" customHeight="false" outlineLevel="0" collapsed="false">
      <c r="A248" s="27"/>
      <c r="F248" s="58" t="str">
        <f aca="false">IF((G248&lt;&gt;0),"Enter Letter"," ")</f>
        <v> </v>
      </c>
      <c r="G248" s="29"/>
      <c r="H248" s="6" t="str">
        <f aca="false">IF(G248&lt;&gt;0,G248*H$2/(100+H$2)," ")</f>
        <v> </v>
      </c>
      <c r="I248" s="6" t="str">
        <f aca="false">IF((G248&lt;&gt;0),G248-H248," ")</f>
        <v> </v>
      </c>
      <c r="J248" s="5"/>
      <c r="M248" s="7" t="str">
        <f aca="false">IF(G248&lt;&gt;0,G248-L248," ")</f>
        <v> </v>
      </c>
      <c r="N248" s="8" t="str">
        <f aca="false">IF((G248-L248)&lt;&gt;0,N$1-A248," ")</f>
        <v> </v>
      </c>
      <c r="O248" s="5"/>
      <c r="P248" s="19" t="str">
        <f aca="false">IF((F248="s"),I248," ")</f>
        <v> </v>
      </c>
      <c r="Q248" s="19" t="str">
        <f aca="false">IF((F248="c"),I248," ")</f>
        <v> </v>
      </c>
      <c r="R248" s="19" t="str">
        <f aca="false">IF((F248="o"),I248," ")</f>
        <v> </v>
      </c>
      <c r="S248" s="19" t="str">
        <f aca="false">IF((F248="w"),I248," ")</f>
        <v> </v>
      </c>
      <c r="T248" s="19" t="str">
        <f aca="false">IF((F248="p"),I248," ")</f>
        <v> </v>
      </c>
      <c r="U248" s="19" t="str">
        <f aca="false">IF((F248="m"),I248," ")</f>
        <v> </v>
      </c>
      <c r="V248" s="19" t="str">
        <f aca="false">IF((F248="g"),I248," ")</f>
        <v> </v>
      </c>
      <c r="W248" s="29" t="str">
        <f aca="false">IF((F248="v"),I248," ")</f>
        <v> </v>
      </c>
      <c r="X248" s="19" t="str">
        <f aca="false">IF((F248="h"),I248," ")</f>
        <v> </v>
      </c>
      <c r="Y248" s="19" t="str">
        <f aca="false">IF((F248="a"),I248," ")</f>
        <v> </v>
      </c>
      <c r="Z248" s="19" t="str">
        <f aca="false">IF((F248="l"),I248," ")</f>
        <v> </v>
      </c>
      <c r="AA248" s="19" t="str">
        <f aca="false">IF((F248="y"),I248," ")</f>
        <v> </v>
      </c>
      <c r="AB248" s="19" t="str">
        <f aca="false">IF((F248="fa"),I248," ")</f>
        <v> </v>
      </c>
    </row>
    <row r="249" customFormat="false" ht="12" hidden="false" customHeight="false" outlineLevel="0" collapsed="false">
      <c r="A249" s="27"/>
      <c r="F249" s="58" t="str">
        <f aca="false">IF((G249&lt;&gt;0),"Enter Letter"," ")</f>
        <v> </v>
      </c>
      <c r="G249" s="29"/>
      <c r="H249" s="6" t="str">
        <f aca="false">IF(G249&lt;&gt;0,G249*H$2/(100+H$2)," ")</f>
        <v> </v>
      </c>
      <c r="I249" s="6" t="str">
        <f aca="false">IF((G249&lt;&gt;0),G249-H249," ")</f>
        <v> </v>
      </c>
      <c r="J249" s="5"/>
      <c r="M249" s="7" t="str">
        <f aca="false">IF(G249&lt;&gt;0,G249-L249," ")</f>
        <v> </v>
      </c>
      <c r="N249" s="8" t="str">
        <f aca="false">IF((G249-L249)&lt;&gt;0,N$1-A249," ")</f>
        <v> </v>
      </c>
      <c r="O249" s="5"/>
      <c r="P249" s="19" t="str">
        <f aca="false">IF((F249="s"),I249," ")</f>
        <v> </v>
      </c>
      <c r="Q249" s="19" t="str">
        <f aca="false">IF((F249="c"),I249," ")</f>
        <v> </v>
      </c>
      <c r="R249" s="19" t="str">
        <f aca="false">IF((F249="o"),I249," ")</f>
        <v> </v>
      </c>
      <c r="S249" s="19" t="str">
        <f aca="false">IF((F249="w"),I249," ")</f>
        <v> </v>
      </c>
      <c r="T249" s="19" t="str">
        <f aca="false">IF((F249="p"),I249," ")</f>
        <v> </v>
      </c>
      <c r="U249" s="19" t="str">
        <f aca="false">IF((F249="m"),I249," ")</f>
        <v> </v>
      </c>
      <c r="V249" s="19" t="str">
        <f aca="false">IF((F249="g"),I249," ")</f>
        <v> </v>
      </c>
      <c r="W249" s="29" t="str">
        <f aca="false">IF((F249="v"),I249," ")</f>
        <v> </v>
      </c>
      <c r="X249" s="19" t="str">
        <f aca="false">IF((F249="h"),I249," ")</f>
        <v> </v>
      </c>
      <c r="Y249" s="19" t="str">
        <f aca="false">IF((F249="a"),I249," ")</f>
        <v> </v>
      </c>
      <c r="Z249" s="19" t="str">
        <f aca="false">IF((F249="l"),I249," ")</f>
        <v> </v>
      </c>
      <c r="AA249" s="19" t="str">
        <f aca="false">IF((F249="y"),I249," ")</f>
        <v> </v>
      </c>
      <c r="AB249" s="19" t="str">
        <f aca="false">IF((F249="fa"),I249," ")</f>
        <v> </v>
      </c>
    </row>
    <row r="250" customFormat="false" ht="12" hidden="false" customHeight="false" outlineLevel="0" collapsed="false">
      <c r="A250" s="27"/>
      <c r="F250" s="58" t="str">
        <f aca="false">IF((G250&lt;&gt;0),"Enter Letter"," ")</f>
        <v> </v>
      </c>
      <c r="G250" s="29"/>
      <c r="H250" s="6" t="str">
        <f aca="false">IF(G250&lt;&gt;0,G250*H$2/(100+H$2)," ")</f>
        <v> </v>
      </c>
      <c r="I250" s="6" t="str">
        <f aca="false">IF((G250&lt;&gt;0),G250-H250," ")</f>
        <v> </v>
      </c>
      <c r="J250" s="5"/>
      <c r="M250" s="7" t="str">
        <f aca="false">IF(G250&lt;&gt;0,G250-L250," ")</f>
        <v> </v>
      </c>
      <c r="N250" s="8" t="str">
        <f aca="false">IF((G250-L250)&lt;&gt;0,N$1-A250," ")</f>
        <v> </v>
      </c>
      <c r="O250" s="5"/>
      <c r="P250" s="19" t="str">
        <f aca="false">IF((F250="s"),I250," ")</f>
        <v> </v>
      </c>
      <c r="Q250" s="19" t="str">
        <f aca="false">IF((F250="c"),I250," ")</f>
        <v> </v>
      </c>
      <c r="R250" s="19" t="str">
        <f aca="false">IF((F250="o"),I250," ")</f>
        <v> </v>
      </c>
      <c r="S250" s="19" t="str">
        <f aca="false">IF((F250="w"),I250," ")</f>
        <v> </v>
      </c>
      <c r="T250" s="19" t="str">
        <f aca="false">IF((F250="p"),I250," ")</f>
        <v> </v>
      </c>
      <c r="U250" s="19" t="str">
        <f aca="false">IF((F250="m"),I250," ")</f>
        <v> </v>
      </c>
      <c r="V250" s="19" t="str">
        <f aca="false">IF((F250="g"),I250," ")</f>
        <v> </v>
      </c>
      <c r="W250" s="29" t="str">
        <f aca="false">IF((F250="v"),I250," ")</f>
        <v> </v>
      </c>
      <c r="X250" s="19" t="str">
        <f aca="false">IF((F250="h"),I250," ")</f>
        <v> </v>
      </c>
      <c r="Y250" s="19" t="str">
        <f aca="false">IF((F250="a"),I250," ")</f>
        <v> </v>
      </c>
      <c r="Z250" s="19" t="str">
        <f aca="false">IF((F250="l"),I250," ")</f>
        <v> </v>
      </c>
      <c r="AA250" s="19" t="str">
        <f aca="false">IF((F250="y"),I250," ")</f>
        <v> </v>
      </c>
      <c r="AB250" s="19" t="str">
        <f aca="false">IF((F250="fa"),I250," ")</f>
        <v> </v>
      </c>
    </row>
    <row r="251" customFormat="false" ht="12" hidden="false" customHeight="false" outlineLevel="0" collapsed="false">
      <c r="A251" s="27"/>
      <c r="F251" s="58" t="str">
        <f aca="false">IF((G251&lt;&gt;0),"Enter Letter"," ")</f>
        <v> </v>
      </c>
      <c r="G251" s="29"/>
      <c r="H251" s="6" t="str">
        <f aca="false">IF(G251&lt;&gt;0,G251*H$2/(100+H$2)," ")</f>
        <v> </v>
      </c>
      <c r="I251" s="6" t="str">
        <f aca="false">IF((G251&lt;&gt;0),G251-H251," ")</f>
        <v> </v>
      </c>
      <c r="J251" s="5"/>
      <c r="M251" s="7" t="str">
        <f aca="false">IF(G251&lt;&gt;0,G251-L251," ")</f>
        <v> </v>
      </c>
      <c r="N251" s="8" t="str">
        <f aca="false">IF((G251-L251)&lt;&gt;0,N$1-A251," ")</f>
        <v> </v>
      </c>
      <c r="O251" s="5"/>
      <c r="P251" s="19" t="str">
        <f aca="false">IF((F251="s"),I251," ")</f>
        <v> </v>
      </c>
      <c r="Q251" s="19" t="str">
        <f aca="false">IF((F251="c"),I251," ")</f>
        <v> </v>
      </c>
      <c r="R251" s="19" t="str">
        <f aca="false">IF((F251="o"),I251," ")</f>
        <v> </v>
      </c>
      <c r="S251" s="19" t="str">
        <f aca="false">IF((F251="w"),I251," ")</f>
        <v> </v>
      </c>
      <c r="T251" s="19" t="str">
        <f aca="false">IF((F251="p"),I251," ")</f>
        <v> </v>
      </c>
      <c r="U251" s="19" t="str">
        <f aca="false">IF((F251="m"),I251," ")</f>
        <v> </v>
      </c>
      <c r="V251" s="19" t="str">
        <f aca="false">IF((F251="g"),I251," ")</f>
        <v> </v>
      </c>
      <c r="W251" s="29" t="str">
        <f aca="false">IF((F251="v"),I251," ")</f>
        <v> </v>
      </c>
      <c r="X251" s="19" t="str">
        <f aca="false">IF((F251="h"),I251," ")</f>
        <v> </v>
      </c>
      <c r="Y251" s="19" t="str">
        <f aca="false">IF((F251="a"),I251," ")</f>
        <v> </v>
      </c>
      <c r="Z251" s="19" t="str">
        <f aca="false">IF((F251="l"),I251," ")</f>
        <v> </v>
      </c>
      <c r="AA251" s="19" t="str">
        <f aca="false">IF((F251="y"),I251," ")</f>
        <v> </v>
      </c>
      <c r="AB251" s="19" t="str">
        <f aca="false">IF((F251="fa"),I251," ")</f>
        <v> </v>
      </c>
    </row>
    <row r="252" customFormat="false" ht="12" hidden="false" customHeight="false" outlineLevel="0" collapsed="false">
      <c r="A252" s="27"/>
      <c r="F252" s="58" t="str">
        <f aca="false">IF((G252&lt;&gt;0),"Enter Letter"," ")</f>
        <v> </v>
      </c>
      <c r="G252" s="29"/>
      <c r="H252" s="6" t="str">
        <f aca="false">IF(G252&lt;&gt;0,G252*H$2/(100+H$2)," ")</f>
        <v> </v>
      </c>
      <c r="I252" s="6" t="str">
        <f aca="false">IF((G252&lt;&gt;0),G252-H252," ")</f>
        <v> </v>
      </c>
      <c r="J252" s="5"/>
      <c r="M252" s="7" t="str">
        <f aca="false">IF(G252&lt;&gt;0,G252-L252," ")</f>
        <v> </v>
      </c>
      <c r="N252" s="8" t="str">
        <f aca="false">IF((G252-L252)&lt;&gt;0,N$1-A252," ")</f>
        <v> </v>
      </c>
      <c r="O252" s="5"/>
      <c r="P252" s="19" t="str">
        <f aca="false">IF((F252="s"),I252," ")</f>
        <v> </v>
      </c>
      <c r="Q252" s="19" t="str">
        <f aca="false">IF((F252="c"),I252," ")</f>
        <v> </v>
      </c>
      <c r="R252" s="19" t="str">
        <f aca="false">IF((F252="o"),I252," ")</f>
        <v> </v>
      </c>
      <c r="S252" s="19" t="str">
        <f aca="false">IF((F252="w"),I252," ")</f>
        <v> </v>
      </c>
      <c r="T252" s="19" t="str">
        <f aca="false">IF((F252="p"),I252," ")</f>
        <v> </v>
      </c>
      <c r="U252" s="19" t="str">
        <f aca="false">IF((F252="m"),I252," ")</f>
        <v> </v>
      </c>
      <c r="V252" s="19" t="str">
        <f aca="false">IF((F252="g"),I252," ")</f>
        <v> </v>
      </c>
      <c r="W252" s="29" t="str">
        <f aca="false">IF((F252="v"),I252," ")</f>
        <v> </v>
      </c>
      <c r="X252" s="19" t="str">
        <f aca="false">IF((F252="h"),I252," ")</f>
        <v> </v>
      </c>
      <c r="Y252" s="19" t="str">
        <f aca="false">IF((F252="a"),I252," ")</f>
        <v> </v>
      </c>
      <c r="Z252" s="19" t="str">
        <f aca="false">IF((F252="l"),I252," ")</f>
        <v> </v>
      </c>
      <c r="AA252" s="19" t="str">
        <f aca="false">IF((F252="y"),I252," ")</f>
        <v> </v>
      </c>
      <c r="AB252" s="19" t="str">
        <f aca="false">IF((F252="fa"),I252," ")</f>
        <v> </v>
      </c>
    </row>
    <row r="253" customFormat="false" ht="12" hidden="false" customHeight="false" outlineLevel="0" collapsed="false">
      <c r="A253" s="27"/>
      <c r="F253" s="58" t="str">
        <f aca="false">IF((G253&lt;&gt;0),"Enter Letter"," ")</f>
        <v> </v>
      </c>
      <c r="G253" s="29"/>
      <c r="H253" s="6" t="str">
        <f aca="false">IF(G253&lt;&gt;0,G253*H$2/(100+H$2)," ")</f>
        <v> </v>
      </c>
      <c r="I253" s="6" t="str">
        <f aca="false">IF((G253&lt;&gt;0),G253-H253," ")</f>
        <v> </v>
      </c>
      <c r="J253" s="5"/>
      <c r="M253" s="7" t="str">
        <f aca="false">IF(G253&lt;&gt;0,G253-L253," ")</f>
        <v> </v>
      </c>
      <c r="N253" s="8" t="str">
        <f aca="false">IF((G253-L253)&lt;&gt;0,N$1-A253," ")</f>
        <v> </v>
      </c>
      <c r="O253" s="5"/>
      <c r="P253" s="19" t="str">
        <f aca="false">IF((F253="s"),I253," ")</f>
        <v> </v>
      </c>
      <c r="Q253" s="19" t="str">
        <f aca="false">IF((F253="c"),I253," ")</f>
        <v> </v>
      </c>
      <c r="R253" s="19" t="str">
        <f aca="false">IF((F253="o"),I253," ")</f>
        <v> </v>
      </c>
      <c r="S253" s="19" t="str">
        <f aca="false">IF((F253="w"),I253," ")</f>
        <v> </v>
      </c>
      <c r="T253" s="19" t="str">
        <f aca="false">IF((F253="p"),I253," ")</f>
        <v> </v>
      </c>
      <c r="U253" s="19" t="str">
        <f aca="false">IF((F253="m"),I253," ")</f>
        <v> </v>
      </c>
      <c r="V253" s="19" t="str">
        <f aca="false">IF((F253="g"),I253," ")</f>
        <v> </v>
      </c>
      <c r="W253" s="29" t="str">
        <f aca="false">IF((F253="v"),I253," ")</f>
        <v> </v>
      </c>
      <c r="X253" s="19" t="str">
        <f aca="false">IF((F253="h"),I253," ")</f>
        <v> </v>
      </c>
      <c r="Y253" s="19" t="str">
        <f aca="false">IF((F253="a"),I253," ")</f>
        <v> </v>
      </c>
      <c r="Z253" s="19" t="str">
        <f aca="false">IF((F253="l"),I253," ")</f>
        <v> </v>
      </c>
      <c r="AA253" s="19" t="str">
        <f aca="false">IF((F253="y"),I253," ")</f>
        <v> </v>
      </c>
      <c r="AB253" s="19" t="str">
        <f aca="false">IF((F253="fa"),I253," ")</f>
        <v> </v>
      </c>
    </row>
    <row r="254" customFormat="false" ht="12" hidden="false" customHeight="false" outlineLevel="0" collapsed="false">
      <c r="A254" s="27"/>
      <c r="F254" s="58" t="str">
        <f aca="false">IF((G254&lt;&gt;0),"Enter Letter"," ")</f>
        <v> </v>
      </c>
      <c r="G254" s="29"/>
      <c r="H254" s="6" t="str">
        <f aca="false">IF(G254&lt;&gt;0,G254*H$2/(100+H$2)," ")</f>
        <v> </v>
      </c>
      <c r="I254" s="6" t="str">
        <f aca="false">IF((G254&lt;&gt;0),G254-H254," ")</f>
        <v> </v>
      </c>
      <c r="J254" s="5"/>
      <c r="M254" s="7" t="str">
        <f aca="false">IF(G254&lt;&gt;0,G254-L254," ")</f>
        <v> </v>
      </c>
      <c r="N254" s="8" t="str">
        <f aca="false">IF((G254-L254)&lt;&gt;0,N$1-A254," ")</f>
        <v> </v>
      </c>
      <c r="O254" s="5"/>
      <c r="P254" s="19" t="str">
        <f aca="false">IF((F254="s"),I254," ")</f>
        <v> </v>
      </c>
      <c r="Q254" s="19" t="str">
        <f aca="false">IF((F254="c"),I254," ")</f>
        <v> </v>
      </c>
      <c r="R254" s="19" t="str">
        <f aca="false">IF((F254="o"),I254," ")</f>
        <v> </v>
      </c>
      <c r="S254" s="19" t="str">
        <f aca="false">IF((F254="w"),I254," ")</f>
        <v> </v>
      </c>
      <c r="T254" s="19" t="str">
        <f aca="false">IF((F254="p"),I254," ")</f>
        <v> </v>
      </c>
      <c r="U254" s="19" t="str">
        <f aca="false">IF((F254="m"),I254," ")</f>
        <v> </v>
      </c>
      <c r="V254" s="19" t="str">
        <f aca="false">IF((F254="g"),I254," ")</f>
        <v> </v>
      </c>
      <c r="W254" s="29" t="str">
        <f aca="false">IF((F254="v"),I254," ")</f>
        <v> </v>
      </c>
      <c r="X254" s="19" t="str">
        <f aca="false">IF((F254="h"),I254," ")</f>
        <v> </v>
      </c>
      <c r="Y254" s="19" t="str">
        <f aca="false">IF((F254="a"),I254," ")</f>
        <v> </v>
      </c>
      <c r="Z254" s="19" t="str">
        <f aca="false">IF((F254="l"),I254," ")</f>
        <v> </v>
      </c>
      <c r="AA254" s="19" t="str">
        <f aca="false">IF((F254="y"),I254," ")</f>
        <v> </v>
      </c>
      <c r="AB254" s="19" t="str">
        <f aca="false">IF((F254="fa"),I254," ")</f>
        <v> </v>
      </c>
    </row>
    <row r="255" customFormat="false" ht="12" hidden="false" customHeight="false" outlineLevel="0" collapsed="false">
      <c r="A255" s="27"/>
      <c r="F255" s="58" t="str">
        <f aca="false">IF((G255&lt;&gt;0),"Enter Letter"," ")</f>
        <v> </v>
      </c>
      <c r="G255" s="29"/>
      <c r="H255" s="6" t="str">
        <f aca="false">IF(G255&lt;&gt;0,G255*H$2/(100+H$2)," ")</f>
        <v> </v>
      </c>
      <c r="I255" s="6" t="str">
        <f aca="false">IF((G255&lt;&gt;0),G255-H255," ")</f>
        <v> </v>
      </c>
      <c r="J255" s="5"/>
      <c r="M255" s="7" t="str">
        <f aca="false">IF(G255&lt;&gt;0,G255-L255," ")</f>
        <v> </v>
      </c>
      <c r="N255" s="8" t="str">
        <f aca="false">IF((G255-L255)&lt;&gt;0,N$1-A255," ")</f>
        <v> </v>
      </c>
      <c r="O255" s="5"/>
      <c r="P255" s="19" t="str">
        <f aca="false">IF((F255="s"),I255," ")</f>
        <v> </v>
      </c>
      <c r="Q255" s="19" t="str">
        <f aca="false">IF((F255="c"),I255," ")</f>
        <v> </v>
      </c>
      <c r="R255" s="19" t="str">
        <f aca="false">IF((F255="o"),I255," ")</f>
        <v> </v>
      </c>
      <c r="S255" s="19" t="str">
        <f aca="false">IF((F255="w"),I255," ")</f>
        <v> </v>
      </c>
      <c r="T255" s="19" t="str">
        <f aca="false">IF((F255="p"),I255," ")</f>
        <v> </v>
      </c>
      <c r="U255" s="19" t="str">
        <f aca="false">IF((F255="m"),I255," ")</f>
        <v> </v>
      </c>
      <c r="V255" s="19" t="str">
        <f aca="false">IF((F255="g"),I255," ")</f>
        <v> </v>
      </c>
      <c r="W255" s="29" t="str">
        <f aca="false">IF((F255="v"),I255," ")</f>
        <v> </v>
      </c>
      <c r="X255" s="19" t="str">
        <f aca="false">IF((F255="h"),I255," ")</f>
        <v> </v>
      </c>
      <c r="Y255" s="19" t="str">
        <f aca="false">IF((F255="a"),I255," ")</f>
        <v> </v>
      </c>
      <c r="Z255" s="19" t="str">
        <f aca="false">IF((F255="l"),I255," ")</f>
        <v> </v>
      </c>
      <c r="AA255" s="19" t="str">
        <f aca="false">IF((F255="y"),I255," ")</f>
        <v> </v>
      </c>
      <c r="AB255" s="19" t="str">
        <f aca="false">IF((F255="fa"),I255," ")</f>
        <v> </v>
      </c>
    </row>
    <row r="256" customFormat="false" ht="12" hidden="false" customHeight="false" outlineLevel="0" collapsed="false">
      <c r="A256" s="27"/>
      <c r="F256" s="58" t="str">
        <f aca="false">IF((G256&lt;&gt;0),"Enter Letter"," ")</f>
        <v> </v>
      </c>
      <c r="G256" s="29"/>
      <c r="H256" s="6" t="str">
        <f aca="false">IF(G256&lt;&gt;0,G256*H$2/(100+H$2)," ")</f>
        <v> </v>
      </c>
      <c r="I256" s="6" t="str">
        <f aca="false">IF((G256&lt;&gt;0),G256-H256," ")</f>
        <v> </v>
      </c>
      <c r="J256" s="5"/>
      <c r="M256" s="7" t="str">
        <f aca="false">IF(G256&lt;&gt;0,G256-L256," ")</f>
        <v> </v>
      </c>
      <c r="N256" s="8" t="str">
        <f aca="false">IF((G256-L256)&lt;&gt;0,N$1-A256," ")</f>
        <v> </v>
      </c>
      <c r="O256" s="5"/>
      <c r="P256" s="19" t="str">
        <f aca="false">IF((F256="s"),I256," ")</f>
        <v> </v>
      </c>
      <c r="Q256" s="19" t="str">
        <f aca="false">IF((F256="c"),I256," ")</f>
        <v> </v>
      </c>
      <c r="R256" s="19" t="str">
        <f aca="false">IF((F256="o"),I256," ")</f>
        <v> </v>
      </c>
      <c r="S256" s="19" t="str">
        <f aca="false">IF((F256="w"),I256," ")</f>
        <v> </v>
      </c>
      <c r="T256" s="19" t="str">
        <f aca="false">IF((F256="p"),I256," ")</f>
        <v> </v>
      </c>
      <c r="U256" s="19" t="str">
        <f aca="false">IF((F256="m"),I256," ")</f>
        <v> </v>
      </c>
      <c r="V256" s="19" t="str">
        <f aca="false">IF((F256="g"),I256," ")</f>
        <v> </v>
      </c>
      <c r="W256" s="29" t="str">
        <f aca="false">IF((F256="v"),I256," ")</f>
        <v> </v>
      </c>
      <c r="X256" s="19" t="str">
        <f aca="false">IF((F256="h"),I256," ")</f>
        <v> </v>
      </c>
      <c r="Y256" s="19" t="str">
        <f aca="false">IF((F256="a"),I256," ")</f>
        <v> </v>
      </c>
      <c r="Z256" s="19" t="str">
        <f aca="false">IF((F256="l"),I256," ")</f>
        <v> </v>
      </c>
      <c r="AA256" s="19" t="str">
        <f aca="false">IF((F256="y"),I256," ")</f>
        <v> </v>
      </c>
      <c r="AB256" s="19" t="str">
        <f aca="false">IF((F256="fa"),I256," ")</f>
        <v> </v>
      </c>
    </row>
    <row r="257" customFormat="false" ht="12" hidden="false" customHeight="false" outlineLevel="0" collapsed="false">
      <c r="A257" s="27"/>
      <c r="F257" s="58" t="str">
        <f aca="false">IF((G257&lt;&gt;0),"Enter Letter"," ")</f>
        <v> </v>
      </c>
      <c r="G257" s="29"/>
      <c r="H257" s="6" t="str">
        <f aca="false">IF(G257&lt;&gt;0,G257*H$2/(100+H$2)," ")</f>
        <v> </v>
      </c>
      <c r="I257" s="6" t="str">
        <f aca="false">IF((G257&lt;&gt;0),G257-H257," ")</f>
        <v> </v>
      </c>
      <c r="J257" s="5"/>
      <c r="M257" s="7" t="str">
        <f aca="false">IF(G257&lt;&gt;0,G257-L257," ")</f>
        <v> </v>
      </c>
      <c r="N257" s="8" t="str">
        <f aca="false">IF((G257-L257)&lt;&gt;0,N$1-A257," ")</f>
        <v> </v>
      </c>
      <c r="O257" s="5"/>
      <c r="P257" s="19" t="str">
        <f aca="false">IF((F257="s"),I257," ")</f>
        <v> </v>
      </c>
      <c r="Q257" s="19" t="str">
        <f aca="false">IF((F257="c"),I257," ")</f>
        <v> </v>
      </c>
      <c r="R257" s="19" t="str">
        <f aca="false">IF((F257="o"),I257," ")</f>
        <v> </v>
      </c>
      <c r="S257" s="19" t="str">
        <f aca="false">IF((F257="w"),I257," ")</f>
        <v> </v>
      </c>
      <c r="T257" s="19" t="str">
        <f aca="false">IF((F257="p"),I257," ")</f>
        <v> </v>
      </c>
      <c r="U257" s="19" t="str">
        <f aca="false">IF((F257="m"),I257," ")</f>
        <v> </v>
      </c>
      <c r="V257" s="19" t="str">
        <f aca="false">IF((F257="g"),I257," ")</f>
        <v> </v>
      </c>
      <c r="W257" s="29" t="str">
        <f aca="false">IF((F257="v"),I257," ")</f>
        <v> </v>
      </c>
      <c r="X257" s="19" t="str">
        <f aca="false">IF((F257="h"),I257," ")</f>
        <v> </v>
      </c>
      <c r="Y257" s="19" t="str">
        <f aca="false">IF((F257="a"),I257," ")</f>
        <v> </v>
      </c>
      <c r="Z257" s="19" t="str">
        <f aca="false">IF((F257="l"),I257," ")</f>
        <v> </v>
      </c>
      <c r="AA257" s="19" t="str">
        <f aca="false">IF((F257="y"),I257," ")</f>
        <v> </v>
      </c>
      <c r="AB257" s="19" t="str">
        <f aca="false">IF((F257="fa"),I257," ")</f>
        <v> </v>
      </c>
    </row>
    <row r="258" customFormat="false" ht="12" hidden="false" customHeight="false" outlineLevel="0" collapsed="false">
      <c r="A258" s="27"/>
      <c r="F258" s="58" t="str">
        <f aca="false">IF((G258&lt;&gt;0),"Enter Letter"," ")</f>
        <v> </v>
      </c>
      <c r="G258" s="29"/>
      <c r="H258" s="6" t="str">
        <f aca="false">IF(G258&lt;&gt;0,G258*H$2/(100+H$2)," ")</f>
        <v> </v>
      </c>
      <c r="I258" s="6" t="str">
        <f aca="false">IF((G258&lt;&gt;0),G258-H258," ")</f>
        <v> </v>
      </c>
      <c r="J258" s="5"/>
      <c r="M258" s="7" t="str">
        <f aca="false">IF(G258&lt;&gt;0,G258-L258," ")</f>
        <v> </v>
      </c>
      <c r="N258" s="8" t="str">
        <f aca="false">IF((G258-L258)&lt;&gt;0,N$1-A258," ")</f>
        <v> </v>
      </c>
      <c r="O258" s="5"/>
      <c r="P258" s="19" t="str">
        <f aca="false">IF((F258="s"),I258," ")</f>
        <v> </v>
      </c>
      <c r="Q258" s="19" t="str">
        <f aca="false">IF((F258="c"),I258," ")</f>
        <v> </v>
      </c>
      <c r="R258" s="19" t="str">
        <f aca="false">IF((F258="o"),I258," ")</f>
        <v> </v>
      </c>
      <c r="S258" s="19" t="str">
        <f aca="false">IF((F258="w"),I258," ")</f>
        <v> </v>
      </c>
      <c r="T258" s="19" t="str">
        <f aca="false">IF((F258="p"),I258," ")</f>
        <v> </v>
      </c>
      <c r="U258" s="19" t="str">
        <f aca="false">IF((F258="m"),I258," ")</f>
        <v> </v>
      </c>
      <c r="V258" s="19" t="str">
        <f aca="false">IF((F258="g"),I258," ")</f>
        <v> </v>
      </c>
      <c r="W258" s="29" t="str">
        <f aca="false">IF((F258="v"),I258," ")</f>
        <v> </v>
      </c>
      <c r="X258" s="19" t="str">
        <f aca="false">IF((F258="h"),I258," ")</f>
        <v> </v>
      </c>
      <c r="Y258" s="19" t="str">
        <f aca="false">IF((F258="a"),I258," ")</f>
        <v> </v>
      </c>
      <c r="Z258" s="19" t="str">
        <f aca="false">IF((F258="l"),I258," ")</f>
        <v> </v>
      </c>
      <c r="AA258" s="19" t="str">
        <f aca="false">IF((F258="y"),I258," ")</f>
        <v> </v>
      </c>
      <c r="AB258" s="19" t="str">
        <f aca="false">IF((F258="fa"),I258," ")</f>
        <v> </v>
      </c>
    </row>
    <row r="259" customFormat="false" ht="12" hidden="false" customHeight="false" outlineLevel="0" collapsed="false">
      <c r="A259" s="27"/>
      <c r="F259" s="58" t="str">
        <f aca="false">IF((G259&lt;&gt;0),"Enter Letter"," ")</f>
        <v> </v>
      </c>
      <c r="G259" s="29"/>
      <c r="H259" s="6" t="str">
        <f aca="false">IF(G259&lt;&gt;0,G259*H$2/(100+H$2)," ")</f>
        <v> </v>
      </c>
      <c r="I259" s="6" t="str">
        <f aca="false">IF((G259&lt;&gt;0),G259-H259," ")</f>
        <v> </v>
      </c>
      <c r="J259" s="5"/>
      <c r="M259" s="7" t="str">
        <f aca="false">IF(G259&lt;&gt;0,G259-L259," ")</f>
        <v> </v>
      </c>
      <c r="N259" s="8" t="str">
        <f aca="false">IF((G259-L259)&lt;&gt;0,N$1-A259," ")</f>
        <v> </v>
      </c>
      <c r="O259" s="5"/>
      <c r="P259" s="19" t="str">
        <f aca="false">IF((F259="s"),I259," ")</f>
        <v> </v>
      </c>
      <c r="Q259" s="19" t="str">
        <f aca="false">IF((F259="c"),I259," ")</f>
        <v> </v>
      </c>
      <c r="R259" s="19" t="str">
        <f aca="false">IF((F259="o"),I259," ")</f>
        <v> </v>
      </c>
      <c r="S259" s="19" t="str">
        <f aca="false">IF((F259="w"),I259," ")</f>
        <v> </v>
      </c>
      <c r="T259" s="19" t="str">
        <f aca="false">IF((F259="p"),I259," ")</f>
        <v> </v>
      </c>
      <c r="U259" s="19" t="str">
        <f aca="false">IF((F259="m"),I259," ")</f>
        <v> </v>
      </c>
      <c r="V259" s="19" t="str">
        <f aca="false">IF((F259="g"),I259," ")</f>
        <v> </v>
      </c>
      <c r="W259" s="29" t="str">
        <f aca="false">IF((F259="v"),I259," ")</f>
        <v> </v>
      </c>
      <c r="X259" s="19" t="str">
        <f aca="false">IF((F259="h"),I259," ")</f>
        <v> </v>
      </c>
      <c r="Y259" s="19" t="str">
        <f aca="false">IF((F259="a"),I259," ")</f>
        <v> </v>
      </c>
      <c r="Z259" s="19" t="str">
        <f aca="false">IF((F259="l"),I259," ")</f>
        <v> </v>
      </c>
      <c r="AA259" s="19" t="str">
        <f aca="false">IF((F259="y"),I259," ")</f>
        <v> </v>
      </c>
      <c r="AB259" s="19" t="str">
        <f aca="false">IF((F259="fa"),I259," ")</f>
        <v> </v>
      </c>
    </row>
    <row r="260" customFormat="false" ht="12" hidden="false" customHeight="false" outlineLevel="0" collapsed="false">
      <c r="A260" s="27"/>
      <c r="F260" s="58" t="str">
        <f aca="false">IF((G260&lt;&gt;0),"Enter Letter"," ")</f>
        <v> </v>
      </c>
      <c r="G260" s="29"/>
      <c r="H260" s="6" t="str">
        <f aca="false">IF(G260&lt;&gt;0,G260*H$2/(100+H$2)," ")</f>
        <v> </v>
      </c>
      <c r="I260" s="6" t="str">
        <f aca="false">IF((G260&lt;&gt;0),G260-H260," ")</f>
        <v> </v>
      </c>
      <c r="J260" s="5"/>
      <c r="M260" s="7" t="str">
        <f aca="false">IF(G260&lt;&gt;0,G260-L260," ")</f>
        <v> </v>
      </c>
      <c r="N260" s="8" t="str">
        <f aca="false">IF((G260-L260)&lt;&gt;0,N$1-A260," ")</f>
        <v> </v>
      </c>
      <c r="O260" s="5"/>
      <c r="P260" s="19" t="str">
        <f aca="false">IF((F260="s"),I260," ")</f>
        <v> </v>
      </c>
      <c r="Q260" s="19" t="str">
        <f aca="false">IF((F260="c"),I260," ")</f>
        <v> </v>
      </c>
      <c r="R260" s="19" t="str">
        <f aca="false">IF((F260="o"),I260," ")</f>
        <v> </v>
      </c>
      <c r="S260" s="19" t="str">
        <f aca="false">IF((F260="w"),I260," ")</f>
        <v> </v>
      </c>
      <c r="T260" s="19" t="str">
        <f aca="false">IF((F260="p"),I260," ")</f>
        <v> </v>
      </c>
      <c r="U260" s="19" t="str">
        <f aca="false">IF((F260="m"),I260," ")</f>
        <v> </v>
      </c>
      <c r="V260" s="19" t="str">
        <f aca="false">IF((F260="g"),I260," ")</f>
        <v> </v>
      </c>
      <c r="W260" s="29" t="str">
        <f aca="false">IF((F260="v"),I260," ")</f>
        <v> </v>
      </c>
      <c r="X260" s="19" t="str">
        <f aca="false">IF((F260="h"),I260," ")</f>
        <v> </v>
      </c>
      <c r="Y260" s="19" t="str">
        <f aca="false">IF((F260="a"),I260," ")</f>
        <v> </v>
      </c>
      <c r="Z260" s="19" t="str">
        <f aca="false">IF((F260="l"),I260," ")</f>
        <v> </v>
      </c>
      <c r="AA260" s="19" t="str">
        <f aca="false">IF((F260="y"),I260," ")</f>
        <v> </v>
      </c>
      <c r="AB260" s="19" t="str">
        <f aca="false">IF((F260="fa"),I260," ")</f>
        <v> </v>
      </c>
    </row>
    <row r="261" customFormat="false" ht="12" hidden="false" customHeight="false" outlineLevel="0" collapsed="false">
      <c r="A261" s="27"/>
      <c r="F261" s="58" t="str">
        <f aca="false">IF((G261&lt;&gt;0),"Enter Letter"," ")</f>
        <v> </v>
      </c>
      <c r="G261" s="29"/>
      <c r="H261" s="6" t="str">
        <f aca="false">IF(G261&lt;&gt;0,G261*H$2/(100+H$2)," ")</f>
        <v> </v>
      </c>
      <c r="I261" s="6" t="str">
        <f aca="false">IF((G261&lt;&gt;0),G261-H261," ")</f>
        <v> </v>
      </c>
      <c r="J261" s="5"/>
      <c r="M261" s="7" t="str">
        <f aca="false">IF(G261&lt;&gt;0,G261-L261," ")</f>
        <v> </v>
      </c>
      <c r="N261" s="8" t="str">
        <f aca="false">IF((G261-L261)&lt;&gt;0,N$1-A261," ")</f>
        <v> </v>
      </c>
      <c r="O261" s="5"/>
      <c r="P261" s="19" t="str">
        <f aca="false">IF((F261="s"),I261," ")</f>
        <v> </v>
      </c>
      <c r="Q261" s="19" t="str">
        <f aca="false">IF((F261="c"),I261," ")</f>
        <v> </v>
      </c>
      <c r="R261" s="19" t="str">
        <f aca="false">IF((F261="o"),I261," ")</f>
        <v> </v>
      </c>
      <c r="S261" s="19" t="str">
        <f aca="false">IF((F261="w"),I261," ")</f>
        <v> </v>
      </c>
      <c r="T261" s="19" t="str">
        <f aca="false">IF((F261="p"),I261," ")</f>
        <v> </v>
      </c>
      <c r="U261" s="19" t="str">
        <f aca="false">IF((F261="m"),I261," ")</f>
        <v> </v>
      </c>
      <c r="V261" s="19" t="str">
        <f aca="false">IF((F261="g"),I261," ")</f>
        <v> </v>
      </c>
      <c r="W261" s="29" t="str">
        <f aca="false">IF((F261="v"),I261," ")</f>
        <v> </v>
      </c>
      <c r="X261" s="19" t="str">
        <f aca="false">IF((F261="h"),I261," ")</f>
        <v> </v>
      </c>
      <c r="Y261" s="19" t="str">
        <f aca="false">IF((F261="a"),I261," ")</f>
        <v> </v>
      </c>
      <c r="Z261" s="19" t="str">
        <f aca="false">IF((F261="l"),I261," ")</f>
        <v> </v>
      </c>
      <c r="AA261" s="19" t="str">
        <f aca="false">IF((F261="y"),I261," ")</f>
        <v> </v>
      </c>
      <c r="AB261" s="19" t="str">
        <f aca="false">IF((F261="fa"),I261," ")</f>
        <v> </v>
      </c>
    </row>
    <row r="262" customFormat="false" ht="12" hidden="false" customHeight="false" outlineLevel="0" collapsed="false">
      <c r="A262" s="27"/>
      <c r="F262" s="58" t="str">
        <f aca="false">IF((G262&lt;&gt;0),"Enter Letter"," ")</f>
        <v> </v>
      </c>
      <c r="G262" s="29"/>
      <c r="H262" s="6" t="str">
        <f aca="false">IF(G262&lt;&gt;0,G262*H$2/(100+H$2)," ")</f>
        <v> </v>
      </c>
      <c r="I262" s="6" t="str">
        <f aca="false">IF((G262&lt;&gt;0),G262-H262," ")</f>
        <v> </v>
      </c>
      <c r="J262" s="5"/>
      <c r="M262" s="7" t="str">
        <f aca="false">IF(G262&lt;&gt;0,G262-L262," ")</f>
        <v> </v>
      </c>
      <c r="N262" s="8" t="str">
        <f aca="false">IF((G262-L262)&lt;&gt;0,N$1-A262," ")</f>
        <v> </v>
      </c>
      <c r="O262" s="5"/>
      <c r="P262" s="19" t="str">
        <f aca="false">IF((F262="s"),I262," ")</f>
        <v> </v>
      </c>
      <c r="Q262" s="19" t="str">
        <f aca="false">IF((F262="c"),I262," ")</f>
        <v> </v>
      </c>
      <c r="R262" s="19" t="str">
        <f aca="false">IF((F262="o"),I262," ")</f>
        <v> </v>
      </c>
      <c r="S262" s="19" t="str">
        <f aca="false">IF((F262="w"),I262," ")</f>
        <v> </v>
      </c>
      <c r="T262" s="19" t="str">
        <f aca="false">IF((F262="p"),I262," ")</f>
        <v> </v>
      </c>
      <c r="U262" s="19" t="str">
        <f aca="false">IF((F262="m"),I262," ")</f>
        <v> </v>
      </c>
      <c r="V262" s="19" t="str">
        <f aca="false">IF((F262="g"),I262," ")</f>
        <v> </v>
      </c>
      <c r="W262" s="29" t="str">
        <f aca="false">IF((F262="v"),I262," ")</f>
        <v> </v>
      </c>
      <c r="X262" s="19" t="str">
        <f aca="false">IF((F262="h"),I262," ")</f>
        <v> </v>
      </c>
      <c r="Y262" s="19" t="str">
        <f aca="false">IF((F262="a"),I262," ")</f>
        <v> </v>
      </c>
      <c r="Z262" s="19" t="str">
        <f aca="false">IF((F262="l"),I262," ")</f>
        <v> </v>
      </c>
      <c r="AA262" s="19" t="str">
        <f aca="false">IF((F262="y"),I262," ")</f>
        <v> </v>
      </c>
      <c r="AB262" s="19" t="str">
        <f aca="false">IF((F262="fa"),I262," ")</f>
        <v> </v>
      </c>
    </row>
    <row r="263" customFormat="false" ht="12" hidden="false" customHeight="false" outlineLevel="0" collapsed="false">
      <c r="A263" s="27"/>
      <c r="F263" s="58" t="str">
        <f aca="false">IF((G263&lt;&gt;0),"Enter Letter"," ")</f>
        <v> </v>
      </c>
      <c r="G263" s="29"/>
      <c r="H263" s="6" t="str">
        <f aca="false">IF(G263&lt;&gt;0,G263*H$2/(100+H$2)," ")</f>
        <v> </v>
      </c>
      <c r="I263" s="6" t="str">
        <f aca="false">IF((G263&lt;&gt;0),G263-H263," ")</f>
        <v> </v>
      </c>
      <c r="J263" s="5"/>
      <c r="M263" s="7" t="str">
        <f aca="false">IF(G263&lt;&gt;0,G263-L263," ")</f>
        <v> </v>
      </c>
      <c r="N263" s="8" t="str">
        <f aca="false">IF((G263-L263)&lt;&gt;0,N$1-A263," ")</f>
        <v> </v>
      </c>
      <c r="O263" s="5"/>
      <c r="P263" s="19" t="str">
        <f aca="false">IF((F263="s"),I263," ")</f>
        <v> </v>
      </c>
      <c r="Q263" s="19" t="str">
        <f aca="false">IF((F263="c"),I263," ")</f>
        <v> </v>
      </c>
      <c r="R263" s="19" t="str">
        <f aca="false">IF((F263="o"),I263," ")</f>
        <v> </v>
      </c>
      <c r="S263" s="19" t="str">
        <f aca="false">IF((F263="w"),I263," ")</f>
        <v> </v>
      </c>
      <c r="T263" s="19" t="str">
        <f aca="false">IF((F263="p"),I263," ")</f>
        <v> </v>
      </c>
      <c r="U263" s="19" t="str">
        <f aca="false">IF((F263="m"),I263," ")</f>
        <v> </v>
      </c>
      <c r="V263" s="19" t="str">
        <f aca="false">IF((F263="g"),I263," ")</f>
        <v> </v>
      </c>
      <c r="W263" s="29" t="str">
        <f aca="false">IF((F263="v"),I263," ")</f>
        <v> </v>
      </c>
      <c r="X263" s="19" t="str">
        <f aca="false">IF((F263="h"),I263," ")</f>
        <v> </v>
      </c>
      <c r="Y263" s="19" t="str">
        <f aca="false">IF((F263="a"),I263," ")</f>
        <v> </v>
      </c>
      <c r="Z263" s="19" t="str">
        <f aca="false">IF((F263="l"),I263," ")</f>
        <v> </v>
      </c>
      <c r="AA263" s="19" t="str">
        <f aca="false">IF((F263="y"),I263," ")</f>
        <v> </v>
      </c>
      <c r="AB263" s="19" t="str">
        <f aca="false">IF((F263="fa"),I263," ")</f>
        <v> </v>
      </c>
    </row>
    <row r="264" customFormat="false" ht="12" hidden="false" customHeight="false" outlineLevel="0" collapsed="false">
      <c r="A264" s="27"/>
      <c r="F264" s="58" t="str">
        <f aca="false">IF((G264&lt;&gt;0),"Enter Letter"," ")</f>
        <v> </v>
      </c>
      <c r="G264" s="29"/>
      <c r="H264" s="6" t="str">
        <f aca="false">IF(G264&lt;&gt;0,G264*H$2/(100+H$2)," ")</f>
        <v> </v>
      </c>
      <c r="I264" s="6" t="str">
        <f aca="false">IF((G264&lt;&gt;0),G264-H264," ")</f>
        <v> </v>
      </c>
      <c r="J264" s="5"/>
      <c r="M264" s="7" t="str">
        <f aca="false">IF(G264&lt;&gt;0,G264-L264," ")</f>
        <v> </v>
      </c>
      <c r="N264" s="8" t="str">
        <f aca="false">IF((G264-L264)&lt;&gt;0,N$1-A264," ")</f>
        <v> </v>
      </c>
      <c r="O264" s="5"/>
      <c r="P264" s="19" t="str">
        <f aca="false">IF((F264="s"),I264," ")</f>
        <v> </v>
      </c>
      <c r="Q264" s="19" t="str">
        <f aca="false">IF((F264="c"),I264," ")</f>
        <v> </v>
      </c>
      <c r="R264" s="19" t="str">
        <f aca="false">IF((F264="o"),I264," ")</f>
        <v> </v>
      </c>
      <c r="S264" s="19" t="str">
        <f aca="false">IF((F264="w"),I264," ")</f>
        <v> </v>
      </c>
      <c r="T264" s="19" t="str">
        <f aca="false">IF((F264="p"),I264," ")</f>
        <v> </v>
      </c>
      <c r="U264" s="19" t="str">
        <f aca="false">IF((F264="m"),I264," ")</f>
        <v> </v>
      </c>
      <c r="V264" s="19" t="str">
        <f aca="false">IF((F264="g"),I264," ")</f>
        <v> </v>
      </c>
      <c r="W264" s="29" t="str">
        <f aca="false">IF((F264="v"),I264," ")</f>
        <v> </v>
      </c>
      <c r="X264" s="19" t="str">
        <f aca="false">IF((F264="h"),I264," ")</f>
        <v> </v>
      </c>
      <c r="Y264" s="19" t="str">
        <f aca="false">IF((F264="a"),I264," ")</f>
        <v> </v>
      </c>
      <c r="Z264" s="19" t="str">
        <f aca="false">IF((F264="l"),I264," ")</f>
        <v> </v>
      </c>
      <c r="AA264" s="19" t="str">
        <f aca="false">IF((F264="y"),I264," ")</f>
        <v> </v>
      </c>
      <c r="AB264" s="19" t="str">
        <f aca="false">IF((F264="fa"),I264," ")</f>
        <v> </v>
      </c>
    </row>
    <row r="265" customFormat="false" ht="12" hidden="false" customHeight="false" outlineLevel="0" collapsed="false">
      <c r="A265" s="27"/>
      <c r="F265" s="58" t="str">
        <f aca="false">IF((G265&lt;&gt;0),"Enter Letter"," ")</f>
        <v> </v>
      </c>
      <c r="G265" s="29"/>
      <c r="H265" s="6" t="str">
        <f aca="false">IF(G265&lt;&gt;0,G265*H$2/(100+H$2)," ")</f>
        <v> </v>
      </c>
      <c r="I265" s="6" t="str">
        <f aca="false">IF((G265&lt;&gt;0),G265-H265," ")</f>
        <v> </v>
      </c>
      <c r="J265" s="5"/>
      <c r="M265" s="7" t="str">
        <f aca="false">IF(G265&lt;&gt;0,G265-L265," ")</f>
        <v> </v>
      </c>
      <c r="N265" s="8" t="str">
        <f aca="false">IF((G265-L265)&lt;&gt;0,N$1-A265," ")</f>
        <v> </v>
      </c>
      <c r="O265" s="5"/>
      <c r="P265" s="19" t="str">
        <f aca="false">IF((F265="s"),I265," ")</f>
        <v> </v>
      </c>
      <c r="Q265" s="19" t="str">
        <f aca="false">IF((F265="c"),I265," ")</f>
        <v> </v>
      </c>
      <c r="R265" s="19" t="str">
        <f aca="false">IF((F265="o"),I265," ")</f>
        <v> </v>
      </c>
      <c r="S265" s="19" t="str">
        <f aca="false">IF((F265="w"),I265," ")</f>
        <v> </v>
      </c>
      <c r="T265" s="19" t="str">
        <f aca="false">IF((F265="p"),I265," ")</f>
        <v> </v>
      </c>
      <c r="U265" s="19" t="str">
        <f aca="false">IF((F265="m"),I265," ")</f>
        <v> </v>
      </c>
      <c r="V265" s="19" t="str">
        <f aca="false">IF((F265="g"),I265," ")</f>
        <v> </v>
      </c>
      <c r="W265" s="29" t="str">
        <f aca="false">IF((F265="v"),I265," ")</f>
        <v> </v>
      </c>
      <c r="X265" s="19" t="str">
        <f aca="false">IF((F265="h"),I265," ")</f>
        <v> </v>
      </c>
      <c r="Y265" s="19" t="str">
        <f aca="false">IF((F265="a"),I265," ")</f>
        <v> </v>
      </c>
      <c r="Z265" s="19" t="str">
        <f aca="false">IF((F265="l"),I265," ")</f>
        <v> </v>
      </c>
      <c r="AA265" s="19" t="str">
        <f aca="false">IF((F265="y"),I265," ")</f>
        <v> </v>
      </c>
      <c r="AB265" s="19" t="str">
        <f aca="false">IF((F265="fa"),I265," ")</f>
        <v> </v>
      </c>
    </row>
    <row r="266" customFormat="false" ht="12" hidden="false" customHeight="false" outlineLevel="0" collapsed="false">
      <c r="A266" s="27"/>
      <c r="F266" s="58" t="str">
        <f aca="false">IF((G266&lt;&gt;0),"Enter Letter"," ")</f>
        <v> </v>
      </c>
      <c r="G266" s="29"/>
      <c r="H266" s="6" t="str">
        <f aca="false">IF(G266&lt;&gt;0,G266*H$2/(100+H$2)," ")</f>
        <v> </v>
      </c>
      <c r="I266" s="6" t="str">
        <f aca="false">IF((G266&lt;&gt;0),G266-H266," ")</f>
        <v> </v>
      </c>
      <c r="J266" s="5"/>
      <c r="M266" s="7" t="str">
        <f aca="false">IF(G266&lt;&gt;0,G266-L266," ")</f>
        <v> </v>
      </c>
      <c r="N266" s="8" t="str">
        <f aca="false">IF((G266-L266)&lt;&gt;0,N$1-A266," ")</f>
        <v> </v>
      </c>
      <c r="O266" s="5"/>
      <c r="P266" s="19" t="str">
        <f aca="false">IF((F266="s"),I266," ")</f>
        <v> </v>
      </c>
      <c r="Q266" s="19" t="str">
        <f aca="false">IF((F266="c"),I266," ")</f>
        <v> </v>
      </c>
      <c r="R266" s="19" t="str">
        <f aca="false">IF((F266="o"),I266," ")</f>
        <v> </v>
      </c>
      <c r="S266" s="19" t="str">
        <f aca="false">IF((F266="w"),I266," ")</f>
        <v> </v>
      </c>
      <c r="T266" s="19" t="str">
        <f aca="false">IF((F266="p"),I266," ")</f>
        <v> </v>
      </c>
      <c r="U266" s="19" t="str">
        <f aca="false">IF((F266="m"),I266," ")</f>
        <v> </v>
      </c>
      <c r="V266" s="19" t="str">
        <f aca="false">IF((F266="g"),I266," ")</f>
        <v> </v>
      </c>
      <c r="W266" s="29" t="str">
        <f aca="false">IF((F266="v"),I266," ")</f>
        <v> </v>
      </c>
      <c r="X266" s="19" t="str">
        <f aca="false">IF((F266="h"),I266," ")</f>
        <v> </v>
      </c>
      <c r="Y266" s="19" t="str">
        <f aca="false">IF((F266="a"),I266," ")</f>
        <v> </v>
      </c>
      <c r="Z266" s="19" t="str">
        <f aca="false">IF((F266="l"),I266," ")</f>
        <v> </v>
      </c>
      <c r="AA266" s="19" t="str">
        <f aca="false">IF((F266="y"),I266," ")</f>
        <v> </v>
      </c>
      <c r="AB266" s="19" t="str">
        <f aca="false">IF((F266="fa"),I266," ")</f>
        <v> </v>
      </c>
    </row>
    <row r="267" customFormat="false" ht="12" hidden="false" customHeight="false" outlineLevel="0" collapsed="false">
      <c r="A267" s="27"/>
      <c r="F267" s="58" t="str">
        <f aca="false">IF((G267&lt;&gt;0),"Enter Letter"," ")</f>
        <v> </v>
      </c>
      <c r="G267" s="29"/>
      <c r="H267" s="6" t="str">
        <f aca="false">IF(G267&lt;&gt;0,G267*H$2/(100+H$2)," ")</f>
        <v> </v>
      </c>
      <c r="I267" s="6" t="str">
        <f aca="false">IF((G267&lt;&gt;0),G267-H267," ")</f>
        <v> </v>
      </c>
      <c r="J267" s="5"/>
      <c r="M267" s="7" t="str">
        <f aca="false">IF(G267&lt;&gt;0,G267-L267," ")</f>
        <v> </v>
      </c>
      <c r="N267" s="8" t="str">
        <f aca="false">IF((G267-L267)&lt;&gt;0,N$1-A267," ")</f>
        <v> </v>
      </c>
      <c r="O267" s="5"/>
      <c r="P267" s="19" t="str">
        <f aca="false">IF((F267="s"),I267," ")</f>
        <v> </v>
      </c>
      <c r="Q267" s="19" t="str">
        <f aca="false">IF((F267="c"),I267," ")</f>
        <v> </v>
      </c>
      <c r="R267" s="19" t="str">
        <f aca="false">IF((F267="o"),I267," ")</f>
        <v> </v>
      </c>
      <c r="S267" s="19" t="str">
        <f aca="false">IF((F267="w"),I267," ")</f>
        <v> </v>
      </c>
      <c r="T267" s="19" t="str">
        <f aca="false">IF((F267="p"),I267," ")</f>
        <v> </v>
      </c>
      <c r="U267" s="19" t="str">
        <f aca="false">IF((F267="m"),I267," ")</f>
        <v> </v>
      </c>
      <c r="V267" s="19" t="str">
        <f aca="false">IF((F267="g"),I267," ")</f>
        <v> </v>
      </c>
      <c r="W267" s="29" t="str">
        <f aca="false">IF((F267="v"),I267," ")</f>
        <v> </v>
      </c>
      <c r="X267" s="19" t="str">
        <f aca="false">IF((F267="h"),I267," ")</f>
        <v> </v>
      </c>
      <c r="Y267" s="19" t="str">
        <f aca="false">IF((F267="a"),I267," ")</f>
        <v> </v>
      </c>
      <c r="Z267" s="19" t="str">
        <f aca="false">IF((F267="l"),I267," ")</f>
        <v> </v>
      </c>
      <c r="AA267" s="19" t="str">
        <f aca="false">IF((F267="y"),I267," ")</f>
        <v> </v>
      </c>
      <c r="AB267" s="19" t="str">
        <f aca="false">IF((F267="fa"),I267," ")</f>
        <v> </v>
      </c>
    </row>
    <row r="268" customFormat="false" ht="12" hidden="false" customHeight="false" outlineLevel="0" collapsed="false">
      <c r="A268" s="27"/>
      <c r="F268" s="58" t="str">
        <f aca="false">IF((G268&lt;&gt;0),"Enter Letter"," ")</f>
        <v> </v>
      </c>
      <c r="G268" s="29"/>
      <c r="H268" s="6" t="str">
        <f aca="false">IF(G268&lt;&gt;0,G268*H$2/(100+H$2)," ")</f>
        <v> </v>
      </c>
      <c r="I268" s="6" t="str">
        <f aca="false">IF((G268&lt;&gt;0),G268-H268," ")</f>
        <v> </v>
      </c>
      <c r="J268" s="5"/>
      <c r="M268" s="7" t="str">
        <f aca="false">IF(G268&lt;&gt;0,G268-L268," ")</f>
        <v> </v>
      </c>
      <c r="N268" s="8" t="str">
        <f aca="false">IF((G268-L268)&lt;&gt;0,N$1-A268," ")</f>
        <v> </v>
      </c>
      <c r="O268" s="5"/>
      <c r="P268" s="19" t="str">
        <f aca="false">IF((F268="s"),I268," ")</f>
        <v> </v>
      </c>
      <c r="Q268" s="19" t="str">
        <f aca="false">IF((F268="c"),I268," ")</f>
        <v> </v>
      </c>
      <c r="R268" s="19" t="str">
        <f aca="false">IF((F268="o"),I268," ")</f>
        <v> </v>
      </c>
      <c r="S268" s="19" t="str">
        <f aca="false">IF((F268="w"),I268," ")</f>
        <v> </v>
      </c>
      <c r="T268" s="19" t="str">
        <f aca="false">IF((F268="p"),I268," ")</f>
        <v> </v>
      </c>
      <c r="U268" s="19" t="str">
        <f aca="false">IF((F268="m"),I268," ")</f>
        <v> </v>
      </c>
      <c r="V268" s="19" t="str">
        <f aca="false">IF((F268="g"),I268," ")</f>
        <v> </v>
      </c>
      <c r="W268" s="29" t="str">
        <f aca="false">IF((F268="v"),I268," ")</f>
        <v> </v>
      </c>
      <c r="X268" s="19" t="str">
        <f aca="false">IF((F268="h"),I268," ")</f>
        <v> </v>
      </c>
      <c r="Y268" s="19" t="str">
        <f aca="false">IF((F268="a"),I268," ")</f>
        <v> </v>
      </c>
      <c r="Z268" s="19" t="str">
        <f aca="false">IF((F268="l"),I268," ")</f>
        <v> </v>
      </c>
      <c r="AA268" s="19" t="str">
        <f aca="false">IF((F268="y"),I268," ")</f>
        <v> </v>
      </c>
      <c r="AB268" s="19" t="str">
        <f aca="false">IF((F268="fa"),I268," ")</f>
        <v> </v>
      </c>
    </row>
    <row r="269" customFormat="false" ht="12" hidden="false" customHeight="false" outlineLevel="0" collapsed="false">
      <c r="A269" s="27"/>
      <c r="F269" s="58" t="str">
        <f aca="false">IF((G269&lt;&gt;0),"Enter Letter"," ")</f>
        <v> </v>
      </c>
      <c r="G269" s="29"/>
      <c r="H269" s="6" t="str">
        <f aca="false">IF(G269&lt;&gt;0,G269*H$2/(100+H$2)," ")</f>
        <v> </v>
      </c>
      <c r="I269" s="6" t="str">
        <f aca="false">IF((G269&lt;&gt;0),G269-H269," ")</f>
        <v> </v>
      </c>
      <c r="J269" s="5"/>
      <c r="M269" s="7" t="str">
        <f aca="false">IF(G269&lt;&gt;0,G269-L269," ")</f>
        <v> </v>
      </c>
      <c r="N269" s="8" t="str">
        <f aca="false">IF((G269-L269)&lt;&gt;0,N$1-A269," ")</f>
        <v> </v>
      </c>
      <c r="O269" s="5"/>
      <c r="P269" s="19" t="str">
        <f aca="false">IF((F269="s"),I269," ")</f>
        <v> </v>
      </c>
      <c r="Q269" s="19" t="str">
        <f aca="false">IF((F269="c"),I269," ")</f>
        <v> </v>
      </c>
      <c r="R269" s="19" t="str">
        <f aca="false">IF((F269="o"),I269," ")</f>
        <v> </v>
      </c>
      <c r="S269" s="19" t="str">
        <f aca="false">IF((F269="w"),I269," ")</f>
        <v> </v>
      </c>
      <c r="T269" s="19" t="str">
        <f aca="false">IF((F269="p"),I269," ")</f>
        <v> </v>
      </c>
      <c r="U269" s="19" t="str">
        <f aca="false">IF((F269="m"),I269," ")</f>
        <v> </v>
      </c>
      <c r="V269" s="19" t="str">
        <f aca="false">IF((F269="g"),I269," ")</f>
        <v> </v>
      </c>
      <c r="W269" s="29" t="str">
        <f aca="false">IF((F269="v"),I269," ")</f>
        <v> </v>
      </c>
      <c r="X269" s="19" t="str">
        <f aca="false">IF((F269="h"),I269," ")</f>
        <v> </v>
      </c>
      <c r="Y269" s="19" t="str">
        <f aca="false">IF((F269="a"),I269," ")</f>
        <v> </v>
      </c>
      <c r="Z269" s="19" t="str">
        <f aca="false">IF((F269="l"),I269," ")</f>
        <v> </v>
      </c>
      <c r="AA269" s="19" t="str">
        <f aca="false">IF((F269="y"),I269," ")</f>
        <v> </v>
      </c>
      <c r="AB269" s="19" t="str">
        <f aca="false">IF((F269="fa"),I269," ")</f>
        <v> </v>
      </c>
    </row>
    <row r="270" customFormat="false" ht="12" hidden="false" customHeight="false" outlineLevel="0" collapsed="false">
      <c r="A270" s="27"/>
      <c r="F270" s="58" t="str">
        <f aca="false">IF((G270&lt;&gt;0),"Enter Letter"," ")</f>
        <v> </v>
      </c>
      <c r="G270" s="29"/>
      <c r="H270" s="6" t="str">
        <f aca="false">IF(G270&lt;&gt;0,G270*H$2/(100+H$2)," ")</f>
        <v> </v>
      </c>
      <c r="I270" s="6" t="str">
        <f aca="false">IF((G270&lt;&gt;0),G270-H270," ")</f>
        <v> </v>
      </c>
      <c r="J270" s="5"/>
      <c r="M270" s="7" t="str">
        <f aca="false">IF(G270&lt;&gt;0,G270-L270," ")</f>
        <v> </v>
      </c>
      <c r="N270" s="8" t="str">
        <f aca="false">IF((G270-L270)&lt;&gt;0,N$1-A270," ")</f>
        <v> </v>
      </c>
      <c r="O270" s="5"/>
      <c r="P270" s="19" t="str">
        <f aca="false">IF((F270="s"),I270," ")</f>
        <v> </v>
      </c>
      <c r="Q270" s="19" t="str">
        <f aca="false">IF((F270="c"),I270," ")</f>
        <v> </v>
      </c>
      <c r="R270" s="19" t="str">
        <f aca="false">IF((F270="o"),I270," ")</f>
        <v> </v>
      </c>
      <c r="S270" s="19" t="str">
        <f aca="false">IF((F270="w"),I270," ")</f>
        <v> </v>
      </c>
      <c r="T270" s="19" t="str">
        <f aca="false">IF((F270="p"),I270," ")</f>
        <v> </v>
      </c>
      <c r="U270" s="19" t="str">
        <f aca="false">IF((F270="m"),I270," ")</f>
        <v> </v>
      </c>
      <c r="V270" s="19" t="str">
        <f aca="false">IF((F270="g"),I270," ")</f>
        <v> </v>
      </c>
      <c r="W270" s="29" t="str">
        <f aca="false">IF((F270="v"),I270," ")</f>
        <v> </v>
      </c>
      <c r="X270" s="19" t="str">
        <f aca="false">IF((F270="h"),I270," ")</f>
        <v> </v>
      </c>
      <c r="Y270" s="19" t="str">
        <f aca="false">IF((F270="a"),I270," ")</f>
        <v> </v>
      </c>
      <c r="Z270" s="19" t="str">
        <f aca="false">IF((F270="l"),I270," ")</f>
        <v> </v>
      </c>
      <c r="AA270" s="19" t="str">
        <f aca="false">IF((F270="y"),I270," ")</f>
        <v> </v>
      </c>
      <c r="AB270" s="19" t="str">
        <f aca="false">IF((F270="fa"),I270," ")</f>
        <v> </v>
      </c>
    </row>
    <row r="271" customFormat="false" ht="12" hidden="false" customHeight="false" outlineLevel="0" collapsed="false">
      <c r="A271" s="27"/>
      <c r="F271" s="58" t="str">
        <f aca="false">IF((G271&lt;&gt;0),"Enter Letter"," ")</f>
        <v> </v>
      </c>
      <c r="G271" s="29"/>
      <c r="H271" s="6" t="str">
        <f aca="false">IF(G271&lt;&gt;0,G271*H$2/(100+H$2)," ")</f>
        <v> </v>
      </c>
      <c r="I271" s="6" t="str">
        <f aca="false">IF((G271&lt;&gt;0),G271-H271," ")</f>
        <v> </v>
      </c>
      <c r="J271" s="5"/>
      <c r="M271" s="7" t="str">
        <f aca="false">IF(G271&lt;&gt;0,G271-L271," ")</f>
        <v> </v>
      </c>
      <c r="N271" s="8" t="str">
        <f aca="false">IF((G271-L271)&lt;&gt;0,N$1-A271," ")</f>
        <v> </v>
      </c>
      <c r="O271" s="5"/>
      <c r="P271" s="19" t="str">
        <f aca="false">IF((F271="s"),I271," ")</f>
        <v> </v>
      </c>
      <c r="Q271" s="19" t="str">
        <f aca="false">IF((F271="c"),I271," ")</f>
        <v> </v>
      </c>
      <c r="R271" s="19" t="str">
        <f aca="false">IF((F271="o"),I271," ")</f>
        <v> </v>
      </c>
      <c r="S271" s="19" t="str">
        <f aca="false">IF((F271="w"),I271," ")</f>
        <v> </v>
      </c>
      <c r="T271" s="19" t="str">
        <f aca="false">IF((F271="p"),I271," ")</f>
        <v> </v>
      </c>
      <c r="U271" s="19" t="str">
        <f aca="false">IF((F271="m"),I271," ")</f>
        <v> </v>
      </c>
      <c r="V271" s="19" t="str">
        <f aca="false">IF((F271="g"),I271," ")</f>
        <v> </v>
      </c>
      <c r="W271" s="29" t="str">
        <f aca="false">IF((F271="v"),I271," ")</f>
        <v> </v>
      </c>
      <c r="X271" s="19" t="str">
        <f aca="false">IF((F271="h"),I271," ")</f>
        <v> </v>
      </c>
      <c r="Y271" s="19" t="str">
        <f aca="false">IF((F271="a"),I271," ")</f>
        <v> </v>
      </c>
      <c r="Z271" s="19" t="str">
        <f aca="false">IF((F271="l"),I271," ")</f>
        <v> </v>
      </c>
      <c r="AA271" s="19" t="str">
        <f aca="false">IF((F271="y"),I271," ")</f>
        <v> </v>
      </c>
      <c r="AB271" s="19" t="str">
        <f aca="false">IF((F271="fa"),I271," ")</f>
        <v> </v>
      </c>
    </row>
    <row r="272" customFormat="false" ht="12" hidden="false" customHeight="false" outlineLevel="0" collapsed="false">
      <c r="A272" s="27"/>
      <c r="F272" s="58" t="str">
        <f aca="false">IF((G272&lt;&gt;0),"Enter Letter"," ")</f>
        <v> </v>
      </c>
      <c r="G272" s="29"/>
      <c r="H272" s="6" t="str">
        <f aca="false">IF(G272&lt;&gt;0,G272*H$2/(100+H$2)," ")</f>
        <v> </v>
      </c>
      <c r="I272" s="6" t="str">
        <f aca="false">IF((G272&lt;&gt;0),G272-H272," ")</f>
        <v> </v>
      </c>
      <c r="J272" s="5"/>
      <c r="M272" s="7" t="str">
        <f aca="false">IF(G272&lt;&gt;0,G272-L272," ")</f>
        <v> </v>
      </c>
      <c r="N272" s="8" t="str">
        <f aca="false">IF((G272-L272)&lt;&gt;0,N$1-A272," ")</f>
        <v> </v>
      </c>
      <c r="O272" s="5"/>
      <c r="P272" s="19" t="str">
        <f aca="false">IF((F272="s"),I272," ")</f>
        <v> </v>
      </c>
      <c r="Q272" s="19" t="str">
        <f aca="false">IF((F272="c"),I272," ")</f>
        <v> </v>
      </c>
      <c r="R272" s="19" t="str">
        <f aca="false">IF((F272="o"),I272," ")</f>
        <v> </v>
      </c>
      <c r="S272" s="19" t="str">
        <f aca="false">IF((F272="w"),I272," ")</f>
        <v> </v>
      </c>
      <c r="T272" s="19" t="str">
        <f aca="false">IF((F272="p"),I272," ")</f>
        <v> </v>
      </c>
      <c r="U272" s="19" t="str">
        <f aca="false">IF((F272="m"),I272," ")</f>
        <v> </v>
      </c>
      <c r="V272" s="19" t="str">
        <f aca="false">IF((F272="g"),I272," ")</f>
        <v> </v>
      </c>
      <c r="W272" s="29" t="str">
        <f aca="false">IF((F272="v"),I272," ")</f>
        <v> </v>
      </c>
      <c r="X272" s="19" t="str">
        <f aca="false">IF((F272="h"),I272," ")</f>
        <v> </v>
      </c>
      <c r="Y272" s="19" t="str">
        <f aca="false">IF((F272="a"),I272," ")</f>
        <v> </v>
      </c>
      <c r="Z272" s="19" t="str">
        <f aca="false">IF((F272="l"),I272," ")</f>
        <v> </v>
      </c>
      <c r="AA272" s="19" t="str">
        <f aca="false">IF((F272="y"),I272," ")</f>
        <v> </v>
      </c>
      <c r="AB272" s="19" t="str">
        <f aca="false">IF((F272="fa"),I272," ")</f>
        <v> </v>
      </c>
    </row>
    <row r="273" customFormat="false" ht="12" hidden="false" customHeight="false" outlineLevel="0" collapsed="false">
      <c r="A273" s="27"/>
      <c r="F273" s="58" t="str">
        <f aca="false">IF((G273&lt;&gt;0),"Enter Letter"," ")</f>
        <v> </v>
      </c>
      <c r="G273" s="29"/>
      <c r="H273" s="6" t="str">
        <f aca="false">IF(G273&lt;&gt;0,G273*H$2/(100+H$2)," ")</f>
        <v> </v>
      </c>
      <c r="I273" s="6" t="str">
        <f aca="false">IF((G273&lt;&gt;0),G273-H273," ")</f>
        <v> </v>
      </c>
      <c r="J273" s="5"/>
      <c r="M273" s="7" t="str">
        <f aca="false">IF(G273&lt;&gt;0,G273-L273," ")</f>
        <v> </v>
      </c>
      <c r="N273" s="8" t="str">
        <f aca="false">IF((G273-L273)&lt;&gt;0,N$1-A273," ")</f>
        <v> </v>
      </c>
      <c r="O273" s="5"/>
      <c r="P273" s="19" t="str">
        <f aca="false">IF((F273="s"),I273," ")</f>
        <v> </v>
      </c>
      <c r="Q273" s="19" t="str">
        <f aca="false">IF((F273="c"),I273," ")</f>
        <v> </v>
      </c>
      <c r="R273" s="19" t="str">
        <f aca="false">IF((F273="o"),I273," ")</f>
        <v> </v>
      </c>
      <c r="S273" s="19" t="str">
        <f aca="false">IF((F273="w"),I273," ")</f>
        <v> </v>
      </c>
      <c r="T273" s="19" t="str">
        <f aca="false">IF((F273="p"),I273," ")</f>
        <v> </v>
      </c>
      <c r="U273" s="19" t="str">
        <f aca="false">IF((F273="m"),I273," ")</f>
        <v> </v>
      </c>
      <c r="V273" s="19" t="str">
        <f aca="false">IF((F273="g"),I273," ")</f>
        <v> </v>
      </c>
      <c r="W273" s="29" t="str">
        <f aca="false">IF((F273="v"),I273," ")</f>
        <v> </v>
      </c>
      <c r="X273" s="19" t="str">
        <f aca="false">IF((F273="h"),I273," ")</f>
        <v> </v>
      </c>
      <c r="Y273" s="19" t="str">
        <f aca="false">IF((F273="a"),I273," ")</f>
        <v> </v>
      </c>
      <c r="Z273" s="19" t="str">
        <f aca="false">IF((F273="l"),I273," ")</f>
        <v> </v>
      </c>
      <c r="AA273" s="19" t="str">
        <f aca="false">IF((F273="y"),I273," ")</f>
        <v> </v>
      </c>
      <c r="AB273" s="19" t="str">
        <f aca="false">IF((F273="fa"),I273," ")</f>
        <v> </v>
      </c>
    </row>
    <row r="274" customFormat="false" ht="12" hidden="false" customHeight="false" outlineLevel="0" collapsed="false">
      <c r="A274" s="27"/>
      <c r="F274" s="58" t="str">
        <f aca="false">IF((G274&lt;&gt;0),"Enter Letter"," ")</f>
        <v> </v>
      </c>
      <c r="G274" s="29"/>
      <c r="H274" s="6" t="str">
        <f aca="false">IF(G274&lt;&gt;0,G274*H$2/(100+H$2)," ")</f>
        <v> </v>
      </c>
      <c r="I274" s="6" t="str">
        <f aca="false">IF((G274&lt;&gt;0),G274-H274," ")</f>
        <v> </v>
      </c>
      <c r="J274" s="5"/>
      <c r="M274" s="7" t="str">
        <f aca="false">IF(G274&lt;&gt;0,G274-L274," ")</f>
        <v> </v>
      </c>
      <c r="N274" s="8" t="str">
        <f aca="false">IF((G274-L274)&lt;&gt;0,N$1-A274," ")</f>
        <v> </v>
      </c>
      <c r="O274" s="5"/>
      <c r="P274" s="19" t="str">
        <f aca="false">IF((F274="s"),I274," ")</f>
        <v> </v>
      </c>
      <c r="Q274" s="19" t="str">
        <f aca="false">IF((F274="c"),I274," ")</f>
        <v> </v>
      </c>
      <c r="R274" s="19" t="str">
        <f aca="false">IF((F274="o"),I274," ")</f>
        <v> </v>
      </c>
      <c r="S274" s="19" t="str">
        <f aca="false">IF((F274="w"),I274," ")</f>
        <v> </v>
      </c>
      <c r="T274" s="19" t="str">
        <f aca="false">IF((F274="p"),I274," ")</f>
        <v> </v>
      </c>
      <c r="U274" s="19" t="str">
        <f aca="false">IF((F274="m"),I274," ")</f>
        <v> </v>
      </c>
      <c r="V274" s="19" t="str">
        <f aca="false">IF((F274="g"),I274," ")</f>
        <v> </v>
      </c>
      <c r="W274" s="29" t="str">
        <f aca="false">IF((F274="v"),I274," ")</f>
        <v> </v>
      </c>
      <c r="X274" s="19" t="str">
        <f aca="false">IF((F274="h"),I274," ")</f>
        <v> </v>
      </c>
      <c r="Y274" s="19" t="str">
        <f aca="false">IF((F274="a"),I274," ")</f>
        <v> </v>
      </c>
      <c r="Z274" s="19" t="str">
        <f aca="false">IF((F274="l"),I274," ")</f>
        <v> </v>
      </c>
      <c r="AA274" s="19" t="str">
        <f aca="false">IF((F274="y"),I274," ")</f>
        <v> </v>
      </c>
      <c r="AB274" s="19" t="str">
        <f aca="false">IF((F274="fa"),I274," ")</f>
        <v> </v>
      </c>
    </row>
    <row r="275" customFormat="false" ht="12" hidden="false" customHeight="false" outlineLevel="0" collapsed="false">
      <c r="A275" s="27"/>
      <c r="F275" s="58" t="str">
        <f aca="false">IF((G275&lt;&gt;0),"Enter Letter"," ")</f>
        <v> </v>
      </c>
      <c r="G275" s="29"/>
      <c r="H275" s="6" t="str">
        <f aca="false">IF(G275&lt;&gt;0,G275*H$2/(100+H$2)," ")</f>
        <v> </v>
      </c>
      <c r="I275" s="6" t="str">
        <f aca="false">IF((G275&lt;&gt;0),G275-H275," ")</f>
        <v> </v>
      </c>
      <c r="J275" s="5"/>
      <c r="M275" s="7" t="str">
        <f aca="false">IF(G275&lt;&gt;0,G275-L275," ")</f>
        <v> </v>
      </c>
      <c r="N275" s="8" t="str">
        <f aca="false">IF((G275-L275)&lt;&gt;0,N$1-A275," ")</f>
        <v> </v>
      </c>
      <c r="O275" s="5"/>
      <c r="P275" s="19" t="str">
        <f aca="false">IF((F275="s"),I275," ")</f>
        <v> </v>
      </c>
      <c r="Q275" s="19" t="str">
        <f aca="false">IF((F275="c"),I275," ")</f>
        <v> </v>
      </c>
      <c r="R275" s="19" t="str">
        <f aca="false">IF((F275="o"),I275," ")</f>
        <v> </v>
      </c>
      <c r="S275" s="19" t="str">
        <f aca="false">IF((F275="w"),I275," ")</f>
        <v> </v>
      </c>
      <c r="T275" s="19" t="str">
        <f aca="false">IF((F275="p"),I275," ")</f>
        <v> </v>
      </c>
      <c r="U275" s="19" t="str">
        <f aca="false">IF((F275="m"),I275," ")</f>
        <v> </v>
      </c>
      <c r="V275" s="19" t="str">
        <f aca="false">IF((F275="g"),I275," ")</f>
        <v> </v>
      </c>
      <c r="W275" s="29" t="str">
        <f aca="false">IF((F275="v"),I275," ")</f>
        <v> </v>
      </c>
      <c r="X275" s="19" t="str">
        <f aca="false">IF((F275="h"),I275," ")</f>
        <v> </v>
      </c>
      <c r="Y275" s="19" t="str">
        <f aca="false">IF((F275="a"),I275," ")</f>
        <v> </v>
      </c>
      <c r="Z275" s="19" t="str">
        <f aca="false">IF((F275="l"),I275," ")</f>
        <v> </v>
      </c>
      <c r="AA275" s="19" t="str">
        <f aca="false">IF((F275="y"),I275," ")</f>
        <v> </v>
      </c>
      <c r="AB275" s="19" t="str">
        <f aca="false">IF((F275="fa"),I275," ")</f>
        <v> </v>
      </c>
    </row>
    <row r="276" customFormat="false" ht="12" hidden="false" customHeight="false" outlineLevel="0" collapsed="false">
      <c r="A276" s="27"/>
      <c r="F276" s="58" t="str">
        <f aca="false">IF((G276&lt;&gt;0),"Enter Letter"," ")</f>
        <v> </v>
      </c>
      <c r="G276" s="29"/>
      <c r="H276" s="6" t="str">
        <f aca="false">IF(G276&lt;&gt;0,G276*H$2/(100+H$2)," ")</f>
        <v> </v>
      </c>
      <c r="I276" s="6" t="str">
        <f aca="false">IF((G276&lt;&gt;0),G276-H276," ")</f>
        <v> </v>
      </c>
      <c r="J276" s="5"/>
      <c r="M276" s="7" t="str">
        <f aca="false">IF(G276&lt;&gt;0,G276-L276," ")</f>
        <v> </v>
      </c>
      <c r="N276" s="8" t="str">
        <f aca="false">IF((G276-L276)&lt;&gt;0,N$1-A276," ")</f>
        <v> </v>
      </c>
      <c r="O276" s="5"/>
      <c r="P276" s="19" t="str">
        <f aca="false">IF((F276="s"),I276," ")</f>
        <v> </v>
      </c>
      <c r="Q276" s="19" t="str">
        <f aca="false">IF((F276="c"),I276," ")</f>
        <v> </v>
      </c>
      <c r="R276" s="19" t="str">
        <f aca="false">IF((F276="o"),I276," ")</f>
        <v> </v>
      </c>
      <c r="S276" s="19" t="str">
        <f aca="false">IF((F276="w"),I276," ")</f>
        <v> </v>
      </c>
      <c r="T276" s="19" t="str">
        <f aca="false">IF((F276="p"),I276," ")</f>
        <v> </v>
      </c>
      <c r="U276" s="19" t="str">
        <f aca="false">IF((F276="m"),I276," ")</f>
        <v> </v>
      </c>
      <c r="V276" s="19" t="str">
        <f aca="false">IF((F276="g"),I276," ")</f>
        <v> </v>
      </c>
      <c r="W276" s="29" t="str">
        <f aca="false">IF((F276="v"),I276," ")</f>
        <v> </v>
      </c>
      <c r="X276" s="19" t="str">
        <f aca="false">IF((F276="h"),I276," ")</f>
        <v> </v>
      </c>
      <c r="Y276" s="19" t="str">
        <f aca="false">IF((F276="a"),I276," ")</f>
        <v> </v>
      </c>
      <c r="Z276" s="19" t="str">
        <f aca="false">IF((F276="l"),I276," ")</f>
        <v> </v>
      </c>
      <c r="AA276" s="19" t="str">
        <f aca="false">IF((F276="y"),I276," ")</f>
        <v> </v>
      </c>
      <c r="AB276" s="19" t="str">
        <f aca="false">IF((F276="fa"),I276," ")</f>
        <v> </v>
      </c>
    </row>
    <row r="277" customFormat="false" ht="12" hidden="false" customHeight="false" outlineLevel="0" collapsed="false">
      <c r="A277" s="27"/>
      <c r="F277" s="58" t="str">
        <f aca="false">IF((G277&lt;&gt;0),"Enter Letter"," ")</f>
        <v> </v>
      </c>
      <c r="G277" s="29"/>
      <c r="H277" s="6" t="str">
        <f aca="false">IF(G277&lt;&gt;0,G277*H$2/(100+H$2)," ")</f>
        <v> </v>
      </c>
      <c r="I277" s="6" t="str">
        <f aca="false">IF((G277&lt;&gt;0),G277-H277," ")</f>
        <v> </v>
      </c>
      <c r="J277" s="5"/>
      <c r="M277" s="7" t="str">
        <f aca="false">IF(G277&lt;&gt;0,G277-L277," ")</f>
        <v> </v>
      </c>
      <c r="N277" s="8" t="str">
        <f aca="false">IF((G277-L277)&lt;&gt;0,N$1-A277," ")</f>
        <v> </v>
      </c>
      <c r="O277" s="5"/>
      <c r="P277" s="19" t="str">
        <f aca="false">IF((F277="s"),I277," ")</f>
        <v> </v>
      </c>
      <c r="Q277" s="19" t="str">
        <f aca="false">IF((F277="c"),I277," ")</f>
        <v> </v>
      </c>
      <c r="R277" s="19" t="str">
        <f aca="false">IF((F277="o"),I277," ")</f>
        <v> </v>
      </c>
      <c r="S277" s="19" t="str">
        <f aca="false">IF((F277="w"),I277," ")</f>
        <v> </v>
      </c>
      <c r="T277" s="19" t="str">
        <f aca="false">IF((F277="p"),I277," ")</f>
        <v> </v>
      </c>
      <c r="U277" s="19" t="str">
        <f aca="false">IF((F277="m"),I277," ")</f>
        <v> </v>
      </c>
      <c r="V277" s="19" t="str">
        <f aca="false">IF((F277="g"),I277," ")</f>
        <v> </v>
      </c>
      <c r="W277" s="29" t="str">
        <f aca="false">IF((F277="v"),I277," ")</f>
        <v> </v>
      </c>
      <c r="X277" s="19" t="str">
        <f aca="false">IF((F277="h"),I277," ")</f>
        <v> </v>
      </c>
      <c r="Y277" s="19" t="str">
        <f aca="false">IF((F277="a"),I277," ")</f>
        <v> </v>
      </c>
      <c r="Z277" s="19" t="str">
        <f aca="false">IF((F277="l"),I277," ")</f>
        <v> </v>
      </c>
      <c r="AA277" s="19" t="str">
        <f aca="false">IF((F277="y"),I277," ")</f>
        <v> </v>
      </c>
      <c r="AB277" s="19" t="str">
        <f aca="false">IF((F277="fa"),I277," ")</f>
        <v> </v>
      </c>
    </row>
    <row r="278" customFormat="false" ht="12" hidden="false" customHeight="false" outlineLevel="0" collapsed="false">
      <c r="A278" s="27"/>
      <c r="F278" s="58" t="str">
        <f aca="false">IF((G278&lt;&gt;0),"Enter Letter"," ")</f>
        <v> </v>
      </c>
      <c r="G278" s="29"/>
      <c r="H278" s="6" t="str">
        <f aca="false">IF(G278&lt;&gt;0,G278*H$2/(100+H$2)," ")</f>
        <v> </v>
      </c>
      <c r="I278" s="6" t="str">
        <f aca="false">IF((G278&lt;&gt;0),G278-H278," ")</f>
        <v> </v>
      </c>
      <c r="J278" s="5"/>
      <c r="M278" s="7" t="str">
        <f aca="false">IF(G278&lt;&gt;0,G278-L278," ")</f>
        <v> </v>
      </c>
      <c r="N278" s="8" t="str">
        <f aca="false">IF((G278-L278)&lt;&gt;0,N$1-A278," ")</f>
        <v> </v>
      </c>
      <c r="O278" s="5"/>
      <c r="P278" s="19" t="str">
        <f aca="false">IF((F278="s"),I278," ")</f>
        <v> </v>
      </c>
      <c r="Q278" s="19" t="str">
        <f aca="false">IF((F278="c"),I278," ")</f>
        <v> </v>
      </c>
      <c r="R278" s="19" t="str">
        <f aca="false">IF((F278="o"),I278," ")</f>
        <v> </v>
      </c>
      <c r="S278" s="19" t="str">
        <f aca="false">IF((F278="w"),I278," ")</f>
        <v> </v>
      </c>
      <c r="T278" s="19" t="str">
        <f aca="false">IF((F278="p"),I278," ")</f>
        <v> </v>
      </c>
      <c r="U278" s="19" t="str">
        <f aca="false">IF((F278="m"),I278," ")</f>
        <v> </v>
      </c>
      <c r="V278" s="19" t="str">
        <f aca="false">IF((F278="g"),I278," ")</f>
        <v> </v>
      </c>
      <c r="W278" s="29" t="str">
        <f aca="false">IF((F278="v"),I278," ")</f>
        <v> </v>
      </c>
      <c r="X278" s="19" t="str">
        <f aca="false">IF((F278="h"),I278," ")</f>
        <v> </v>
      </c>
      <c r="Y278" s="19" t="str">
        <f aca="false">IF((F278="a"),I278," ")</f>
        <v> </v>
      </c>
      <c r="Z278" s="19" t="str">
        <f aca="false">IF((F278="l"),I278," ")</f>
        <v> </v>
      </c>
      <c r="AA278" s="19" t="str">
        <f aca="false">IF((F278="y"),I278," ")</f>
        <v> </v>
      </c>
      <c r="AB278" s="19" t="str">
        <f aca="false">IF((F278="fa"),I278," ")</f>
        <v> </v>
      </c>
    </row>
    <row r="279" customFormat="false" ht="12" hidden="false" customHeight="false" outlineLevel="0" collapsed="false">
      <c r="A279" s="27"/>
      <c r="F279" s="58" t="str">
        <f aca="false">IF((G279&lt;&gt;0),"Enter Letter"," ")</f>
        <v> </v>
      </c>
      <c r="G279" s="29"/>
      <c r="H279" s="6" t="str">
        <f aca="false">IF(G279&lt;&gt;0,G279*H$2/(100+H$2)," ")</f>
        <v> </v>
      </c>
      <c r="I279" s="6" t="str">
        <f aca="false">IF((G279&lt;&gt;0),G279-H279," ")</f>
        <v> </v>
      </c>
      <c r="J279" s="5"/>
      <c r="M279" s="7" t="str">
        <f aca="false">IF(G279&lt;&gt;0,G279-L279," ")</f>
        <v> </v>
      </c>
      <c r="N279" s="8" t="str">
        <f aca="false">IF((G279-L279)&lt;&gt;0,N$1-A279," ")</f>
        <v> </v>
      </c>
      <c r="O279" s="5"/>
      <c r="P279" s="19" t="str">
        <f aca="false">IF((F279="s"),I279," ")</f>
        <v> </v>
      </c>
      <c r="Q279" s="19" t="str">
        <f aca="false">IF((F279="c"),I279," ")</f>
        <v> </v>
      </c>
      <c r="R279" s="19" t="str">
        <f aca="false">IF((F279="o"),I279," ")</f>
        <v> </v>
      </c>
      <c r="S279" s="19" t="str">
        <f aca="false">IF((F279="w"),I279," ")</f>
        <v> </v>
      </c>
      <c r="T279" s="19" t="str">
        <f aca="false">IF((F279="p"),I279," ")</f>
        <v> </v>
      </c>
      <c r="U279" s="19" t="str">
        <f aca="false">IF((F279="m"),I279," ")</f>
        <v> </v>
      </c>
      <c r="V279" s="19" t="str">
        <f aca="false">IF((F279="g"),I279," ")</f>
        <v> </v>
      </c>
      <c r="W279" s="29" t="str">
        <f aca="false">IF((F279="v"),I279," ")</f>
        <v> </v>
      </c>
      <c r="X279" s="19" t="str">
        <f aca="false">IF((F279="h"),I279," ")</f>
        <v> </v>
      </c>
      <c r="Y279" s="19" t="str">
        <f aca="false">IF((F279="a"),I279," ")</f>
        <v> </v>
      </c>
      <c r="Z279" s="19" t="str">
        <f aca="false">IF((F279="l"),I279," ")</f>
        <v> </v>
      </c>
      <c r="AA279" s="19" t="str">
        <f aca="false">IF((F279="y"),I279," ")</f>
        <v> </v>
      </c>
      <c r="AB279" s="19" t="str">
        <f aca="false">IF((F279="fa"),I279," ")</f>
        <v> </v>
      </c>
    </row>
    <row r="280" customFormat="false" ht="12" hidden="false" customHeight="false" outlineLevel="0" collapsed="false">
      <c r="A280" s="27"/>
      <c r="F280" s="58" t="str">
        <f aca="false">IF((G280&lt;&gt;0),"Enter Letter"," ")</f>
        <v> </v>
      </c>
      <c r="G280" s="29"/>
      <c r="H280" s="6" t="str">
        <f aca="false">IF(G280&lt;&gt;0,G280*H$2/(100+H$2)," ")</f>
        <v> </v>
      </c>
      <c r="I280" s="6" t="str">
        <f aca="false">IF((G280&lt;&gt;0),G280-H280," ")</f>
        <v> </v>
      </c>
      <c r="J280" s="5"/>
      <c r="M280" s="7" t="str">
        <f aca="false">IF(G280&lt;&gt;0,G280-L280," ")</f>
        <v> </v>
      </c>
      <c r="N280" s="8" t="str">
        <f aca="false">IF((G280-L280)&lt;&gt;0,N$1-A280," ")</f>
        <v> </v>
      </c>
      <c r="O280" s="5"/>
      <c r="P280" s="19" t="str">
        <f aca="false">IF((F280="s"),I280," ")</f>
        <v> </v>
      </c>
      <c r="Q280" s="19" t="str">
        <f aca="false">IF((F280="c"),I280," ")</f>
        <v> </v>
      </c>
      <c r="R280" s="19" t="str">
        <f aca="false">IF((F280="o"),I280," ")</f>
        <v> </v>
      </c>
      <c r="S280" s="19" t="str">
        <f aca="false">IF((F280="w"),I280," ")</f>
        <v> </v>
      </c>
      <c r="T280" s="19" t="str">
        <f aca="false">IF((F280="p"),I280," ")</f>
        <v> </v>
      </c>
      <c r="U280" s="19" t="str">
        <f aca="false">IF((F280="m"),I280," ")</f>
        <v> </v>
      </c>
      <c r="V280" s="19" t="str">
        <f aca="false">IF((F280="g"),I280," ")</f>
        <v> </v>
      </c>
      <c r="W280" s="29" t="str">
        <f aca="false">IF((F280="v"),I280," ")</f>
        <v> </v>
      </c>
      <c r="X280" s="19" t="str">
        <f aca="false">IF((F280="h"),I280," ")</f>
        <v> </v>
      </c>
      <c r="Y280" s="19" t="str">
        <f aca="false">IF((F280="a"),I280," ")</f>
        <v> </v>
      </c>
      <c r="Z280" s="19" t="str">
        <f aca="false">IF((F280="l"),I280," ")</f>
        <v> </v>
      </c>
      <c r="AA280" s="19" t="str">
        <f aca="false">IF((F280="y"),I280," ")</f>
        <v> </v>
      </c>
      <c r="AB280" s="19" t="str">
        <f aca="false">IF((F280="fa"),I280," ")</f>
        <v> </v>
      </c>
    </row>
    <row r="281" customFormat="false" ht="12" hidden="false" customHeight="false" outlineLevel="0" collapsed="false">
      <c r="A281" s="27"/>
      <c r="F281" s="58" t="str">
        <f aca="false">IF((G281&lt;&gt;0),"Enter Letter"," ")</f>
        <v> </v>
      </c>
      <c r="G281" s="29"/>
      <c r="H281" s="6" t="str">
        <f aca="false">IF(G281&lt;&gt;0,G281*H$2/(100+H$2)," ")</f>
        <v> </v>
      </c>
      <c r="I281" s="6" t="str">
        <f aca="false">IF((G281&lt;&gt;0),G281-H281," ")</f>
        <v> </v>
      </c>
      <c r="J281" s="5"/>
      <c r="M281" s="7" t="str">
        <f aca="false">IF(G281&lt;&gt;0,G281-L281," ")</f>
        <v> </v>
      </c>
      <c r="N281" s="8" t="str">
        <f aca="false">IF((G281-L281)&lt;&gt;0,N$1-A281," ")</f>
        <v> </v>
      </c>
      <c r="O281" s="5"/>
      <c r="P281" s="19" t="str">
        <f aca="false">IF((F281="s"),I281," ")</f>
        <v> </v>
      </c>
      <c r="Q281" s="19" t="str">
        <f aca="false">IF((F281="c"),I281," ")</f>
        <v> </v>
      </c>
      <c r="R281" s="19" t="str">
        <f aca="false">IF((F281="o"),I281," ")</f>
        <v> </v>
      </c>
      <c r="S281" s="19" t="str">
        <f aca="false">IF((F281="w"),I281," ")</f>
        <v> </v>
      </c>
      <c r="T281" s="19" t="str">
        <f aca="false">IF((F281="p"),I281," ")</f>
        <v> </v>
      </c>
      <c r="U281" s="19" t="str">
        <f aca="false">IF((F281="m"),I281," ")</f>
        <v> </v>
      </c>
      <c r="V281" s="19" t="str">
        <f aca="false">IF((F281="g"),I281," ")</f>
        <v> </v>
      </c>
      <c r="W281" s="29" t="str">
        <f aca="false">IF((F281="v"),I281," ")</f>
        <v> </v>
      </c>
      <c r="X281" s="19" t="str">
        <f aca="false">IF((F281="h"),I281," ")</f>
        <v> </v>
      </c>
      <c r="Y281" s="19" t="str">
        <f aca="false">IF((F281="a"),I281," ")</f>
        <v> </v>
      </c>
      <c r="Z281" s="19" t="str">
        <f aca="false">IF((F281="l"),I281," ")</f>
        <v> </v>
      </c>
      <c r="AA281" s="19" t="str">
        <f aca="false">IF((F281="y"),I281," ")</f>
        <v> </v>
      </c>
      <c r="AB281" s="19" t="str">
        <f aca="false">IF((F281="fa"),I281," ")</f>
        <v> </v>
      </c>
    </row>
    <row r="282" customFormat="false" ht="12" hidden="false" customHeight="false" outlineLevel="0" collapsed="false">
      <c r="A282" s="27"/>
      <c r="F282" s="58" t="str">
        <f aca="false">IF((G282&lt;&gt;0),"Enter Letter"," ")</f>
        <v> </v>
      </c>
      <c r="G282" s="29"/>
      <c r="H282" s="6" t="str">
        <f aca="false">IF(G282&lt;&gt;0,G282*H$2/(100+H$2)," ")</f>
        <v> </v>
      </c>
      <c r="I282" s="6" t="str">
        <f aca="false">IF((G282&lt;&gt;0),G282-H282," ")</f>
        <v> </v>
      </c>
      <c r="J282" s="5"/>
      <c r="M282" s="7" t="str">
        <f aca="false">IF(G282&lt;&gt;0,G282-L282," ")</f>
        <v> </v>
      </c>
      <c r="N282" s="8" t="str">
        <f aca="false">IF((G282-L282)&lt;&gt;0,N$1-A282," ")</f>
        <v> </v>
      </c>
      <c r="O282" s="5"/>
      <c r="P282" s="19" t="str">
        <f aca="false">IF((F282="s"),I282," ")</f>
        <v> </v>
      </c>
      <c r="Q282" s="19" t="str">
        <f aca="false">IF((F282="c"),I282," ")</f>
        <v> </v>
      </c>
      <c r="R282" s="19" t="str">
        <f aca="false">IF((F282="o"),I282," ")</f>
        <v> </v>
      </c>
      <c r="S282" s="19" t="str">
        <f aca="false">IF((F282="w"),I282," ")</f>
        <v> </v>
      </c>
      <c r="T282" s="19" t="str">
        <f aca="false">IF((F282="p"),I282," ")</f>
        <v> </v>
      </c>
      <c r="U282" s="19" t="str">
        <f aca="false">IF((F282="m"),I282," ")</f>
        <v> </v>
      </c>
      <c r="V282" s="19" t="str">
        <f aca="false">IF((F282="g"),I282," ")</f>
        <v> </v>
      </c>
      <c r="W282" s="29" t="str">
        <f aca="false">IF((F282="v"),I282," ")</f>
        <v> </v>
      </c>
      <c r="X282" s="19" t="str">
        <f aca="false">IF((F282="h"),I282," ")</f>
        <v> </v>
      </c>
      <c r="Y282" s="19" t="str">
        <f aca="false">IF((F282="a"),I282," ")</f>
        <v> </v>
      </c>
      <c r="Z282" s="19" t="str">
        <f aca="false">IF((F282="l"),I282," ")</f>
        <v> </v>
      </c>
      <c r="AA282" s="19" t="str">
        <f aca="false">IF((F282="y"),I282," ")</f>
        <v> </v>
      </c>
      <c r="AB282" s="19" t="str">
        <f aca="false">IF((F282="fa"),I282," ")</f>
        <v> </v>
      </c>
    </row>
    <row r="283" customFormat="false" ht="12" hidden="false" customHeight="false" outlineLevel="0" collapsed="false">
      <c r="A283" s="27"/>
      <c r="F283" s="58" t="str">
        <f aca="false">IF((G283&lt;&gt;0),"Enter Letter"," ")</f>
        <v> </v>
      </c>
      <c r="G283" s="29"/>
      <c r="H283" s="6" t="str">
        <f aca="false">IF(G283&lt;&gt;0,G283*H$2/(100+H$2)," ")</f>
        <v> </v>
      </c>
      <c r="I283" s="6" t="str">
        <f aca="false">IF((G283&lt;&gt;0),G283-H283," ")</f>
        <v> </v>
      </c>
      <c r="J283" s="5"/>
      <c r="M283" s="7" t="str">
        <f aca="false">IF(G283&lt;&gt;0,G283-L283," ")</f>
        <v> </v>
      </c>
      <c r="N283" s="8" t="str">
        <f aca="false">IF((G283-L283)&lt;&gt;0,N$1-A283," ")</f>
        <v> </v>
      </c>
      <c r="O283" s="5"/>
      <c r="P283" s="19" t="str">
        <f aca="false">IF((F283="s"),I283," ")</f>
        <v> </v>
      </c>
      <c r="Q283" s="19" t="str">
        <f aca="false">IF((F283="c"),I283," ")</f>
        <v> </v>
      </c>
      <c r="R283" s="19" t="str">
        <f aca="false">IF((F283="o"),I283," ")</f>
        <v> </v>
      </c>
      <c r="S283" s="19" t="str">
        <f aca="false">IF((F283="w"),I283," ")</f>
        <v> </v>
      </c>
      <c r="T283" s="19" t="str">
        <f aca="false">IF((F283="p"),I283," ")</f>
        <v> </v>
      </c>
      <c r="U283" s="19" t="str">
        <f aca="false">IF((F283="m"),I283," ")</f>
        <v> </v>
      </c>
      <c r="V283" s="19" t="str">
        <f aca="false">IF((F283="g"),I283," ")</f>
        <v> </v>
      </c>
      <c r="W283" s="29" t="str">
        <f aca="false">IF((F283="v"),I283," ")</f>
        <v> </v>
      </c>
      <c r="X283" s="19" t="str">
        <f aca="false">IF((F283="h"),I283," ")</f>
        <v> </v>
      </c>
      <c r="Y283" s="19" t="str">
        <f aca="false">IF((F283="a"),I283," ")</f>
        <v> </v>
      </c>
      <c r="Z283" s="19" t="str">
        <f aca="false">IF((F283="l"),I283," ")</f>
        <v> </v>
      </c>
      <c r="AA283" s="19" t="str">
        <f aca="false">IF((F283="y"),I283," ")</f>
        <v> </v>
      </c>
      <c r="AB283" s="19" t="str">
        <f aca="false">IF((F283="fa"),I283," ")</f>
        <v> </v>
      </c>
    </row>
    <row r="284" customFormat="false" ht="12" hidden="false" customHeight="false" outlineLevel="0" collapsed="false">
      <c r="A284" s="27"/>
      <c r="F284" s="58" t="str">
        <f aca="false">IF((G284&lt;&gt;0),"Enter Letter"," ")</f>
        <v> </v>
      </c>
      <c r="G284" s="29"/>
      <c r="H284" s="6" t="str">
        <f aca="false">IF(G284&lt;&gt;0,G284*H$2/(100+H$2)," ")</f>
        <v> </v>
      </c>
      <c r="I284" s="6" t="str">
        <f aca="false">IF((G284&lt;&gt;0),G284-H284," ")</f>
        <v> </v>
      </c>
      <c r="J284" s="5"/>
      <c r="M284" s="7" t="str">
        <f aca="false">IF(G284&lt;&gt;0,G284-L284," ")</f>
        <v> </v>
      </c>
      <c r="N284" s="8" t="str">
        <f aca="false">IF((G284-L284)&lt;&gt;0,N$1-A284," ")</f>
        <v> </v>
      </c>
      <c r="O284" s="5"/>
      <c r="P284" s="19" t="str">
        <f aca="false">IF((F284="s"),I284," ")</f>
        <v> </v>
      </c>
      <c r="Q284" s="19" t="str">
        <f aca="false">IF((F284="c"),I284," ")</f>
        <v> </v>
      </c>
      <c r="R284" s="19" t="str">
        <f aca="false">IF((F284="o"),I284," ")</f>
        <v> </v>
      </c>
      <c r="S284" s="19" t="str">
        <f aca="false">IF((F284="w"),I284," ")</f>
        <v> </v>
      </c>
      <c r="T284" s="19" t="str">
        <f aca="false">IF((F284="p"),I284," ")</f>
        <v> </v>
      </c>
      <c r="U284" s="19" t="str">
        <f aca="false">IF((F284="m"),I284," ")</f>
        <v> </v>
      </c>
      <c r="V284" s="19" t="str">
        <f aca="false">IF((F284="g"),I284," ")</f>
        <v> </v>
      </c>
      <c r="W284" s="29" t="str">
        <f aca="false">IF((F284="v"),I284," ")</f>
        <v> </v>
      </c>
      <c r="X284" s="19" t="str">
        <f aca="false">IF((F284="h"),I284," ")</f>
        <v> </v>
      </c>
      <c r="Y284" s="19" t="str">
        <f aca="false">IF((F284="a"),I284," ")</f>
        <v> </v>
      </c>
      <c r="Z284" s="19" t="str">
        <f aca="false">IF((F284="l"),I284," ")</f>
        <v> </v>
      </c>
      <c r="AA284" s="19" t="str">
        <f aca="false">IF((F284="y"),I284," ")</f>
        <v> </v>
      </c>
      <c r="AB284" s="19" t="str">
        <f aca="false">IF((F284="fa"),I284," ")</f>
        <v> </v>
      </c>
    </row>
    <row r="285" customFormat="false" ht="12" hidden="false" customHeight="false" outlineLevel="0" collapsed="false">
      <c r="A285" s="27"/>
      <c r="F285" s="58" t="str">
        <f aca="false">IF((G285&lt;&gt;0),"Enter Letter"," ")</f>
        <v> </v>
      </c>
      <c r="G285" s="29"/>
      <c r="H285" s="6" t="str">
        <f aca="false">IF(G285&lt;&gt;0,G285*H$2/(100+H$2)," ")</f>
        <v> </v>
      </c>
      <c r="I285" s="6" t="str">
        <f aca="false">IF((G285&lt;&gt;0),G285-H285," ")</f>
        <v> </v>
      </c>
      <c r="J285" s="5"/>
      <c r="M285" s="7" t="str">
        <f aca="false">IF(G285&lt;&gt;0,G285-L285," ")</f>
        <v> </v>
      </c>
      <c r="N285" s="8" t="str">
        <f aca="false">IF((G285-L285)&lt;&gt;0,N$1-A285," ")</f>
        <v> </v>
      </c>
      <c r="O285" s="5"/>
      <c r="P285" s="19" t="str">
        <f aca="false">IF((F285="s"),I285," ")</f>
        <v> </v>
      </c>
      <c r="Q285" s="19" t="str">
        <f aca="false">IF((F285="c"),I285," ")</f>
        <v> </v>
      </c>
      <c r="R285" s="19" t="str">
        <f aca="false">IF((F285="o"),I285," ")</f>
        <v> </v>
      </c>
      <c r="S285" s="19" t="str">
        <f aca="false">IF((F285="w"),I285," ")</f>
        <v> </v>
      </c>
      <c r="T285" s="19" t="str">
        <f aca="false">IF((F285="p"),I285," ")</f>
        <v> </v>
      </c>
      <c r="U285" s="19" t="str">
        <f aca="false">IF((F285="m"),I285," ")</f>
        <v> </v>
      </c>
      <c r="V285" s="19" t="str">
        <f aca="false">IF((F285="g"),I285," ")</f>
        <v> </v>
      </c>
      <c r="W285" s="29" t="str">
        <f aca="false">IF((F285="v"),I285," ")</f>
        <v> </v>
      </c>
      <c r="X285" s="19" t="str">
        <f aca="false">IF((F285="h"),I285," ")</f>
        <v> </v>
      </c>
      <c r="Y285" s="19" t="str">
        <f aca="false">IF((F285="a"),I285," ")</f>
        <v> </v>
      </c>
      <c r="Z285" s="19" t="str">
        <f aca="false">IF((F285="l"),I285," ")</f>
        <v> </v>
      </c>
      <c r="AA285" s="19" t="str">
        <f aca="false">IF((F285="y"),I285," ")</f>
        <v> </v>
      </c>
      <c r="AB285" s="19" t="str">
        <f aca="false">IF((F285="fa"),I285," ")</f>
        <v> </v>
      </c>
    </row>
    <row r="286" customFormat="false" ht="12" hidden="false" customHeight="false" outlineLevel="0" collapsed="false">
      <c r="A286" s="27"/>
      <c r="F286" s="58" t="str">
        <f aca="false">IF((G286&lt;&gt;0),"Enter Letter"," ")</f>
        <v> </v>
      </c>
      <c r="G286" s="29"/>
      <c r="H286" s="6" t="str">
        <f aca="false">IF(G286&lt;&gt;0,G286*H$2/(100+H$2)," ")</f>
        <v> </v>
      </c>
      <c r="I286" s="6" t="str">
        <f aca="false">IF((G286&lt;&gt;0),G286-H286," ")</f>
        <v> </v>
      </c>
      <c r="J286" s="5"/>
      <c r="M286" s="7" t="str">
        <f aca="false">IF(G286&lt;&gt;0,G286-L286," ")</f>
        <v> </v>
      </c>
      <c r="N286" s="8" t="str">
        <f aca="false">IF((G286-L286)&lt;&gt;0,N$1-A286," ")</f>
        <v> </v>
      </c>
      <c r="O286" s="5"/>
      <c r="P286" s="19" t="str">
        <f aca="false">IF((F286="s"),I286," ")</f>
        <v> </v>
      </c>
      <c r="Q286" s="19" t="str">
        <f aca="false">IF((F286="c"),I286," ")</f>
        <v> </v>
      </c>
      <c r="R286" s="19" t="str">
        <f aca="false">IF((F286="o"),I286," ")</f>
        <v> </v>
      </c>
      <c r="S286" s="19" t="str">
        <f aca="false">IF((F286="w"),I286," ")</f>
        <v> </v>
      </c>
      <c r="T286" s="19" t="str">
        <f aca="false">IF((F286="p"),I286," ")</f>
        <v> </v>
      </c>
      <c r="U286" s="19" t="str">
        <f aca="false">IF((F286="m"),I286," ")</f>
        <v> </v>
      </c>
      <c r="V286" s="19" t="str">
        <f aca="false">IF((F286="g"),I286," ")</f>
        <v> </v>
      </c>
      <c r="W286" s="29" t="str">
        <f aca="false">IF((F286="v"),I286," ")</f>
        <v> </v>
      </c>
      <c r="X286" s="19" t="str">
        <f aca="false">IF((F286="h"),I286," ")</f>
        <v> </v>
      </c>
      <c r="Y286" s="19" t="str">
        <f aca="false">IF((F286="a"),I286," ")</f>
        <v> </v>
      </c>
      <c r="Z286" s="19" t="str">
        <f aca="false">IF((F286="l"),I286," ")</f>
        <v> </v>
      </c>
      <c r="AA286" s="19" t="str">
        <f aca="false">IF((F286="y"),I286," ")</f>
        <v> </v>
      </c>
      <c r="AB286" s="19" t="str">
        <f aca="false">IF((F286="fa"),I286," ")</f>
        <v> </v>
      </c>
    </row>
    <row r="287" customFormat="false" ht="12" hidden="false" customHeight="false" outlineLevel="0" collapsed="false">
      <c r="A287" s="27"/>
      <c r="F287" s="58" t="str">
        <f aca="false">IF((G287&lt;&gt;0),"Enter Letter"," ")</f>
        <v> </v>
      </c>
      <c r="G287" s="29"/>
      <c r="H287" s="6" t="str">
        <f aca="false">IF(G287&lt;&gt;0,G287*H$2/(100+H$2)," ")</f>
        <v> </v>
      </c>
      <c r="I287" s="6" t="str">
        <f aca="false">IF((G287&lt;&gt;0),G287-H287," ")</f>
        <v> </v>
      </c>
      <c r="J287" s="5"/>
      <c r="M287" s="7" t="str">
        <f aca="false">IF(G287&lt;&gt;0,G287-L287," ")</f>
        <v> </v>
      </c>
      <c r="N287" s="8" t="str">
        <f aca="false">IF((G287-L287)&lt;&gt;0,N$1-A287," ")</f>
        <v> </v>
      </c>
      <c r="O287" s="5"/>
      <c r="P287" s="19" t="str">
        <f aca="false">IF((F287="s"),I287," ")</f>
        <v> </v>
      </c>
      <c r="Q287" s="19" t="str">
        <f aca="false">IF((F287="c"),I287," ")</f>
        <v> </v>
      </c>
      <c r="R287" s="19" t="str">
        <f aca="false">IF((F287="o"),I287," ")</f>
        <v> </v>
      </c>
      <c r="S287" s="19" t="str">
        <f aca="false">IF((F287="w"),I287," ")</f>
        <v> </v>
      </c>
      <c r="T287" s="19" t="str">
        <f aca="false">IF((F287="p"),I287," ")</f>
        <v> </v>
      </c>
      <c r="U287" s="19" t="str">
        <f aca="false">IF((F287="m"),I287," ")</f>
        <v> </v>
      </c>
      <c r="V287" s="19" t="str">
        <f aca="false">IF((F287="g"),I287," ")</f>
        <v> </v>
      </c>
      <c r="W287" s="29" t="str">
        <f aca="false">IF((F287="v"),I287," ")</f>
        <v> </v>
      </c>
      <c r="X287" s="19" t="str">
        <f aca="false">IF((F287="h"),I287," ")</f>
        <v> </v>
      </c>
      <c r="Y287" s="19" t="str">
        <f aca="false">IF((F287="a"),I287," ")</f>
        <v> </v>
      </c>
      <c r="Z287" s="19" t="str">
        <f aca="false">IF((F287="l"),I287," ")</f>
        <v> </v>
      </c>
      <c r="AA287" s="19" t="str">
        <f aca="false">IF((F287="y"),I287," ")</f>
        <v> </v>
      </c>
      <c r="AB287" s="19" t="str">
        <f aca="false">IF((F287="fa"),I287," ")</f>
        <v> </v>
      </c>
    </row>
    <row r="288" customFormat="false" ht="12" hidden="false" customHeight="false" outlineLevel="0" collapsed="false">
      <c r="A288" s="27"/>
      <c r="F288" s="58" t="str">
        <f aca="false">IF((G288&lt;&gt;0),"Enter Letter"," ")</f>
        <v> </v>
      </c>
      <c r="G288" s="29"/>
      <c r="H288" s="6" t="str">
        <f aca="false">IF(G288&lt;&gt;0,G288*H$2/(100+H$2)," ")</f>
        <v> </v>
      </c>
      <c r="I288" s="6" t="str">
        <f aca="false">IF((G288&lt;&gt;0),G288-H288," ")</f>
        <v> </v>
      </c>
      <c r="J288" s="5"/>
      <c r="M288" s="7" t="str">
        <f aca="false">IF(G288&lt;&gt;0,G288-L288," ")</f>
        <v> </v>
      </c>
      <c r="N288" s="8" t="str">
        <f aca="false">IF((G288-L288)&lt;&gt;0,N$1-A288," ")</f>
        <v> </v>
      </c>
      <c r="O288" s="5"/>
      <c r="P288" s="19" t="str">
        <f aca="false">IF((F288="s"),I288," ")</f>
        <v> </v>
      </c>
      <c r="Q288" s="19" t="str">
        <f aca="false">IF((F288="c"),I288," ")</f>
        <v> </v>
      </c>
      <c r="R288" s="19" t="str">
        <f aca="false">IF((F288="o"),I288," ")</f>
        <v> </v>
      </c>
      <c r="S288" s="19" t="str">
        <f aca="false">IF((F288="w"),I288," ")</f>
        <v> </v>
      </c>
      <c r="T288" s="19" t="str">
        <f aca="false">IF((F288="p"),I288," ")</f>
        <v> </v>
      </c>
      <c r="U288" s="19" t="str">
        <f aca="false">IF((F288="m"),I288," ")</f>
        <v> </v>
      </c>
      <c r="V288" s="19" t="str">
        <f aca="false">IF((F288="g"),I288," ")</f>
        <v> </v>
      </c>
      <c r="W288" s="29" t="str">
        <f aca="false">IF((F288="v"),I288," ")</f>
        <v> </v>
      </c>
      <c r="X288" s="19" t="str">
        <f aca="false">IF((F288="h"),I288," ")</f>
        <v> </v>
      </c>
      <c r="Y288" s="19" t="str">
        <f aca="false">IF((F288="a"),I288," ")</f>
        <v> </v>
      </c>
      <c r="Z288" s="19" t="str">
        <f aca="false">IF((F288="l"),I288," ")</f>
        <v> </v>
      </c>
      <c r="AA288" s="19" t="str">
        <f aca="false">IF((F288="y"),I288," ")</f>
        <v> </v>
      </c>
      <c r="AB288" s="19" t="str">
        <f aca="false">IF((F288="fa"),I288," ")</f>
        <v> </v>
      </c>
    </row>
    <row r="289" customFormat="false" ht="12" hidden="false" customHeight="false" outlineLevel="0" collapsed="false">
      <c r="A289" s="27"/>
      <c r="F289" s="58" t="str">
        <f aca="false">IF((G289&lt;&gt;0),"Enter Letter"," ")</f>
        <v> </v>
      </c>
      <c r="G289" s="29"/>
      <c r="H289" s="6" t="str">
        <f aca="false">IF(G289&lt;&gt;0,G289*H$2/(100+H$2)," ")</f>
        <v> </v>
      </c>
      <c r="I289" s="6" t="str">
        <f aca="false">IF((G289&lt;&gt;0),G289-H289," ")</f>
        <v> </v>
      </c>
      <c r="J289" s="5"/>
      <c r="M289" s="7" t="str">
        <f aca="false">IF(G289&lt;&gt;0,G289-L289," ")</f>
        <v> </v>
      </c>
      <c r="N289" s="8" t="str">
        <f aca="false">IF((G289-L289)&lt;&gt;0,N$1-A289," ")</f>
        <v> </v>
      </c>
      <c r="O289" s="5"/>
      <c r="P289" s="19" t="str">
        <f aca="false">IF((F289="s"),I289," ")</f>
        <v> </v>
      </c>
      <c r="Q289" s="19" t="str">
        <f aca="false">IF((F289="c"),I289," ")</f>
        <v> </v>
      </c>
      <c r="R289" s="19" t="str">
        <f aca="false">IF((F289="o"),I289," ")</f>
        <v> </v>
      </c>
      <c r="S289" s="19" t="str">
        <f aca="false">IF((F289="w"),I289," ")</f>
        <v> </v>
      </c>
      <c r="T289" s="19" t="str">
        <f aca="false">IF((F289="p"),I289," ")</f>
        <v> </v>
      </c>
      <c r="U289" s="19" t="str">
        <f aca="false">IF((F289="m"),I289," ")</f>
        <v> </v>
      </c>
      <c r="V289" s="19" t="str">
        <f aca="false">IF((F289="g"),I289," ")</f>
        <v> </v>
      </c>
      <c r="W289" s="29" t="str">
        <f aca="false">IF((F289="v"),I289," ")</f>
        <v> </v>
      </c>
      <c r="X289" s="19" t="str">
        <f aca="false">IF((F289="h"),I289," ")</f>
        <v> </v>
      </c>
      <c r="Y289" s="19" t="str">
        <f aca="false">IF((F289="a"),I289," ")</f>
        <v> </v>
      </c>
      <c r="Z289" s="19" t="str">
        <f aca="false">IF((F289="l"),I289," ")</f>
        <v> </v>
      </c>
      <c r="AA289" s="19" t="str">
        <f aca="false">IF((F289="y"),I289," ")</f>
        <v> </v>
      </c>
      <c r="AB289" s="19" t="str">
        <f aca="false">IF((F289="fa"),I289," ")</f>
        <v> </v>
      </c>
    </row>
    <row r="290" customFormat="false" ht="12" hidden="false" customHeight="false" outlineLevel="0" collapsed="false">
      <c r="A290" s="27"/>
      <c r="F290" s="58" t="str">
        <f aca="false">IF((G290&lt;&gt;0),"Enter Letter"," ")</f>
        <v> </v>
      </c>
      <c r="G290" s="29"/>
      <c r="H290" s="6" t="str">
        <f aca="false">IF(G290&lt;&gt;0,G290*H$2/(100+H$2)," ")</f>
        <v> </v>
      </c>
      <c r="I290" s="6" t="str">
        <f aca="false">IF((G290&lt;&gt;0),G290-H290," ")</f>
        <v> </v>
      </c>
      <c r="J290" s="5"/>
      <c r="M290" s="7" t="str">
        <f aca="false">IF(G290&lt;&gt;0,G290-L290," ")</f>
        <v> </v>
      </c>
      <c r="N290" s="8" t="str">
        <f aca="false">IF((G290-L290)&lt;&gt;0,N$1-A290," ")</f>
        <v> </v>
      </c>
      <c r="O290" s="5"/>
      <c r="P290" s="19" t="str">
        <f aca="false">IF((F290="s"),I290," ")</f>
        <v> </v>
      </c>
      <c r="Q290" s="19" t="str">
        <f aca="false">IF((F290="c"),I290," ")</f>
        <v> </v>
      </c>
      <c r="R290" s="19" t="str">
        <f aca="false">IF((F290="o"),I290," ")</f>
        <v> </v>
      </c>
      <c r="S290" s="19" t="str">
        <f aca="false">IF((F290="w"),I290," ")</f>
        <v> </v>
      </c>
      <c r="T290" s="19" t="str">
        <f aca="false">IF((F290="p"),I290," ")</f>
        <v> </v>
      </c>
      <c r="U290" s="19" t="str">
        <f aca="false">IF((F290="m"),I290," ")</f>
        <v> </v>
      </c>
      <c r="V290" s="19" t="str">
        <f aca="false">IF((F290="g"),I290," ")</f>
        <v> </v>
      </c>
      <c r="W290" s="29" t="str">
        <f aca="false">IF((F290="v"),I290," ")</f>
        <v> </v>
      </c>
      <c r="X290" s="19" t="str">
        <f aca="false">IF((F290="h"),I290," ")</f>
        <v> </v>
      </c>
      <c r="Y290" s="19" t="str">
        <f aca="false">IF((F290="a"),I290," ")</f>
        <v> </v>
      </c>
      <c r="Z290" s="19" t="str">
        <f aca="false">IF((F290="l"),I290," ")</f>
        <v> </v>
      </c>
      <c r="AA290" s="19" t="str">
        <f aca="false">IF((F290="y"),I290," ")</f>
        <v> </v>
      </c>
      <c r="AB290" s="19" t="str">
        <f aca="false">IF((F290="fa"),I290," ")</f>
        <v> </v>
      </c>
    </row>
    <row r="291" customFormat="false" ht="12" hidden="false" customHeight="false" outlineLevel="0" collapsed="false">
      <c r="A291" s="27"/>
      <c r="F291" s="58" t="str">
        <f aca="false">IF((G291&lt;&gt;0),"Enter Letter"," ")</f>
        <v> </v>
      </c>
      <c r="G291" s="29"/>
      <c r="H291" s="6" t="str">
        <f aca="false">IF(G291&lt;&gt;0,G291*H$2/(100+H$2)," ")</f>
        <v> </v>
      </c>
      <c r="I291" s="6" t="str">
        <f aca="false">IF((G291&lt;&gt;0),G291-H291," ")</f>
        <v> </v>
      </c>
      <c r="J291" s="5"/>
      <c r="M291" s="7" t="str">
        <f aca="false">IF(G291&lt;&gt;0,G291-L291," ")</f>
        <v> </v>
      </c>
      <c r="N291" s="8" t="str">
        <f aca="false">IF((G291-L291)&lt;&gt;0,N$1-A291," ")</f>
        <v> </v>
      </c>
      <c r="O291" s="5"/>
      <c r="P291" s="19" t="str">
        <f aca="false">IF((F291="s"),I291," ")</f>
        <v> </v>
      </c>
      <c r="Q291" s="19" t="str">
        <f aca="false">IF((F291="c"),I291," ")</f>
        <v> </v>
      </c>
      <c r="R291" s="19" t="str">
        <f aca="false">IF((F291="o"),I291," ")</f>
        <v> </v>
      </c>
      <c r="S291" s="19" t="str">
        <f aca="false">IF((F291="w"),I291," ")</f>
        <v> </v>
      </c>
      <c r="T291" s="19" t="str">
        <f aca="false">IF((F291="p"),I291," ")</f>
        <v> </v>
      </c>
      <c r="U291" s="19" t="str">
        <f aca="false">IF((F291="m"),I291," ")</f>
        <v> </v>
      </c>
      <c r="V291" s="19" t="str">
        <f aca="false">IF((F291="g"),I291," ")</f>
        <v> </v>
      </c>
      <c r="W291" s="29" t="str">
        <f aca="false">IF((F291="v"),I291," ")</f>
        <v> </v>
      </c>
      <c r="X291" s="19" t="str">
        <f aca="false">IF((F291="h"),I291," ")</f>
        <v> </v>
      </c>
      <c r="Y291" s="19" t="str">
        <f aca="false">IF((F291="a"),I291," ")</f>
        <v> </v>
      </c>
      <c r="Z291" s="19" t="str">
        <f aca="false">IF((F291="l"),I291," ")</f>
        <v> </v>
      </c>
      <c r="AA291" s="19" t="str">
        <f aca="false">IF((F291="y"),I291," ")</f>
        <v> </v>
      </c>
      <c r="AB291" s="19" t="str">
        <f aca="false">IF((F291="fa"),I291," ")</f>
        <v> </v>
      </c>
    </row>
    <row r="292" customFormat="false" ht="12" hidden="false" customHeight="false" outlineLevel="0" collapsed="false">
      <c r="A292" s="27"/>
      <c r="F292" s="58" t="str">
        <f aca="false">IF((G292&lt;&gt;0),"Enter Letter"," ")</f>
        <v> </v>
      </c>
      <c r="G292" s="29"/>
      <c r="H292" s="6" t="str">
        <f aca="false">IF(G292&lt;&gt;0,G292*H$2/(100+H$2)," ")</f>
        <v> </v>
      </c>
      <c r="I292" s="6" t="str">
        <f aca="false">IF((G292&lt;&gt;0),G292-H292," ")</f>
        <v> </v>
      </c>
      <c r="J292" s="5"/>
      <c r="M292" s="7" t="str">
        <f aca="false">IF(G292&lt;&gt;0,G292-L292," ")</f>
        <v> </v>
      </c>
      <c r="N292" s="8" t="str">
        <f aca="false">IF((G292-L292)&lt;&gt;0,N$1-A292," ")</f>
        <v> </v>
      </c>
      <c r="O292" s="5"/>
      <c r="P292" s="19" t="str">
        <f aca="false">IF((F292="s"),I292," ")</f>
        <v> </v>
      </c>
      <c r="Q292" s="19" t="str">
        <f aca="false">IF((F292="c"),I292," ")</f>
        <v> </v>
      </c>
      <c r="R292" s="19" t="str">
        <f aca="false">IF((F292="o"),I292," ")</f>
        <v> </v>
      </c>
      <c r="S292" s="19" t="str">
        <f aca="false">IF((F292="w"),I292," ")</f>
        <v> </v>
      </c>
      <c r="T292" s="19" t="str">
        <f aca="false">IF((F292="p"),I292," ")</f>
        <v> </v>
      </c>
      <c r="U292" s="19" t="str">
        <f aca="false">IF((F292="m"),I292," ")</f>
        <v> </v>
      </c>
      <c r="V292" s="19" t="str">
        <f aca="false">IF((F292="g"),I292," ")</f>
        <v> </v>
      </c>
      <c r="W292" s="29" t="str">
        <f aca="false">IF((F292="v"),I292," ")</f>
        <v> </v>
      </c>
      <c r="X292" s="19" t="str">
        <f aca="false">IF((F292="h"),I292," ")</f>
        <v> </v>
      </c>
      <c r="Y292" s="19" t="str">
        <f aca="false">IF((F292="a"),I292," ")</f>
        <v> </v>
      </c>
      <c r="Z292" s="19" t="str">
        <f aca="false">IF((F292="l"),I292," ")</f>
        <v> </v>
      </c>
      <c r="AA292" s="19" t="str">
        <f aca="false">IF((F292="y"),I292," ")</f>
        <v> </v>
      </c>
      <c r="AB292" s="19" t="str">
        <f aca="false">IF((F292="fa"),I292," ")</f>
        <v> </v>
      </c>
    </row>
    <row r="293" customFormat="false" ht="12" hidden="false" customHeight="false" outlineLevel="0" collapsed="false">
      <c r="A293" s="27"/>
      <c r="F293" s="58" t="str">
        <f aca="false">IF((G293&lt;&gt;0),"Enter Letter"," ")</f>
        <v> </v>
      </c>
      <c r="G293" s="29"/>
      <c r="H293" s="6" t="str">
        <f aca="false">IF(G293&lt;&gt;0,G293*H$2/(100+H$2)," ")</f>
        <v> </v>
      </c>
      <c r="I293" s="6" t="str">
        <f aca="false">IF((G293&lt;&gt;0),G293-H293," ")</f>
        <v> </v>
      </c>
      <c r="J293" s="5"/>
      <c r="M293" s="7" t="str">
        <f aca="false">IF(G293&lt;&gt;0,G293-L293," ")</f>
        <v> </v>
      </c>
      <c r="N293" s="8" t="str">
        <f aca="false">IF((G293-L293)&lt;&gt;0,N$1-A293," ")</f>
        <v> </v>
      </c>
      <c r="O293" s="5"/>
      <c r="P293" s="19" t="str">
        <f aca="false">IF((F293="s"),I293," ")</f>
        <v> </v>
      </c>
      <c r="Q293" s="19" t="str">
        <f aca="false">IF((F293="c"),I293," ")</f>
        <v> </v>
      </c>
      <c r="R293" s="19" t="str">
        <f aca="false">IF((F293="o"),I293," ")</f>
        <v> </v>
      </c>
      <c r="S293" s="19" t="str">
        <f aca="false">IF((F293="w"),I293," ")</f>
        <v> </v>
      </c>
      <c r="T293" s="19" t="str">
        <f aca="false">IF((F293="p"),I293," ")</f>
        <v> </v>
      </c>
      <c r="U293" s="19" t="str">
        <f aca="false">IF((F293="m"),I293," ")</f>
        <v> </v>
      </c>
      <c r="V293" s="19" t="str">
        <f aca="false">IF((F293="g"),I293," ")</f>
        <v> </v>
      </c>
      <c r="W293" s="29" t="str">
        <f aca="false">IF((F293="v"),I293," ")</f>
        <v> </v>
      </c>
      <c r="X293" s="19" t="str">
        <f aca="false">IF((F293="h"),I293," ")</f>
        <v> </v>
      </c>
      <c r="Y293" s="19" t="str">
        <f aca="false">IF((F293="a"),I293," ")</f>
        <v> </v>
      </c>
      <c r="Z293" s="19" t="str">
        <f aca="false">IF((F293="l"),I293," ")</f>
        <v> </v>
      </c>
      <c r="AA293" s="19" t="str">
        <f aca="false">IF((F293="y"),I293," ")</f>
        <v> </v>
      </c>
      <c r="AB293" s="19" t="str">
        <f aca="false">IF((F293="fa"),I293," ")</f>
        <v> </v>
      </c>
    </row>
    <row r="294" customFormat="false" ht="12" hidden="false" customHeight="false" outlineLevel="0" collapsed="false">
      <c r="A294" s="27"/>
      <c r="F294" s="58" t="str">
        <f aca="false">IF((G294&lt;&gt;0),"Enter Letter"," ")</f>
        <v> </v>
      </c>
      <c r="G294" s="29"/>
      <c r="H294" s="6" t="str">
        <f aca="false">IF(G294&lt;&gt;0,G294*H$2/(100+H$2)," ")</f>
        <v> </v>
      </c>
      <c r="I294" s="6" t="str">
        <f aca="false">IF((G294&lt;&gt;0),G294-H294," ")</f>
        <v> </v>
      </c>
      <c r="J294" s="5"/>
      <c r="M294" s="7" t="str">
        <f aca="false">IF(G294&lt;&gt;0,G294-L294," ")</f>
        <v> </v>
      </c>
      <c r="N294" s="8" t="str">
        <f aca="false">IF((G294-L294)&lt;&gt;0,N$1-A294," ")</f>
        <v> </v>
      </c>
      <c r="O294" s="5"/>
      <c r="P294" s="19" t="str">
        <f aca="false">IF((F294="s"),I294," ")</f>
        <v> </v>
      </c>
      <c r="Q294" s="19" t="str">
        <f aca="false">IF((F294="c"),I294," ")</f>
        <v> </v>
      </c>
      <c r="R294" s="19" t="str">
        <f aca="false">IF((F294="o"),I294," ")</f>
        <v> </v>
      </c>
      <c r="S294" s="19" t="str">
        <f aca="false">IF((F294="w"),I294," ")</f>
        <v> </v>
      </c>
      <c r="T294" s="19" t="str">
        <f aca="false">IF((F294="p"),I294," ")</f>
        <v> </v>
      </c>
      <c r="U294" s="19" t="str">
        <f aca="false">IF((F294="m"),I294," ")</f>
        <v> </v>
      </c>
      <c r="V294" s="19" t="str">
        <f aca="false">IF((F294="g"),I294," ")</f>
        <v> </v>
      </c>
      <c r="W294" s="29" t="str">
        <f aca="false">IF((F294="v"),I294," ")</f>
        <v> </v>
      </c>
      <c r="X294" s="19" t="str">
        <f aca="false">IF((F294="h"),I294," ")</f>
        <v> </v>
      </c>
      <c r="Y294" s="19" t="str">
        <f aca="false">IF((F294="a"),I294," ")</f>
        <v> </v>
      </c>
      <c r="Z294" s="19" t="str">
        <f aca="false">IF((F294="l"),I294," ")</f>
        <v> </v>
      </c>
      <c r="AA294" s="19" t="str">
        <f aca="false">IF((F294="y"),I294," ")</f>
        <v> </v>
      </c>
      <c r="AB294" s="19" t="str">
        <f aca="false">IF((F294="fa"),I294," ")</f>
        <v> </v>
      </c>
    </row>
    <row r="295" customFormat="false" ht="12" hidden="false" customHeight="false" outlineLevel="0" collapsed="false">
      <c r="A295" s="27"/>
      <c r="F295" s="58" t="str">
        <f aca="false">IF((G295&lt;&gt;0),"Enter Letter"," ")</f>
        <v> </v>
      </c>
      <c r="G295" s="29"/>
      <c r="H295" s="6" t="str">
        <f aca="false">IF(G295&lt;&gt;0,G295*H$2/(100+H$2)," ")</f>
        <v> </v>
      </c>
      <c r="I295" s="6" t="str">
        <f aca="false">IF((G295&lt;&gt;0),G295-H295," ")</f>
        <v> </v>
      </c>
      <c r="J295" s="5"/>
      <c r="M295" s="7" t="str">
        <f aca="false">IF(G295&lt;&gt;0,G295-L295," ")</f>
        <v> </v>
      </c>
      <c r="N295" s="8" t="str">
        <f aca="false">IF((G295-L295)&lt;&gt;0,N$1-A295," ")</f>
        <v> </v>
      </c>
      <c r="O295" s="5"/>
      <c r="P295" s="19" t="str">
        <f aca="false">IF((F295="s"),I295," ")</f>
        <v> </v>
      </c>
      <c r="Q295" s="19" t="str">
        <f aca="false">IF((F295="c"),I295," ")</f>
        <v> </v>
      </c>
      <c r="R295" s="19" t="str">
        <f aca="false">IF((F295="o"),I295," ")</f>
        <v> </v>
      </c>
      <c r="S295" s="19" t="str">
        <f aca="false">IF((F295="w"),I295," ")</f>
        <v> </v>
      </c>
      <c r="T295" s="19" t="str">
        <f aca="false">IF((F295="p"),I295," ")</f>
        <v> </v>
      </c>
      <c r="U295" s="19" t="str">
        <f aca="false">IF((F295="m"),I295," ")</f>
        <v> </v>
      </c>
      <c r="V295" s="19" t="str">
        <f aca="false">IF((F295="g"),I295," ")</f>
        <v> </v>
      </c>
      <c r="W295" s="29" t="str">
        <f aca="false">IF((F295="v"),I295," ")</f>
        <v> </v>
      </c>
      <c r="X295" s="19" t="str">
        <f aca="false">IF((F295="h"),I295," ")</f>
        <v> </v>
      </c>
      <c r="Y295" s="19" t="str">
        <f aca="false">IF((F295="a"),I295," ")</f>
        <v> </v>
      </c>
      <c r="Z295" s="19" t="str">
        <f aca="false">IF((F295="l"),I295," ")</f>
        <v> </v>
      </c>
      <c r="AA295" s="19" t="str">
        <f aca="false">IF((F295="y"),I295," ")</f>
        <v> </v>
      </c>
      <c r="AB295" s="19" t="str">
        <f aca="false">IF((F295="fa"),I295," ")</f>
        <v> </v>
      </c>
    </row>
    <row r="296" customFormat="false" ht="12" hidden="false" customHeight="false" outlineLevel="0" collapsed="false">
      <c r="A296" s="27"/>
      <c r="F296" s="58" t="str">
        <f aca="false">IF((G296&lt;&gt;0),"Enter Letter"," ")</f>
        <v> </v>
      </c>
      <c r="G296" s="29"/>
      <c r="H296" s="6" t="str">
        <f aca="false">IF(G296&lt;&gt;0,G296*H$2/(100+H$2)," ")</f>
        <v> </v>
      </c>
      <c r="I296" s="6" t="str">
        <f aca="false">IF((G296&lt;&gt;0),G296-H296," ")</f>
        <v> </v>
      </c>
      <c r="J296" s="5"/>
      <c r="M296" s="7" t="str">
        <f aca="false">IF(G296&lt;&gt;0,G296-L296," ")</f>
        <v> </v>
      </c>
      <c r="N296" s="8" t="str">
        <f aca="false">IF((G296-L296)&lt;&gt;0,N$1-A296," ")</f>
        <v> </v>
      </c>
      <c r="O296" s="5"/>
      <c r="P296" s="19" t="str">
        <f aca="false">IF((F296="s"),I296," ")</f>
        <v> </v>
      </c>
      <c r="Q296" s="19" t="str">
        <f aca="false">IF((F296="c"),I296," ")</f>
        <v> </v>
      </c>
      <c r="R296" s="19" t="str">
        <f aca="false">IF((F296="o"),I296," ")</f>
        <v> </v>
      </c>
      <c r="S296" s="19" t="str">
        <f aca="false">IF((F296="w"),I296," ")</f>
        <v> </v>
      </c>
      <c r="T296" s="19" t="str">
        <f aca="false">IF((F296="p"),I296," ")</f>
        <v> </v>
      </c>
      <c r="U296" s="19" t="str">
        <f aca="false">IF((F296="m"),I296," ")</f>
        <v> </v>
      </c>
      <c r="V296" s="19" t="str">
        <f aca="false">IF((F296="g"),I296," ")</f>
        <v> </v>
      </c>
      <c r="W296" s="29" t="str">
        <f aca="false">IF((F296="v"),I296," ")</f>
        <v> </v>
      </c>
      <c r="X296" s="19" t="str">
        <f aca="false">IF((F296="h"),I296," ")</f>
        <v> </v>
      </c>
      <c r="Y296" s="19" t="str">
        <f aca="false">IF((F296="a"),I296," ")</f>
        <v> </v>
      </c>
      <c r="Z296" s="19" t="str">
        <f aca="false">IF((F296="l"),I296," ")</f>
        <v> </v>
      </c>
      <c r="AA296" s="19" t="str">
        <f aca="false">IF((F296="y"),I296," ")</f>
        <v> </v>
      </c>
      <c r="AB296" s="19" t="str">
        <f aca="false">IF((F296="fa"),I296," ")</f>
        <v> </v>
      </c>
    </row>
    <row r="297" customFormat="false" ht="12" hidden="false" customHeight="false" outlineLevel="0" collapsed="false">
      <c r="A297" s="27"/>
      <c r="F297" s="58" t="str">
        <f aca="false">IF((G297&lt;&gt;0),"Enter Letter"," ")</f>
        <v> </v>
      </c>
      <c r="G297" s="29"/>
      <c r="H297" s="6" t="str">
        <f aca="false">IF(G297&lt;&gt;0,G297*H$2/(100+H$2)," ")</f>
        <v> </v>
      </c>
      <c r="I297" s="6" t="str">
        <f aca="false">IF((G297&lt;&gt;0),G297-H297," ")</f>
        <v> </v>
      </c>
      <c r="J297" s="5"/>
      <c r="M297" s="7" t="str">
        <f aca="false">IF(G297&lt;&gt;0,G297-L297," ")</f>
        <v> </v>
      </c>
      <c r="N297" s="8" t="str">
        <f aca="false">IF((G297-L297)&lt;&gt;0,N$1-A297," ")</f>
        <v> </v>
      </c>
      <c r="O297" s="5"/>
      <c r="P297" s="19" t="str">
        <f aca="false">IF((F297="s"),I297," ")</f>
        <v> </v>
      </c>
      <c r="Q297" s="19" t="str">
        <f aca="false">IF((F297="c"),I297," ")</f>
        <v> </v>
      </c>
      <c r="R297" s="19" t="str">
        <f aca="false">IF((F297="o"),I297," ")</f>
        <v> </v>
      </c>
      <c r="S297" s="19" t="str">
        <f aca="false">IF((F297="w"),I297," ")</f>
        <v> </v>
      </c>
      <c r="T297" s="19" t="str">
        <f aca="false">IF((F297="p"),I297," ")</f>
        <v> </v>
      </c>
      <c r="U297" s="19" t="str">
        <f aca="false">IF((F297="m"),I297," ")</f>
        <v> </v>
      </c>
      <c r="V297" s="19" t="str">
        <f aca="false">IF((F297="g"),I297," ")</f>
        <v> </v>
      </c>
      <c r="W297" s="29" t="str">
        <f aca="false">IF((F297="v"),I297," ")</f>
        <v> </v>
      </c>
      <c r="X297" s="19" t="str">
        <f aca="false">IF((F297="h"),I297," ")</f>
        <v> </v>
      </c>
      <c r="Y297" s="19" t="str">
        <f aca="false">IF((F297="a"),I297," ")</f>
        <v> </v>
      </c>
      <c r="Z297" s="19" t="str">
        <f aca="false">IF((F297="l"),I297," ")</f>
        <v> </v>
      </c>
      <c r="AA297" s="19" t="str">
        <f aca="false">IF((F297="y"),I297," ")</f>
        <v> </v>
      </c>
      <c r="AB297" s="19" t="str">
        <f aca="false">IF((F297="fa"),I297," ")</f>
        <v> </v>
      </c>
    </row>
    <row r="298" customFormat="false" ht="12" hidden="false" customHeight="false" outlineLevel="0" collapsed="false">
      <c r="A298" s="27"/>
      <c r="F298" s="58" t="str">
        <f aca="false">IF((G298&lt;&gt;0),"Enter Letter"," ")</f>
        <v> </v>
      </c>
      <c r="G298" s="29"/>
      <c r="H298" s="6" t="str">
        <f aca="false">IF(G298&lt;&gt;0,G298*H$2/(100+H$2)," ")</f>
        <v> </v>
      </c>
      <c r="I298" s="6" t="str">
        <f aca="false">IF((G298&lt;&gt;0),G298-H298," ")</f>
        <v> </v>
      </c>
      <c r="J298" s="5"/>
      <c r="M298" s="7" t="str">
        <f aca="false">IF(G298&lt;&gt;0,G298-L298," ")</f>
        <v> </v>
      </c>
      <c r="N298" s="8" t="str">
        <f aca="false">IF((G298-L298)&lt;&gt;0,N$1-A298," ")</f>
        <v> </v>
      </c>
      <c r="O298" s="5"/>
      <c r="P298" s="19" t="str">
        <f aca="false">IF((F298="s"),I298," ")</f>
        <v> </v>
      </c>
      <c r="Q298" s="19" t="str">
        <f aca="false">IF((F298="c"),I298," ")</f>
        <v> </v>
      </c>
      <c r="R298" s="19" t="str">
        <f aca="false">IF((F298="o"),I298," ")</f>
        <v> </v>
      </c>
      <c r="S298" s="19" t="str">
        <f aca="false">IF((F298="w"),I298," ")</f>
        <v> </v>
      </c>
      <c r="T298" s="19" t="str">
        <f aca="false">IF((F298="p"),I298," ")</f>
        <v> </v>
      </c>
      <c r="U298" s="19" t="str">
        <f aca="false">IF((F298="m"),I298," ")</f>
        <v> </v>
      </c>
      <c r="V298" s="19" t="str">
        <f aca="false">IF((F298="g"),I298," ")</f>
        <v> </v>
      </c>
      <c r="W298" s="29" t="str">
        <f aca="false">IF((F298="v"),I298," ")</f>
        <v> </v>
      </c>
      <c r="X298" s="19" t="str">
        <f aca="false">IF((F298="h"),I298," ")</f>
        <v> </v>
      </c>
      <c r="Y298" s="19" t="str">
        <f aca="false">IF((F298="a"),I298," ")</f>
        <v> </v>
      </c>
      <c r="Z298" s="19" t="str">
        <f aca="false">IF((F298="l"),I298," ")</f>
        <v> </v>
      </c>
      <c r="AA298" s="19" t="str">
        <f aca="false">IF((F298="y"),I298," ")</f>
        <v> </v>
      </c>
      <c r="AB298" s="19" t="str">
        <f aca="false">IF((F298="fa"),I298," ")</f>
        <v> </v>
      </c>
    </row>
    <row r="299" customFormat="false" ht="12" hidden="false" customHeight="false" outlineLevel="0" collapsed="false">
      <c r="A299" s="27"/>
      <c r="F299" s="58" t="str">
        <f aca="false">IF((G299&lt;&gt;0),"Enter Letter"," ")</f>
        <v> </v>
      </c>
      <c r="G299" s="29"/>
      <c r="H299" s="6" t="str">
        <f aca="false">IF(G299&lt;&gt;0,G299*H$2/(100+H$2)," ")</f>
        <v> </v>
      </c>
      <c r="I299" s="6" t="str">
        <f aca="false">IF((G299&lt;&gt;0),G299-H299," ")</f>
        <v> </v>
      </c>
      <c r="J299" s="5"/>
      <c r="M299" s="7" t="str">
        <f aca="false">IF(G299&lt;&gt;0,G299-L299," ")</f>
        <v> </v>
      </c>
      <c r="N299" s="8" t="str">
        <f aca="false">IF((G299-L299)&lt;&gt;0,N$1-A299," ")</f>
        <v> </v>
      </c>
      <c r="O299" s="5"/>
      <c r="P299" s="19" t="str">
        <f aca="false">IF((F299="s"),I299," ")</f>
        <v> </v>
      </c>
      <c r="Q299" s="19" t="str">
        <f aca="false">IF((F299="c"),I299," ")</f>
        <v> </v>
      </c>
      <c r="R299" s="19" t="str">
        <f aca="false">IF((F299="o"),I299," ")</f>
        <v> </v>
      </c>
      <c r="S299" s="19" t="str">
        <f aca="false">IF((F299="w"),I299," ")</f>
        <v> </v>
      </c>
      <c r="T299" s="19" t="str">
        <f aca="false">IF((F299="p"),I299," ")</f>
        <v> </v>
      </c>
      <c r="U299" s="19" t="str">
        <f aca="false">IF((F299="m"),I299," ")</f>
        <v> </v>
      </c>
      <c r="V299" s="19" t="str">
        <f aca="false">IF((F299="g"),I299," ")</f>
        <v> </v>
      </c>
      <c r="W299" s="29" t="str">
        <f aca="false">IF((F299="v"),I299," ")</f>
        <v> </v>
      </c>
      <c r="X299" s="19" t="str">
        <f aca="false">IF((F299="h"),I299," ")</f>
        <v> </v>
      </c>
      <c r="Y299" s="19" t="str">
        <f aca="false">IF((F299="a"),I299," ")</f>
        <v> </v>
      </c>
      <c r="Z299" s="19" t="str">
        <f aca="false">IF((F299="l"),I299," ")</f>
        <v> </v>
      </c>
      <c r="AA299" s="19" t="str">
        <f aca="false">IF((F299="y"),I299," ")</f>
        <v> </v>
      </c>
      <c r="AB299" s="19" t="str">
        <f aca="false">IF((F299="fa"),I299,"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53" t="str">
        <f aca="false">IF((G300&lt;&gt;0),"Enter Letter"," ")</f>
        <v> </v>
      </c>
      <c r="G300" s="54"/>
      <c r="H300" s="35" t="str">
        <f aca="false">IF(G300&lt;&gt;0,G300*H$2/(100+H$2)," ")</f>
        <v> </v>
      </c>
      <c r="I300" s="35" t="str">
        <f aca="false">IF((G300&lt;&gt;0),G300-H300," ")</f>
        <v> </v>
      </c>
      <c r="J300" s="5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  <c r="O300" s="55"/>
      <c r="P300" s="56" t="str">
        <f aca="false">IF((F300="s"),I300," ")</f>
        <v> </v>
      </c>
      <c r="Q300" s="56" t="str">
        <f aca="false">IF((F300="c"),I300," ")</f>
        <v> </v>
      </c>
      <c r="R300" s="56" t="str">
        <f aca="false">IF((F300="o"),I300," ")</f>
        <v> </v>
      </c>
      <c r="S300" s="56" t="str">
        <f aca="false">IF((F300="w"),I300," ")</f>
        <v> </v>
      </c>
      <c r="T300" s="56" t="str">
        <f aca="false">IF((F300="p"),I300," ")</f>
        <v> </v>
      </c>
      <c r="U300" s="56" t="str">
        <f aca="false">IF((F300="m"),I300," ")</f>
        <v> </v>
      </c>
      <c r="V300" s="56" t="str">
        <f aca="false">IF((F300="g"),I300," ")</f>
        <v> </v>
      </c>
      <c r="W300" s="54" t="str">
        <f aca="false">IF((F300="v"),I300," ")</f>
        <v> </v>
      </c>
      <c r="X300" s="56" t="str">
        <f aca="false">IF((F300="h"),I300," ")</f>
        <v> </v>
      </c>
      <c r="Y300" s="56" t="str">
        <f aca="false">IF((F300="a"),I300," ")</f>
        <v> </v>
      </c>
      <c r="Z300" s="56" t="str">
        <f aca="false">IF((F300="l"),I300," ")</f>
        <v> </v>
      </c>
      <c r="AA300" s="56" t="str">
        <f aca="false">IF((F300="y"),I300," ")</f>
        <v> </v>
      </c>
      <c r="AB300" s="56" t="str">
        <f aca="false">IF((F300="fa"),I300," ")</f>
        <v> </v>
      </c>
      <c r="AC300" s="56"/>
      <c r="AD300" s="56"/>
      <c r="AE300" s="56"/>
    </row>
  </sheetData>
  <mergeCells count="28">
    <mergeCell ref="B1:C1"/>
    <mergeCell ref="J1:J4"/>
    <mergeCell ref="K1:K4"/>
    <mergeCell ref="O1:O4"/>
    <mergeCell ref="AC1:AC4"/>
    <mergeCell ref="D2:D4"/>
    <mergeCell ref="E2:E4"/>
    <mergeCell ref="L2:N2"/>
    <mergeCell ref="P2:R2"/>
    <mergeCell ref="S2:S3"/>
    <mergeCell ref="U2:U3"/>
    <mergeCell ref="V2:V3"/>
    <mergeCell ref="X2:X3"/>
    <mergeCell ref="Y2:Y3"/>
    <mergeCell ref="Z2:Z3"/>
    <mergeCell ref="AA2:AA3"/>
    <mergeCell ref="AD2:AE2"/>
    <mergeCell ref="A3:A4"/>
    <mergeCell ref="B3:B4"/>
    <mergeCell ref="C3:C4"/>
    <mergeCell ref="F3:F4"/>
    <mergeCell ref="G3:G4"/>
    <mergeCell ref="H3:H4"/>
    <mergeCell ref="I3:I4"/>
    <mergeCell ref="L3:L4"/>
    <mergeCell ref="M3:M4"/>
    <mergeCell ref="N3:N4"/>
    <mergeCell ref="AD3:AE3"/>
  </mergeCells>
  <dataValidations count="3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300" type="date">
      <formula1>38353</formula1>
      <formula2>53327</formula2>
    </dataValidation>
    <dataValidation allowBlank="true" errorStyle="stop" operator="between" prompt="An amount in this cell is an indication column I does not equal column G minus H or the analysis in columns P to AB does not add up to total in column I&#10;&#10;CHECK ENTRY CODE LETTERS or ANY MANUAL ENTRIES IN COL H to I and COL P to AB" promptTitle="ERROR ALERT" showDropDown="false" showErrorMessage="true" showInputMessage="true" sqref="A1" type="none">
      <formula1>0</formula1>
      <formula2>0</formula2>
    </dataValidation>
    <dataValidation allowBlank="true" errorStyle="stop" operator="between" showDropDown="false" showErrorMessage="true" showInputMessage="false" sqref="F5:F300" type="list">
      <formula1>$P$4:$AB$4</formula1>
      <formula2>0</formula2>
    </dataValidation>
  </dataValidations>
  <printOptions headings="false" gridLines="true" gridLinesSet="true" horizontalCentered="false" verticalCentered="false"/>
  <pageMargins left="0.118055555555556" right="0.0784722222222222" top="0.590277777777778" bottom="0.590277777777778" header="0.196527777777778" footer="0.19652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&amp;C&amp;"Arial,Bold"&amp;11Costs and Expenses</oddHeader>
    <oddFooter>&amp;L&amp;D  &amp;T&amp;C&amp;P  of  &amp;N&amp;R&amp;F  &amp;A</oddFooter>
  </headerFooter>
  <colBreaks count="1" manualBreakCount="1">
    <brk id="25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8.82"/>
    <col collapsed="false" customWidth="true" hidden="false" outlineLevel="0" max="2" min="2" style="2" width="19.66"/>
    <col collapsed="false" customWidth="true" hidden="false" outlineLevel="0" max="3" min="3" style="3" width="11.66"/>
    <col collapsed="false" customWidth="true" hidden="false" outlineLevel="0" max="4" min="4" style="4" width="6.66"/>
    <col collapsed="false" customWidth="true" hidden="false" outlineLevel="0" max="5" min="5" style="2" width="14.66"/>
    <col collapsed="false" customWidth="true" hidden="false" outlineLevel="0" max="6" min="6" style="5" width="9.66"/>
    <col collapsed="false" customWidth="true" hidden="false" outlineLevel="0" max="7" min="7" style="6" width="10.5"/>
    <col collapsed="false" customWidth="true" hidden="false" outlineLevel="0" max="8" min="8" style="6" width="9.66"/>
    <col collapsed="false" customWidth="true" hidden="false" outlineLevel="0" max="9" min="9" style="6" width="10.66"/>
    <col collapsed="false" customWidth="true" hidden="false" outlineLevel="0" max="10" min="10" style="6" width="0.82"/>
    <col collapsed="false" customWidth="true" hidden="false" outlineLevel="0" max="11" min="11" style="6" width="9.82"/>
    <col collapsed="false" customWidth="true" hidden="false" outlineLevel="0" max="12" min="12" style="6" width="9.66"/>
    <col collapsed="false" customWidth="true" hidden="false" outlineLevel="0" max="13" min="13" style="7" width="9.66"/>
    <col collapsed="false" customWidth="true" hidden="false" outlineLevel="0" max="14" min="14" style="8" width="9.49"/>
    <col collapsed="false" customWidth="false" hidden="false" outlineLevel="0" max="257" min="15" style="2" width="9.15"/>
  </cols>
  <sheetData>
    <row r="1" s="19" customFormat="true" ht="12.75" hidden="false" customHeight="true" outlineLevel="0" collapsed="false">
      <c r="A1" s="9" t="s">
        <v>0</v>
      </c>
      <c r="B1" s="10" t="s">
        <v>1</v>
      </c>
      <c r="C1" s="11" t="s">
        <v>2</v>
      </c>
      <c r="D1" s="12"/>
      <c r="E1" s="13" t="s">
        <v>3</v>
      </c>
      <c r="F1" s="14"/>
      <c r="G1" s="13" t="n">
        <f aca="false">SUM(G5:G300)</f>
        <v>0</v>
      </c>
      <c r="H1" s="13" t="n">
        <f aca="false">SUM(H5:H300)</f>
        <v>0</v>
      </c>
      <c r="I1" s="13" t="n">
        <f aca="false">SUM(I5:I300)</f>
        <v>0</v>
      </c>
      <c r="J1" s="15"/>
      <c r="K1" s="16" t="s">
        <v>4</v>
      </c>
      <c r="L1" s="17" t="n">
        <f aca="false">SUM(L5:L300)</f>
        <v>0</v>
      </c>
      <c r="M1" s="17" t="n">
        <f aca="false">SUM(M5:M300)</f>
        <v>0</v>
      </c>
      <c r="N1" s="18" t="n">
        <f aca="true">TODAY()</f>
        <v>46113</v>
      </c>
    </row>
    <row r="2" s="19" customFormat="true" ht="13.5" hidden="false" customHeight="true" outlineLevel="0" collapsed="false">
      <c r="A2" s="9"/>
      <c r="B2" s="10"/>
      <c r="C2" s="10"/>
      <c r="D2" s="12"/>
      <c r="E2" s="20" t="s">
        <v>5</v>
      </c>
      <c r="F2" s="20"/>
      <c r="G2" s="10" t="s">
        <v>6</v>
      </c>
      <c r="H2" s="21" t="n">
        <f aca="false">Mar!H2</f>
        <v>20</v>
      </c>
      <c r="I2" s="10" t="s">
        <v>7</v>
      </c>
      <c r="J2" s="15"/>
      <c r="K2" s="16"/>
      <c r="L2" s="22" t="s">
        <v>8</v>
      </c>
      <c r="M2" s="22"/>
      <c r="N2" s="22"/>
    </row>
    <row r="3" s="25" customFormat="true" ht="34.5" hidden="false" customHeight="true" outlineLevel="0" collapsed="false">
      <c r="A3" s="9"/>
      <c r="B3" s="10"/>
      <c r="C3" s="10"/>
      <c r="D3" s="12"/>
      <c r="E3" s="20"/>
      <c r="F3" s="20"/>
      <c r="G3" s="10"/>
      <c r="H3" s="10" t="s">
        <v>9</v>
      </c>
      <c r="I3" s="10"/>
      <c r="J3" s="15"/>
      <c r="K3" s="16"/>
      <c r="L3" s="23" t="s">
        <v>10</v>
      </c>
      <c r="M3" s="23" t="s">
        <v>11</v>
      </c>
      <c r="N3" s="24" t="s">
        <v>12</v>
      </c>
    </row>
    <row r="4" s="26" customFormat="true" ht="12.75" hidden="false" customHeight="true" outlineLevel="0" collapsed="false">
      <c r="A4" s="9"/>
      <c r="B4" s="10"/>
      <c r="C4" s="10"/>
      <c r="D4" s="12"/>
      <c r="E4" s="20"/>
      <c r="F4" s="20"/>
      <c r="G4" s="10"/>
      <c r="H4" s="10"/>
      <c r="I4" s="10"/>
      <c r="J4" s="15"/>
      <c r="K4" s="16"/>
      <c r="L4" s="23"/>
      <c r="M4" s="23"/>
      <c r="N4" s="24"/>
    </row>
    <row r="5" s="5" customFormat="true" ht="12" hidden="false" customHeight="false" outlineLevel="0" collapsed="false">
      <c r="A5" s="27"/>
      <c r="C5" s="28"/>
      <c r="D5" s="4"/>
      <c r="E5" s="2"/>
      <c r="F5" s="2"/>
      <c r="G5" s="29"/>
      <c r="H5" s="6" t="str">
        <f aca="false">IF(G5&lt;&gt;0,G5*H$2/(100+H$2)," ")</f>
        <v> </v>
      </c>
      <c r="I5" s="6" t="str">
        <f aca="false">IF((G5&lt;&gt;0),G5-H5," ")</f>
        <v> </v>
      </c>
      <c r="K5" s="6"/>
      <c r="L5" s="6"/>
      <c r="M5" s="7" t="str">
        <f aca="false">IF(G5&lt;&gt;0,G5-L5," ")</f>
        <v> </v>
      </c>
      <c r="N5" s="8" t="str">
        <f aca="false">IF((G5-L5)&lt;&gt;0,N$1-A5," ")</f>
        <v> </v>
      </c>
    </row>
    <row r="6" customFormat="false" ht="12" hidden="false" customHeight="false" outlineLevel="0" collapsed="false">
      <c r="A6" s="27"/>
      <c r="F6" s="2"/>
      <c r="H6" s="6" t="str">
        <f aca="false">IF(G6&lt;&gt;0,G6*H$2/(100+H$2)," ")</f>
        <v> </v>
      </c>
      <c r="I6" s="6" t="str">
        <f aca="false">IF((G6&lt;&gt;0),G6-H6," ")</f>
        <v> </v>
      </c>
      <c r="M6" s="7" t="str">
        <f aca="false">IF(G6&lt;&gt;0,G6-L6," ")</f>
        <v> </v>
      </c>
      <c r="N6" s="8" t="str">
        <f aca="false">IF((G6-L6)&lt;&gt;0,N$1-A6," ")</f>
        <v> </v>
      </c>
    </row>
    <row r="7" customFormat="false" ht="12" hidden="false" customHeight="false" outlineLevel="0" collapsed="false">
      <c r="A7" s="27"/>
      <c r="F7" s="2"/>
      <c r="H7" s="6" t="str">
        <f aca="false">IF(G7&lt;&gt;0,G7*H$2/(100+H$2)," ")</f>
        <v> </v>
      </c>
      <c r="I7" s="6" t="str">
        <f aca="false">IF((G7&lt;&gt;0),G7-H7," ")</f>
        <v> </v>
      </c>
      <c r="M7" s="7" t="str">
        <f aca="false">IF(G7&lt;&gt;0,G7-L7," ")</f>
        <v> </v>
      </c>
      <c r="N7" s="8" t="str">
        <f aca="false">IF((G7-L7)&lt;&gt;0,N$1-A7," ")</f>
        <v> </v>
      </c>
    </row>
    <row r="8" customFormat="false" ht="12" hidden="false" customHeight="false" outlineLevel="0" collapsed="false">
      <c r="A8" s="27"/>
      <c r="F8" s="2"/>
      <c r="H8" s="6" t="str">
        <f aca="false">IF(G8&lt;&gt;0,G8*H$2/(100+H$2)," ")</f>
        <v> </v>
      </c>
      <c r="I8" s="6" t="str">
        <f aca="false">IF((G8&lt;&gt;0),G8-H8," ")</f>
        <v> </v>
      </c>
      <c r="M8" s="7" t="str">
        <f aca="false">IF(G8&lt;&gt;0,G8-L8," ")</f>
        <v> </v>
      </c>
      <c r="N8" s="8" t="str">
        <f aca="false">IF((G8-L8)&lt;&gt;0,N$1-A8," ")</f>
        <v> </v>
      </c>
    </row>
    <row r="9" customFormat="false" ht="12" hidden="false" customHeight="false" outlineLevel="0" collapsed="false">
      <c r="A9" s="27"/>
      <c r="F9" s="2"/>
      <c r="H9" s="6" t="str">
        <f aca="false">IF(G9&lt;&gt;0,G9*H$2/(100+H$2)," ")</f>
        <v> </v>
      </c>
      <c r="I9" s="6" t="str">
        <f aca="false">IF((G9&lt;&gt;0),G9-H9," ")</f>
        <v> </v>
      </c>
      <c r="M9" s="7" t="str">
        <f aca="false">IF(G9&lt;&gt;0,G9-L9," ")</f>
        <v> </v>
      </c>
      <c r="N9" s="8" t="str">
        <f aca="false">IF((G9-L9)&lt;&gt;0,N$1-A9," ")</f>
        <v> </v>
      </c>
    </row>
    <row r="10" customFormat="false" ht="12" hidden="false" customHeight="false" outlineLevel="0" collapsed="false">
      <c r="A10" s="27"/>
      <c r="F10" s="2"/>
      <c r="H10" s="6" t="str">
        <f aca="false">IF(G10&lt;&gt;0,G10*H$2/(100+H$2)," ")</f>
        <v> </v>
      </c>
      <c r="I10" s="6" t="str">
        <f aca="false">IF((G10&lt;&gt;0),G10-H10," ")</f>
        <v> </v>
      </c>
      <c r="M10" s="7" t="str">
        <f aca="false">IF(G10&lt;&gt;0,G10-L10," ")</f>
        <v> </v>
      </c>
      <c r="N10" s="8" t="str">
        <f aca="false">IF((G10-L10)&lt;&gt;0,N$1-A10," ")</f>
        <v> </v>
      </c>
    </row>
    <row r="11" customFormat="false" ht="12" hidden="false" customHeight="false" outlineLevel="0" collapsed="false">
      <c r="A11" s="27"/>
      <c r="F11" s="2"/>
      <c r="H11" s="6" t="str">
        <f aca="false">IF(G11&lt;&gt;0,G11*H$2/(100+H$2)," ")</f>
        <v> </v>
      </c>
      <c r="I11" s="6" t="str">
        <f aca="false">IF((G11&lt;&gt;0),G11-H11," ")</f>
        <v> </v>
      </c>
      <c r="M11" s="7" t="str">
        <f aca="false">IF(G11&lt;&gt;0,G11-L11," ")</f>
        <v> </v>
      </c>
      <c r="N11" s="8" t="str">
        <f aca="false">IF((G11-L11)&lt;&gt;0,N$1-A11," ")</f>
        <v> </v>
      </c>
    </row>
    <row r="12" customFormat="false" ht="12" hidden="false" customHeight="false" outlineLevel="0" collapsed="false">
      <c r="A12" s="27"/>
      <c r="F12" s="2"/>
      <c r="H12" s="6" t="str">
        <f aca="false">IF(G12&lt;&gt;0,G12*H$2/(100+H$2)," ")</f>
        <v> </v>
      </c>
      <c r="I12" s="6" t="str">
        <f aca="false">IF((G12&lt;&gt;0),G12-H12," ")</f>
        <v> </v>
      </c>
      <c r="M12" s="7" t="str">
        <f aca="false">IF(G12&lt;&gt;0,G12-L12," ")</f>
        <v> </v>
      </c>
      <c r="N12" s="8" t="str">
        <f aca="false">IF((G12-L12)&lt;&gt;0,N$1-A12," ")</f>
        <v> </v>
      </c>
    </row>
    <row r="13" customFormat="false" ht="12" hidden="false" customHeight="false" outlineLevel="0" collapsed="false">
      <c r="A13" s="27"/>
      <c r="F13" s="2"/>
      <c r="H13" s="6" t="str">
        <f aca="false">IF(G13&lt;&gt;0,G13*H$2/(100+H$2)," ")</f>
        <v> </v>
      </c>
      <c r="I13" s="6" t="str">
        <f aca="false">IF((G13&lt;&gt;0),G13-H13," ")</f>
        <v> </v>
      </c>
      <c r="M13" s="7" t="str">
        <f aca="false">IF(G13&lt;&gt;0,G13-L13," ")</f>
        <v> </v>
      </c>
      <c r="N13" s="8" t="str">
        <f aca="false">IF((G13-L13)&lt;&gt;0,N$1-A13," ")</f>
        <v> </v>
      </c>
    </row>
    <row r="14" customFormat="false" ht="12" hidden="false" customHeight="false" outlineLevel="0" collapsed="false">
      <c r="A14" s="27"/>
      <c r="F14" s="2"/>
      <c r="H14" s="6" t="str">
        <f aca="false">IF(G14&lt;&gt;0,G14*H$2/(100+H$2)," ")</f>
        <v> </v>
      </c>
      <c r="I14" s="6" t="str">
        <f aca="false">IF((G14&lt;&gt;0),G14-H14," ")</f>
        <v> </v>
      </c>
      <c r="M14" s="7" t="str">
        <f aca="false">IF(G14&lt;&gt;0,G14-L14," ")</f>
        <v> </v>
      </c>
      <c r="N14" s="8" t="str">
        <f aca="false">IF((G14-L14)&lt;&gt;0,N$1-A14," ")</f>
        <v> </v>
      </c>
    </row>
    <row r="15" customFormat="false" ht="12" hidden="false" customHeight="false" outlineLevel="0" collapsed="false">
      <c r="A15" s="27"/>
      <c r="F15" s="2"/>
      <c r="H15" s="6" t="str">
        <f aca="false">IF(G15&lt;&gt;0,G15*H$2/(100+H$2)," ")</f>
        <v> </v>
      </c>
      <c r="I15" s="6" t="str">
        <f aca="false">IF((G15&lt;&gt;0),G15-H15," ")</f>
        <v> </v>
      </c>
      <c r="M15" s="7" t="str">
        <f aca="false">IF(G15&lt;&gt;0,G15-L15," ")</f>
        <v> </v>
      </c>
      <c r="N15" s="8" t="str">
        <f aca="false">IF((G15-L15)&lt;&gt;0,N$1-A15," ")</f>
        <v> </v>
      </c>
    </row>
    <row r="16" customFormat="false" ht="12" hidden="false" customHeight="false" outlineLevel="0" collapsed="false">
      <c r="A16" s="27"/>
      <c r="F16" s="2"/>
      <c r="H16" s="6" t="str">
        <f aca="false">IF(G16&lt;&gt;0,G16*H$2/(100+H$2)," ")</f>
        <v> </v>
      </c>
      <c r="I16" s="6" t="str">
        <f aca="false">IF((G16&lt;&gt;0),G16-H16," ")</f>
        <v> </v>
      </c>
      <c r="M16" s="7" t="str">
        <f aca="false">IF(G16&lt;&gt;0,G16-L16," ")</f>
        <v> </v>
      </c>
      <c r="N16" s="8" t="str">
        <f aca="false">IF((G16-L16)&lt;&gt;0,N$1-A16," ")</f>
        <v> </v>
      </c>
    </row>
    <row r="17" customFormat="false" ht="12" hidden="false" customHeight="false" outlineLevel="0" collapsed="false">
      <c r="A17" s="27"/>
      <c r="F17" s="2"/>
      <c r="H17" s="6" t="str">
        <f aca="false">IF(G17&lt;&gt;0,G17*H$2/(100+H$2)," ")</f>
        <v> </v>
      </c>
      <c r="I17" s="6" t="str">
        <f aca="false">IF((G17&lt;&gt;0),G17-H17," ")</f>
        <v> </v>
      </c>
      <c r="M17" s="7" t="str">
        <f aca="false">IF(G17&lt;&gt;0,G17-L17," ")</f>
        <v> </v>
      </c>
      <c r="N17" s="8" t="str">
        <f aca="false">IF((G17-L17)&lt;&gt;0,N$1-A17," ")</f>
        <v> </v>
      </c>
    </row>
    <row r="18" customFormat="false" ht="12" hidden="false" customHeight="false" outlineLevel="0" collapsed="false">
      <c r="A18" s="27"/>
      <c r="F18" s="2"/>
      <c r="H18" s="6" t="str">
        <f aca="false">IF(G18&lt;&gt;0,G18*H$2/(100+H$2)," ")</f>
        <v> </v>
      </c>
      <c r="I18" s="6" t="str">
        <f aca="false">IF((G18&lt;&gt;0),G18-H18," ")</f>
        <v> </v>
      </c>
      <c r="M18" s="7" t="str">
        <f aca="false">IF(G18&lt;&gt;0,G18-L18," ")</f>
        <v> </v>
      </c>
      <c r="N18" s="8" t="str">
        <f aca="false">IF((G18-L18)&lt;&gt;0,N$1-A18," ")</f>
        <v> </v>
      </c>
    </row>
    <row r="19" customFormat="false" ht="12" hidden="false" customHeight="false" outlineLevel="0" collapsed="false">
      <c r="A19" s="27"/>
      <c r="F19" s="2"/>
      <c r="H19" s="6" t="str">
        <f aca="false">IF(G19&lt;&gt;0,G19*H$2/(100+H$2)," ")</f>
        <v> </v>
      </c>
      <c r="I19" s="6" t="str">
        <f aca="false">IF((G19&lt;&gt;0),G19-H19," ")</f>
        <v> </v>
      </c>
      <c r="M19" s="7" t="str">
        <f aca="false">IF(G19&lt;&gt;0,G19-L19," ")</f>
        <v> </v>
      </c>
      <c r="N19" s="8" t="str">
        <f aca="false">IF((G19-L19)&lt;&gt;0,N$1-A19," ")</f>
        <v> </v>
      </c>
    </row>
    <row r="20" customFormat="false" ht="12" hidden="false" customHeight="false" outlineLevel="0" collapsed="false">
      <c r="A20" s="27"/>
      <c r="F20" s="2"/>
      <c r="H20" s="6" t="str">
        <f aca="false">IF(G20&lt;&gt;0,G20*H$2/(100+H$2)," ")</f>
        <v> </v>
      </c>
      <c r="I20" s="6" t="str">
        <f aca="false">IF((G20&lt;&gt;0),G20-H20," ")</f>
        <v> </v>
      </c>
      <c r="M20" s="7" t="str">
        <f aca="false">IF(G20&lt;&gt;0,G20-L20," ")</f>
        <v> </v>
      </c>
      <c r="N20" s="8" t="str">
        <f aca="false">IF((G20-L20)&lt;&gt;0,N$1-A20," ")</f>
        <v> </v>
      </c>
    </row>
    <row r="21" customFormat="false" ht="12" hidden="false" customHeight="false" outlineLevel="0" collapsed="false">
      <c r="A21" s="27"/>
      <c r="F21" s="2"/>
      <c r="H21" s="6" t="str">
        <f aca="false">IF(G21&lt;&gt;0,G21*H$2/(100+H$2)," ")</f>
        <v> </v>
      </c>
      <c r="I21" s="6" t="str">
        <f aca="false">IF((G21&lt;&gt;0),G21-H21," ")</f>
        <v> </v>
      </c>
      <c r="M21" s="7" t="str">
        <f aca="false">IF(G21&lt;&gt;0,G21-L21," ")</f>
        <v> </v>
      </c>
      <c r="N21" s="8" t="str">
        <f aca="false">IF((G21-L21)&lt;&gt;0,N$1-A21," ")</f>
        <v> </v>
      </c>
    </row>
    <row r="22" customFormat="false" ht="12" hidden="false" customHeight="false" outlineLevel="0" collapsed="false">
      <c r="A22" s="27"/>
      <c r="F22" s="2"/>
      <c r="H22" s="6" t="str">
        <f aca="false">IF(G22&lt;&gt;0,G22*H$2/(100+H$2)," ")</f>
        <v> </v>
      </c>
      <c r="I22" s="6" t="str">
        <f aca="false">IF((G22&lt;&gt;0),G22-H22," ")</f>
        <v> </v>
      </c>
      <c r="M22" s="7" t="str">
        <f aca="false">IF(G22&lt;&gt;0,G22-L22," ")</f>
        <v> </v>
      </c>
      <c r="N22" s="8" t="str">
        <f aca="false">IF((G22-L22)&lt;&gt;0,N$1-A22," ")</f>
        <v> </v>
      </c>
    </row>
    <row r="23" customFormat="false" ht="12" hidden="false" customHeight="false" outlineLevel="0" collapsed="false">
      <c r="A23" s="27"/>
      <c r="E23" s="30"/>
      <c r="F23" s="2"/>
      <c r="H23" s="6" t="str">
        <f aca="false">IF(G23&lt;&gt;0,G23*H$2/(100+H$2)," ")</f>
        <v> </v>
      </c>
      <c r="I23" s="6" t="str">
        <f aca="false">IF((G23&lt;&gt;0),G23-H23," ")</f>
        <v> </v>
      </c>
      <c r="M23" s="7" t="str">
        <f aca="false">IF(G23&lt;&gt;0,G23-L23," ")</f>
        <v> </v>
      </c>
      <c r="N23" s="8" t="str">
        <f aca="false">IF((G23-L23)&lt;&gt;0,N$1-A23," ")</f>
        <v> </v>
      </c>
    </row>
    <row r="24" customFormat="false" ht="12" hidden="false" customHeight="false" outlineLevel="0" collapsed="false">
      <c r="A24" s="27"/>
      <c r="F24" s="2"/>
      <c r="H24" s="6" t="str">
        <f aca="false">IF(G24&lt;&gt;0,G24*H$2/(100+H$2)," ")</f>
        <v> </v>
      </c>
      <c r="I24" s="6" t="str">
        <f aca="false">IF((G24&lt;&gt;0),G24-H24," ")</f>
        <v> </v>
      </c>
      <c r="M24" s="7" t="str">
        <f aca="false">IF(G24&lt;&gt;0,G24-L24," ")</f>
        <v> </v>
      </c>
      <c r="N24" s="8" t="str">
        <f aca="false">IF((G24-L24)&lt;&gt;0,N$1-A24," ")</f>
        <v> </v>
      </c>
    </row>
    <row r="25" customFormat="false" ht="12" hidden="false" customHeight="false" outlineLevel="0" collapsed="false">
      <c r="A25" s="27"/>
      <c r="F25" s="2"/>
      <c r="H25" s="6" t="str">
        <f aca="false">IF(G25&lt;&gt;0,G25*H$2/(100+H$2)," ")</f>
        <v> </v>
      </c>
      <c r="I25" s="6" t="str">
        <f aca="false">IF((G25&lt;&gt;0),G25-H25," ")</f>
        <v> </v>
      </c>
      <c r="M25" s="7" t="str">
        <f aca="false">IF(G25&lt;&gt;0,G25-L25," ")</f>
        <v> </v>
      </c>
      <c r="N25" s="8" t="str">
        <f aca="false">IF((G25-L25)&lt;&gt;0,N$1-A25," ")</f>
        <v> </v>
      </c>
    </row>
    <row r="26" customFormat="false" ht="12" hidden="false" customHeight="false" outlineLevel="0" collapsed="false">
      <c r="A26" s="27"/>
      <c r="F26" s="2"/>
      <c r="H26" s="6" t="str">
        <f aca="false">IF(G26&lt;&gt;0,G26*H$2/(100+H$2)," ")</f>
        <v> </v>
      </c>
      <c r="I26" s="6" t="str">
        <f aca="false">IF((G26&lt;&gt;0),G26-H26," ")</f>
        <v> </v>
      </c>
      <c r="M26" s="7" t="str">
        <f aca="false">IF(G26&lt;&gt;0,G26-L26," ")</f>
        <v> </v>
      </c>
      <c r="N26" s="8" t="str">
        <f aca="false">IF((G26-L26)&lt;&gt;0,N$1-A26," ")</f>
        <v> </v>
      </c>
    </row>
    <row r="27" customFormat="false" ht="12" hidden="false" customHeight="false" outlineLevel="0" collapsed="false">
      <c r="A27" s="27"/>
      <c r="F27" s="2"/>
      <c r="H27" s="6" t="str">
        <f aca="false">IF(G27&lt;&gt;0,G27*H$2/(100+H$2)," ")</f>
        <v> </v>
      </c>
      <c r="I27" s="6" t="str">
        <f aca="false">IF((G27&lt;&gt;0),G27-H27," ")</f>
        <v> </v>
      </c>
      <c r="M27" s="7" t="str">
        <f aca="false">IF(G27&lt;&gt;0,G27-L27," ")</f>
        <v> </v>
      </c>
      <c r="N27" s="8" t="str">
        <f aca="false">IF((G27-L27)&lt;&gt;0,N$1-A27," ")</f>
        <v> </v>
      </c>
    </row>
    <row r="28" customFormat="false" ht="12" hidden="false" customHeight="false" outlineLevel="0" collapsed="false">
      <c r="A28" s="27"/>
      <c r="F28" s="2"/>
      <c r="H28" s="6" t="str">
        <f aca="false">IF(G28&lt;&gt;0,G28*H$2/(100+H$2)," ")</f>
        <v> </v>
      </c>
      <c r="I28" s="6" t="str">
        <f aca="false">IF((G28&lt;&gt;0),G28-H28," ")</f>
        <v> </v>
      </c>
      <c r="M28" s="7" t="str">
        <f aca="false">IF(G28&lt;&gt;0,G28-L28," ")</f>
        <v> </v>
      </c>
      <c r="N28" s="8" t="str">
        <f aca="false">IF((G28-L28)&lt;&gt;0,N$1-A28," ")</f>
        <v> </v>
      </c>
    </row>
    <row r="29" customFormat="false" ht="12" hidden="false" customHeight="false" outlineLevel="0" collapsed="false">
      <c r="A29" s="27"/>
      <c r="F29" s="2"/>
      <c r="H29" s="6" t="str">
        <f aca="false">IF(G29&lt;&gt;0,G29*H$2/(100+H$2)," ")</f>
        <v> </v>
      </c>
      <c r="I29" s="6" t="str">
        <f aca="false">IF((G29&lt;&gt;0),G29-H29," ")</f>
        <v> </v>
      </c>
      <c r="M29" s="7" t="str">
        <f aca="false">IF(G29&lt;&gt;0,G29-L29," ")</f>
        <v> </v>
      </c>
      <c r="N29" s="8" t="str">
        <f aca="false">IF((G29-L29)&lt;&gt;0,N$1-A29," ")</f>
        <v> </v>
      </c>
    </row>
    <row r="30" customFormat="false" ht="12" hidden="false" customHeight="false" outlineLevel="0" collapsed="false">
      <c r="A30" s="27"/>
      <c r="F30" s="2"/>
      <c r="H30" s="6" t="str">
        <f aca="false">IF(G30&lt;&gt;0,G30*H$2/(100+H$2)," ")</f>
        <v> </v>
      </c>
      <c r="I30" s="6" t="str">
        <f aca="false">IF((G30&lt;&gt;0),G30-H30," ")</f>
        <v> </v>
      </c>
      <c r="M30" s="7" t="str">
        <f aca="false">IF(G30&lt;&gt;0,G30-L30," ")</f>
        <v> </v>
      </c>
      <c r="N30" s="8" t="str">
        <f aca="false">IF((G30-L30)&lt;&gt;0,N$1-A30," ")</f>
        <v> </v>
      </c>
    </row>
    <row r="31" customFormat="false" ht="12" hidden="false" customHeight="false" outlineLevel="0" collapsed="false">
      <c r="A31" s="27"/>
      <c r="F31" s="2"/>
      <c r="H31" s="6" t="str">
        <f aca="false">IF(G31&lt;&gt;0,G31*H$2/(100+H$2)," ")</f>
        <v> </v>
      </c>
      <c r="I31" s="6" t="str">
        <f aca="false">IF((G31&lt;&gt;0),G31-H31," ")</f>
        <v> </v>
      </c>
      <c r="M31" s="7" t="str">
        <f aca="false">IF(G31&lt;&gt;0,G31-L31," ")</f>
        <v> </v>
      </c>
      <c r="N31" s="8" t="str">
        <f aca="false">IF((G31-L31)&lt;&gt;0,N$1-A31," ")</f>
        <v> </v>
      </c>
    </row>
    <row r="32" customFormat="false" ht="12" hidden="false" customHeight="false" outlineLevel="0" collapsed="false">
      <c r="A32" s="27"/>
      <c r="F32" s="2"/>
      <c r="H32" s="6" t="str">
        <f aca="false">IF(G32&lt;&gt;0,G32*H$2/(100+H$2)," ")</f>
        <v> </v>
      </c>
      <c r="I32" s="6" t="str">
        <f aca="false">IF((G32&lt;&gt;0),G32-H32," ")</f>
        <v> </v>
      </c>
      <c r="M32" s="7" t="str">
        <f aca="false">IF(G32&lt;&gt;0,G32-L32," ")</f>
        <v> </v>
      </c>
      <c r="N32" s="8" t="str">
        <f aca="false">IF((G32-L32)&lt;&gt;0,N$1-A32," ")</f>
        <v> </v>
      </c>
    </row>
    <row r="33" customFormat="false" ht="12" hidden="false" customHeight="false" outlineLevel="0" collapsed="false">
      <c r="A33" s="27"/>
      <c r="F33" s="2"/>
      <c r="H33" s="6" t="str">
        <f aca="false">IF(G33&lt;&gt;0,G33*H$2/(100+H$2)," ")</f>
        <v> </v>
      </c>
      <c r="I33" s="6" t="str">
        <f aca="false">IF((G33&lt;&gt;0),G33-H33," ")</f>
        <v> </v>
      </c>
      <c r="M33" s="7" t="str">
        <f aca="false">IF(G33&lt;&gt;0,G33-L33," ")</f>
        <v> </v>
      </c>
      <c r="N33" s="8" t="str">
        <f aca="false">IF((G33-L33)&lt;&gt;0,N$1-A33," ")</f>
        <v> </v>
      </c>
    </row>
    <row r="34" customFormat="false" ht="12" hidden="false" customHeight="false" outlineLevel="0" collapsed="false">
      <c r="A34" s="27"/>
      <c r="F34" s="2"/>
      <c r="H34" s="6" t="str">
        <f aca="false">IF(G34&lt;&gt;0,G34*H$2/(100+H$2)," ")</f>
        <v> </v>
      </c>
      <c r="I34" s="6" t="str">
        <f aca="false">IF((G34&lt;&gt;0),G34-H34," ")</f>
        <v> </v>
      </c>
      <c r="M34" s="7" t="str">
        <f aca="false">IF(G34&lt;&gt;0,G34-L34," ")</f>
        <v> </v>
      </c>
      <c r="N34" s="8" t="str">
        <f aca="false">IF((G34-L34)&lt;&gt;0,N$1-A34," ")</f>
        <v> </v>
      </c>
    </row>
    <row r="35" customFormat="false" ht="12" hidden="false" customHeight="false" outlineLevel="0" collapsed="false">
      <c r="A35" s="27"/>
      <c r="F35" s="2"/>
      <c r="H35" s="6" t="str">
        <f aca="false">IF(G35&lt;&gt;0,G35*H$2/(100+H$2)," ")</f>
        <v> </v>
      </c>
      <c r="I35" s="6" t="str">
        <f aca="false">IF((G35&lt;&gt;0),G35-H35," ")</f>
        <v> </v>
      </c>
      <c r="M35" s="7" t="str">
        <f aca="false">IF(G35&lt;&gt;0,G35-L35," ")</f>
        <v> </v>
      </c>
      <c r="N35" s="8" t="str">
        <f aca="false">IF((G35-L35)&lt;&gt;0,N$1-A35," ")</f>
        <v> </v>
      </c>
    </row>
    <row r="36" customFormat="false" ht="12" hidden="false" customHeight="false" outlineLevel="0" collapsed="false">
      <c r="A36" s="27"/>
      <c r="F36" s="2"/>
      <c r="H36" s="6" t="str">
        <f aca="false">IF(G36&lt;&gt;0,G36*H$2/(100+H$2)," ")</f>
        <v> </v>
      </c>
      <c r="I36" s="6" t="str">
        <f aca="false">IF((G36&lt;&gt;0),G36-H36," ")</f>
        <v> </v>
      </c>
      <c r="M36" s="7" t="str">
        <f aca="false">IF(G36&lt;&gt;0,G36-L36," ")</f>
        <v> </v>
      </c>
      <c r="N36" s="8" t="str">
        <f aca="false">IF((G36-L36)&lt;&gt;0,N$1-A36," ")</f>
        <v> </v>
      </c>
    </row>
    <row r="37" customFormat="false" ht="12" hidden="false" customHeight="false" outlineLevel="0" collapsed="false">
      <c r="A37" s="27"/>
      <c r="F37" s="2"/>
      <c r="H37" s="6" t="str">
        <f aca="false">IF(G37&lt;&gt;0,G37*H$2/(100+H$2)," ")</f>
        <v> </v>
      </c>
      <c r="I37" s="6" t="str">
        <f aca="false">IF((G37&lt;&gt;0),G37-H37," ")</f>
        <v> </v>
      </c>
      <c r="M37" s="7" t="str">
        <f aca="false">IF(G37&lt;&gt;0,G37-L37," ")</f>
        <v> </v>
      </c>
      <c r="N37" s="8" t="str">
        <f aca="false">IF((G37-L37)&lt;&gt;0,N$1-A37," ")</f>
        <v> </v>
      </c>
    </row>
    <row r="38" customFormat="false" ht="12" hidden="false" customHeight="false" outlineLevel="0" collapsed="false">
      <c r="A38" s="27"/>
      <c r="F38" s="2"/>
      <c r="H38" s="6" t="str">
        <f aca="false">IF(G38&lt;&gt;0,G38*H$2/(100+H$2)," ")</f>
        <v> </v>
      </c>
      <c r="I38" s="6" t="str">
        <f aca="false">IF((G38&lt;&gt;0),G38-H38," ")</f>
        <v> </v>
      </c>
      <c r="M38" s="7" t="str">
        <f aca="false">IF(G38&lt;&gt;0,G38-L38," ")</f>
        <v> </v>
      </c>
      <c r="N38" s="8" t="str">
        <f aca="false">IF((G38-L38)&lt;&gt;0,N$1-A38," ")</f>
        <v> </v>
      </c>
    </row>
    <row r="39" customFormat="false" ht="12" hidden="false" customHeight="false" outlineLevel="0" collapsed="false">
      <c r="A39" s="27"/>
      <c r="F39" s="2"/>
      <c r="H39" s="6" t="str">
        <f aca="false">IF(G39&lt;&gt;0,G39*H$2/(100+H$2)," ")</f>
        <v> </v>
      </c>
      <c r="I39" s="6" t="str">
        <f aca="false">IF((G39&lt;&gt;0),G39-H39," ")</f>
        <v> </v>
      </c>
      <c r="M39" s="7" t="str">
        <f aca="false">IF(G39&lt;&gt;0,G39-L39," ")</f>
        <v> </v>
      </c>
      <c r="N39" s="8" t="str">
        <f aca="false">IF((G39-L39)&lt;&gt;0,N$1-A39," ")</f>
        <v> </v>
      </c>
    </row>
    <row r="40" customFormat="false" ht="12" hidden="false" customHeight="false" outlineLevel="0" collapsed="false">
      <c r="A40" s="27"/>
      <c r="F40" s="2"/>
      <c r="H40" s="6" t="str">
        <f aca="false">IF(G40&lt;&gt;0,G40*H$2/(100+H$2)," ")</f>
        <v> </v>
      </c>
      <c r="I40" s="6" t="str">
        <f aca="false">IF((G40&lt;&gt;0),G40-H40," ")</f>
        <v> </v>
      </c>
      <c r="M40" s="7" t="str">
        <f aca="false">IF(G40&lt;&gt;0,G40-L40," ")</f>
        <v> </v>
      </c>
      <c r="N40" s="8" t="str">
        <f aca="false">IF((G40-L40)&lt;&gt;0,N$1-A40," ")</f>
        <v> </v>
      </c>
    </row>
    <row r="41" customFormat="false" ht="12" hidden="false" customHeight="false" outlineLevel="0" collapsed="false">
      <c r="A41" s="27"/>
      <c r="F41" s="2"/>
      <c r="H41" s="6" t="str">
        <f aca="false">IF(G41&lt;&gt;0,G41*H$2/(100+H$2)," ")</f>
        <v> </v>
      </c>
      <c r="I41" s="6" t="str">
        <f aca="false">IF((G41&lt;&gt;0),G41-H41," ")</f>
        <v> </v>
      </c>
      <c r="M41" s="7" t="str">
        <f aca="false">IF(G41&lt;&gt;0,G41-L41," ")</f>
        <v> </v>
      </c>
      <c r="N41" s="8" t="str">
        <f aca="false">IF((G41-L41)&lt;&gt;0,N$1-A41," ")</f>
        <v> </v>
      </c>
    </row>
    <row r="42" customFormat="false" ht="12" hidden="false" customHeight="false" outlineLevel="0" collapsed="false">
      <c r="A42" s="27"/>
      <c r="F42" s="2"/>
      <c r="H42" s="6" t="str">
        <f aca="false">IF(G42&lt;&gt;0,G42*H$2/(100+H$2)," ")</f>
        <v> </v>
      </c>
      <c r="I42" s="6" t="str">
        <f aca="false">IF((G42&lt;&gt;0),G42-H42," ")</f>
        <v> </v>
      </c>
      <c r="M42" s="7" t="str">
        <f aca="false">IF(G42&lt;&gt;0,G42-L42," ")</f>
        <v> </v>
      </c>
      <c r="N42" s="8" t="str">
        <f aca="false">IF((G42-L42)&lt;&gt;0,N$1-A42," ")</f>
        <v> </v>
      </c>
    </row>
    <row r="43" customFormat="false" ht="12" hidden="false" customHeight="false" outlineLevel="0" collapsed="false">
      <c r="A43" s="27"/>
      <c r="F43" s="2"/>
      <c r="H43" s="6" t="str">
        <f aca="false">IF(G43&lt;&gt;0,G43*H$2/(100+H$2)," ")</f>
        <v> </v>
      </c>
      <c r="I43" s="6" t="str">
        <f aca="false">IF((G43&lt;&gt;0),G43-H43," ")</f>
        <v> </v>
      </c>
      <c r="M43" s="7" t="str">
        <f aca="false">IF(G43&lt;&gt;0,G43-L43," ")</f>
        <v> </v>
      </c>
      <c r="N43" s="8" t="str">
        <f aca="false">IF((G43-L43)&lt;&gt;0,N$1-A43," ")</f>
        <v> </v>
      </c>
    </row>
    <row r="44" customFormat="false" ht="12" hidden="false" customHeight="false" outlineLevel="0" collapsed="false">
      <c r="A44" s="27"/>
      <c r="F44" s="2"/>
      <c r="H44" s="6" t="str">
        <f aca="false">IF(G44&lt;&gt;0,G44*H$2/(100+H$2)," ")</f>
        <v> </v>
      </c>
      <c r="I44" s="6" t="str">
        <f aca="false">IF((G44&lt;&gt;0),G44-H44," ")</f>
        <v> </v>
      </c>
      <c r="M44" s="7" t="str">
        <f aca="false">IF(G44&lt;&gt;0,G44-L44," ")</f>
        <v> </v>
      </c>
      <c r="N44" s="8" t="str">
        <f aca="false">IF((G44-L44)&lt;&gt;0,N$1-A44," ")</f>
        <v> </v>
      </c>
    </row>
    <row r="45" customFormat="false" ht="12" hidden="false" customHeight="false" outlineLevel="0" collapsed="false">
      <c r="A45" s="27"/>
      <c r="F45" s="2"/>
      <c r="H45" s="6" t="str">
        <f aca="false">IF(G45&lt;&gt;0,G45*H$2/(100+H$2)," ")</f>
        <v> </v>
      </c>
      <c r="I45" s="6" t="str">
        <f aca="false">IF((G45&lt;&gt;0),G45-H45," ")</f>
        <v> </v>
      </c>
      <c r="M45" s="7" t="str">
        <f aca="false">IF(G45&lt;&gt;0,G45-L45," ")</f>
        <v> </v>
      </c>
      <c r="N45" s="8" t="str">
        <f aca="false">IF((G45-L45)&lt;&gt;0,N$1-A45," ")</f>
        <v> </v>
      </c>
    </row>
    <row r="46" customFormat="false" ht="12" hidden="false" customHeight="false" outlineLevel="0" collapsed="false">
      <c r="A46" s="27"/>
      <c r="F46" s="2"/>
      <c r="H46" s="6" t="str">
        <f aca="false">IF(G46&lt;&gt;0,G46*H$2/(100+H$2)," ")</f>
        <v> </v>
      </c>
      <c r="I46" s="6" t="str">
        <f aca="false">IF((G46&lt;&gt;0),G46-H46," ")</f>
        <v> </v>
      </c>
      <c r="M46" s="7" t="str">
        <f aca="false">IF(G46&lt;&gt;0,G46-L46," ")</f>
        <v> </v>
      </c>
      <c r="N46" s="8" t="str">
        <f aca="false">IF((G46-L46)&lt;&gt;0,N$1-A46," ")</f>
        <v> </v>
      </c>
    </row>
    <row r="47" customFormat="false" ht="12" hidden="false" customHeight="false" outlineLevel="0" collapsed="false">
      <c r="A47" s="27"/>
      <c r="F47" s="2"/>
      <c r="H47" s="6" t="str">
        <f aca="false">IF(G47&lt;&gt;0,G47*H$2/(100+H$2)," ")</f>
        <v> </v>
      </c>
      <c r="I47" s="6" t="str">
        <f aca="false">IF((G47&lt;&gt;0),G47-H47," ")</f>
        <v> </v>
      </c>
      <c r="M47" s="7" t="str">
        <f aca="false">IF(G47&lt;&gt;0,G47-L47," ")</f>
        <v> </v>
      </c>
      <c r="N47" s="8" t="str">
        <f aca="false">IF((G47-L47)&lt;&gt;0,N$1-A47," ")</f>
        <v> </v>
      </c>
    </row>
    <row r="48" customFormat="false" ht="12" hidden="false" customHeight="false" outlineLevel="0" collapsed="false">
      <c r="A48" s="27"/>
      <c r="F48" s="2"/>
      <c r="H48" s="6" t="str">
        <f aca="false">IF(G48&lt;&gt;0,G48*H$2/(100+H$2)," ")</f>
        <v> </v>
      </c>
      <c r="I48" s="6" t="str">
        <f aca="false">IF((G48&lt;&gt;0),G48-H48," ")</f>
        <v> </v>
      </c>
      <c r="M48" s="7" t="str">
        <f aca="false">IF(G48&lt;&gt;0,G48-L48," ")</f>
        <v> </v>
      </c>
      <c r="N48" s="8" t="str">
        <f aca="false">IF((G48-L48)&lt;&gt;0,N$1-A48," ")</f>
        <v> </v>
      </c>
    </row>
    <row r="49" customFormat="false" ht="12" hidden="false" customHeight="false" outlineLevel="0" collapsed="false">
      <c r="A49" s="27"/>
      <c r="F49" s="2"/>
      <c r="H49" s="6" t="str">
        <f aca="false">IF(G49&lt;&gt;0,G49*H$2/(100+H$2)," ")</f>
        <v> </v>
      </c>
      <c r="I49" s="6" t="str">
        <f aca="false">IF((G49&lt;&gt;0),G49-H49," ")</f>
        <v> </v>
      </c>
      <c r="M49" s="7" t="str">
        <f aca="false">IF(G49&lt;&gt;0,G49-L49," ")</f>
        <v> </v>
      </c>
      <c r="N49" s="8" t="str">
        <f aca="false">IF((G49-L49)&lt;&gt;0,N$1-A49," ")</f>
        <v> </v>
      </c>
    </row>
    <row r="50" customFormat="false" ht="12" hidden="false" customHeight="false" outlineLevel="0" collapsed="false">
      <c r="A50" s="27"/>
      <c r="F50" s="2"/>
      <c r="H50" s="6" t="str">
        <f aca="false">IF(G50&lt;&gt;0,G50*H$2/(100+H$2)," ")</f>
        <v> </v>
      </c>
      <c r="I50" s="6" t="str">
        <f aca="false">IF((G50&lt;&gt;0),G50-H50," ")</f>
        <v> </v>
      </c>
      <c r="M50" s="7" t="str">
        <f aca="false">IF(G50&lt;&gt;0,G50-L50," ")</f>
        <v> </v>
      </c>
      <c r="N50" s="8" t="str">
        <f aca="false">IF((G50-L50)&lt;&gt;0,N$1-A50," ")</f>
        <v> </v>
      </c>
    </row>
    <row r="51" customFormat="false" ht="12" hidden="false" customHeight="false" outlineLevel="0" collapsed="false">
      <c r="A51" s="27"/>
      <c r="F51" s="2"/>
      <c r="H51" s="6" t="str">
        <f aca="false">IF(G51&lt;&gt;0,G51*H$2/(100+H$2)," ")</f>
        <v> </v>
      </c>
      <c r="I51" s="6" t="str">
        <f aca="false">IF((G51&lt;&gt;0),G51-H51," ")</f>
        <v> </v>
      </c>
      <c r="M51" s="7" t="str">
        <f aca="false">IF(G51&lt;&gt;0,G51-L51," ")</f>
        <v> </v>
      </c>
      <c r="N51" s="8" t="str">
        <f aca="false">IF((G51-L51)&lt;&gt;0,N$1-A51," ")</f>
        <v> </v>
      </c>
    </row>
    <row r="52" customFormat="false" ht="12" hidden="false" customHeight="false" outlineLevel="0" collapsed="false">
      <c r="A52" s="27"/>
      <c r="F52" s="2"/>
      <c r="H52" s="6" t="str">
        <f aca="false">IF(G52&lt;&gt;0,G52*H$2/(100+H$2)," ")</f>
        <v> </v>
      </c>
      <c r="I52" s="6" t="str">
        <f aca="false">IF((G52&lt;&gt;0),G52-H52," ")</f>
        <v> </v>
      </c>
      <c r="M52" s="7" t="str">
        <f aca="false">IF(G52&lt;&gt;0,G52-L52," ")</f>
        <v> </v>
      </c>
      <c r="N52" s="8" t="str">
        <f aca="false">IF((G52-L52)&lt;&gt;0,N$1-A52," ")</f>
        <v> </v>
      </c>
    </row>
    <row r="53" customFormat="false" ht="12" hidden="false" customHeight="false" outlineLevel="0" collapsed="false">
      <c r="A53" s="27"/>
      <c r="F53" s="2"/>
      <c r="H53" s="6" t="str">
        <f aca="false">IF(G53&lt;&gt;0,G53*H$2/(100+H$2)," ")</f>
        <v> </v>
      </c>
      <c r="I53" s="6" t="str">
        <f aca="false">IF((G53&lt;&gt;0),G53-H53," ")</f>
        <v> </v>
      </c>
      <c r="M53" s="7" t="str">
        <f aca="false">IF(G53&lt;&gt;0,G53-L53," ")</f>
        <v> </v>
      </c>
      <c r="N53" s="8" t="str">
        <f aca="false">IF((G53-L53)&lt;&gt;0,N$1-A53," ")</f>
        <v> </v>
      </c>
    </row>
    <row r="54" customFormat="false" ht="12" hidden="false" customHeight="false" outlineLevel="0" collapsed="false">
      <c r="A54" s="27"/>
      <c r="F54" s="2"/>
      <c r="H54" s="6" t="str">
        <f aca="false">IF(G54&lt;&gt;0,G54*H$2/(100+H$2)," ")</f>
        <v> </v>
      </c>
      <c r="I54" s="6" t="str">
        <f aca="false">IF((G54&lt;&gt;0),G54-H54," ")</f>
        <v> </v>
      </c>
      <c r="M54" s="7" t="str">
        <f aca="false">IF(G54&lt;&gt;0,G54-L54," ")</f>
        <v> </v>
      </c>
      <c r="N54" s="8" t="str">
        <f aca="false">IF((G54-L54)&lt;&gt;0,N$1-A54," ")</f>
        <v> </v>
      </c>
    </row>
    <row r="55" customFormat="false" ht="12" hidden="false" customHeight="false" outlineLevel="0" collapsed="false">
      <c r="A55" s="27"/>
      <c r="F55" s="2"/>
      <c r="H55" s="6" t="str">
        <f aca="false">IF(G55&lt;&gt;0,G55*H$2/(100+H$2)," ")</f>
        <v> </v>
      </c>
      <c r="I55" s="6" t="str">
        <f aca="false">IF((G55&lt;&gt;0),G55-H55," ")</f>
        <v> </v>
      </c>
      <c r="M55" s="7" t="str">
        <f aca="false">IF(G55&lt;&gt;0,G55-L55," ")</f>
        <v> </v>
      </c>
      <c r="N55" s="8" t="str">
        <f aca="false">IF((G55-L55)&lt;&gt;0,N$1-A55," ")</f>
        <v> </v>
      </c>
    </row>
    <row r="56" customFormat="false" ht="12" hidden="false" customHeight="false" outlineLevel="0" collapsed="false">
      <c r="A56" s="27"/>
      <c r="F56" s="2"/>
      <c r="H56" s="6" t="str">
        <f aca="false">IF(G56&lt;&gt;0,G56*H$2/(100+H$2)," ")</f>
        <v> </v>
      </c>
      <c r="I56" s="6" t="str">
        <f aca="false">IF((G56&lt;&gt;0),G56-H56," ")</f>
        <v> </v>
      </c>
      <c r="M56" s="7" t="str">
        <f aca="false">IF(G56&lt;&gt;0,G56-L56," ")</f>
        <v> </v>
      </c>
      <c r="N56" s="8" t="str">
        <f aca="false">IF((G56-L56)&lt;&gt;0,N$1-A56," ")</f>
        <v> </v>
      </c>
    </row>
    <row r="57" customFormat="false" ht="12" hidden="false" customHeight="false" outlineLevel="0" collapsed="false">
      <c r="A57" s="27"/>
      <c r="F57" s="2"/>
      <c r="H57" s="6" t="str">
        <f aca="false">IF(G57&lt;&gt;0,G57*H$2/(100+H$2)," ")</f>
        <v> </v>
      </c>
      <c r="I57" s="6" t="str">
        <f aca="false">IF((G57&lt;&gt;0),G57-H57," ")</f>
        <v> </v>
      </c>
      <c r="M57" s="7" t="str">
        <f aca="false">IF(G57&lt;&gt;0,G57-L57," ")</f>
        <v> </v>
      </c>
      <c r="N57" s="8" t="str">
        <f aca="false">IF((G57-L57)&lt;&gt;0,N$1-A57," ")</f>
        <v> </v>
      </c>
    </row>
    <row r="58" customFormat="false" ht="12" hidden="false" customHeight="false" outlineLevel="0" collapsed="false">
      <c r="A58" s="27"/>
      <c r="F58" s="2"/>
      <c r="H58" s="6" t="str">
        <f aca="false">IF(G58&lt;&gt;0,G58*H$2/(100+H$2)," ")</f>
        <v> </v>
      </c>
      <c r="I58" s="6" t="str">
        <f aca="false">IF((G58&lt;&gt;0),G58-H58," ")</f>
        <v> </v>
      </c>
      <c r="M58" s="7" t="str">
        <f aca="false">IF(G58&lt;&gt;0,G58-L58," ")</f>
        <v> </v>
      </c>
      <c r="N58" s="8" t="str">
        <f aca="false">IF((G58-L58)&lt;&gt;0,N$1-A58," ")</f>
        <v> </v>
      </c>
    </row>
    <row r="59" customFormat="false" ht="12" hidden="false" customHeight="false" outlineLevel="0" collapsed="false">
      <c r="A59" s="27"/>
      <c r="F59" s="2"/>
      <c r="H59" s="6" t="str">
        <f aca="false">IF(G59&lt;&gt;0,G59*H$2/(100+H$2)," ")</f>
        <v> </v>
      </c>
      <c r="I59" s="6" t="str">
        <f aca="false">IF((G59&lt;&gt;0),G59-H59," ")</f>
        <v> </v>
      </c>
      <c r="M59" s="7" t="str">
        <f aca="false">IF(G59&lt;&gt;0,G59-L59," ")</f>
        <v> </v>
      </c>
      <c r="N59" s="8" t="str">
        <f aca="false">IF((G59-L59)&lt;&gt;0,N$1-A59," ")</f>
        <v> </v>
      </c>
    </row>
    <row r="60" customFormat="false" ht="12" hidden="false" customHeight="false" outlineLevel="0" collapsed="false">
      <c r="A60" s="27"/>
      <c r="F60" s="2"/>
      <c r="H60" s="6" t="str">
        <f aca="false">IF(G60&lt;&gt;0,G60*H$2/(100+H$2)," ")</f>
        <v> </v>
      </c>
      <c r="I60" s="6" t="str">
        <f aca="false">IF((G60&lt;&gt;0),G60-H60," ")</f>
        <v> </v>
      </c>
      <c r="M60" s="7" t="str">
        <f aca="false">IF(G60&lt;&gt;0,G60-L60," ")</f>
        <v> </v>
      </c>
      <c r="N60" s="8" t="str">
        <f aca="false">IF((G60-L60)&lt;&gt;0,N$1-A60," ")</f>
        <v> </v>
      </c>
    </row>
    <row r="61" customFormat="false" ht="12" hidden="false" customHeight="false" outlineLevel="0" collapsed="false">
      <c r="A61" s="27"/>
      <c r="F61" s="2"/>
      <c r="H61" s="6" t="str">
        <f aca="false">IF(G61&lt;&gt;0,G61*H$2/(100+H$2)," ")</f>
        <v> </v>
      </c>
      <c r="I61" s="6" t="str">
        <f aca="false">IF((G61&lt;&gt;0),G61-H61," ")</f>
        <v> </v>
      </c>
      <c r="M61" s="7" t="str">
        <f aca="false">IF(G61&lt;&gt;0,G61-L61," ")</f>
        <v> </v>
      </c>
      <c r="N61" s="8" t="str">
        <f aca="false">IF((G61-L61)&lt;&gt;0,N$1-A61," ")</f>
        <v> </v>
      </c>
    </row>
    <row r="62" customFormat="false" ht="12" hidden="false" customHeight="false" outlineLevel="0" collapsed="false">
      <c r="A62" s="27"/>
      <c r="F62" s="2"/>
      <c r="H62" s="6" t="str">
        <f aca="false">IF(G62&lt;&gt;0,G62*H$2/(100+H$2)," ")</f>
        <v> </v>
      </c>
      <c r="I62" s="6" t="str">
        <f aca="false">IF((G62&lt;&gt;0),G62-H62," ")</f>
        <v> </v>
      </c>
      <c r="M62" s="7" t="str">
        <f aca="false">IF(G62&lt;&gt;0,G62-L62," ")</f>
        <v> </v>
      </c>
      <c r="N62" s="8" t="str">
        <f aca="false">IF((G62-L62)&lt;&gt;0,N$1-A62," ")</f>
        <v> </v>
      </c>
    </row>
    <row r="63" customFormat="false" ht="12" hidden="false" customHeight="false" outlineLevel="0" collapsed="false">
      <c r="A63" s="27"/>
      <c r="F63" s="2"/>
      <c r="H63" s="6" t="str">
        <f aca="false">IF(G63&lt;&gt;0,G63*H$2/(100+H$2)," ")</f>
        <v> </v>
      </c>
      <c r="I63" s="6" t="str">
        <f aca="false">IF((G63&lt;&gt;0),G63-H63," ")</f>
        <v> </v>
      </c>
      <c r="M63" s="7" t="str">
        <f aca="false">IF(G63&lt;&gt;0,G63-L63," ")</f>
        <v> </v>
      </c>
      <c r="N63" s="8" t="str">
        <f aca="false">IF((G63-L63)&lt;&gt;0,N$1-A63," ")</f>
        <v> </v>
      </c>
    </row>
    <row r="64" customFormat="false" ht="12" hidden="false" customHeight="false" outlineLevel="0" collapsed="false">
      <c r="A64" s="27"/>
      <c r="F64" s="2"/>
      <c r="H64" s="6" t="str">
        <f aca="false">IF(G64&lt;&gt;0,G64*H$2/(100+H$2)," ")</f>
        <v> </v>
      </c>
      <c r="I64" s="6" t="str">
        <f aca="false">IF((G64&lt;&gt;0),G64-H64," ")</f>
        <v> </v>
      </c>
      <c r="M64" s="7" t="str">
        <f aca="false">IF(G64&lt;&gt;0,G64-L64," ")</f>
        <v> </v>
      </c>
      <c r="N64" s="8" t="str">
        <f aca="false">IF((G64-L64)&lt;&gt;0,N$1-A64," ")</f>
        <v> </v>
      </c>
    </row>
    <row r="65" customFormat="false" ht="12" hidden="false" customHeight="false" outlineLevel="0" collapsed="false">
      <c r="A65" s="27"/>
      <c r="F65" s="2"/>
      <c r="H65" s="6" t="str">
        <f aca="false">IF(G65&lt;&gt;0,G65*H$2/(100+H$2)," ")</f>
        <v> </v>
      </c>
      <c r="I65" s="6" t="str">
        <f aca="false">IF((G65&lt;&gt;0),G65-H65," ")</f>
        <v> </v>
      </c>
      <c r="M65" s="7" t="str">
        <f aca="false">IF(G65&lt;&gt;0,G65-L65," ")</f>
        <v> </v>
      </c>
      <c r="N65" s="8" t="str">
        <f aca="false">IF((G65-L65)&lt;&gt;0,N$1-A65," ")</f>
        <v> </v>
      </c>
    </row>
    <row r="66" customFormat="false" ht="12" hidden="false" customHeight="false" outlineLevel="0" collapsed="false">
      <c r="A66" s="27"/>
      <c r="F66" s="2"/>
      <c r="H66" s="6" t="str">
        <f aca="false">IF(G66&lt;&gt;0,G66*H$2/(100+H$2)," ")</f>
        <v> </v>
      </c>
      <c r="I66" s="6" t="str">
        <f aca="false">IF((G66&lt;&gt;0),G66-H66," ")</f>
        <v> </v>
      </c>
      <c r="M66" s="7" t="str">
        <f aca="false">IF(G66&lt;&gt;0,G66-L66," ")</f>
        <v> </v>
      </c>
      <c r="N66" s="8" t="str">
        <f aca="false">IF((G66-L66)&lt;&gt;0,N$1-A66," ")</f>
        <v> </v>
      </c>
    </row>
    <row r="67" customFormat="false" ht="12" hidden="false" customHeight="false" outlineLevel="0" collapsed="false">
      <c r="A67" s="27"/>
      <c r="F67" s="2"/>
      <c r="H67" s="6" t="str">
        <f aca="false">IF(G67&lt;&gt;0,G67*H$2/(100+H$2)," ")</f>
        <v> </v>
      </c>
      <c r="I67" s="6" t="str">
        <f aca="false">IF((G67&lt;&gt;0),G67-H67," ")</f>
        <v> </v>
      </c>
      <c r="M67" s="7" t="str">
        <f aca="false">IF(G67&lt;&gt;0,G67-L67," ")</f>
        <v> </v>
      </c>
      <c r="N67" s="8" t="str">
        <f aca="false">IF((G67-L67)&lt;&gt;0,N$1-A67," ")</f>
        <v> </v>
      </c>
    </row>
    <row r="68" customFormat="false" ht="12" hidden="false" customHeight="false" outlineLevel="0" collapsed="false">
      <c r="A68" s="27"/>
      <c r="F68" s="2"/>
      <c r="H68" s="6" t="str">
        <f aca="false">IF(G68&lt;&gt;0,G68*H$2/(100+H$2)," ")</f>
        <v> </v>
      </c>
      <c r="I68" s="6" t="str">
        <f aca="false">IF((G68&lt;&gt;0),G68-H68," ")</f>
        <v> </v>
      </c>
      <c r="M68" s="7" t="str">
        <f aca="false">IF(G68&lt;&gt;0,G68-L68," ")</f>
        <v> </v>
      </c>
      <c r="N68" s="8" t="str">
        <f aca="false">IF((G68-L68)&lt;&gt;0,N$1-A68," ")</f>
        <v> </v>
      </c>
    </row>
    <row r="69" customFormat="false" ht="12" hidden="false" customHeight="false" outlineLevel="0" collapsed="false">
      <c r="A69" s="27"/>
      <c r="F69" s="2"/>
      <c r="H69" s="6" t="str">
        <f aca="false">IF(G69&lt;&gt;0,G69*H$2/(100+H$2)," ")</f>
        <v> </v>
      </c>
      <c r="I69" s="6" t="str">
        <f aca="false">IF((G69&lt;&gt;0),G69-H69," ")</f>
        <v> </v>
      </c>
      <c r="M69" s="7" t="str">
        <f aca="false">IF(G69&lt;&gt;0,G69-L69," ")</f>
        <v> </v>
      </c>
      <c r="N69" s="8" t="str">
        <f aca="false">IF((G69-L69)&lt;&gt;0,N$1-A69," ")</f>
        <v> </v>
      </c>
    </row>
    <row r="70" customFormat="false" ht="12" hidden="false" customHeight="false" outlineLevel="0" collapsed="false">
      <c r="A70" s="27"/>
      <c r="F70" s="2"/>
      <c r="H70" s="6" t="str">
        <f aca="false">IF(G70&lt;&gt;0,G70*H$2/(100+H$2)," ")</f>
        <v> </v>
      </c>
      <c r="I70" s="6" t="str">
        <f aca="false">IF((G70&lt;&gt;0),G70-H70," ")</f>
        <v> </v>
      </c>
      <c r="M70" s="7" t="str">
        <f aca="false">IF(G70&lt;&gt;0,G70-L70," ")</f>
        <v> </v>
      </c>
      <c r="N70" s="8" t="str">
        <f aca="false">IF((G70-L70)&lt;&gt;0,N$1-A70," ")</f>
        <v> </v>
      </c>
    </row>
    <row r="71" customFormat="false" ht="12" hidden="false" customHeight="false" outlineLevel="0" collapsed="false">
      <c r="A71" s="27"/>
      <c r="F71" s="2"/>
      <c r="H71" s="6" t="str">
        <f aca="false">IF(G71&lt;&gt;0,G71*H$2/(100+H$2)," ")</f>
        <v> </v>
      </c>
      <c r="I71" s="6" t="str">
        <f aca="false">IF((G71&lt;&gt;0),G71-H71," ")</f>
        <v> </v>
      </c>
      <c r="M71" s="7" t="str">
        <f aca="false">IF(G71&lt;&gt;0,G71-L71," ")</f>
        <v> </v>
      </c>
      <c r="N71" s="8" t="str">
        <f aca="false">IF((G71-L71)&lt;&gt;0,N$1-A71," ")</f>
        <v> </v>
      </c>
    </row>
    <row r="72" customFormat="false" ht="12" hidden="false" customHeight="false" outlineLevel="0" collapsed="false">
      <c r="A72" s="27"/>
      <c r="F72" s="2"/>
      <c r="H72" s="6" t="str">
        <f aca="false">IF(G72&lt;&gt;0,G72*H$2/(100+H$2)," ")</f>
        <v> </v>
      </c>
      <c r="I72" s="6" t="str">
        <f aca="false">IF((G72&lt;&gt;0),G72-H72," ")</f>
        <v> </v>
      </c>
      <c r="M72" s="7" t="str">
        <f aca="false">IF(G72&lt;&gt;0,G72-L72," ")</f>
        <v> </v>
      </c>
      <c r="N72" s="8" t="str">
        <f aca="false">IF((G72-L72)&lt;&gt;0,N$1-A72," ")</f>
        <v> </v>
      </c>
    </row>
    <row r="73" customFormat="false" ht="12" hidden="false" customHeight="false" outlineLevel="0" collapsed="false">
      <c r="A73" s="27"/>
      <c r="F73" s="2"/>
      <c r="H73" s="6" t="str">
        <f aca="false">IF(G73&lt;&gt;0,G73*H$2/(100+H$2)," ")</f>
        <v> </v>
      </c>
      <c r="I73" s="6" t="str">
        <f aca="false">IF((G73&lt;&gt;0),G73-H73," ")</f>
        <v> </v>
      </c>
      <c r="M73" s="7" t="str">
        <f aca="false">IF(G73&lt;&gt;0,G73-L73," ")</f>
        <v> </v>
      </c>
      <c r="N73" s="8" t="str">
        <f aca="false">IF((G73-L73)&lt;&gt;0,N$1-A73," ")</f>
        <v> </v>
      </c>
    </row>
    <row r="74" customFormat="false" ht="12" hidden="false" customHeight="false" outlineLevel="0" collapsed="false">
      <c r="A74" s="27"/>
      <c r="F74" s="2"/>
      <c r="H74" s="6" t="str">
        <f aca="false">IF(G74&lt;&gt;0,G74*H$2/(100+H$2)," ")</f>
        <v> </v>
      </c>
      <c r="I74" s="6" t="str">
        <f aca="false">IF((G74&lt;&gt;0),G74-H74," ")</f>
        <v> </v>
      </c>
      <c r="M74" s="7" t="str">
        <f aca="false">IF(G74&lt;&gt;0,G74-L74," ")</f>
        <v> </v>
      </c>
      <c r="N74" s="8" t="str">
        <f aca="false">IF((G74-L74)&lt;&gt;0,N$1-A74," ")</f>
        <v> </v>
      </c>
    </row>
    <row r="75" customFormat="false" ht="12" hidden="false" customHeight="false" outlineLevel="0" collapsed="false">
      <c r="A75" s="27"/>
      <c r="F75" s="2"/>
      <c r="H75" s="6" t="str">
        <f aca="false">IF(G75&lt;&gt;0,G75*H$2/(100+H$2)," ")</f>
        <v> </v>
      </c>
      <c r="I75" s="6" t="str">
        <f aca="false">IF((G75&lt;&gt;0),G75-H75," ")</f>
        <v> </v>
      </c>
      <c r="M75" s="7" t="str">
        <f aca="false">IF(G75&lt;&gt;0,G75-L75," ")</f>
        <v> </v>
      </c>
      <c r="N75" s="8" t="str">
        <f aca="false">IF((G75-L75)&lt;&gt;0,N$1-A75," ")</f>
        <v> </v>
      </c>
    </row>
    <row r="76" customFormat="false" ht="12" hidden="false" customHeight="false" outlineLevel="0" collapsed="false">
      <c r="A76" s="27"/>
      <c r="F76" s="2"/>
      <c r="H76" s="6" t="str">
        <f aca="false">IF(G76&lt;&gt;0,G76*H$2/(100+H$2)," ")</f>
        <v> </v>
      </c>
      <c r="I76" s="6" t="str">
        <f aca="false">IF((G76&lt;&gt;0),G76-H76," ")</f>
        <v> </v>
      </c>
      <c r="M76" s="7" t="str">
        <f aca="false">IF(G76&lt;&gt;0,G76-L76," ")</f>
        <v> </v>
      </c>
      <c r="N76" s="8" t="str">
        <f aca="false">IF((G76-L76)&lt;&gt;0,N$1-A76," ")</f>
        <v> </v>
      </c>
    </row>
    <row r="77" customFormat="false" ht="12" hidden="false" customHeight="false" outlineLevel="0" collapsed="false">
      <c r="A77" s="27"/>
      <c r="F77" s="2"/>
      <c r="H77" s="6" t="str">
        <f aca="false">IF(G77&lt;&gt;0,G77*H$2/(100+H$2)," ")</f>
        <v> </v>
      </c>
      <c r="I77" s="6" t="str">
        <f aca="false">IF((G77&lt;&gt;0),G77-H77," ")</f>
        <v> </v>
      </c>
      <c r="M77" s="7" t="str">
        <f aca="false">IF(G77&lt;&gt;0,G77-L77," ")</f>
        <v> </v>
      </c>
      <c r="N77" s="8" t="str">
        <f aca="false">IF((G77-L77)&lt;&gt;0,N$1-A77," ")</f>
        <v> </v>
      </c>
    </row>
    <row r="78" customFormat="false" ht="12" hidden="false" customHeight="false" outlineLevel="0" collapsed="false">
      <c r="A78" s="27"/>
      <c r="F78" s="2"/>
      <c r="H78" s="6" t="str">
        <f aca="false">IF(G78&lt;&gt;0,G78*H$2/(100+H$2)," ")</f>
        <v> </v>
      </c>
      <c r="I78" s="6" t="str">
        <f aca="false">IF((G78&lt;&gt;0),G78-H78," ")</f>
        <v> </v>
      </c>
      <c r="M78" s="7" t="str">
        <f aca="false">IF(G78&lt;&gt;0,G78-L78," ")</f>
        <v> </v>
      </c>
      <c r="N78" s="8" t="str">
        <f aca="false">IF((G78-L78)&lt;&gt;0,N$1-A78," ")</f>
        <v> </v>
      </c>
    </row>
    <row r="79" customFormat="false" ht="12" hidden="false" customHeight="false" outlineLevel="0" collapsed="false">
      <c r="A79" s="27"/>
      <c r="F79" s="2"/>
      <c r="H79" s="6" t="str">
        <f aca="false">IF(G79&lt;&gt;0,G79*H$2/(100+H$2)," ")</f>
        <v> </v>
      </c>
      <c r="I79" s="6" t="str">
        <f aca="false">IF((G79&lt;&gt;0),G79-H79," ")</f>
        <v> </v>
      </c>
      <c r="M79" s="7" t="str">
        <f aca="false">IF(G79&lt;&gt;0,G79-L79," ")</f>
        <v> </v>
      </c>
      <c r="N79" s="8" t="str">
        <f aca="false">IF((G79-L79)&lt;&gt;0,N$1-A79," ")</f>
        <v> </v>
      </c>
    </row>
    <row r="80" customFormat="false" ht="12" hidden="false" customHeight="false" outlineLevel="0" collapsed="false">
      <c r="A80" s="27"/>
      <c r="F80" s="2"/>
      <c r="H80" s="6" t="str">
        <f aca="false">IF(G80&lt;&gt;0,G80*H$2/(100+H$2)," ")</f>
        <v> </v>
      </c>
      <c r="I80" s="6" t="str">
        <f aca="false">IF((G80&lt;&gt;0),G80-H80," ")</f>
        <v> </v>
      </c>
      <c r="M80" s="7" t="str">
        <f aca="false">IF(G80&lt;&gt;0,G80-L80," ")</f>
        <v> </v>
      </c>
      <c r="N80" s="8" t="str">
        <f aca="false">IF((G80-L80)&lt;&gt;0,N$1-A80," ")</f>
        <v> </v>
      </c>
    </row>
    <row r="81" customFormat="false" ht="12" hidden="false" customHeight="false" outlineLevel="0" collapsed="false">
      <c r="A81" s="27"/>
      <c r="F81" s="2"/>
      <c r="H81" s="6" t="str">
        <f aca="false">IF(G81&lt;&gt;0,G81*H$2/(100+H$2)," ")</f>
        <v> </v>
      </c>
      <c r="I81" s="6" t="str">
        <f aca="false">IF((G81&lt;&gt;0),G81-H81," ")</f>
        <v> </v>
      </c>
      <c r="M81" s="7" t="str">
        <f aca="false">IF(G81&lt;&gt;0,G81-L81," ")</f>
        <v> </v>
      </c>
      <c r="N81" s="8" t="str">
        <f aca="false">IF((G81-L81)&lt;&gt;0,N$1-A81," ")</f>
        <v> </v>
      </c>
    </row>
    <row r="82" customFormat="false" ht="12" hidden="false" customHeight="false" outlineLevel="0" collapsed="false">
      <c r="A82" s="27"/>
      <c r="F82" s="2"/>
      <c r="H82" s="6" t="str">
        <f aca="false">IF(G82&lt;&gt;0,G82*H$2/(100+H$2)," ")</f>
        <v> </v>
      </c>
      <c r="I82" s="6" t="str">
        <f aca="false">IF((G82&lt;&gt;0),G82-H82," ")</f>
        <v> </v>
      </c>
      <c r="M82" s="7" t="str">
        <f aca="false">IF(G82&lt;&gt;0,G82-L82," ")</f>
        <v> </v>
      </c>
      <c r="N82" s="8" t="str">
        <f aca="false">IF((G82-L82)&lt;&gt;0,N$1-A82," ")</f>
        <v> </v>
      </c>
    </row>
    <row r="83" customFormat="false" ht="12" hidden="false" customHeight="false" outlineLevel="0" collapsed="false">
      <c r="A83" s="27"/>
      <c r="F83" s="2"/>
      <c r="H83" s="6" t="str">
        <f aca="false">IF(G83&lt;&gt;0,G83*H$2/(100+H$2)," ")</f>
        <v> </v>
      </c>
      <c r="I83" s="6" t="str">
        <f aca="false">IF((G83&lt;&gt;0),G83-H83," ")</f>
        <v> </v>
      </c>
      <c r="M83" s="7" t="str">
        <f aca="false">IF(G83&lt;&gt;0,G83-L83," ")</f>
        <v> </v>
      </c>
      <c r="N83" s="8" t="str">
        <f aca="false">IF((G83-L83)&lt;&gt;0,N$1-A83," ")</f>
        <v> </v>
      </c>
    </row>
    <row r="84" customFormat="false" ht="12" hidden="false" customHeight="false" outlineLevel="0" collapsed="false">
      <c r="A84" s="27"/>
      <c r="F84" s="2"/>
      <c r="H84" s="6" t="str">
        <f aca="false">IF(G84&lt;&gt;0,G84*H$2/(100+H$2)," ")</f>
        <v> </v>
      </c>
      <c r="I84" s="6" t="str">
        <f aca="false">IF((G84&lt;&gt;0),G84-H84," ")</f>
        <v> </v>
      </c>
      <c r="M84" s="7" t="str">
        <f aca="false">IF(G84&lt;&gt;0,G84-L84," ")</f>
        <v> </v>
      </c>
      <c r="N84" s="8" t="str">
        <f aca="false">IF((G84-L84)&lt;&gt;0,N$1-A84," ")</f>
        <v> </v>
      </c>
    </row>
    <row r="85" customFormat="false" ht="12" hidden="false" customHeight="false" outlineLevel="0" collapsed="false">
      <c r="A85" s="27"/>
      <c r="F85" s="2"/>
      <c r="H85" s="6" t="str">
        <f aca="false">IF(G85&lt;&gt;0,G85*H$2/(100+H$2)," ")</f>
        <v> </v>
      </c>
      <c r="I85" s="6" t="str">
        <f aca="false">IF((G85&lt;&gt;0),G85-H85," ")</f>
        <v> </v>
      </c>
      <c r="M85" s="7" t="str">
        <f aca="false">IF(G85&lt;&gt;0,G85-L85," ")</f>
        <v> </v>
      </c>
      <c r="N85" s="8" t="str">
        <f aca="false">IF((G85-L85)&lt;&gt;0,N$1-A85," ")</f>
        <v> </v>
      </c>
    </row>
    <row r="86" customFormat="false" ht="12" hidden="false" customHeight="false" outlineLevel="0" collapsed="false">
      <c r="A86" s="27"/>
      <c r="F86" s="2"/>
      <c r="H86" s="6" t="str">
        <f aca="false">IF(G86&lt;&gt;0,G86*H$2/(100+H$2)," ")</f>
        <v> </v>
      </c>
      <c r="I86" s="6" t="str">
        <f aca="false">IF((G86&lt;&gt;0),G86-H86," ")</f>
        <v> </v>
      </c>
      <c r="M86" s="7" t="str">
        <f aca="false">IF(G86&lt;&gt;0,G86-L86," ")</f>
        <v> </v>
      </c>
      <c r="N86" s="8" t="str">
        <f aca="false">IF((G86-L86)&lt;&gt;0,N$1-A86," ")</f>
        <v> </v>
      </c>
    </row>
    <row r="87" customFormat="false" ht="12" hidden="false" customHeight="false" outlineLevel="0" collapsed="false">
      <c r="A87" s="27"/>
      <c r="F87" s="2"/>
      <c r="H87" s="6" t="str">
        <f aca="false">IF(G87&lt;&gt;0,G87*H$2/(100+H$2)," ")</f>
        <v> </v>
      </c>
      <c r="I87" s="6" t="str">
        <f aca="false">IF((G87&lt;&gt;0),G87-H87," ")</f>
        <v> </v>
      </c>
      <c r="M87" s="7" t="str">
        <f aca="false">IF(G87&lt;&gt;0,G87-L87," ")</f>
        <v> </v>
      </c>
      <c r="N87" s="8" t="str">
        <f aca="false">IF((G87-L87)&lt;&gt;0,N$1-A87," ")</f>
        <v> </v>
      </c>
    </row>
    <row r="88" customFormat="false" ht="12" hidden="false" customHeight="false" outlineLevel="0" collapsed="false">
      <c r="A88" s="27"/>
      <c r="F88" s="2"/>
      <c r="H88" s="6" t="str">
        <f aca="false">IF(G88&lt;&gt;0,G88*H$2/(100+H$2)," ")</f>
        <v> </v>
      </c>
      <c r="I88" s="6" t="str">
        <f aca="false">IF((G88&lt;&gt;0),G88-H88," ")</f>
        <v> </v>
      </c>
      <c r="M88" s="7" t="str">
        <f aca="false">IF(G88&lt;&gt;0,G88-L88," ")</f>
        <v> </v>
      </c>
      <c r="N88" s="8" t="str">
        <f aca="false">IF((G88-L88)&lt;&gt;0,N$1-A88," ")</f>
        <v> </v>
      </c>
    </row>
    <row r="89" customFormat="false" ht="12" hidden="false" customHeight="false" outlineLevel="0" collapsed="false">
      <c r="A89" s="27"/>
      <c r="F89" s="2"/>
      <c r="H89" s="6" t="str">
        <f aca="false">IF(G89&lt;&gt;0,G89*H$2/(100+H$2)," ")</f>
        <v> </v>
      </c>
      <c r="I89" s="6" t="str">
        <f aca="false">IF((G89&lt;&gt;0),G89-H89," ")</f>
        <v> </v>
      </c>
      <c r="M89" s="7" t="str">
        <f aca="false">IF(G89&lt;&gt;0,G89-L89," ")</f>
        <v> </v>
      </c>
      <c r="N89" s="8" t="str">
        <f aca="false">IF((G89-L89)&lt;&gt;0,N$1-A89," ")</f>
        <v> </v>
      </c>
    </row>
    <row r="90" customFormat="false" ht="12" hidden="false" customHeight="false" outlineLevel="0" collapsed="false">
      <c r="A90" s="27"/>
      <c r="F90" s="2"/>
      <c r="H90" s="6" t="str">
        <f aca="false">IF(G90&lt;&gt;0,G90*H$2/(100+H$2)," ")</f>
        <v> </v>
      </c>
      <c r="I90" s="6" t="str">
        <f aca="false">IF((G90&lt;&gt;0),G90-H90," ")</f>
        <v> </v>
      </c>
      <c r="M90" s="7" t="str">
        <f aca="false">IF(G90&lt;&gt;0,G90-L90," ")</f>
        <v> </v>
      </c>
      <c r="N90" s="8" t="str">
        <f aca="false">IF((G90-L90)&lt;&gt;0,N$1-A90," ")</f>
        <v> </v>
      </c>
    </row>
    <row r="91" customFormat="false" ht="12" hidden="false" customHeight="false" outlineLevel="0" collapsed="false">
      <c r="A91" s="27"/>
      <c r="F91" s="2"/>
      <c r="H91" s="6" t="str">
        <f aca="false">IF(G91&lt;&gt;0,G91*H$2/(100+H$2)," ")</f>
        <v> </v>
      </c>
      <c r="I91" s="6" t="str">
        <f aca="false">IF((G91&lt;&gt;0),G91-H91," ")</f>
        <v> </v>
      </c>
      <c r="M91" s="7" t="str">
        <f aca="false">IF(G91&lt;&gt;0,G91-L91," ")</f>
        <v> </v>
      </c>
      <c r="N91" s="8" t="str">
        <f aca="false">IF((G91-L91)&lt;&gt;0,N$1-A91," ")</f>
        <v> </v>
      </c>
    </row>
    <row r="92" customFormat="false" ht="12" hidden="false" customHeight="false" outlineLevel="0" collapsed="false">
      <c r="A92" s="27"/>
      <c r="F92" s="2"/>
      <c r="H92" s="6" t="str">
        <f aca="false">IF(G92&lt;&gt;0,G92*H$2/(100+H$2)," ")</f>
        <v> </v>
      </c>
      <c r="I92" s="6" t="str">
        <f aca="false">IF((G92&lt;&gt;0),G92-H92," ")</f>
        <v> </v>
      </c>
      <c r="M92" s="7" t="str">
        <f aca="false">IF(G92&lt;&gt;0,G92-L92," ")</f>
        <v> </v>
      </c>
      <c r="N92" s="8" t="str">
        <f aca="false">IF((G92-L92)&lt;&gt;0,N$1-A92," ")</f>
        <v> </v>
      </c>
    </row>
    <row r="93" customFormat="false" ht="12" hidden="false" customHeight="false" outlineLevel="0" collapsed="false">
      <c r="A93" s="27"/>
      <c r="F93" s="2"/>
      <c r="H93" s="6" t="str">
        <f aca="false">IF(G93&lt;&gt;0,G93*H$2/(100+H$2)," ")</f>
        <v> </v>
      </c>
      <c r="I93" s="6" t="str">
        <f aca="false">IF((G93&lt;&gt;0),G93-H93," ")</f>
        <v> </v>
      </c>
      <c r="M93" s="7" t="str">
        <f aca="false">IF(G93&lt;&gt;0,G93-L93," ")</f>
        <v> </v>
      </c>
      <c r="N93" s="8" t="str">
        <f aca="false">IF((G93-L93)&lt;&gt;0,N$1-A93," ")</f>
        <v> </v>
      </c>
    </row>
    <row r="94" customFormat="false" ht="12" hidden="false" customHeight="false" outlineLevel="0" collapsed="false">
      <c r="A94" s="27"/>
      <c r="F94" s="2"/>
      <c r="H94" s="6" t="str">
        <f aca="false">IF(G94&lt;&gt;0,G94*H$2/(100+H$2)," ")</f>
        <v> </v>
      </c>
      <c r="I94" s="6" t="str">
        <f aca="false">IF((G94&lt;&gt;0),G94-H94," ")</f>
        <v> </v>
      </c>
      <c r="M94" s="7" t="str">
        <f aca="false">IF(G94&lt;&gt;0,G94-L94," ")</f>
        <v> </v>
      </c>
      <c r="N94" s="8" t="str">
        <f aca="false">IF((G94-L94)&lt;&gt;0,N$1-A94," ")</f>
        <v> </v>
      </c>
    </row>
    <row r="95" customFormat="false" ht="12" hidden="false" customHeight="false" outlineLevel="0" collapsed="false">
      <c r="A95" s="27"/>
      <c r="F95" s="2"/>
      <c r="H95" s="6" t="str">
        <f aca="false">IF(G95&lt;&gt;0,G95*H$2/(100+H$2)," ")</f>
        <v> </v>
      </c>
      <c r="I95" s="6" t="str">
        <f aca="false">IF((G95&lt;&gt;0),G95-H95," ")</f>
        <v> </v>
      </c>
      <c r="M95" s="7" t="str">
        <f aca="false">IF(G95&lt;&gt;0,G95-L95," ")</f>
        <v> </v>
      </c>
      <c r="N95" s="8" t="str">
        <f aca="false">IF((G95-L95)&lt;&gt;0,N$1-A95," ")</f>
        <v> </v>
      </c>
    </row>
    <row r="96" customFormat="false" ht="12" hidden="false" customHeight="false" outlineLevel="0" collapsed="false">
      <c r="A96" s="27"/>
      <c r="F96" s="2"/>
      <c r="H96" s="6" t="str">
        <f aca="false">IF(G96&lt;&gt;0,G96*H$2/(100+H$2)," ")</f>
        <v> </v>
      </c>
      <c r="I96" s="6" t="str">
        <f aca="false">IF((G96&lt;&gt;0),G96-H96," ")</f>
        <v> </v>
      </c>
      <c r="M96" s="7" t="str">
        <f aca="false">IF(G96&lt;&gt;0,G96-L96," ")</f>
        <v> </v>
      </c>
      <c r="N96" s="8" t="str">
        <f aca="false">IF((G96-L96)&lt;&gt;0,N$1-A96," ")</f>
        <v> </v>
      </c>
    </row>
    <row r="97" customFormat="false" ht="12" hidden="false" customHeight="false" outlineLevel="0" collapsed="false">
      <c r="A97" s="27"/>
      <c r="F97" s="2"/>
      <c r="H97" s="6" t="str">
        <f aca="false">IF(G97&lt;&gt;0,G97*H$2/(100+H$2)," ")</f>
        <v> </v>
      </c>
      <c r="I97" s="6" t="str">
        <f aca="false">IF((G97&lt;&gt;0),G97-H97," ")</f>
        <v> </v>
      </c>
      <c r="M97" s="7" t="str">
        <f aca="false">IF(G97&lt;&gt;0,G97-L97," ")</f>
        <v> </v>
      </c>
      <c r="N97" s="8" t="str">
        <f aca="false">IF((G97-L97)&lt;&gt;0,N$1-A97," ")</f>
        <v> </v>
      </c>
    </row>
    <row r="98" customFormat="false" ht="12" hidden="false" customHeight="false" outlineLevel="0" collapsed="false">
      <c r="A98" s="27"/>
      <c r="F98" s="2"/>
      <c r="H98" s="6" t="str">
        <f aca="false">IF(G98&lt;&gt;0,G98*H$2/(100+H$2)," ")</f>
        <v> </v>
      </c>
      <c r="I98" s="6" t="str">
        <f aca="false">IF((G98&lt;&gt;0),G98-H98," ")</f>
        <v> </v>
      </c>
      <c r="M98" s="7" t="str">
        <f aca="false">IF(G98&lt;&gt;0,G98-L98," ")</f>
        <v> </v>
      </c>
      <c r="N98" s="8" t="str">
        <f aca="false">IF((G98-L98)&lt;&gt;0,N$1-A98," ")</f>
        <v> </v>
      </c>
    </row>
    <row r="99" customFormat="false" ht="12" hidden="false" customHeight="false" outlineLevel="0" collapsed="false">
      <c r="A99" s="27"/>
      <c r="F99" s="2"/>
      <c r="H99" s="6" t="str">
        <f aca="false">IF(G99&lt;&gt;0,G99*H$2/(100+H$2)," ")</f>
        <v> </v>
      </c>
      <c r="I99" s="6" t="str">
        <f aca="false">IF((G99&lt;&gt;0),G99-H99," ")</f>
        <v> </v>
      </c>
      <c r="M99" s="7" t="str">
        <f aca="false">IF(G99&lt;&gt;0,G99-L99," ")</f>
        <v> </v>
      </c>
      <c r="N99" s="8" t="str">
        <f aca="false">IF((G99-L99)&lt;&gt;0,N$1-A99," ")</f>
        <v> </v>
      </c>
    </row>
    <row r="100" customFormat="false" ht="12" hidden="false" customHeight="false" outlineLevel="0" collapsed="false">
      <c r="A100" s="27"/>
      <c r="F100" s="2"/>
      <c r="H100" s="6" t="str">
        <f aca="false">IF(G100&lt;&gt;0,G100*H$2/(100+H$2)," ")</f>
        <v> </v>
      </c>
      <c r="I100" s="6" t="str">
        <f aca="false">IF((G100&lt;&gt;0),G100-H100," ")</f>
        <v> </v>
      </c>
      <c r="M100" s="7" t="str">
        <f aca="false">IF(G100&lt;&gt;0,G100-L100," ")</f>
        <v> </v>
      </c>
      <c r="N100" s="8" t="str">
        <f aca="false">IF((G100-L100)&lt;&gt;0,N$1-A100," ")</f>
        <v> </v>
      </c>
    </row>
    <row r="101" customFormat="false" ht="12" hidden="false" customHeight="false" outlineLevel="0" collapsed="false">
      <c r="A101" s="27"/>
      <c r="F101" s="2"/>
      <c r="H101" s="6" t="str">
        <f aca="false">IF(G101&lt;&gt;0,G101*H$2/(100+H$2)," ")</f>
        <v> </v>
      </c>
      <c r="I101" s="6" t="str">
        <f aca="false">IF((G101&lt;&gt;0),G101-H101," ")</f>
        <v> </v>
      </c>
      <c r="M101" s="7" t="str">
        <f aca="false">IF(G101&lt;&gt;0,G101-L101," ")</f>
        <v> </v>
      </c>
      <c r="N101" s="8" t="str">
        <f aca="false">IF((G101-L101)&lt;&gt;0,N$1-A101," ")</f>
        <v> </v>
      </c>
    </row>
    <row r="102" customFormat="false" ht="12" hidden="false" customHeight="false" outlineLevel="0" collapsed="false">
      <c r="A102" s="27"/>
      <c r="F102" s="2"/>
      <c r="H102" s="6" t="str">
        <f aca="false">IF(G102&lt;&gt;0,G102*H$2/(100+H$2)," ")</f>
        <v> </v>
      </c>
      <c r="I102" s="6" t="str">
        <f aca="false">IF((G102&lt;&gt;0),G102-H102," ")</f>
        <v> </v>
      </c>
      <c r="M102" s="7" t="str">
        <f aca="false">IF(G102&lt;&gt;0,G102-L102," ")</f>
        <v> </v>
      </c>
      <c r="N102" s="8" t="str">
        <f aca="false">IF((G102-L102)&lt;&gt;0,N$1-A102," ")</f>
        <v> </v>
      </c>
    </row>
    <row r="103" customFormat="false" ht="12" hidden="false" customHeight="false" outlineLevel="0" collapsed="false">
      <c r="A103" s="27"/>
      <c r="F103" s="2"/>
      <c r="H103" s="6" t="str">
        <f aca="false">IF(G103&lt;&gt;0,G103*H$2/(100+H$2)," ")</f>
        <v> </v>
      </c>
      <c r="I103" s="6" t="str">
        <f aca="false">IF((G103&lt;&gt;0),G103-H103," ")</f>
        <v> </v>
      </c>
      <c r="M103" s="7" t="str">
        <f aca="false">IF(G103&lt;&gt;0,G103-L103," ")</f>
        <v> </v>
      </c>
      <c r="N103" s="8" t="str">
        <f aca="false">IF((G103-L103)&lt;&gt;0,N$1-A103," ")</f>
        <v> </v>
      </c>
    </row>
    <row r="104" customFormat="false" ht="12" hidden="false" customHeight="false" outlineLevel="0" collapsed="false">
      <c r="A104" s="27"/>
      <c r="F104" s="2"/>
      <c r="H104" s="6" t="str">
        <f aca="false">IF(G104&lt;&gt;0,G104*H$2/(100+H$2)," ")</f>
        <v> </v>
      </c>
      <c r="I104" s="6" t="str">
        <f aca="false">IF((G104&lt;&gt;0),G104-H104," ")</f>
        <v> </v>
      </c>
      <c r="M104" s="7" t="str">
        <f aca="false">IF(G104&lt;&gt;0,G104-L104," ")</f>
        <v> </v>
      </c>
      <c r="N104" s="8" t="str">
        <f aca="false">IF((G104-L104)&lt;&gt;0,N$1-A104," ")</f>
        <v> </v>
      </c>
    </row>
    <row r="105" customFormat="false" ht="12" hidden="false" customHeight="false" outlineLevel="0" collapsed="false">
      <c r="A105" s="27"/>
      <c r="F105" s="2"/>
      <c r="H105" s="6" t="str">
        <f aca="false">IF(G105&lt;&gt;0,G105*H$2/(100+H$2)," ")</f>
        <v> </v>
      </c>
      <c r="I105" s="6" t="str">
        <f aca="false">IF((G105&lt;&gt;0),G105-H105," ")</f>
        <v> </v>
      </c>
      <c r="M105" s="7" t="str">
        <f aca="false">IF(G105&lt;&gt;0,G105-L105," ")</f>
        <v> </v>
      </c>
      <c r="N105" s="8" t="str">
        <f aca="false">IF((G105-L105)&lt;&gt;0,N$1-A105," ")</f>
        <v> </v>
      </c>
    </row>
    <row r="106" customFormat="false" ht="12" hidden="false" customHeight="false" outlineLevel="0" collapsed="false">
      <c r="A106" s="27"/>
      <c r="F106" s="2"/>
      <c r="H106" s="6" t="str">
        <f aca="false">IF(G106&lt;&gt;0,G106*H$2/(100+H$2)," ")</f>
        <v> </v>
      </c>
      <c r="I106" s="6" t="str">
        <f aca="false">IF((G106&lt;&gt;0),G106-H106," ")</f>
        <v> </v>
      </c>
      <c r="M106" s="7" t="str">
        <f aca="false">IF(G106&lt;&gt;0,G106-L106," ")</f>
        <v> </v>
      </c>
      <c r="N106" s="8" t="str">
        <f aca="false">IF((G106-L106)&lt;&gt;0,N$1-A106," ")</f>
        <v> </v>
      </c>
    </row>
    <row r="107" customFormat="false" ht="12" hidden="false" customHeight="false" outlineLevel="0" collapsed="false">
      <c r="A107" s="27"/>
      <c r="F107" s="2"/>
      <c r="H107" s="6" t="str">
        <f aca="false">IF(G107&lt;&gt;0,G107*H$2/(100+H$2)," ")</f>
        <v> </v>
      </c>
      <c r="I107" s="6" t="str">
        <f aca="false">IF((G107&lt;&gt;0),G107-H107," ")</f>
        <v> </v>
      </c>
      <c r="M107" s="7" t="str">
        <f aca="false">IF(G107&lt;&gt;0,G107-L107," ")</f>
        <v> </v>
      </c>
      <c r="N107" s="8" t="str">
        <f aca="false">IF((G107-L107)&lt;&gt;0,N$1-A107," ")</f>
        <v> </v>
      </c>
    </row>
    <row r="108" customFormat="false" ht="12" hidden="false" customHeight="false" outlineLevel="0" collapsed="false">
      <c r="A108" s="27"/>
      <c r="F108" s="2"/>
      <c r="H108" s="6" t="str">
        <f aca="false">IF(G108&lt;&gt;0,G108*H$2/(100+H$2)," ")</f>
        <v> </v>
      </c>
      <c r="I108" s="6" t="str">
        <f aca="false">IF((G108&lt;&gt;0),G108-H108," ")</f>
        <v> </v>
      </c>
      <c r="M108" s="7" t="str">
        <f aca="false">IF(G108&lt;&gt;0,G108-L108," ")</f>
        <v> </v>
      </c>
      <c r="N108" s="8" t="str">
        <f aca="false">IF((G108-L108)&lt;&gt;0,N$1-A108," ")</f>
        <v> </v>
      </c>
    </row>
    <row r="109" customFormat="false" ht="12" hidden="false" customHeight="false" outlineLevel="0" collapsed="false">
      <c r="A109" s="27"/>
      <c r="F109" s="2"/>
      <c r="H109" s="6" t="str">
        <f aca="false">IF(G109&lt;&gt;0,G109*H$2/(100+H$2)," ")</f>
        <v> </v>
      </c>
      <c r="I109" s="6" t="str">
        <f aca="false">IF((G109&lt;&gt;0),G109-H109," ")</f>
        <v> </v>
      </c>
      <c r="M109" s="7" t="str">
        <f aca="false">IF(G109&lt;&gt;0,G109-L109," ")</f>
        <v> </v>
      </c>
      <c r="N109" s="8" t="str">
        <f aca="false">IF((G109-L109)&lt;&gt;0,N$1-A109," ")</f>
        <v> </v>
      </c>
    </row>
    <row r="110" customFormat="false" ht="12" hidden="false" customHeight="false" outlineLevel="0" collapsed="false">
      <c r="A110" s="27"/>
      <c r="F110" s="2"/>
      <c r="H110" s="6" t="str">
        <f aca="false">IF(G110&lt;&gt;0,G110*H$2/(100+H$2)," ")</f>
        <v> </v>
      </c>
      <c r="I110" s="6" t="str">
        <f aca="false">IF((G110&lt;&gt;0),G110-H110," ")</f>
        <v> </v>
      </c>
      <c r="M110" s="7" t="str">
        <f aca="false">IF(G110&lt;&gt;0,G110-L110," ")</f>
        <v> </v>
      </c>
      <c r="N110" s="8" t="str">
        <f aca="false">IF((G110-L110)&lt;&gt;0,N$1-A110," ")</f>
        <v> </v>
      </c>
    </row>
    <row r="111" customFormat="false" ht="12" hidden="false" customHeight="false" outlineLevel="0" collapsed="false">
      <c r="A111" s="27"/>
      <c r="F111" s="2"/>
      <c r="H111" s="6" t="str">
        <f aca="false">IF(G111&lt;&gt;0,G111*H$2/(100+H$2)," ")</f>
        <v> </v>
      </c>
      <c r="I111" s="6" t="str">
        <f aca="false">IF((G111&lt;&gt;0),G111-H111," ")</f>
        <v> </v>
      </c>
      <c r="M111" s="7" t="str">
        <f aca="false">IF(G111&lt;&gt;0,G111-L111," ")</f>
        <v> </v>
      </c>
      <c r="N111" s="8" t="str">
        <f aca="false">IF((G111-L111)&lt;&gt;0,N$1-A111," ")</f>
        <v> </v>
      </c>
    </row>
    <row r="112" customFormat="false" ht="12" hidden="false" customHeight="false" outlineLevel="0" collapsed="false">
      <c r="A112" s="27"/>
      <c r="F112" s="2"/>
      <c r="H112" s="6" t="str">
        <f aca="false">IF(G112&lt;&gt;0,G112*H$2/(100+H$2)," ")</f>
        <v> </v>
      </c>
      <c r="I112" s="6" t="str">
        <f aca="false">IF((G112&lt;&gt;0),G112-H112," ")</f>
        <v> </v>
      </c>
      <c r="M112" s="7" t="str">
        <f aca="false">IF(G112&lt;&gt;0,G112-L112," ")</f>
        <v> </v>
      </c>
      <c r="N112" s="8" t="str">
        <f aca="false">IF((G112-L112)&lt;&gt;0,N$1-A112," ")</f>
        <v> </v>
      </c>
    </row>
    <row r="113" customFormat="false" ht="12" hidden="false" customHeight="false" outlineLevel="0" collapsed="false">
      <c r="A113" s="27"/>
      <c r="F113" s="2"/>
      <c r="H113" s="6" t="str">
        <f aca="false">IF(G113&lt;&gt;0,G113*H$2/(100+H$2)," ")</f>
        <v> </v>
      </c>
      <c r="I113" s="6" t="str">
        <f aca="false">IF((G113&lt;&gt;0),G113-H113," ")</f>
        <v> </v>
      </c>
      <c r="M113" s="7" t="str">
        <f aca="false">IF(G113&lt;&gt;0,G113-L113," ")</f>
        <v> </v>
      </c>
      <c r="N113" s="8" t="str">
        <f aca="false">IF((G113-L113)&lt;&gt;0,N$1-A113," ")</f>
        <v> </v>
      </c>
    </row>
    <row r="114" customFormat="false" ht="12" hidden="false" customHeight="false" outlineLevel="0" collapsed="false">
      <c r="A114" s="27"/>
      <c r="F114" s="2"/>
      <c r="H114" s="6" t="str">
        <f aca="false">IF(G114&lt;&gt;0,G114*H$2/(100+H$2)," ")</f>
        <v> </v>
      </c>
      <c r="I114" s="6" t="str">
        <f aca="false">IF((G114&lt;&gt;0),G114-H114," ")</f>
        <v> </v>
      </c>
      <c r="M114" s="7" t="str">
        <f aca="false">IF(G114&lt;&gt;0,G114-L114," ")</f>
        <v> </v>
      </c>
      <c r="N114" s="8" t="str">
        <f aca="false">IF((G114-L114)&lt;&gt;0,N$1-A114," ")</f>
        <v> </v>
      </c>
    </row>
    <row r="115" customFormat="false" ht="12" hidden="false" customHeight="false" outlineLevel="0" collapsed="false">
      <c r="A115" s="27"/>
      <c r="F115" s="2"/>
      <c r="H115" s="6" t="str">
        <f aca="false">IF(G115&lt;&gt;0,G115*H$2/(100+H$2)," ")</f>
        <v> </v>
      </c>
      <c r="I115" s="6" t="str">
        <f aca="false">IF((G115&lt;&gt;0),G115-H115," ")</f>
        <v> </v>
      </c>
      <c r="M115" s="7" t="str">
        <f aca="false">IF(G115&lt;&gt;0,G115-L115," ")</f>
        <v> </v>
      </c>
      <c r="N115" s="8" t="str">
        <f aca="false">IF((G115-L115)&lt;&gt;0,N$1-A115," ")</f>
        <v> </v>
      </c>
    </row>
    <row r="116" customFormat="false" ht="12" hidden="false" customHeight="false" outlineLevel="0" collapsed="false">
      <c r="A116" s="27"/>
      <c r="F116" s="2"/>
      <c r="H116" s="6" t="str">
        <f aca="false">IF(G116&lt;&gt;0,G116*H$2/(100+H$2)," ")</f>
        <v> </v>
      </c>
      <c r="I116" s="6" t="str">
        <f aca="false">IF((G116&lt;&gt;0),G116-H116," ")</f>
        <v> </v>
      </c>
      <c r="M116" s="7" t="str">
        <f aca="false">IF(G116&lt;&gt;0,G116-L116," ")</f>
        <v> </v>
      </c>
      <c r="N116" s="8" t="str">
        <f aca="false">IF((G116-L116)&lt;&gt;0,N$1-A116," ")</f>
        <v> </v>
      </c>
    </row>
    <row r="117" customFormat="false" ht="12" hidden="false" customHeight="false" outlineLevel="0" collapsed="false">
      <c r="A117" s="27"/>
      <c r="F117" s="2"/>
      <c r="H117" s="6" t="str">
        <f aca="false">IF(G117&lt;&gt;0,G117*H$2/(100+H$2)," ")</f>
        <v> </v>
      </c>
      <c r="I117" s="6" t="str">
        <f aca="false">IF((G117&lt;&gt;0),G117-H117," ")</f>
        <v> </v>
      </c>
      <c r="M117" s="7" t="str">
        <f aca="false">IF(G117&lt;&gt;0,G117-L117," ")</f>
        <v> </v>
      </c>
      <c r="N117" s="8" t="str">
        <f aca="false">IF((G117-L117)&lt;&gt;0,N$1-A117," ")</f>
        <v> </v>
      </c>
    </row>
    <row r="118" customFormat="false" ht="12" hidden="false" customHeight="false" outlineLevel="0" collapsed="false">
      <c r="A118" s="27"/>
      <c r="F118" s="2"/>
      <c r="H118" s="6" t="str">
        <f aca="false">IF(G118&lt;&gt;0,G118*H$2/(100+H$2)," ")</f>
        <v> </v>
      </c>
      <c r="I118" s="6" t="str">
        <f aca="false">IF((G118&lt;&gt;0),G118-H118," ")</f>
        <v> </v>
      </c>
      <c r="M118" s="7" t="str">
        <f aca="false">IF(G118&lt;&gt;0,G118-L118," ")</f>
        <v> </v>
      </c>
      <c r="N118" s="8" t="str">
        <f aca="false">IF((G118-L118)&lt;&gt;0,N$1-A118," ")</f>
        <v> </v>
      </c>
    </row>
    <row r="119" customFormat="false" ht="12" hidden="false" customHeight="false" outlineLevel="0" collapsed="false">
      <c r="A119" s="27"/>
      <c r="F119" s="2"/>
      <c r="H119" s="6" t="str">
        <f aca="false">IF(G119&lt;&gt;0,G119*H$2/(100+H$2)," ")</f>
        <v> </v>
      </c>
      <c r="I119" s="6" t="str">
        <f aca="false">IF((G119&lt;&gt;0),G119-H119," ")</f>
        <v> </v>
      </c>
      <c r="M119" s="7" t="str">
        <f aca="false">IF(G119&lt;&gt;0,G119-L119," ")</f>
        <v> </v>
      </c>
      <c r="N119" s="8" t="str">
        <f aca="false">IF((G119-L119)&lt;&gt;0,N$1-A119," ")</f>
        <v> </v>
      </c>
    </row>
    <row r="120" customFormat="false" ht="12" hidden="false" customHeight="false" outlineLevel="0" collapsed="false">
      <c r="A120" s="27"/>
      <c r="F120" s="2"/>
      <c r="H120" s="6" t="str">
        <f aca="false">IF(G120&lt;&gt;0,G120*H$2/(100+H$2)," ")</f>
        <v> </v>
      </c>
      <c r="I120" s="6" t="str">
        <f aca="false">IF((G120&lt;&gt;0),G120-H120," ")</f>
        <v> </v>
      </c>
      <c r="M120" s="7" t="str">
        <f aca="false">IF(G120&lt;&gt;0,G120-L120," ")</f>
        <v> </v>
      </c>
      <c r="N120" s="8" t="str">
        <f aca="false">IF((G120-L120)&lt;&gt;0,N$1-A120," ")</f>
        <v> </v>
      </c>
    </row>
    <row r="121" customFormat="false" ht="12" hidden="false" customHeight="false" outlineLevel="0" collapsed="false">
      <c r="A121" s="27"/>
      <c r="F121" s="2"/>
      <c r="H121" s="6" t="str">
        <f aca="false">IF(G121&lt;&gt;0,G121*H$2/(100+H$2)," ")</f>
        <v> </v>
      </c>
      <c r="I121" s="6" t="str">
        <f aca="false">IF((G121&lt;&gt;0),G121-H121," ")</f>
        <v> </v>
      </c>
      <c r="M121" s="7" t="str">
        <f aca="false">IF(G121&lt;&gt;0,G121-L121," ")</f>
        <v> </v>
      </c>
      <c r="N121" s="8" t="str">
        <f aca="false">IF((G121-L121)&lt;&gt;0,N$1-A121," ")</f>
        <v> </v>
      </c>
    </row>
    <row r="122" customFormat="false" ht="12" hidden="false" customHeight="false" outlineLevel="0" collapsed="false">
      <c r="A122" s="27"/>
      <c r="F122" s="2"/>
      <c r="H122" s="6" t="str">
        <f aca="false">IF(G122&lt;&gt;0,G122*H$2/(100+H$2)," ")</f>
        <v> </v>
      </c>
      <c r="I122" s="6" t="str">
        <f aca="false">IF((G122&lt;&gt;0),G122-H122," ")</f>
        <v> </v>
      </c>
      <c r="M122" s="7" t="str">
        <f aca="false">IF(G122&lt;&gt;0,G122-L122," ")</f>
        <v> </v>
      </c>
      <c r="N122" s="8" t="str">
        <f aca="false">IF((G122-L122)&lt;&gt;0,N$1-A122," ")</f>
        <v> </v>
      </c>
    </row>
    <row r="123" customFormat="false" ht="12" hidden="false" customHeight="false" outlineLevel="0" collapsed="false">
      <c r="A123" s="27"/>
      <c r="F123" s="2"/>
      <c r="H123" s="6" t="str">
        <f aca="false">IF(G123&lt;&gt;0,G123*H$2/(100+H$2)," ")</f>
        <v> </v>
      </c>
      <c r="I123" s="6" t="str">
        <f aca="false">IF((G123&lt;&gt;0),G123-H123," ")</f>
        <v> </v>
      </c>
      <c r="M123" s="7" t="str">
        <f aca="false">IF(G123&lt;&gt;0,G123-L123," ")</f>
        <v> </v>
      </c>
      <c r="N123" s="8" t="str">
        <f aca="false">IF((G123-L123)&lt;&gt;0,N$1-A123," ")</f>
        <v> </v>
      </c>
    </row>
    <row r="124" customFormat="false" ht="12" hidden="false" customHeight="false" outlineLevel="0" collapsed="false">
      <c r="A124" s="27"/>
      <c r="F124" s="2"/>
      <c r="H124" s="6" t="str">
        <f aca="false">IF(G124&lt;&gt;0,G124*H$2/(100+H$2)," ")</f>
        <v> </v>
      </c>
      <c r="I124" s="6" t="str">
        <f aca="false">IF((G124&lt;&gt;0),G124-H124," ")</f>
        <v> </v>
      </c>
      <c r="M124" s="7" t="str">
        <f aca="false">IF(G124&lt;&gt;0,G124-L124," ")</f>
        <v> </v>
      </c>
      <c r="N124" s="8" t="str">
        <f aca="false">IF((G124-L124)&lt;&gt;0,N$1-A124," ")</f>
        <v> </v>
      </c>
    </row>
    <row r="125" customFormat="false" ht="12" hidden="false" customHeight="false" outlineLevel="0" collapsed="false">
      <c r="A125" s="27"/>
      <c r="F125" s="2"/>
      <c r="H125" s="6" t="str">
        <f aca="false">IF(G125&lt;&gt;0,G125*H$2/(100+H$2)," ")</f>
        <v> </v>
      </c>
      <c r="I125" s="6" t="str">
        <f aca="false">IF((G125&lt;&gt;0),G125-H125," ")</f>
        <v> </v>
      </c>
      <c r="M125" s="7" t="str">
        <f aca="false">IF(G125&lt;&gt;0,G125-L125," ")</f>
        <v> </v>
      </c>
      <c r="N125" s="8" t="str">
        <f aca="false">IF((G125-L125)&lt;&gt;0,N$1-A125," ")</f>
        <v> </v>
      </c>
    </row>
    <row r="126" customFormat="false" ht="12" hidden="false" customHeight="false" outlineLevel="0" collapsed="false">
      <c r="A126" s="27"/>
      <c r="F126" s="2"/>
      <c r="H126" s="6" t="str">
        <f aca="false">IF(G126&lt;&gt;0,G126*H$2/(100+H$2)," ")</f>
        <v> </v>
      </c>
      <c r="I126" s="6" t="str">
        <f aca="false">IF((G126&lt;&gt;0),G126-H126," ")</f>
        <v> </v>
      </c>
      <c r="M126" s="7" t="str">
        <f aca="false">IF(G126&lt;&gt;0,G126-L126," ")</f>
        <v> </v>
      </c>
      <c r="N126" s="8" t="str">
        <f aca="false">IF((G126-L126)&lt;&gt;0,N$1-A126," ")</f>
        <v> </v>
      </c>
    </row>
    <row r="127" customFormat="false" ht="12" hidden="false" customHeight="false" outlineLevel="0" collapsed="false">
      <c r="A127" s="27"/>
      <c r="F127" s="2"/>
      <c r="H127" s="6" t="str">
        <f aca="false">IF(G127&lt;&gt;0,G127*H$2/(100+H$2)," ")</f>
        <v> </v>
      </c>
      <c r="I127" s="6" t="str">
        <f aca="false">IF((G127&lt;&gt;0),G127-H127," ")</f>
        <v> </v>
      </c>
      <c r="M127" s="7" t="str">
        <f aca="false">IF(G127&lt;&gt;0,G127-L127," ")</f>
        <v> </v>
      </c>
      <c r="N127" s="8" t="str">
        <f aca="false">IF((G127-L127)&lt;&gt;0,N$1-A127," ")</f>
        <v> </v>
      </c>
    </row>
    <row r="128" customFormat="false" ht="12" hidden="false" customHeight="false" outlineLevel="0" collapsed="false">
      <c r="A128" s="27"/>
      <c r="F128" s="2"/>
      <c r="H128" s="6" t="str">
        <f aca="false">IF(G128&lt;&gt;0,G128*H$2/(100+H$2)," ")</f>
        <v> </v>
      </c>
      <c r="I128" s="6" t="str">
        <f aca="false">IF((G128&lt;&gt;0),G128-H128," ")</f>
        <v> </v>
      </c>
      <c r="M128" s="7" t="str">
        <f aca="false">IF(G128&lt;&gt;0,G128-L128," ")</f>
        <v> </v>
      </c>
      <c r="N128" s="8" t="str">
        <f aca="false">IF((G128-L128)&lt;&gt;0,N$1-A128," ")</f>
        <v> </v>
      </c>
    </row>
    <row r="129" customFormat="false" ht="12" hidden="false" customHeight="false" outlineLevel="0" collapsed="false">
      <c r="A129" s="27"/>
      <c r="F129" s="2"/>
      <c r="H129" s="6" t="str">
        <f aca="false">IF(G129&lt;&gt;0,G129*H$2/(100+H$2)," ")</f>
        <v> </v>
      </c>
      <c r="I129" s="6" t="str">
        <f aca="false">IF((G129&lt;&gt;0),G129-H129," ")</f>
        <v> </v>
      </c>
      <c r="M129" s="7" t="str">
        <f aca="false">IF(G129&lt;&gt;0,G129-L129," ")</f>
        <v> </v>
      </c>
      <c r="N129" s="8" t="str">
        <f aca="false">IF((G129-L129)&lt;&gt;0,N$1-A129," ")</f>
        <v> </v>
      </c>
    </row>
    <row r="130" customFormat="false" ht="12" hidden="false" customHeight="false" outlineLevel="0" collapsed="false">
      <c r="A130" s="27"/>
      <c r="F130" s="2"/>
      <c r="H130" s="6" t="str">
        <f aca="false">IF(G130&lt;&gt;0,G130*H$2/(100+H$2)," ")</f>
        <v> </v>
      </c>
      <c r="I130" s="6" t="str">
        <f aca="false">IF((G130&lt;&gt;0),G130-H130," ")</f>
        <v> </v>
      </c>
      <c r="M130" s="7" t="str">
        <f aca="false">IF(G130&lt;&gt;0,G130-L130," ")</f>
        <v> </v>
      </c>
      <c r="N130" s="8" t="str">
        <f aca="false">IF((G130-L130)&lt;&gt;0,N$1-A130," ")</f>
        <v> </v>
      </c>
    </row>
    <row r="131" customFormat="false" ht="12" hidden="false" customHeight="false" outlineLevel="0" collapsed="false">
      <c r="A131" s="27"/>
      <c r="F131" s="2"/>
      <c r="H131" s="6" t="str">
        <f aca="false">IF(G131&lt;&gt;0,G131*H$2/(100+H$2)," ")</f>
        <v> </v>
      </c>
      <c r="I131" s="6" t="str">
        <f aca="false">IF((G131&lt;&gt;0),G131-H131," ")</f>
        <v> </v>
      </c>
      <c r="M131" s="7" t="str">
        <f aca="false">IF(G131&lt;&gt;0,G131-L131," ")</f>
        <v> </v>
      </c>
      <c r="N131" s="8" t="str">
        <f aca="false">IF((G131-L131)&lt;&gt;0,N$1-A131," ")</f>
        <v> </v>
      </c>
    </row>
    <row r="132" customFormat="false" ht="12" hidden="false" customHeight="false" outlineLevel="0" collapsed="false">
      <c r="A132" s="27"/>
      <c r="F132" s="2"/>
      <c r="H132" s="6" t="str">
        <f aca="false">IF(G132&lt;&gt;0,G132*H$2/(100+H$2)," ")</f>
        <v> </v>
      </c>
      <c r="I132" s="6" t="str">
        <f aca="false">IF((G132&lt;&gt;0),G132-H132," ")</f>
        <v> </v>
      </c>
      <c r="M132" s="7" t="str">
        <f aca="false">IF(G132&lt;&gt;0,G132-L132," ")</f>
        <v> </v>
      </c>
      <c r="N132" s="8" t="str">
        <f aca="false">IF((G132-L132)&lt;&gt;0,N$1-A132," ")</f>
        <v> </v>
      </c>
    </row>
    <row r="133" customFormat="false" ht="12" hidden="false" customHeight="false" outlineLevel="0" collapsed="false">
      <c r="A133" s="27"/>
      <c r="F133" s="2"/>
      <c r="H133" s="6" t="str">
        <f aca="false">IF(G133&lt;&gt;0,G133*H$2/(100+H$2)," ")</f>
        <v> </v>
      </c>
      <c r="I133" s="6" t="str">
        <f aca="false">IF((G133&lt;&gt;0),G133-H133," ")</f>
        <v> </v>
      </c>
      <c r="M133" s="7" t="str">
        <f aca="false">IF(G133&lt;&gt;0,G133-L133," ")</f>
        <v> </v>
      </c>
      <c r="N133" s="8" t="str">
        <f aca="false">IF((G133-L133)&lt;&gt;0,N$1-A133," ")</f>
        <v> </v>
      </c>
    </row>
    <row r="134" customFormat="false" ht="12" hidden="false" customHeight="false" outlineLevel="0" collapsed="false">
      <c r="A134" s="27"/>
      <c r="F134" s="2"/>
      <c r="H134" s="6" t="str">
        <f aca="false">IF(G134&lt;&gt;0,G134*H$2/(100+H$2)," ")</f>
        <v> </v>
      </c>
      <c r="I134" s="6" t="str">
        <f aca="false">IF((G134&lt;&gt;0),G134-H134," ")</f>
        <v> </v>
      </c>
      <c r="M134" s="7" t="str">
        <f aca="false">IF(G134&lt;&gt;0,G134-L134," ")</f>
        <v> </v>
      </c>
      <c r="N134" s="8" t="str">
        <f aca="false">IF((G134-L134)&lt;&gt;0,N$1-A134," ")</f>
        <v> </v>
      </c>
    </row>
    <row r="135" customFormat="false" ht="12" hidden="false" customHeight="false" outlineLevel="0" collapsed="false">
      <c r="A135" s="27"/>
      <c r="F135" s="2"/>
      <c r="H135" s="6" t="str">
        <f aca="false">IF(G135&lt;&gt;0,G135*H$2/(100+H$2)," ")</f>
        <v> </v>
      </c>
      <c r="I135" s="6" t="str">
        <f aca="false">IF((G135&lt;&gt;0),G135-H135," ")</f>
        <v> </v>
      </c>
      <c r="M135" s="7" t="str">
        <f aca="false">IF(G135&lt;&gt;0,G135-L135," ")</f>
        <v> </v>
      </c>
      <c r="N135" s="8" t="str">
        <f aca="false">IF((G135-L135)&lt;&gt;0,N$1-A135," ")</f>
        <v> </v>
      </c>
    </row>
    <row r="136" customFormat="false" ht="12" hidden="false" customHeight="false" outlineLevel="0" collapsed="false">
      <c r="A136" s="27"/>
      <c r="F136" s="2"/>
      <c r="H136" s="6" t="str">
        <f aca="false">IF(G136&lt;&gt;0,G136*H$2/(100+H$2)," ")</f>
        <v> </v>
      </c>
      <c r="I136" s="6" t="str">
        <f aca="false">IF((G136&lt;&gt;0),G136-H136," ")</f>
        <v> </v>
      </c>
      <c r="M136" s="7" t="str">
        <f aca="false">IF(G136&lt;&gt;0,G136-L136," ")</f>
        <v> </v>
      </c>
      <c r="N136" s="8" t="str">
        <f aca="false">IF((G136-L136)&lt;&gt;0,N$1-A136," ")</f>
        <v> </v>
      </c>
    </row>
    <row r="137" customFormat="false" ht="12" hidden="false" customHeight="false" outlineLevel="0" collapsed="false">
      <c r="A137" s="27"/>
      <c r="F137" s="2"/>
      <c r="H137" s="6" t="str">
        <f aca="false">IF(G137&lt;&gt;0,G137*H$2/(100+H$2)," ")</f>
        <v> </v>
      </c>
      <c r="I137" s="6" t="str">
        <f aca="false">IF((G137&lt;&gt;0),G137-H137," ")</f>
        <v> </v>
      </c>
      <c r="M137" s="7" t="str">
        <f aca="false">IF(G137&lt;&gt;0,G137-L137," ")</f>
        <v> </v>
      </c>
      <c r="N137" s="8" t="str">
        <f aca="false">IF((G137-L137)&lt;&gt;0,N$1-A137," ")</f>
        <v> </v>
      </c>
    </row>
    <row r="138" customFormat="false" ht="12" hidden="false" customHeight="false" outlineLevel="0" collapsed="false">
      <c r="A138" s="27"/>
      <c r="F138" s="2"/>
      <c r="H138" s="6" t="str">
        <f aca="false">IF(G138&lt;&gt;0,G138*H$2/(100+H$2)," ")</f>
        <v> </v>
      </c>
      <c r="I138" s="6" t="str">
        <f aca="false">IF((G138&lt;&gt;0),G138-H138," ")</f>
        <v> </v>
      </c>
      <c r="M138" s="7" t="str">
        <f aca="false">IF(G138&lt;&gt;0,G138-L138," ")</f>
        <v> </v>
      </c>
      <c r="N138" s="8" t="str">
        <f aca="false">IF((G138-L138)&lt;&gt;0,N$1-A138," ")</f>
        <v> </v>
      </c>
    </row>
    <row r="139" customFormat="false" ht="12" hidden="false" customHeight="false" outlineLevel="0" collapsed="false">
      <c r="A139" s="27"/>
      <c r="F139" s="2"/>
      <c r="H139" s="6" t="str">
        <f aca="false">IF(G139&lt;&gt;0,G139*H$2/(100+H$2)," ")</f>
        <v> </v>
      </c>
      <c r="I139" s="6" t="str">
        <f aca="false">IF((G139&lt;&gt;0),G139-H139," ")</f>
        <v> </v>
      </c>
      <c r="M139" s="7" t="str">
        <f aca="false">IF(G139&lt;&gt;0,G139-L139," ")</f>
        <v> </v>
      </c>
      <c r="N139" s="8" t="str">
        <f aca="false">IF((G139-L139)&lt;&gt;0,N$1-A139," ")</f>
        <v> </v>
      </c>
    </row>
    <row r="140" customFormat="false" ht="12" hidden="false" customHeight="false" outlineLevel="0" collapsed="false">
      <c r="A140" s="27"/>
      <c r="F140" s="2"/>
      <c r="H140" s="6" t="str">
        <f aca="false">IF(G140&lt;&gt;0,G140*H$2/(100+H$2)," ")</f>
        <v> </v>
      </c>
      <c r="I140" s="6" t="str">
        <f aca="false">IF((G140&lt;&gt;0),G140-H140," ")</f>
        <v> </v>
      </c>
      <c r="M140" s="7" t="str">
        <f aca="false">IF(G140&lt;&gt;0,G140-L140," ")</f>
        <v> </v>
      </c>
      <c r="N140" s="8" t="str">
        <f aca="false">IF((G140-L140)&lt;&gt;0,N$1-A140," ")</f>
        <v> </v>
      </c>
    </row>
    <row r="141" customFormat="false" ht="12" hidden="false" customHeight="false" outlineLevel="0" collapsed="false">
      <c r="A141" s="27"/>
      <c r="F141" s="2"/>
      <c r="H141" s="6" t="str">
        <f aca="false">IF(G141&lt;&gt;0,G141*H$2/(100+H$2)," ")</f>
        <v> </v>
      </c>
      <c r="I141" s="6" t="str">
        <f aca="false">IF((G141&lt;&gt;0),G141-H141," ")</f>
        <v> </v>
      </c>
      <c r="M141" s="7" t="str">
        <f aca="false">IF(G141&lt;&gt;0,G141-L141," ")</f>
        <v> </v>
      </c>
      <c r="N141" s="8" t="str">
        <f aca="false">IF((G141-L141)&lt;&gt;0,N$1-A141," ")</f>
        <v> </v>
      </c>
    </row>
    <row r="142" customFormat="false" ht="12" hidden="false" customHeight="false" outlineLevel="0" collapsed="false">
      <c r="A142" s="27"/>
      <c r="F142" s="2"/>
      <c r="H142" s="6" t="str">
        <f aca="false">IF(G142&lt;&gt;0,G142*H$2/(100+H$2)," ")</f>
        <v> </v>
      </c>
      <c r="I142" s="6" t="str">
        <f aca="false">IF((G142&lt;&gt;0),G142-H142," ")</f>
        <v> </v>
      </c>
      <c r="M142" s="7" t="str">
        <f aca="false">IF(G142&lt;&gt;0,G142-L142," ")</f>
        <v> </v>
      </c>
      <c r="N142" s="8" t="str">
        <f aca="false">IF((G142-L142)&lt;&gt;0,N$1-A142," ")</f>
        <v> </v>
      </c>
    </row>
    <row r="143" customFormat="false" ht="12" hidden="false" customHeight="false" outlineLevel="0" collapsed="false">
      <c r="A143" s="27"/>
      <c r="F143" s="2"/>
      <c r="H143" s="6" t="str">
        <f aca="false">IF(G143&lt;&gt;0,G143*H$2/(100+H$2)," ")</f>
        <v> </v>
      </c>
      <c r="I143" s="6" t="str">
        <f aca="false">IF((G143&lt;&gt;0),G143-H143," ")</f>
        <v> </v>
      </c>
      <c r="M143" s="7" t="str">
        <f aca="false">IF(G143&lt;&gt;0,G143-L143," ")</f>
        <v> </v>
      </c>
      <c r="N143" s="8" t="str">
        <f aca="false">IF((G143-L143)&lt;&gt;0,N$1-A143," ")</f>
        <v> </v>
      </c>
    </row>
    <row r="144" customFormat="false" ht="12" hidden="false" customHeight="false" outlineLevel="0" collapsed="false">
      <c r="A144" s="27"/>
      <c r="F144" s="2"/>
      <c r="H144" s="6" t="str">
        <f aca="false">IF(G144&lt;&gt;0,G144*H$2/(100+H$2)," ")</f>
        <v> </v>
      </c>
      <c r="I144" s="6" t="str">
        <f aca="false">IF((G144&lt;&gt;0),G144-H144," ")</f>
        <v> </v>
      </c>
      <c r="M144" s="7" t="str">
        <f aca="false">IF(G144&lt;&gt;0,G144-L144," ")</f>
        <v> </v>
      </c>
      <c r="N144" s="8" t="str">
        <f aca="false">IF((G144-L144)&lt;&gt;0,N$1-A144," ")</f>
        <v> </v>
      </c>
    </row>
    <row r="145" customFormat="false" ht="12" hidden="false" customHeight="false" outlineLevel="0" collapsed="false">
      <c r="A145" s="27"/>
      <c r="F145" s="2"/>
      <c r="H145" s="6" t="str">
        <f aca="false">IF(G145&lt;&gt;0,G145*H$2/(100+H$2)," ")</f>
        <v> </v>
      </c>
      <c r="I145" s="6" t="str">
        <f aca="false">IF((G145&lt;&gt;0),G145-H145," ")</f>
        <v> </v>
      </c>
      <c r="M145" s="7" t="str">
        <f aca="false">IF(G145&lt;&gt;0,G145-L145," ")</f>
        <v> </v>
      </c>
      <c r="N145" s="8" t="str">
        <f aca="false">IF((G145-L145)&lt;&gt;0,N$1-A145," ")</f>
        <v> </v>
      </c>
    </row>
    <row r="146" customFormat="false" ht="12" hidden="false" customHeight="false" outlineLevel="0" collapsed="false">
      <c r="A146" s="27"/>
      <c r="F146" s="2"/>
      <c r="H146" s="6" t="str">
        <f aca="false">IF(G146&lt;&gt;0,G146*H$2/(100+H$2)," ")</f>
        <v> </v>
      </c>
      <c r="I146" s="6" t="str">
        <f aca="false">IF((G146&lt;&gt;0),G146-H146," ")</f>
        <v> </v>
      </c>
      <c r="M146" s="7" t="str">
        <f aca="false">IF(G146&lt;&gt;0,G146-L146," ")</f>
        <v> </v>
      </c>
      <c r="N146" s="8" t="str">
        <f aca="false">IF((G146-L146)&lt;&gt;0,N$1-A146," ")</f>
        <v> </v>
      </c>
    </row>
    <row r="147" customFormat="false" ht="12" hidden="false" customHeight="false" outlineLevel="0" collapsed="false">
      <c r="A147" s="27"/>
      <c r="F147" s="2"/>
      <c r="H147" s="6" t="str">
        <f aca="false">IF(G147&lt;&gt;0,G147*H$2/(100+H$2)," ")</f>
        <v> </v>
      </c>
      <c r="I147" s="6" t="str">
        <f aca="false">IF((G147&lt;&gt;0),G147-H147," ")</f>
        <v> </v>
      </c>
      <c r="M147" s="7" t="str">
        <f aca="false">IF(G147&lt;&gt;0,G147-L147," ")</f>
        <v> </v>
      </c>
      <c r="N147" s="8" t="str">
        <f aca="false">IF((G147-L147)&lt;&gt;0,N$1-A147," ")</f>
        <v> </v>
      </c>
    </row>
    <row r="148" customFormat="false" ht="12" hidden="false" customHeight="false" outlineLevel="0" collapsed="false">
      <c r="A148" s="27"/>
      <c r="F148" s="2"/>
      <c r="H148" s="6" t="str">
        <f aca="false">IF(G148&lt;&gt;0,G148*H$2/(100+H$2)," ")</f>
        <v> </v>
      </c>
      <c r="I148" s="6" t="str">
        <f aca="false">IF((G148&lt;&gt;0),G148-H148," ")</f>
        <v> </v>
      </c>
      <c r="M148" s="7" t="str">
        <f aca="false">IF(G148&lt;&gt;0,G148-L148," ")</f>
        <v> </v>
      </c>
      <c r="N148" s="8" t="str">
        <f aca="false">IF((G148-L148)&lt;&gt;0,N$1-A148," ")</f>
        <v> </v>
      </c>
    </row>
    <row r="149" customFormat="false" ht="12" hidden="false" customHeight="false" outlineLevel="0" collapsed="false">
      <c r="A149" s="27"/>
      <c r="F149" s="2"/>
      <c r="H149" s="6" t="str">
        <f aca="false">IF(G149&lt;&gt;0,G149*H$2/(100+H$2)," ")</f>
        <v> </v>
      </c>
      <c r="I149" s="6" t="str">
        <f aca="false">IF((G149&lt;&gt;0),G149-H149," ")</f>
        <v> </v>
      </c>
      <c r="M149" s="7" t="str">
        <f aca="false">IF(G149&lt;&gt;0,G149-L149," ")</f>
        <v> </v>
      </c>
      <c r="N149" s="8" t="str">
        <f aca="false">IF((G149-L149)&lt;&gt;0,N$1-A149," ")</f>
        <v> </v>
      </c>
    </row>
    <row r="150" customFormat="false" ht="12" hidden="false" customHeight="false" outlineLevel="0" collapsed="false">
      <c r="A150" s="27"/>
      <c r="F150" s="2"/>
      <c r="H150" s="6" t="str">
        <f aca="false">IF(G150&lt;&gt;0,G150*H$2/(100+H$2)," ")</f>
        <v> </v>
      </c>
      <c r="I150" s="6" t="str">
        <f aca="false">IF((G150&lt;&gt;0),G150-H150," ")</f>
        <v> </v>
      </c>
      <c r="M150" s="7" t="str">
        <f aca="false">IF(G150&lt;&gt;0,G150-L150," ")</f>
        <v> </v>
      </c>
      <c r="N150" s="8" t="str">
        <f aca="false">IF((G150-L150)&lt;&gt;0,N$1-A150," ")</f>
        <v> </v>
      </c>
    </row>
    <row r="151" customFormat="false" ht="12" hidden="false" customHeight="false" outlineLevel="0" collapsed="false">
      <c r="A151" s="27"/>
      <c r="F151" s="2"/>
      <c r="H151" s="6" t="str">
        <f aca="false">IF(G151&lt;&gt;0,G151*H$2/(100+H$2)," ")</f>
        <v> </v>
      </c>
      <c r="I151" s="6" t="str">
        <f aca="false">IF((G151&lt;&gt;0),G151-H151," ")</f>
        <v> </v>
      </c>
      <c r="M151" s="7" t="str">
        <f aca="false">IF(G151&lt;&gt;0,G151-L151," ")</f>
        <v> </v>
      </c>
      <c r="N151" s="8" t="str">
        <f aca="false">IF((G151-L151)&lt;&gt;0,N$1-A151," ")</f>
        <v> </v>
      </c>
    </row>
    <row r="152" customFormat="false" ht="12" hidden="false" customHeight="false" outlineLevel="0" collapsed="false">
      <c r="A152" s="27"/>
      <c r="F152" s="2"/>
      <c r="H152" s="6" t="str">
        <f aca="false">IF(G152&lt;&gt;0,G152*H$2/(100+H$2)," ")</f>
        <v> </v>
      </c>
      <c r="I152" s="6" t="str">
        <f aca="false">IF((G152&lt;&gt;0),G152-H152," ")</f>
        <v> </v>
      </c>
      <c r="M152" s="7" t="str">
        <f aca="false">IF(G152&lt;&gt;0,G152-L152," ")</f>
        <v> </v>
      </c>
      <c r="N152" s="8" t="str">
        <f aca="false">IF((G152-L152)&lt;&gt;0,N$1-A152," ")</f>
        <v> </v>
      </c>
    </row>
    <row r="153" customFormat="false" ht="12" hidden="false" customHeight="false" outlineLevel="0" collapsed="false">
      <c r="A153" s="27"/>
      <c r="F153" s="2"/>
      <c r="H153" s="6" t="str">
        <f aca="false">IF(G153&lt;&gt;0,G153*H$2/(100+H$2)," ")</f>
        <v> </v>
      </c>
      <c r="I153" s="6" t="str">
        <f aca="false">IF((G153&lt;&gt;0),G153-H153," ")</f>
        <v> </v>
      </c>
      <c r="M153" s="7" t="str">
        <f aca="false">IF(G153&lt;&gt;0,G153-L153," ")</f>
        <v> </v>
      </c>
      <c r="N153" s="8" t="str">
        <f aca="false">IF((G153-L153)&lt;&gt;0,N$1-A153," ")</f>
        <v> </v>
      </c>
    </row>
    <row r="154" customFormat="false" ht="12" hidden="false" customHeight="false" outlineLevel="0" collapsed="false">
      <c r="A154" s="27"/>
      <c r="F154" s="2"/>
      <c r="H154" s="6" t="str">
        <f aca="false">IF(G154&lt;&gt;0,G154*H$2/(100+H$2)," ")</f>
        <v> </v>
      </c>
      <c r="I154" s="6" t="str">
        <f aca="false">IF((G154&lt;&gt;0),G154-H154," ")</f>
        <v> </v>
      </c>
      <c r="M154" s="7" t="str">
        <f aca="false">IF(G154&lt;&gt;0,G154-L154," ")</f>
        <v> </v>
      </c>
      <c r="N154" s="8" t="str">
        <f aca="false">IF((G154-L154)&lt;&gt;0,N$1-A154," ")</f>
        <v> </v>
      </c>
    </row>
    <row r="155" customFormat="false" ht="12" hidden="false" customHeight="false" outlineLevel="0" collapsed="false">
      <c r="A155" s="27"/>
      <c r="F155" s="2"/>
      <c r="H155" s="6" t="str">
        <f aca="false">IF(G155&lt;&gt;0,G155*H$2/(100+H$2)," ")</f>
        <v> </v>
      </c>
      <c r="I155" s="6" t="str">
        <f aca="false">IF((G155&lt;&gt;0),G155-H155," ")</f>
        <v> </v>
      </c>
      <c r="M155" s="7" t="str">
        <f aca="false">IF(G155&lt;&gt;0,G155-L155," ")</f>
        <v> </v>
      </c>
      <c r="N155" s="8" t="str">
        <f aca="false">IF((G155-L155)&lt;&gt;0,N$1-A155," ")</f>
        <v> </v>
      </c>
    </row>
    <row r="156" customFormat="false" ht="12" hidden="false" customHeight="false" outlineLevel="0" collapsed="false">
      <c r="A156" s="27"/>
      <c r="F156" s="2"/>
      <c r="H156" s="6" t="str">
        <f aca="false">IF(G156&lt;&gt;0,G156*H$2/(100+H$2)," ")</f>
        <v> </v>
      </c>
      <c r="I156" s="6" t="str">
        <f aca="false">IF((G156&lt;&gt;0),G156-H156," ")</f>
        <v> </v>
      </c>
      <c r="M156" s="7" t="str">
        <f aca="false">IF(G156&lt;&gt;0,G156-L156," ")</f>
        <v> </v>
      </c>
      <c r="N156" s="8" t="str">
        <f aca="false">IF((G156-L156)&lt;&gt;0,N$1-A156," ")</f>
        <v> </v>
      </c>
    </row>
    <row r="157" customFormat="false" ht="12" hidden="false" customHeight="false" outlineLevel="0" collapsed="false">
      <c r="A157" s="27"/>
      <c r="F157" s="2"/>
      <c r="H157" s="6" t="str">
        <f aca="false">IF(G157&lt;&gt;0,G157*H$2/(100+H$2)," ")</f>
        <v> </v>
      </c>
      <c r="I157" s="6" t="str">
        <f aca="false">IF((G157&lt;&gt;0),G157-H157," ")</f>
        <v> </v>
      </c>
      <c r="M157" s="7" t="str">
        <f aca="false">IF(G157&lt;&gt;0,G157-L157," ")</f>
        <v> </v>
      </c>
      <c r="N157" s="8" t="str">
        <f aca="false">IF((G157-L157)&lt;&gt;0,N$1-A157," ")</f>
        <v> </v>
      </c>
    </row>
    <row r="158" customFormat="false" ht="12" hidden="false" customHeight="false" outlineLevel="0" collapsed="false">
      <c r="A158" s="27"/>
      <c r="F158" s="2"/>
      <c r="H158" s="6" t="str">
        <f aca="false">IF(G158&lt;&gt;0,G158*H$2/(100+H$2)," ")</f>
        <v> </v>
      </c>
      <c r="I158" s="6" t="str">
        <f aca="false">IF((G158&lt;&gt;0),G158-H158," ")</f>
        <v> </v>
      </c>
      <c r="M158" s="7" t="str">
        <f aca="false">IF(G158&lt;&gt;0,G158-L158," ")</f>
        <v> </v>
      </c>
      <c r="N158" s="8" t="str">
        <f aca="false">IF((G158-L158)&lt;&gt;0,N$1-A158," ")</f>
        <v> </v>
      </c>
    </row>
    <row r="159" customFormat="false" ht="12" hidden="false" customHeight="false" outlineLevel="0" collapsed="false">
      <c r="A159" s="27"/>
      <c r="F159" s="2"/>
      <c r="H159" s="6" t="str">
        <f aca="false">IF(G159&lt;&gt;0,G159*H$2/(100+H$2)," ")</f>
        <v> </v>
      </c>
      <c r="I159" s="6" t="str">
        <f aca="false">IF((G159&lt;&gt;0),G159-H159," ")</f>
        <v> </v>
      </c>
      <c r="M159" s="7" t="str">
        <f aca="false">IF(G159&lt;&gt;0,G159-L159," ")</f>
        <v> </v>
      </c>
      <c r="N159" s="8" t="str">
        <f aca="false">IF((G159-L159)&lt;&gt;0,N$1-A159," ")</f>
        <v> </v>
      </c>
    </row>
    <row r="160" customFormat="false" ht="12" hidden="false" customHeight="false" outlineLevel="0" collapsed="false">
      <c r="A160" s="27"/>
      <c r="F160" s="2"/>
      <c r="H160" s="6" t="str">
        <f aca="false">IF(G160&lt;&gt;0,G160*H$2/(100+H$2)," ")</f>
        <v> </v>
      </c>
      <c r="I160" s="6" t="str">
        <f aca="false">IF((G160&lt;&gt;0),G160-H160," ")</f>
        <v> </v>
      </c>
      <c r="M160" s="7" t="str">
        <f aca="false">IF(G160&lt;&gt;0,G160-L160," ")</f>
        <v> </v>
      </c>
      <c r="N160" s="8" t="str">
        <f aca="false">IF((G160-L160)&lt;&gt;0,N$1-A160," ")</f>
        <v> </v>
      </c>
    </row>
    <row r="161" customFormat="false" ht="12" hidden="false" customHeight="false" outlineLevel="0" collapsed="false">
      <c r="A161" s="27"/>
      <c r="F161" s="2"/>
      <c r="H161" s="6" t="str">
        <f aca="false">IF(G161&lt;&gt;0,G161*H$2/(100+H$2)," ")</f>
        <v> </v>
      </c>
      <c r="I161" s="6" t="str">
        <f aca="false">IF((G161&lt;&gt;0),G161-H161," ")</f>
        <v> </v>
      </c>
      <c r="M161" s="7" t="str">
        <f aca="false">IF(G161&lt;&gt;0,G161-L161," ")</f>
        <v> </v>
      </c>
      <c r="N161" s="8" t="str">
        <f aca="false">IF((G161-L161)&lt;&gt;0,N$1-A161," ")</f>
        <v> </v>
      </c>
    </row>
    <row r="162" customFormat="false" ht="12" hidden="false" customHeight="false" outlineLevel="0" collapsed="false">
      <c r="A162" s="27"/>
      <c r="F162" s="2"/>
      <c r="H162" s="6" t="str">
        <f aca="false">IF(G162&lt;&gt;0,G162*H$2/(100+H$2)," ")</f>
        <v> </v>
      </c>
      <c r="I162" s="6" t="str">
        <f aca="false">IF((G162&lt;&gt;0),G162-H162," ")</f>
        <v> </v>
      </c>
      <c r="M162" s="7" t="str">
        <f aca="false">IF(G162&lt;&gt;0,G162-L162," ")</f>
        <v> </v>
      </c>
      <c r="N162" s="8" t="str">
        <f aca="false">IF((G162-L162)&lt;&gt;0,N$1-A162," ")</f>
        <v> </v>
      </c>
    </row>
    <row r="163" customFormat="false" ht="12" hidden="false" customHeight="false" outlineLevel="0" collapsed="false">
      <c r="A163" s="27"/>
      <c r="F163" s="2"/>
      <c r="H163" s="6" t="str">
        <f aca="false">IF(G163&lt;&gt;0,G163*H$2/(100+H$2)," ")</f>
        <v> </v>
      </c>
      <c r="I163" s="6" t="str">
        <f aca="false">IF((G163&lt;&gt;0),G163-H163," ")</f>
        <v> </v>
      </c>
      <c r="M163" s="7" t="str">
        <f aca="false">IF(G163&lt;&gt;0,G163-L163," ")</f>
        <v> </v>
      </c>
      <c r="N163" s="8" t="str">
        <f aca="false">IF((G163-L163)&lt;&gt;0,N$1-A163," ")</f>
        <v> </v>
      </c>
    </row>
    <row r="164" customFormat="false" ht="12" hidden="false" customHeight="false" outlineLevel="0" collapsed="false">
      <c r="A164" s="27"/>
      <c r="F164" s="2"/>
      <c r="H164" s="6" t="str">
        <f aca="false">IF(G164&lt;&gt;0,G164*H$2/(100+H$2)," ")</f>
        <v> </v>
      </c>
      <c r="I164" s="6" t="str">
        <f aca="false">IF((G164&lt;&gt;0),G164-H164," ")</f>
        <v> </v>
      </c>
      <c r="M164" s="7" t="str">
        <f aca="false">IF(G164&lt;&gt;0,G164-L164," ")</f>
        <v> </v>
      </c>
      <c r="N164" s="8" t="str">
        <f aca="false">IF((G164-L164)&lt;&gt;0,N$1-A164," ")</f>
        <v> </v>
      </c>
    </row>
    <row r="165" customFormat="false" ht="12" hidden="false" customHeight="false" outlineLevel="0" collapsed="false">
      <c r="A165" s="27"/>
      <c r="F165" s="2"/>
      <c r="H165" s="6" t="str">
        <f aca="false">IF(G165&lt;&gt;0,G165*H$2/(100+H$2)," ")</f>
        <v> </v>
      </c>
      <c r="I165" s="6" t="str">
        <f aca="false">IF((G165&lt;&gt;0),G165-H165," ")</f>
        <v> </v>
      </c>
      <c r="M165" s="7" t="str">
        <f aca="false">IF(G165&lt;&gt;0,G165-L165," ")</f>
        <v> </v>
      </c>
      <c r="N165" s="8" t="str">
        <f aca="false">IF((G165-L165)&lt;&gt;0,N$1-A165," ")</f>
        <v> </v>
      </c>
    </row>
    <row r="166" customFormat="false" ht="12" hidden="false" customHeight="false" outlineLevel="0" collapsed="false">
      <c r="A166" s="27"/>
      <c r="F166" s="2"/>
      <c r="H166" s="6" t="str">
        <f aca="false">IF(G166&lt;&gt;0,G166*H$2/(100+H$2)," ")</f>
        <v> </v>
      </c>
      <c r="I166" s="6" t="str">
        <f aca="false">IF((G166&lt;&gt;0),G166-H166," ")</f>
        <v> </v>
      </c>
      <c r="M166" s="7" t="str">
        <f aca="false">IF(G166&lt;&gt;0,G166-L166," ")</f>
        <v> </v>
      </c>
      <c r="N166" s="8" t="str">
        <f aca="false">IF((G166-L166)&lt;&gt;0,N$1-A166," ")</f>
        <v> </v>
      </c>
    </row>
    <row r="167" customFormat="false" ht="12" hidden="false" customHeight="false" outlineLevel="0" collapsed="false">
      <c r="A167" s="27"/>
      <c r="F167" s="2"/>
      <c r="H167" s="6" t="str">
        <f aca="false">IF(G167&lt;&gt;0,G167*H$2/(100+H$2)," ")</f>
        <v> </v>
      </c>
      <c r="I167" s="6" t="str">
        <f aca="false">IF((G167&lt;&gt;0),G167-H167," ")</f>
        <v> </v>
      </c>
      <c r="M167" s="7" t="str">
        <f aca="false">IF(G167&lt;&gt;0,G167-L167," ")</f>
        <v> </v>
      </c>
      <c r="N167" s="8" t="str">
        <f aca="false">IF((G167-L167)&lt;&gt;0,N$1-A167," ")</f>
        <v> </v>
      </c>
    </row>
    <row r="168" customFormat="false" ht="12" hidden="false" customHeight="false" outlineLevel="0" collapsed="false">
      <c r="A168" s="27"/>
      <c r="F168" s="2"/>
      <c r="H168" s="6" t="str">
        <f aca="false">IF(G168&lt;&gt;0,G168*H$2/(100+H$2)," ")</f>
        <v> </v>
      </c>
      <c r="I168" s="6" t="str">
        <f aca="false">IF((G168&lt;&gt;0),G168-H168," ")</f>
        <v> </v>
      </c>
      <c r="M168" s="7" t="str">
        <f aca="false">IF(G168&lt;&gt;0,G168-L168," ")</f>
        <v> </v>
      </c>
      <c r="N168" s="8" t="str">
        <f aca="false">IF((G168-L168)&lt;&gt;0,N$1-A168," ")</f>
        <v> </v>
      </c>
    </row>
    <row r="169" customFormat="false" ht="12" hidden="false" customHeight="false" outlineLevel="0" collapsed="false">
      <c r="A169" s="27"/>
      <c r="F169" s="2"/>
      <c r="H169" s="6" t="str">
        <f aca="false">IF(G169&lt;&gt;0,G169*H$2/(100+H$2)," ")</f>
        <v> </v>
      </c>
      <c r="I169" s="6" t="str">
        <f aca="false">IF((G169&lt;&gt;0),G169-H169," ")</f>
        <v> </v>
      </c>
      <c r="M169" s="7" t="str">
        <f aca="false">IF(G169&lt;&gt;0,G169-L169," ")</f>
        <v> </v>
      </c>
      <c r="N169" s="8" t="str">
        <f aca="false">IF((G169-L169)&lt;&gt;0,N$1-A169," ")</f>
        <v> </v>
      </c>
    </row>
    <row r="170" customFormat="false" ht="12" hidden="false" customHeight="false" outlineLevel="0" collapsed="false">
      <c r="A170" s="27"/>
      <c r="F170" s="2"/>
      <c r="H170" s="6" t="str">
        <f aca="false">IF(G170&lt;&gt;0,G170*H$2/(100+H$2)," ")</f>
        <v> </v>
      </c>
      <c r="I170" s="6" t="str">
        <f aca="false">IF((G170&lt;&gt;0),G170-H170," ")</f>
        <v> </v>
      </c>
      <c r="M170" s="7" t="str">
        <f aca="false">IF(G170&lt;&gt;0,G170-L170," ")</f>
        <v> </v>
      </c>
      <c r="N170" s="8" t="str">
        <f aca="false">IF((G170-L170)&lt;&gt;0,N$1-A170," ")</f>
        <v> </v>
      </c>
    </row>
    <row r="171" customFormat="false" ht="12" hidden="false" customHeight="false" outlineLevel="0" collapsed="false">
      <c r="A171" s="27"/>
      <c r="F171" s="2"/>
      <c r="H171" s="6" t="str">
        <f aca="false">IF(G171&lt;&gt;0,G171*H$2/(100+H$2)," ")</f>
        <v> </v>
      </c>
      <c r="I171" s="6" t="str">
        <f aca="false">IF((G171&lt;&gt;0),G171-H171," ")</f>
        <v> </v>
      </c>
      <c r="M171" s="7" t="str">
        <f aca="false">IF(G171&lt;&gt;0,G171-L171," ")</f>
        <v> </v>
      </c>
      <c r="N171" s="8" t="str">
        <f aca="false">IF((G171-L171)&lt;&gt;0,N$1-A171," ")</f>
        <v> </v>
      </c>
    </row>
    <row r="172" customFormat="false" ht="12" hidden="false" customHeight="false" outlineLevel="0" collapsed="false">
      <c r="A172" s="27"/>
      <c r="F172" s="2"/>
      <c r="H172" s="6" t="str">
        <f aca="false">IF(G172&lt;&gt;0,G172*H$2/(100+H$2)," ")</f>
        <v> </v>
      </c>
      <c r="I172" s="6" t="str">
        <f aca="false">IF((G172&lt;&gt;0),G172-H172," ")</f>
        <v> </v>
      </c>
      <c r="M172" s="7" t="str">
        <f aca="false">IF(G172&lt;&gt;0,G172-L172," ")</f>
        <v> </v>
      </c>
      <c r="N172" s="8" t="str">
        <f aca="false">IF((G172-L172)&lt;&gt;0,N$1-A172," ")</f>
        <v> </v>
      </c>
    </row>
    <row r="173" customFormat="false" ht="12" hidden="false" customHeight="false" outlineLevel="0" collapsed="false">
      <c r="A173" s="27"/>
      <c r="F173" s="2"/>
      <c r="H173" s="6" t="str">
        <f aca="false">IF(G173&lt;&gt;0,G173*H$2/(100+H$2)," ")</f>
        <v> </v>
      </c>
      <c r="I173" s="6" t="str">
        <f aca="false">IF((G173&lt;&gt;0),G173-H173," ")</f>
        <v> </v>
      </c>
      <c r="M173" s="7" t="str">
        <f aca="false">IF(G173&lt;&gt;0,G173-L173," ")</f>
        <v> </v>
      </c>
      <c r="N173" s="8" t="str">
        <f aca="false">IF((G173-L173)&lt;&gt;0,N$1-A173," ")</f>
        <v> </v>
      </c>
    </row>
    <row r="174" customFormat="false" ht="12" hidden="false" customHeight="false" outlineLevel="0" collapsed="false">
      <c r="A174" s="27"/>
      <c r="F174" s="2"/>
      <c r="H174" s="6" t="str">
        <f aca="false">IF(G174&lt;&gt;0,G174*H$2/(100+H$2)," ")</f>
        <v> </v>
      </c>
      <c r="I174" s="6" t="str">
        <f aca="false">IF((G174&lt;&gt;0),G174-H174," ")</f>
        <v> </v>
      </c>
      <c r="M174" s="7" t="str">
        <f aca="false">IF(G174&lt;&gt;0,G174-L174," ")</f>
        <v> </v>
      </c>
      <c r="N174" s="8" t="str">
        <f aca="false">IF((G174-L174)&lt;&gt;0,N$1-A174," ")</f>
        <v> </v>
      </c>
    </row>
    <row r="175" customFormat="false" ht="12" hidden="false" customHeight="false" outlineLevel="0" collapsed="false">
      <c r="A175" s="27"/>
      <c r="F175" s="2"/>
      <c r="H175" s="6" t="str">
        <f aca="false">IF(G175&lt;&gt;0,G175*H$2/(100+H$2)," ")</f>
        <v> </v>
      </c>
      <c r="I175" s="6" t="str">
        <f aca="false">IF((G175&lt;&gt;0),G175-H175," ")</f>
        <v> </v>
      </c>
      <c r="M175" s="7" t="str">
        <f aca="false">IF(G175&lt;&gt;0,G175-L175," ")</f>
        <v> </v>
      </c>
      <c r="N175" s="8" t="str">
        <f aca="false">IF((G175-L175)&lt;&gt;0,N$1-A175," ")</f>
        <v> </v>
      </c>
    </row>
    <row r="176" customFormat="false" ht="12" hidden="false" customHeight="false" outlineLevel="0" collapsed="false">
      <c r="A176" s="27"/>
      <c r="F176" s="2"/>
      <c r="H176" s="6" t="str">
        <f aca="false">IF(G176&lt;&gt;0,G176*H$2/(100+H$2)," ")</f>
        <v> </v>
      </c>
      <c r="I176" s="6" t="str">
        <f aca="false">IF((G176&lt;&gt;0),G176-H176," ")</f>
        <v> </v>
      </c>
      <c r="M176" s="7" t="str">
        <f aca="false">IF(G176&lt;&gt;0,G176-L176," ")</f>
        <v> </v>
      </c>
      <c r="N176" s="8" t="str">
        <f aca="false">IF((G176-L176)&lt;&gt;0,N$1-A176," ")</f>
        <v> </v>
      </c>
    </row>
    <row r="177" customFormat="false" ht="12" hidden="false" customHeight="false" outlineLevel="0" collapsed="false">
      <c r="A177" s="27"/>
      <c r="F177" s="2"/>
      <c r="H177" s="6" t="str">
        <f aca="false">IF(G177&lt;&gt;0,G177*H$2/(100+H$2)," ")</f>
        <v> </v>
      </c>
      <c r="I177" s="6" t="str">
        <f aca="false">IF((G177&lt;&gt;0),G177-H177," ")</f>
        <v> </v>
      </c>
      <c r="M177" s="7" t="str">
        <f aca="false">IF(G177&lt;&gt;0,G177-L177," ")</f>
        <v> </v>
      </c>
      <c r="N177" s="8" t="str">
        <f aca="false">IF((G177-L177)&lt;&gt;0,N$1-A177," ")</f>
        <v> </v>
      </c>
    </row>
    <row r="178" customFormat="false" ht="12" hidden="false" customHeight="false" outlineLevel="0" collapsed="false">
      <c r="A178" s="27"/>
      <c r="F178" s="2"/>
      <c r="H178" s="6" t="str">
        <f aca="false">IF(G178&lt;&gt;0,G178*H$2/(100+H$2)," ")</f>
        <v> </v>
      </c>
      <c r="I178" s="6" t="str">
        <f aca="false">IF((G178&lt;&gt;0),G178-H178," ")</f>
        <v> </v>
      </c>
      <c r="M178" s="7" t="str">
        <f aca="false">IF(G178&lt;&gt;0,G178-L178," ")</f>
        <v> </v>
      </c>
      <c r="N178" s="8" t="str">
        <f aca="false">IF((G178-L178)&lt;&gt;0,N$1-A178," ")</f>
        <v> </v>
      </c>
    </row>
    <row r="179" customFormat="false" ht="12" hidden="false" customHeight="false" outlineLevel="0" collapsed="false">
      <c r="A179" s="27"/>
      <c r="F179" s="2"/>
      <c r="H179" s="6" t="str">
        <f aca="false">IF(G179&lt;&gt;0,G179*H$2/(100+H$2)," ")</f>
        <v> </v>
      </c>
      <c r="I179" s="6" t="str">
        <f aca="false">IF((G179&lt;&gt;0),G179-H179," ")</f>
        <v> </v>
      </c>
      <c r="M179" s="7" t="str">
        <f aca="false">IF(G179&lt;&gt;0,G179-L179," ")</f>
        <v> </v>
      </c>
      <c r="N179" s="8" t="str">
        <f aca="false">IF((G179-L179)&lt;&gt;0,N$1-A179," ")</f>
        <v> </v>
      </c>
    </row>
    <row r="180" customFormat="false" ht="12" hidden="false" customHeight="false" outlineLevel="0" collapsed="false">
      <c r="A180" s="27"/>
      <c r="F180" s="2"/>
      <c r="H180" s="6" t="str">
        <f aca="false">IF(G180&lt;&gt;0,G180*H$2/(100+H$2)," ")</f>
        <v> </v>
      </c>
      <c r="I180" s="6" t="str">
        <f aca="false">IF((G180&lt;&gt;0),G180-H180," ")</f>
        <v> </v>
      </c>
      <c r="M180" s="7" t="str">
        <f aca="false">IF(G180&lt;&gt;0,G180-L180," ")</f>
        <v> </v>
      </c>
      <c r="N180" s="8" t="str">
        <f aca="false">IF((G180-L180)&lt;&gt;0,N$1-A180," ")</f>
        <v> </v>
      </c>
    </row>
    <row r="181" customFormat="false" ht="12" hidden="false" customHeight="false" outlineLevel="0" collapsed="false">
      <c r="A181" s="27"/>
      <c r="F181" s="2"/>
      <c r="H181" s="6" t="str">
        <f aca="false">IF(G181&lt;&gt;0,G181*H$2/(100+H$2)," ")</f>
        <v> </v>
      </c>
      <c r="I181" s="6" t="str">
        <f aca="false">IF((G181&lt;&gt;0),G181-H181," ")</f>
        <v> </v>
      </c>
      <c r="M181" s="7" t="str">
        <f aca="false">IF(G181&lt;&gt;0,G181-L181," ")</f>
        <v> </v>
      </c>
      <c r="N181" s="8" t="str">
        <f aca="false">IF((G181-L181)&lt;&gt;0,N$1-A181," ")</f>
        <v> </v>
      </c>
    </row>
    <row r="182" customFormat="false" ht="12" hidden="false" customHeight="false" outlineLevel="0" collapsed="false">
      <c r="A182" s="27"/>
      <c r="F182" s="2"/>
      <c r="H182" s="6" t="str">
        <f aca="false">IF(G182&lt;&gt;0,G182*H$2/(100+H$2)," ")</f>
        <v> </v>
      </c>
      <c r="I182" s="6" t="str">
        <f aca="false">IF((G182&lt;&gt;0),G182-H182," ")</f>
        <v> </v>
      </c>
      <c r="M182" s="7" t="str">
        <f aca="false">IF(G182&lt;&gt;0,G182-L182," ")</f>
        <v> </v>
      </c>
      <c r="N182" s="8" t="str">
        <f aca="false">IF((G182-L182)&lt;&gt;0,N$1-A182," ")</f>
        <v> </v>
      </c>
    </row>
    <row r="183" customFormat="false" ht="12" hidden="false" customHeight="false" outlineLevel="0" collapsed="false">
      <c r="A183" s="27"/>
      <c r="F183" s="2"/>
      <c r="H183" s="6" t="str">
        <f aca="false">IF(G183&lt;&gt;0,G183*H$2/(100+H$2)," ")</f>
        <v> </v>
      </c>
      <c r="I183" s="6" t="str">
        <f aca="false">IF((G183&lt;&gt;0),G183-H183," ")</f>
        <v> </v>
      </c>
      <c r="M183" s="7" t="str">
        <f aca="false">IF(G183&lt;&gt;0,G183-L183," ")</f>
        <v> </v>
      </c>
      <c r="N183" s="8" t="str">
        <f aca="false">IF((G183-L183)&lt;&gt;0,N$1-A183," ")</f>
        <v> </v>
      </c>
    </row>
    <row r="184" customFormat="false" ht="12" hidden="false" customHeight="false" outlineLevel="0" collapsed="false">
      <c r="A184" s="27"/>
      <c r="F184" s="2"/>
      <c r="H184" s="6" t="str">
        <f aca="false">IF(G184&lt;&gt;0,G184*H$2/(100+H$2)," ")</f>
        <v> </v>
      </c>
      <c r="I184" s="6" t="str">
        <f aca="false">IF((G184&lt;&gt;0),G184-H184," ")</f>
        <v> </v>
      </c>
      <c r="M184" s="7" t="str">
        <f aca="false">IF(G184&lt;&gt;0,G184-L184," ")</f>
        <v> </v>
      </c>
      <c r="N184" s="8" t="str">
        <f aca="false">IF((G184-L184)&lt;&gt;0,N$1-A184," ")</f>
        <v> </v>
      </c>
    </row>
    <row r="185" customFormat="false" ht="12" hidden="false" customHeight="false" outlineLevel="0" collapsed="false">
      <c r="A185" s="27"/>
      <c r="F185" s="2"/>
      <c r="H185" s="6" t="str">
        <f aca="false">IF(G185&lt;&gt;0,G185*H$2/(100+H$2)," ")</f>
        <v> </v>
      </c>
      <c r="I185" s="6" t="str">
        <f aca="false">IF((G185&lt;&gt;0),G185-H185," ")</f>
        <v> </v>
      </c>
      <c r="M185" s="7" t="str">
        <f aca="false">IF(G185&lt;&gt;0,G185-L185," ")</f>
        <v> </v>
      </c>
      <c r="N185" s="8" t="str">
        <f aca="false">IF((G185-L185)&lt;&gt;0,N$1-A185," ")</f>
        <v> </v>
      </c>
    </row>
    <row r="186" customFormat="false" ht="12" hidden="false" customHeight="false" outlineLevel="0" collapsed="false">
      <c r="A186" s="27"/>
      <c r="F186" s="2"/>
      <c r="H186" s="6" t="str">
        <f aca="false">IF(G186&lt;&gt;0,G186*H$2/(100+H$2)," ")</f>
        <v> </v>
      </c>
      <c r="I186" s="6" t="str">
        <f aca="false">IF((G186&lt;&gt;0),G186-H186," ")</f>
        <v> </v>
      </c>
      <c r="M186" s="7" t="str">
        <f aca="false">IF(G186&lt;&gt;0,G186-L186," ")</f>
        <v> </v>
      </c>
      <c r="N186" s="8" t="str">
        <f aca="false">IF((G186-L186)&lt;&gt;0,N$1-A186," ")</f>
        <v> </v>
      </c>
    </row>
    <row r="187" customFormat="false" ht="12" hidden="false" customHeight="false" outlineLevel="0" collapsed="false">
      <c r="A187" s="27"/>
      <c r="F187" s="2"/>
      <c r="H187" s="6" t="str">
        <f aca="false">IF(G187&lt;&gt;0,G187*H$2/(100+H$2)," ")</f>
        <v> </v>
      </c>
      <c r="I187" s="6" t="str">
        <f aca="false">IF((G187&lt;&gt;0),G187-H187," ")</f>
        <v> </v>
      </c>
      <c r="M187" s="7" t="str">
        <f aca="false">IF(G187&lt;&gt;0,G187-L187," ")</f>
        <v> </v>
      </c>
      <c r="N187" s="8" t="str">
        <f aca="false">IF((G187-L187)&lt;&gt;0,N$1-A187," ")</f>
        <v> </v>
      </c>
    </row>
    <row r="188" customFormat="false" ht="12" hidden="false" customHeight="false" outlineLevel="0" collapsed="false">
      <c r="A188" s="27"/>
      <c r="F188" s="2"/>
      <c r="H188" s="6" t="str">
        <f aca="false">IF(G188&lt;&gt;0,G188*H$2/(100+H$2)," ")</f>
        <v> </v>
      </c>
      <c r="I188" s="6" t="str">
        <f aca="false">IF((G188&lt;&gt;0),G188-H188," ")</f>
        <v> </v>
      </c>
      <c r="M188" s="7" t="str">
        <f aca="false">IF(G188&lt;&gt;0,G188-L188," ")</f>
        <v> </v>
      </c>
      <c r="N188" s="8" t="str">
        <f aca="false">IF((G188-L188)&lt;&gt;0,N$1-A188," ")</f>
        <v> </v>
      </c>
    </row>
    <row r="189" customFormat="false" ht="12" hidden="false" customHeight="false" outlineLevel="0" collapsed="false">
      <c r="A189" s="27"/>
      <c r="F189" s="2"/>
      <c r="H189" s="6" t="str">
        <f aca="false">IF(G189&lt;&gt;0,G189*H$2/(100+H$2)," ")</f>
        <v> </v>
      </c>
      <c r="I189" s="6" t="str">
        <f aca="false">IF((G189&lt;&gt;0),G189-H189," ")</f>
        <v> </v>
      </c>
      <c r="M189" s="7" t="str">
        <f aca="false">IF(G189&lt;&gt;0,G189-L189," ")</f>
        <v> </v>
      </c>
      <c r="N189" s="8" t="str">
        <f aca="false">IF((G189-L189)&lt;&gt;0,N$1-A189," ")</f>
        <v> </v>
      </c>
    </row>
    <row r="190" customFormat="false" ht="12" hidden="false" customHeight="false" outlineLevel="0" collapsed="false">
      <c r="A190" s="27"/>
      <c r="F190" s="2"/>
      <c r="H190" s="6" t="str">
        <f aca="false">IF(G190&lt;&gt;0,G190*H$2/(100+H$2)," ")</f>
        <v> </v>
      </c>
      <c r="I190" s="6" t="str">
        <f aca="false">IF((G190&lt;&gt;0),G190-H190," ")</f>
        <v> </v>
      </c>
      <c r="M190" s="7" t="str">
        <f aca="false">IF(G190&lt;&gt;0,G190-L190," ")</f>
        <v> </v>
      </c>
      <c r="N190" s="8" t="str">
        <f aca="false">IF((G190-L190)&lt;&gt;0,N$1-A190," ")</f>
        <v> </v>
      </c>
    </row>
    <row r="191" customFormat="false" ht="12" hidden="false" customHeight="false" outlineLevel="0" collapsed="false">
      <c r="A191" s="27"/>
      <c r="F191" s="2"/>
      <c r="H191" s="6" t="str">
        <f aca="false">IF(G191&lt;&gt;0,G191*H$2/(100+H$2)," ")</f>
        <v> </v>
      </c>
      <c r="I191" s="6" t="str">
        <f aca="false">IF((G191&lt;&gt;0),G191-H191," ")</f>
        <v> </v>
      </c>
      <c r="M191" s="7" t="str">
        <f aca="false">IF(G191&lt;&gt;0,G191-L191," ")</f>
        <v> </v>
      </c>
      <c r="N191" s="8" t="str">
        <f aca="false">IF((G191-L191)&lt;&gt;0,N$1-A191," ")</f>
        <v> </v>
      </c>
    </row>
    <row r="192" customFormat="false" ht="12" hidden="false" customHeight="false" outlineLevel="0" collapsed="false">
      <c r="A192" s="27"/>
      <c r="F192" s="2"/>
      <c r="H192" s="6" t="str">
        <f aca="false">IF(G192&lt;&gt;0,G192*H$2/(100+H$2)," ")</f>
        <v> </v>
      </c>
      <c r="I192" s="6" t="str">
        <f aca="false">IF((G192&lt;&gt;0),G192-H192," ")</f>
        <v> </v>
      </c>
      <c r="M192" s="7" t="str">
        <f aca="false">IF(G192&lt;&gt;0,G192-L192," ")</f>
        <v> </v>
      </c>
      <c r="N192" s="8" t="str">
        <f aca="false">IF((G192-L192)&lt;&gt;0,N$1-A192," ")</f>
        <v> </v>
      </c>
    </row>
    <row r="193" customFormat="false" ht="12" hidden="false" customHeight="false" outlineLevel="0" collapsed="false">
      <c r="A193" s="27"/>
      <c r="F193" s="2"/>
      <c r="H193" s="6" t="str">
        <f aca="false">IF(G193&lt;&gt;0,G193*H$2/(100+H$2)," ")</f>
        <v> </v>
      </c>
      <c r="I193" s="6" t="str">
        <f aca="false">IF((G193&lt;&gt;0),G193-H193," ")</f>
        <v> </v>
      </c>
      <c r="M193" s="7" t="str">
        <f aca="false">IF(G193&lt;&gt;0,G193-L193," ")</f>
        <v> </v>
      </c>
      <c r="N193" s="8" t="str">
        <f aca="false">IF((G193-L193)&lt;&gt;0,N$1-A193," ")</f>
        <v> </v>
      </c>
    </row>
    <row r="194" customFormat="false" ht="12" hidden="false" customHeight="false" outlineLevel="0" collapsed="false">
      <c r="A194" s="27"/>
      <c r="F194" s="2"/>
      <c r="H194" s="6" t="str">
        <f aca="false">IF(G194&lt;&gt;0,G194*H$2/(100+H$2)," ")</f>
        <v> </v>
      </c>
      <c r="I194" s="6" t="str">
        <f aca="false">IF((G194&lt;&gt;0),G194-H194," ")</f>
        <v> </v>
      </c>
      <c r="M194" s="7" t="str">
        <f aca="false">IF(G194&lt;&gt;0,G194-L194," ")</f>
        <v> </v>
      </c>
      <c r="N194" s="8" t="str">
        <f aca="false">IF((G194-L194)&lt;&gt;0,N$1-A194," ")</f>
        <v> </v>
      </c>
    </row>
    <row r="195" customFormat="false" ht="12" hidden="false" customHeight="false" outlineLevel="0" collapsed="false">
      <c r="A195" s="27"/>
      <c r="F195" s="2"/>
      <c r="H195" s="6" t="str">
        <f aca="false">IF(G195&lt;&gt;0,G195*H$2/(100+H$2)," ")</f>
        <v> </v>
      </c>
      <c r="I195" s="6" t="str">
        <f aca="false">IF((G195&lt;&gt;0),G195-H195," ")</f>
        <v> </v>
      </c>
      <c r="M195" s="7" t="str">
        <f aca="false">IF(G195&lt;&gt;0,G195-L195," ")</f>
        <v> </v>
      </c>
      <c r="N195" s="8" t="str">
        <f aca="false">IF((G195-L195)&lt;&gt;0,N$1-A195," ")</f>
        <v> </v>
      </c>
    </row>
    <row r="196" customFormat="false" ht="12" hidden="false" customHeight="false" outlineLevel="0" collapsed="false">
      <c r="A196" s="27"/>
      <c r="F196" s="2"/>
      <c r="H196" s="6" t="str">
        <f aca="false">IF(G196&lt;&gt;0,G196*H$2/(100+H$2)," ")</f>
        <v> </v>
      </c>
      <c r="I196" s="6" t="str">
        <f aca="false">IF((G196&lt;&gt;0),G196-H196," ")</f>
        <v> </v>
      </c>
      <c r="M196" s="7" t="str">
        <f aca="false">IF(G196&lt;&gt;0,G196-L196," ")</f>
        <v> </v>
      </c>
      <c r="N196" s="8" t="str">
        <f aca="false">IF((G196-L196)&lt;&gt;0,N$1-A196," ")</f>
        <v> </v>
      </c>
    </row>
    <row r="197" customFormat="false" ht="12" hidden="false" customHeight="false" outlineLevel="0" collapsed="false">
      <c r="A197" s="27"/>
      <c r="F197" s="2"/>
      <c r="H197" s="6" t="str">
        <f aca="false">IF(G197&lt;&gt;0,G197*H$2/(100+H$2)," ")</f>
        <v> </v>
      </c>
      <c r="I197" s="6" t="str">
        <f aca="false">IF((G197&lt;&gt;0),G197-H197," ")</f>
        <v> </v>
      </c>
      <c r="M197" s="7" t="str">
        <f aca="false">IF(G197&lt;&gt;0,G197-L197," ")</f>
        <v> </v>
      </c>
      <c r="N197" s="8" t="str">
        <f aca="false">IF((G197-L197)&lt;&gt;0,N$1-A197," ")</f>
        <v> </v>
      </c>
    </row>
    <row r="198" customFormat="false" ht="12" hidden="false" customHeight="false" outlineLevel="0" collapsed="false">
      <c r="A198" s="27"/>
      <c r="F198" s="2"/>
      <c r="H198" s="6" t="str">
        <f aca="false">IF(G198&lt;&gt;0,G198*H$2/(100+H$2)," ")</f>
        <v> </v>
      </c>
      <c r="I198" s="6" t="str">
        <f aca="false">IF((G198&lt;&gt;0),G198-H198," ")</f>
        <v> </v>
      </c>
      <c r="M198" s="7" t="str">
        <f aca="false">IF(G198&lt;&gt;0,G198-L198," ")</f>
        <v> </v>
      </c>
      <c r="N198" s="8" t="str">
        <f aca="false">IF((G198-L198)&lt;&gt;0,N$1-A198," ")</f>
        <v> </v>
      </c>
    </row>
    <row r="199" customFormat="false" ht="12" hidden="false" customHeight="false" outlineLevel="0" collapsed="false">
      <c r="A199" s="27"/>
      <c r="F199" s="2"/>
      <c r="H199" s="6" t="str">
        <f aca="false">IF(G199&lt;&gt;0,G199*H$2/(100+H$2)," ")</f>
        <v> </v>
      </c>
      <c r="I199" s="6" t="str">
        <f aca="false">IF((G199&lt;&gt;0),G199-H199," ")</f>
        <v> </v>
      </c>
      <c r="M199" s="7" t="str">
        <f aca="false">IF(G199&lt;&gt;0,G199-L199," ")</f>
        <v> </v>
      </c>
      <c r="N199" s="8" t="str">
        <f aca="false">IF((G199-L199)&lt;&gt;0,N$1-A199," ")</f>
        <v> </v>
      </c>
    </row>
    <row r="200" customFormat="false" ht="12" hidden="false" customHeight="false" outlineLevel="0" collapsed="false">
      <c r="A200" s="27"/>
      <c r="F200" s="2"/>
      <c r="H200" s="6" t="str">
        <f aca="false">IF(G200&lt;&gt;0,G200*H$2/(100+H$2)," ")</f>
        <v> </v>
      </c>
      <c r="I200" s="6" t="str">
        <f aca="false">IF((G200&lt;&gt;0),G200-H200," ")</f>
        <v> </v>
      </c>
      <c r="M200" s="7" t="str">
        <f aca="false">IF(G200&lt;&gt;0,G200-L200," ")</f>
        <v> </v>
      </c>
      <c r="N200" s="8" t="str">
        <f aca="false">IF((G200-L200)&lt;&gt;0,N$1-A200," ")</f>
        <v> </v>
      </c>
    </row>
    <row r="201" customFormat="false" ht="12" hidden="false" customHeight="false" outlineLevel="0" collapsed="false">
      <c r="A201" s="27"/>
      <c r="F201" s="2"/>
      <c r="H201" s="6" t="str">
        <f aca="false">IF(G201&lt;&gt;0,G201*H$2/(100+H$2)," ")</f>
        <v> </v>
      </c>
      <c r="I201" s="6" t="str">
        <f aca="false">IF((G201&lt;&gt;0),G201-H201," ")</f>
        <v> </v>
      </c>
      <c r="M201" s="7" t="str">
        <f aca="false">IF(G201&lt;&gt;0,G201-L201," ")</f>
        <v> </v>
      </c>
      <c r="N201" s="8" t="str">
        <f aca="false">IF((G201-L201)&lt;&gt;0,N$1-A201," ")</f>
        <v> </v>
      </c>
    </row>
    <row r="202" customFormat="false" ht="12" hidden="false" customHeight="false" outlineLevel="0" collapsed="false">
      <c r="A202" s="27"/>
      <c r="F202" s="2"/>
      <c r="H202" s="6" t="str">
        <f aca="false">IF(G202&lt;&gt;0,G202*H$2/(100+H$2)," ")</f>
        <v> </v>
      </c>
      <c r="I202" s="6" t="str">
        <f aca="false">IF((G202&lt;&gt;0),G202-H202," ")</f>
        <v> </v>
      </c>
      <c r="M202" s="7" t="str">
        <f aca="false">IF(G202&lt;&gt;0,G202-L202," ")</f>
        <v> </v>
      </c>
      <c r="N202" s="8" t="str">
        <f aca="false">IF((G202-L202)&lt;&gt;0,N$1-A202," ")</f>
        <v> </v>
      </c>
    </row>
    <row r="203" customFormat="false" ht="12" hidden="false" customHeight="false" outlineLevel="0" collapsed="false">
      <c r="A203" s="27"/>
      <c r="F203" s="2"/>
      <c r="H203" s="6" t="str">
        <f aca="false">IF(G203&lt;&gt;0,G203*H$2/(100+H$2)," ")</f>
        <v> </v>
      </c>
      <c r="I203" s="6" t="str">
        <f aca="false">IF((G203&lt;&gt;0),G203-H203," ")</f>
        <v> </v>
      </c>
      <c r="M203" s="7" t="str">
        <f aca="false">IF(G203&lt;&gt;0,G203-L203," ")</f>
        <v> </v>
      </c>
      <c r="N203" s="8" t="str">
        <f aca="false">IF((G203-L203)&lt;&gt;0,N$1-A203," ")</f>
        <v> </v>
      </c>
    </row>
    <row r="204" customFormat="false" ht="12" hidden="false" customHeight="false" outlineLevel="0" collapsed="false">
      <c r="A204" s="27"/>
      <c r="F204" s="2"/>
      <c r="H204" s="6" t="str">
        <f aca="false">IF(G204&lt;&gt;0,G204*H$2/(100+H$2)," ")</f>
        <v> </v>
      </c>
      <c r="I204" s="6" t="str">
        <f aca="false">IF((G204&lt;&gt;0),G204-H204," ")</f>
        <v> </v>
      </c>
      <c r="M204" s="7" t="str">
        <f aca="false">IF(G204&lt;&gt;0,G204-L204," ")</f>
        <v> </v>
      </c>
      <c r="N204" s="8" t="str">
        <f aca="false">IF((G204-L204)&lt;&gt;0,N$1-A204," ")</f>
        <v> </v>
      </c>
    </row>
    <row r="205" customFormat="false" ht="12" hidden="false" customHeight="false" outlineLevel="0" collapsed="false">
      <c r="A205" s="27"/>
      <c r="F205" s="2"/>
      <c r="H205" s="6" t="str">
        <f aca="false">IF(G205&lt;&gt;0,G205*H$2/(100+H$2)," ")</f>
        <v> </v>
      </c>
      <c r="I205" s="6" t="str">
        <f aca="false">IF((G205&lt;&gt;0),G205-H205," ")</f>
        <v> </v>
      </c>
      <c r="M205" s="7" t="str">
        <f aca="false">IF(G205&lt;&gt;0,G205-L205," ")</f>
        <v> </v>
      </c>
      <c r="N205" s="8" t="str">
        <f aca="false">IF((G205-L205)&lt;&gt;0,N$1-A205," ")</f>
        <v> </v>
      </c>
    </row>
    <row r="206" customFormat="false" ht="12" hidden="false" customHeight="false" outlineLevel="0" collapsed="false">
      <c r="A206" s="27"/>
      <c r="F206" s="2"/>
      <c r="H206" s="6" t="str">
        <f aca="false">IF(G206&lt;&gt;0,G206*H$2/(100+H$2)," ")</f>
        <v> </v>
      </c>
      <c r="I206" s="6" t="str">
        <f aca="false">IF((G206&lt;&gt;0),G206-H206," ")</f>
        <v> </v>
      </c>
      <c r="M206" s="7" t="str">
        <f aca="false">IF(G206&lt;&gt;0,G206-L206," ")</f>
        <v> </v>
      </c>
      <c r="N206" s="8" t="str">
        <f aca="false">IF((G206-L206)&lt;&gt;0,N$1-A206," ")</f>
        <v> </v>
      </c>
    </row>
    <row r="207" customFormat="false" ht="12" hidden="false" customHeight="false" outlineLevel="0" collapsed="false">
      <c r="A207" s="27"/>
      <c r="F207" s="2"/>
      <c r="H207" s="6" t="str">
        <f aca="false">IF(G207&lt;&gt;0,G207*H$2/(100+H$2)," ")</f>
        <v> </v>
      </c>
      <c r="I207" s="6" t="str">
        <f aca="false">IF((G207&lt;&gt;0),G207-H207," ")</f>
        <v> </v>
      </c>
      <c r="M207" s="7" t="str">
        <f aca="false">IF(G207&lt;&gt;0,G207-L207," ")</f>
        <v> </v>
      </c>
      <c r="N207" s="8" t="str">
        <f aca="false">IF((G207-L207)&lt;&gt;0,N$1-A207," ")</f>
        <v> </v>
      </c>
    </row>
    <row r="208" customFormat="false" ht="12" hidden="false" customHeight="false" outlineLevel="0" collapsed="false">
      <c r="A208" s="27"/>
      <c r="F208" s="2"/>
      <c r="H208" s="6" t="str">
        <f aca="false">IF(G208&lt;&gt;0,G208*H$2/(100+H$2)," ")</f>
        <v> </v>
      </c>
      <c r="I208" s="6" t="str">
        <f aca="false">IF((G208&lt;&gt;0),G208-H208," ")</f>
        <v> </v>
      </c>
      <c r="M208" s="7" t="str">
        <f aca="false">IF(G208&lt;&gt;0,G208-L208," ")</f>
        <v> </v>
      </c>
      <c r="N208" s="8" t="str">
        <f aca="false">IF((G208-L208)&lt;&gt;0,N$1-A208," ")</f>
        <v> </v>
      </c>
    </row>
    <row r="209" customFormat="false" ht="12" hidden="false" customHeight="false" outlineLevel="0" collapsed="false">
      <c r="A209" s="27"/>
      <c r="F209" s="2"/>
      <c r="H209" s="6" t="str">
        <f aca="false">IF(G209&lt;&gt;0,G209*H$2/(100+H$2)," ")</f>
        <v> </v>
      </c>
      <c r="I209" s="6" t="str">
        <f aca="false">IF((G209&lt;&gt;0),G209-H209," ")</f>
        <v> </v>
      </c>
      <c r="M209" s="7" t="str">
        <f aca="false">IF(G209&lt;&gt;0,G209-L209," ")</f>
        <v> </v>
      </c>
      <c r="N209" s="8" t="str">
        <f aca="false">IF((G209-L209)&lt;&gt;0,N$1-A209," ")</f>
        <v> </v>
      </c>
    </row>
    <row r="210" customFormat="false" ht="12" hidden="false" customHeight="false" outlineLevel="0" collapsed="false">
      <c r="A210" s="27"/>
      <c r="F210" s="2"/>
      <c r="H210" s="6" t="str">
        <f aca="false">IF(G210&lt;&gt;0,G210*H$2/(100+H$2)," ")</f>
        <v> </v>
      </c>
      <c r="I210" s="6" t="str">
        <f aca="false">IF((G210&lt;&gt;0),G210-H210," ")</f>
        <v> </v>
      </c>
      <c r="M210" s="7" t="str">
        <f aca="false">IF(G210&lt;&gt;0,G210-L210," ")</f>
        <v> </v>
      </c>
      <c r="N210" s="8" t="str">
        <f aca="false">IF((G210-L210)&lt;&gt;0,N$1-A210," ")</f>
        <v> </v>
      </c>
    </row>
    <row r="211" customFormat="false" ht="12" hidden="false" customHeight="false" outlineLevel="0" collapsed="false">
      <c r="A211" s="27"/>
      <c r="F211" s="2"/>
      <c r="H211" s="6" t="str">
        <f aca="false">IF(G211&lt;&gt;0,G211*H$2/(100+H$2)," ")</f>
        <v> </v>
      </c>
      <c r="I211" s="6" t="str">
        <f aca="false">IF((G211&lt;&gt;0),G211-H211," ")</f>
        <v> </v>
      </c>
      <c r="M211" s="7" t="str">
        <f aca="false">IF(G211&lt;&gt;0,G211-L211," ")</f>
        <v> </v>
      </c>
      <c r="N211" s="8" t="str">
        <f aca="false">IF((G211-L211)&lt;&gt;0,N$1-A211," ")</f>
        <v> </v>
      </c>
    </row>
    <row r="212" customFormat="false" ht="12" hidden="false" customHeight="false" outlineLevel="0" collapsed="false">
      <c r="A212" s="27"/>
      <c r="F212" s="2"/>
      <c r="H212" s="6" t="str">
        <f aca="false">IF(G212&lt;&gt;0,G212*H$2/(100+H$2)," ")</f>
        <v> </v>
      </c>
      <c r="I212" s="6" t="str">
        <f aca="false">IF((G212&lt;&gt;0),G212-H212," ")</f>
        <v> </v>
      </c>
      <c r="M212" s="7" t="str">
        <f aca="false">IF(G212&lt;&gt;0,G212-L212," ")</f>
        <v> </v>
      </c>
      <c r="N212" s="8" t="str">
        <f aca="false">IF((G212-L212)&lt;&gt;0,N$1-A212," ")</f>
        <v> </v>
      </c>
    </row>
    <row r="213" customFormat="false" ht="12" hidden="false" customHeight="false" outlineLevel="0" collapsed="false">
      <c r="A213" s="27"/>
      <c r="F213" s="2"/>
      <c r="H213" s="6" t="str">
        <f aca="false">IF(G213&lt;&gt;0,G213*H$2/(100+H$2)," ")</f>
        <v> </v>
      </c>
      <c r="I213" s="6" t="str">
        <f aca="false">IF((G213&lt;&gt;0),G213-H213," ")</f>
        <v> </v>
      </c>
      <c r="M213" s="7" t="str">
        <f aca="false">IF(G213&lt;&gt;0,G213-L213," ")</f>
        <v> </v>
      </c>
      <c r="N213" s="8" t="str">
        <f aca="false">IF((G213-L213)&lt;&gt;0,N$1-A213," ")</f>
        <v> </v>
      </c>
    </row>
    <row r="214" customFormat="false" ht="12" hidden="false" customHeight="false" outlineLevel="0" collapsed="false">
      <c r="A214" s="27"/>
      <c r="F214" s="2"/>
      <c r="H214" s="6" t="str">
        <f aca="false">IF(G214&lt;&gt;0,G214*H$2/(100+H$2)," ")</f>
        <v> </v>
      </c>
      <c r="I214" s="6" t="str">
        <f aca="false">IF((G214&lt;&gt;0),G214-H214," ")</f>
        <v> </v>
      </c>
      <c r="M214" s="7" t="str">
        <f aca="false">IF(G214&lt;&gt;0,G214-L214," ")</f>
        <v> </v>
      </c>
      <c r="N214" s="8" t="str">
        <f aca="false">IF((G214-L214)&lt;&gt;0,N$1-A214," ")</f>
        <v> </v>
      </c>
    </row>
    <row r="215" customFormat="false" ht="12" hidden="false" customHeight="false" outlineLevel="0" collapsed="false">
      <c r="A215" s="27"/>
      <c r="F215" s="2"/>
      <c r="H215" s="6" t="str">
        <f aca="false">IF(G215&lt;&gt;0,G215*H$2/(100+H$2)," ")</f>
        <v> </v>
      </c>
      <c r="I215" s="6" t="str">
        <f aca="false">IF((G215&lt;&gt;0),G215-H215," ")</f>
        <v> </v>
      </c>
      <c r="M215" s="7" t="str">
        <f aca="false">IF(G215&lt;&gt;0,G215-L215," ")</f>
        <v> </v>
      </c>
      <c r="N215" s="8" t="str">
        <f aca="false">IF((G215-L215)&lt;&gt;0,N$1-A215," ")</f>
        <v> </v>
      </c>
    </row>
    <row r="216" customFormat="false" ht="12" hidden="false" customHeight="false" outlineLevel="0" collapsed="false">
      <c r="A216" s="27"/>
      <c r="F216" s="2"/>
      <c r="H216" s="6" t="str">
        <f aca="false">IF(G216&lt;&gt;0,G216*H$2/(100+H$2)," ")</f>
        <v> </v>
      </c>
      <c r="I216" s="6" t="str">
        <f aca="false">IF((G216&lt;&gt;0),G216-H216," ")</f>
        <v> </v>
      </c>
      <c r="M216" s="7" t="str">
        <f aca="false">IF(G216&lt;&gt;0,G216-L216," ")</f>
        <v> </v>
      </c>
      <c r="N216" s="8" t="str">
        <f aca="false">IF((G216-L216)&lt;&gt;0,N$1-A216," ")</f>
        <v> </v>
      </c>
    </row>
    <row r="217" customFormat="false" ht="12" hidden="false" customHeight="false" outlineLevel="0" collapsed="false">
      <c r="A217" s="27"/>
      <c r="F217" s="2"/>
      <c r="H217" s="6" t="str">
        <f aca="false">IF(G217&lt;&gt;0,G217*H$2/(100+H$2)," ")</f>
        <v> </v>
      </c>
      <c r="I217" s="6" t="str">
        <f aca="false">IF((G217&lt;&gt;0),G217-H217," ")</f>
        <v> </v>
      </c>
      <c r="M217" s="7" t="str">
        <f aca="false">IF(G217&lt;&gt;0,G217-L217," ")</f>
        <v> </v>
      </c>
      <c r="N217" s="8" t="str">
        <f aca="false">IF((G217-L217)&lt;&gt;0,N$1-A217," ")</f>
        <v> </v>
      </c>
    </row>
    <row r="218" customFormat="false" ht="12" hidden="false" customHeight="false" outlineLevel="0" collapsed="false">
      <c r="A218" s="27"/>
      <c r="F218" s="2"/>
      <c r="H218" s="6" t="str">
        <f aca="false">IF(G218&lt;&gt;0,G218*H$2/(100+H$2)," ")</f>
        <v> </v>
      </c>
      <c r="I218" s="6" t="str">
        <f aca="false">IF((G218&lt;&gt;0),G218-H218," ")</f>
        <v> </v>
      </c>
      <c r="M218" s="7" t="str">
        <f aca="false">IF(G218&lt;&gt;0,G218-L218," ")</f>
        <v> </v>
      </c>
      <c r="N218" s="8" t="str">
        <f aca="false">IF((G218-L218)&lt;&gt;0,N$1-A218," ")</f>
        <v> </v>
      </c>
    </row>
    <row r="219" customFormat="false" ht="12" hidden="false" customHeight="false" outlineLevel="0" collapsed="false">
      <c r="A219" s="27"/>
      <c r="F219" s="2"/>
      <c r="H219" s="6" t="str">
        <f aca="false">IF(G219&lt;&gt;0,G219*H$2/(100+H$2)," ")</f>
        <v> </v>
      </c>
      <c r="I219" s="6" t="str">
        <f aca="false">IF((G219&lt;&gt;0),G219-H219," ")</f>
        <v> </v>
      </c>
      <c r="M219" s="7" t="str">
        <f aca="false">IF(G219&lt;&gt;0,G219-L219," ")</f>
        <v> </v>
      </c>
      <c r="N219" s="8" t="str">
        <f aca="false">IF((G219-L219)&lt;&gt;0,N$1-A219," ")</f>
        <v> </v>
      </c>
    </row>
    <row r="220" customFormat="false" ht="12" hidden="false" customHeight="false" outlineLevel="0" collapsed="false">
      <c r="A220" s="27"/>
      <c r="F220" s="2"/>
      <c r="H220" s="6" t="str">
        <f aca="false">IF(G220&lt;&gt;0,G220*H$2/(100+H$2)," ")</f>
        <v> </v>
      </c>
      <c r="I220" s="6" t="str">
        <f aca="false">IF((G220&lt;&gt;0),G220-H220," ")</f>
        <v> </v>
      </c>
      <c r="M220" s="7" t="str">
        <f aca="false">IF(G220&lt;&gt;0,G220-L220," ")</f>
        <v> </v>
      </c>
      <c r="N220" s="8" t="str">
        <f aca="false">IF((G220-L220)&lt;&gt;0,N$1-A220," ")</f>
        <v> </v>
      </c>
    </row>
    <row r="221" customFormat="false" ht="12" hidden="false" customHeight="false" outlineLevel="0" collapsed="false">
      <c r="A221" s="27"/>
      <c r="F221" s="2"/>
      <c r="H221" s="6" t="str">
        <f aca="false">IF(G221&lt;&gt;0,G221*H$2/(100+H$2)," ")</f>
        <v> </v>
      </c>
      <c r="I221" s="6" t="str">
        <f aca="false">IF((G221&lt;&gt;0),G221-H221," ")</f>
        <v> </v>
      </c>
      <c r="M221" s="7" t="str">
        <f aca="false">IF(G221&lt;&gt;0,G221-L221," ")</f>
        <v> </v>
      </c>
      <c r="N221" s="8" t="str">
        <f aca="false">IF((G221-L221)&lt;&gt;0,N$1-A221," ")</f>
        <v> </v>
      </c>
    </row>
    <row r="222" customFormat="false" ht="12" hidden="false" customHeight="false" outlineLevel="0" collapsed="false">
      <c r="A222" s="27"/>
      <c r="F222" s="2"/>
      <c r="H222" s="6" t="str">
        <f aca="false">IF(G222&lt;&gt;0,G222*H$2/(100+H$2)," ")</f>
        <v> </v>
      </c>
      <c r="I222" s="6" t="str">
        <f aca="false">IF((G222&lt;&gt;0),G222-H222," ")</f>
        <v> </v>
      </c>
      <c r="M222" s="7" t="str">
        <f aca="false">IF(G222&lt;&gt;0,G222-L222," ")</f>
        <v> </v>
      </c>
      <c r="N222" s="8" t="str">
        <f aca="false">IF((G222-L222)&lt;&gt;0,N$1-A222," ")</f>
        <v> </v>
      </c>
    </row>
    <row r="223" customFormat="false" ht="12" hidden="false" customHeight="false" outlineLevel="0" collapsed="false">
      <c r="A223" s="27"/>
      <c r="F223" s="2"/>
      <c r="H223" s="6" t="str">
        <f aca="false">IF(G223&lt;&gt;0,G223*H$2/(100+H$2)," ")</f>
        <v> </v>
      </c>
      <c r="I223" s="6" t="str">
        <f aca="false">IF((G223&lt;&gt;0),G223-H223," ")</f>
        <v> </v>
      </c>
      <c r="M223" s="7" t="str">
        <f aca="false">IF(G223&lt;&gt;0,G223-L223," ")</f>
        <v> </v>
      </c>
      <c r="N223" s="8" t="str">
        <f aca="false">IF((G223-L223)&lt;&gt;0,N$1-A223," ")</f>
        <v> </v>
      </c>
    </row>
    <row r="224" customFormat="false" ht="12" hidden="false" customHeight="false" outlineLevel="0" collapsed="false">
      <c r="A224" s="27"/>
      <c r="F224" s="2"/>
      <c r="H224" s="6" t="str">
        <f aca="false">IF(G224&lt;&gt;0,G224*H$2/(100+H$2)," ")</f>
        <v> </v>
      </c>
      <c r="I224" s="6" t="str">
        <f aca="false">IF((G224&lt;&gt;0),G224-H224," ")</f>
        <v> </v>
      </c>
      <c r="M224" s="7" t="str">
        <f aca="false">IF(G224&lt;&gt;0,G224-L224," ")</f>
        <v> </v>
      </c>
      <c r="N224" s="8" t="str">
        <f aca="false">IF((G224-L224)&lt;&gt;0,N$1-A224," ")</f>
        <v> </v>
      </c>
    </row>
    <row r="225" customFormat="false" ht="12" hidden="false" customHeight="false" outlineLevel="0" collapsed="false">
      <c r="A225" s="27"/>
      <c r="F225" s="2"/>
      <c r="H225" s="6" t="str">
        <f aca="false">IF(G225&lt;&gt;0,G225*H$2/(100+H$2)," ")</f>
        <v> </v>
      </c>
      <c r="I225" s="6" t="str">
        <f aca="false">IF((G225&lt;&gt;0),G225-H225," ")</f>
        <v> </v>
      </c>
      <c r="M225" s="7" t="str">
        <f aca="false">IF(G225&lt;&gt;0,G225-L225," ")</f>
        <v> </v>
      </c>
      <c r="N225" s="8" t="str">
        <f aca="false">IF((G225-L225)&lt;&gt;0,N$1-A225," ")</f>
        <v> </v>
      </c>
    </row>
    <row r="226" customFormat="false" ht="12" hidden="false" customHeight="false" outlineLevel="0" collapsed="false">
      <c r="A226" s="27"/>
      <c r="F226" s="2"/>
      <c r="H226" s="6" t="str">
        <f aca="false">IF(G226&lt;&gt;0,G226*H$2/(100+H$2)," ")</f>
        <v> </v>
      </c>
      <c r="I226" s="6" t="str">
        <f aca="false">IF((G226&lt;&gt;0),G226-H226," ")</f>
        <v> </v>
      </c>
      <c r="M226" s="7" t="str">
        <f aca="false">IF(G226&lt;&gt;0,G226-L226," ")</f>
        <v> </v>
      </c>
      <c r="N226" s="8" t="str">
        <f aca="false">IF((G226-L226)&lt;&gt;0,N$1-A226," ")</f>
        <v> </v>
      </c>
    </row>
    <row r="227" customFormat="false" ht="12" hidden="false" customHeight="false" outlineLevel="0" collapsed="false">
      <c r="A227" s="27"/>
      <c r="F227" s="2"/>
      <c r="H227" s="6" t="str">
        <f aca="false">IF(G227&lt;&gt;0,G227*H$2/(100+H$2)," ")</f>
        <v> </v>
      </c>
      <c r="I227" s="6" t="str">
        <f aca="false">IF((G227&lt;&gt;0),G227-H227," ")</f>
        <v> </v>
      </c>
      <c r="M227" s="7" t="str">
        <f aca="false">IF(G227&lt;&gt;0,G227-L227," ")</f>
        <v> </v>
      </c>
      <c r="N227" s="8" t="str">
        <f aca="false">IF((G227-L227)&lt;&gt;0,N$1-A227," ")</f>
        <v> </v>
      </c>
    </row>
    <row r="228" customFormat="false" ht="12" hidden="false" customHeight="false" outlineLevel="0" collapsed="false">
      <c r="A228" s="27"/>
      <c r="F228" s="2"/>
      <c r="H228" s="6" t="str">
        <f aca="false">IF(G228&lt;&gt;0,G228*H$2/(100+H$2)," ")</f>
        <v> </v>
      </c>
      <c r="I228" s="6" t="str">
        <f aca="false">IF((G228&lt;&gt;0),G228-H228," ")</f>
        <v> </v>
      </c>
      <c r="M228" s="7" t="str">
        <f aca="false">IF(G228&lt;&gt;0,G228-L228," ")</f>
        <v> </v>
      </c>
      <c r="N228" s="8" t="str">
        <f aca="false">IF((G228-L228)&lt;&gt;0,N$1-A228," ")</f>
        <v> </v>
      </c>
    </row>
    <row r="229" customFormat="false" ht="12" hidden="false" customHeight="false" outlineLevel="0" collapsed="false">
      <c r="A229" s="27"/>
      <c r="F229" s="2"/>
      <c r="H229" s="6" t="str">
        <f aca="false">IF(G229&lt;&gt;0,G229*H$2/(100+H$2)," ")</f>
        <v> </v>
      </c>
      <c r="I229" s="6" t="str">
        <f aca="false">IF((G229&lt;&gt;0),G229-H229," ")</f>
        <v> </v>
      </c>
      <c r="M229" s="7" t="str">
        <f aca="false">IF(G229&lt;&gt;0,G229-L229," ")</f>
        <v> </v>
      </c>
      <c r="N229" s="8" t="str">
        <f aca="false">IF((G229-L229)&lt;&gt;0,N$1-A229," ")</f>
        <v> </v>
      </c>
    </row>
    <row r="230" customFormat="false" ht="12" hidden="false" customHeight="false" outlineLevel="0" collapsed="false">
      <c r="A230" s="27"/>
      <c r="F230" s="2"/>
      <c r="H230" s="6" t="str">
        <f aca="false">IF(G230&lt;&gt;0,G230*H$2/(100+H$2)," ")</f>
        <v> </v>
      </c>
      <c r="I230" s="6" t="str">
        <f aca="false">IF((G230&lt;&gt;0),G230-H230," ")</f>
        <v> </v>
      </c>
      <c r="M230" s="7" t="str">
        <f aca="false">IF(G230&lt;&gt;0,G230-L230," ")</f>
        <v> </v>
      </c>
      <c r="N230" s="8" t="str">
        <f aca="false">IF((G230-L230)&lt;&gt;0,N$1-A230," ")</f>
        <v> </v>
      </c>
    </row>
    <row r="231" customFormat="false" ht="12" hidden="false" customHeight="false" outlineLevel="0" collapsed="false">
      <c r="A231" s="27"/>
      <c r="F231" s="2"/>
      <c r="H231" s="6" t="str">
        <f aca="false">IF(G231&lt;&gt;0,G231*H$2/(100+H$2)," ")</f>
        <v> </v>
      </c>
      <c r="I231" s="6" t="str">
        <f aca="false">IF((G231&lt;&gt;0),G231-H231," ")</f>
        <v> </v>
      </c>
      <c r="M231" s="7" t="str">
        <f aca="false">IF(G231&lt;&gt;0,G231-L231," ")</f>
        <v> </v>
      </c>
      <c r="N231" s="8" t="str">
        <f aca="false">IF((G231-L231)&lt;&gt;0,N$1-A231," ")</f>
        <v> </v>
      </c>
    </row>
    <row r="232" customFormat="false" ht="12" hidden="false" customHeight="false" outlineLevel="0" collapsed="false">
      <c r="A232" s="27"/>
      <c r="F232" s="2"/>
      <c r="H232" s="6" t="str">
        <f aca="false">IF(G232&lt;&gt;0,G232*H$2/(100+H$2)," ")</f>
        <v> </v>
      </c>
      <c r="I232" s="6" t="str">
        <f aca="false">IF((G232&lt;&gt;0),G232-H232," ")</f>
        <v> </v>
      </c>
      <c r="M232" s="7" t="str">
        <f aca="false">IF(G232&lt;&gt;0,G232-L232," ")</f>
        <v> </v>
      </c>
      <c r="N232" s="8" t="str">
        <f aca="false">IF((G232-L232)&lt;&gt;0,N$1-A232," ")</f>
        <v> </v>
      </c>
    </row>
    <row r="233" customFormat="false" ht="12" hidden="false" customHeight="false" outlineLevel="0" collapsed="false">
      <c r="A233" s="27"/>
      <c r="F233" s="2"/>
      <c r="H233" s="6" t="str">
        <f aca="false">IF(G233&lt;&gt;0,G233*H$2/(100+H$2)," ")</f>
        <v> </v>
      </c>
      <c r="I233" s="6" t="str">
        <f aca="false">IF((G233&lt;&gt;0),G233-H233," ")</f>
        <v> </v>
      </c>
      <c r="M233" s="7" t="str">
        <f aca="false">IF(G233&lt;&gt;0,G233-L233," ")</f>
        <v> </v>
      </c>
      <c r="N233" s="8" t="str">
        <f aca="false">IF((G233-L233)&lt;&gt;0,N$1-A233," ")</f>
        <v> </v>
      </c>
    </row>
    <row r="234" customFormat="false" ht="12" hidden="false" customHeight="false" outlineLevel="0" collapsed="false">
      <c r="A234" s="27"/>
      <c r="F234" s="2"/>
      <c r="H234" s="6" t="str">
        <f aca="false">IF(G234&lt;&gt;0,G234*H$2/(100+H$2)," ")</f>
        <v> </v>
      </c>
      <c r="I234" s="6" t="str">
        <f aca="false">IF((G234&lt;&gt;0),G234-H234," ")</f>
        <v> </v>
      </c>
      <c r="M234" s="7" t="str">
        <f aca="false">IF(G234&lt;&gt;0,G234-L234," ")</f>
        <v> </v>
      </c>
      <c r="N234" s="8" t="str">
        <f aca="false">IF((G234-L234)&lt;&gt;0,N$1-A234," ")</f>
        <v> </v>
      </c>
    </row>
    <row r="235" customFormat="false" ht="12" hidden="false" customHeight="false" outlineLevel="0" collapsed="false">
      <c r="A235" s="27"/>
      <c r="F235" s="2"/>
      <c r="H235" s="6" t="str">
        <f aca="false">IF(G235&lt;&gt;0,G235*H$2/(100+H$2)," ")</f>
        <v> </v>
      </c>
      <c r="I235" s="6" t="str">
        <f aca="false">IF((G235&lt;&gt;0),G235-H235," ")</f>
        <v> </v>
      </c>
      <c r="M235" s="7" t="str">
        <f aca="false">IF(G235&lt;&gt;0,G235-L235," ")</f>
        <v> </v>
      </c>
      <c r="N235" s="8" t="str">
        <f aca="false">IF((G235-L235)&lt;&gt;0,N$1-A235," ")</f>
        <v> </v>
      </c>
    </row>
    <row r="236" customFormat="false" ht="12" hidden="false" customHeight="false" outlineLevel="0" collapsed="false">
      <c r="A236" s="27"/>
      <c r="F236" s="2"/>
      <c r="H236" s="6" t="str">
        <f aca="false">IF(G236&lt;&gt;0,G236*H$2/(100+H$2)," ")</f>
        <v> </v>
      </c>
      <c r="I236" s="6" t="str">
        <f aca="false">IF((G236&lt;&gt;0),G236-H236," ")</f>
        <v> </v>
      </c>
      <c r="M236" s="7" t="str">
        <f aca="false">IF(G236&lt;&gt;0,G236-L236," ")</f>
        <v> </v>
      </c>
      <c r="N236" s="8" t="str">
        <f aca="false">IF((G236-L236)&lt;&gt;0,N$1-A236," ")</f>
        <v> </v>
      </c>
    </row>
    <row r="237" customFormat="false" ht="12" hidden="false" customHeight="false" outlineLevel="0" collapsed="false">
      <c r="A237" s="27"/>
      <c r="F237" s="2"/>
      <c r="H237" s="6" t="str">
        <f aca="false">IF(G237&lt;&gt;0,G237*H$2/(100+H$2)," ")</f>
        <v> </v>
      </c>
      <c r="I237" s="6" t="str">
        <f aca="false">IF((G237&lt;&gt;0),G237-H237," ")</f>
        <v> </v>
      </c>
      <c r="M237" s="7" t="str">
        <f aca="false">IF(G237&lt;&gt;0,G237-L237," ")</f>
        <v> </v>
      </c>
      <c r="N237" s="8" t="str">
        <f aca="false">IF((G237-L237)&lt;&gt;0,N$1-A237," ")</f>
        <v> </v>
      </c>
    </row>
    <row r="238" customFormat="false" ht="12" hidden="false" customHeight="false" outlineLevel="0" collapsed="false">
      <c r="A238" s="27"/>
      <c r="F238" s="2"/>
      <c r="H238" s="6" t="str">
        <f aca="false">IF(G238&lt;&gt;0,G238*H$2/(100+H$2)," ")</f>
        <v> </v>
      </c>
      <c r="I238" s="6" t="str">
        <f aca="false">IF((G238&lt;&gt;0),G238-H238," ")</f>
        <v> </v>
      </c>
      <c r="M238" s="7" t="str">
        <f aca="false">IF(G238&lt;&gt;0,G238-L238," ")</f>
        <v> </v>
      </c>
      <c r="N238" s="8" t="str">
        <f aca="false">IF((G238-L238)&lt;&gt;0,N$1-A238," ")</f>
        <v> </v>
      </c>
    </row>
    <row r="239" customFormat="false" ht="12" hidden="false" customHeight="false" outlineLevel="0" collapsed="false">
      <c r="A239" s="27"/>
      <c r="F239" s="2"/>
      <c r="H239" s="6" t="str">
        <f aca="false">IF(G239&lt;&gt;0,G239*H$2/(100+H$2)," ")</f>
        <v> </v>
      </c>
      <c r="I239" s="6" t="str">
        <f aca="false">IF((G239&lt;&gt;0),G239-H239," ")</f>
        <v> </v>
      </c>
      <c r="M239" s="7" t="str">
        <f aca="false">IF(G239&lt;&gt;0,G239-L239," ")</f>
        <v> </v>
      </c>
      <c r="N239" s="8" t="str">
        <f aca="false">IF((G239-L239)&lt;&gt;0,N$1-A239," ")</f>
        <v> </v>
      </c>
    </row>
    <row r="240" customFormat="false" ht="12" hidden="false" customHeight="false" outlineLevel="0" collapsed="false">
      <c r="A240" s="27"/>
      <c r="F240" s="2"/>
      <c r="H240" s="6" t="str">
        <f aca="false">IF(G240&lt;&gt;0,G240*H$2/(100+H$2)," ")</f>
        <v> </v>
      </c>
      <c r="I240" s="6" t="str">
        <f aca="false">IF((G240&lt;&gt;0),G240-H240," ")</f>
        <v> </v>
      </c>
      <c r="M240" s="7" t="str">
        <f aca="false">IF(G240&lt;&gt;0,G240-L240," ")</f>
        <v> </v>
      </c>
      <c r="N240" s="8" t="str">
        <f aca="false">IF((G240-L240)&lt;&gt;0,N$1-A240," ")</f>
        <v> </v>
      </c>
    </row>
    <row r="241" customFormat="false" ht="12" hidden="false" customHeight="false" outlineLevel="0" collapsed="false">
      <c r="A241" s="27"/>
      <c r="F241" s="2"/>
      <c r="H241" s="6" t="str">
        <f aca="false">IF(G241&lt;&gt;0,G241*H$2/(100+H$2)," ")</f>
        <v> </v>
      </c>
      <c r="I241" s="6" t="str">
        <f aca="false">IF((G241&lt;&gt;0),G241-H241," ")</f>
        <v> </v>
      </c>
      <c r="M241" s="7" t="str">
        <f aca="false">IF(G241&lt;&gt;0,G241-L241," ")</f>
        <v> </v>
      </c>
      <c r="N241" s="8" t="str">
        <f aca="false">IF((G241-L241)&lt;&gt;0,N$1-A241," ")</f>
        <v> </v>
      </c>
    </row>
    <row r="242" customFormat="false" ht="12" hidden="false" customHeight="false" outlineLevel="0" collapsed="false">
      <c r="A242" s="27"/>
      <c r="F242" s="2"/>
      <c r="H242" s="6" t="str">
        <f aca="false">IF(G242&lt;&gt;0,G242*H$2/(100+H$2)," ")</f>
        <v> </v>
      </c>
      <c r="I242" s="6" t="str">
        <f aca="false">IF((G242&lt;&gt;0),G242-H242," ")</f>
        <v> </v>
      </c>
      <c r="M242" s="7" t="str">
        <f aca="false">IF(G242&lt;&gt;0,G242-L242," ")</f>
        <v> </v>
      </c>
      <c r="N242" s="8" t="str">
        <f aca="false">IF((G242-L242)&lt;&gt;0,N$1-A242," ")</f>
        <v> </v>
      </c>
    </row>
    <row r="243" customFormat="false" ht="12" hidden="false" customHeight="false" outlineLevel="0" collapsed="false">
      <c r="A243" s="27"/>
      <c r="F243" s="2"/>
      <c r="H243" s="6" t="str">
        <f aca="false">IF(G243&lt;&gt;0,G243*H$2/(100+H$2)," ")</f>
        <v> </v>
      </c>
      <c r="I243" s="6" t="str">
        <f aca="false">IF((G243&lt;&gt;0),G243-H243," ")</f>
        <v> </v>
      </c>
      <c r="M243" s="7" t="str">
        <f aca="false">IF(G243&lt;&gt;0,G243-L243," ")</f>
        <v> </v>
      </c>
      <c r="N243" s="8" t="str">
        <f aca="false">IF((G243-L243)&lt;&gt;0,N$1-A243," ")</f>
        <v> </v>
      </c>
    </row>
    <row r="244" customFormat="false" ht="12" hidden="false" customHeight="false" outlineLevel="0" collapsed="false">
      <c r="A244" s="27"/>
      <c r="F244" s="2"/>
      <c r="H244" s="6" t="str">
        <f aca="false">IF(G244&lt;&gt;0,G244*H$2/(100+H$2)," ")</f>
        <v> </v>
      </c>
      <c r="I244" s="6" t="str">
        <f aca="false">IF((G244&lt;&gt;0),G244-H244," ")</f>
        <v> </v>
      </c>
      <c r="M244" s="7" t="str">
        <f aca="false">IF(G244&lt;&gt;0,G244-L244," ")</f>
        <v> </v>
      </c>
      <c r="N244" s="8" t="str">
        <f aca="false">IF((G244-L244)&lt;&gt;0,N$1-A244," ")</f>
        <v> </v>
      </c>
    </row>
    <row r="245" customFormat="false" ht="12" hidden="false" customHeight="false" outlineLevel="0" collapsed="false">
      <c r="A245" s="27"/>
      <c r="F245" s="2"/>
      <c r="H245" s="6" t="str">
        <f aca="false">IF(G245&lt;&gt;0,G245*H$2/(100+H$2)," ")</f>
        <v> </v>
      </c>
      <c r="I245" s="6" t="str">
        <f aca="false">IF((G245&lt;&gt;0),G245-H245," ")</f>
        <v> </v>
      </c>
      <c r="M245" s="7" t="str">
        <f aca="false">IF(G245&lt;&gt;0,G245-L245," ")</f>
        <v> </v>
      </c>
      <c r="N245" s="8" t="str">
        <f aca="false">IF((G245-L245)&lt;&gt;0,N$1-A245," ")</f>
        <v> </v>
      </c>
    </row>
    <row r="246" customFormat="false" ht="12" hidden="false" customHeight="false" outlineLevel="0" collapsed="false">
      <c r="A246" s="27"/>
      <c r="F246" s="2"/>
      <c r="H246" s="6" t="str">
        <f aca="false">IF(G246&lt;&gt;0,G246*H$2/(100+H$2)," ")</f>
        <v> </v>
      </c>
      <c r="I246" s="6" t="str">
        <f aca="false">IF((G246&lt;&gt;0),G246-H246," ")</f>
        <v> </v>
      </c>
      <c r="M246" s="7" t="str">
        <f aca="false">IF(G246&lt;&gt;0,G246-L246," ")</f>
        <v> </v>
      </c>
      <c r="N246" s="8" t="str">
        <f aca="false">IF((G246-L246)&lt;&gt;0,N$1-A246," ")</f>
        <v> </v>
      </c>
    </row>
    <row r="247" customFormat="false" ht="12" hidden="false" customHeight="false" outlineLevel="0" collapsed="false">
      <c r="A247" s="27"/>
      <c r="F247" s="2"/>
      <c r="H247" s="6" t="str">
        <f aca="false">IF(G247&lt;&gt;0,G247*H$2/(100+H$2)," ")</f>
        <v> </v>
      </c>
      <c r="I247" s="6" t="str">
        <f aca="false">IF((G247&lt;&gt;0),G247-H247," ")</f>
        <v> </v>
      </c>
      <c r="M247" s="7" t="str">
        <f aca="false">IF(G247&lt;&gt;0,G247-L247," ")</f>
        <v> </v>
      </c>
      <c r="N247" s="8" t="str">
        <f aca="false">IF((G247-L247)&lt;&gt;0,N$1-A247," ")</f>
        <v> </v>
      </c>
    </row>
    <row r="248" customFormat="false" ht="12" hidden="false" customHeight="false" outlineLevel="0" collapsed="false">
      <c r="A248" s="27"/>
      <c r="F248" s="2"/>
      <c r="H248" s="6" t="str">
        <f aca="false">IF(G248&lt;&gt;0,G248*H$2/(100+H$2)," ")</f>
        <v> </v>
      </c>
      <c r="I248" s="6" t="str">
        <f aca="false">IF((G248&lt;&gt;0),G248-H248," ")</f>
        <v> </v>
      </c>
      <c r="M248" s="7" t="str">
        <f aca="false">IF(G248&lt;&gt;0,G248-L248," ")</f>
        <v> </v>
      </c>
      <c r="N248" s="8" t="str">
        <f aca="false">IF((G248-L248)&lt;&gt;0,N$1-A248," ")</f>
        <v> </v>
      </c>
    </row>
    <row r="249" customFormat="false" ht="12" hidden="false" customHeight="false" outlineLevel="0" collapsed="false">
      <c r="A249" s="27"/>
      <c r="F249" s="2"/>
      <c r="H249" s="6" t="str">
        <f aca="false">IF(G249&lt;&gt;0,G249*H$2/(100+H$2)," ")</f>
        <v> </v>
      </c>
      <c r="I249" s="6" t="str">
        <f aca="false">IF((G249&lt;&gt;0),G249-H249," ")</f>
        <v> </v>
      </c>
      <c r="M249" s="7" t="str">
        <f aca="false">IF(G249&lt;&gt;0,G249-L249," ")</f>
        <v> </v>
      </c>
      <c r="N249" s="8" t="str">
        <f aca="false">IF((G249-L249)&lt;&gt;0,N$1-A249," ")</f>
        <v> </v>
      </c>
    </row>
    <row r="250" customFormat="false" ht="12" hidden="false" customHeight="false" outlineLevel="0" collapsed="false">
      <c r="A250" s="27"/>
      <c r="F250" s="2"/>
      <c r="H250" s="6" t="str">
        <f aca="false">IF(G250&lt;&gt;0,G250*H$2/(100+H$2)," ")</f>
        <v> </v>
      </c>
      <c r="I250" s="6" t="str">
        <f aca="false">IF((G250&lt;&gt;0),G250-H250," ")</f>
        <v> </v>
      </c>
      <c r="M250" s="7" t="str">
        <f aca="false">IF(G250&lt;&gt;0,G250-L250," ")</f>
        <v> </v>
      </c>
      <c r="N250" s="8" t="str">
        <f aca="false">IF((G250-L250)&lt;&gt;0,N$1-A250," ")</f>
        <v> </v>
      </c>
    </row>
    <row r="251" customFormat="false" ht="12" hidden="false" customHeight="false" outlineLevel="0" collapsed="false">
      <c r="A251" s="27"/>
      <c r="F251" s="2"/>
      <c r="H251" s="6" t="str">
        <f aca="false">IF(G251&lt;&gt;0,G251*H$2/(100+H$2)," ")</f>
        <v> </v>
      </c>
      <c r="I251" s="6" t="str">
        <f aca="false">IF((G251&lt;&gt;0),G251-H251," ")</f>
        <v> </v>
      </c>
      <c r="M251" s="7" t="str">
        <f aca="false">IF(G251&lt;&gt;0,G251-L251," ")</f>
        <v> </v>
      </c>
      <c r="N251" s="8" t="str">
        <f aca="false">IF((G251-L251)&lt;&gt;0,N$1-A251," ")</f>
        <v> </v>
      </c>
    </row>
    <row r="252" customFormat="false" ht="12" hidden="false" customHeight="false" outlineLevel="0" collapsed="false">
      <c r="A252" s="27"/>
      <c r="F252" s="2"/>
      <c r="H252" s="6" t="str">
        <f aca="false">IF(G252&lt;&gt;0,G252*H$2/(100+H$2)," ")</f>
        <v> </v>
      </c>
      <c r="I252" s="6" t="str">
        <f aca="false">IF((G252&lt;&gt;0),G252-H252," ")</f>
        <v> </v>
      </c>
      <c r="M252" s="7" t="str">
        <f aca="false">IF(G252&lt;&gt;0,G252-L252," ")</f>
        <v> </v>
      </c>
      <c r="N252" s="8" t="str">
        <f aca="false">IF((G252-L252)&lt;&gt;0,N$1-A252," ")</f>
        <v> </v>
      </c>
    </row>
    <row r="253" customFormat="false" ht="12" hidden="false" customHeight="false" outlineLevel="0" collapsed="false">
      <c r="A253" s="27"/>
      <c r="F253" s="2"/>
      <c r="H253" s="6" t="str">
        <f aca="false">IF(G253&lt;&gt;0,G253*H$2/(100+H$2)," ")</f>
        <v> </v>
      </c>
      <c r="I253" s="6" t="str">
        <f aca="false">IF((G253&lt;&gt;0),G253-H253," ")</f>
        <v> </v>
      </c>
      <c r="M253" s="7" t="str">
        <f aca="false">IF(G253&lt;&gt;0,G253-L253," ")</f>
        <v> </v>
      </c>
      <c r="N253" s="8" t="str">
        <f aca="false">IF((G253-L253)&lt;&gt;0,N$1-A253," ")</f>
        <v> </v>
      </c>
    </row>
    <row r="254" customFormat="false" ht="12" hidden="false" customHeight="false" outlineLevel="0" collapsed="false">
      <c r="A254" s="27"/>
      <c r="F254" s="2"/>
      <c r="H254" s="6" t="str">
        <f aca="false">IF(G254&lt;&gt;0,G254*H$2/(100+H$2)," ")</f>
        <v> </v>
      </c>
      <c r="I254" s="6" t="str">
        <f aca="false">IF((G254&lt;&gt;0),G254-H254," ")</f>
        <v> </v>
      </c>
      <c r="M254" s="7" t="str">
        <f aca="false">IF(G254&lt;&gt;0,G254-L254," ")</f>
        <v> </v>
      </c>
      <c r="N254" s="8" t="str">
        <f aca="false">IF((G254-L254)&lt;&gt;0,N$1-A254," ")</f>
        <v> </v>
      </c>
    </row>
    <row r="255" customFormat="false" ht="12" hidden="false" customHeight="false" outlineLevel="0" collapsed="false">
      <c r="A255" s="27"/>
      <c r="F255" s="2"/>
      <c r="H255" s="6" t="str">
        <f aca="false">IF(G255&lt;&gt;0,G255*H$2/(100+H$2)," ")</f>
        <v> </v>
      </c>
      <c r="I255" s="6" t="str">
        <f aca="false">IF((G255&lt;&gt;0),G255-H255," ")</f>
        <v> </v>
      </c>
      <c r="M255" s="7" t="str">
        <f aca="false">IF(G255&lt;&gt;0,G255-L255," ")</f>
        <v> </v>
      </c>
      <c r="N255" s="8" t="str">
        <f aca="false">IF((G255-L255)&lt;&gt;0,N$1-A255," ")</f>
        <v> </v>
      </c>
    </row>
    <row r="256" customFormat="false" ht="12" hidden="false" customHeight="false" outlineLevel="0" collapsed="false">
      <c r="A256" s="27"/>
      <c r="F256" s="2"/>
      <c r="H256" s="6" t="str">
        <f aca="false">IF(G256&lt;&gt;0,G256*H$2/(100+H$2)," ")</f>
        <v> </v>
      </c>
      <c r="I256" s="6" t="str">
        <f aca="false">IF((G256&lt;&gt;0),G256-H256," ")</f>
        <v> </v>
      </c>
      <c r="M256" s="7" t="str">
        <f aca="false">IF(G256&lt;&gt;0,G256-L256," ")</f>
        <v> </v>
      </c>
      <c r="N256" s="8" t="str">
        <f aca="false">IF((G256-L256)&lt;&gt;0,N$1-A256," ")</f>
        <v> </v>
      </c>
    </row>
    <row r="257" customFormat="false" ht="12" hidden="false" customHeight="false" outlineLevel="0" collapsed="false">
      <c r="A257" s="27"/>
      <c r="F257" s="2"/>
      <c r="H257" s="6" t="str">
        <f aca="false">IF(G257&lt;&gt;0,G257*H$2/(100+H$2)," ")</f>
        <v> </v>
      </c>
      <c r="I257" s="6" t="str">
        <f aca="false">IF((G257&lt;&gt;0),G257-H257," ")</f>
        <v> </v>
      </c>
      <c r="M257" s="7" t="str">
        <f aca="false">IF(G257&lt;&gt;0,G257-L257," ")</f>
        <v> </v>
      </c>
      <c r="N257" s="8" t="str">
        <f aca="false">IF((G257-L257)&lt;&gt;0,N$1-A257," ")</f>
        <v> </v>
      </c>
    </row>
    <row r="258" customFormat="false" ht="12" hidden="false" customHeight="false" outlineLevel="0" collapsed="false">
      <c r="A258" s="27"/>
      <c r="F258" s="2"/>
      <c r="H258" s="6" t="str">
        <f aca="false">IF(G258&lt;&gt;0,G258*H$2/(100+H$2)," ")</f>
        <v> </v>
      </c>
      <c r="I258" s="6" t="str">
        <f aca="false">IF((G258&lt;&gt;0),G258-H258," ")</f>
        <v> </v>
      </c>
      <c r="M258" s="7" t="str">
        <f aca="false">IF(G258&lt;&gt;0,G258-L258," ")</f>
        <v> </v>
      </c>
      <c r="N258" s="8" t="str">
        <f aca="false">IF((G258-L258)&lt;&gt;0,N$1-A258," ")</f>
        <v> </v>
      </c>
    </row>
    <row r="259" customFormat="false" ht="12" hidden="false" customHeight="false" outlineLevel="0" collapsed="false">
      <c r="A259" s="27"/>
      <c r="F259" s="2"/>
      <c r="H259" s="6" t="str">
        <f aca="false">IF(G259&lt;&gt;0,G259*H$2/(100+H$2)," ")</f>
        <v> </v>
      </c>
      <c r="I259" s="6" t="str">
        <f aca="false">IF((G259&lt;&gt;0),G259-H259," ")</f>
        <v> </v>
      </c>
      <c r="M259" s="7" t="str">
        <f aca="false">IF(G259&lt;&gt;0,G259-L259," ")</f>
        <v> </v>
      </c>
      <c r="N259" s="8" t="str">
        <f aca="false">IF((G259-L259)&lt;&gt;0,N$1-A259," ")</f>
        <v> </v>
      </c>
    </row>
    <row r="260" customFormat="false" ht="12" hidden="false" customHeight="false" outlineLevel="0" collapsed="false">
      <c r="A260" s="27"/>
      <c r="F260" s="2"/>
      <c r="H260" s="6" t="str">
        <f aca="false">IF(G260&lt;&gt;0,G260*H$2/(100+H$2)," ")</f>
        <v> </v>
      </c>
      <c r="I260" s="6" t="str">
        <f aca="false">IF((G260&lt;&gt;0),G260-H260," ")</f>
        <v> </v>
      </c>
      <c r="M260" s="7" t="str">
        <f aca="false">IF(G260&lt;&gt;0,G260-L260," ")</f>
        <v> </v>
      </c>
      <c r="N260" s="8" t="str">
        <f aca="false">IF((G260-L260)&lt;&gt;0,N$1-A260," ")</f>
        <v> </v>
      </c>
    </row>
    <row r="261" customFormat="false" ht="12" hidden="false" customHeight="false" outlineLevel="0" collapsed="false">
      <c r="A261" s="27"/>
      <c r="F261" s="2"/>
      <c r="H261" s="6" t="str">
        <f aca="false">IF(G261&lt;&gt;0,G261*H$2/(100+H$2)," ")</f>
        <v> </v>
      </c>
      <c r="I261" s="6" t="str">
        <f aca="false">IF((G261&lt;&gt;0),G261-H261," ")</f>
        <v> </v>
      </c>
      <c r="M261" s="7" t="str">
        <f aca="false">IF(G261&lt;&gt;0,G261-L261," ")</f>
        <v> </v>
      </c>
      <c r="N261" s="8" t="str">
        <f aca="false">IF((G261-L261)&lt;&gt;0,N$1-A261," ")</f>
        <v> </v>
      </c>
    </row>
    <row r="262" customFormat="false" ht="12" hidden="false" customHeight="false" outlineLevel="0" collapsed="false">
      <c r="A262" s="27"/>
      <c r="F262" s="2"/>
      <c r="H262" s="6" t="str">
        <f aca="false">IF(G262&lt;&gt;0,G262*H$2/(100+H$2)," ")</f>
        <v> </v>
      </c>
      <c r="I262" s="6" t="str">
        <f aca="false">IF((G262&lt;&gt;0),G262-H262," ")</f>
        <v> </v>
      </c>
      <c r="M262" s="7" t="str">
        <f aca="false">IF(G262&lt;&gt;0,G262-L262," ")</f>
        <v> </v>
      </c>
      <c r="N262" s="8" t="str">
        <f aca="false">IF((G262-L262)&lt;&gt;0,N$1-A262," ")</f>
        <v> </v>
      </c>
    </row>
    <row r="263" customFormat="false" ht="12" hidden="false" customHeight="false" outlineLevel="0" collapsed="false">
      <c r="A263" s="27"/>
      <c r="F263" s="2"/>
      <c r="H263" s="6" t="str">
        <f aca="false">IF(G263&lt;&gt;0,G263*H$2/(100+H$2)," ")</f>
        <v> </v>
      </c>
      <c r="I263" s="6" t="str">
        <f aca="false">IF((G263&lt;&gt;0),G263-H263," ")</f>
        <v> </v>
      </c>
      <c r="M263" s="7" t="str">
        <f aca="false">IF(G263&lt;&gt;0,G263-L263," ")</f>
        <v> </v>
      </c>
      <c r="N263" s="8" t="str">
        <f aca="false">IF((G263-L263)&lt;&gt;0,N$1-A263," ")</f>
        <v> </v>
      </c>
    </row>
    <row r="264" customFormat="false" ht="12" hidden="false" customHeight="false" outlineLevel="0" collapsed="false">
      <c r="A264" s="27"/>
      <c r="F264" s="2"/>
      <c r="H264" s="6" t="str">
        <f aca="false">IF(G264&lt;&gt;0,G264*H$2/(100+H$2)," ")</f>
        <v> </v>
      </c>
      <c r="I264" s="6" t="str">
        <f aca="false">IF((G264&lt;&gt;0),G264-H264," ")</f>
        <v> </v>
      </c>
      <c r="M264" s="7" t="str">
        <f aca="false">IF(G264&lt;&gt;0,G264-L264," ")</f>
        <v> </v>
      </c>
      <c r="N264" s="8" t="str">
        <f aca="false">IF((G264-L264)&lt;&gt;0,N$1-A264," ")</f>
        <v> </v>
      </c>
    </row>
    <row r="265" customFormat="false" ht="12" hidden="false" customHeight="false" outlineLevel="0" collapsed="false">
      <c r="A265" s="27"/>
      <c r="F265" s="2"/>
      <c r="H265" s="6" t="str">
        <f aca="false">IF(G265&lt;&gt;0,G265*H$2/(100+H$2)," ")</f>
        <v> </v>
      </c>
      <c r="I265" s="6" t="str">
        <f aca="false">IF((G265&lt;&gt;0),G265-H265," ")</f>
        <v> </v>
      </c>
      <c r="M265" s="7" t="str">
        <f aca="false">IF(G265&lt;&gt;0,G265-L265," ")</f>
        <v> </v>
      </c>
      <c r="N265" s="8" t="str">
        <f aca="false">IF((G265-L265)&lt;&gt;0,N$1-A265," ")</f>
        <v> </v>
      </c>
    </row>
    <row r="266" customFormat="false" ht="12" hidden="false" customHeight="false" outlineLevel="0" collapsed="false">
      <c r="A266" s="27"/>
      <c r="F266" s="2"/>
      <c r="H266" s="6" t="str">
        <f aca="false">IF(G266&lt;&gt;0,G266*H$2/(100+H$2)," ")</f>
        <v> </v>
      </c>
      <c r="I266" s="6" t="str">
        <f aca="false">IF((G266&lt;&gt;0),G266-H266," ")</f>
        <v> </v>
      </c>
      <c r="M266" s="7" t="str">
        <f aca="false">IF(G266&lt;&gt;0,G266-L266," ")</f>
        <v> </v>
      </c>
      <c r="N266" s="8" t="str">
        <f aca="false">IF((G266-L266)&lt;&gt;0,N$1-A266," ")</f>
        <v> </v>
      </c>
    </row>
    <row r="267" customFormat="false" ht="12" hidden="false" customHeight="false" outlineLevel="0" collapsed="false">
      <c r="A267" s="27"/>
      <c r="F267" s="2"/>
      <c r="H267" s="6" t="str">
        <f aca="false">IF(G267&lt;&gt;0,G267*H$2/(100+H$2)," ")</f>
        <v> </v>
      </c>
      <c r="I267" s="6" t="str">
        <f aca="false">IF((G267&lt;&gt;0),G267-H267," ")</f>
        <v> </v>
      </c>
      <c r="M267" s="7" t="str">
        <f aca="false">IF(G267&lt;&gt;0,G267-L267," ")</f>
        <v> </v>
      </c>
      <c r="N267" s="8" t="str">
        <f aca="false">IF((G267-L267)&lt;&gt;0,N$1-A267," ")</f>
        <v> </v>
      </c>
    </row>
    <row r="268" customFormat="false" ht="12" hidden="false" customHeight="false" outlineLevel="0" collapsed="false">
      <c r="A268" s="27"/>
      <c r="F268" s="2"/>
      <c r="H268" s="6" t="str">
        <f aca="false">IF(G268&lt;&gt;0,G268*H$2/(100+H$2)," ")</f>
        <v> </v>
      </c>
      <c r="I268" s="6" t="str">
        <f aca="false">IF((G268&lt;&gt;0),G268-H268," ")</f>
        <v> </v>
      </c>
      <c r="M268" s="7" t="str">
        <f aca="false">IF(G268&lt;&gt;0,G268-L268," ")</f>
        <v> </v>
      </c>
      <c r="N268" s="8" t="str">
        <f aca="false">IF((G268-L268)&lt;&gt;0,N$1-A268," ")</f>
        <v> </v>
      </c>
    </row>
    <row r="269" customFormat="false" ht="12" hidden="false" customHeight="false" outlineLevel="0" collapsed="false">
      <c r="A269" s="27"/>
      <c r="F269" s="2"/>
      <c r="H269" s="6" t="str">
        <f aca="false">IF(G269&lt;&gt;0,G269*H$2/(100+H$2)," ")</f>
        <v> </v>
      </c>
      <c r="I269" s="6" t="str">
        <f aca="false">IF((G269&lt;&gt;0),G269-H269," ")</f>
        <v> </v>
      </c>
      <c r="M269" s="7" t="str">
        <f aca="false">IF(G269&lt;&gt;0,G269-L269," ")</f>
        <v> </v>
      </c>
      <c r="N269" s="8" t="str">
        <f aca="false">IF((G269-L269)&lt;&gt;0,N$1-A269," ")</f>
        <v> </v>
      </c>
    </row>
    <row r="270" customFormat="false" ht="12" hidden="false" customHeight="false" outlineLevel="0" collapsed="false">
      <c r="A270" s="27"/>
      <c r="F270" s="2"/>
      <c r="H270" s="6" t="str">
        <f aca="false">IF(G270&lt;&gt;0,G270*H$2/(100+H$2)," ")</f>
        <v> </v>
      </c>
      <c r="I270" s="6" t="str">
        <f aca="false">IF((G270&lt;&gt;0),G270-H270," ")</f>
        <v> </v>
      </c>
      <c r="M270" s="7" t="str">
        <f aca="false">IF(G270&lt;&gt;0,G270-L270," ")</f>
        <v> </v>
      </c>
      <c r="N270" s="8" t="str">
        <f aca="false">IF((G270-L270)&lt;&gt;0,N$1-A270," ")</f>
        <v> </v>
      </c>
    </row>
    <row r="271" customFormat="false" ht="12" hidden="false" customHeight="false" outlineLevel="0" collapsed="false">
      <c r="A271" s="27"/>
      <c r="F271" s="2"/>
      <c r="H271" s="6" t="str">
        <f aca="false">IF(G271&lt;&gt;0,G271*H$2/(100+H$2)," ")</f>
        <v> </v>
      </c>
      <c r="I271" s="6" t="str">
        <f aca="false">IF((G271&lt;&gt;0),G271-H271," ")</f>
        <v> </v>
      </c>
      <c r="M271" s="7" t="str">
        <f aca="false">IF(G271&lt;&gt;0,G271-L271," ")</f>
        <v> </v>
      </c>
      <c r="N271" s="8" t="str">
        <f aca="false">IF((G271-L271)&lt;&gt;0,N$1-A271," ")</f>
        <v> </v>
      </c>
    </row>
    <row r="272" customFormat="false" ht="12" hidden="false" customHeight="false" outlineLevel="0" collapsed="false">
      <c r="A272" s="27"/>
      <c r="F272" s="2"/>
      <c r="H272" s="6" t="str">
        <f aca="false">IF(G272&lt;&gt;0,G272*H$2/(100+H$2)," ")</f>
        <v> </v>
      </c>
      <c r="I272" s="6" t="str">
        <f aca="false">IF((G272&lt;&gt;0),G272-H272," ")</f>
        <v> </v>
      </c>
      <c r="M272" s="7" t="str">
        <f aca="false">IF(G272&lt;&gt;0,G272-L272," ")</f>
        <v> </v>
      </c>
      <c r="N272" s="8" t="str">
        <f aca="false">IF((G272-L272)&lt;&gt;0,N$1-A272," ")</f>
        <v> </v>
      </c>
    </row>
    <row r="273" customFormat="false" ht="12" hidden="false" customHeight="false" outlineLevel="0" collapsed="false">
      <c r="A273" s="27"/>
      <c r="F273" s="2"/>
      <c r="H273" s="6" t="str">
        <f aca="false">IF(G273&lt;&gt;0,G273*H$2/(100+H$2)," ")</f>
        <v> </v>
      </c>
      <c r="I273" s="6" t="str">
        <f aca="false">IF((G273&lt;&gt;0),G273-H273," ")</f>
        <v> </v>
      </c>
      <c r="M273" s="7" t="str">
        <f aca="false">IF(G273&lt;&gt;0,G273-L273," ")</f>
        <v> </v>
      </c>
      <c r="N273" s="8" t="str">
        <f aca="false">IF((G273-L273)&lt;&gt;0,N$1-A273," ")</f>
        <v> </v>
      </c>
    </row>
    <row r="274" customFormat="false" ht="12" hidden="false" customHeight="false" outlineLevel="0" collapsed="false">
      <c r="A274" s="27"/>
      <c r="F274" s="2"/>
      <c r="H274" s="6" t="str">
        <f aca="false">IF(G274&lt;&gt;0,G274*H$2/(100+H$2)," ")</f>
        <v> </v>
      </c>
      <c r="I274" s="6" t="str">
        <f aca="false">IF((G274&lt;&gt;0),G274-H274," ")</f>
        <v> </v>
      </c>
      <c r="M274" s="7" t="str">
        <f aca="false">IF(G274&lt;&gt;0,G274-L274," ")</f>
        <v> </v>
      </c>
      <c r="N274" s="8" t="str">
        <f aca="false">IF((G274-L274)&lt;&gt;0,N$1-A274," ")</f>
        <v> </v>
      </c>
    </row>
    <row r="275" customFormat="false" ht="12" hidden="false" customHeight="false" outlineLevel="0" collapsed="false">
      <c r="A275" s="27"/>
      <c r="F275" s="2"/>
      <c r="H275" s="6" t="str">
        <f aca="false">IF(G275&lt;&gt;0,G275*H$2/(100+H$2)," ")</f>
        <v> </v>
      </c>
      <c r="I275" s="6" t="str">
        <f aca="false">IF((G275&lt;&gt;0),G275-H275," ")</f>
        <v> </v>
      </c>
      <c r="M275" s="7" t="str">
        <f aca="false">IF(G275&lt;&gt;0,G275-L275," ")</f>
        <v> </v>
      </c>
      <c r="N275" s="8" t="str">
        <f aca="false">IF((G275-L275)&lt;&gt;0,N$1-A275," ")</f>
        <v> </v>
      </c>
    </row>
    <row r="276" customFormat="false" ht="12" hidden="false" customHeight="false" outlineLevel="0" collapsed="false">
      <c r="A276" s="27"/>
      <c r="F276" s="2"/>
      <c r="H276" s="6" t="str">
        <f aca="false">IF(G276&lt;&gt;0,G276*H$2/(100+H$2)," ")</f>
        <v> </v>
      </c>
      <c r="I276" s="6" t="str">
        <f aca="false">IF((G276&lt;&gt;0),G276-H276," ")</f>
        <v> </v>
      </c>
      <c r="M276" s="7" t="str">
        <f aca="false">IF(G276&lt;&gt;0,G276-L276," ")</f>
        <v> </v>
      </c>
      <c r="N276" s="8" t="str">
        <f aca="false">IF((G276-L276)&lt;&gt;0,N$1-A276," ")</f>
        <v> </v>
      </c>
    </row>
    <row r="277" customFormat="false" ht="12" hidden="false" customHeight="false" outlineLevel="0" collapsed="false">
      <c r="A277" s="27"/>
      <c r="F277" s="2"/>
      <c r="H277" s="6" t="str">
        <f aca="false">IF(G277&lt;&gt;0,G277*H$2/(100+H$2)," ")</f>
        <v> </v>
      </c>
      <c r="I277" s="6" t="str">
        <f aca="false">IF((G277&lt;&gt;0),G277-H277," ")</f>
        <v> </v>
      </c>
      <c r="M277" s="7" t="str">
        <f aca="false">IF(G277&lt;&gt;0,G277-L277," ")</f>
        <v> </v>
      </c>
      <c r="N277" s="8" t="str">
        <f aca="false">IF((G277-L277)&lt;&gt;0,N$1-A277," ")</f>
        <v> </v>
      </c>
    </row>
    <row r="278" customFormat="false" ht="12" hidden="false" customHeight="false" outlineLevel="0" collapsed="false">
      <c r="A278" s="27"/>
      <c r="F278" s="2"/>
      <c r="H278" s="6" t="str">
        <f aca="false">IF(G278&lt;&gt;0,G278*H$2/(100+H$2)," ")</f>
        <v> </v>
      </c>
      <c r="I278" s="6" t="str">
        <f aca="false">IF((G278&lt;&gt;0),G278-H278," ")</f>
        <v> </v>
      </c>
      <c r="M278" s="7" t="str">
        <f aca="false">IF(G278&lt;&gt;0,G278-L278," ")</f>
        <v> </v>
      </c>
      <c r="N278" s="8" t="str">
        <f aca="false">IF((G278-L278)&lt;&gt;0,N$1-A278," ")</f>
        <v> </v>
      </c>
    </row>
    <row r="279" customFormat="false" ht="12" hidden="false" customHeight="false" outlineLevel="0" collapsed="false">
      <c r="A279" s="27"/>
      <c r="F279" s="2"/>
      <c r="H279" s="6" t="str">
        <f aca="false">IF(G279&lt;&gt;0,G279*H$2/(100+H$2)," ")</f>
        <v> </v>
      </c>
      <c r="I279" s="6" t="str">
        <f aca="false">IF((G279&lt;&gt;0),G279-H279," ")</f>
        <v> </v>
      </c>
      <c r="M279" s="7" t="str">
        <f aca="false">IF(G279&lt;&gt;0,G279-L279," ")</f>
        <v> </v>
      </c>
      <c r="N279" s="8" t="str">
        <f aca="false">IF((G279-L279)&lt;&gt;0,N$1-A279," ")</f>
        <v> </v>
      </c>
    </row>
    <row r="280" customFormat="false" ht="12" hidden="false" customHeight="false" outlineLevel="0" collapsed="false">
      <c r="A280" s="27"/>
      <c r="F280" s="2"/>
      <c r="H280" s="6" t="str">
        <f aca="false">IF(G280&lt;&gt;0,G280*H$2/(100+H$2)," ")</f>
        <v> </v>
      </c>
      <c r="I280" s="6" t="str">
        <f aca="false">IF((G280&lt;&gt;0),G280-H280," ")</f>
        <v> </v>
      </c>
      <c r="M280" s="7" t="str">
        <f aca="false">IF(G280&lt;&gt;0,G280-L280," ")</f>
        <v> </v>
      </c>
      <c r="N280" s="8" t="str">
        <f aca="false">IF((G280-L280)&lt;&gt;0,N$1-A280," ")</f>
        <v> </v>
      </c>
    </row>
    <row r="281" customFormat="false" ht="12" hidden="false" customHeight="false" outlineLevel="0" collapsed="false">
      <c r="A281" s="27"/>
      <c r="F281" s="2"/>
      <c r="H281" s="6" t="str">
        <f aca="false">IF(G281&lt;&gt;0,G281*H$2/(100+H$2)," ")</f>
        <v> </v>
      </c>
      <c r="I281" s="6" t="str">
        <f aca="false">IF((G281&lt;&gt;0),G281-H281," ")</f>
        <v> </v>
      </c>
      <c r="M281" s="7" t="str">
        <f aca="false">IF(G281&lt;&gt;0,G281-L281," ")</f>
        <v> </v>
      </c>
      <c r="N281" s="8" t="str">
        <f aca="false">IF((G281-L281)&lt;&gt;0,N$1-A281," ")</f>
        <v> </v>
      </c>
    </row>
    <row r="282" customFormat="false" ht="12" hidden="false" customHeight="false" outlineLevel="0" collapsed="false">
      <c r="A282" s="27"/>
      <c r="F282" s="2"/>
      <c r="H282" s="6" t="str">
        <f aca="false">IF(G282&lt;&gt;0,G282*H$2/(100+H$2)," ")</f>
        <v> </v>
      </c>
      <c r="I282" s="6" t="str">
        <f aca="false">IF((G282&lt;&gt;0),G282-H282," ")</f>
        <v> </v>
      </c>
      <c r="M282" s="7" t="str">
        <f aca="false">IF(G282&lt;&gt;0,G282-L282," ")</f>
        <v> </v>
      </c>
      <c r="N282" s="8" t="str">
        <f aca="false">IF((G282-L282)&lt;&gt;0,N$1-A282," ")</f>
        <v> </v>
      </c>
    </row>
    <row r="283" customFormat="false" ht="12" hidden="false" customHeight="false" outlineLevel="0" collapsed="false">
      <c r="A283" s="27"/>
      <c r="F283" s="2"/>
      <c r="H283" s="6" t="str">
        <f aca="false">IF(G283&lt;&gt;0,G283*H$2/(100+H$2)," ")</f>
        <v> </v>
      </c>
      <c r="I283" s="6" t="str">
        <f aca="false">IF((G283&lt;&gt;0),G283-H283," ")</f>
        <v> </v>
      </c>
      <c r="M283" s="7" t="str">
        <f aca="false">IF(G283&lt;&gt;0,G283-L283," ")</f>
        <v> </v>
      </c>
      <c r="N283" s="8" t="str">
        <f aca="false">IF((G283-L283)&lt;&gt;0,N$1-A283," ")</f>
        <v> </v>
      </c>
    </row>
    <row r="284" customFormat="false" ht="12" hidden="false" customHeight="false" outlineLevel="0" collapsed="false">
      <c r="A284" s="27"/>
      <c r="F284" s="2"/>
      <c r="H284" s="6" t="str">
        <f aca="false">IF(G284&lt;&gt;0,G284*H$2/(100+H$2)," ")</f>
        <v> </v>
      </c>
      <c r="I284" s="6" t="str">
        <f aca="false">IF((G284&lt;&gt;0),G284-H284," ")</f>
        <v> </v>
      </c>
      <c r="M284" s="7" t="str">
        <f aca="false">IF(G284&lt;&gt;0,G284-L284," ")</f>
        <v> </v>
      </c>
      <c r="N284" s="8" t="str">
        <f aca="false">IF((G284-L284)&lt;&gt;0,N$1-A284," ")</f>
        <v> </v>
      </c>
    </row>
    <row r="285" customFormat="false" ht="12" hidden="false" customHeight="false" outlineLevel="0" collapsed="false">
      <c r="A285" s="27"/>
      <c r="F285" s="2"/>
      <c r="H285" s="6" t="str">
        <f aca="false">IF(G285&lt;&gt;0,G285*H$2/(100+H$2)," ")</f>
        <v> </v>
      </c>
      <c r="I285" s="6" t="str">
        <f aca="false">IF((G285&lt;&gt;0),G285-H285," ")</f>
        <v> </v>
      </c>
      <c r="M285" s="7" t="str">
        <f aca="false">IF(G285&lt;&gt;0,G285-L285," ")</f>
        <v> </v>
      </c>
      <c r="N285" s="8" t="str">
        <f aca="false">IF((G285-L285)&lt;&gt;0,N$1-A285," ")</f>
        <v> </v>
      </c>
    </row>
    <row r="286" customFormat="false" ht="12" hidden="false" customHeight="false" outlineLevel="0" collapsed="false">
      <c r="A286" s="27"/>
      <c r="F286" s="2"/>
      <c r="H286" s="6" t="str">
        <f aca="false">IF(G286&lt;&gt;0,G286*H$2/(100+H$2)," ")</f>
        <v> </v>
      </c>
      <c r="I286" s="6" t="str">
        <f aca="false">IF((G286&lt;&gt;0),G286-H286," ")</f>
        <v> </v>
      </c>
      <c r="M286" s="7" t="str">
        <f aca="false">IF(G286&lt;&gt;0,G286-L286," ")</f>
        <v> </v>
      </c>
      <c r="N286" s="8" t="str">
        <f aca="false">IF((G286-L286)&lt;&gt;0,N$1-A286," ")</f>
        <v> </v>
      </c>
    </row>
    <row r="287" customFormat="false" ht="12" hidden="false" customHeight="false" outlineLevel="0" collapsed="false">
      <c r="A287" s="27"/>
      <c r="F287" s="2"/>
      <c r="H287" s="6" t="str">
        <f aca="false">IF(G287&lt;&gt;0,G287*H$2/(100+H$2)," ")</f>
        <v> </v>
      </c>
      <c r="I287" s="6" t="str">
        <f aca="false">IF((G287&lt;&gt;0),G287-H287," ")</f>
        <v> </v>
      </c>
      <c r="M287" s="7" t="str">
        <f aca="false">IF(G287&lt;&gt;0,G287-L287," ")</f>
        <v> </v>
      </c>
      <c r="N287" s="8" t="str">
        <f aca="false">IF((G287-L287)&lt;&gt;0,N$1-A287," ")</f>
        <v> </v>
      </c>
    </row>
    <row r="288" customFormat="false" ht="12" hidden="false" customHeight="false" outlineLevel="0" collapsed="false">
      <c r="A288" s="27"/>
      <c r="F288" s="2"/>
      <c r="H288" s="6" t="str">
        <f aca="false">IF(G288&lt;&gt;0,G288*H$2/(100+H$2)," ")</f>
        <v> </v>
      </c>
      <c r="I288" s="6" t="str">
        <f aca="false">IF((G288&lt;&gt;0),G288-H288," ")</f>
        <v> </v>
      </c>
      <c r="M288" s="7" t="str">
        <f aca="false">IF(G288&lt;&gt;0,G288-L288," ")</f>
        <v> </v>
      </c>
      <c r="N288" s="8" t="str">
        <f aca="false">IF((G288-L288)&lt;&gt;0,N$1-A288," ")</f>
        <v> </v>
      </c>
    </row>
    <row r="289" customFormat="false" ht="12" hidden="false" customHeight="false" outlineLevel="0" collapsed="false">
      <c r="A289" s="27"/>
      <c r="F289" s="2"/>
      <c r="H289" s="6" t="str">
        <f aca="false">IF(G289&lt;&gt;0,G289*H$2/(100+H$2)," ")</f>
        <v> </v>
      </c>
      <c r="I289" s="6" t="str">
        <f aca="false">IF((G289&lt;&gt;0),G289-H289," ")</f>
        <v> </v>
      </c>
      <c r="M289" s="7" t="str">
        <f aca="false">IF(G289&lt;&gt;0,G289-L289," ")</f>
        <v> </v>
      </c>
      <c r="N289" s="8" t="str">
        <f aca="false">IF((G289-L289)&lt;&gt;0,N$1-A289," ")</f>
        <v> </v>
      </c>
    </row>
    <row r="290" customFormat="false" ht="12" hidden="false" customHeight="false" outlineLevel="0" collapsed="false">
      <c r="A290" s="27"/>
      <c r="F290" s="2"/>
      <c r="H290" s="6" t="str">
        <f aca="false">IF(G290&lt;&gt;0,G290*H$2/(100+H$2)," ")</f>
        <v> </v>
      </c>
      <c r="I290" s="6" t="str">
        <f aca="false">IF((G290&lt;&gt;0),G290-H290," ")</f>
        <v> </v>
      </c>
      <c r="M290" s="7" t="str">
        <f aca="false">IF(G290&lt;&gt;0,G290-L290," ")</f>
        <v> </v>
      </c>
      <c r="N290" s="8" t="str">
        <f aca="false">IF((G290-L290)&lt;&gt;0,N$1-A290," ")</f>
        <v> </v>
      </c>
    </row>
    <row r="291" customFormat="false" ht="12" hidden="false" customHeight="false" outlineLevel="0" collapsed="false">
      <c r="A291" s="27"/>
      <c r="F291" s="2"/>
      <c r="H291" s="6" t="str">
        <f aca="false">IF(G291&lt;&gt;0,G291*H$2/(100+H$2)," ")</f>
        <v> </v>
      </c>
      <c r="I291" s="6" t="str">
        <f aca="false">IF((G291&lt;&gt;0),G291-H291," ")</f>
        <v> </v>
      </c>
      <c r="M291" s="7" t="str">
        <f aca="false">IF(G291&lt;&gt;0,G291-L291," ")</f>
        <v> </v>
      </c>
      <c r="N291" s="8" t="str">
        <f aca="false">IF((G291-L291)&lt;&gt;0,N$1-A291," ")</f>
        <v> </v>
      </c>
    </row>
    <row r="292" customFormat="false" ht="12" hidden="false" customHeight="false" outlineLevel="0" collapsed="false">
      <c r="A292" s="27"/>
      <c r="F292" s="2"/>
      <c r="H292" s="6" t="str">
        <f aca="false">IF(G292&lt;&gt;0,G292*H$2/(100+H$2)," ")</f>
        <v> </v>
      </c>
      <c r="I292" s="6" t="str">
        <f aca="false">IF((G292&lt;&gt;0),G292-H292," ")</f>
        <v> </v>
      </c>
      <c r="M292" s="7" t="str">
        <f aca="false">IF(G292&lt;&gt;0,G292-L292," ")</f>
        <v> </v>
      </c>
      <c r="N292" s="8" t="str">
        <f aca="false">IF((G292-L292)&lt;&gt;0,N$1-A292," ")</f>
        <v> </v>
      </c>
    </row>
    <row r="293" customFormat="false" ht="12" hidden="false" customHeight="false" outlineLevel="0" collapsed="false">
      <c r="A293" s="27"/>
      <c r="F293" s="2"/>
      <c r="H293" s="6" t="str">
        <f aca="false">IF(G293&lt;&gt;0,G293*H$2/(100+H$2)," ")</f>
        <v> </v>
      </c>
      <c r="I293" s="6" t="str">
        <f aca="false">IF((G293&lt;&gt;0),G293-H293," ")</f>
        <v> </v>
      </c>
      <c r="M293" s="7" t="str">
        <f aca="false">IF(G293&lt;&gt;0,G293-L293," ")</f>
        <v> </v>
      </c>
      <c r="N293" s="8" t="str">
        <f aca="false">IF((G293-L293)&lt;&gt;0,N$1-A293," ")</f>
        <v> </v>
      </c>
    </row>
    <row r="294" customFormat="false" ht="12" hidden="false" customHeight="false" outlineLevel="0" collapsed="false">
      <c r="A294" s="27"/>
      <c r="F294" s="2"/>
      <c r="H294" s="6" t="str">
        <f aca="false">IF(G294&lt;&gt;0,G294*H$2/(100+H$2)," ")</f>
        <v> </v>
      </c>
      <c r="I294" s="6" t="str">
        <f aca="false">IF((G294&lt;&gt;0),G294-H294," ")</f>
        <v> </v>
      </c>
      <c r="M294" s="7" t="str">
        <f aca="false">IF(G294&lt;&gt;0,G294-L294," ")</f>
        <v> </v>
      </c>
      <c r="N294" s="8" t="str">
        <f aca="false">IF((G294-L294)&lt;&gt;0,N$1-A294," ")</f>
        <v> </v>
      </c>
    </row>
    <row r="295" customFormat="false" ht="12" hidden="false" customHeight="false" outlineLevel="0" collapsed="false">
      <c r="A295" s="27"/>
      <c r="F295" s="2"/>
      <c r="H295" s="6" t="str">
        <f aca="false">IF(G295&lt;&gt;0,G295*H$2/(100+H$2)," ")</f>
        <v> </v>
      </c>
      <c r="I295" s="6" t="str">
        <f aca="false">IF((G295&lt;&gt;0),G295-H295," ")</f>
        <v> </v>
      </c>
      <c r="M295" s="7" t="str">
        <f aca="false">IF(G295&lt;&gt;0,G295-L295," ")</f>
        <v> </v>
      </c>
      <c r="N295" s="8" t="str">
        <f aca="false">IF((G295-L295)&lt;&gt;0,N$1-A295," ")</f>
        <v> </v>
      </c>
    </row>
    <row r="296" customFormat="false" ht="12" hidden="false" customHeight="false" outlineLevel="0" collapsed="false">
      <c r="A296" s="27"/>
      <c r="F296" s="2"/>
      <c r="H296" s="6" t="str">
        <f aca="false">IF(G296&lt;&gt;0,G296*H$2/(100+H$2)," ")</f>
        <v> </v>
      </c>
      <c r="I296" s="6" t="str">
        <f aca="false">IF((G296&lt;&gt;0),G296-H296," ")</f>
        <v> </v>
      </c>
      <c r="M296" s="7" t="str">
        <f aca="false">IF(G296&lt;&gt;0,G296-L296," ")</f>
        <v> </v>
      </c>
      <c r="N296" s="8" t="str">
        <f aca="false">IF((G296-L296)&lt;&gt;0,N$1-A296," ")</f>
        <v> </v>
      </c>
    </row>
    <row r="297" customFormat="false" ht="12" hidden="false" customHeight="false" outlineLevel="0" collapsed="false">
      <c r="A297" s="27"/>
      <c r="F297" s="2"/>
      <c r="H297" s="6" t="str">
        <f aca="false">IF(G297&lt;&gt;0,G297*H$2/(100+H$2)," ")</f>
        <v> </v>
      </c>
      <c r="I297" s="6" t="str">
        <f aca="false">IF((G297&lt;&gt;0),G297-H297," ")</f>
        <v> </v>
      </c>
      <c r="M297" s="7" t="str">
        <f aca="false">IF(G297&lt;&gt;0,G297-L297," ")</f>
        <v> </v>
      </c>
      <c r="N297" s="8" t="str">
        <f aca="false">IF((G297-L297)&lt;&gt;0,N$1-A297," ")</f>
        <v> </v>
      </c>
    </row>
    <row r="298" customFormat="false" ht="12" hidden="false" customHeight="false" outlineLevel="0" collapsed="false">
      <c r="A298" s="27"/>
      <c r="F298" s="2"/>
      <c r="H298" s="6" t="str">
        <f aca="false">IF(G298&lt;&gt;0,G298*H$2/(100+H$2)," ")</f>
        <v> </v>
      </c>
      <c r="I298" s="6" t="str">
        <f aca="false">IF((G298&lt;&gt;0),G298-H298," ")</f>
        <v> </v>
      </c>
      <c r="M298" s="7" t="str">
        <f aca="false">IF(G298&lt;&gt;0,G298-L298," ")</f>
        <v> </v>
      </c>
      <c r="N298" s="8" t="str">
        <f aca="false">IF((G298-L298)&lt;&gt;0,N$1-A298," ")</f>
        <v> </v>
      </c>
    </row>
    <row r="299" customFormat="false" ht="12" hidden="false" customHeight="false" outlineLevel="0" collapsed="false">
      <c r="A299" s="27"/>
      <c r="F299" s="2"/>
      <c r="H299" s="6" t="str">
        <f aca="false">IF(G299&lt;&gt;0,G299*H$2/(100+H$2)," ")</f>
        <v> </v>
      </c>
      <c r="I299" s="6" t="str">
        <f aca="false">IF((G299&lt;&gt;0),G299-H299," ")</f>
        <v> </v>
      </c>
      <c r="M299" s="7" t="str">
        <f aca="false">IF(G299&lt;&gt;0,G299-L299," ")</f>
        <v> </v>
      </c>
      <c r="N299" s="8" t="str">
        <f aca="false">IF((G299-L299)&lt;&gt;0,N$1-A299," ")</f>
        <v> </v>
      </c>
    </row>
    <row r="300" customFormat="false" ht="12" hidden="false" customHeight="false" outlineLevel="0" collapsed="false">
      <c r="A300" s="31"/>
      <c r="B300" s="32"/>
      <c r="C300" s="33"/>
      <c r="D300" s="34"/>
      <c r="E300" s="32"/>
      <c r="F300" s="32"/>
      <c r="G300" s="35"/>
      <c r="H300" s="35" t="str">
        <f aca="false">IF(G300&lt;&gt;0,G300*H$2/(100+H$2)," ")</f>
        <v> </v>
      </c>
      <c r="I300" s="35" t="str">
        <f aca="false">IF((G300&lt;&gt;0),G300-H300," ")</f>
        <v> </v>
      </c>
      <c r="J300" s="35"/>
      <c r="K300" s="35"/>
      <c r="L300" s="35"/>
      <c r="M300" s="36" t="str">
        <f aca="false">IF(G300&lt;&gt;0,G300-L300," ")</f>
        <v> </v>
      </c>
      <c r="N300" s="37" t="str">
        <f aca="false">IF((G300-L300)&lt;&gt;0,N$1-A300," ")</f>
        <v> </v>
      </c>
    </row>
  </sheetData>
  <mergeCells count="15">
    <mergeCell ref="A1:A4"/>
    <mergeCell ref="B1:B4"/>
    <mergeCell ref="C1:C4"/>
    <mergeCell ref="D1:D4"/>
    <mergeCell ref="J1:J4"/>
    <mergeCell ref="K1:K4"/>
    <mergeCell ref="E2:E4"/>
    <mergeCell ref="F2:F4"/>
    <mergeCell ref="G2:G4"/>
    <mergeCell ref="I2:I4"/>
    <mergeCell ref="L2:N2"/>
    <mergeCell ref="H3:H4"/>
    <mergeCell ref="L3:L4"/>
    <mergeCell ref="M3:M4"/>
    <mergeCell ref="N3:N4"/>
  </mergeCells>
  <dataValidations count="2"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26:A300" type="date">
      <formula1>38353</formula1>
      <formula2>42369</formula2>
    </dataValidation>
    <dataValidation allowBlank="true" error="While dates outside the financial year can be accepted for valid transactions the date may not have been entered in the correct format.&#10;&#10;CORRECT DATE FORMAT IS DD/MM/YY&#10;&#10;Example 25/12/08 then appears as 25-Dec-08&#10;" errorStyle="stop" errorTitle="DATE ERROR" operator="between" showDropDown="false" showErrorMessage="true" showInputMessage="false" sqref="A5:A25" type="date">
      <formula1>38353</formula1>
      <formula2>53327</formula2>
    </dataValidation>
  </dataValidations>
  <printOptions headings="false" gridLines="false" gridLinesSet="true" horizontalCentered="true" verticalCentered="true"/>
  <pageMargins left="0.157638888888889" right="0.0784722222222222" top="0.590972222222222" bottom="0.590972222222222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2005-11-20T10:44:15Z</dcterms:created>
  <dc:creator>Terry Cartwright</dc:creator>
  <dc:description/>
  <dc:language>en-US</dc:language>
  <cp:lastModifiedBy>Cartwright, Antony</cp:lastModifiedBy>
  <cp:lastPrinted>2007-03-02T12:17:48Z</cp:lastPrinted>
  <dcterms:modified xsi:type="dcterms:W3CDTF">2025-04-03T22:49:56Z</dcterms:modified>
  <cp:revision>0</cp:revision>
  <dc:subject/>
  <dc:title>Self employed purchases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