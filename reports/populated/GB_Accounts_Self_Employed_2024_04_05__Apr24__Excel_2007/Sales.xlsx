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Debtors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ClosingDebtors" sheetId="14" state="visible" r:id="rId16"/>
  </sheets>
  <definedNames>
    <definedName function="false" hidden="false" localSheetId="1" name="_xlnm.Print_Area" vbProcedure="false">Apr!$A$1:$X$75</definedName>
    <definedName function="false" hidden="false" localSheetId="1" name="_xlnm.Print_Titles" vbProcedure="false">Apr!$A:$E,Apr!$1:$4</definedName>
    <definedName function="false" hidden="false" localSheetId="5" name="_xlnm.Print_Area" vbProcedure="false">Aug!$A$1:$X$75</definedName>
    <definedName function="false" hidden="false" localSheetId="5" name="_xlnm.Print_Titles" vbProcedure="false">Aug!$A:$E,Aug!$1:$4</definedName>
    <definedName function="false" hidden="false" localSheetId="13" name="_xlnm.Print_Area" vbProcedure="false">ClosingDebtors!$A$1:$Q$75</definedName>
    <definedName function="false" hidden="false" localSheetId="13" name="_xlnm.Print_Titles" vbProcedure="false">ClosingDebtors!$A:$E,ClosingDebtors!$1:$4</definedName>
    <definedName function="false" hidden="false" localSheetId="9" name="_xlnm.Print_Area" vbProcedure="false">Dec!$A$1:$X$75</definedName>
    <definedName function="false" hidden="false" localSheetId="9" name="_xlnm.Print_Titles" vbProcedure="false">Dec!$A:$E,Dec!$1:$4</definedName>
    <definedName function="false" hidden="false" localSheetId="11" name="_xlnm.Print_Area" vbProcedure="false">Feb!$A$1:$X$75</definedName>
    <definedName function="false" hidden="false" localSheetId="11" name="_xlnm.Print_Titles" vbProcedure="false">Feb!$A:$E,Feb!$1:$4</definedName>
    <definedName function="false" hidden="false" localSheetId="10" name="_xlnm.Print_Area" vbProcedure="false">Jan!$A$1:$X$75</definedName>
    <definedName function="false" hidden="false" localSheetId="10" name="_xlnm.Print_Titles" vbProcedure="false">Jan!$A:$E,Jan!$1:$4</definedName>
    <definedName function="false" hidden="false" localSheetId="4" name="_xlnm.Print_Area" vbProcedure="false">Jul!$A$1:$X$75</definedName>
    <definedName function="false" hidden="false" localSheetId="4" name="_xlnm.Print_Titles" vbProcedure="false">Jul!$A:$E,Jul!$1:$4</definedName>
    <definedName function="false" hidden="false" localSheetId="3" name="_xlnm.Print_Area" vbProcedure="false">Jun!$A$1:$X$75</definedName>
    <definedName function="false" hidden="false" localSheetId="3" name="_xlnm.Print_Titles" vbProcedure="false">Jun!$A:$E,Jun!$1:$4</definedName>
    <definedName function="false" hidden="false" localSheetId="12" name="_xlnm.Print_Area" vbProcedure="false">Mar!$A$1:$X$75</definedName>
    <definedName function="false" hidden="false" localSheetId="12" name="_xlnm.Print_Titles" vbProcedure="false">Mar!$A:$E,Mar!$1:$4</definedName>
    <definedName function="false" hidden="false" localSheetId="2" name="_xlnm.Print_Area" vbProcedure="false">May!$A$1:$X$75</definedName>
    <definedName function="false" hidden="false" localSheetId="2" name="_xlnm.Print_Titles" vbProcedure="false">May!$A:$E,May!$1:$4</definedName>
    <definedName function="false" hidden="false" localSheetId="8" name="_xlnm.Print_Area" vbProcedure="false">Nov!$A$1:$X$75</definedName>
    <definedName function="false" hidden="false" localSheetId="8" name="_xlnm.Print_Titles" vbProcedure="false">Nov!$A:$E,Nov!$1:$4</definedName>
    <definedName function="false" hidden="false" localSheetId="7" name="_xlnm.Print_Area" vbProcedure="false">Oct!$A$1:$X$75</definedName>
    <definedName function="false" hidden="false" localSheetId="7" name="_xlnm.Print_Titles" vbProcedure="false">Oct!$A:$E,Oct!$1:$4</definedName>
    <definedName function="false" hidden="false" localSheetId="0" name="_xlnm.Print_Area" vbProcedure="false">OpeningDebtors!$A$1:$Q$75</definedName>
    <definedName function="false" hidden="false" localSheetId="0" name="_xlnm.Print_Titles" vbProcedure="false">OpeningDebtors!$A:$E,OpeningDebtors!$1:$4</definedName>
    <definedName function="false" hidden="false" localSheetId="6" name="_xlnm.Print_Area" vbProcedure="false">Sep!$A$1:$X$75</definedName>
    <definedName function="false" hidden="false" localSheetId="6" name="_xlnm.Print_Titles" vbProcedure="false">Sep!$A:$E,Sep!$1:$4</definedName>
    <definedName function="false" hidden="false" localSheetId="0" name="Excel_BuiltIn_Print_Titles" vbProcedure="false">(OpeningDebtors!$A:$E,OpeningDebtors!$1:$4)</definedName>
    <definedName function="false" hidden="false" localSheetId="0" name="_xlnm_Print_Area" vbProcedure="false">OpeningDebtors!$A$1:$Q$75</definedName>
    <definedName function="false" hidden="false" localSheetId="0" name="_xlnm_Print_Titles" vbProcedure="false">(OpeningDebtors!$A:$E,OpeningDebtors!$1:$4)</definedName>
    <definedName function="false" hidden="false" localSheetId="1" name="Excel_BuiltIn_Print_Titles" vbProcedure="false">(Apr!$A:$E,Apr!$1:$4)</definedName>
    <definedName function="false" hidden="false" localSheetId="1" name="_xlnm_Print_Area" vbProcedure="false">Apr!$A$1:$X$75</definedName>
    <definedName function="false" hidden="false" localSheetId="1" name="_xlnm_Print_Titles" vbProcedure="false">(Apr!$A:$E,Apr!$1:$4)</definedName>
    <definedName function="false" hidden="false" localSheetId="2" name="Excel_BuiltIn_Print_Titles" vbProcedure="false">(May!$A:$E,May!$1:$4)</definedName>
    <definedName function="false" hidden="false" localSheetId="2" name="_xlnm_Print_Area" vbProcedure="false">May!$A$1:$X$75</definedName>
    <definedName function="false" hidden="false" localSheetId="2" name="_xlnm_Print_Titles" vbProcedure="false">(May!$A:$E,May!$1:$4)</definedName>
    <definedName function="false" hidden="false" localSheetId="3" name="Excel_BuiltIn_Print_Titles" vbProcedure="false">(Jun!$A:$E,Jun!$1:$4)</definedName>
    <definedName function="false" hidden="false" localSheetId="3" name="_xlnm_Print_Area" vbProcedure="false">Jun!$A$1:$X$75</definedName>
    <definedName function="false" hidden="false" localSheetId="3" name="_xlnm_Print_Titles" vbProcedure="false">(Jun!$A:$E,Jun!$1:$4)</definedName>
    <definedName function="false" hidden="false" localSheetId="4" name="Excel_BuiltIn_Print_Titles" vbProcedure="false">(Jul!$A:$E,Jul!$1:$4)</definedName>
    <definedName function="false" hidden="false" localSheetId="4" name="_xlnm_Print_Area" vbProcedure="false">Jul!$A$1:$X$75</definedName>
    <definedName function="false" hidden="false" localSheetId="4" name="_xlnm_Print_Titles" vbProcedure="false">(Jul!$A:$E,Jul!$1:$4)</definedName>
    <definedName function="false" hidden="false" localSheetId="5" name="Excel_BuiltIn_Print_Titles" vbProcedure="false">(Aug!$A:$E,Aug!$1:$4)</definedName>
    <definedName function="false" hidden="false" localSheetId="5" name="_xlnm_Print_Area" vbProcedure="false">Aug!$A$1:$X$75</definedName>
    <definedName function="false" hidden="false" localSheetId="5" name="_xlnm_Print_Titles" vbProcedure="false">(Aug!$A:$E,Aug!$1:$4)</definedName>
    <definedName function="false" hidden="false" localSheetId="6" name="Excel_BuiltIn_Print_Titles" vbProcedure="false">(Sep!$A:$E,Sep!$1:$4)</definedName>
    <definedName function="false" hidden="false" localSheetId="6" name="_xlnm_Print_Area" vbProcedure="false">Sep!$A$1:$X$75</definedName>
    <definedName function="false" hidden="false" localSheetId="6" name="_xlnm_Print_Titles" vbProcedure="false">(Sep!$A:$E,Sep!$1:$4)</definedName>
    <definedName function="false" hidden="false" localSheetId="7" name="Excel_BuiltIn_Print_Titles" vbProcedure="false">(Oct!$A:$E,Oct!$1:$4)</definedName>
    <definedName function="false" hidden="false" localSheetId="7" name="_xlnm_Print_Area" vbProcedure="false">Oct!$A$1:$X$75</definedName>
    <definedName function="false" hidden="false" localSheetId="7" name="_xlnm_Print_Titles" vbProcedure="false">(Oct!$A:$E,Oct!$1:$4)</definedName>
    <definedName function="false" hidden="false" localSheetId="8" name="Excel_BuiltIn_Print_Titles" vbProcedure="false">(Nov!$A:$E,Nov!$1:$4)</definedName>
    <definedName function="false" hidden="false" localSheetId="8" name="_xlnm_Print_Area" vbProcedure="false">Nov!$A$1:$X$75</definedName>
    <definedName function="false" hidden="false" localSheetId="8" name="_xlnm_Print_Titles" vbProcedure="false">(Nov!$A:$E,Nov!$1:$4)</definedName>
    <definedName function="false" hidden="false" localSheetId="9" name="Excel_BuiltIn_Print_Titles" vbProcedure="false">(Dec!$A:$E,Dec!$1:$4)</definedName>
    <definedName function="false" hidden="false" localSheetId="9" name="_xlnm_Print_Area" vbProcedure="false">Dec!$A$1:$X$75</definedName>
    <definedName function="false" hidden="false" localSheetId="9" name="_xlnm_Print_Titles" vbProcedure="false">(Dec!$A:$E,Dec!$1:$4)</definedName>
    <definedName function="false" hidden="false" localSheetId="10" name="Excel_BuiltIn_Print_Titles" vbProcedure="false">(Jan!$A:$E,Jan!$1:$4)</definedName>
    <definedName function="false" hidden="false" localSheetId="10" name="_xlnm_Print_Area" vbProcedure="false">Jan!$A$1:$X$75</definedName>
    <definedName function="false" hidden="false" localSheetId="10" name="_xlnm_Print_Titles" vbProcedure="false">(Jan!$A:$E,Jan!$1:$4)</definedName>
    <definedName function="false" hidden="false" localSheetId="11" name="Excel_BuiltIn_Print_Titles" vbProcedure="false">(Feb!$A:$E,Feb!$1:$4)</definedName>
    <definedName function="false" hidden="false" localSheetId="11" name="_xlnm_Print_Area" vbProcedure="false">Feb!$A$1:$X$75</definedName>
    <definedName function="false" hidden="false" localSheetId="11" name="_xlnm_Print_Titles" vbProcedure="false">(Feb!$A:$E,Feb!$1:$4)</definedName>
    <definedName function="false" hidden="false" localSheetId="12" name="Excel_BuiltIn_Print_Titles" vbProcedure="false">(Mar!$A:$E,Mar!$1:$4)</definedName>
    <definedName function="false" hidden="false" localSheetId="12" name="_xlnm_Print_Area" vbProcedure="false">Mar!$A$1:$X$75</definedName>
    <definedName function="false" hidden="false" localSheetId="12" name="_xlnm_Print_Titles" vbProcedure="false">(Mar!$A:$E,Mar!$1:$4)</definedName>
    <definedName function="false" hidden="false" localSheetId="13" name="Excel_BuiltIn_Print_Titles" vbProcedure="false">(ClosingDebtors!$A:$E,ClosingDebtors!$1:$4)</definedName>
    <definedName function="false" hidden="false" localSheetId="13" name="_xlnm_Print_Area" vbProcedure="false">ClosingDebtors!$A$1:$Q$75</definedName>
    <definedName function="false" hidden="false" localSheetId="13" name="_xlnm_Print_Titles" vbProcedure="false">(ClosingDebtors!$A:$E,ClosingDebtors!$1:$4)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<sst xmlns="http://schemas.openxmlformats.org/spreadsheetml/2006/main" count="466" uniqueCount="38">
  <si>
    <t xml:space="preserve">Sales      Date</t>
  </si>
  <si>
    <t xml:space="preserve">Customer Name</t>
  </si>
  <si>
    <t xml:space="preserve">Sales Invoice Number or reference</t>
  </si>
  <si>
    <t xml:space="preserve">Sales             Description</t>
  </si>
  <si>
    <t xml:space="preserve">For your information only. Enter How Paid e.g. Cash, Cheque etc.,</t>
  </si>
  <si>
    <t xml:space="preserve">Sales Value including   Vat</t>
  </si>
  <si>
    <t xml:space="preserve">Sales         Net of Vat</t>
  </si>
  <si>
    <t xml:space="preserve">Receipts from Customers</t>
  </si>
  <si>
    <t xml:space="preserve">Sub contractors only</t>
  </si>
  <si>
    <t xml:space="preserve">Vat       Output</t>
  </si>
  <si>
    <t xml:space="preserve">Actual amount received</t>
  </si>
  <si>
    <t xml:space="preserve">Sales Value not yet received</t>
  </si>
  <si>
    <t xml:space="preserve">Number of Days Outstanding</t>
  </si>
  <si>
    <t xml:space="preserve">CIS Tax Deducted</t>
  </si>
  <si>
    <t xml:space="preserve">CIS Certificate reference</t>
  </si>
  <si>
    <t xml:space="preserve">Check Total</t>
  </si>
  <si>
    <t xml:space="preserve">Sales Mileage</t>
  </si>
  <si>
    <t xml:space="preserve"> Enter Expense Code Letter</t>
  </si>
  <si>
    <t xml:space="preserve">Sales           Net of Vat</t>
  </si>
  <si>
    <t xml:space="preserve">Sales Net of Vat</t>
  </si>
  <si>
    <t xml:space="preserve">Other Income</t>
  </si>
  <si>
    <t xml:space="preserve">Investment Grants</t>
  </si>
  <si>
    <t xml:space="preserve">Bad Debts written off</t>
  </si>
  <si>
    <t xml:space="preserve">Product          A</t>
  </si>
  <si>
    <t xml:space="preserve">Product      B</t>
  </si>
  <si>
    <t xml:space="preserve">Product        C</t>
  </si>
  <si>
    <t xml:space="preserve">Sale of          Fixed Assets</t>
  </si>
  <si>
    <t xml:space="preserve">A</t>
  </si>
  <si>
    <t xml:space="preserve">B</t>
  </si>
  <si>
    <t xml:space="preserve">C</t>
  </si>
  <si>
    <t xml:space="preserve">D</t>
  </si>
  <si>
    <t xml:space="preserve">G</t>
  </si>
  <si>
    <t xml:space="preserve">O</t>
  </si>
  <si>
    <t xml:space="preserve">FS</t>
  </si>
  <si>
    <t xml:space="preserve">Client A</t>
  </si>
  <si>
    <t xml:space="preserve">a</t>
  </si>
  <si>
    <t xml:space="preserve">Client B</t>
  </si>
  <si>
    <t xml:space="preserve">Client C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</si>
</sst>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-mmm\-yy"/>
    <numFmt numFmtId="166" formatCode="#,##0.00_ ;[RED]\-#,##0.00\ "/>
    <numFmt numFmtId="167" formatCode="0"/>
    <numFmt numFmtId="168" formatCode="#,##0"/>
    <numFmt numFmtId="169" formatCode="#,##0_ ;[RED]\-#,##0\ "/>
    <numFmt numFmtId="170" formatCode="#,##0.00"/>
    <numFmt numFmtId="171" formatCode="General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sz val="1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0F0F0"/>
      </patternFill>
    </fill>
    <fill>
      <patternFill patternType="solid">
        <fgColor rgb="FFC0F0F0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0.15"/>
    <col collapsed="false" customWidth="true" hidden="false" outlineLevel="0" max="3" min="3" style="3" width="12.82"/>
    <col collapsed="false" customWidth="true" hidden="false" outlineLevel="0" max="4" min="4" style="4" width="7.66"/>
    <col collapsed="false" customWidth="true" hidden="false" outlineLevel="0" max="5" min="5" style="4" width="15.32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false" hidden="false" outlineLevel="0" max="257" min="16" style="2" width="9.15"/>
  </cols>
  <sheetData>
    <row r="1" s="20" customFormat="true" ht="13.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2"/>
      <c r="G1" s="14" t="n">
        <f aca="false">SUM(G5:G300)</f>
        <v>0</v>
      </c>
      <c r="H1" s="14" t="n">
        <f aca="false">SUM(H5:H300)</f>
        <v>0</v>
      </c>
      <c r="I1" s="14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46113</v>
      </c>
      <c r="O1" s="19"/>
      <c r="P1" s="14" t="n">
        <f aca="false">SUM(P5:P300)</f>
        <v>0</v>
      </c>
      <c r="Q1" s="14"/>
    </row>
    <row r="2" s="20" customFormat="true" ht="12.75" hidden="false" customHeight="true" outlineLevel="0" collapsed="false">
      <c r="A2" s="9"/>
      <c r="B2" s="10"/>
      <c r="C2" s="10"/>
      <c r="D2" s="12"/>
      <c r="E2" s="12"/>
      <c r="F2" s="12"/>
      <c r="G2" s="10" t="s">
        <v>5</v>
      </c>
      <c r="H2" s="21" t="n">
        <f aca="false">Apr!H2</f>
        <v>20</v>
      </c>
      <c r="I2" s="10" t="s">
        <v>6</v>
      </c>
      <c r="J2" s="15"/>
      <c r="K2" s="16"/>
      <c r="L2" s="22" t="s">
        <v>7</v>
      </c>
      <c r="M2" s="22"/>
      <c r="N2" s="22"/>
      <c r="O2" s="19"/>
      <c r="P2" s="10" t="s">
        <v>8</v>
      </c>
      <c r="Q2" s="10"/>
    </row>
    <row r="3" s="26" customFormat="true" ht="34.5" hidden="false" customHeight="true" outlineLevel="0" collapsed="false">
      <c r="A3" s="9"/>
      <c r="B3" s="10"/>
      <c r="C3" s="10"/>
      <c r="D3" s="12"/>
      <c r="E3" s="12"/>
      <c r="F3" s="12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10" t="s">
        <v>13</v>
      </c>
      <c r="Q3" s="10" t="s">
        <v>14</v>
      </c>
    </row>
    <row r="4" customFormat="false" ht="12.75" hidden="false" customHeight="true" outlineLevel="0" collapsed="false">
      <c r="A4" s="9"/>
      <c r="B4" s="10"/>
      <c r="C4" s="10"/>
      <c r="D4" s="12"/>
      <c r="E4" s="12"/>
      <c r="F4" s="12"/>
      <c r="G4" s="10"/>
      <c r="H4" s="27"/>
      <c r="I4" s="10"/>
      <c r="J4" s="15"/>
      <c r="K4" s="16"/>
      <c r="L4" s="23"/>
      <c r="M4" s="24"/>
      <c r="N4" s="24"/>
      <c r="O4" s="19"/>
      <c r="P4" s="10"/>
      <c r="Q4" s="10"/>
    </row>
    <row r="5" customFormat="false" ht="12.75" hidden="false" customHeight="true" outlineLevel="0" collapsed="false">
      <c r="H5" s="2" t="str">
        <f aca="false">IF(H$4&gt;0,(IF(G5&lt;&gt;0,G5*H$4/100," ")),IF(G5&lt;&gt;0,G5*H$2/(100+H$2)," "))</f>
        <v> </v>
      </c>
      <c r="I5" s="2" t="str">
        <f aca="false">IF((G5&lt;&gt;0),G5-H5," ")</f>
        <v> </v>
      </c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31"/>
      <c r="F300" s="31"/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/>
      <c r="Q300" s="29"/>
    </row>
  </sheetData>
  <mergeCells count="18">
    <mergeCell ref="A1:A4"/>
    <mergeCell ref="B1:B4"/>
    <mergeCell ref="C1:C4"/>
    <mergeCell ref="D1:D4"/>
    <mergeCell ref="E1:E4"/>
    <mergeCell ref="F1:F4"/>
    <mergeCell ref="J1:J4"/>
    <mergeCell ref="K1:K4"/>
    <mergeCell ref="O1:O4"/>
    <mergeCell ref="G2:G4"/>
    <mergeCell ref="I2:I4"/>
    <mergeCell ref="L2:N2"/>
    <mergeCell ref="P2:Q2"/>
    <mergeCell ref="L3:L4"/>
    <mergeCell ref="M3:M4"/>
    <mergeCell ref="N3:N4"/>
    <mergeCell ref="P3:P4"/>
    <mergeCell ref="Q3:Q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2" type="date">
      <formula1>38353</formula1>
      <formula2>53327</formula2>
    </dataValidation>
  </dataValidations>
  <printOptions headings="false" gridLines="false" gridLinesSet="true" horizontalCentered="true" verticalCentered="true"/>
  <pageMargins left="0.275694444444444" right="0.275694444444444" top="0.7875" bottom="0.7875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/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45762</v>
      </c>
      <c r="B5" s="2" t="s">
        <v>34</v>
      </c>
      <c r="F5" s="4" t="s">
        <v>35</v>
      </c>
      <c r="G5" s="2" t="n">
        <v>1500</v>
      </c>
      <c r="H5" s="2" t="n">
        <f aca="false">IF(H$4&gt;0,(IF(G5&lt;&gt;0,G5*H$4/100," ")),IF(G5&lt;&gt;0,G5*H$2/(100+H$2)," "))</f>
        <v>250</v>
      </c>
      <c r="I5" s="2" t="n">
        <f aca="false">IF((G5&lt;&gt;0),G5-H5," ")</f>
        <v>1250</v>
      </c>
      <c r="M5" s="7" t="n">
        <f aca="false">IF(G5&lt;&gt;0,G5-L5," ")</f>
        <v>1500</v>
      </c>
      <c r="N5" s="8" t="n">
        <f aca="false">IF((G5-L5)&lt;&gt;0,N$1-A5," ")</f>
        <v>351</v>
      </c>
      <c r="P5" s="2" t="n">
        <f aca="false">IF((F5="a"),I5," ")</f>
        <v>1250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A6" s="1" t="n">
        <v>45775</v>
      </c>
      <c r="B6" s="2" t="s">
        <v>36</v>
      </c>
      <c r="F6" s="4" t="s">
        <v>35</v>
      </c>
      <c r="G6" s="2" t="n">
        <v>1500</v>
      </c>
      <c r="H6" s="2" t="n">
        <f aca="false">IF(H$4&gt;0,(IF(G6&lt;&gt;0,G6*H$4/100," ")),IF(G6&lt;&gt;0,G6*H$2/(100+H$2)," "))</f>
        <v>250</v>
      </c>
      <c r="I6" s="2" t="n">
        <f aca="false">IF((G6&lt;&gt;0),G6-H6," ")</f>
        <v>1250</v>
      </c>
      <c r="M6" s="7" t="n">
        <f aca="false">IF(G6&lt;&gt;0,G6-L6," ")</f>
        <v>1500</v>
      </c>
      <c r="N6" s="8" t="n">
        <f aca="false">IF((G6-L6)&lt;&gt;0,N$1-A6," ")</f>
        <v>338</v>
      </c>
      <c r="P6" s="2" t="n">
        <f aca="false">IF((F6="a"),I6," ")</f>
        <v>1250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F11" s="4" t="str">
        <f aca="false">IF((G11&lt;&gt;0),"Enter Letter"," ")</f>
        <v> </v>
      </c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F12" s="4" t="str">
        <f aca="false">IF((G12&lt;&gt;0),"Enter Letter"," ")</f>
        <v> </v>
      </c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F13" s="4" t="str">
        <f aca="false">IF((G13&lt;&gt;0),"Enter Letter"," ")</f>
        <v> </v>
      </c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F14" s="4" t="str">
        <f aca="false">IF((G14&lt;&gt;0),"Enter Letter"," ")</f>
        <v> </v>
      </c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F15" s="4" t="str">
        <f aca="false">IF((G15&lt;&gt;0),"Enter Letter"," ")</f>
        <v> </v>
      </c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F16" s="4" t="str">
        <f aca="false">IF((G16&lt;&gt;0),"Enter Letter"," ")</f>
        <v> </v>
      </c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F17" s="4" t="str">
        <f aca="false">IF((G17&lt;&gt;0),"Enter Letter"," ")</f>
        <v> </v>
      </c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F18" s="4" t="str">
        <f aca="false">IF((G18&lt;&gt;0),"Enter Letter"," ")</f>
        <v> </v>
      </c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F19" s="4" t="str">
        <f aca="false">IF((G19&lt;&gt;0),"Enter Letter"," ")</f>
        <v> </v>
      </c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F20" s="4" t="str">
        <f aca="false">IF((G20&lt;&gt;0),"Enter Letter"," ")</f>
        <v> </v>
      </c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F21" s="4" t="str">
        <f aca="false">IF((G21&lt;&gt;0),"Enter Letter"," ")</f>
        <v> </v>
      </c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F22" s="4" t="str">
        <f aca="false">IF((G22&lt;&gt;0),"Enter Letter"," ")</f>
        <v> </v>
      </c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F23" s="4" t="str">
        <f aca="false">IF((G23&lt;&gt;0),"Enter Letter"," ")</f>
        <v> </v>
      </c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F24" s="4" t="str">
        <f aca="false">IF((G24&lt;&gt;0),"Enter Letter"," ")</f>
        <v> </v>
      </c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F25" s="4" t="str">
        <f aca="false">IF((G25&lt;&gt;0),"Enter Letter"," ")</f>
        <v> </v>
      </c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F26" s="4" t="str">
        <f aca="false">IF((G26&lt;&gt;0),"Enter Letter"," ")</f>
        <v> </v>
      </c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F27" s="4" t="str">
        <f aca="false">IF((G27&lt;&gt;0),"Enter Letter"," ")</f>
        <v> </v>
      </c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F28" s="4" t="str">
        <f aca="false">IF((G28&lt;&gt;0),"Enter Letter"," ")</f>
        <v> </v>
      </c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F29" s="4" t="str">
        <f aca="false">IF((G29&lt;&gt;0),"Enter Letter"," ")</f>
        <v> </v>
      </c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F30" s="4" t="str">
        <f aca="false">IF((G30&lt;&gt;0),"Enter Letter"," ")</f>
        <v> </v>
      </c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F31" s="4" t="str">
        <f aca="false">IF((G31&lt;&gt;0),"Enter Letter"," ")</f>
        <v> </v>
      </c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F32" s="4" t="str">
        <f aca="false">IF((G32&lt;&gt;0),"Enter Letter"," ")</f>
        <v> </v>
      </c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F33" s="4" t="str">
        <f aca="false">IF((G33&lt;&gt;0),"Enter Letter"," ")</f>
        <v> </v>
      </c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F34" s="4" t="str">
        <f aca="false">IF((G34&lt;&gt;0),"Enter Letter"," ")</f>
        <v> </v>
      </c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F35" s="4" t="str">
        <f aca="false">IF((G35&lt;&gt;0),"Enter Letter"," ")</f>
        <v> </v>
      </c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F36" s="4" t="str">
        <f aca="false">IF((G36&lt;&gt;0),"Enter Letter"," ")</f>
        <v> </v>
      </c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F37" s="4" t="str">
        <f aca="false">IF((G37&lt;&gt;0),"Enter Letter"," ")</f>
        <v> </v>
      </c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F38" s="4" t="str">
        <f aca="false">IF((G38&lt;&gt;0),"Enter Letter"," ")</f>
        <v> </v>
      </c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F39" s="4" t="str">
        <f aca="false">IF((G39&lt;&gt;0),"Enter Letter"," ")</f>
        <v> </v>
      </c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F40" s="4" t="str">
        <f aca="false">IF((G40&lt;&gt;0),"Enter Letter"," ")</f>
        <v> </v>
      </c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F41" s="4" t="str">
        <f aca="false">IF((G41&lt;&gt;0),"Enter Letter"," ")</f>
        <v> </v>
      </c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F42" s="4" t="str">
        <f aca="false">IF((G42&lt;&gt;0),"Enter Letter"," ")</f>
        <v> </v>
      </c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F43" s="4" t="str">
        <f aca="false">IF((G43&lt;&gt;0),"Enter Letter"," ")</f>
        <v> </v>
      </c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F44" s="4" t="str">
        <f aca="false">IF((G44&lt;&gt;0),"Enter Letter"," ")</f>
        <v> </v>
      </c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F45" s="4" t="str">
        <f aca="false">IF((G45&lt;&gt;0),"Enter Letter"," ")</f>
        <v> </v>
      </c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F46" s="4" t="str">
        <f aca="false">IF((G46&lt;&gt;0),"Enter Letter"," ")</f>
        <v> </v>
      </c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F47" s="4" t="str">
        <f aca="false">IF((G47&lt;&gt;0),"Enter Letter"," ")</f>
        <v> </v>
      </c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F48" s="4" t="str">
        <f aca="false">IF((G48&lt;&gt;0),"Enter Letter"," ")</f>
        <v> </v>
      </c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F49" s="4" t="str">
        <f aca="false">IF((G49&lt;&gt;0),"Enter Letter"," ")</f>
        <v> </v>
      </c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F50" s="4" t="str">
        <f aca="false">IF((G50&lt;&gt;0),"Enter Letter"," ")</f>
        <v> </v>
      </c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F51" s="4" t="str">
        <f aca="false">IF((G51&lt;&gt;0),"Enter Letter"," ")</f>
        <v> </v>
      </c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F52" s="4" t="str">
        <f aca="false">IF((G52&lt;&gt;0),"Enter Letter"," ")</f>
        <v> </v>
      </c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F53" s="4" t="str">
        <f aca="false">IF((G53&lt;&gt;0),"Enter Letter"," ")</f>
        <v> </v>
      </c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F54" s="4" t="str">
        <f aca="false">IF((G54&lt;&gt;0),"Enter Letter"," ")</f>
        <v> </v>
      </c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F55" s="4" t="str">
        <f aca="false">IF((G55&lt;&gt;0),"Enter Letter"," ")</f>
        <v> </v>
      </c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F56" s="4" t="str">
        <f aca="false">IF((G56&lt;&gt;0),"Enter Letter"," ")</f>
        <v> </v>
      </c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F57" s="4" t="str">
        <f aca="false">IF((G57&lt;&gt;0),"Enter Letter"," ")</f>
        <v> </v>
      </c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F58" s="4" t="str">
        <f aca="false">IF((G58&lt;&gt;0),"Enter Letter"," ")</f>
        <v> </v>
      </c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F59" s="4" t="str">
        <f aca="false">IF((G59&lt;&gt;0),"Enter Letter"," ")</f>
        <v> </v>
      </c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F60" s="4" t="str">
        <f aca="false">IF((G60&lt;&gt;0),"Enter Letter"," ")</f>
        <v> </v>
      </c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F61" s="4" t="str">
        <f aca="false">IF((G61&lt;&gt;0),"Enter Letter"," ")</f>
        <v> </v>
      </c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F62" s="4" t="str">
        <f aca="false">IF((G62&lt;&gt;0),"Enter Letter"," ")</f>
        <v> </v>
      </c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F63" s="4" t="str">
        <f aca="false">IF((G63&lt;&gt;0),"Enter Letter"," ")</f>
        <v> </v>
      </c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F64" s="4" t="str">
        <f aca="false">IF((G64&lt;&gt;0),"Enter Letter"," ")</f>
        <v> </v>
      </c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F65" s="4" t="str">
        <f aca="false">IF((G65&lt;&gt;0),"Enter Letter"," ")</f>
        <v> </v>
      </c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F66" s="4" t="str">
        <f aca="false">IF((G66&lt;&gt;0),"Enter Letter"," ")</f>
        <v> </v>
      </c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F67" s="4" t="str">
        <f aca="false">IF((G67&lt;&gt;0),"Enter Letter"," ")</f>
        <v> </v>
      </c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F68" s="4" t="str">
        <f aca="false">IF((G68&lt;&gt;0),"Enter Letter"," ")</f>
        <v> </v>
      </c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68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67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196527777777778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  <colBreaks count="1" manualBreakCount="1">
    <brk id="22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W1+Apr!X1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Apr!H2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V1+Apr!V2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Apr!H4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45792</v>
      </c>
      <c r="B5" s="2" t="s">
        <v>34</v>
      </c>
      <c r="F5" s="4" t="s">
        <v>35</v>
      </c>
      <c r="G5" s="2" t="n">
        <v>1500</v>
      </c>
      <c r="H5" s="2" t="n">
        <f aca="false">IF(H$4&gt;0,(IF(G5&lt;&gt;0,G5*H$4/100," ")),IF(G5&lt;&gt;0,G5*H$2/(100+H$2)," "))</f>
        <v>250</v>
      </c>
      <c r="I5" s="2" t="n">
        <f aca="false">IF((G5&lt;&gt;0),G5-H5," ")</f>
        <v>1250</v>
      </c>
      <c r="M5" s="7" t="n">
        <f aca="false">IF(G5&lt;&gt;0,G5-L5," ")</f>
        <v>1500</v>
      </c>
      <c r="N5" s="8" t="n">
        <f aca="false">IF((G5-L5)&lt;&gt;0,N$1-A5," ")</f>
        <v>321</v>
      </c>
      <c r="P5" s="2" t="n">
        <f aca="false">IF((F5="a"),I5," ")</f>
        <v>1250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A6" s="1" t="n">
        <v>45805</v>
      </c>
      <c r="B6" s="2" t="s">
        <v>37</v>
      </c>
      <c r="F6" s="4" t="s">
        <v>35</v>
      </c>
      <c r="G6" s="2" t="n">
        <v>1500</v>
      </c>
      <c r="H6" s="2" t="n">
        <f aca="false">IF(H$4&gt;0,(IF(G6&lt;&gt;0,G6*H$4/100," ")),IF(G6&lt;&gt;0,G6*H$2/(100+H$2)," "))</f>
        <v>250</v>
      </c>
      <c r="I6" s="2" t="n">
        <f aca="false">IF((G6&lt;&gt;0),G6-H6," ")</f>
        <v>1250</v>
      </c>
      <c r="M6" s="7" t="n">
        <f aca="false">IF(G6&lt;&gt;0,G6-L6," ")</f>
        <v>1500</v>
      </c>
      <c r="N6" s="8" t="n">
        <f aca="false">IF((G6-L6)&lt;&gt;0,N$1-A6," ")</f>
        <v>308</v>
      </c>
      <c r="P6" s="2" t="n">
        <f aca="false">IF((F6="a"),I6," ")</f>
        <v>1250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2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41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W1+May!X1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May!H2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V1+May!V2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May!H4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45823</v>
      </c>
      <c r="B5" s="2" t="s">
        <v>34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290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W1+Jun!X1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Jun!H2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V1+Jun!V2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Jun!H4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45853</v>
      </c>
      <c r="B5" s="2" t="s">
        <v>36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260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F21" s="4" t="str">
        <f aca="false">IF((G21&lt;&gt;0),"Enter Letter"," ")</f>
        <v> </v>
      </c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F22" s="4" t="str">
        <f aca="false">IF((G22&lt;&gt;0),"Enter Letter"," ")</f>
        <v> </v>
      </c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5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4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W1+Jul!X1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Jul!H2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V1+Jul!V2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Jul!H4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45884</v>
      </c>
      <c r="B5" s="2" t="s">
        <v>34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229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W1+Aug!X1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Aug!H2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V1+Aug!V2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Aug!H4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45915</v>
      </c>
      <c r="B5" s="2" t="s">
        <v>37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198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5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4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W1+Sep!X1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Sep!H2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V1+Sep!V2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Sep!H4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45945</v>
      </c>
      <c r="B5" s="2" t="s">
        <v>34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168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W1+Oct!X1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Oct!H2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V1+Oct!V2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Oct!H4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45976</v>
      </c>
      <c r="B5" s="2" t="s">
        <v>36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137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W1+Nov!X1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Nov!H2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V1+Nov!V2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Nov!H4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46006</v>
      </c>
      <c r="B5" s="2" t="s">
        <v>34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107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W1+Dec!X1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Dec!H2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V1+Dec!V2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44" t="n">
        <f aca="false">Dec!H4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46037</v>
      </c>
      <c r="B5" s="2" t="s">
        <v>37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76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5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  <dataValidation allowBlank="true" errorStyle="stop" operator="between" prompt="To effect a change in the standard vat rate:&#10;&#10;ENTER NEW RATE IN THE MONTH THE RATE CHANGES&#10;PURCHASE AND SUCCEEDING MONTHS AUTOMATICALLY UPDATED" promptTitle="VAT CHANGE" showDropDown="false" showErrorMessage="true" showInputMessage="true" sqref="H2" type="none">
      <formula1>0</formula1>
      <formula2>0</formula2>
    </dataValidation>
    <dataValidation allowBlank="true" errorStyle="stop" operator="between" prompt="To effect a change in the FLAT RATE VAT PERCENTAGE&#10;&#10;ENTER NEW RATE IN THE MONTH THE RATE CHANGES&#10;PURCHASE AND SUCCEEDING MONTHS AUTOMATICALLY UPDATED" promptTitle="CHANGE TO FLAT RATE VAT" showDropDown="false" showErrorMessage="true" showInputMessage="true" sqref="H4" type="none">
      <formula1>0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W1+Jan!X1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Jan!H2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V1+Jan!V2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Jan!H4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46068</v>
      </c>
      <c r="B5" s="2" t="s">
        <v>34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45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W1+Feb!X1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Feb!H2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V1+Feb!V2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Feb!H4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46096</v>
      </c>
      <c r="B5" s="2" t="s">
        <v>36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17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0.15"/>
    <col collapsed="false" customWidth="true" hidden="false" outlineLevel="0" max="3" min="3" style="3" width="12.82"/>
    <col collapsed="false" customWidth="true" hidden="false" outlineLevel="0" max="4" min="4" style="4" width="7.66"/>
    <col collapsed="false" customWidth="true" hidden="false" outlineLevel="0" max="5" min="5" style="4" width="15.32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false" hidden="false" outlineLevel="0" max="257" min="16" style="2" width="9.15"/>
  </cols>
  <sheetData>
    <row r="1" s="20" customFormat="true" ht="13.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2"/>
      <c r="G1" s="14" t="n">
        <f aca="false">SUM(G5:G300)</f>
        <v>0</v>
      </c>
      <c r="H1" s="14" t="n">
        <f aca="false">SUM(H5:H300)</f>
        <v>0</v>
      </c>
      <c r="I1" s="14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46113</v>
      </c>
      <c r="O1" s="19"/>
      <c r="P1" s="14" t="n">
        <f aca="false">SUM(P5:P300)</f>
        <v>0</v>
      </c>
      <c r="Q1" s="14"/>
    </row>
    <row r="2" s="20" customFormat="true" ht="12.75" hidden="false" customHeight="true" outlineLevel="0" collapsed="false">
      <c r="A2" s="9"/>
      <c r="B2" s="10"/>
      <c r="C2" s="10"/>
      <c r="D2" s="12"/>
      <c r="E2" s="12"/>
      <c r="F2" s="12"/>
      <c r="G2" s="10" t="s">
        <v>5</v>
      </c>
      <c r="H2" s="21" t="n">
        <f aca="false">Mar!H2</f>
        <v>20</v>
      </c>
      <c r="I2" s="10" t="s">
        <v>6</v>
      </c>
      <c r="J2" s="15"/>
      <c r="K2" s="16"/>
      <c r="L2" s="22" t="s">
        <v>7</v>
      </c>
      <c r="M2" s="22"/>
      <c r="N2" s="22"/>
      <c r="O2" s="19"/>
      <c r="P2" s="10" t="s">
        <v>8</v>
      </c>
      <c r="Q2" s="10"/>
    </row>
    <row r="3" s="26" customFormat="true" ht="34.5" hidden="false" customHeight="true" outlineLevel="0" collapsed="false">
      <c r="A3" s="9"/>
      <c r="B3" s="10"/>
      <c r="C3" s="10"/>
      <c r="D3" s="12"/>
      <c r="E3" s="12"/>
      <c r="F3" s="12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10" t="s">
        <v>13</v>
      </c>
      <c r="Q3" s="10" t="s">
        <v>14</v>
      </c>
    </row>
    <row r="4" customFormat="false" ht="12.75" hidden="false" customHeight="true" outlineLevel="0" collapsed="false">
      <c r="A4" s="9"/>
      <c r="B4" s="10"/>
      <c r="C4" s="10"/>
      <c r="D4" s="12"/>
      <c r="E4" s="12"/>
      <c r="F4" s="12"/>
      <c r="G4" s="10"/>
      <c r="H4" s="27" t="n">
        <f aca="false">Mar!H4</f>
        <v>0</v>
      </c>
      <c r="I4" s="10"/>
      <c r="J4" s="15"/>
      <c r="K4" s="16"/>
      <c r="L4" s="23"/>
      <c r="M4" s="24"/>
      <c r="N4" s="24"/>
      <c r="O4" s="19"/>
      <c r="P4" s="10"/>
      <c r="Q4" s="10"/>
    </row>
    <row r="5" customFormat="false" ht="12.75" hidden="false" customHeight="true" outlineLevel="0" collapsed="false">
      <c r="H5" s="2" t="str">
        <f aca="false">IF(H$4&gt;0,(IF(G5&lt;&gt;0,G5*H$4/100," ")),IF(G5&lt;&gt;0,G5*H$2/(100+H$2)," "))</f>
        <v> </v>
      </c>
      <c r="I5" s="2" t="str">
        <f aca="false">IF((G5&lt;&gt;0),G5-H5," ")</f>
        <v> </v>
      </c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31"/>
      <c r="F300" s="31"/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/>
      <c r="Q300" s="29"/>
    </row>
  </sheetData>
  <mergeCells count="18">
    <mergeCell ref="A1:A4"/>
    <mergeCell ref="B1:B4"/>
    <mergeCell ref="C1:C4"/>
    <mergeCell ref="D1:D4"/>
    <mergeCell ref="E1:E4"/>
    <mergeCell ref="F1:F4"/>
    <mergeCell ref="J1:J4"/>
    <mergeCell ref="K1:K4"/>
    <mergeCell ref="O1:O4"/>
    <mergeCell ref="G2:G4"/>
    <mergeCell ref="I2:I4"/>
    <mergeCell ref="L2:N2"/>
    <mergeCell ref="P2:Q2"/>
    <mergeCell ref="L3:L4"/>
    <mergeCell ref="M3:M4"/>
    <mergeCell ref="N3:N4"/>
    <mergeCell ref="P3:P4"/>
    <mergeCell ref="Q3:Q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5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4" type="date">
      <formula1>38353</formula1>
      <formula2>53327</formula2>
    </dataValidation>
  </dataValidations>
  <printOptions headings="false" gridLines="false" gridLinesSet="true" horizontalCentered="true" verticalCentered="true"/>
  <pageMargins left="0.354166666666667" right="0.354166666666667" top="0.7875" bottom="0.7875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2005-11-20T10:44:15Z</dcterms:created>
  <dc:creator>Terry Cartwright</dc:creator>
  <dc:description/>
  <dc:language>en-US</dc:language>
  <cp:lastModifiedBy>Cartwright, Antony</cp:lastModifiedBy>
  <cp:lastPrinted>2007-03-02T22:25:05Z</cp:lastPrinted>
  <dcterms:modified xsi:type="dcterms:W3CDTF">2025-04-03T22:49:48Z</dcterms:modified>
  <cp:revision>0</cp:revision>
  <dc:subject/>
  <dc:title>Self Employed Sales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