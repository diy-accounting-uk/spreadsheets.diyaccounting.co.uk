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<sst xmlns="http://schemas.openxmlformats.org/spreadsheetml/2006/main" count="466" uniqueCount="38">
  <si>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</si>
  <si>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</si>
  <si>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</si>
  <si>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</si>
  <si>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</si>
  <si>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</si>
  <si>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</si>
  <si>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</si>
  <si>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</si>
  <si>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</si>
  <si>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</si>
  <si>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</si>
  <si>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</si>
  <si>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</si>
  <si>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</si>
  <si>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</si>
  <si>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</si>
  <si>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</si>
  <si>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</si>
  <si>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</si>
  <si>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</si>
  <si>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</si>
  <si>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</si>
  <si>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</si>
  <si>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</si>
  <si>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</si>
  <si>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</si>
  <si>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</si>
  <si>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</si>
  <si>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</si>
  <si>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</si>
  <si>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</si>
  <si>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</si>
  <si>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</si>
  <si>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Client A</t>
  </si>
  <si>
    <t xml:space="preserve">a</t>
  </si>
  <si>
    <t xml:space="preserve">Client B</t>
  </si>
  <si>
    <t xml:space="preserve">Client C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</si>
</sst>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46113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3000</v>
      </c>
      <c r="H1" s="14" t="n">
        <f aca="false">SUM(H5:H300)</f>
        <v>500</v>
      </c>
      <c r="I1" s="14" t="n">
        <f aca="false">SUM(I5:I300)</f>
        <v>2500</v>
      </c>
      <c r="J1" s="15"/>
      <c r="K1" s="16" t="s">
        <v>4</v>
      </c>
      <c r="L1" s="17" t="n">
        <f aca="false">SUM(L5:L300)</f>
        <v>0</v>
      </c>
      <c r="M1" s="41" t="n">
        <f aca="false">SUM(M5:M300)</f>
        <v>3000</v>
      </c>
      <c r="N1" s="18" t="n">
        <f aca="true">TODAY()</f>
        <v>46113</v>
      </c>
      <c r="O1" s="19"/>
      <c r="P1" s="14" t="n">
        <f aca="false">SUM(P5:P300)</f>
        <v>2500</v>
      </c>
      <c r="Q1" s="14" t="n">
        <f aca="false">SUM(Q5:Q300)</f>
        <v>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45762</v>
      </c>
      <c r="B5" s="2" t="s">
        <v>34</v>
      </c>
      <c r="F5" s="4" t="s">
        <v>35</v>
      </c>
      <c r="G5" s="2" t="n">
        <v>1500</v>
      </c>
      <c r="H5" s="2" t="n">
        <f aca="false">IF(H$4&gt;0,(IF(G5&lt;&gt;0,G5*H$4/100," ")),IF(G5&lt;&gt;0,G5*H$2/(100+H$2)," "))</f>
        <v>250</v>
      </c>
      <c r="I5" s="2" t="n">
        <f aca="false">IF((G5&lt;&gt;0),G5-H5," ")</f>
        <v>1250</v>
      </c>
      <c r="M5" s="7" t="n">
        <f aca="false">IF(G5&lt;&gt;0,G5-L5," ")</f>
        <v>1500</v>
      </c>
      <c r="N5" s="8" t="n">
        <f aca="false">IF((G5-L5)&lt;&gt;0,N$1-A5," ")</f>
        <v>351</v>
      </c>
      <c r="P5" s="2" t="n">
        <f aca="false">IF((F5="a"),I5," ")</f>
        <v>1250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45775</v>
      </c>
      <c r="B6" s="2" t="s">
        <v>36</v>
      </c>
      <c r="F6" s="4" t="s">
        <v>35</v>
      </c>
      <c r="G6" s="2" t="n">
        <v>1500</v>
      </c>
      <c r="H6" s="2" t="n">
        <f aca="false">IF(H$4&gt;0,(IF(G6&lt;&gt;0,G6*H$4/100," ")),IF(G6&lt;&gt;0,G6*H$2/(100+H$2)," "))</f>
        <v>250</v>
      </c>
      <c r="I6" s="2" t="n">
        <f aca="false">IF((G6&lt;&gt;0),G6-H6," ")</f>
        <v>1250</v>
      </c>
      <c r="M6" s="7" t="n">
        <f aca="false">IF(G6&lt;&gt;0,G6-L6," ")</f>
        <v>1500</v>
      </c>
      <c r="N6" s="8" t="n">
        <f aca="false">IF((G6-L6)&lt;&gt;0,N$1-A6," ")</f>
        <v>338</v>
      </c>
      <c r="P6" s="2" t="n">
        <f aca="false">IF((F6="a"),I6," ")</f>
        <v>1250</v>
      </c>
      <c r="Q6" s="2" t="str">
        <f aca="false">IF((F6="b"),I6," ")</f>
        <v> 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F11" s="4" t="str">
        <f aca="false">IF((G11&lt;&gt;0),"Enter Letter"," ")</f>
        <v> </v>
      </c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F12" s="4" t="str">
        <f aca="false">IF((G12&lt;&gt;0),"Enter Letter"," ")</f>
        <v> </v>
      </c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F13" s="4" t="str">
        <f aca="false">IF((G13&lt;&gt;0),"Enter Letter"," ")</f>
        <v> </v>
      </c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F14" s="4" t="str">
        <f aca="false">IF((G14&lt;&gt;0),"Enter Letter"," ")</f>
        <v> </v>
      </c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F15" s="4" t="str">
        <f aca="false">IF((G15&lt;&gt;0),"Enter Letter"," ")</f>
        <v> </v>
      </c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F16" s="4" t="str">
        <f aca="false">IF((G16&lt;&gt;0),"Enter Letter"," ")</f>
        <v> </v>
      </c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F17" s="4" t="str">
        <f aca="false">IF((G17&lt;&gt;0),"Enter Letter"," ")</f>
        <v> </v>
      </c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F18" s="4" t="str">
        <f aca="false">IF((G18&lt;&gt;0),"Enter Letter"," ")</f>
        <v> </v>
      </c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F19" s="4" t="str">
        <f aca="false">IF((G19&lt;&gt;0),"Enter Letter"," ")</f>
        <v> </v>
      </c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F20" s="4" t="str">
        <f aca="false">IF((G20&lt;&gt;0),"Enter Letter"," ")</f>
        <v> </v>
      </c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F23" s="4" t="str">
        <f aca="false">IF((G23&lt;&gt;0),"Enter Letter"," ")</f>
        <v> </v>
      </c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F24" s="4" t="str">
        <f aca="false">IF((G24&lt;&gt;0),"Enter Letter"," ")</f>
        <v> </v>
      </c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F25" s="4" t="str">
        <f aca="false">IF((G25&lt;&gt;0),"Enter Letter"," ")</f>
        <v> </v>
      </c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F26" s="4" t="str">
        <f aca="false">IF((G26&lt;&gt;0),"Enter Letter"," ")</f>
        <v> </v>
      </c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F27" s="4" t="str">
        <f aca="false">IF((G27&lt;&gt;0),"Enter Letter"," ")</f>
        <v> </v>
      </c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F28" s="4" t="str">
        <f aca="false">IF((G28&lt;&gt;0),"Enter Letter"," ")</f>
        <v> </v>
      </c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F29" s="4" t="str">
        <f aca="false">IF((G29&lt;&gt;0),"Enter Letter"," ")</f>
        <v> </v>
      </c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F30" s="4" t="str">
        <f aca="false">IF((G30&lt;&gt;0),"Enter Letter"," ")</f>
        <v> </v>
      </c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F31" s="4" t="str">
        <f aca="false">IF((G31&lt;&gt;0),"Enter Letter"," ")</f>
        <v> </v>
      </c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F32" s="4" t="str">
        <f aca="false">IF((G32&lt;&gt;0),"Enter Letter"," ")</f>
        <v> </v>
      </c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F33" s="4" t="str">
        <f aca="false">IF((G33&lt;&gt;0),"Enter Letter"," ")</f>
        <v> </v>
      </c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F34" s="4" t="str">
        <f aca="false">IF((G34&lt;&gt;0),"Enter Letter"," ")</f>
        <v> </v>
      </c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F35" s="4" t="str">
        <f aca="false">IF((G35&lt;&gt;0),"Enter Letter"," ")</f>
        <v> </v>
      </c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F36" s="4" t="str">
        <f aca="false">IF((G36&lt;&gt;0),"Enter Letter"," ")</f>
        <v> </v>
      </c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F37" s="4" t="str">
        <f aca="false">IF((G37&lt;&gt;0),"Enter Letter"," ")</f>
        <v> </v>
      </c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F38" s="4" t="str">
        <f aca="false">IF((G38&lt;&gt;0),"Enter Letter"," ")</f>
        <v> </v>
      </c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F39" s="4" t="str">
        <f aca="false">IF((G39&lt;&gt;0),"Enter Letter"," ")</f>
        <v> </v>
      </c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F40" s="4" t="str">
        <f aca="false">IF((G40&lt;&gt;0),"Enter Letter"," ")</f>
        <v> </v>
      </c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F41" s="4" t="str">
        <f aca="false">IF((G41&lt;&gt;0),"Enter Letter"," ")</f>
        <v> </v>
      </c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F42" s="4" t="str">
        <f aca="false">IF((G42&lt;&gt;0),"Enter Letter"," ")</f>
        <v> </v>
      </c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F43" s="4" t="str">
        <f aca="false">IF((G43&lt;&gt;0),"Enter Letter"," ")</f>
        <v> </v>
      </c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F44" s="4" t="str">
        <f aca="false">IF((G44&lt;&gt;0),"Enter Letter"," ")</f>
        <v> </v>
      </c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F45" s="4" t="str">
        <f aca="false">IF((G45&lt;&gt;0),"Enter Letter"," ")</f>
        <v> </v>
      </c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F46" s="4" t="str">
        <f aca="false">IF((G46&lt;&gt;0),"Enter Letter"," ")</f>
        <v> </v>
      </c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F47" s="4" t="str">
        <f aca="false">IF((G47&lt;&gt;0),"Enter Letter"," ")</f>
        <v> </v>
      </c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F48" s="4" t="str">
        <f aca="false">IF((G48&lt;&gt;0),"Enter Letter"," ")</f>
        <v> </v>
      </c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F49" s="4" t="str">
        <f aca="false">IF((G49&lt;&gt;0),"Enter Letter"," ")</f>
        <v> </v>
      </c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F50" s="4" t="str">
        <f aca="false">IF((G50&lt;&gt;0),"Enter Letter"," ")</f>
        <v> </v>
      </c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F51" s="4" t="str">
        <f aca="false">IF((G51&lt;&gt;0),"Enter Letter"," ")</f>
        <v> </v>
      </c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F52" s="4" t="str">
        <f aca="false">IF((G52&lt;&gt;0),"Enter Letter"," ")</f>
        <v> </v>
      </c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F53" s="4" t="str">
        <f aca="false">IF((G53&lt;&gt;0),"Enter Letter"," ")</f>
        <v> </v>
      </c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F54" s="4" t="str">
        <f aca="false">IF((G54&lt;&gt;0),"Enter Letter"," ")</f>
        <v> </v>
      </c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F55" s="4" t="str">
        <f aca="false">IF((G55&lt;&gt;0),"Enter Letter"," ")</f>
        <v> </v>
      </c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F56" s="4" t="str">
        <f aca="false">IF((G56&lt;&gt;0),"Enter Letter"," ")</f>
        <v> </v>
      </c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F57" s="4" t="str">
        <f aca="false">IF((G57&lt;&gt;0),"Enter Letter"," ")</f>
        <v> </v>
      </c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F58" s="4" t="str">
        <f aca="false">IF((G58&lt;&gt;0),"Enter Letter"," ")</f>
        <v> </v>
      </c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F59" s="4" t="str">
        <f aca="false">IF((G59&lt;&gt;0),"Enter Letter"," ")</f>
        <v> </v>
      </c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F60" s="4" t="str">
        <f aca="false">IF((G60&lt;&gt;0),"Enter Letter"," ")</f>
        <v> </v>
      </c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F61" s="4" t="str">
        <f aca="false">IF((G61&lt;&gt;0),"Enter Letter"," ")</f>
        <v> </v>
      </c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F62" s="4" t="str">
        <f aca="false">IF((G62&lt;&gt;0),"Enter Letter"," ")</f>
        <v> </v>
      </c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F63" s="4" t="str">
        <f aca="false">IF((G63&lt;&gt;0),"Enter Letter"," ")</f>
        <v> </v>
      </c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F64" s="4" t="str">
        <f aca="false">IF((G64&lt;&gt;0),"Enter Letter"," ")</f>
        <v> </v>
      </c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F65" s="4" t="str">
        <f aca="false">IF((G65&lt;&gt;0),"Enter Letter"," ")</f>
        <v> </v>
      </c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F66" s="4" t="str">
        <f aca="false">IF((G66&lt;&gt;0),"Enter Letter"," ")</f>
        <v> </v>
      </c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F67" s="4" t="str">
        <f aca="false">IF((G67&lt;&gt;0),"Enter Letter"," ")</f>
        <v> </v>
      </c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F68" s="4" t="str">
        <f aca="false">IF((G68&lt;&gt;0),"Enter Letter"," ")</f>
        <v> </v>
      </c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3000</v>
      </c>
      <c r="H1" s="14" t="n">
        <f aca="false">SUM(H5:H300)</f>
        <v>500</v>
      </c>
      <c r="I1" s="14" t="n">
        <f aca="false">SUM(I5:I300)</f>
        <v>2500</v>
      </c>
      <c r="J1" s="15"/>
      <c r="K1" s="16" t="s">
        <v>4</v>
      </c>
      <c r="L1" s="17" t="n">
        <f aca="false">SUM(L5:L300)</f>
        <v>0</v>
      </c>
      <c r="M1" s="41" t="n">
        <f aca="false">SUM(M5:M300)</f>
        <v>3000</v>
      </c>
      <c r="N1" s="18" t="n">
        <f aca="true">TODAY()</f>
        <v>46113</v>
      </c>
      <c r="O1" s="19"/>
      <c r="P1" s="14" t="n">
        <f aca="false">SUM(P5:P300)</f>
        <v>2500</v>
      </c>
      <c r="Q1" s="14" t="n">
        <f aca="false">SUM(Q5:Q300)</f>
        <v>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Apr!H2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45792</v>
      </c>
      <c r="B5" s="2" t="s">
        <v>34</v>
      </c>
      <c r="F5" s="4" t="s">
        <v>35</v>
      </c>
      <c r="G5" s="2" t="n">
        <v>1500</v>
      </c>
      <c r="H5" s="2" t="n">
        <f aca="false">IF(H$4&gt;0,(IF(G5&lt;&gt;0,G5*H$4/100," ")),IF(G5&lt;&gt;0,G5*H$2/(100+H$2)," "))</f>
        <v>250</v>
      </c>
      <c r="I5" s="2" t="n">
        <f aca="false">IF((G5&lt;&gt;0),G5-H5," ")</f>
        <v>1250</v>
      </c>
      <c r="M5" s="7" t="n">
        <f aca="false">IF(G5&lt;&gt;0,G5-L5," ")</f>
        <v>1500</v>
      </c>
      <c r="N5" s="8" t="n">
        <f aca="false">IF((G5-L5)&lt;&gt;0,N$1-A5," ")</f>
        <v>321</v>
      </c>
      <c r="P5" s="2" t="n">
        <f aca="false">IF((F5="a"),I5," ")</f>
        <v>1250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45805</v>
      </c>
      <c r="B6" s="2" t="s">
        <v>37</v>
      </c>
      <c r="F6" s="4" t="s">
        <v>35</v>
      </c>
      <c r="G6" s="2" t="n">
        <v>1500</v>
      </c>
      <c r="H6" s="2" t="n">
        <f aca="false">IF(H$4&gt;0,(IF(G6&lt;&gt;0,G6*H$4/100," ")),IF(G6&lt;&gt;0,G6*H$2/(100+H$2)," "))</f>
        <v>250</v>
      </c>
      <c r="I6" s="2" t="n">
        <f aca="false">IF((G6&lt;&gt;0),G6-H6," ")</f>
        <v>1250</v>
      </c>
      <c r="M6" s="7" t="n">
        <f aca="false">IF(G6&lt;&gt;0,G6-L6," ")</f>
        <v>1500</v>
      </c>
      <c r="N6" s="8" t="n">
        <f aca="false">IF((G6-L6)&lt;&gt;0,N$1-A6," ")</f>
        <v>308</v>
      </c>
      <c r="P6" s="2" t="n">
        <f aca="false">IF((F6="a"),I6," ")</f>
        <v>1250</v>
      </c>
      <c r="Q6" s="2" t="str">
        <f aca="false">IF((F6="b"),I6," ")</f>
        <v> 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3000</v>
      </c>
      <c r="H1" s="14" t="n">
        <f aca="false">SUM(H5:H300)</f>
        <v>500</v>
      </c>
      <c r="I1" s="14" t="n">
        <f aca="false">SUM(I5:I300)</f>
        <v>2500</v>
      </c>
      <c r="J1" s="15"/>
      <c r="K1" s="16" t="s">
        <v>4</v>
      </c>
      <c r="L1" s="17" t="n">
        <f aca="false">SUM(L5:L300)</f>
        <v>0</v>
      </c>
      <c r="M1" s="41" t="n">
        <f aca="false">SUM(M5:M300)</f>
        <v>3000</v>
      </c>
      <c r="N1" s="18" t="n">
        <f aca="true">TODAY()</f>
        <v>46113</v>
      </c>
      <c r="O1" s="19"/>
      <c r="P1" s="14" t="n">
        <f aca="false">SUM(P5:P300)</f>
        <v>2500</v>
      </c>
      <c r="Q1" s="14" t="n">
        <f aca="false">SUM(Q5:Q300)</f>
        <v>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May!H2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45823</v>
      </c>
      <c r="B5" s="2" t="s">
        <v>34</v>
      </c>
      <c r="F5" s="4" t="s">
        <v>35</v>
      </c>
      <c r="G5" s="2" t="n">
        <v>3000</v>
      </c>
      <c r="H5" s="2" t="n">
        <f aca="false">IF(H$4&gt;0,(IF(G5&lt;&gt;0,G5*H$4/100," ")),IF(G5&lt;&gt;0,G5*H$2/(100+H$2)," "))</f>
        <v>500</v>
      </c>
      <c r="I5" s="2" t="n">
        <f aca="false">IF((G5&lt;&gt;0),G5-H5," ")</f>
        <v>2500</v>
      </c>
      <c r="M5" s="7" t="n">
        <f aca="false">IF(G5&lt;&gt;0,G5-L5," ")</f>
        <v>3000</v>
      </c>
      <c r="N5" s="8" t="n">
        <f aca="false">IF((G5-L5)&lt;&gt;0,N$1-A5," ")</f>
        <v>290</v>
      </c>
      <c r="P5" s="2" t="n">
        <f aca="false">IF((F5="a"),I5," ")</f>
        <v>2500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  <c r="P6" s="2" t="str">
        <f aca="false">IF((F6="a"),I6," ")</f>
        <v> </v>
      </c>
      <c r="Q6" s="2" t="str">
        <f aca="false">IF((F6="b"),I6," ")</f>
        <v> 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3000</v>
      </c>
      <c r="H1" s="14" t="n">
        <f aca="false">SUM(H5:H300)</f>
        <v>500</v>
      </c>
      <c r="I1" s="14" t="n">
        <f aca="false">SUM(I5:I300)</f>
        <v>2500</v>
      </c>
      <c r="J1" s="15"/>
      <c r="K1" s="16" t="s">
        <v>4</v>
      </c>
      <c r="L1" s="17" t="n">
        <f aca="false">SUM(L5:L300)</f>
        <v>0</v>
      </c>
      <c r="M1" s="41" t="n">
        <f aca="false">SUM(M5:M300)</f>
        <v>3000</v>
      </c>
      <c r="N1" s="18" t="n">
        <f aca="true">TODAY()</f>
        <v>46113</v>
      </c>
      <c r="O1" s="19"/>
      <c r="P1" s="14" t="n">
        <f aca="false">SUM(P5:P300)</f>
        <v>2500</v>
      </c>
      <c r="Q1" s="14" t="n">
        <f aca="false">SUM(Q5:Q300)</f>
        <v>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Jun!H2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45853</v>
      </c>
      <c r="B5" s="2" t="s">
        <v>36</v>
      </c>
      <c r="F5" s="4" t="s">
        <v>35</v>
      </c>
      <c r="G5" s="2" t="n">
        <v>3000</v>
      </c>
      <c r="H5" s="2" t="n">
        <f aca="false">IF(H$4&gt;0,(IF(G5&lt;&gt;0,G5*H$4/100," ")),IF(G5&lt;&gt;0,G5*H$2/(100+H$2)," "))</f>
        <v>500</v>
      </c>
      <c r="I5" s="2" t="n">
        <f aca="false">IF((G5&lt;&gt;0),G5-H5," ")</f>
        <v>2500</v>
      </c>
      <c r="M5" s="7" t="n">
        <f aca="false">IF(G5&lt;&gt;0,G5-L5," ")</f>
        <v>3000</v>
      </c>
      <c r="N5" s="8" t="n">
        <f aca="false">IF((G5-L5)&lt;&gt;0,N$1-A5," ")</f>
        <v>260</v>
      </c>
      <c r="P5" s="2" t="n">
        <f aca="false">IF((F5="a"),I5," ")</f>
        <v>2500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  <c r="P6" s="2" t="str">
        <f aca="false">IF((F6="a"),I6," ")</f>
        <v> </v>
      </c>
      <c r="Q6" s="2" t="str">
        <f aca="false">IF((F6="b"),I6," ")</f>
        <v> 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3000</v>
      </c>
      <c r="H1" s="14" t="n">
        <f aca="false">SUM(H5:H300)</f>
        <v>500</v>
      </c>
      <c r="I1" s="14" t="n">
        <f aca="false">SUM(I5:I300)</f>
        <v>2500</v>
      </c>
      <c r="J1" s="15"/>
      <c r="K1" s="16" t="s">
        <v>4</v>
      </c>
      <c r="L1" s="17" t="n">
        <f aca="false">SUM(L5:L300)</f>
        <v>0</v>
      </c>
      <c r="M1" s="41" t="n">
        <f aca="false">SUM(M5:M300)</f>
        <v>3000</v>
      </c>
      <c r="N1" s="18" t="n">
        <f aca="true">TODAY()</f>
        <v>46113</v>
      </c>
      <c r="O1" s="19"/>
      <c r="P1" s="14" t="n">
        <f aca="false">SUM(P5:P300)</f>
        <v>2500</v>
      </c>
      <c r="Q1" s="14" t="n">
        <f aca="false">SUM(Q5:Q300)</f>
        <v>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Jul!H2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45884</v>
      </c>
      <c r="B5" s="2" t="s">
        <v>34</v>
      </c>
      <c r="F5" s="4" t="s">
        <v>35</v>
      </c>
      <c r="G5" s="2" t="n">
        <v>3000</v>
      </c>
      <c r="H5" s="2" t="n">
        <f aca="false">IF(H$4&gt;0,(IF(G5&lt;&gt;0,G5*H$4/100," ")),IF(G5&lt;&gt;0,G5*H$2/(100+H$2)," "))</f>
        <v>500</v>
      </c>
      <c r="I5" s="2" t="n">
        <f aca="false">IF((G5&lt;&gt;0),G5-H5," ")</f>
        <v>2500</v>
      </c>
      <c r="M5" s="7" t="n">
        <f aca="false">IF(G5&lt;&gt;0,G5-L5," ")</f>
        <v>3000</v>
      </c>
      <c r="N5" s="8" t="n">
        <f aca="false">IF((G5-L5)&lt;&gt;0,N$1-A5," ")</f>
        <v>229</v>
      </c>
      <c r="P5" s="2" t="n">
        <f aca="false">IF((F5="a"),I5," ")</f>
        <v>2500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  <c r="P6" s="2" t="str">
        <f aca="false">IF((F6="a"),I6," ")</f>
        <v> </v>
      </c>
      <c r="Q6" s="2" t="str">
        <f aca="false">IF((F6="b"),I6," ")</f>
        <v> 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3000</v>
      </c>
      <c r="H1" s="14" t="n">
        <f aca="false">SUM(H5:H300)</f>
        <v>500</v>
      </c>
      <c r="I1" s="14" t="n">
        <f aca="false">SUM(I5:I300)</f>
        <v>2500</v>
      </c>
      <c r="J1" s="15"/>
      <c r="K1" s="16" t="s">
        <v>4</v>
      </c>
      <c r="L1" s="17" t="n">
        <f aca="false">SUM(L5:L300)</f>
        <v>0</v>
      </c>
      <c r="M1" s="41" t="n">
        <f aca="false">SUM(M5:M300)</f>
        <v>3000</v>
      </c>
      <c r="N1" s="18" t="n">
        <f aca="true">TODAY()</f>
        <v>46113</v>
      </c>
      <c r="O1" s="19"/>
      <c r="P1" s="14" t="n">
        <f aca="false">SUM(P5:P300)</f>
        <v>2500</v>
      </c>
      <c r="Q1" s="14" t="n">
        <f aca="false">SUM(Q5:Q300)</f>
        <v>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Aug!H2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45915</v>
      </c>
      <c r="B5" s="2" t="s">
        <v>37</v>
      </c>
      <c r="F5" s="4" t="s">
        <v>35</v>
      </c>
      <c r="G5" s="2" t="n">
        <v>3000</v>
      </c>
      <c r="H5" s="2" t="n">
        <f aca="false">IF(H$4&gt;0,(IF(G5&lt;&gt;0,G5*H$4/100," ")),IF(G5&lt;&gt;0,G5*H$2/(100+H$2)," "))</f>
        <v>500</v>
      </c>
      <c r="I5" s="2" t="n">
        <f aca="false">IF((G5&lt;&gt;0),G5-H5," ")</f>
        <v>2500</v>
      </c>
      <c r="M5" s="7" t="n">
        <f aca="false">IF(G5&lt;&gt;0,G5-L5," ")</f>
        <v>3000</v>
      </c>
      <c r="N5" s="8" t="n">
        <f aca="false">IF((G5-L5)&lt;&gt;0,N$1-A5," ")</f>
        <v>198</v>
      </c>
      <c r="P5" s="2" t="n">
        <f aca="false">IF((F5="a"),I5," ")</f>
        <v>2500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  <c r="P6" s="2" t="str">
        <f aca="false">IF((F6="a"),I6," ")</f>
        <v> </v>
      </c>
      <c r="Q6" s="2" t="str">
        <f aca="false">IF((F6="b"),I6," ")</f>
        <v> 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3000</v>
      </c>
      <c r="H1" s="14" t="n">
        <f aca="false">SUM(H5:H300)</f>
        <v>500</v>
      </c>
      <c r="I1" s="14" t="n">
        <f aca="false">SUM(I5:I300)</f>
        <v>2500</v>
      </c>
      <c r="J1" s="15"/>
      <c r="K1" s="16" t="s">
        <v>4</v>
      </c>
      <c r="L1" s="17" t="n">
        <f aca="false">SUM(L5:L300)</f>
        <v>0</v>
      </c>
      <c r="M1" s="41" t="n">
        <f aca="false">SUM(M5:M300)</f>
        <v>3000</v>
      </c>
      <c r="N1" s="18" t="n">
        <f aca="true">TODAY()</f>
        <v>46113</v>
      </c>
      <c r="O1" s="19"/>
      <c r="P1" s="14" t="n">
        <f aca="false">SUM(P5:P300)</f>
        <v>2500</v>
      </c>
      <c r="Q1" s="14" t="n">
        <f aca="false">SUM(Q5:Q300)</f>
        <v>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Sep!H2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V1+Sep!V2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45945</v>
      </c>
      <c r="B5" s="2" t="s">
        <v>34</v>
      </c>
      <c r="F5" s="4" t="s">
        <v>35</v>
      </c>
      <c r="G5" s="2" t="n">
        <v>3000</v>
      </c>
      <c r="H5" s="2" t="n">
        <f aca="false">IF(H$4&gt;0,(IF(G5&lt;&gt;0,G5*H$4/100," ")),IF(G5&lt;&gt;0,G5*H$2/(100+H$2)," "))</f>
        <v>500</v>
      </c>
      <c r="I5" s="2" t="n">
        <f aca="false">IF((G5&lt;&gt;0),G5-H5," ")</f>
        <v>2500</v>
      </c>
      <c r="M5" s="7" t="n">
        <f aca="false">IF(G5&lt;&gt;0,G5-L5," ")</f>
        <v>3000</v>
      </c>
      <c r="N5" s="8" t="n">
        <f aca="false">IF((G5-L5)&lt;&gt;0,N$1-A5," ")</f>
        <v>168</v>
      </c>
      <c r="P5" s="2" t="n">
        <f aca="false">IF((F5="a"),I5," ")</f>
        <v>2500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  <c r="P6" s="2" t="str">
        <f aca="false">IF((F6="a"),I6," ")</f>
        <v> </v>
      </c>
      <c r="Q6" s="2" t="str">
        <f aca="false">IF((F6="b"),I6," ")</f>
        <v> 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3000</v>
      </c>
      <c r="H1" s="14" t="n">
        <f aca="false">SUM(H5:H300)</f>
        <v>500</v>
      </c>
      <c r="I1" s="14" t="n">
        <f aca="false">SUM(I5:I300)</f>
        <v>2500</v>
      </c>
      <c r="J1" s="15"/>
      <c r="K1" s="16" t="s">
        <v>4</v>
      </c>
      <c r="L1" s="17" t="n">
        <f aca="false">SUM(L5:L300)</f>
        <v>0</v>
      </c>
      <c r="M1" s="41" t="n">
        <f aca="false">SUM(M5:M300)</f>
        <v>3000</v>
      </c>
      <c r="N1" s="18" t="n">
        <f aca="true">TODAY()</f>
        <v>46113</v>
      </c>
      <c r="O1" s="19"/>
      <c r="P1" s="14" t="n">
        <f aca="false">SUM(P5:P300)</f>
        <v>2500</v>
      </c>
      <c r="Q1" s="14" t="n">
        <f aca="false">SUM(Q5:Q300)</f>
        <v>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Oct!H2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V1+Oct!V2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45976</v>
      </c>
      <c r="B5" s="2" t="s">
        <v>36</v>
      </c>
      <c r="F5" s="4" t="s">
        <v>35</v>
      </c>
      <c r="G5" s="2" t="n">
        <v>3000</v>
      </c>
      <c r="H5" s="2" t="n">
        <f aca="false">IF(H$4&gt;0,(IF(G5&lt;&gt;0,G5*H$4/100," ")),IF(G5&lt;&gt;0,G5*H$2/(100+H$2)," "))</f>
        <v>500</v>
      </c>
      <c r="I5" s="2" t="n">
        <f aca="false">IF((G5&lt;&gt;0),G5-H5," ")</f>
        <v>2500</v>
      </c>
      <c r="M5" s="7" t="n">
        <f aca="false">IF(G5&lt;&gt;0,G5-L5," ")</f>
        <v>3000</v>
      </c>
      <c r="N5" s="8" t="n">
        <f aca="false">IF((G5-L5)&lt;&gt;0,N$1-A5," ")</f>
        <v>137</v>
      </c>
      <c r="P5" s="2" t="n">
        <f aca="false">IF((F5="a"),I5," ")</f>
        <v>2500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  <c r="P6" s="2" t="str">
        <f aca="false">IF((F6="a"),I6," ")</f>
        <v> </v>
      </c>
      <c r="Q6" s="2" t="str">
        <f aca="false">IF((F6="b"),I6," ")</f>
        <v> 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3000</v>
      </c>
      <c r="H1" s="14" t="n">
        <f aca="false">SUM(H5:H300)</f>
        <v>500</v>
      </c>
      <c r="I1" s="14" t="n">
        <f aca="false">SUM(I5:I300)</f>
        <v>2500</v>
      </c>
      <c r="J1" s="15"/>
      <c r="K1" s="16" t="s">
        <v>4</v>
      </c>
      <c r="L1" s="17" t="n">
        <f aca="false">SUM(L5:L300)</f>
        <v>0</v>
      </c>
      <c r="M1" s="41" t="n">
        <f aca="false">SUM(M5:M300)</f>
        <v>3000</v>
      </c>
      <c r="N1" s="18" t="n">
        <f aca="true">TODAY()</f>
        <v>46113</v>
      </c>
      <c r="O1" s="19"/>
      <c r="P1" s="14" t="n">
        <f aca="false">SUM(P5:P300)</f>
        <v>2500</v>
      </c>
      <c r="Q1" s="14" t="n">
        <f aca="false">SUM(Q5:Q300)</f>
        <v>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Nov!H2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V1+Nov!V2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46006</v>
      </c>
      <c r="B5" s="2" t="s">
        <v>34</v>
      </c>
      <c r="F5" s="4" t="s">
        <v>35</v>
      </c>
      <c r="G5" s="2" t="n">
        <v>3000</v>
      </c>
      <c r="H5" s="2" t="n">
        <f aca="false">IF(H$4&gt;0,(IF(G5&lt;&gt;0,G5*H$4/100," ")),IF(G5&lt;&gt;0,G5*H$2/(100+H$2)," "))</f>
        <v>500</v>
      </c>
      <c r="I5" s="2" t="n">
        <f aca="false">IF((G5&lt;&gt;0),G5-H5," ")</f>
        <v>2500</v>
      </c>
      <c r="M5" s="7" t="n">
        <f aca="false">IF(G5&lt;&gt;0,G5-L5," ")</f>
        <v>3000</v>
      </c>
      <c r="N5" s="8" t="n">
        <f aca="false">IF((G5-L5)&lt;&gt;0,N$1-A5," ")</f>
        <v>107</v>
      </c>
      <c r="P5" s="2" t="n">
        <f aca="false">IF((F5="a"),I5," ")</f>
        <v>2500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  <c r="P6" s="2" t="str">
        <f aca="false">IF((F6="a"),I6," ")</f>
        <v> </v>
      </c>
      <c r="Q6" s="2" t="str">
        <f aca="false">IF((F6="b"),I6," ")</f>
        <v> 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3000</v>
      </c>
      <c r="H1" s="14" t="n">
        <f aca="false">SUM(H5:H300)</f>
        <v>500</v>
      </c>
      <c r="I1" s="14" t="n">
        <f aca="false">SUM(I5:I300)</f>
        <v>2500</v>
      </c>
      <c r="J1" s="15"/>
      <c r="K1" s="16" t="s">
        <v>4</v>
      </c>
      <c r="L1" s="17" t="n">
        <f aca="false">SUM(L5:L300)</f>
        <v>0</v>
      </c>
      <c r="M1" s="41" t="n">
        <f aca="false">SUM(M5:M300)</f>
        <v>3000</v>
      </c>
      <c r="N1" s="18" t="n">
        <f aca="true">TODAY()</f>
        <v>46113</v>
      </c>
      <c r="O1" s="19"/>
      <c r="P1" s="14" t="n">
        <f aca="false">SUM(P5:P300)</f>
        <v>2500</v>
      </c>
      <c r="Q1" s="14" t="n">
        <f aca="false">SUM(Q5:Q300)</f>
        <v>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Dec!H2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V1+Dec!V2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46037</v>
      </c>
      <c r="B5" s="2" t="s">
        <v>37</v>
      </c>
      <c r="F5" s="4" t="s">
        <v>35</v>
      </c>
      <c r="G5" s="2" t="n">
        <v>3000</v>
      </c>
      <c r="H5" s="2" t="n">
        <f aca="false">IF(H$4&gt;0,(IF(G5&lt;&gt;0,G5*H$4/100," ")),IF(G5&lt;&gt;0,G5*H$2/(100+H$2)," "))</f>
        <v>500</v>
      </c>
      <c r="I5" s="2" t="n">
        <f aca="false">IF((G5&lt;&gt;0),G5-H5," ")</f>
        <v>2500</v>
      </c>
      <c r="M5" s="7" t="n">
        <f aca="false">IF(G5&lt;&gt;0,G5-L5," ")</f>
        <v>3000</v>
      </c>
      <c r="N5" s="8" t="n">
        <f aca="false">IF((G5-L5)&lt;&gt;0,N$1-A5," ")</f>
        <v>76</v>
      </c>
      <c r="P5" s="2" t="n">
        <f aca="false">IF((F5="a"),I5," ")</f>
        <v>2500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  <c r="P6" s="2" t="str">
        <f aca="false">IF((F6="a"),I6," ")</f>
        <v> </v>
      </c>
      <c r="Q6" s="2" t="str">
        <f aca="false">IF((F6="b"),I6," ")</f>
        <v> 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3000</v>
      </c>
      <c r="H1" s="14" t="n">
        <f aca="false">SUM(H5:H300)</f>
        <v>500</v>
      </c>
      <c r="I1" s="14" t="n">
        <f aca="false">SUM(I5:I300)</f>
        <v>2500</v>
      </c>
      <c r="J1" s="15"/>
      <c r="K1" s="16" t="s">
        <v>4</v>
      </c>
      <c r="L1" s="17" t="n">
        <f aca="false">SUM(L5:L300)</f>
        <v>0</v>
      </c>
      <c r="M1" s="41" t="n">
        <f aca="false">SUM(M5:M300)</f>
        <v>3000</v>
      </c>
      <c r="N1" s="18" t="n">
        <f aca="true">TODAY()</f>
        <v>46113</v>
      </c>
      <c r="O1" s="19"/>
      <c r="P1" s="14" t="n">
        <f aca="false">SUM(P5:P300)</f>
        <v>2500</v>
      </c>
      <c r="Q1" s="14" t="n">
        <f aca="false">SUM(Q5:Q300)</f>
        <v>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Jan!H2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V1+Jan!V2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46068</v>
      </c>
      <c r="B5" s="2" t="s">
        <v>34</v>
      </c>
      <c r="F5" s="4" t="s">
        <v>35</v>
      </c>
      <c r="G5" s="2" t="n">
        <v>3000</v>
      </c>
      <c r="H5" s="2" t="n">
        <f aca="false">IF(H$4&gt;0,(IF(G5&lt;&gt;0,G5*H$4/100," ")),IF(G5&lt;&gt;0,G5*H$2/(100+H$2)," "))</f>
        <v>500</v>
      </c>
      <c r="I5" s="2" t="n">
        <f aca="false">IF((G5&lt;&gt;0),G5-H5," ")</f>
        <v>2500</v>
      </c>
      <c r="M5" s="7" t="n">
        <f aca="false">IF(G5&lt;&gt;0,G5-L5," ")</f>
        <v>3000</v>
      </c>
      <c r="N5" s="8" t="n">
        <f aca="false">IF((G5-L5)&lt;&gt;0,N$1-A5," ")</f>
        <v>45</v>
      </c>
      <c r="P5" s="2" t="n">
        <f aca="false">IF((F5="a"),I5," ")</f>
        <v>2500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  <c r="P6" s="2" t="str">
        <f aca="false">IF((F6="a"),I6," ")</f>
        <v> </v>
      </c>
      <c r="Q6" s="2" t="str">
        <f aca="false">IF((F6="b"),I6," ")</f>
        <v> 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3000</v>
      </c>
      <c r="H1" s="14" t="n">
        <f aca="false">SUM(H5:H300)</f>
        <v>500</v>
      </c>
      <c r="I1" s="14" t="n">
        <f aca="false">SUM(I5:I300)</f>
        <v>2500</v>
      </c>
      <c r="J1" s="15"/>
      <c r="K1" s="16" t="s">
        <v>4</v>
      </c>
      <c r="L1" s="17" t="n">
        <f aca="false">SUM(L5:L300)</f>
        <v>0</v>
      </c>
      <c r="M1" s="41" t="n">
        <f aca="false">SUM(M5:M300)</f>
        <v>3000</v>
      </c>
      <c r="N1" s="18" t="n">
        <f aca="true">TODAY()</f>
        <v>46113</v>
      </c>
      <c r="O1" s="19"/>
      <c r="P1" s="14" t="n">
        <f aca="false">SUM(P5:P300)</f>
        <v>2500</v>
      </c>
      <c r="Q1" s="14" t="n">
        <f aca="false">SUM(Q5:Q300)</f>
        <v>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Feb!H2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V1+Feb!V2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46096</v>
      </c>
      <c r="B5" s="2" t="s">
        <v>36</v>
      </c>
      <c r="F5" s="4" t="s">
        <v>35</v>
      </c>
      <c r="G5" s="2" t="n">
        <v>3000</v>
      </c>
      <c r="H5" s="2" t="n">
        <f aca="false">IF(H$4&gt;0,(IF(G5&lt;&gt;0,G5*H$4/100," ")),IF(G5&lt;&gt;0,G5*H$2/(100+H$2)," "))</f>
        <v>500</v>
      </c>
      <c r="I5" s="2" t="n">
        <f aca="false">IF((G5&lt;&gt;0),G5-H5," ")</f>
        <v>2500</v>
      </c>
      <c r="M5" s="7" t="n">
        <f aca="false">IF(G5&lt;&gt;0,G5-L5," ")</f>
        <v>3000</v>
      </c>
      <c r="N5" s="8" t="n">
        <f aca="false">IF((G5-L5)&lt;&gt;0,N$1-A5," ")</f>
        <v>17</v>
      </c>
      <c r="P5" s="2" t="n">
        <f aca="false">IF((F5="a"),I5," ")</f>
        <v>2500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  <c r="P6" s="2" t="str">
        <f aca="false">IF((F6="a"),I6," ")</f>
        <v> </v>
      </c>
      <c r="Q6" s="2" t="str">
        <f aca="false">IF((F6="b"),I6," ")</f>
        <v> 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46113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