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<sst xmlns="http://schemas.openxmlformats.org/spreadsheetml/2006/main" count="168" uniqueCount="42">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</sst>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45838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45869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45930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45961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46022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46053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46112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46142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45777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45808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45838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46142</v>
      </c>
      <c r="H5" s="13"/>
      <c r="I5" s="14"/>
      <c r="K5" s="15" t="n">
        <f aca="false">[1]Admin!$B$8</f>
        <v>45869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45900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46173</v>
      </c>
      <c r="H7" s="13"/>
      <c r="I7" s="14"/>
      <c r="K7" s="15" t="n">
        <f aca="false">[1]Admin!$B$10</f>
        <v>45930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45961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0</v>
      </c>
      <c r="H9" s="13"/>
      <c r="I9" s="14"/>
      <c r="K9" s="15" t="n">
        <f aca="false">[1]Admin!$B$12</f>
        <v>45991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46022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46053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46081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[1]Admin!$B$16</f>
        <v>46112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46142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0</v>
      </c>
      <c r="H15" s="13"/>
      <c r="I15" s="14"/>
      <c r="K15" s="15" t="n">
        <f aca="false">[1]Admin!$B$19</f>
        <v>46173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/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RECLIAMED from Customs</v>
      </c>
      <c r="C17" s="42"/>
      <c r="D17" s="42"/>
      <c r="E17" s="42"/>
      <c r="F17" s="36" t="n">
        <v>5</v>
      </c>
      <c r="G17" s="37" t="n">
        <f aca="false">G13-G15</f>
        <v>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[1]Admin!$B$2</f>
        <v>45716</v>
      </c>
      <c r="C4" s="85" t="n">
        <f aca="false">B5</f>
        <v>45747</v>
      </c>
      <c r="D4" s="86" t="n">
        <f aca="false">S02Y1!$G$1</f>
        <v>0</v>
      </c>
      <c r="E4" s="87"/>
      <c r="F4" s="87" t="n">
        <f aca="false">S02Y1!$F$1</f>
        <v>0</v>
      </c>
      <c r="G4" s="87"/>
      <c r="H4" s="87" t="n">
        <f aca="false">P02Y1!$I$1</f>
        <v>0</v>
      </c>
      <c r="I4" s="87"/>
      <c r="J4" s="87" t="n">
        <f aca="false">P02Y1!$H$1</f>
        <v>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45747</v>
      </c>
      <c r="C5" s="85" t="n">
        <f aca="false">B6</f>
        <v>45777</v>
      </c>
      <c r="D5" s="86" t="n">
        <f aca="false">S03Y1!$G$1</f>
        <v>0</v>
      </c>
      <c r="E5" s="87"/>
      <c r="F5" s="87" t="n">
        <f aca="false">S03Y1!$F$1</f>
        <v>0</v>
      </c>
      <c r="G5" s="87"/>
      <c r="H5" s="87" t="n">
        <f aca="false">P03Y1!$I$1</f>
        <v>0</v>
      </c>
      <c r="I5" s="87"/>
      <c r="J5" s="87" t="n">
        <f aca="false">P03Y1!$H$1</f>
        <v>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45777</v>
      </c>
      <c r="C6" s="85" t="n">
        <f aca="false">B7</f>
        <v>45808</v>
      </c>
      <c r="D6" s="86" t="n">
        <f aca="false">[2]Apr!$I$1</f>
        <v>0</v>
      </c>
      <c r="E6" s="87" t="n">
        <f aca="false">SUM(D4:D6)</f>
        <v>0</v>
      </c>
      <c r="F6" s="87" t="n">
        <f aca="false">[2]Apr!$H$1</f>
        <v>0</v>
      </c>
      <c r="G6" s="87" t="n">
        <f aca="false">SUM(F4:F6)</f>
        <v>0</v>
      </c>
      <c r="H6" s="87" t="n">
        <f aca="false">[3]Apr!$I$1</f>
        <v>0</v>
      </c>
      <c r="I6" s="87" t="n">
        <f aca="false">SUM(H4:H6)</f>
        <v>0</v>
      </c>
      <c r="J6" s="87" t="n">
        <f aca="false">[3]Apr!$H$1</f>
        <v>0</v>
      </c>
      <c r="K6" s="87" t="n">
        <f aca="false">SUM(J4:J6)</f>
        <v>0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45808</v>
      </c>
      <c r="C7" s="85" t="n">
        <f aca="false">B8</f>
        <v>45838</v>
      </c>
      <c r="D7" s="86" t="n">
        <f aca="false">[2]May!$I$1</f>
        <v>0</v>
      </c>
      <c r="E7" s="87" t="n">
        <f aca="false">SUM(D5:D7)</f>
        <v>0</v>
      </c>
      <c r="F7" s="87" t="n">
        <f aca="false">[2]May!$H$1</f>
        <v>0</v>
      </c>
      <c r="G7" s="87" t="n">
        <f aca="false">SUM(F5:F7)</f>
        <v>0</v>
      </c>
      <c r="H7" s="87" t="n">
        <f aca="false">[3]May!$I$1</f>
        <v>0</v>
      </c>
      <c r="I7" s="87" t="n">
        <f aca="false">SUM(H5:H7)</f>
        <v>0</v>
      </c>
      <c r="J7" s="87" t="n">
        <f aca="false">[3]May!$H$1</f>
        <v>0</v>
      </c>
      <c r="K7" s="87" t="n">
        <f aca="false">SUM(J5:J7)</f>
        <v>0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45838</v>
      </c>
      <c r="C8" s="85" t="n">
        <f aca="false">B9</f>
        <v>45869</v>
      </c>
      <c r="D8" s="86" t="n">
        <f aca="false">[2]Jun!$I$1</f>
        <v>0</v>
      </c>
      <c r="E8" s="87" t="n">
        <f aca="false">SUM(D6:D8)</f>
        <v>0</v>
      </c>
      <c r="F8" s="87" t="n">
        <f aca="false">[2]Jun!$H$1</f>
        <v>0</v>
      </c>
      <c r="G8" s="87" t="n">
        <f aca="false">SUM(F6:F8)</f>
        <v>0</v>
      </c>
      <c r="H8" s="87" t="n">
        <f aca="false">[3]Jun!$I$1</f>
        <v>0</v>
      </c>
      <c r="I8" s="87" t="n">
        <f aca="false">SUM(H6:H8)</f>
        <v>0</v>
      </c>
      <c r="J8" s="87" t="n">
        <f aca="false">[3]Jun!$H$1</f>
        <v>0</v>
      </c>
      <c r="K8" s="87" t="n">
        <f aca="false">SUM(J6:J8)</f>
        <v>0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45869</v>
      </c>
      <c r="C9" s="85" t="n">
        <f aca="false">B10</f>
        <v>45900</v>
      </c>
      <c r="D9" s="86" t="n">
        <f aca="false">[2]Jul!$I$1</f>
        <v>0</v>
      </c>
      <c r="E9" s="87" t="n">
        <f aca="false">SUM(D7:D9)</f>
        <v>0</v>
      </c>
      <c r="F9" s="87" t="n">
        <f aca="false">[2]Jul!$H$1</f>
        <v>0</v>
      </c>
      <c r="G9" s="87" t="n">
        <f aca="false">SUM(F7:F9)</f>
        <v>0</v>
      </c>
      <c r="H9" s="87" t="n">
        <f aca="false">[3]Jul!$I$1</f>
        <v>0</v>
      </c>
      <c r="I9" s="87" t="n">
        <f aca="false">SUM(H7:H9)</f>
        <v>0</v>
      </c>
      <c r="J9" s="87" t="n">
        <f aca="false">[3]Jul!$H$1</f>
        <v>0</v>
      </c>
      <c r="K9" s="87" t="n">
        <f aca="false">SUM(J7:J9)</f>
        <v>0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45900</v>
      </c>
      <c r="C10" s="85" t="n">
        <f aca="false">B11</f>
        <v>45930</v>
      </c>
      <c r="D10" s="86" t="n">
        <f aca="false">[2]Aug!$I$1</f>
        <v>0</v>
      </c>
      <c r="E10" s="87" t="n">
        <f aca="false">SUM(D8:D10)</f>
        <v>0</v>
      </c>
      <c r="F10" s="87" t="n">
        <f aca="false">[2]Aug!$H$1</f>
        <v>0</v>
      </c>
      <c r="G10" s="87" t="n">
        <f aca="false">SUM(F8:F10)</f>
        <v>0</v>
      </c>
      <c r="H10" s="87" t="n">
        <f aca="false">[3]Aug!$I$1</f>
        <v>0</v>
      </c>
      <c r="I10" s="87" t="n">
        <f aca="false">SUM(H8:H10)</f>
        <v>0</v>
      </c>
      <c r="J10" s="87" t="n">
        <f aca="false">[3]Aug!$H$1</f>
        <v>0</v>
      </c>
      <c r="K10" s="87" t="n">
        <f aca="false">SUM(J8:J10)</f>
        <v>0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45930</v>
      </c>
      <c r="C11" s="85" t="n">
        <f aca="false">B12</f>
        <v>45961</v>
      </c>
      <c r="D11" s="86" t="n">
        <f aca="false">[2]Sep!$I$1</f>
        <v>0</v>
      </c>
      <c r="E11" s="87" t="n">
        <f aca="false">SUM(D9:D11)</f>
        <v>0</v>
      </c>
      <c r="F11" s="87" t="n">
        <f aca="false">[2]Sep!$H$1</f>
        <v>0</v>
      </c>
      <c r="G11" s="87" t="n">
        <f aca="false">SUM(F9:F11)</f>
        <v>0</v>
      </c>
      <c r="H11" s="87" t="n">
        <f aca="false">[3]Sep!$I$1</f>
        <v>0</v>
      </c>
      <c r="I11" s="87" t="n">
        <f aca="false">SUM(H9:H11)</f>
        <v>0</v>
      </c>
      <c r="J11" s="87" t="n">
        <f aca="false">[3]Sep!$H$1</f>
        <v>0</v>
      </c>
      <c r="K11" s="87" t="n">
        <f aca="false">SUM(J9:J11)</f>
        <v>0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45961</v>
      </c>
      <c r="C12" s="85" t="n">
        <f aca="false">B13</f>
        <v>45991</v>
      </c>
      <c r="D12" s="86" t="n">
        <f aca="false">[2]Oct!$I$1</f>
        <v>0</v>
      </c>
      <c r="E12" s="87" t="n">
        <f aca="false">SUM(D10:D12)</f>
        <v>0</v>
      </c>
      <c r="F12" s="87" t="n">
        <f aca="false">[2]Oct!$H$1</f>
        <v>0</v>
      </c>
      <c r="G12" s="87" t="n">
        <f aca="false">SUM(F10:F12)</f>
        <v>0</v>
      </c>
      <c r="H12" s="87" t="n">
        <f aca="false">[3]Oct!$I$1</f>
        <v>0</v>
      </c>
      <c r="I12" s="87" t="n">
        <f aca="false">SUM(H10:H12)</f>
        <v>0</v>
      </c>
      <c r="J12" s="87" t="n">
        <f aca="false">[3]Oct!$H$1</f>
        <v>0</v>
      </c>
      <c r="K12" s="87" t="n">
        <f aca="false">SUM(J10:J12)</f>
        <v>0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45991</v>
      </c>
      <c r="C13" s="85" t="n">
        <f aca="false">B14</f>
        <v>46022</v>
      </c>
      <c r="D13" s="86" t="n">
        <f aca="false">[2]Nov!$I$1</f>
        <v>0</v>
      </c>
      <c r="E13" s="87" t="n">
        <f aca="false">SUM(D11:D13)</f>
        <v>0</v>
      </c>
      <c r="F13" s="87" t="n">
        <f aca="false">[2]Nov!$H$1</f>
        <v>0</v>
      </c>
      <c r="G13" s="87" t="n">
        <f aca="false">SUM(F11:F13)</f>
        <v>0</v>
      </c>
      <c r="H13" s="87" t="n">
        <f aca="false">[3]Nov!$I$1</f>
        <v>0</v>
      </c>
      <c r="I13" s="87" t="n">
        <f aca="false">SUM(H11:H13)</f>
        <v>0</v>
      </c>
      <c r="J13" s="87" t="n">
        <f aca="false">[3]Nov!$H$1</f>
        <v>0</v>
      </c>
      <c r="K13" s="87" t="n">
        <f aca="false">SUM(J11:J13)</f>
        <v>0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46022</v>
      </c>
      <c r="C14" s="85" t="n">
        <f aca="false">B15</f>
        <v>46053</v>
      </c>
      <c r="D14" s="86" t="n">
        <f aca="false">[2]Dec!$I$1</f>
        <v>0</v>
      </c>
      <c r="E14" s="87" t="n">
        <f aca="false">SUM(D12:D14)</f>
        <v>0</v>
      </c>
      <c r="F14" s="87" t="n">
        <f aca="false">[2]Dec!$H$1</f>
        <v>0</v>
      </c>
      <c r="G14" s="87" t="n">
        <f aca="false">SUM(F12:F14)</f>
        <v>0</v>
      </c>
      <c r="H14" s="87" t="n">
        <f aca="false">[3]Dec!$I$1</f>
        <v>0</v>
      </c>
      <c r="I14" s="87" t="n">
        <f aca="false">SUM(H12:H14)</f>
        <v>0</v>
      </c>
      <c r="J14" s="87" t="n">
        <f aca="false">[3]Dec!$H$1</f>
        <v>0</v>
      </c>
      <c r="K14" s="87" t="n">
        <f aca="false">SUM(J12:J14)</f>
        <v>0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46053</v>
      </c>
      <c r="C15" s="85" t="n">
        <f aca="false">B16</f>
        <v>46081</v>
      </c>
      <c r="D15" s="86" t="n">
        <f aca="false">[2]Jan!$I$1</f>
        <v>0</v>
      </c>
      <c r="E15" s="87" t="n">
        <f aca="false">SUM(D13:D15)</f>
        <v>0</v>
      </c>
      <c r="F15" s="87" t="n">
        <f aca="false">[2]Jan!$H$1</f>
        <v>0</v>
      </c>
      <c r="G15" s="87" t="n">
        <f aca="false">SUM(F13:F15)</f>
        <v>0</v>
      </c>
      <c r="H15" s="87" t="n">
        <f aca="false">[3]Jan!$I$1</f>
        <v>0</v>
      </c>
      <c r="I15" s="87" t="n">
        <f aca="false">SUM(H13:H15)</f>
        <v>0</v>
      </c>
      <c r="J15" s="87" t="n">
        <f aca="false">[3]Jan!$H$1</f>
        <v>0</v>
      </c>
      <c r="K15" s="87" t="n">
        <f aca="false">SUM(J13:J15)</f>
        <v>0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46081</v>
      </c>
      <c r="C16" s="85" t="n">
        <f aca="false">B17</f>
        <v>46112</v>
      </c>
      <c r="D16" s="86" t="n">
        <f aca="false">[2]Feb!$I$1</f>
        <v>0</v>
      </c>
      <c r="E16" s="87" t="n">
        <f aca="false">SUM(D14:D16)</f>
        <v>0</v>
      </c>
      <c r="F16" s="87" t="n">
        <f aca="false">[2]Feb!$H$1</f>
        <v>0</v>
      </c>
      <c r="G16" s="87" t="n">
        <f aca="false">SUM(F14:F16)</f>
        <v>0</v>
      </c>
      <c r="H16" s="87" t="n">
        <f aca="false">[3]Feb!$I$1</f>
        <v>0</v>
      </c>
      <c r="I16" s="87" t="n">
        <f aca="false">SUM(H14:H16)</f>
        <v>0</v>
      </c>
      <c r="J16" s="87" t="n">
        <f aca="false">[3]Feb!$H$1</f>
        <v>0</v>
      </c>
      <c r="K16" s="87" t="n">
        <f aca="false">SUM(J14:J16)</f>
        <v>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46112</v>
      </c>
      <c r="C17" s="85" t="n">
        <f aca="false">B18</f>
        <v>46142</v>
      </c>
      <c r="D17" s="86" t="n">
        <f aca="false">[2]Mar!$I$1</f>
        <v>0</v>
      </c>
      <c r="E17" s="87" t="n">
        <f aca="false">SUM(D15:D17)</f>
        <v>0</v>
      </c>
      <c r="F17" s="87" t="n">
        <f aca="false">[2]Mar!$H$1</f>
        <v>0</v>
      </c>
      <c r="G17" s="87" t="n">
        <f aca="false">SUM(F15:F17)</f>
        <v>0</v>
      </c>
      <c r="H17" s="87" t="n">
        <f aca="false">[3]Mar!$I$1</f>
        <v>0</v>
      </c>
      <c r="I17" s="87" t="n">
        <f aca="false">SUM(H15:H17)</f>
        <v>0</v>
      </c>
      <c r="J17" s="87" t="n">
        <f aca="false">[3]Mar!$H$1</f>
        <v>0</v>
      </c>
      <c r="K17" s="87" t="n">
        <f aca="false">SUM(J15:J17)</f>
        <v>0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46142</v>
      </c>
      <c r="C18" s="85" t="n">
        <f aca="false">B19</f>
        <v>46173</v>
      </c>
      <c r="D18" s="86" t="n">
        <f aca="false">S04Y2!$G$1</f>
        <v>0</v>
      </c>
      <c r="E18" s="87" t="n">
        <f aca="false">SUM(D16:D18)</f>
        <v>0</v>
      </c>
      <c r="F18" s="87" t="n">
        <f aca="false">S04Y2!$F$1</f>
        <v>0</v>
      </c>
      <c r="G18" s="87" t="n">
        <f aca="false">SUM(F16:F18)</f>
        <v>0</v>
      </c>
      <c r="H18" s="87" t="n">
        <f aca="false">P04Y2!$I$1</f>
        <v>0</v>
      </c>
      <c r="I18" s="87" t="n">
        <f aca="false">SUM(H16:H18)</f>
        <v>0</v>
      </c>
      <c r="J18" s="87" t="n">
        <f aca="false">P04Y2!$H$1</f>
        <v>0</v>
      </c>
      <c r="K18" s="87" t="n">
        <f aca="false">SUM(J16:J18)</f>
        <v>0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46173</v>
      </c>
      <c r="C19" s="91" t="n">
        <f aca="false">[1]Admin!$B$20</f>
        <v>46203</v>
      </c>
      <c r="D19" s="86" t="n">
        <f aca="false">S05Y2!$G$1</f>
        <v>0</v>
      </c>
      <c r="E19" s="87" t="n">
        <f aca="false">SUM(D17:D19)</f>
        <v>0</v>
      </c>
      <c r="F19" s="87" t="n">
        <f aca="false">S05Y2!$F$1</f>
        <v>0</v>
      </c>
      <c r="G19" s="87" t="n">
        <f aca="false">SUM(F17:F19)</f>
        <v>0</v>
      </c>
      <c r="H19" s="87" t="n">
        <f aca="false">P05Y2!$I$1</f>
        <v>0</v>
      </c>
      <c r="I19" s="87" t="n">
        <f aca="false">SUM(H17:H19)</f>
        <v>0</v>
      </c>
      <c r="J19" s="87" t="n">
        <f aca="false">P05Y2!$H$1</f>
        <v>0</v>
      </c>
      <c r="K19" s="87" t="n">
        <f aca="false">SUM(J17:J19)</f>
        <v>0</v>
      </c>
      <c r="L19" s="88"/>
      <c r="M19" s="89" t="n">
        <f aca="false">IF([2]Mar!$H$4&gt;0,[2]Mar!$H$4,0)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s="107" customFormat="tru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0</v>
      </c>
      <c r="F1" s="106" t="n">
        <f aca="false">SUM(F5:F200)</f>
        <v>0</v>
      </c>
      <c r="G1" s="106" t="n">
        <f aca="false">SUM(G5:G200)</f>
        <v>0</v>
      </c>
    </row>
    <row r="2" s="107" customFormat="tru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</row>
    <row r="3" s="113" customFormat="tru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F5" s="99" t="str">
        <f aca="false">IF(F$4&gt;0,(IF(E5&lt;&gt;0,E5*F$4/100," ")),IF(E5&lt;&gt;0,E5*F$2/(100+F$2)," "))</f>
        <v> </v>
      </c>
      <c r="G5" s="99" t="str">
        <f aca="false">IF((E5&lt;&gt;0),E5-F5," ")</f>
        <v> 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35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[3]OpeningCreditors!$H$2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s="102" customFormat="true" ht="30" hidden="false" customHeight="true" outlineLevel="0" collapsed="false">
      <c r="A1" s="103" t="s">
        <v>27</v>
      </c>
      <c r="B1" s="103"/>
      <c r="C1" s="126" t="s">
        <v>36</v>
      </c>
      <c r="D1" s="127"/>
      <c r="E1" s="106" t="s">
        <v>28</v>
      </c>
      <c r="F1" s="128"/>
      <c r="G1" s="106" t="n">
        <f aca="false">SUM(G5:G200)</f>
        <v>0</v>
      </c>
      <c r="H1" s="106" t="n">
        <f aca="false">SUM(H5:H200)</f>
        <v>0</v>
      </c>
      <c r="I1" s="106" t="n">
        <f aca="false">SUM(I5:I200)</f>
        <v>0</v>
      </c>
    </row>
    <row r="2" s="131" customFormat="true" ht="12" hidden="false" customHeight="true" outlineLevel="0" collapsed="false">
      <c r="A2" s="108" t="s">
        <v>37</v>
      </c>
      <c r="B2" s="109" t="str">
        <f aca="false">IF((I1-SUM(P1:AL1)&lt;&gt;0),"COMPLETE EXPENSE ANALYSIS by inserting expense letter in col F","Supplier")</f>
        <v>Supplier</v>
      </c>
      <c r="C2" s="126"/>
      <c r="D2" s="127"/>
      <c r="E2" s="129" t="s">
        <v>38</v>
      </c>
      <c r="F2" s="128"/>
      <c r="G2" s="109" t="s">
        <v>39</v>
      </c>
      <c r="H2" s="130" t="n">
        <f aca="false">[3]ClosingCreditors!$H$2</f>
        <v>20</v>
      </c>
      <c r="I2" s="109" t="s">
        <v>40</v>
      </c>
    </row>
    <row r="3" s="132" customFormat="tru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41</v>
      </c>
      <c r="I3" s="109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B5" s="124"/>
      <c r="C5" s="122"/>
      <c r="E5" s="124"/>
      <c r="F5" s="120"/>
      <c r="G5" s="133"/>
      <c r="H5" s="125" t="str">
        <f aca="false">IF(G5&lt;&gt;0,G5*H$2/(100+H$2)," ")</f>
        <v> </v>
      </c>
      <c r="I5" s="125" t="str">
        <f aca="false">IF((G5&lt;&gt;0),G5-H5," ")</f>
        <v> 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35</v>
      </c>
      <c r="H201" s="125" t="e">
        <f aca="false">NA()</f>
        <v>#N/A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