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<sst xmlns="http://schemas.openxmlformats.org/spreadsheetml/2006/main" count="635" uniqueCount="59">
  <si>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</si>
  <si>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</si>
  <si>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</si>
  <si>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</si>
  <si>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</si>
  <si>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</si>
  <si>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</si>
  <si>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</si>
  <si>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</si>
  <si>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</si>
  <si>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</si>
  <si>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</si>
  <si>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</si>
  <si>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</si>
  <si>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</si>
  <si>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</si>
  <si>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</si>
  <si>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</si>
  <si>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</si>
  <si>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</si>
  <si>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</si>
  <si>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</si>
  <si>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</si>
  <si>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</si>
  <si>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</si>
  <si>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</si>
  <si>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</si>
  <si>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</si>
  <si>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</si>
  <si>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</si>
  <si>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</si>
  <si>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</si>
  <si>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</si>
  <si>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</si>
  <si>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</si>
  <si>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</si>
  <si>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</si>
  <si>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</si>
  <si>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</si>
  <si>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</si>
  <si>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</si>
  <si>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</si>
  <si>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</si>
  <si>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</si>
  <si>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</si>
  <si>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</si>
  <si>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</si>
  <si>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</si>
  <si>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</si>
  <si>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</si>
  <si>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Office Supplies Ltd</t>
  </si>
  <si>
    <t xml:space="preserve">g</t>
  </si>
  <si>
    <t xml:space="preserve">Landlord</t>
  </si>
  <si>
    <t xml:space="preserve">p</t>
  </si>
  <si>
    <t xml:space="preserve">Accountant</t>
  </si>
  <si>
    <t xml:space="preserve">l</t>
  </si>
  <si>
    <t xml:space="preserve">Fuel Station</t>
  </si>
  <si>
    <t xml:space="preserve">Plumber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</si>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</sst>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</f>
        <v>0</v>
      </c>
      <c r="B2" s="44" t="s">
        <v>14</v>
      </c>
      <c r="C2" s="43" t="n">
        <f aca="false">0+D1+[1]Apr!$D$1</f>
        <v>0</v>
      </c>
      <c r="D2" s="45" t="s">
        <v>15</v>
      </c>
      <c r="E2" s="20" t="s">
        <v>5</v>
      </c>
      <c r="F2" s="44" t="s">
        <v>16</v>
      </c>
      <c r="G2" s="46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5" t="n">
        <v>45767</v>
      </c>
      <c r="B5" s="2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IF((G5-L5)&lt;&gt;0,N$1-A22," ")</f>
        <v>46113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G2+Apr!A2</f>
        <v>0</v>
      </c>
      <c r="B2" s="44" t="s">
        <v>14</v>
      </c>
      <c r="C2" s="43" t="n">
        <f aca="false">Apr!C2+D1+[1]May!$D$1</f>
        <v>0</v>
      </c>
      <c r="D2" s="45" t="s">
        <v>15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AB1+Apr!AB2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45787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326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G2+May!A2</f>
        <v>0</v>
      </c>
      <c r="B2" s="44" t="s">
        <v>14</v>
      </c>
      <c r="C2" s="43" t="n">
        <f aca="false">May!C2+D1+[1]Jun!$D$1</f>
        <v>0</v>
      </c>
      <c r="D2" s="45" t="s">
        <v>15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AB1+May!AB2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G2+Jun!A2</f>
        <v>0</v>
      </c>
      <c r="B2" s="44" t="s">
        <v>14</v>
      </c>
      <c r="C2" s="43" t="n">
        <f aca="false">Jun!C2+D1+[1]Jul!$D$1</f>
        <v>0</v>
      </c>
      <c r="D2" s="45" t="s">
        <v>15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45839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274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300</v>
      </c>
      <c r="H1" s="13" t="n">
        <f aca="false">SUM(H5:H200)</f>
        <v>0</v>
      </c>
      <c r="I1" s="13" t="n">
        <f aca="false">SUM(I2:I200)</f>
        <v>300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300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300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G2+Jul!A2</f>
        <v>0</v>
      </c>
      <c r="B2" s="44" t="s">
        <v>14</v>
      </c>
      <c r="C2" s="43" t="n">
        <f aca="false">Jul!C2+D1+[1]Aug!$D$1</f>
        <v>0</v>
      </c>
      <c r="D2" s="45" t="s">
        <v>15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AB1+Jul!AB2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45884</v>
      </c>
      <c r="B5" s="5" t="s">
        <v>56</v>
      </c>
      <c r="F5" s="5" t="s">
        <v>16</v>
      </c>
      <c r="G5" s="29" t="n">
        <v>300</v>
      </c>
      <c r="I5" s="6" t="n">
        <f aca="false">IF((G5&lt;&gt;0),G5-H5," ")</f>
        <v>300</v>
      </c>
      <c r="K5" s="6"/>
      <c r="L5" s="6"/>
      <c r="M5" s="7" t="n">
        <f aca="false">IF(G5&lt;&gt;0,G5-L5," ")</f>
        <v>300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n">
        <f aca="false">IF((F5="v"),I5," ")</f>
        <v>300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G2+Aug!A2</f>
        <v>0</v>
      </c>
      <c r="B2" s="44" t="s">
        <v>14</v>
      </c>
      <c r="C2" s="43" t="n">
        <f aca="false">Aug!C2+D1+[1]Sep!$D$1</f>
        <v>0</v>
      </c>
      <c r="D2" s="45" t="s">
        <v>15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AB1+Aug!AB2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G2+Sep!A2</f>
        <v>0</v>
      </c>
      <c r="B2" s="44" t="s">
        <v>14</v>
      </c>
      <c r="C2" s="43" t="n">
        <f aca="false">Sep!C2+D1+[1]Oct!$D$1</f>
        <v>0</v>
      </c>
      <c r="D2" s="45" t="s">
        <v>15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AB1+Sep!AB2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45931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182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G2+Oct!A2</f>
        <v>0</v>
      </c>
      <c r="B2" s="44" t="s">
        <v>14</v>
      </c>
      <c r="C2" s="43" t="n">
        <f aca="false">Oct!C2+D1+[1]Nov!$D$1</f>
        <v>0</v>
      </c>
      <c r="D2" s="45" t="s">
        <v>15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AB1+Oct!AB2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45981</v>
      </c>
      <c r="B5" s="5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IF((G5-L5)&lt;&gt;0,N$1-A5," ")</f>
        <v>132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G2+Nov!A2</f>
        <v>0</v>
      </c>
      <c r="B2" s="44" t="s">
        <v>14</v>
      </c>
      <c r="C2" s="43" t="n">
        <f aca="false">Nov!C2+D1+[1]Dec!$D$1</f>
        <v>0</v>
      </c>
      <c r="D2" s="45" t="s">
        <v>15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AB1+Nov!AB2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8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8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480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G2+Dec!A2</f>
        <v>0</v>
      </c>
      <c r="B2" s="44" t="s">
        <v>14</v>
      </c>
      <c r="C2" s="43" t="n">
        <f aca="false">Dec!C2+D1+[1]Jan!$D$1</f>
        <v>0</v>
      </c>
      <c r="D2" s="45" t="s">
        <v>15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AB1+Dec!AB2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46037</v>
      </c>
      <c r="B5" s="5" t="s">
        <v>57</v>
      </c>
      <c r="F5" s="5" t="s">
        <v>58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n">
        <f aca="false">IF((F5="m"),I5," ")</f>
        <v>480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G2+Jan!A2</f>
        <v>0</v>
      </c>
      <c r="B2" s="44" t="s">
        <v>14</v>
      </c>
      <c r="C2" s="43" t="n">
        <f aca="false">Jan!C2+D1+[1]Feb!$D$1</f>
        <v>0</v>
      </c>
      <c r="D2" s="45" t="s">
        <v>15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AB1+Jan!AB2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46054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59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900</v>
      </c>
      <c r="H1" s="13" t="n">
        <f aca="false">SUM(H5:H200)</f>
        <v>0</v>
      </c>
      <c r="I1" s="13" t="n">
        <f aca="false">SUM(I2:I200)</f>
        <v>900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420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G2+Feb!A2</f>
        <v>0</v>
      </c>
      <c r="B2" s="44" t="s">
        <v>14</v>
      </c>
      <c r="C2" s="43" t="n">
        <f aca="false">Feb!C2+D1+[1]Mar!$D$1</f>
        <v>0</v>
      </c>
      <c r="D2" s="45" t="s">
        <v>15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AB1+Feb!AB2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46091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46101</v>
      </c>
      <c r="B6" s="2" t="s">
        <v>50</v>
      </c>
      <c r="F6" s="5" t="s">
        <v>51</v>
      </c>
      <c r="G6" s="29" t="n">
        <v>420</v>
      </c>
      <c r="I6" s="6" t="n">
        <f aca="false">IF((G6&lt;&gt;0),G6-H6," ")</f>
        <v>420</v>
      </c>
      <c r="J6" s="5"/>
      <c r="M6" s="7" t="n">
        <f aca="false">IF(G6&lt;&gt;0,G6-L6," ")</f>
        <v>420</v>
      </c>
      <c r="N6" s="8" t="n">
        <f aca="false">IF((G6-L6)&lt;&gt;0,N$1-A6," ")</f>
        <v>12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420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