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" sheetId="1" state="visible" r:id="rId3"/>
    <sheet name="Apr" sheetId="2" state="visible" r:id="rId4"/>
    <sheet name="May" sheetId="3" state="visible" r:id="rId5"/>
    <sheet name="Jun" sheetId="4" state="visible" r:id="rId6"/>
    <sheet name="Jul" sheetId="5" state="visible" r:id="rId7"/>
    <sheet name="Aug" sheetId="6" state="visible" r:id="rId8"/>
    <sheet name="Sep" sheetId="7" state="visible" r:id="rId9"/>
    <sheet name="Oct" sheetId="8" state="visible" r:id="rId10"/>
    <sheet name="Nov" sheetId="9" state="visible" r:id="rId11"/>
    <sheet name="Dec" sheetId="10" state="visible" r:id="rId12"/>
    <sheet name="Jan" sheetId="11" state="visible" r:id="rId13"/>
    <sheet name="Feb" sheetId="12" state="visible" r:id="rId14"/>
    <sheet name="Mar" sheetId="13" state="visible" r:id="rId15"/>
    <sheet name="Payslips" sheetId="14" state="visible" r:id="rId16"/>
    <sheet name="Payment" sheetId="15" state="visible" r:id="rId17"/>
    <sheet name="Admin" sheetId="16" state="visible" r:id="rId18"/>
  </sheets>
  <definedNames>
    <definedName function="false" hidden="false" localSheetId="1" name="_xlnm.Print_Titles" vbProcedure="false">Apr!$E:$F,Apr!$1:$6</definedName>
    <definedName function="false" hidden="false" localSheetId="5" name="_xlnm.Print_Titles" vbProcedure="false">Aug!$A:$D,Aug!$1:$6</definedName>
    <definedName function="false" hidden="false" localSheetId="9" name="_xlnm.Print_Titles" vbProcedure="false">Dec!$A:$D,Dec!$1:$6</definedName>
    <definedName function="false" hidden="false" localSheetId="11" name="_xlnm.Print_Titles" vbProcedure="false">Feb!$A:$D,Feb!$1:$6</definedName>
    <definedName function="false" hidden="false" localSheetId="10" name="_xlnm.Print_Titles" vbProcedure="false">Jan!$A:$D,Jan!$1:$6</definedName>
    <definedName function="false" hidden="false" localSheetId="4" name="_xlnm.Print_Titles" vbProcedure="false">Jul!$A:$D,Jul!$1:$6</definedName>
    <definedName function="false" hidden="false" localSheetId="3" name="_xlnm.Print_Titles" vbProcedure="false">Jun!$A:$D,Jun!$1:$6</definedName>
    <definedName function="false" hidden="false" localSheetId="12" name="_xlnm.Print_Titles" vbProcedure="false">Mar!$A:$D,Mar!$1:$6</definedName>
    <definedName function="false" hidden="false" localSheetId="2" name="_xlnm.Print_Titles" vbProcedure="false">May!$A:$D,May!$1:$6</definedName>
    <definedName function="false" hidden="false" localSheetId="8" name="_xlnm.Print_Titles" vbProcedure="false">Nov!$A:$D,Nov!$1:$6</definedName>
    <definedName function="false" hidden="false" localSheetId="7" name="_xlnm.Print_Titles" vbProcedure="false">Oct!$A:$D,Oct!$1:$6</definedName>
    <definedName function="false" hidden="false" localSheetId="6" name="_xlnm.Print_Titles" vbProcedure="false">Sep!$A:$D,Sep!$1:$6</definedName>
    <definedName function="false" hidden="false" localSheetId="1" name="Excel_BuiltIn_Print_Titles" vbProcedure="false">(Apr!$E:$F,Apr!$1:$6)</definedName>
    <definedName function="false" hidden="false" localSheetId="1" name="_xlnm_Print_Titles" vbProcedure="false">(Apr!$E:$F,Apr!$1:$6)</definedName>
    <definedName function="false" hidden="false" localSheetId="2" name="Excel_BuiltIn_Print_Titles" vbProcedure="false">(May!$A:$D,May!$1:$6)</definedName>
    <definedName function="false" hidden="false" localSheetId="2" name="_xlnm_Print_Titles" vbProcedure="false">(May!$A:$D,May!$1:$6)</definedName>
    <definedName function="false" hidden="false" localSheetId="3" name="Excel_BuiltIn_Print_Titles" vbProcedure="false">(Jun!$A:$D,Jun!$1:$6)</definedName>
    <definedName function="false" hidden="false" localSheetId="3" name="_xlnm_Print_Titles" vbProcedure="false">(Jun!$A:$D,Jun!$1:$6)</definedName>
    <definedName function="false" hidden="false" localSheetId="4" name="Excel_BuiltIn_Print_Titles" vbProcedure="false">(Jul!$A:$D,Jul!$1:$6)</definedName>
    <definedName function="false" hidden="false" localSheetId="4" name="_xlnm_Print_Titles" vbProcedure="false">(Jul!$A:$D,Jul!$1:$6)</definedName>
    <definedName function="false" hidden="false" localSheetId="5" name="Excel_BuiltIn_Print_Titles" vbProcedure="false">(Aug!$A:$D,Aug!$1:$6)</definedName>
    <definedName function="false" hidden="false" localSheetId="5" name="_xlnm_Print_Titles" vbProcedure="false">(Aug!$A:$D,Aug!$1:$6)</definedName>
    <definedName function="false" hidden="false" localSheetId="6" name="Excel_BuiltIn_Print_Titles" vbProcedure="false">(Sep!$A:$D,Sep!$1:$6)</definedName>
    <definedName function="false" hidden="false" localSheetId="6" name="_xlnm_Print_Titles" vbProcedure="false">(Sep!$A:$D,Sep!$1:$6)</definedName>
    <definedName function="false" hidden="false" localSheetId="7" name="Excel_BuiltIn_Print_Titles" vbProcedure="false">(Oct!$A:$D,Oct!$1:$6)</definedName>
    <definedName function="false" hidden="false" localSheetId="7" name="_xlnm_Print_Titles" vbProcedure="false">(Oct!$A:$D,Oct!$1:$6)</definedName>
    <definedName function="false" hidden="false" localSheetId="8" name="Excel_BuiltIn_Print_Titles" vbProcedure="false">(Nov!$A:$D,Nov!$1:$6)</definedName>
    <definedName function="false" hidden="false" localSheetId="8" name="_xlnm_Print_Titles" vbProcedure="false">(Nov!$A:$D,Nov!$1:$6)</definedName>
    <definedName function="false" hidden="false" localSheetId="9" name="Excel_BuiltIn_Print_Titles" vbProcedure="false">(Dec!$A:$D,Dec!$1:$6)</definedName>
    <definedName function="false" hidden="false" localSheetId="9" name="_xlnm_Print_Titles" vbProcedure="false">(Dec!$A:$D,Dec!$1:$6)</definedName>
    <definedName function="false" hidden="false" localSheetId="10" name="Excel_BuiltIn_Print_Titles" vbProcedure="false">(Jan!$A:$D,Jan!$1:$6)</definedName>
    <definedName function="false" hidden="false" localSheetId="10" name="_xlnm_Print_Titles" vbProcedure="false">(Jan!$A:$D,Jan!$1:$6)</definedName>
    <definedName function="false" hidden="false" localSheetId="11" name="Excel_BuiltIn_Print_Titles" vbProcedure="false">(Feb!$A:$D,Feb!$1:$6)</definedName>
    <definedName function="false" hidden="false" localSheetId="11" name="_xlnm_Print_Titles" vbProcedure="false">(Feb!$A:$D,Feb!$1:$6)</definedName>
    <definedName function="false" hidden="false" localSheetId="12" name="Excel_BuiltIn_Print_Titles" vbProcedure="false">(Mar!$A:$D,Mar!$1:$6)</definedName>
    <definedName function="false" hidden="false" localSheetId="12" name="_xlnm_Print_Titles" vbProcedure="false">(Mar!$A:$D,Mar!$1:$6)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<sst xmlns="http://schemas.openxmlformats.org/spreadsheetml/2006/main" count="1383" uniqueCount="138">
  <si>
    <t xml:space="preserve">BUSINESS DETAILS</t>
  </si>
  <si>
    <t xml:space="preserve">DIY Accounting Payslip Generator</t>
  </si>
  <si>
    <t xml:space="preserve">www.diyaccounting.co.uk</t>
  </si>
  <si>
    <t xml:space="preserve">Business name</t>
  </si>
  <si>
    <t xml:space="preserve">Complete Employee details below and add calculated tax and wages to the monthly sheets (Apr22, May22, etc…), then switch to the Payslips sheet to generate payslips by selecting W or M (weekly/monthly) and the week or month number.</t>
  </si>
  <si>
    <t xml:space="preserve">M</t>
  </si>
  <si>
    <t xml:space="preserve">Address line 1</t>
  </si>
  <si>
    <t xml:space="preserve">F</t>
  </si>
  <si>
    <t xml:space="preserve">City</t>
  </si>
  <si>
    <t xml:space="preserve">W</t>
  </si>
  <si>
    <t xml:space="preserve">Post code</t>
  </si>
  <si>
    <t xml:space="preserve">Financial tax year</t>
  </si>
  <si>
    <t xml:space="preserve">D</t>
  </si>
  <si>
    <t xml:space="preserve">W1</t>
  </si>
  <si>
    <t xml:space="preserve">EMPLOYEE DETAILS   01</t>
  </si>
  <si>
    <t xml:space="preserve">* Bank details are optional</t>
  </si>
  <si>
    <t xml:space="preserve">NATIONAL INSURANCE</t>
  </si>
  <si>
    <t xml:space="preserve">M1</t>
  </si>
  <si>
    <r>
      <rPr>
        <sz val="9"/>
        <rFont val="Times New Roman"/>
        <family val="1"/>
        <charset val="1"/>
      </rPr>
      <t xml:space="preserve">Employee surname    </t>
    </r>
    <r>
      <rPr>
        <sz val="9"/>
        <color rgb="FF808080"/>
        <rFont val="Times New Roman"/>
        <family val="1"/>
        <charset val="1"/>
      </rPr>
      <t xml:space="preserve">use Capitals</t>
    </r>
  </si>
  <si>
    <t xml:space="preserve">*Account name</t>
  </si>
  <si>
    <t xml:space="preserve">National Insurance number</t>
  </si>
  <si>
    <t xml:space="preserve">Employee forename(s)</t>
  </si>
  <si>
    <t xml:space="preserve">*Account number</t>
  </si>
  <si>
    <t xml:space="preserve">*Bank name</t>
  </si>
  <si>
    <t xml:space="preserve">*Sort code</t>
  </si>
  <si>
    <t xml:space="preserve">Wk/Mth no</t>
  </si>
  <si>
    <r>
      <rPr>
        <sz val="9"/>
        <rFont val="Times New Roman"/>
        <family val="1"/>
        <charset val="1"/>
      </rPr>
      <t xml:space="preserve">Leaving date              </t>
    </r>
    <r>
      <rPr>
        <sz val="9"/>
        <color rgb="FF000080"/>
        <rFont val="Times New Roman"/>
        <family val="1"/>
        <charset val="1"/>
      </rPr>
      <t xml:space="preserve"> </t>
    </r>
    <r>
      <rPr>
        <i val="true"/>
        <sz val="8"/>
        <color rgb="FF000080"/>
        <rFont val="Times New Roman"/>
        <family val="1"/>
        <charset val="1"/>
      </rPr>
      <t xml:space="preserve">(dd/mm/yyyy)</t>
    </r>
  </si>
  <si>
    <t xml:space="preserve">Paid monthly or weekly?</t>
  </si>
  <si>
    <t xml:space="preserve">   </t>
  </si>
  <si>
    <t xml:space="preserve">Payroll number</t>
  </si>
  <si>
    <t xml:space="preserve">Limited Companies Only</t>
  </si>
  <si>
    <t xml:space="preserve">Enter D  for Director</t>
  </si>
  <si>
    <t xml:space="preserve">EMPLOYEE DETAILS   02</t>
  </si>
  <si>
    <t xml:space="preserve">Employee surname</t>
  </si>
  <si>
    <t xml:space="preserve">EMPLOYEE DETAILS   03</t>
  </si>
  <si>
    <r>
      <rPr>
        <sz val="9"/>
        <rFont val="Times New Roman"/>
        <family val="1"/>
        <charset val="1"/>
      </rPr>
      <t xml:space="preserve">Leaving date               </t>
    </r>
    <r>
      <rPr>
        <i val="true"/>
        <sz val="8"/>
        <color rgb="FF000080"/>
        <rFont val="Times New Roman"/>
        <family val="1"/>
        <charset val="1"/>
      </rPr>
      <t xml:space="preserve">(dd/mm/yyyy)</t>
    </r>
  </si>
  <si>
    <t xml:space="preserve">EMPLOYEE DETAILS   04</t>
  </si>
  <si>
    <t xml:space="preserve">EMPLOYEE DETAILS   05</t>
  </si>
  <si>
    <t xml:space="preserve">Monthly Totals</t>
  </si>
  <si>
    <t xml:space="preserve">YEAR TO DATE</t>
  </si>
  <si>
    <t xml:space="preserve">Statutory Payments &amp; NIC Recovered</t>
  </si>
  <si>
    <t xml:space="preserve">Sub Totals Directors</t>
  </si>
  <si>
    <t xml:space="preserve">Dir Ref</t>
  </si>
  <si>
    <t xml:space="preserve">NIC Table</t>
  </si>
  <si>
    <t xml:space="preserve">Tax Code</t>
  </si>
  <si>
    <t xml:space="preserve">Pay No</t>
  </si>
  <si>
    <t xml:space="preserve">Employee Name</t>
  </si>
  <si>
    <t xml:space="preserve">SSP</t>
  </si>
  <si>
    <t xml:space="preserve">Statutory Pay</t>
  </si>
  <si>
    <t xml:space="preserve">Basic hours</t>
  </si>
  <si>
    <t xml:space="preserve">Hourly rate</t>
  </si>
  <si>
    <t xml:space="preserve">Basic    wages</t>
  </si>
  <si>
    <t xml:space="preserve">Overtime Bonus Gratuities</t>
  </si>
  <si>
    <t xml:space="preserve">GROSS WAGES</t>
  </si>
  <si>
    <t xml:space="preserve">Income Tax</t>
  </si>
  <si>
    <t xml:space="preserve">Employees National Insurance</t>
  </si>
  <si>
    <t xml:space="preserve">Student Loans</t>
  </si>
  <si>
    <t xml:space="preserve">Other Deductions</t>
  </si>
  <si>
    <t xml:space="preserve">NET      PAY</t>
  </si>
  <si>
    <t xml:space="preserve">Employers National Insurance</t>
  </si>
  <si>
    <t xml:space="preserve">Gross Wages</t>
  </si>
  <si>
    <t xml:space="preserve">Student Loan deductions</t>
  </si>
  <si>
    <t xml:space="preserve">Net Pay</t>
  </si>
  <si>
    <t xml:space="preserve">Statutory Sick Pay Recovered</t>
  </si>
  <si>
    <t xml:space="preserve">Statutory Maternity Pay Recovered</t>
  </si>
  <si>
    <t xml:space="preserve">Statutory Paternity Pay Recovered</t>
  </si>
  <si>
    <t xml:space="preserve">Statutory Adoption Pay Recovered</t>
  </si>
  <si>
    <t xml:space="preserve">SMP</t>
  </si>
  <si>
    <t xml:space="preserve">SPP</t>
  </si>
  <si>
    <t xml:space="preserve">SAP</t>
  </si>
  <si>
    <t xml:space="preserve">WEEKLY PAYROLL</t>
  </si>
  <si>
    <t xml:space="preserve">Date Wages paid</t>
  </si>
  <si>
    <t xml:space="preserve">Week number</t>
  </si>
  <si>
    <t xml:space="preserve">Wages Tax Period</t>
  </si>
  <si>
    <t xml:space="preserve">-</t>
  </si>
  <si>
    <t xml:space="preserve"> </t>
  </si>
  <si>
    <t xml:space="preserve">Payroll Total</t>
  </si>
  <si>
    <r>
      <rPr>
        <i val="true"/>
        <sz val="9"/>
        <rFont val="Times New Roman"/>
        <family val="1"/>
        <charset val="1"/>
      </rPr>
      <t xml:space="preserve">One Click to repeat previous week</t>
    </r>
    <r>
      <rPr>
        <sz val="9"/>
        <rFont val="Times New Roman"/>
        <family val="1"/>
        <charset val="1"/>
      </rPr>
      <t xml:space="preserve">  Enter Y</t>
    </r>
  </si>
  <si>
    <t xml:space="preserve">MONTHLY PAYROLL</t>
  </si>
  <si>
    <t xml:space="preserve">Month number</t>
  </si>
  <si>
    <t xml:space="preserve">One Click to repeat previous month</t>
  </si>
  <si>
    <t xml:space="preserve">Month 1</t>
  </si>
  <si>
    <t xml:space="preserve">Directors</t>
  </si>
  <si>
    <t xml:space="preserve">Directors Wages Limited Companies Only</t>
  </si>
  <si>
    <t xml:space="preserve">Director Totals</t>
  </si>
  <si>
    <r>
      <rPr>
        <i val="true"/>
        <sz val="9"/>
        <rFont val="Times New Roman"/>
        <family val="1"/>
        <charset val="1"/>
      </rPr>
      <t xml:space="preserve">One Click to repeat previous month</t>
    </r>
    <r>
      <rPr>
        <sz val="9"/>
        <rFont val="Times New Roman"/>
        <family val="1"/>
        <charset val="1"/>
      </rPr>
      <t xml:space="preserve">  Enter Y</t>
    </r>
  </si>
  <si>
    <t xml:space="preserve">All Week I Month I Basis</t>
  </si>
  <si>
    <t xml:space="preserve">Weekly or Monthly payslips (W or M)</t>
  </si>
  <si>
    <t xml:space="preserve">w</t>
  </si>
  <si>
    <t xml:space="preserve">Sheet</t>
  </si>
  <si>
    <t xml:space="preserve">Week or Month number (1-12 or 1 to 53)</t>
  </si>
  <si>
    <t xml:space="preserve">Start row</t>
  </si>
  <si>
    <t xml:space="preserve">Tax Week ended</t>
  </si>
  <si>
    <t xml:space="preserve">Nat Ins Number</t>
  </si>
  <si>
    <t xml:space="preserve">Payroll Reference</t>
  </si>
  <si>
    <t xml:space="preserve">Nat Ins    Table</t>
  </si>
  <si>
    <t xml:space="preserve">PAYMENTS THIS PERIOD</t>
  </si>
  <si>
    <t xml:space="preserve">GROSS PAY</t>
  </si>
  <si>
    <t xml:space="preserve">DEDUCTIONS FROM GROSS PAY</t>
  </si>
  <si>
    <t xml:space="preserve">NET PAY</t>
  </si>
  <si>
    <t xml:space="preserve">Statutory Allowances</t>
  </si>
  <si>
    <t xml:space="preserve">Basic   Hours</t>
  </si>
  <si>
    <t xml:space="preserve">Hourly   Rate</t>
  </si>
  <si>
    <t xml:space="preserve">BASIC PAY</t>
  </si>
  <si>
    <t xml:space="preserve">Incremental Payments</t>
  </si>
  <si>
    <t xml:space="preserve">Income   Tax</t>
  </si>
  <si>
    <t xml:space="preserve">National Insurance</t>
  </si>
  <si>
    <t xml:space="preserve">Student loans</t>
  </si>
  <si>
    <t xml:space="preserve">Office Use</t>
  </si>
  <si>
    <t xml:space="preserve">Total year to date</t>
  </si>
  <si>
    <t xml:space="preserve">Payment date</t>
  </si>
  <si>
    <t xml:space="preserve">Tax Week</t>
  </si>
  <si>
    <t xml:space="preserve">Income  Tax</t>
  </si>
  <si>
    <t xml:space="preserve">PAYE       Month</t>
  </si>
  <si>
    <t xml:space="preserve">Inland Revenue Payment Due</t>
  </si>
  <si>
    <t xml:space="preserve">Amount Due Nat Insurance</t>
  </si>
  <si>
    <t xml:space="preserve">Amount Due Income Tax</t>
  </si>
  <si>
    <t xml:space="preserve">Statutory Pay Recovered</t>
  </si>
  <si>
    <t xml:space="preserve">Statutory Pay NIC Compensation </t>
  </si>
  <si>
    <t xml:space="preserve">Student Loan Deductions</t>
  </si>
  <si>
    <t xml:space="preserve">Total Amount Payable</t>
  </si>
  <si>
    <t xml:space="preserve">Payment Date</t>
  </si>
  <si>
    <t xml:space="preserve">Payment Method</t>
  </si>
  <si>
    <t xml:space="preserve">Amount Paid</t>
  </si>
  <si>
    <t xml:space="preserve">Online filing month code</t>
  </si>
  <si>
    <t xml:space="preserve">Amount Outstanding</t>
  </si>
  <si>
    <t xml:space="preserve">Reduce employers' NIC contributions by 0.5% for employees categorised as mariners</t>
  </si>
  <si>
    <t xml:space="preserve">Month Sheet</t>
  </si>
  <si>
    <t xml:space="preserve">Date</t>
  </si>
  <si>
    <t xml:space="preserve">Date code</t>
  </si>
  <si>
    <t xml:space="preserve">Week in Month</t>
  </si>
  <si>
    <t xml:space="preserve">Year to</t>
  </si>
  <si>
    <t xml:space="preserve">Product Layout</t>
  </si>
  <si>
    <t xml:space="preserve">Month</t>
  </si>
  <si>
    <t xml:space="preserve">Weeks in month</t>
  </si>
  <si>
    <t xml:space="preserve">Employees</t>
  </si>
  <si>
    <t xml:space="preserve">Weekly</t>
  </si>
  <si>
    <t xml:space="preserve">Monthly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</si>
</sst>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"/>
    <numFmt numFmtId="166" formatCode="m/d/yyyy"/>
    <numFmt numFmtId="167" formatCode="0.00"/>
    <numFmt numFmtId="168" formatCode="dd/mm/yyyy;@"/>
    <numFmt numFmtId="169" formatCode="@"/>
    <numFmt numFmtId="170" formatCode="General"/>
    <numFmt numFmtId="171" formatCode="00"/>
    <numFmt numFmtId="172" formatCode="0.00_ ;[RED]\-0.00\ "/>
    <numFmt numFmtId="173" formatCode="#,##0.00_ ;[RED]\-#,##0.00\ "/>
    <numFmt numFmtId="174" formatCode="d\-mmm\-yy"/>
    <numFmt numFmtId="175" formatCode="mmm\-yy"/>
    <numFmt numFmtId="176" formatCode="[$-F800]dddd&quot;, &quot;mmmm\ dd&quot;, &quot;yyyy"/>
  </numFmts>
  <fonts count="5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9"/>
      <name val="Times New Roman"/>
      <family val="1"/>
      <charset val="1"/>
    </font>
    <font>
      <b val="true"/>
      <sz val="9"/>
      <name val="Times New Roman"/>
      <family val="1"/>
      <charset val="1"/>
    </font>
    <font>
      <b val="true"/>
      <sz val="12"/>
      <name val="Times New Roman"/>
      <family val="1"/>
      <charset val="1"/>
    </font>
    <font>
      <sz val="8"/>
      <color rgb="FF000080"/>
      <name val="Times New Roman"/>
      <family val="1"/>
      <charset val="1"/>
    </font>
    <font>
      <u val="single"/>
      <sz val="10"/>
      <color rgb="FF0000FF"/>
      <name val="Arial"/>
      <family val="2"/>
      <charset val="1"/>
    </font>
    <font>
      <u val="single"/>
      <sz val="8"/>
      <color rgb="FF0000FF"/>
      <name val="Times New Roman"/>
      <family val="1"/>
      <charset val="1"/>
    </font>
    <font>
      <i val="true"/>
      <sz val="9"/>
      <name val="Times New Roman"/>
      <family val="1"/>
      <charset val="1"/>
    </font>
    <font>
      <i val="true"/>
      <sz val="8"/>
      <name val="Times New Roman"/>
      <family val="1"/>
      <charset val="1"/>
    </font>
    <font>
      <sz val="8"/>
      <name val="Arial"/>
      <family val="2"/>
      <charset val="1"/>
    </font>
    <font>
      <i val="true"/>
      <sz val="8"/>
      <color rgb="FF808080"/>
      <name val="Times New Roman"/>
      <family val="1"/>
      <charset val="1"/>
    </font>
    <font>
      <sz val="8"/>
      <color rgb="FF333333"/>
      <name val="Times New Roman"/>
      <family val="1"/>
      <charset val="1"/>
    </font>
    <font>
      <sz val="9"/>
      <color rgb="FF808080"/>
      <name val="Times New Roman"/>
      <family val="1"/>
      <charset val="1"/>
    </font>
    <font>
      <sz val="8"/>
      <color rgb="FF808080"/>
      <name val="Times New Roman"/>
      <family val="1"/>
      <charset val="1"/>
    </font>
    <font>
      <b val="true"/>
      <sz val="10"/>
      <name val="Times New Roman"/>
      <family val="1"/>
      <charset val="1"/>
    </font>
    <font>
      <sz val="8"/>
      <name val="Times New Roman"/>
      <family val="1"/>
      <charset val="1"/>
    </font>
    <font>
      <sz val="8"/>
      <color rgb="FFC0C0C0"/>
      <name val="Times New Roman"/>
      <family val="1"/>
      <charset val="1"/>
    </font>
    <font>
      <sz val="9"/>
      <color rgb="FF000080"/>
      <name val="Times New Roman"/>
      <family val="1"/>
      <charset val="1"/>
    </font>
    <font>
      <i val="true"/>
      <sz val="8"/>
      <color rgb="FF000080"/>
      <name val="Times New Roman"/>
      <family val="1"/>
      <charset val="1"/>
    </font>
    <font>
      <b val="true"/>
      <sz val="8"/>
      <color rgb="FFFFFFFF"/>
      <name val="Times New Roman"/>
      <family val="1"/>
      <charset val="1"/>
    </font>
    <font>
      <i val="true"/>
      <sz val="9"/>
      <color rgb="FF000080"/>
      <name val="Times New Roman"/>
      <family val="1"/>
      <charset val="1"/>
    </font>
    <font>
      <sz val="10"/>
      <color rgb="FF808080"/>
      <name val="Arial"/>
      <family val="2"/>
      <charset val="1"/>
    </font>
    <font>
      <sz val="10"/>
      <name val="Times New Roman"/>
      <family val="1"/>
      <charset val="1"/>
    </font>
    <font>
      <sz val="9"/>
      <color rgb="FF003300"/>
      <name val="Times New Roman"/>
      <family val="1"/>
      <charset val="1"/>
    </font>
    <font>
      <b val="true"/>
      <sz val="8"/>
      <name val="Times New Roman"/>
      <family val="1"/>
      <charset val="1"/>
    </font>
    <font>
      <sz val="10"/>
      <color rgb="FFFF0000"/>
      <name val="Times New Roman"/>
      <family val="1"/>
      <charset val="1"/>
    </font>
    <font>
      <sz val="10"/>
      <color rgb="FFFF0000"/>
      <name val="Arial"/>
      <family val="2"/>
      <charset val="1"/>
    </font>
    <font>
      <sz val="9"/>
      <name val="Arial"/>
      <family val="2"/>
      <charset val="1"/>
    </font>
    <font>
      <b val="true"/>
      <sz val="8"/>
      <name val="Arial"/>
      <family val="2"/>
      <charset val="1"/>
    </font>
    <font>
      <sz val="9"/>
      <color rgb="FF0000FF"/>
      <name val="Times New Roman"/>
      <family val="1"/>
      <charset val="1"/>
    </font>
    <font>
      <sz val="8"/>
      <name val="Verdana"/>
      <family val="2"/>
      <charset val="1"/>
    </font>
    <font>
      <b val="true"/>
      <sz val="9"/>
      <color rgb="FF000080"/>
      <name val="Verdana"/>
      <family val="2"/>
      <charset val="1"/>
    </font>
    <font>
      <sz val="10"/>
      <name val="Verdana"/>
      <family val="2"/>
      <charset val="1"/>
    </font>
    <font>
      <b val="true"/>
      <sz val="9"/>
      <color rgb="FFD9D9D9"/>
      <name val="Verdana"/>
      <family val="2"/>
      <charset val="1"/>
    </font>
    <font>
      <b val="true"/>
      <sz val="9"/>
      <color rgb="FFFFFFCC"/>
      <name val="Verdana"/>
      <family val="2"/>
      <charset val="1"/>
    </font>
    <font>
      <sz val="12"/>
      <color rgb="FF000080"/>
      <name val="Verdana"/>
      <family val="2"/>
      <charset val="1"/>
    </font>
    <font>
      <sz val="8"/>
      <color rgb="FF000080"/>
      <name val="Verdana"/>
      <family val="2"/>
      <charset val="1"/>
    </font>
    <font>
      <b val="true"/>
      <sz val="8"/>
      <name val="Verdana"/>
      <family val="2"/>
      <charset val="1"/>
    </font>
    <font>
      <sz val="9"/>
      <color rgb="FF000080"/>
      <name val="Verdana"/>
      <family val="2"/>
      <charset val="1"/>
    </font>
    <font>
      <sz val="10"/>
      <color rgb="FF000080"/>
      <name val="Verdana"/>
      <family val="2"/>
      <charset val="1"/>
    </font>
    <font>
      <b val="true"/>
      <sz val="10"/>
      <color rgb="FF000080"/>
      <name val="Verdana"/>
      <family val="2"/>
      <charset val="1"/>
    </font>
    <font>
      <sz val="9"/>
      <name val="Verdana"/>
      <family val="2"/>
      <charset val="1"/>
    </font>
    <font>
      <u val="single"/>
      <sz val="10"/>
      <color rgb="FF0000FF"/>
      <name val="Verdana"/>
      <family val="2"/>
      <charset val="1"/>
    </font>
    <font>
      <sz val="8"/>
      <color rgb="FF808080"/>
      <name val="Verdana"/>
      <family val="2"/>
      <charset val="1"/>
    </font>
    <font>
      <b val="true"/>
      <sz val="9"/>
      <name val="Verdana"/>
      <family val="2"/>
      <charset val="1"/>
    </font>
    <font>
      <b val="true"/>
      <sz val="9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CCFFFF"/>
        <bgColor rgb="FFCCFFFF"/>
      </patternFill>
    </fill>
    <fill>
      <patternFill patternType="solid">
        <fgColor rgb="FFFFFFCC"/>
        <bgColor rgb="FFF0F0C0"/>
      </patternFill>
    </fill>
    <fill>
      <patternFill patternType="solid">
        <fgColor rgb="FFFFFFFF"/>
        <bgColor rgb="FFFFFFCC"/>
      </patternFill>
    </fill>
    <fill>
      <patternFill patternType="solid">
        <fgColor rgb="FFF0F0C0"/>
        <bgColor rgb="FFFFFFCC"/>
      </patternFill>
    </fill>
  </fills>
  <borders count="5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double"/>
      <right style="thin"/>
      <top style="double"/>
      <bottom style="double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double"/>
      <right/>
      <top style="double"/>
      <bottom style="double"/>
      <diagonal/>
    </border>
    <border diagonalUp="false" diagonalDown="false">
      <left/>
      <right/>
      <top style="double"/>
      <bottom style="double"/>
      <diagonal/>
    </border>
    <border diagonalUp="false" diagonalDown="false">
      <left/>
      <right style="double"/>
      <top style="double"/>
      <bottom style="double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double"/>
      <right style="double"/>
      <top/>
      <bottom style="double"/>
      <diagonal/>
    </border>
    <border diagonalUp="false" diagonalDown="false">
      <left style="double"/>
      <right style="double"/>
      <top style="double"/>
      <bottom/>
      <diagonal/>
    </border>
    <border diagonalUp="false" diagonalDown="false">
      <left style="thin"/>
      <right style="thin"/>
      <top/>
      <bottom style="double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 style="double"/>
      <bottom style="thin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double"/>
      <right/>
      <top/>
      <bottom/>
      <diagonal/>
    </border>
    <border diagonalUp="false" diagonalDown="false">
      <left/>
      <right style="double"/>
      <top/>
      <bottom/>
      <diagonal/>
    </border>
    <border diagonalUp="false" diagonalDown="false">
      <left style="double"/>
      <right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/>
      <right style="double"/>
      <top/>
      <bottom style="double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1" xfId="0" applyFont="true" applyBorder="true" applyAlignment="true" applyProtection="false">
      <alignment horizontal="left" vertical="center" textRotation="0" wrapText="false" indent="4" shrinkToFit="false"/>
      <protection locked="true" hidden="false"/>
    </xf>
    <xf numFmtId="164" fontId="6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26" fillId="4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5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7" fontId="27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2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2" borderId="2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4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2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3" fontId="6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0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6" fillId="4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2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4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0" fillId="4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0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9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20" fillId="4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73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7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4" borderId="1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7" fontId="27" fillId="4" borderId="1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27" fillId="4" borderId="1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27" fillId="2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27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0" fillId="2" borderId="2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4" fillId="2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7" fillId="4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27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7" fillId="4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27" fillId="4" borderId="30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0" fontId="6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7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0" fontId="6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4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4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4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2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4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7" fillId="4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27" fillId="0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7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6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7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4" fillId="2" borderId="2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7" fillId="4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3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1" shrinkToFit="false"/>
      <protection locked="true" hidden="false"/>
    </xf>
    <xf numFmtId="164" fontId="27" fillId="3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3" borderId="27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0" fontId="27" fillId="4" borderId="3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20" fillId="4" borderId="12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1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15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0" fillId="4" borderId="37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2" fontId="27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0" fillId="4" borderId="16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17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36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2" fontId="2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0" fillId="4" borderId="18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19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21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38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27" fillId="3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20" fillId="3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7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4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4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3" fontId="20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6" fillId="4" borderId="2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0" fillId="4" borderId="2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2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4" fillId="2" borderId="2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6" fillId="4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4" borderId="5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36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5" fontId="14" fillId="5" borderId="8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38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70" fontId="36" fillId="4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0" fontId="39" fillId="4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9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35" fillId="4" borderId="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0" fontId="40" fillId="4" borderId="3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70" fontId="41" fillId="4" borderId="3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0" fontId="41" fillId="4" borderId="3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70" fontId="42" fillId="4" borderId="3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64" fontId="35" fillId="4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35" fillId="4" borderId="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0" fontId="43" fillId="4" borderId="0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64" fontId="43" fillId="4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44" fillId="4" borderId="0" xfId="0" applyFont="true" applyBorder="false" applyAlignment="true" applyProtection="true">
      <alignment horizontal="left" vertical="center" textRotation="0" wrapText="false" indent="1" shrinkToFit="false"/>
      <protection locked="true" hidden="true"/>
    </xf>
    <xf numFmtId="164" fontId="41" fillId="4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4" fontId="3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0" fontId="43" fillId="4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4" fontId="4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35" fillId="6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74" fontId="35" fillId="4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74" fontId="35" fillId="6" borderId="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71" fontId="35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41" fillId="4" borderId="0" xfId="0" applyFont="true" applyBorder="true" applyAlignment="true" applyProtection="true">
      <alignment horizontal="right" vertical="center" textRotation="0" wrapText="true" indent="0" shrinkToFit="false"/>
      <protection locked="true" hidden="true"/>
    </xf>
    <xf numFmtId="164" fontId="41" fillId="4" borderId="0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70" fontId="35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5" fontId="3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5" fontId="35" fillId="4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2" fillId="6" borderId="4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6" borderId="8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42" fillId="6" borderId="4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2" fillId="6" borderId="8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6" borderId="42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6" borderId="4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6" borderId="43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true"/>
    </xf>
    <xf numFmtId="164" fontId="46" fillId="4" borderId="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2" fontId="35" fillId="4" borderId="4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2" fontId="35" fillId="4" borderId="4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2" fontId="35" fillId="4" borderId="8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2" fontId="35" fillId="4" borderId="4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2" fontId="42" fillId="4" borderId="8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6" fillId="4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3" fontId="46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3" fontId="35" fillId="4" borderId="4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3" fontId="3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73" fontId="3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3" fontId="35" fillId="4" borderId="4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3" fontId="35" fillId="6" borderId="4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6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6" fontId="3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9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47" fillId="4" borderId="1" xfId="2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4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1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35" fillId="4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64" fontId="35" fillId="4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49" fillId="6" borderId="8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0" borderId="3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6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5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6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2" borderId="6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7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4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7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6" fillId="2" borderId="44" xfId="21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4" fontId="6" fillId="2" borderId="0" xfId="21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3" fontId="6" fillId="2" borderId="0" xfId="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6" fillId="2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2" borderId="4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5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2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8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9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2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4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4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0" fillId="4" borderId="4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50" fillId="4" borderId="5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0" fillId="0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Normal 3" xfId="22"/>
    <cellStyle name="Normal 3 2" xfId="23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0F0C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3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Relationship Id="rId5" Type="http://schemas.openxmlformats.org/officeDocument/2006/relationships/hyperlink" Target="http://www.diyaccounting.co.uk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0.82"/>
    <col collapsed="false" customWidth="true" hidden="false" outlineLevel="0" max="2" min="2" style="1" width="24.66"/>
    <col collapsed="false" customWidth="true" hidden="false" outlineLevel="0" max="3" min="3" style="1" width="0.82"/>
    <col collapsed="false" customWidth="true" hidden="false" outlineLevel="0" max="4" min="4" style="1" width="10.66"/>
    <col collapsed="false" customWidth="true" hidden="false" outlineLevel="0" max="5" min="5" style="1" width="2.82"/>
    <col collapsed="false" customWidth="true" hidden="false" outlineLevel="0" max="6" min="6" style="1" width="10.66"/>
    <col collapsed="false" customWidth="true" hidden="false" outlineLevel="0" max="7" min="7" style="1" width="0.82"/>
    <col collapsed="false" customWidth="true" hidden="false" outlineLevel="0" max="8" min="8" style="1" width="11.66"/>
    <col collapsed="false" customWidth="true" hidden="false" outlineLevel="0" max="10" min="9" style="1" width="0.82"/>
    <col collapsed="false" customWidth="true" hidden="false" outlineLevel="0" max="11" min="11" style="1" width="24.66"/>
    <col collapsed="false" customWidth="true" hidden="false" outlineLevel="0" max="12" min="12" style="1" width="1.32"/>
    <col collapsed="false" customWidth="true" hidden="false" outlineLevel="0" max="13" min="13" style="1" width="10.66"/>
    <col collapsed="false" customWidth="true" hidden="false" outlineLevel="0" max="14" min="14" style="1" width="1.32"/>
    <col collapsed="false" customWidth="true" hidden="false" outlineLevel="0" max="15" min="15" style="1" width="10.66"/>
    <col collapsed="false" customWidth="true" hidden="false" outlineLevel="0" max="16" min="16" style="2" width="2.66"/>
    <col collapsed="false" customWidth="true" hidden="false" outlineLevel="0" max="17" min="17" style="1" width="10.66"/>
    <col collapsed="false" customWidth="true" hidden="false" outlineLevel="0" max="18" min="18" style="1" width="0.82"/>
    <col collapsed="false" customWidth="true" hidden="false" outlineLevel="0" max="19" min="19" style="1" width="10.66"/>
    <col collapsed="false" customWidth="true" hidden="false" outlineLevel="0" max="20" min="20" style="1" width="0.82"/>
    <col collapsed="false" customWidth="true" hidden="false" outlineLevel="0" max="21" min="21" style="1" width="4.33"/>
    <col collapsed="false" customWidth="true" hidden="true" outlineLevel="0" max="24" min="22" style="1" width="10.5"/>
    <col collapsed="false" customWidth="true" hidden="false" outlineLevel="0" max="25" min="25" style="1" width="10.5"/>
    <col collapsed="false" customWidth="false" hidden="false" outlineLevel="0" max="257" min="26" style="1" width="9.15"/>
  </cols>
  <sheetData>
    <row r="1" customFormat="false" ht="6" hidden="false" customHeight="true" outlineLevel="0" collapsed="false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</row>
    <row r="2" customFormat="false" ht="6" hidden="false" customHeight="true" outlineLevel="0" collapsed="false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  <c r="Q2" s="6"/>
      <c r="R2" s="8"/>
      <c r="S2" s="8"/>
      <c r="T2" s="9"/>
      <c r="U2" s="4"/>
      <c r="W2" s="10" t="n">
        <f aca="false">Admin!B2</f>
        <v>44292</v>
      </c>
      <c r="X2" s="1" t="n">
        <v>1</v>
      </c>
    </row>
    <row r="3" customFormat="false" ht="17.25" hidden="false" customHeight="true" outlineLevel="0" collapsed="false">
      <c r="A3" s="11"/>
      <c r="B3" s="12" t="s">
        <v>0</v>
      </c>
      <c r="C3" s="13"/>
      <c r="D3" s="13"/>
      <c r="E3" s="13"/>
      <c r="F3" s="13"/>
      <c r="G3" s="13"/>
      <c r="H3" s="14" t="s">
        <v>1</v>
      </c>
      <c r="I3" s="14"/>
      <c r="J3" s="14"/>
      <c r="K3" s="14"/>
      <c r="L3" s="14"/>
      <c r="M3" s="14"/>
      <c r="N3" s="13"/>
      <c r="O3" s="15"/>
      <c r="P3" s="16"/>
      <c r="Q3" s="17" t="s">
        <v>2</v>
      </c>
      <c r="R3" s="17"/>
      <c r="S3" s="17"/>
      <c r="T3" s="18"/>
      <c r="U3" s="4"/>
      <c r="W3" s="10" t="n">
        <f aca="false">Admin!B3</f>
        <v>44293</v>
      </c>
      <c r="X3" s="1" t="n">
        <f aca="false">X2+1</f>
        <v>2</v>
      </c>
    </row>
    <row r="4" customFormat="false" ht="3.75" hidden="false" customHeight="true" outlineLevel="0" collapsed="false">
      <c r="A4" s="11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9"/>
      <c r="Q4" s="13"/>
      <c r="R4" s="20"/>
      <c r="S4" s="20"/>
      <c r="T4" s="18"/>
      <c r="U4" s="4"/>
      <c r="W4" s="10" t="n">
        <f aca="false">Admin!B4</f>
        <v>44294</v>
      </c>
      <c r="X4" s="1" t="n">
        <f aca="false">X3+1</f>
        <v>3</v>
      </c>
    </row>
    <row r="5" customFormat="false" ht="12" hidden="false" customHeight="true" outlineLevel="0" collapsed="false">
      <c r="A5" s="11"/>
      <c r="B5" s="13" t="s">
        <v>3</v>
      </c>
      <c r="C5" s="13"/>
      <c r="D5" s="21"/>
      <c r="E5" s="21"/>
      <c r="F5" s="21"/>
      <c r="G5" s="13"/>
      <c r="H5" s="22" t="s">
        <v>4</v>
      </c>
      <c r="I5" s="22"/>
      <c r="J5" s="22"/>
      <c r="K5" s="22"/>
      <c r="L5" s="22"/>
      <c r="M5" s="22"/>
      <c r="N5" s="22"/>
      <c r="O5" s="22"/>
      <c r="P5" s="23"/>
      <c r="Q5" s="13"/>
      <c r="R5" s="20"/>
      <c r="S5" s="20"/>
      <c r="T5" s="18"/>
      <c r="U5" s="4"/>
      <c r="V5" s="1" t="s">
        <v>5</v>
      </c>
      <c r="W5" s="10" t="n">
        <f aca="false">Admin!B5</f>
        <v>44295</v>
      </c>
      <c r="X5" s="1" t="n">
        <f aca="false">X4+1</f>
        <v>4</v>
      </c>
    </row>
    <row r="6" customFormat="false" ht="12" hidden="false" customHeight="true" outlineLevel="0" collapsed="false">
      <c r="A6" s="11"/>
      <c r="B6" s="13" t="s">
        <v>6</v>
      </c>
      <c r="C6" s="13"/>
      <c r="D6" s="21"/>
      <c r="E6" s="21"/>
      <c r="F6" s="21"/>
      <c r="G6" s="13"/>
      <c r="H6" s="22"/>
      <c r="I6" s="22"/>
      <c r="J6" s="22"/>
      <c r="K6" s="22"/>
      <c r="L6" s="22"/>
      <c r="M6" s="22"/>
      <c r="N6" s="22"/>
      <c r="O6" s="22"/>
      <c r="P6" s="23"/>
      <c r="Q6" s="13"/>
      <c r="R6" s="20"/>
      <c r="S6" s="20"/>
      <c r="T6" s="18"/>
      <c r="U6" s="4"/>
      <c r="V6" s="1" t="s">
        <v>7</v>
      </c>
      <c r="W6" s="10" t="n">
        <f aca="false">Admin!B6</f>
        <v>44296</v>
      </c>
      <c r="X6" s="1" t="n">
        <f aca="false">X5+1</f>
        <v>5</v>
      </c>
    </row>
    <row r="7" customFormat="false" ht="12" hidden="false" customHeight="true" outlineLevel="0" collapsed="false">
      <c r="A7" s="11"/>
      <c r="B7" s="13" t="s">
        <v>8</v>
      </c>
      <c r="C7" s="13"/>
      <c r="D7" s="21"/>
      <c r="E7" s="21"/>
      <c r="F7" s="21"/>
      <c r="G7" s="13"/>
      <c r="H7" s="22"/>
      <c r="I7" s="22"/>
      <c r="J7" s="22"/>
      <c r="K7" s="22"/>
      <c r="L7" s="22"/>
      <c r="M7" s="22"/>
      <c r="N7" s="22"/>
      <c r="O7" s="22"/>
      <c r="P7" s="23"/>
      <c r="Q7" s="13"/>
      <c r="R7" s="20"/>
      <c r="S7" s="20"/>
      <c r="T7" s="18"/>
      <c r="U7" s="4"/>
      <c r="V7" s="1" t="s">
        <v>9</v>
      </c>
      <c r="W7" s="10" t="n">
        <f aca="false">Admin!B7</f>
        <v>44297</v>
      </c>
      <c r="X7" s="1" t="n">
        <f aca="false">X6+1</f>
        <v>6</v>
      </c>
    </row>
    <row r="8" customFormat="false" ht="12" hidden="false" customHeight="true" outlineLevel="0" collapsed="false">
      <c r="A8" s="11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9"/>
      <c r="Q8" s="13"/>
      <c r="R8" s="20"/>
      <c r="S8" s="20"/>
      <c r="T8" s="18"/>
      <c r="U8" s="4"/>
      <c r="V8" s="1" t="s">
        <v>5</v>
      </c>
      <c r="W8" s="10" t="n">
        <f aca="false">Admin!B8</f>
        <v>44298</v>
      </c>
      <c r="X8" s="1" t="n">
        <f aca="false">X7+1</f>
        <v>7</v>
      </c>
    </row>
    <row r="9" customFormat="false" ht="12" hidden="false" customHeight="true" outlineLevel="0" collapsed="false">
      <c r="A9" s="11"/>
      <c r="B9" s="13" t="s">
        <v>10</v>
      </c>
      <c r="C9" s="13"/>
      <c r="D9" s="21"/>
      <c r="E9" s="13"/>
      <c r="F9" s="13"/>
      <c r="G9" s="13"/>
      <c r="H9" s="23"/>
      <c r="I9" s="13"/>
      <c r="J9" s="13"/>
      <c r="K9" s="24" t="s">
        <v>11</v>
      </c>
      <c r="L9" s="24"/>
      <c r="M9" s="25" t="n">
        <f aca="false">Admin!B2</f>
        <v>44292</v>
      </c>
      <c r="N9" s="13"/>
      <c r="O9" s="25" t="n">
        <f aca="false">Admin!I1</f>
        <v>44656</v>
      </c>
      <c r="P9" s="26"/>
      <c r="Q9" s="27"/>
      <c r="R9" s="28"/>
      <c r="S9" s="28"/>
      <c r="T9" s="18"/>
      <c r="U9" s="4"/>
      <c r="W9" s="10" t="n">
        <f aca="false">Admin!B9</f>
        <v>44299</v>
      </c>
      <c r="X9" s="1" t="n">
        <f aca="false">X8+1</f>
        <v>8</v>
      </c>
    </row>
    <row r="10" customFormat="false" ht="6" hidden="false" customHeight="true" outlineLevel="0" collapsed="false">
      <c r="A10" s="29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1"/>
      <c r="Q10" s="30"/>
      <c r="R10" s="32"/>
      <c r="S10" s="32"/>
      <c r="T10" s="33"/>
      <c r="U10" s="4"/>
      <c r="V10" s="1" t="s">
        <v>12</v>
      </c>
      <c r="W10" s="10" t="n">
        <f aca="false">Admin!B10</f>
        <v>44300</v>
      </c>
      <c r="X10" s="1" t="n">
        <f aca="false">X9+1</f>
        <v>9</v>
      </c>
    </row>
    <row r="11" customFormat="false" ht="15" hidden="false" customHeight="true" outlineLevel="0" collapsed="false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4"/>
      <c r="W11" s="10" t="n">
        <f aca="false">Admin!B11</f>
        <v>44301</v>
      </c>
      <c r="X11" s="1" t="n">
        <f aca="false">X10+1</f>
        <v>10</v>
      </c>
    </row>
    <row r="12" customFormat="false" ht="9" hidden="false" customHeight="true" outlineLevel="0" collapsed="false">
      <c r="A12" s="35"/>
      <c r="B12" s="36"/>
      <c r="C12" s="36"/>
      <c r="D12" s="36"/>
      <c r="E12" s="36"/>
      <c r="F12" s="36"/>
      <c r="G12" s="36"/>
      <c r="H12" s="36"/>
      <c r="I12" s="36"/>
      <c r="J12" s="37"/>
      <c r="K12" s="36"/>
      <c r="L12" s="36"/>
      <c r="M12" s="36"/>
      <c r="N12" s="36"/>
      <c r="O12" s="36"/>
      <c r="P12" s="38"/>
      <c r="Q12" s="36"/>
      <c r="R12" s="36"/>
      <c r="S12" s="36"/>
      <c r="T12" s="39"/>
      <c r="U12" s="4"/>
      <c r="V12" s="1" t="s">
        <v>13</v>
      </c>
      <c r="W12" s="10" t="n">
        <f aca="false">Admin!B12</f>
        <v>44302</v>
      </c>
      <c r="X12" s="1" t="n">
        <f aca="false">X11+1</f>
        <v>11</v>
      </c>
    </row>
    <row r="13" customFormat="false" ht="15" hidden="false" customHeight="true" outlineLevel="0" collapsed="false">
      <c r="A13" s="40"/>
      <c r="B13" s="12" t="s">
        <v>14</v>
      </c>
      <c r="C13" s="41"/>
      <c r="D13" s="42"/>
      <c r="E13" s="42"/>
      <c r="F13" s="42"/>
      <c r="G13" s="42"/>
      <c r="H13" s="43" t="s">
        <v>15</v>
      </c>
      <c r="I13" s="42"/>
      <c r="J13" s="44"/>
      <c r="K13" s="12" t="s">
        <v>16</v>
      </c>
      <c r="L13" s="41"/>
      <c r="M13" s="45"/>
      <c r="N13" s="46"/>
      <c r="O13" s="47"/>
      <c r="P13" s="47"/>
      <c r="Q13" s="48"/>
      <c r="R13" s="49"/>
      <c r="S13" s="50"/>
      <c r="T13" s="51"/>
      <c r="U13" s="4"/>
      <c r="V13" s="1" t="s">
        <v>17</v>
      </c>
      <c r="W13" s="10" t="n">
        <f aca="false">Admin!B13</f>
        <v>44303</v>
      </c>
      <c r="X13" s="1" t="n">
        <f aca="false">X12+1</f>
        <v>12</v>
      </c>
    </row>
    <row r="14" customFormat="false" ht="6" hidden="false" customHeight="true" outlineLevel="0" collapsed="false">
      <c r="A14" s="40"/>
      <c r="B14" s="41"/>
      <c r="C14" s="41"/>
      <c r="D14" s="42"/>
      <c r="E14" s="42"/>
      <c r="F14" s="42"/>
      <c r="G14" s="42"/>
      <c r="H14" s="43"/>
      <c r="I14" s="42"/>
      <c r="J14" s="44"/>
      <c r="K14" s="41"/>
      <c r="L14" s="41"/>
      <c r="M14" s="45"/>
      <c r="N14" s="46"/>
      <c r="O14" s="42"/>
      <c r="P14" s="52"/>
      <c r="Q14" s="48"/>
      <c r="R14" s="42"/>
      <c r="S14" s="50"/>
      <c r="T14" s="51"/>
      <c r="U14" s="4"/>
      <c r="W14" s="10" t="n">
        <f aca="false">Admin!B14</f>
        <v>44304</v>
      </c>
      <c r="X14" s="1" t="n">
        <f aca="false">X13+1</f>
        <v>13</v>
      </c>
    </row>
    <row r="15" customFormat="false" ht="12.65" hidden="false" customHeight="false" outlineLevel="0" collapsed="false">
      <c r="A15" s="40"/>
      <c r="B15" s="42" t="s">
        <v>18</v>
      </c>
      <c r="C15" s="42"/>
      <c r="D15" s="53"/>
      <c r="E15" s="53"/>
      <c r="F15" s="53"/>
      <c r="G15" s="42"/>
      <c r="H15" s="54" t="s">
        <v>19</v>
      </c>
      <c r="I15" s="42"/>
      <c r="J15" s="55"/>
      <c r="K15" s="42" t="s">
        <v>20</v>
      </c>
      <c r="L15" s="42"/>
      <c r="M15" s="56"/>
      <c r="N15" s="56"/>
      <c r="O15" s="56"/>
      <c r="P15" s="52"/>
      <c r="Q15" s="57"/>
      <c r="R15" s="58"/>
      <c r="S15" s="59"/>
      <c r="T15" s="51"/>
      <c r="U15" s="4"/>
      <c r="W15" s="10" t="n">
        <f aca="false">Admin!B15</f>
        <v>44305</v>
      </c>
      <c r="X15" s="1" t="n">
        <f aca="false">X14+1</f>
        <v>14</v>
      </c>
    </row>
    <row r="16" customFormat="false" ht="12" hidden="false" customHeight="false" outlineLevel="0" collapsed="false">
      <c r="A16" s="40"/>
      <c r="B16" s="42" t="s">
        <v>21</v>
      </c>
      <c r="C16" s="42"/>
      <c r="D16" s="53"/>
      <c r="E16" s="53"/>
      <c r="F16" s="53"/>
      <c r="G16" s="42"/>
      <c r="H16" s="60"/>
      <c r="I16" s="42"/>
      <c r="J16" s="44"/>
      <c r="K16" s="42"/>
      <c r="L16" s="42"/>
      <c r="M16" s="42"/>
      <c r="N16" s="42"/>
      <c r="O16" s="61"/>
      <c r="P16" s="52"/>
      <c r="Q16" s="61"/>
      <c r="R16" s="49"/>
      <c r="S16" s="61"/>
      <c r="T16" s="51"/>
      <c r="U16" s="4"/>
      <c r="W16" s="10" t="n">
        <f aca="false">Admin!B16</f>
        <v>44306</v>
      </c>
      <c r="X16" s="1" t="n">
        <f aca="false">X15+1</f>
        <v>15</v>
      </c>
    </row>
    <row r="17" customFormat="false" ht="13.5" hidden="false" customHeight="true" outlineLevel="0" collapsed="false">
      <c r="A17" s="40"/>
      <c r="B17" s="42"/>
      <c r="C17" s="42"/>
      <c r="D17" s="42"/>
      <c r="E17" s="42"/>
      <c r="F17" s="42"/>
      <c r="G17" s="42"/>
      <c r="H17" s="54" t="s">
        <v>22</v>
      </c>
      <c r="I17" s="42"/>
      <c r="J17" s="44"/>
      <c r="K17" s="42"/>
      <c r="L17" s="42"/>
      <c r="M17" s="42"/>
      <c r="N17" s="42"/>
      <c r="O17" s="42"/>
      <c r="P17" s="42"/>
      <c r="Q17" s="42"/>
      <c r="R17" s="42"/>
      <c r="S17" s="62"/>
      <c r="T17" s="51"/>
      <c r="U17" s="4"/>
      <c r="W17" s="10" t="n">
        <f aca="false">Admin!B17</f>
        <v>44307</v>
      </c>
      <c r="X17" s="1" t="n">
        <f aca="false">X16+1</f>
        <v>16</v>
      </c>
    </row>
    <row r="18" customFormat="false" ht="12" hidden="false" customHeight="false" outlineLevel="0" collapsed="false">
      <c r="A18" s="40"/>
      <c r="B18" s="42"/>
      <c r="C18" s="42"/>
      <c r="D18" s="42"/>
      <c r="E18" s="42"/>
      <c r="F18" s="42"/>
      <c r="G18" s="42"/>
      <c r="H18" s="63"/>
      <c r="I18" s="42"/>
      <c r="J18" s="44"/>
      <c r="K18" s="42"/>
      <c r="L18" s="42"/>
      <c r="M18" s="42"/>
      <c r="N18" s="42"/>
      <c r="O18" s="42"/>
      <c r="P18" s="42"/>
      <c r="Q18" s="42"/>
      <c r="R18" s="64"/>
      <c r="S18" s="62"/>
      <c r="T18" s="51"/>
      <c r="U18" s="4"/>
      <c r="W18" s="10" t="n">
        <f aca="false">Admin!B18</f>
        <v>44308</v>
      </c>
      <c r="X18" s="1" t="n">
        <f aca="false">X17+1</f>
        <v>17</v>
      </c>
    </row>
    <row r="19" customFormat="false" ht="12" hidden="false" customHeight="false" outlineLevel="0" collapsed="false">
      <c r="A19" s="40"/>
      <c r="B19" s="42"/>
      <c r="C19" s="42"/>
      <c r="D19" s="42"/>
      <c r="E19" s="42"/>
      <c r="F19" s="42"/>
      <c r="G19" s="42"/>
      <c r="H19" s="54" t="s">
        <v>23</v>
      </c>
      <c r="I19" s="42"/>
      <c r="J19" s="44"/>
      <c r="K19" s="42"/>
      <c r="L19" s="42"/>
      <c r="M19" s="42"/>
      <c r="N19" s="42"/>
      <c r="O19" s="42"/>
      <c r="P19" s="42"/>
      <c r="Q19" s="42"/>
      <c r="R19" s="65"/>
      <c r="S19" s="62"/>
      <c r="T19" s="51"/>
      <c r="U19" s="4"/>
      <c r="W19" s="10" t="n">
        <f aca="false">Admin!B19</f>
        <v>44309</v>
      </c>
      <c r="X19" s="1" t="n">
        <f aca="false">X18+1</f>
        <v>18</v>
      </c>
    </row>
    <row r="20" customFormat="false" ht="12" hidden="false" customHeight="false" outlineLevel="0" collapsed="false">
      <c r="A20" s="40"/>
      <c r="B20" s="42"/>
      <c r="C20" s="42"/>
      <c r="D20" s="42"/>
      <c r="E20" s="42"/>
      <c r="F20" s="42"/>
      <c r="G20" s="42"/>
      <c r="H20" s="60"/>
      <c r="I20" s="42"/>
      <c r="J20" s="44"/>
      <c r="K20" s="66"/>
      <c r="L20" s="66"/>
      <c r="M20" s="42"/>
      <c r="N20" s="42"/>
      <c r="O20" s="42"/>
      <c r="P20" s="52"/>
      <c r="Q20" s="42"/>
      <c r="R20" s="42"/>
      <c r="S20" s="42"/>
      <c r="T20" s="51"/>
      <c r="U20" s="4"/>
      <c r="W20" s="10" t="n">
        <f aca="false">Admin!B20</f>
        <v>44310</v>
      </c>
      <c r="X20" s="1" t="n">
        <f aca="false">X19+1</f>
        <v>19</v>
      </c>
    </row>
    <row r="21" customFormat="false" ht="12" hidden="false" customHeight="true" outlineLevel="0" collapsed="false">
      <c r="A21" s="40"/>
      <c r="B21" s="42"/>
      <c r="C21" s="42"/>
      <c r="D21" s="42"/>
      <c r="E21" s="42"/>
      <c r="F21" s="42"/>
      <c r="G21" s="42"/>
      <c r="H21" s="54" t="s">
        <v>24</v>
      </c>
      <c r="I21" s="42"/>
      <c r="J21" s="44"/>
      <c r="K21" s="42"/>
      <c r="L21" s="42"/>
      <c r="M21" s="42"/>
      <c r="N21" s="42"/>
      <c r="O21" s="42"/>
      <c r="P21" s="52"/>
      <c r="Q21" s="42"/>
      <c r="R21" s="42"/>
      <c r="S21" s="42"/>
      <c r="T21" s="67"/>
      <c r="U21" s="4"/>
      <c r="W21" s="10" t="n">
        <f aca="false">Admin!B21</f>
        <v>44311</v>
      </c>
      <c r="X21" s="1" t="n">
        <f aca="false">X20+1</f>
        <v>20</v>
      </c>
    </row>
    <row r="22" customFormat="false" ht="15" hidden="false" customHeight="true" outlineLevel="0" collapsed="false">
      <c r="A22" s="40"/>
      <c r="B22" s="42"/>
      <c r="C22" s="42"/>
      <c r="D22" s="42"/>
      <c r="E22" s="42"/>
      <c r="F22" s="42"/>
      <c r="G22" s="42"/>
      <c r="H22" s="68"/>
      <c r="I22" s="42"/>
      <c r="J22" s="44"/>
      <c r="K22" s="62"/>
      <c r="L22" s="62"/>
      <c r="M22" s="62"/>
      <c r="N22" s="62"/>
      <c r="O22" s="62"/>
      <c r="P22" s="62"/>
      <c r="Q22" s="62"/>
      <c r="R22" s="49"/>
      <c r="S22" s="69"/>
      <c r="T22" s="51"/>
      <c r="U22" s="4"/>
      <c r="W22" s="10" t="n">
        <f aca="false">Admin!B22</f>
        <v>44312</v>
      </c>
      <c r="X22" s="1" t="n">
        <f aca="false">X21+1</f>
        <v>21</v>
      </c>
    </row>
    <row r="23" customFormat="false" ht="12" hidden="false" customHeight="false" outlineLevel="0" collapsed="false">
      <c r="A23" s="40"/>
      <c r="B23" s="42"/>
      <c r="C23" s="42"/>
      <c r="D23" s="70"/>
      <c r="E23" s="42"/>
      <c r="F23" s="61" t="s">
        <v>25</v>
      </c>
      <c r="G23" s="49"/>
      <c r="H23" s="42"/>
      <c r="I23" s="42"/>
      <c r="J23" s="44"/>
      <c r="K23" s="62"/>
      <c r="L23" s="62"/>
      <c r="M23" s="62"/>
      <c r="N23" s="62"/>
      <c r="O23" s="62"/>
      <c r="P23" s="62"/>
      <c r="Q23" s="62"/>
      <c r="R23" s="42"/>
      <c r="S23" s="62"/>
      <c r="T23" s="51"/>
      <c r="U23" s="4"/>
      <c r="W23" s="10" t="n">
        <f aca="false">Admin!B23</f>
        <v>44313</v>
      </c>
      <c r="X23" s="1" t="n">
        <f aca="false">X22+1</f>
        <v>22</v>
      </c>
    </row>
    <row r="24" customFormat="false" ht="12" hidden="false" customHeight="false" outlineLevel="0" collapsed="false">
      <c r="A24" s="40"/>
      <c r="B24" s="42" t="str">
        <f aca="false">"Starting date (existing = "&amp;TEXT(M9,"dd/mm/yy")&amp;")"</f>
        <v>Starting date (existing = 06/04/21)</v>
      </c>
      <c r="C24" s="42"/>
      <c r="D24" s="71"/>
      <c r="E24" s="42"/>
      <c r="F24" s="72" t="str">
        <f aca="false">IF(D24=0," ",IF(D28="W",LOOKUP(D24,Admin!B:B,Admin!C:C),IF(D28="M",LOOKUP(D24,Admin!B:B,Admin!D:D),LOOKUP(D24,Admin!B:B,Admin!C:C))))</f>
        <v> </v>
      </c>
      <c r="G24" s="73"/>
      <c r="H24" s="42"/>
      <c r="I24" s="42"/>
      <c r="J24" s="44"/>
      <c r="K24" s="62"/>
      <c r="L24" s="62"/>
      <c r="M24" s="62"/>
      <c r="N24" s="62"/>
      <c r="O24" s="62"/>
      <c r="P24" s="62"/>
      <c r="Q24" s="62" t="str">
        <f aca="false">IF(O24&gt;0,"Enter Date"," ")</f>
        <v> </v>
      </c>
      <c r="R24" s="74"/>
      <c r="S24" s="62" t="str">
        <f aca="false">IF(Q24=" "," ",IF(D28="W",LOOKUP(Q24,Admin!B:B,Admin!C:C),IF(D28="m",LOOKUP(Q24,Admin!B:B,Admin!D:D),"Check D28")))</f>
        <v> </v>
      </c>
      <c r="T24" s="51"/>
      <c r="U24" s="4"/>
      <c r="W24" s="10" t="n">
        <f aca="false">Admin!B24</f>
        <v>44314</v>
      </c>
      <c r="X24" s="1" t="n">
        <f aca="false">X23+1</f>
        <v>23</v>
      </c>
    </row>
    <row r="25" customFormat="false" ht="6" hidden="false" customHeight="true" outlineLevel="0" collapsed="false">
      <c r="A25" s="40"/>
      <c r="B25" s="42"/>
      <c r="C25" s="42"/>
      <c r="D25" s="70"/>
      <c r="E25" s="42"/>
      <c r="F25" s="72"/>
      <c r="G25" s="73"/>
      <c r="H25" s="42"/>
      <c r="I25" s="75"/>
      <c r="J25" s="42"/>
      <c r="K25" s="62"/>
      <c r="L25" s="62"/>
      <c r="M25" s="62"/>
      <c r="N25" s="62"/>
      <c r="O25" s="62"/>
      <c r="P25" s="62"/>
      <c r="Q25" s="62"/>
      <c r="R25" s="74"/>
      <c r="S25" s="62"/>
      <c r="T25" s="51"/>
      <c r="U25" s="4"/>
      <c r="W25" s="10" t="n">
        <f aca="false">Admin!B25</f>
        <v>44315</v>
      </c>
      <c r="X25" s="1" t="n">
        <f aca="false">X24+1</f>
        <v>24</v>
      </c>
    </row>
    <row r="26" customFormat="false" ht="12" hidden="false" customHeight="false" outlineLevel="0" collapsed="false">
      <c r="A26" s="40"/>
      <c r="B26" s="42" t="s">
        <v>26</v>
      </c>
      <c r="C26" s="42"/>
      <c r="D26" s="71"/>
      <c r="E26" s="42"/>
      <c r="F26" s="72" t="str">
        <f aca="false">IF(D24=0," ",IF(D26=0," ",IF(D28="W",LOOKUP(D26,Admin!B:B,Admin!C:C),IF(D28="M",LOOKUP(D26,Admin!B:B,Admin!D:D),LOOKUP(D26,Admin!B:B,Admin!C:C)))))</f>
        <v> </v>
      </c>
      <c r="G26" s="73"/>
      <c r="H26" s="42"/>
      <c r="I26" s="42"/>
      <c r="J26" s="44"/>
      <c r="K26" s="62"/>
      <c r="L26" s="62"/>
      <c r="M26" s="62"/>
      <c r="N26" s="62"/>
      <c r="O26" s="62"/>
      <c r="P26" s="62"/>
      <c r="Q26" s="62"/>
      <c r="R26" s="49"/>
      <c r="S26" s="69"/>
      <c r="T26" s="51"/>
      <c r="U26" s="4"/>
      <c r="W26" s="10" t="n">
        <f aca="false">Admin!B26</f>
        <v>44316</v>
      </c>
      <c r="X26" s="1" t="n">
        <f aca="false">X25+1</f>
        <v>25</v>
      </c>
    </row>
    <row r="27" customFormat="false" ht="12" hidden="false" customHeight="false" outlineLevel="0" collapsed="false">
      <c r="A27" s="40"/>
      <c r="B27" s="42"/>
      <c r="C27" s="42"/>
      <c r="D27" s="70"/>
      <c r="E27" s="42"/>
      <c r="F27" s="76"/>
      <c r="G27" s="76"/>
      <c r="H27" s="42"/>
      <c r="I27" s="42"/>
      <c r="J27" s="44"/>
      <c r="K27" s="62"/>
      <c r="L27" s="62"/>
      <c r="M27" s="62"/>
      <c r="N27" s="62"/>
      <c r="O27" s="62"/>
      <c r="P27" s="62"/>
      <c r="Q27" s="62" t="str">
        <f aca="false">IF(M27&gt;0,D24," ")</f>
        <v> </v>
      </c>
      <c r="R27" s="74"/>
      <c r="S27" s="62" t="str">
        <f aca="false">IF(Q27=" "," ",IF(D28="W",LOOKUP(Q27,Admin!B:B,Admin!C:C),IF(D28="m",LOOKUP(Q27,Admin!B:B,Admin!D:D),"Check D28")))</f>
        <v> </v>
      </c>
      <c r="T27" s="51"/>
      <c r="U27" s="4"/>
      <c r="W27" s="10" t="n">
        <f aca="false">Admin!B27</f>
        <v>44317</v>
      </c>
      <c r="X27" s="1" t="n">
        <f aca="false">X26+1</f>
        <v>26</v>
      </c>
    </row>
    <row r="28" customFormat="false" ht="12" hidden="false" customHeight="false" outlineLevel="0" collapsed="false">
      <c r="A28" s="40"/>
      <c r="B28" s="42" t="s">
        <v>27</v>
      </c>
      <c r="C28" s="42"/>
      <c r="D28" s="77"/>
      <c r="E28" s="54" t="s">
        <v>28</v>
      </c>
      <c r="F28" s="78" t="str">
        <f aca="false">IF(D30="D","Enter M for Director","Enter M or W for Employee")</f>
        <v>Enter M or W for Employee</v>
      </c>
      <c r="G28" s="42"/>
      <c r="H28" s="79"/>
      <c r="I28" s="79"/>
      <c r="J28" s="44"/>
      <c r="K28" s="62"/>
      <c r="L28" s="62"/>
      <c r="M28" s="62"/>
      <c r="N28" s="62"/>
      <c r="O28" s="62"/>
      <c r="P28" s="62"/>
      <c r="Q28" s="62" t="str">
        <f aca="false">IF(M28&gt;0,"Enter Date"," ")</f>
        <v> </v>
      </c>
      <c r="R28" s="74"/>
      <c r="S28" s="62" t="str">
        <f aca="false">IF(Q28=" "," ",IF(D28="W",LOOKUP(Q28,Admin!B:B,Admin!C:C),IF(D28="m",LOOKUP(Q28,Admin!B:B,Admin!D:D),"Check D28")))</f>
        <v> </v>
      </c>
      <c r="T28" s="51"/>
      <c r="U28" s="4"/>
      <c r="W28" s="10" t="n">
        <f aca="false">Admin!B28</f>
        <v>44318</v>
      </c>
      <c r="X28" s="1" t="n">
        <f aca="false">X27+1</f>
        <v>27</v>
      </c>
    </row>
    <row r="29" customFormat="false" ht="12" hidden="false" customHeight="false" outlineLevel="0" collapsed="false">
      <c r="A29" s="40"/>
      <c r="B29" s="42" t="s">
        <v>29</v>
      </c>
      <c r="C29" s="42"/>
      <c r="D29" s="80" t="n">
        <v>1</v>
      </c>
      <c r="E29" s="81"/>
      <c r="F29" s="66"/>
      <c r="G29" s="54"/>
      <c r="H29" s="42"/>
      <c r="I29" s="42"/>
      <c r="J29" s="44"/>
      <c r="K29" s="62"/>
      <c r="L29" s="62"/>
      <c r="M29" s="62"/>
      <c r="N29" s="62"/>
      <c r="O29" s="62"/>
      <c r="P29" s="62"/>
      <c r="Q29" s="62" t="str">
        <f aca="false">IF(M29&gt;0,"Enter Date"," ")</f>
        <v> </v>
      </c>
      <c r="R29" s="74"/>
      <c r="S29" s="62" t="str">
        <f aca="false">IF(Q29=" "," ",IF(D28="W",LOOKUP(Q29,Admin!B:B,Admin!C:C),IF(D28="m",LOOKUP(Q29,Admin!B:B,Admin!D:D),"Check D28")))</f>
        <v> </v>
      </c>
      <c r="T29" s="51"/>
      <c r="U29" s="4"/>
      <c r="W29" s="10" t="n">
        <f aca="false">Admin!B29</f>
        <v>44319</v>
      </c>
      <c r="X29" s="1" t="n">
        <f aca="false">X28+1</f>
        <v>28</v>
      </c>
    </row>
    <row r="30" customFormat="false" ht="13.5" hidden="false" customHeight="true" outlineLevel="0" collapsed="false">
      <c r="A30" s="40"/>
      <c r="B30" s="42" t="s">
        <v>30</v>
      </c>
      <c r="C30" s="42"/>
      <c r="D30" s="82"/>
      <c r="E30" s="42"/>
      <c r="F30" s="83" t="s">
        <v>31</v>
      </c>
      <c r="G30" s="54"/>
      <c r="H30" s="42"/>
      <c r="I30" s="42"/>
      <c r="J30" s="44"/>
      <c r="K30" s="62"/>
      <c r="L30" s="62"/>
      <c r="M30" s="62"/>
      <c r="N30" s="62"/>
      <c r="O30" s="62"/>
      <c r="P30" s="62"/>
      <c r="Q30" s="62" t="str">
        <f aca="false">IF(M30&gt;0,"Enter Date"," ")</f>
        <v> </v>
      </c>
      <c r="R30" s="74"/>
      <c r="S30" s="62" t="str">
        <f aca="false">IF(Q30=" "," ",IF(D28="W",LOOKUP(Q30,Admin!B:B,Admin!C:C),IF(D28="m",LOOKUP(Q30,Admin!B:B,Admin!D:D),"Check D28")))</f>
        <v> </v>
      </c>
      <c r="T30" s="51"/>
      <c r="U30" s="4"/>
      <c r="W30" s="10" t="n">
        <f aca="false">Admin!B30</f>
        <v>44320</v>
      </c>
      <c r="X30" s="1" t="n">
        <f aca="false">X29+1</f>
        <v>29</v>
      </c>
    </row>
    <row r="31" customFormat="false" ht="12" hidden="false" customHeight="true" outlineLevel="0" collapsed="false">
      <c r="A31" s="40"/>
      <c r="B31" s="42"/>
      <c r="C31" s="42"/>
      <c r="D31" s="42"/>
      <c r="E31" s="42"/>
      <c r="F31" s="84"/>
      <c r="G31" s="84"/>
      <c r="H31" s="84"/>
      <c r="I31" s="42"/>
      <c r="J31" s="44"/>
      <c r="K31" s="62"/>
      <c r="L31" s="62"/>
      <c r="M31" s="62"/>
      <c r="N31" s="62"/>
      <c r="O31" s="62"/>
      <c r="P31" s="62"/>
      <c r="Q31" s="62"/>
      <c r="R31" s="42"/>
      <c r="S31" s="61"/>
      <c r="T31" s="51"/>
      <c r="U31" s="4"/>
      <c r="W31" s="10" t="n">
        <f aca="false">Admin!B31</f>
        <v>44321</v>
      </c>
      <c r="X31" s="1" t="n">
        <f aca="false">X30+1</f>
        <v>30</v>
      </c>
    </row>
    <row r="32" customFormat="false" ht="6" hidden="false" customHeight="true" outlineLevel="0" collapsed="false">
      <c r="A32" s="40"/>
      <c r="B32" s="42"/>
      <c r="C32" s="42"/>
      <c r="D32" s="42"/>
      <c r="E32" s="42"/>
      <c r="F32" s="85"/>
      <c r="G32" s="85"/>
      <c r="H32" s="85"/>
      <c r="I32" s="42"/>
      <c r="J32" s="44"/>
      <c r="K32" s="66"/>
      <c r="L32" s="66"/>
      <c r="M32" s="66"/>
      <c r="N32" s="66"/>
      <c r="O32" s="66"/>
      <c r="P32" s="86"/>
      <c r="Q32" s="66"/>
      <c r="R32" s="42"/>
      <c r="S32" s="61"/>
      <c r="T32" s="51"/>
      <c r="U32" s="4"/>
      <c r="W32" s="10" t="n">
        <f aca="false">Admin!B32</f>
        <v>44322</v>
      </c>
      <c r="X32" s="1" t="n">
        <f aca="false">X31+1</f>
        <v>31</v>
      </c>
    </row>
    <row r="33" customFormat="false" ht="12" hidden="false" customHeight="true" outlineLevel="0" collapsed="false">
      <c r="A33" s="40"/>
      <c r="B33" s="62"/>
      <c r="C33" s="62"/>
      <c r="D33" s="62"/>
      <c r="E33" s="62"/>
      <c r="F33" s="62"/>
      <c r="G33" s="62"/>
      <c r="H33" s="62"/>
      <c r="I33" s="42"/>
      <c r="J33" s="44"/>
      <c r="K33" s="62"/>
      <c r="L33" s="62"/>
      <c r="M33" s="62"/>
      <c r="N33" s="62"/>
      <c r="O33" s="62"/>
      <c r="P33" s="62"/>
      <c r="Q33" s="62"/>
      <c r="R33" s="62"/>
      <c r="S33" s="62"/>
      <c r="T33" s="51"/>
      <c r="U33" s="4"/>
      <c r="W33" s="10" t="n">
        <f aca="false">Admin!B33</f>
        <v>44323</v>
      </c>
      <c r="X33" s="1" t="n">
        <f aca="false">X32+1</f>
        <v>32</v>
      </c>
    </row>
    <row r="34" customFormat="false" ht="12" hidden="false" customHeight="false" outlineLevel="0" collapsed="false">
      <c r="A34" s="40"/>
      <c r="B34" s="62"/>
      <c r="C34" s="62"/>
      <c r="D34" s="62"/>
      <c r="E34" s="62"/>
      <c r="F34" s="62"/>
      <c r="G34" s="62"/>
      <c r="H34" s="62"/>
      <c r="I34" s="42"/>
      <c r="J34" s="44"/>
      <c r="K34" s="62"/>
      <c r="L34" s="62"/>
      <c r="M34" s="62"/>
      <c r="N34" s="62"/>
      <c r="O34" s="62"/>
      <c r="P34" s="62"/>
      <c r="Q34" s="62" t="str">
        <f aca="false">IF(O34="Y","Enter Date"," ")</f>
        <v> </v>
      </c>
      <c r="R34" s="62"/>
      <c r="S34" s="62"/>
      <c r="T34" s="51"/>
      <c r="U34" s="4"/>
      <c r="W34" s="10" t="n">
        <f aca="false">Admin!B34</f>
        <v>44324</v>
      </c>
      <c r="X34" s="1" t="n">
        <f aca="false">X33+1</f>
        <v>33</v>
      </c>
    </row>
    <row r="35" customFormat="false" ht="13.5" hidden="false" customHeight="true" outlineLevel="0" collapsed="false">
      <c r="A35" s="40"/>
      <c r="B35" s="62"/>
      <c r="C35" s="62"/>
      <c r="D35" s="62"/>
      <c r="E35" s="62"/>
      <c r="F35" s="62"/>
      <c r="G35" s="62"/>
      <c r="H35" s="62"/>
      <c r="I35" s="42"/>
      <c r="J35" s="44"/>
      <c r="K35" s="62"/>
      <c r="L35" s="62"/>
      <c r="M35" s="62"/>
      <c r="N35" s="62"/>
      <c r="O35" s="62"/>
      <c r="P35" s="62"/>
      <c r="Q35" s="62"/>
      <c r="R35" s="62"/>
      <c r="S35" s="62"/>
      <c r="T35" s="51"/>
      <c r="U35" s="4"/>
      <c r="W35" s="10" t="n">
        <f aca="false">Admin!B35</f>
        <v>44325</v>
      </c>
      <c r="X35" s="1" t="n">
        <f aca="false">X34+1</f>
        <v>34</v>
      </c>
    </row>
    <row r="36" customFormat="false" ht="9" hidden="false" customHeight="true" outlineLevel="0" collapsed="false">
      <c r="A36" s="87"/>
      <c r="B36" s="88"/>
      <c r="C36" s="88"/>
      <c r="D36" s="88"/>
      <c r="E36" s="88"/>
      <c r="F36" s="88"/>
      <c r="G36" s="88"/>
      <c r="H36" s="88"/>
      <c r="I36" s="88"/>
      <c r="J36" s="89"/>
      <c r="K36" s="88"/>
      <c r="L36" s="88"/>
      <c r="M36" s="88"/>
      <c r="N36" s="88"/>
      <c r="O36" s="88"/>
      <c r="P36" s="90"/>
      <c r="Q36" s="88"/>
      <c r="R36" s="88"/>
      <c r="S36" s="88"/>
      <c r="T36" s="91"/>
      <c r="U36" s="4"/>
      <c r="W36" s="10" t="n">
        <f aca="false">Admin!B36</f>
        <v>44326</v>
      </c>
      <c r="X36" s="1" t="n">
        <f aca="false">X35+1</f>
        <v>35</v>
      </c>
    </row>
    <row r="37" customFormat="false" ht="22.5" hidden="false" customHeight="true" outlineLevel="0" collapsed="false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4"/>
      <c r="W37" s="10" t="n">
        <f aca="false">Admin!B37</f>
        <v>44327</v>
      </c>
      <c r="X37" s="1" t="n">
        <f aca="false">X36+1</f>
        <v>36</v>
      </c>
    </row>
    <row r="38" customFormat="false" ht="9" hidden="false" customHeight="true" outlineLevel="0" collapsed="false">
      <c r="A38" s="35"/>
      <c r="B38" s="36"/>
      <c r="C38" s="36"/>
      <c r="D38" s="36"/>
      <c r="E38" s="36"/>
      <c r="F38" s="36"/>
      <c r="G38" s="36"/>
      <c r="H38" s="36"/>
      <c r="I38" s="36"/>
      <c r="J38" s="37"/>
      <c r="K38" s="36"/>
      <c r="L38" s="36"/>
      <c r="M38" s="36"/>
      <c r="N38" s="36"/>
      <c r="O38" s="36"/>
      <c r="P38" s="38"/>
      <c r="Q38" s="36"/>
      <c r="R38" s="36"/>
      <c r="S38" s="36"/>
      <c r="T38" s="39"/>
      <c r="U38" s="4"/>
      <c r="W38" s="10" t="n">
        <f aca="false">Admin!B38</f>
        <v>44328</v>
      </c>
      <c r="X38" s="1" t="n">
        <f aca="false">X37+1</f>
        <v>37</v>
      </c>
    </row>
    <row r="39" customFormat="false" ht="15" hidden="false" customHeight="true" outlineLevel="0" collapsed="false">
      <c r="A39" s="40"/>
      <c r="B39" s="12" t="s">
        <v>32</v>
      </c>
      <c r="C39" s="41"/>
      <c r="D39" s="42"/>
      <c r="E39" s="42"/>
      <c r="F39" s="42"/>
      <c r="G39" s="42"/>
      <c r="H39" s="43" t="s">
        <v>15</v>
      </c>
      <c r="I39" s="42"/>
      <c r="J39" s="44"/>
      <c r="K39" s="12" t="s">
        <v>16</v>
      </c>
      <c r="L39" s="41"/>
      <c r="M39" s="45"/>
      <c r="N39" s="46"/>
      <c r="O39" s="47"/>
      <c r="P39" s="47"/>
      <c r="Q39" s="48"/>
      <c r="R39" s="49"/>
      <c r="S39" s="50"/>
      <c r="T39" s="51"/>
      <c r="U39" s="4"/>
      <c r="W39" s="10" t="n">
        <f aca="false">Admin!B39</f>
        <v>44329</v>
      </c>
      <c r="X39" s="1" t="n">
        <f aca="false">X38+1</f>
        <v>38</v>
      </c>
    </row>
    <row r="40" customFormat="false" ht="6" hidden="false" customHeight="true" outlineLevel="0" collapsed="false">
      <c r="A40" s="40"/>
      <c r="B40" s="41"/>
      <c r="C40" s="41"/>
      <c r="D40" s="42"/>
      <c r="E40" s="42"/>
      <c r="F40" s="42"/>
      <c r="G40" s="42"/>
      <c r="H40" s="43"/>
      <c r="I40" s="42"/>
      <c r="J40" s="44"/>
      <c r="K40" s="41"/>
      <c r="L40" s="41"/>
      <c r="M40" s="45"/>
      <c r="N40" s="46"/>
      <c r="O40" s="42"/>
      <c r="P40" s="52"/>
      <c r="Q40" s="48"/>
      <c r="R40" s="42"/>
      <c r="S40" s="50"/>
      <c r="T40" s="51"/>
      <c r="U40" s="4"/>
      <c r="W40" s="10" t="n">
        <f aca="false">Admin!B40</f>
        <v>44330</v>
      </c>
      <c r="X40" s="1" t="n">
        <f aca="false">X39+1</f>
        <v>39</v>
      </c>
    </row>
    <row r="41" customFormat="false" ht="12.65" hidden="false" customHeight="false" outlineLevel="0" collapsed="false">
      <c r="A41" s="40"/>
      <c r="B41" s="42" t="s">
        <v>33</v>
      </c>
      <c r="C41" s="42"/>
      <c r="D41" s="53"/>
      <c r="E41" s="53"/>
      <c r="F41" s="53"/>
      <c r="G41" s="42"/>
      <c r="H41" s="54" t="s">
        <v>19</v>
      </c>
      <c r="I41" s="42"/>
      <c r="J41" s="55"/>
      <c r="K41" s="42" t="s">
        <v>20</v>
      </c>
      <c r="L41" s="42"/>
      <c r="M41" s="56"/>
      <c r="N41" s="56"/>
      <c r="O41" s="56"/>
      <c r="P41" s="52"/>
      <c r="Q41" s="57"/>
      <c r="R41" s="58"/>
      <c r="S41" s="59"/>
      <c r="T41" s="51"/>
      <c r="U41" s="4"/>
      <c r="W41" s="10" t="n">
        <f aca="false">Admin!B41</f>
        <v>44331</v>
      </c>
      <c r="X41" s="1" t="n">
        <f aca="false">X40+1</f>
        <v>40</v>
      </c>
    </row>
    <row r="42" customFormat="false" ht="12" hidden="false" customHeight="false" outlineLevel="0" collapsed="false">
      <c r="A42" s="40"/>
      <c r="B42" s="42" t="s">
        <v>21</v>
      </c>
      <c r="C42" s="42"/>
      <c r="D42" s="53"/>
      <c r="E42" s="53"/>
      <c r="F42" s="53"/>
      <c r="G42" s="42"/>
      <c r="H42" s="60"/>
      <c r="I42" s="42"/>
      <c r="J42" s="44"/>
      <c r="K42" s="42"/>
      <c r="L42" s="42"/>
      <c r="M42" s="42"/>
      <c r="N42" s="42"/>
      <c r="O42" s="61"/>
      <c r="P42" s="93"/>
      <c r="Q42" s="61"/>
      <c r="R42" s="54"/>
      <c r="S42" s="61"/>
      <c r="T42" s="51"/>
      <c r="U42" s="4"/>
      <c r="W42" s="10" t="n">
        <f aca="false">Admin!B42</f>
        <v>44332</v>
      </c>
      <c r="X42" s="1" t="n">
        <f aca="false">X41+1</f>
        <v>41</v>
      </c>
    </row>
    <row r="43" customFormat="false" ht="12" hidden="false" customHeight="false" outlineLevel="0" collapsed="false">
      <c r="A43" s="40"/>
      <c r="B43" s="42"/>
      <c r="C43" s="42"/>
      <c r="D43" s="62"/>
      <c r="E43" s="62"/>
      <c r="F43" s="62"/>
      <c r="G43" s="42"/>
      <c r="H43" s="54" t="s">
        <v>22</v>
      </c>
      <c r="I43" s="42"/>
      <c r="J43" s="44"/>
      <c r="K43" s="62"/>
      <c r="L43" s="62"/>
      <c r="M43" s="62"/>
      <c r="N43" s="62"/>
      <c r="O43" s="62"/>
      <c r="P43" s="62"/>
      <c r="Q43" s="62"/>
      <c r="R43" s="62"/>
      <c r="S43" s="62"/>
      <c r="T43" s="51"/>
      <c r="U43" s="4"/>
      <c r="W43" s="10" t="n">
        <f aca="false">Admin!B43</f>
        <v>44333</v>
      </c>
      <c r="X43" s="1" t="n">
        <f aca="false">X42+1</f>
        <v>42</v>
      </c>
    </row>
    <row r="44" customFormat="false" ht="12" hidden="false" customHeight="false" outlineLevel="0" collapsed="false">
      <c r="A44" s="40"/>
      <c r="B44" s="42"/>
      <c r="C44" s="42"/>
      <c r="D44" s="62"/>
      <c r="E44" s="62"/>
      <c r="F44" s="62"/>
      <c r="G44" s="42"/>
      <c r="H44" s="63"/>
      <c r="I44" s="42"/>
      <c r="J44" s="44"/>
      <c r="K44" s="62"/>
      <c r="L44" s="62"/>
      <c r="M44" s="62"/>
      <c r="N44" s="62"/>
      <c r="O44" s="62"/>
      <c r="P44" s="62"/>
      <c r="Q44" s="62"/>
      <c r="R44" s="62"/>
      <c r="S44" s="62"/>
      <c r="T44" s="51"/>
      <c r="U44" s="4"/>
      <c r="W44" s="10" t="n">
        <f aca="false">Admin!B44</f>
        <v>44334</v>
      </c>
      <c r="X44" s="1" t="n">
        <f aca="false">X43+1</f>
        <v>43</v>
      </c>
    </row>
    <row r="45" customFormat="false" ht="12" hidden="false" customHeight="false" outlineLevel="0" collapsed="false">
      <c r="A45" s="40"/>
      <c r="B45" s="42"/>
      <c r="C45" s="42"/>
      <c r="D45" s="62"/>
      <c r="E45" s="62"/>
      <c r="F45" s="62"/>
      <c r="G45" s="42"/>
      <c r="H45" s="54" t="s">
        <v>23</v>
      </c>
      <c r="I45" s="42"/>
      <c r="J45" s="44"/>
      <c r="K45" s="62"/>
      <c r="L45" s="62"/>
      <c r="M45" s="62"/>
      <c r="N45" s="62"/>
      <c r="O45" s="62"/>
      <c r="P45" s="62"/>
      <c r="Q45" s="62"/>
      <c r="R45" s="62"/>
      <c r="S45" s="62"/>
      <c r="T45" s="51"/>
      <c r="U45" s="4"/>
      <c r="W45" s="10" t="n">
        <f aca="false">Admin!B45</f>
        <v>44335</v>
      </c>
      <c r="X45" s="1" t="n">
        <f aca="false">X44+1</f>
        <v>44</v>
      </c>
    </row>
    <row r="46" customFormat="false" ht="12" hidden="false" customHeight="false" outlineLevel="0" collapsed="false">
      <c r="A46" s="40"/>
      <c r="B46" s="42"/>
      <c r="C46" s="42"/>
      <c r="D46" s="62"/>
      <c r="E46" s="62"/>
      <c r="F46" s="62"/>
      <c r="G46" s="42"/>
      <c r="H46" s="60"/>
      <c r="I46" s="42"/>
      <c r="J46" s="44"/>
      <c r="K46" s="62"/>
      <c r="L46" s="62"/>
      <c r="M46" s="62"/>
      <c r="N46" s="62"/>
      <c r="O46" s="62"/>
      <c r="P46" s="62"/>
      <c r="Q46" s="62"/>
      <c r="R46" s="62"/>
      <c r="S46" s="62"/>
      <c r="T46" s="51"/>
      <c r="U46" s="4"/>
      <c r="W46" s="10" t="n">
        <f aca="false">Admin!B46</f>
        <v>44336</v>
      </c>
      <c r="X46" s="1" t="n">
        <f aca="false">X45+1</f>
        <v>45</v>
      </c>
    </row>
    <row r="47" customFormat="false" ht="12" hidden="false" customHeight="true" outlineLevel="0" collapsed="false">
      <c r="A47" s="40"/>
      <c r="B47" s="42"/>
      <c r="C47" s="42"/>
      <c r="D47" s="62"/>
      <c r="E47" s="62"/>
      <c r="F47" s="62"/>
      <c r="G47" s="42"/>
      <c r="H47" s="54" t="s">
        <v>24</v>
      </c>
      <c r="I47" s="42"/>
      <c r="J47" s="44"/>
      <c r="K47" s="62"/>
      <c r="L47" s="62"/>
      <c r="M47" s="62"/>
      <c r="N47" s="62"/>
      <c r="O47" s="62"/>
      <c r="P47" s="62"/>
      <c r="Q47" s="62"/>
      <c r="R47" s="62"/>
      <c r="S47" s="62"/>
      <c r="T47" s="67"/>
      <c r="U47" s="4"/>
      <c r="W47" s="10" t="n">
        <f aca="false">Admin!B47</f>
        <v>44337</v>
      </c>
      <c r="X47" s="1" t="n">
        <f aca="false">X46+1</f>
        <v>46</v>
      </c>
    </row>
    <row r="48" customFormat="false" ht="15" hidden="false" customHeight="true" outlineLevel="0" collapsed="false">
      <c r="A48" s="40"/>
      <c r="B48" s="42"/>
      <c r="C48" s="42"/>
      <c r="D48" s="42"/>
      <c r="E48" s="62"/>
      <c r="F48" s="62"/>
      <c r="G48" s="42"/>
      <c r="H48" s="68"/>
      <c r="I48" s="42"/>
      <c r="J48" s="44"/>
      <c r="K48" s="62"/>
      <c r="L48" s="62"/>
      <c r="M48" s="62"/>
      <c r="N48" s="62"/>
      <c r="O48" s="62"/>
      <c r="P48" s="62"/>
      <c r="Q48" s="62"/>
      <c r="R48" s="62"/>
      <c r="S48" s="62"/>
      <c r="T48" s="51"/>
      <c r="U48" s="4"/>
      <c r="W48" s="10" t="n">
        <f aca="false">Admin!B48</f>
        <v>44338</v>
      </c>
      <c r="X48" s="1" t="n">
        <f aca="false">X47+1</f>
        <v>47</v>
      </c>
    </row>
    <row r="49" customFormat="false" ht="12" hidden="false" customHeight="false" outlineLevel="0" collapsed="false">
      <c r="A49" s="40"/>
      <c r="B49" s="42"/>
      <c r="C49" s="42"/>
      <c r="D49" s="70"/>
      <c r="E49" s="42"/>
      <c r="F49" s="61" t="s">
        <v>25</v>
      </c>
      <c r="G49" s="49"/>
      <c r="H49" s="42"/>
      <c r="I49" s="42"/>
      <c r="J49" s="44"/>
      <c r="K49" s="62"/>
      <c r="L49" s="62"/>
      <c r="M49" s="62"/>
      <c r="N49" s="62"/>
      <c r="O49" s="62"/>
      <c r="P49" s="62"/>
      <c r="Q49" s="62"/>
      <c r="R49" s="62"/>
      <c r="S49" s="62"/>
      <c r="T49" s="51"/>
      <c r="U49" s="4"/>
      <c r="W49" s="10" t="n">
        <f aca="false">Admin!B49</f>
        <v>44339</v>
      </c>
      <c r="X49" s="1" t="n">
        <f aca="false">X48+1</f>
        <v>48</v>
      </c>
    </row>
    <row r="50" customFormat="false" ht="12" hidden="false" customHeight="false" outlineLevel="0" collapsed="false">
      <c r="A50" s="40"/>
      <c r="B50" s="42" t="str">
        <f aca="false">B24</f>
        <v>Starting date (existing = 06/04/21)</v>
      </c>
      <c r="C50" s="42"/>
      <c r="D50" s="71"/>
      <c r="E50" s="42"/>
      <c r="F50" s="72" t="str">
        <f aca="false">IF(D50=0," ",IF(D54="W",LOOKUP(D50,Admin!B:B,Admin!C:C),IF(D54="M",LOOKUP(D50,Admin!B:B,Admin!D:D),LOOKUP(D50,Admin!B:B,Admin!C:C))))</f>
        <v> </v>
      </c>
      <c r="G50" s="73"/>
      <c r="H50" s="42"/>
      <c r="I50" s="42"/>
      <c r="J50" s="44"/>
      <c r="K50" s="62"/>
      <c r="L50" s="62"/>
      <c r="M50" s="62"/>
      <c r="N50" s="62"/>
      <c r="O50" s="62"/>
      <c r="P50" s="62"/>
      <c r="Q50" s="62"/>
      <c r="R50" s="62"/>
      <c r="S50" s="62"/>
      <c r="T50" s="51"/>
      <c r="U50" s="4"/>
      <c r="W50" s="10" t="n">
        <f aca="false">Admin!B50</f>
        <v>44340</v>
      </c>
      <c r="X50" s="1" t="n">
        <f aca="false">X49+1</f>
        <v>49</v>
      </c>
    </row>
    <row r="51" customFormat="false" ht="6" hidden="false" customHeight="true" outlineLevel="0" collapsed="false">
      <c r="A51" s="40"/>
      <c r="B51" s="42"/>
      <c r="C51" s="42"/>
      <c r="D51" s="70"/>
      <c r="E51" s="42"/>
      <c r="F51" s="72"/>
      <c r="G51" s="73"/>
      <c r="H51" s="42"/>
      <c r="I51" s="75"/>
      <c r="J51" s="42"/>
      <c r="K51" s="62"/>
      <c r="L51" s="62"/>
      <c r="M51" s="62"/>
      <c r="N51" s="62"/>
      <c r="O51" s="62"/>
      <c r="P51" s="62"/>
      <c r="Q51" s="62"/>
      <c r="R51" s="62"/>
      <c r="S51" s="62"/>
      <c r="T51" s="51"/>
      <c r="U51" s="4"/>
      <c r="W51" s="10" t="n">
        <f aca="false">Admin!B51</f>
        <v>44341</v>
      </c>
      <c r="X51" s="1" t="n">
        <f aca="false">X50+1</f>
        <v>50</v>
      </c>
    </row>
    <row r="52" customFormat="false" ht="14.25" hidden="false" customHeight="true" outlineLevel="0" collapsed="false">
      <c r="A52" s="40"/>
      <c r="B52" s="42" t="s">
        <v>26</v>
      </c>
      <c r="C52" s="42"/>
      <c r="D52" s="71"/>
      <c r="E52" s="42"/>
      <c r="F52" s="72" t="str">
        <f aca="false">IF(D50=0," ",IF(D52=0," ",IF(D54="W",LOOKUP(D52,Admin!B:B,Admin!C:C),IF(D54="M",LOOKUP(D52,Admin!B:B,Admin!D:D),LOOKUP(D52,Admin!B:B,Admin!C:C)))))</f>
        <v> </v>
      </c>
      <c r="G52" s="73"/>
      <c r="H52" s="42"/>
      <c r="I52" s="42"/>
      <c r="J52" s="44"/>
      <c r="K52" s="62"/>
      <c r="L52" s="62"/>
      <c r="M52" s="62"/>
      <c r="N52" s="62"/>
      <c r="O52" s="62"/>
      <c r="P52" s="62"/>
      <c r="Q52" s="62"/>
      <c r="R52" s="62"/>
      <c r="S52" s="62"/>
      <c r="T52" s="51"/>
      <c r="U52" s="4"/>
      <c r="W52" s="10" t="n">
        <f aca="false">Admin!B52</f>
        <v>44342</v>
      </c>
      <c r="X52" s="1" t="n">
        <f aca="false">X51+1</f>
        <v>51</v>
      </c>
    </row>
    <row r="53" customFormat="false" ht="12" hidden="false" customHeight="false" outlineLevel="0" collapsed="false">
      <c r="A53" s="40"/>
      <c r="B53" s="42"/>
      <c r="C53" s="42"/>
      <c r="D53" s="70"/>
      <c r="E53" s="42"/>
      <c r="F53" s="76"/>
      <c r="G53" s="76"/>
      <c r="H53" s="42"/>
      <c r="I53" s="42"/>
      <c r="J53" s="44"/>
      <c r="K53" s="62"/>
      <c r="L53" s="62"/>
      <c r="M53" s="62"/>
      <c r="N53" s="62"/>
      <c r="O53" s="62"/>
      <c r="P53" s="62"/>
      <c r="Q53" s="62"/>
      <c r="R53" s="62"/>
      <c r="S53" s="62"/>
      <c r="T53" s="51"/>
      <c r="U53" s="4"/>
      <c r="W53" s="10" t="n">
        <f aca="false">Admin!B53</f>
        <v>44343</v>
      </c>
      <c r="X53" s="1" t="n">
        <f aca="false">X52+1</f>
        <v>52</v>
      </c>
    </row>
    <row r="54" customFormat="false" ht="12" hidden="false" customHeight="false" outlineLevel="0" collapsed="false">
      <c r="A54" s="40"/>
      <c r="B54" s="42" t="s">
        <v>27</v>
      </c>
      <c r="C54" s="42"/>
      <c r="D54" s="77"/>
      <c r="E54" s="54" t="s">
        <v>28</v>
      </c>
      <c r="F54" s="78" t="str">
        <f aca="false">IF(D56="D","Enter M for Director","Enter M or W for Employee")</f>
        <v>Enter M or W for Employee</v>
      </c>
      <c r="G54" s="42"/>
      <c r="H54" s="79"/>
      <c r="I54" s="79"/>
      <c r="J54" s="44"/>
      <c r="K54" s="62"/>
      <c r="L54" s="62"/>
      <c r="M54" s="62"/>
      <c r="N54" s="62"/>
      <c r="O54" s="62"/>
      <c r="P54" s="62"/>
      <c r="Q54" s="62"/>
      <c r="R54" s="62"/>
      <c r="S54" s="62"/>
      <c r="T54" s="51"/>
      <c r="U54" s="4"/>
      <c r="W54" s="10" t="n">
        <f aca="false">Admin!B54</f>
        <v>44344</v>
      </c>
      <c r="X54" s="1" t="n">
        <v>53</v>
      </c>
    </row>
    <row r="55" customFormat="false" ht="12" hidden="false" customHeight="false" outlineLevel="0" collapsed="false">
      <c r="A55" s="40"/>
      <c r="B55" s="42" t="s">
        <v>29</v>
      </c>
      <c r="C55" s="42"/>
      <c r="D55" s="80" t="n">
        <v>2</v>
      </c>
      <c r="E55" s="81"/>
      <c r="F55" s="66"/>
      <c r="G55" s="54"/>
      <c r="H55" s="42"/>
      <c r="I55" s="42"/>
      <c r="J55" s="44"/>
      <c r="K55" s="62"/>
      <c r="L55" s="62"/>
      <c r="M55" s="62"/>
      <c r="N55" s="62"/>
      <c r="O55" s="62"/>
      <c r="P55" s="62"/>
      <c r="Q55" s="62"/>
      <c r="R55" s="62"/>
      <c r="S55" s="62"/>
      <c r="T55" s="51"/>
      <c r="U55" s="4"/>
      <c r="W55" s="10" t="n">
        <f aca="false">Admin!B55</f>
        <v>44345</v>
      </c>
    </row>
    <row r="56" customFormat="false" ht="12" hidden="false" customHeight="false" outlineLevel="0" collapsed="false">
      <c r="A56" s="40"/>
      <c r="B56" s="42" t="s">
        <v>30</v>
      </c>
      <c r="C56" s="42"/>
      <c r="D56" s="82"/>
      <c r="E56" s="42"/>
      <c r="F56" s="83" t="s">
        <v>31</v>
      </c>
      <c r="G56" s="54"/>
      <c r="H56" s="42"/>
      <c r="I56" s="42"/>
      <c r="J56" s="44"/>
      <c r="K56" s="62"/>
      <c r="L56" s="62"/>
      <c r="M56" s="62"/>
      <c r="N56" s="62"/>
      <c r="O56" s="62"/>
      <c r="P56" s="62"/>
      <c r="Q56" s="62"/>
      <c r="R56" s="62"/>
      <c r="S56" s="62"/>
      <c r="T56" s="51"/>
      <c r="U56" s="4"/>
      <c r="W56" s="10" t="n">
        <f aca="false">Admin!B56</f>
        <v>44346</v>
      </c>
    </row>
    <row r="57" customFormat="false" ht="12" hidden="false" customHeight="true" outlineLevel="0" collapsed="false">
      <c r="A57" s="40"/>
      <c r="B57" s="42"/>
      <c r="C57" s="42"/>
      <c r="D57" s="42"/>
      <c r="E57" s="42"/>
      <c r="F57" s="84"/>
      <c r="G57" s="84"/>
      <c r="H57" s="84"/>
      <c r="I57" s="42"/>
      <c r="J57" s="44"/>
      <c r="K57" s="62"/>
      <c r="L57" s="62"/>
      <c r="M57" s="62"/>
      <c r="N57" s="62"/>
      <c r="O57" s="62"/>
      <c r="P57" s="62"/>
      <c r="Q57" s="62"/>
      <c r="R57" s="62"/>
      <c r="S57" s="62"/>
      <c r="T57" s="51"/>
      <c r="U57" s="4"/>
      <c r="W57" s="10" t="n">
        <f aca="false">Admin!B57</f>
        <v>44347</v>
      </c>
    </row>
    <row r="58" customFormat="false" ht="6" hidden="false" customHeight="true" outlineLevel="0" collapsed="false">
      <c r="A58" s="40"/>
      <c r="B58" s="42"/>
      <c r="C58" s="42"/>
      <c r="D58" s="42"/>
      <c r="E58" s="42"/>
      <c r="F58" s="85"/>
      <c r="G58" s="85"/>
      <c r="H58" s="85"/>
      <c r="I58" s="42"/>
      <c r="J58" s="44"/>
      <c r="K58" s="62"/>
      <c r="L58" s="62"/>
      <c r="M58" s="62"/>
      <c r="N58" s="62"/>
      <c r="O58" s="62"/>
      <c r="P58" s="62"/>
      <c r="Q58" s="62"/>
      <c r="R58" s="62"/>
      <c r="S58" s="62"/>
      <c r="T58" s="51"/>
      <c r="U58" s="4"/>
      <c r="W58" s="10" t="n">
        <f aca="false">Admin!B58</f>
        <v>44348</v>
      </c>
    </row>
    <row r="59" customFormat="false" ht="12" hidden="false" customHeight="true" outlineLevel="0" collapsed="false">
      <c r="A59" s="40"/>
      <c r="B59" s="62"/>
      <c r="C59" s="62"/>
      <c r="D59" s="62"/>
      <c r="E59" s="62"/>
      <c r="F59" s="62"/>
      <c r="G59" s="62"/>
      <c r="H59" s="62"/>
      <c r="I59" s="42"/>
      <c r="J59" s="44"/>
      <c r="K59" s="62"/>
      <c r="L59" s="62"/>
      <c r="M59" s="62"/>
      <c r="N59" s="62"/>
      <c r="O59" s="62"/>
      <c r="P59" s="62"/>
      <c r="Q59" s="62"/>
      <c r="R59" s="62"/>
      <c r="S59" s="62"/>
      <c r="T59" s="51"/>
      <c r="U59" s="4"/>
      <c r="W59" s="10" t="n">
        <f aca="false">Admin!B59</f>
        <v>44349</v>
      </c>
    </row>
    <row r="60" customFormat="false" ht="12" hidden="false" customHeight="false" outlineLevel="0" collapsed="false">
      <c r="A60" s="40"/>
      <c r="B60" s="62"/>
      <c r="C60" s="62"/>
      <c r="D60" s="62"/>
      <c r="E60" s="62"/>
      <c r="F60" s="62"/>
      <c r="G60" s="62"/>
      <c r="H60" s="62"/>
      <c r="I60" s="42"/>
      <c r="J60" s="44"/>
      <c r="K60" s="62"/>
      <c r="L60" s="62"/>
      <c r="M60" s="62"/>
      <c r="N60" s="62"/>
      <c r="O60" s="62"/>
      <c r="P60" s="62"/>
      <c r="Q60" s="62"/>
      <c r="R60" s="62"/>
      <c r="S60" s="62"/>
      <c r="T60" s="51"/>
      <c r="U60" s="4"/>
      <c r="W60" s="10" t="n">
        <f aca="false">Admin!B60</f>
        <v>44350</v>
      </c>
    </row>
    <row r="61" customFormat="false" ht="13.5" hidden="false" customHeight="true" outlineLevel="0" collapsed="false">
      <c r="A61" s="40"/>
      <c r="B61" s="62"/>
      <c r="C61" s="62"/>
      <c r="D61" s="62"/>
      <c r="E61" s="62"/>
      <c r="F61" s="62"/>
      <c r="G61" s="62"/>
      <c r="H61" s="62"/>
      <c r="I61" s="42"/>
      <c r="J61" s="44"/>
      <c r="K61" s="43"/>
      <c r="L61" s="43"/>
      <c r="M61" s="43"/>
      <c r="N61" s="43"/>
      <c r="O61" s="43"/>
      <c r="P61" s="43"/>
      <c r="Q61" s="43"/>
      <c r="R61" s="43"/>
      <c r="S61" s="43"/>
      <c r="T61" s="51"/>
      <c r="U61" s="4"/>
      <c r="W61" s="10" t="n">
        <f aca="false">Admin!B61</f>
        <v>44351</v>
      </c>
    </row>
    <row r="62" customFormat="false" ht="9" hidden="false" customHeight="true" outlineLevel="0" collapsed="false">
      <c r="A62" s="87"/>
      <c r="B62" s="88"/>
      <c r="C62" s="88"/>
      <c r="D62" s="88"/>
      <c r="E62" s="88"/>
      <c r="F62" s="88"/>
      <c r="G62" s="88"/>
      <c r="H62" s="88"/>
      <c r="I62" s="88"/>
      <c r="J62" s="89"/>
      <c r="K62" s="88"/>
      <c r="L62" s="88"/>
      <c r="M62" s="88"/>
      <c r="N62" s="88"/>
      <c r="O62" s="88"/>
      <c r="P62" s="90"/>
      <c r="Q62" s="88"/>
      <c r="R62" s="88"/>
      <c r="S62" s="88"/>
      <c r="T62" s="91"/>
      <c r="U62" s="4"/>
      <c r="W62" s="10" t="n">
        <f aca="false">Admin!B62</f>
        <v>44352</v>
      </c>
    </row>
    <row r="63" customFormat="false" ht="22.5" hidden="false" customHeight="true" outlineLevel="0" collapsed="false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4"/>
      <c r="W63" s="10" t="n">
        <f aca="false">Admin!B63</f>
        <v>44353</v>
      </c>
    </row>
    <row r="64" customFormat="false" ht="9" hidden="false" customHeight="true" outlineLevel="0" collapsed="false">
      <c r="A64" s="35"/>
      <c r="B64" s="36"/>
      <c r="C64" s="36"/>
      <c r="D64" s="36"/>
      <c r="E64" s="36"/>
      <c r="F64" s="36"/>
      <c r="G64" s="36"/>
      <c r="H64" s="36"/>
      <c r="I64" s="36"/>
      <c r="J64" s="37"/>
      <c r="K64" s="36"/>
      <c r="L64" s="36"/>
      <c r="M64" s="36"/>
      <c r="N64" s="36"/>
      <c r="O64" s="36"/>
      <c r="P64" s="38"/>
      <c r="Q64" s="36"/>
      <c r="R64" s="36"/>
      <c r="S64" s="36"/>
      <c r="T64" s="39"/>
      <c r="U64" s="4"/>
      <c r="W64" s="10" t="n">
        <f aca="false">Admin!B64</f>
        <v>44354</v>
      </c>
    </row>
    <row r="65" customFormat="false" ht="15" hidden="false" customHeight="true" outlineLevel="0" collapsed="false">
      <c r="A65" s="40"/>
      <c r="B65" s="12" t="s">
        <v>34</v>
      </c>
      <c r="C65" s="41"/>
      <c r="D65" s="42"/>
      <c r="E65" s="42"/>
      <c r="F65" s="42"/>
      <c r="G65" s="42"/>
      <c r="H65" s="43" t="s">
        <v>15</v>
      </c>
      <c r="I65" s="42"/>
      <c r="J65" s="44"/>
      <c r="K65" s="12" t="s">
        <v>16</v>
      </c>
      <c r="L65" s="41"/>
      <c r="M65" s="45"/>
      <c r="N65" s="46"/>
      <c r="O65" s="47"/>
      <c r="P65" s="47"/>
      <c r="Q65" s="48"/>
      <c r="R65" s="49"/>
      <c r="S65" s="50"/>
      <c r="T65" s="51"/>
      <c r="U65" s="4"/>
      <c r="W65" s="10" t="n">
        <f aca="false">Admin!B65</f>
        <v>44355</v>
      </c>
    </row>
    <row r="66" customFormat="false" ht="6" hidden="false" customHeight="true" outlineLevel="0" collapsed="false">
      <c r="A66" s="40"/>
      <c r="B66" s="41"/>
      <c r="C66" s="41"/>
      <c r="D66" s="42"/>
      <c r="E66" s="42"/>
      <c r="F66" s="42"/>
      <c r="G66" s="42"/>
      <c r="H66" s="43"/>
      <c r="I66" s="42"/>
      <c r="J66" s="44"/>
      <c r="K66" s="41"/>
      <c r="L66" s="41"/>
      <c r="M66" s="45"/>
      <c r="N66" s="46"/>
      <c r="O66" s="42"/>
      <c r="P66" s="52"/>
      <c r="Q66" s="48"/>
      <c r="R66" s="42"/>
      <c r="S66" s="50"/>
      <c r="T66" s="51"/>
      <c r="U66" s="4"/>
      <c r="W66" s="10" t="n">
        <f aca="false">Admin!B66</f>
        <v>44356</v>
      </c>
    </row>
    <row r="67" customFormat="false" ht="12.65" hidden="false" customHeight="false" outlineLevel="0" collapsed="false">
      <c r="A67" s="40"/>
      <c r="B67" s="42" t="s">
        <v>33</v>
      </c>
      <c r="C67" s="42"/>
      <c r="D67" s="53"/>
      <c r="E67" s="53"/>
      <c r="F67" s="53"/>
      <c r="G67" s="42"/>
      <c r="H67" s="54" t="s">
        <v>19</v>
      </c>
      <c r="I67" s="42"/>
      <c r="J67" s="55"/>
      <c r="K67" s="42" t="s">
        <v>20</v>
      </c>
      <c r="L67" s="42"/>
      <c r="M67" s="56"/>
      <c r="N67" s="56"/>
      <c r="O67" s="56"/>
      <c r="P67" s="52"/>
      <c r="Q67" s="57"/>
      <c r="R67" s="58"/>
      <c r="S67" s="59"/>
      <c r="T67" s="51"/>
      <c r="U67" s="4"/>
      <c r="W67" s="10" t="n">
        <f aca="false">Admin!B67</f>
        <v>44357</v>
      </c>
    </row>
    <row r="68" customFormat="false" ht="12" hidden="false" customHeight="false" outlineLevel="0" collapsed="false">
      <c r="A68" s="40"/>
      <c r="B68" s="42" t="s">
        <v>21</v>
      </c>
      <c r="C68" s="42"/>
      <c r="D68" s="53"/>
      <c r="E68" s="53"/>
      <c r="F68" s="53"/>
      <c r="G68" s="42"/>
      <c r="H68" s="60"/>
      <c r="I68" s="42"/>
      <c r="J68" s="44"/>
      <c r="K68" s="42"/>
      <c r="L68" s="42"/>
      <c r="M68" s="42"/>
      <c r="N68" s="42"/>
      <c r="O68" s="61"/>
      <c r="P68" s="93"/>
      <c r="Q68" s="61"/>
      <c r="R68" s="54"/>
      <c r="S68" s="61"/>
      <c r="T68" s="51"/>
      <c r="U68" s="4"/>
      <c r="W68" s="10" t="n">
        <f aca="false">Admin!B68</f>
        <v>44358</v>
      </c>
    </row>
    <row r="69" customFormat="false" ht="12" hidden="false" customHeight="false" outlineLevel="0" collapsed="false">
      <c r="A69" s="40"/>
      <c r="B69" s="42"/>
      <c r="C69" s="42"/>
      <c r="D69" s="62"/>
      <c r="E69" s="62"/>
      <c r="F69" s="62"/>
      <c r="G69" s="42"/>
      <c r="H69" s="54" t="s">
        <v>22</v>
      </c>
      <c r="I69" s="42"/>
      <c r="J69" s="44"/>
      <c r="K69" s="62"/>
      <c r="L69" s="62"/>
      <c r="M69" s="62"/>
      <c r="N69" s="62"/>
      <c r="O69" s="62"/>
      <c r="P69" s="62"/>
      <c r="Q69" s="62"/>
      <c r="R69" s="62"/>
      <c r="S69" s="62"/>
      <c r="T69" s="51"/>
      <c r="U69" s="4"/>
      <c r="W69" s="10" t="n">
        <f aca="false">Admin!B69</f>
        <v>44359</v>
      </c>
    </row>
    <row r="70" customFormat="false" ht="12" hidden="false" customHeight="false" outlineLevel="0" collapsed="false">
      <c r="A70" s="40"/>
      <c r="B70" s="42"/>
      <c r="C70" s="42"/>
      <c r="D70" s="62"/>
      <c r="E70" s="62"/>
      <c r="F70" s="62"/>
      <c r="G70" s="42"/>
      <c r="H70" s="63"/>
      <c r="I70" s="42"/>
      <c r="J70" s="44"/>
      <c r="K70" s="62"/>
      <c r="L70" s="62"/>
      <c r="M70" s="62"/>
      <c r="N70" s="62"/>
      <c r="O70" s="62"/>
      <c r="P70" s="62"/>
      <c r="Q70" s="62"/>
      <c r="R70" s="62"/>
      <c r="S70" s="62"/>
      <c r="T70" s="51"/>
      <c r="U70" s="4"/>
      <c r="W70" s="10" t="n">
        <f aca="false">Admin!B70</f>
        <v>44360</v>
      </c>
    </row>
    <row r="71" customFormat="false" ht="12" hidden="false" customHeight="false" outlineLevel="0" collapsed="false">
      <c r="A71" s="40"/>
      <c r="B71" s="42"/>
      <c r="C71" s="42"/>
      <c r="D71" s="62"/>
      <c r="E71" s="62"/>
      <c r="F71" s="62"/>
      <c r="G71" s="42"/>
      <c r="H71" s="54" t="s">
        <v>23</v>
      </c>
      <c r="I71" s="42"/>
      <c r="J71" s="44"/>
      <c r="K71" s="62"/>
      <c r="L71" s="62"/>
      <c r="M71" s="62"/>
      <c r="N71" s="62"/>
      <c r="O71" s="62"/>
      <c r="P71" s="62"/>
      <c r="Q71" s="62"/>
      <c r="R71" s="62"/>
      <c r="S71" s="62"/>
      <c r="T71" s="51"/>
      <c r="U71" s="4"/>
      <c r="W71" s="10" t="n">
        <f aca="false">Admin!B71</f>
        <v>44361</v>
      </c>
    </row>
    <row r="72" customFormat="false" ht="12" hidden="false" customHeight="false" outlineLevel="0" collapsed="false">
      <c r="A72" s="40"/>
      <c r="B72" s="42"/>
      <c r="C72" s="42"/>
      <c r="D72" s="62"/>
      <c r="E72" s="62"/>
      <c r="F72" s="62"/>
      <c r="G72" s="42"/>
      <c r="H72" s="60"/>
      <c r="I72" s="42"/>
      <c r="J72" s="44"/>
      <c r="K72" s="62"/>
      <c r="L72" s="62"/>
      <c r="M72" s="62"/>
      <c r="N72" s="62"/>
      <c r="O72" s="62"/>
      <c r="P72" s="62"/>
      <c r="Q72" s="62"/>
      <c r="R72" s="62"/>
      <c r="S72" s="62"/>
      <c r="T72" s="51"/>
      <c r="U72" s="4"/>
      <c r="W72" s="10" t="n">
        <f aca="false">Admin!B72</f>
        <v>44362</v>
      </c>
    </row>
    <row r="73" customFormat="false" ht="12" hidden="false" customHeight="true" outlineLevel="0" collapsed="false">
      <c r="A73" s="40"/>
      <c r="B73" s="42"/>
      <c r="C73" s="42"/>
      <c r="D73" s="62"/>
      <c r="E73" s="62"/>
      <c r="F73" s="62"/>
      <c r="G73" s="42"/>
      <c r="H73" s="54" t="s">
        <v>24</v>
      </c>
      <c r="I73" s="42"/>
      <c r="J73" s="44"/>
      <c r="K73" s="62"/>
      <c r="L73" s="62"/>
      <c r="M73" s="62"/>
      <c r="N73" s="62"/>
      <c r="O73" s="62"/>
      <c r="P73" s="62"/>
      <c r="Q73" s="62"/>
      <c r="R73" s="62"/>
      <c r="S73" s="62"/>
      <c r="T73" s="67"/>
      <c r="U73" s="4"/>
      <c r="W73" s="10" t="n">
        <f aca="false">Admin!B73</f>
        <v>44363</v>
      </c>
    </row>
    <row r="74" customFormat="false" ht="15" hidden="false" customHeight="true" outlineLevel="0" collapsed="false">
      <c r="A74" s="40"/>
      <c r="B74" s="94"/>
      <c r="C74" s="42"/>
      <c r="D74" s="42"/>
      <c r="E74" s="62"/>
      <c r="F74" s="62"/>
      <c r="G74" s="42"/>
      <c r="H74" s="68"/>
      <c r="I74" s="42"/>
      <c r="J74" s="44"/>
      <c r="K74" s="62"/>
      <c r="L74" s="62"/>
      <c r="M74" s="62"/>
      <c r="N74" s="62"/>
      <c r="O74" s="62"/>
      <c r="P74" s="62"/>
      <c r="Q74" s="62"/>
      <c r="R74" s="62"/>
      <c r="S74" s="62"/>
      <c r="T74" s="51"/>
      <c r="U74" s="4"/>
      <c r="W74" s="10" t="n">
        <f aca="false">Admin!B74</f>
        <v>44364</v>
      </c>
    </row>
    <row r="75" customFormat="false" ht="12" hidden="false" customHeight="false" outlineLevel="0" collapsed="false">
      <c r="A75" s="40"/>
      <c r="B75" s="42"/>
      <c r="C75" s="42"/>
      <c r="D75" s="70"/>
      <c r="E75" s="42"/>
      <c r="F75" s="61" t="s">
        <v>25</v>
      </c>
      <c r="G75" s="49"/>
      <c r="H75" s="42"/>
      <c r="I75" s="42"/>
      <c r="J75" s="44"/>
      <c r="K75" s="62"/>
      <c r="L75" s="62"/>
      <c r="M75" s="62"/>
      <c r="N75" s="62"/>
      <c r="O75" s="62"/>
      <c r="P75" s="62"/>
      <c r="Q75" s="62"/>
      <c r="R75" s="62"/>
      <c r="S75" s="62"/>
      <c r="T75" s="51"/>
      <c r="U75" s="4"/>
      <c r="W75" s="10" t="n">
        <f aca="false">Admin!B75</f>
        <v>44365</v>
      </c>
    </row>
    <row r="76" customFormat="false" ht="12" hidden="false" customHeight="false" outlineLevel="0" collapsed="false">
      <c r="A76" s="40"/>
      <c r="B76" s="42" t="str">
        <f aca="false">B24</f>
        <v>Starting date (existing = 06/04/21)</v>
      </c>
      <c r="C76" s="42"/>
      <c r="D76" s="71"/>
      <c r="E76" s="42"/>
      <c r="F76" s="72" t="str">
        <f aca="false">IF(D76=0," ",IF(D80="W",LOOKUP(D76,Admin!B:B,Admin!C:C),IF(D80="M",LOOKUP(D76,Admin!B:B,Admin!D:D),LOOKUP(D76,Admin!B:B,Admin!C:C))))</f>
        <v> </v>
      </c>
      <c r="G76" s="73"/>
      <c r="H76" s="42"/>
      <c r="I76" s="42"/>
      <c r="J76" s="44"/>
      <c r="K76" s="62"/>
      <c r="L76" s="62"/>
      <c r="M76" s="62"/>
      <c r="N76" s="62"/>
      <c r="O76" s="62"/>
      <c r="P76" s="62"/>
      <c r="Q76" s="62"/>
      <c r="R76" s="62"/>
      <c r="S76" s="62"/>
      <c r="T76" s="51"/>
      <c r="U76" s="4"/>
      <c r="W76" s="10" t="n">
        <f aca="false">Admin!B76</f>
        <v>44366</v>
      </c>
    </row>
    <row r="77" customFormat="false" ht="6" hidden="false" customHeight="true" outlineLevel="0" collapsed="false">
      <c r="A77" s="40"/>
      <c r="B77" s="42"/>
      <c r="C77" s="42"/>
      <c r="D77" s="70"/>
      <c r="E77" s="42"/>
      <c r="F77" s="72"/>
      <c r="G77" s="73"/>
      <c r="H77" s="42"/>
      <c r="I77" s="75"/>
      <c r="J77" s="42"/>
      <c r="K77" s="62"/>
      <c r="L77" s="62"/>
      <c r="M77" s="62"/>
      <c r="N77" s="62"/>
      <c r="O77" s="62"/>
      <c r="P77" s="62"/>
      <c r="Q77" s="62"/>
      <c r="R77" s="62"/>
      <c r="S77" s="62"/>
      <c r="T77" s="51"/>
      <c r="U77" s="4"/>
      <c r="W77" s="10" t="n">
        <f aca="false">Admin!B77</f>
        <v>44367</v>
      </c>
    </row>
    <row r="78" customFormat="false" ht="13.5" hidden="false" customHeight="true" outlineLevel="0" collapsed="false">
      <c r="A78" s="40"/>
      <c r="B78" s="42" t="s">
        <v>35</v>
      </c>
      <c r="C78" s="42"/>
      <c r="D78" s="71"/>
      <c r="E78" s="42"/>
      <c r="F78" s="72" t="str">
        <f aca="false">IF(D76=0," ",IF(D78=0," ",IF(D80="W",LOOKUP(D78,Admin!B:B,Admin!C:C),IF(D80="M",LOOKUP(D78,Admin!B:B,Admin!D:D),LOOKUP(D78,Admin!B:B,Admin!C:C)))))</f>
        <v> </v>
      </c>
      <c r="G78" s="73"/>
      <c r="H78" s="42"/>
      <c r="I78" s="42"/>
      <c r="J78" s="44"/>
      <c r="K78" s="62"/>
      <c r="L78" s="62"/>
      <c r="M78" s="62"/>
      <c r="N78" s="62"/>
      <c r="O78" s="62"/>
      <c r="P78" s="62"/>
      <c r="Q78" s="62"/>
      <c r="R78" s="62"/>
      <c r="S78" s="62"/>
      <c r="T78" s="51"/>
      <c r="U78" s="4"/>
      <c r="W78" s="10" t="n">
        <f aca="false">Admin!B78</f>
        <v>44368</v>
      </c>
    </row>
    <row r="79" customFormat="false" ht="12" hidden="false" customHeight="false" outlineLevel="0" collapsed="false">
      <c r="A79" s="40"/>
      <c r="B79" s="42"/>
      <c r="C79" s="42"/>
      <c r="D79" s="70"/>
      <c r="E79" s="42"/>
      <c r="F79" s="76"/>
      <c r="G79" s="76"/>
      <c r="H79" s="42"/>
      <c r="I79" s="42"/>
      <c r="J79" s="44"/>
      <c r="K79" s="62"/>
      <c r="L79" s="62"/>
      <c r="M79" s="62"/>
      <c r="N79" s="62"/>
      <c r="O79" s="62"/>
      <c r="P79" s="62"/>
      <c r="Q79" s="62"/>
      <c r="R79" s="62"/>
      <c r="S79" s="62"/>
      <c r="T79" s="51"/>
      <c r="U79" s="4"/>
      <c r="W79" s="10" t="n">
        <f aca="false">Admin!B79</f>
        <v>44369</v>
      </c>
    </row>
    <row r="80" customFormat="false" ht="12" hidden="false" customHeight="false" outlineLevel="0" collapsed="false">
      <c r="A80" s="40"/>
      <c r="B80" s="42" t="s">
        <v>27</v>
      </c>
      <c r="C80" s="42"/>
      <c r="D80" s="77"/>
      <c r="E80" s="54" t="s">
        <v>28</v>
      </c>
      <c r="F80" s="78" t="str">
        <f aca="false">IF(D82="D","Enter M for Director","Enter M or W for Employee")</f>
        <v>Enter M or W for Employee</v>
      </c>
      <c r="G80" s="42"/>
      <c r="H80" s="79"/>
      <c r="I80" s="79"/>
      <c r="J80" s="44"/>
      <c r="K80" s="62"/>
      <c r="L80" s="62"/>
      <c r="M80" s="62"/>
      <c r="N80" s="62"/>
      <c r="O80" s="62"/>
      <c r="P80" s="62"/>
      <c r="Q80" s="62"/>
      <c r="R80" s="62"/>
      <c r="S80" s="62"/>
      <c r="T80" s="51"/>
      <c r="U80" s="4"/>
      <c r="W80" s="10" t="n">
        <f aca="false">Admin!B80</f>
        <v>44370</v>
      </c>
    </row>
    <row r="81" customFormat="false" ht="12" hidden="false" customHeight="false" outlineLevel="0" collapsed="false">
      <c r="A81" s="40"/>
      <c r="B81" s="42" t="s">
        <v>29</v>
      </c>
      <c r="C81" s="42"/>
      <c r="D81" s="80" t="n">
        <v>3</v>
      </c>
      <c r="E81" s="81"/>
      <c r="F81" s="66"/>
      <c r="G81" s="54"/>
      <c r="H81" s="42"/>
      <c r="I81" s="42"/>
      <c r="J81" s="44"/>
      <c r="K81" s="62"/>
      <c r="L81" s="62"/>
      <c r="M81" s="62"/>
      <c r="N81" s="62"/>
      <c r="O81" s="62"/>
      <c r="P81" s="62"/>
      <c r="Q81" s="62"/>
      <c r="R81" s="62"/>
      <c r="S81" s="62"/>
      <c r="T81" s="51"/>
      <c r="U81" s="4"/>
      <c r="W81" s="10" t="n">
        <f aca="false">Admin!B81</f>
        <v>44371</v>
      </c>
    </row>
    <row r="82" customFormat="false" ht="12" hidden="false" customHeight="false" outlineLevel="0" collapsed="false">
      <c r="A82" s="40"/>
      <c r="B82" s="42" t="s">
        <v>30</v>
      </c>
      <c r="C82" s="42"/>
      <c r="D82" s="82"/>
      <c r="E82" s="42"/>
      <c r="F82" s="83" t="s">
        <v>31</v>
      </c>
      <c r="G82" s="54"/>
      <c r="H82" s="42"/>
      <c r="I82" s="42"/>
      <c r="J82" s="44"/>
      <c r="K82" s="62"/>
      <c r="L82" s="62"/>
      <c r="M82" s="62"/>
      <c r="N82" s="62"/>
      <c r="O82" s="62"/>
      <c r="P82" s="62"/>
      <c r="Q82" s="62"/>
      <c r="R82" s="62"/>
      <c r="S82" s="62"/>
      <c r="T82" s="51"/>
      <c r="U82" s="4"/>
      <c r="W82" s="10" t="n">
        <f aca="false">Admin!B82</f>
        <v>44372</v>
      </c>
    </row>
    <row r="83" customFormat="false" ht="12" hidden="false" customHeight="true" outlineLevel="0" collapsed="false">
      <c r="A83" s="40"/>
      <c r="B83" s="42"/>
      <c r="C83" s="42"/>
      <c r="D83" s="42"/>
      <c r="E83" s="42"/>
      <c r="F83" s="84"/>
      <c r="G83" s="84"/>
      <c r="H83" s="84"/>
      <c r="I83" s="42"/>
      <c r="J83" s="44"/>
      <c r="K83" s="62"/>
      <c r="L83" s="62"/>
      <c r="M83" s="62"/>
      <c r="N83" s="62"/>
      <c r="O83" s="62"/>
      <c r="P83" s="62"/>
      <c r="Q83" s="62"/>
      <c r="R83" s="62"/>
      <c r="S83" s="62"/>
      <c r="T83" s="51"/>
      <c r="U83" s="4"/>
      <c r="W83" s="10" t="n">
        <f aca="false">Admin!B83</f>
        <v>44373</v>
      </c>
    </row>
    <row r="84" customFormat="false" ht="6" hidden="false" customHeight="true" outlineLevel="0" collapsed="false">
      <c r="A84" s="40"/>
      <c r="B84" s="42"/>
      <c r="C84" s="42"/>
      <c r="D84" s="42"/>
      <c r="E84" s="42"/>
      <c r="F84" s="85"/>
      <c r="G84" s="85"/>
      <c r="H84" s="85"/>
      <c r="I84" s="42"/>
      <c r="J84" s="44"/>
      <c r="K84" s="62"/>
      <c r="L84" s="62"/>
      <c r="M84" s="62"/>
      <c r="N84" s="62"/>
      <c r="O84" s="62"/>
      <c r="P84" s="62"/>
      <c r="Q84" s="62"/>
      <c r="R84" s="62"/>
      <c r="S84" s="62"/>
      <c r="T84" s="51"/>
      <c r="U84" s="4"/>
      <c r="W84" s="10" t="n">
        <f aca="false">Admin!B84</f>
        <v>44374</v>
      </c>
    </row>
    <row r="85" customFormat="false" ht="12" hidden="false" customHeight="true" outlineLevel="0" collapsed="false">
      <c r="A85" s="40"/>
      <c r="B85" s="62"/>
      <c r="C85" s="62"/>
      <c r="D85" s="62"/>
      <c r="E85" s="62"/>
      <c r="F85" s="62"/>
      <c r="G85" s="62"/>
      <c r="H85" s="62"/>
      <c r="I85" s="42"/>
      <c r="J85" s="44"/>
      <c r="K85" s="62"/>
      <c r="L85" s="62"/>
      <c r="M85" s="62"/>
      <c r="N85" s="62"/>
      <c r="O85" s="62"/>
      <c r="P85" s="62"/>
      <c r="Q85" s="62"/>
      <c r="R85" s="62"/>
      <c r="S85" s="62"/>
      <c r="T85" s="51"/>
      <c r="U85" s="4"/>
      <c r="W85" s="10" t="n">
        <f aca="false">Admin!B85</f>
        <v>44375</v>
      </c>
    </row>
    <row r="86" customFormat="false" ht="12" hidden="false" customHeight="false" outlineLevel="0" collapsed="false">
      <c r="A86" s="40"/>
      <c r="B86" s="62"/>
      <c r="C86" s="62"/>
      <c r="D86" s="62"/>
      <c r="E86" s="62"/>
      <c r="F86" s="62"/>
      <c r="G86" s="62"/>
      <c r="H86" s="62"/>
      <c r="I86" s="42"/>
      <c r="J86" s="44"/>
      <c r="K86" s="62"/>
      <c r="L86" s="62"/>
      <c r="M86" s="62"/>
      <c r="N86" s="62"/>
      <c r="O86" s="62"/>
      <c r="P86" s="62"/>
      <c r="Q86" s="62"/>
      <c r="R86" s="62"/>
      <c r="S86" s="62"/>
      <c r="T86" s="51"/>
      <c r="U86" s="4"/>
      <c r="W86" s="10" t="n">
        <f aca="false">Admin!B86</f>
        <v>44376</v>
      </c>
    </row>
    <row r="87" customFormat="false" ht="13.5" hidden="false" customHeight="true" outlineLevel="0" collapsed="false">
      <c r="A87" s="40"/>
      <c r="B87" s="62"/>
      <c r="C87" s="62"/>
      <c r="D87" s="62"/>
      <c r="E87" s="62"/>
      <c r="F87" s="62"/>
      <c r="G87" s="62"/>
      <c r="H87" s="62"/>
      <c r="I87" s="42"/>
      <c r="J87" s="44"/>
      <c r="K87" s="62"/>
      <c r="L87" s="62"/>
      <c r="M87" s="62"/>
      <c r="N87" s="62"/>
      <c r="O87" s="62"/>
      <c r="P87" s="62"/>
      <c r="Q87" s="62"/>
      <c r="R87" s="62"/>
      <c r="S87" s="62"/>
      <c r="T87" s="51"/>
      <c r="U87" s="4"/>
      <c r="W87" s="10" t="n">
        <f aca="false">Admin!B87</f>
        <v>44377</v>
      </c>
    </row>
    <row r="88" customFormat="false" ht="9" hidden="false" customHeight="true" outlineLevel="0" collapsed="false">
      <c r="A88" s="87"/>
      <c r="B88" s="88"/>
      <c r="C88" s="88"/>
      <c r="D88" s="88"/>
      <c r="E88" s="88"/>
      <c r="F88" s="88"/>
      <c r="G88" s="88"/>
      <c r="H88" s="88"/>
      <c r="I88" s="88"/>
      <c r="J88" s="89"/>
      <c r="K88" s="88"/>
      <c r="L88" s="88"/>
      <c r="M88" s="88"/>
      <c r="N88" s="88"/>
      <c r="O88" s="88"/>
      <c r="P88" s="90"/>
      <c r="Q88" s="88"/>
      <c r="R88" s="88"/>
      <c r="S88" s="88"/>
      <c r="T88" s="91"/>
      <c r="U88" s="4"/>
      <c r="W88" s="10" t="n">
        <f aca="false">Admin!B88</f>
        <v>44378</v>
      </c>
    </row>
    <row r="89" customFormat="false" ht="22.5" hidden="false" customHeight="true" outlineLevel="0" collapsed="false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4"/>
      <c r="W89" s="10" t="n">
        <f aca="false">Admin!B89</f>
        <v>44379</v>
      </c>
    </row>
    <row r="90" customFormat="false" ht="9" hidden="false" customHeight="true" outlineLevel="0" collapsed="false">
      <c r="A90" s="35"/>
      <c r="B90" s="36"/>
      <c r="C90" s="36"/>
      <c r="D90" s="36"/>
      <c r="E90" s="36"/>
      <c r="F90" s="36"/>
      <c r="G90" s="36"/>
      <c r="H90" s="36"/>
      <c r="I90" s="36"/>
      <c r="J90" s="37"/>
      <c r="K90" s="36"/>
      <c r="L90" s="36"/>
      <c r="M90" s="36"/>
      <c r="N90" s="36"/>
      <c r="O90" s="36"/>
      <c r="P90" s="38"/>
      <c r="Q90" s="36"/>
      <c r="R90" s="36"/>
      <c r="S90" s="36"/>
      <c r="T90" s="39"/>
      <c r="U90" s="4"/>
      <c r="W90" s="10" t="n">
        <f aca="false">Admin!B90</f>
        <v>44380</v>
      </c>
    </row>
    <row r="91" customFormat="false" ht="15" hidden="false" customHeight="true" outlineLevel="0" collapsed="false">
      <c r="A91" s="40"/>
      <c r="B91" s="12" t="s">
        <v>36</v>
      </c>
      <c r="C91" s="41"/>
      <c r="D91" s="42"/>
      <c r="E91" s="42"/>
      <c r="F91" s="42"/>
      <c r="G91" s="42"/>
      <c r="H91" s="43" t="s">
        <v>15</v>
      </c>
      <c r="I91" s="42"/>
      <c r="J91" s="44"/>
      <c r="K91" s="12" t="s">
        <v>16</v>
      </c>
      <c r="L91" s="41"/>
      <c r="M91" s="45"/>
      <c r="N91" s="46"/>
      <c r="O91" s="47"/>
      <c r="P91" s="47"/>
      <c r="Q91" s="48"/>
      <c r="R91" s="49"/>
      <c r="S91" s="50"/>
      <c r="T91" s="51"/>
      <c r="U91" s="4"/>
      <c r="W91" s="10" t="n">
        <f aca="false">Admin!B91</f>
        <v>44381</v>
      </c>
    </row>
    <row r="92" customFormat="false" ht="6" hidden="false" customHeight="true" outlineLevel="0" collapsed="false">
      <c r="A92" s="40"/>
      <c r="B92" s="41"/>
      <c r="C92" s="41"/>
      <c r="D92" s="42"/>
      <c r="E92" s="42"/>
      <c r="F92" s="42"/>
      <c r="G92" s="42"/>
      <c r="H92" s="43"/>
      <c r="I92" s="42"/>
      <c r="J92" s="44"/>
      <c r="K92" s="41"/>
      <c r="L92" s="41"/>
      <c r="M92" s="45"/>
      <c r="N92" s="46"/>
      <c r="O92" s="42"/>
      <c r="P92" s="52"/>
      <c r="Q92" s="48"/>
      <c r="R92" s="42"/>
      <c r="S92" s="50"/>
      <c r="T92" s="51"/>
      <c r="U92" s="4"/>
      <c r="W92" s="10" t="n">
        <f aca="false">Admin!B92</f>
        <v>44382</v>
      </c>
    </row>
    <row r="93" customFormat="false" ht="12.65" hidden="false" customHeight="false" outlineLevel="0" collapsed="false">
      <c r="A93" s="40"/>
      <c r="B93" s="42" t="s">
        <v>33</v>
      </c>
      <c r="C93" s="42"/>
      <c r="D93" s="53"/>
      <c r="E93" s="53"/>
      <c r="F93" s="53"/>
      <c r="G93" s="42"/>
      <c r="H93" s="54" t="s">
        <v>19</v>
      </c>
      <c r="I93" s="42"/>
      <c r="J93" s="55"/>
      <c r="K93" s="42" t="s">
        <v>20</v>
      </c>
      <c r="L93" s="42"/>
      <c r="M93" s="56"/>
      <c r="N93" s="56"/>
      <c r="O93" s="56"/>
      <c r="P93" s="52"/>
      <c r="Q93" s="57"/>
      <c r="R93" s="58"/>
      <c r="S93" s="59"/>
      <c r="T93" s="51"/>
      <c r="U93" s="4"/>
      <c r="W93" s="10" t="n">
        <f aca="false">Admin!B93</f>
        <v>44383</v>
      </c>
    </row>
    <row r="94" customFormat="false" ht="12" hidden="false" customHeight="false" outlineLevel="0" collapsed="false">
      <c r="A94" s="40"/>
      <c r="B94" s="42" t="s">
        <v>21</v>
      </c>
      <c r="C94" s="42"/>
      <c r="D94" s="53"/>
      <c r="E94" s="53"/>
      <c r="F94" s="53"/>
      <c r="G94" s="42"/>
      <c r="H94" s="60"/>
      <c r="I94" s="42"/>
      <c r="J94" s="44"/>
      <c r="K94" s="42"/>
      <c r="L94" s="42"/>
      <c r="M94" s="42"/>
      <c r="N94" s="42"/>
      <c r="O94" s="61"/>
      <c r="P94" s="93"/>
      <c r="Q94" s="61"/>
      <c r="R94" s="54"/>
      <c r="S94" s="61"/>
      <c r="T94" s="51"/>
      <c r="U94" s="4"/>
      <c r="W94" s="10" t="n">
        <f aca="false">Admin!B94</f>
        <v>44384</v>
      </c>
    </row>
    <row r="95" customFormat="false" ht="12" hidden="false" customHeight="false" outlineLevel="0" collapsed="false">
      <c r="A95" s="40"/>
      <c r="B95" s="42" t="s">
        <v>6</v>
      </c>
      <c r="C95" s="42"/>
      <c r="D95" s="53"/>
      <c r="E95" s="53"/>
      <c r="F95" s="53"/>
      <c r="G95" s="42"/>
      <c r="H95" s="54" t="s">
        <v>22</v>
      </c>
      <c r="I95" s="42"/>
      <c r="J95" s="44"/>
      <c r="K95" s="42"/>
      <c r="L95" s="42"/>
      <c r="M95" s="42"/>
      <c r="N95" s="42"/>
      <c r="O95" s="42"/>
      <c r="P95" s="42"/>
      <c r="Q95" s="42"/>
      <c r="R95" s="42"/>
      <c r="S95" s="42"/>
      <c r="T95" s="51"/>
      <c r="U95" s="4"/>
      <c r="W95" s="10" t="n">
        <f aca="false">Admin!B95</f>
        <v>44385</v>
      </c>
    </row>
    <row r="96" customFormat="false" ht="12" hidden="false" customHeight="false" outlineLevel="0" collapsed="false">
      <c r="A96" s="40"/>
      <c r="B96" s="42"/>
      <c r="C96" s="42"/>
      <c r="D96" s="62"/>
      <c r="E96" s="62"/>
      <c r="F96" s="62"/>
      <c r="G96" s="42"/>
      <c r="H96" s="63"/>
      <c r="I96" s="42"/>
      <c r="J96" s="44"/>
      <c r="K96" s="42"/>
      <c r="L96" s="42"/>
      <c r="M96" s="42"/>
      <c r="N96" s="42"/>
      <c r="O96" s="42"/>
      <c r="P96" s="42"/>
      <c r="Q96" s="42"/>
      <c r="R96" s="42"/>
      <c r="S96" s="42"/>
      <c r="T96" s="51"/>
      <c r="U96" s="4"/>
      <c r="W96" s="10" t="n">
        <f aca="false">Admin!B96</f>
        <v>44386</v>
      </c>
    </row>
    <row r="97" customFormat="false" ht="12" hidden="false" customHeight="false" outlineLevel="0" collapsed="false">
      <c r="A97" s="40"/>
      <c r="B97" s="42"/>
      <c r="C97" s="42"/>
      <c r="D97" s="62"/>
      <c r="E97" s="62"/>
      <c r="F97" s="62"/>
      <c r="G97" s="42"/>
      <c r="H97" s="54" t="s">
        <v>23</v>
      </c>
      <c r="I97" s="42"/>
      <c r="J97" s="44"/>
      <c r="K97" s="42"/>
      <c r="L97" s="42"/>
      <c r="M97" s="42"/>
      <c r="N97" s="42"/>
      <c r="O97" s="42"/>
      <c r="P97" s="42"/>
      <c r="Q97" s="42"/>
      <c r="R97" s="42"/>
      <c r="S97" s="42"/>
      <c r="T97" s="51"/>
      <c r="U97" s="4"/>
      <c r="W97" s="10" t="n">
        <f aca="false">Admin!B97</f>
        <v>44387</v>
      </c>
    </row>
    <row r="98" customFormat="false" ht="12" hidden="false" customHeight="false" outlineLevel="0" collapsed="false">
      <c r="A98" s="40"/>
      <c r="B98" s="42"/>
      <c r="C98" s="42"/>
      <c r="D98" s="62"/>
      <c r="E98" s="62"/>
      <c r="F98" s="62"/>
      <c r="G98" s="42"/>
      <c r="H98" s="60"/>
      <c r="I98" s="42"/>
      <c r="J98" s="44"/>
      <c r="K98" s="42"/>
      <c r="L98" s="42"/>
      <c r="M98" s="42"/>
      <c r="N98" s="42"/>
      <c r="O98" s="42"/>
      <c r="P98" s="42"/>
      <c r="Q98" s="42"/>
      <c r="R98" s="42"/>
      <c r="S98" s="42"/>
      <c r="T98" s="51"/>
      <c r="U98" s="4"/>
      <c r="W98" s="10" t="n">
        <f aca="false">Admin!B98</f>
        <v>44388</v>
      </c>
    </row>
    <row r="99" customFormat="false" ht="12" hidden="false" customHeight="true" outlineLevel="0" collapsed="false">
      <c r="A99" s="40"/>
      <c r="B99" s="42"/>
      <c r="C99" s="42"/>
      <c r="D99" s="62"/>
      <c r="E99" s="62"/>
      <c r="F99" s="62"/>
      <c r="G99" s="42"/>
      <c r="H99" s="54" t="s">
        <v>24</v>
      </c>
      <c r="I99" s="42"/>
      <c r="J99" s="44"/>
      <c r="K99" s="42"/>
      <c r="L99" s="42"/>
      <c r="M99" s="42"/>
      <c r="N99" s="42"/>
      <c r="O99" s="42"/>
      <c r="P99" s="42"/>
      <c r="Q99" s="42"/>
      <c r="R99" s="42"/>
      <c r="S99" s="42"/>
      <c r="T99" s="67"/>
      <c r="U99" s="4"/>
      <c r="W99" s="10" t="n">
        <f aca="false">Admin!B99</f>
        <v>44389</v>
      </c>
    </row>
    <row r="100" customFormat="false" ht="15" hidden="false" customHeight="true" outlineLevel="0" collapsed="false">
      <c r="A100" s="40"/>
      <c r="B100" s="42"/>
      <c r="C100" s="42"/>
      <c r="D100" s="42"/>
      <c r="E100" s="62"/>
      <c r="F100" s="62"/>
      <c r="G100" s="42"/>
      <c r="H100" s="68"/>
      <c r="I100" s="42"/>
      <c r="J100" s="44"/>
      <c r="K100" s="42"/>
      <c r="L100" s="42"/>
      <c r="M100" s="42"/>
      <c r="N100" s="42"/>
      <c r="O100" s="42"/>
      <c r="P100" s="42"/>
      <c r="Q100" s="42"/>
      <c r="R100" s="42"/>
      <c r="S100" s="42"/>
      <c r="T100" s="51"/>
      <c r="U100" s="4"/>
      <c r="W100" s="10" t="n">
        <f aca="false">Admin!B100</f>
        <v>44390</v>
      </c>
    </row>
    <row r="101" customFormat="false" ht="12" hidden="false" customHeight="false" outlineLevel="0" collapsed="false">
      <c r="A101" s="40"/>
      <c r="B101" s="42"/>
      <c r="C101" s="42"/>
      <c r="D101" s="70"/>
      <c r="E101" s="42"/>
      <c r="F101" s="61" t="s">
        <v>25</v>
      </c>
      <c r="G101" s="49"/>
      <c r="H101" s="42"/>
      <c r="I101" s="42"/>
      <c r="J101" s="44"/>
      <c r="K101" s="42"/>
      <c r="L101" s="42"/>
      <c r="M101" s="42"/>
      <c r="N101" s="42"/>
      <c r="O101" s="42"/>
      <c r="P101" s="42"/>
      <c r="Q101" s="42"/>
      <c r="R101" s="42"/>
      <c r="S101" s="42"/>
      <c r="T101" s="51"/>
      <c r="U101" s="4"/>
      <c r="W101" s="10" t="n">
        <f aca="false">Admin!B101</f>
        <v>44391</v>
      </c>
    </row>
    <row r="102" customFormat="false" ht="12" hidden="false" customHeight="false" outlineLevel="0" collapsed="false">
      <c r="A102" s="40"/>
      <c r="B102" s="42" t="str">
        <f aca="false">B24</f>
        <v>Starting date (existing = 06/04/21)</v>
      </c>
      <c r="C102" s="42"/>
      <c r="D102" s="71"/>
      <c r="E102" s="42"/>
      <c r="F102" s="72" t="str">
        <f aca="false">IF(D102=0," ",IF(D106="W",LOOKUP(D102,Admin!B:B,Admin!C:C),IF(D106="M",LOOKUP(D102,Admin!B:B,Admin!D:D),LOOKUP(D102,Admin!B:B,Admin!C:C))))</f>
        <v> </v>
      </c>
      <c r="G102" s="73"/>
      <c r="H102" s="42"/>
      <c r="I102" s="42"/>
      <c r="J102" s="44"/>
      <c r="K102" s="42"/>
      <c r="L102" s="42"/>
      <c r="M102" s="42"/>
      <c r="N102" s="42"/>
      <c r="O102" s="42"/>
      <c r="P102" s="42"/>
      <c r="Q102" s="42"/>
      <c r="R102" s="42"/>
      <c r="S102" s="42"/>
      <c r="T102" s="51"/>
      <c r="U102" s="4"/>
      <c r="W102" s="10" t="n">
        <f aca="false">Admin!B102</f>
        <v>44392</v>
      </c>
    </row>
    <row r="103" customFormat="false" ht="6" hidden="false" customHeight="true" outlineLevel="0" collapsed="false">
      <c r="A103" s="40"/>
      <c r="B103" s="42"/>
      <c r="C103" s="42"/>
      <c r="D103" s="70"/>
      <c r="E103" s="42"/>
      <c r="F103" s="72"/>
      <c r="G103" s="73"/>
      <c r="H103" s="42"/>
      <c r="I103" s="75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51"/>
      <c r="U103" s="4"/>
      <c r="W103" s="10" t="n">
        <f aca="false">Admin!B103</f>
        <v>44393</v>
      </c>
    </row>
    <row r="104" customFormat="false" ht="13.5" hidden="false" customHeight="true" outlineLevel="0" collapsed="false">
      <c r="A104" s="40"/>
      <c r="B104" s="42" t="s">
        <v>35</v>
      </c>
      <c r="C104" s="42"/>
      <c r="D104" s="71"/>
      <c r="E104" s="42"/>
      <c r="F104" s="72" t="str">
        <f aca="false">IF(D102=0," ",IF(D104=0," ",IF(D106="W",LOOKUP(D104,Admin!B:B,Admin!C:C),IF(D106="M",LOOKUP(D104,Admin!B:B,Admin!D:D),LOOKUP(D104,Admin!B:B,Admin!C:C)))))</f>
        <v> </v>
      </c>
      <c r="G104" s="73"/>
      <c r="H104" s="42"/>
      <c r="I104" s="42"/>
      <c r="J104" s="44"/>
      <c r="K104" s="42"/>
      <c r="L104" s="42"/>
      <c r="M104" s="42"/>
      <c r="N104" s="42"/>
      <c r="O104" s="42"/>
      <c r="P104" s="42"/>
      <c r="Q104" s="42"/>
      <c r="R104" s="42"/>
      <c r="S104" s="42"/>
      <c r="T104" s="51"/>
      <c r="U104" s="4"/>
      <c r="W104" s="10" t="n">
        <f aca="false">Admin!B104</f>
        <v>44394</v>
      </c>
    </row>
    <row r="105" customFormat="false" ht="12" hidden="false" customHeight="false" outlineLevel="0" collapsed="false">
      <c r="A105" s="40"/>
      <c r="B105" s="42"/>
      <c r="C105" s="42"/>
      <c r="D105" s="70"/>
      <c r="E105" s="42"/>
      <c r="F105" s="76"/>
      <c r="G105" s="76"/>
      <c r="H105" s="42"/>
      <c r="I105" s="42"/>
      <c r="J105" s="44"/>
      <c r="K105" s="42"/>
      <c r="L105" s="42"/>
      <c r="M105" s="42"/>
      <c r="N105" s="42"/>
      <c r="O105" s="42"/>
      <c r="P105" s="42"/>
      <c r="Q105" s="42"/>
      <c r="R105" s="42"/>
      <c r="S105" s="42"/>
      <c r="T105" s="51"/>
      <c r="U105" s="4"/>
      <c r="W105" s="10" t="n">
        <f aca="false">Admin!B105</f>
        <v>44395</v>
      </c>
    </row>
    <row r="106" customFormat="false" ht="12" hidden="false" customHeight="false" outlineLevel="0" collapsed="false">
      <c r="A106" s="40"/>
      <c r="B106" s="42" t="s">
        <v>27</v>
      </c>
      <c r="C106" s="42"/>
      <c r="D106" s="77"/>
      <c r="E106" s="54" t="s">
        <v>28</v>
      </c>
      <c r="F106" s="78" t="str">
        <f aca="false">IF(D108="D","Enter M for Director","Enter M or W for Employee")</f>
        <v>Enter M or W for Employee</v>
      </c>
      <c r="G106" s="42"/>
      <c r="H106" s="79"/>
      <c r="I106" s="79"/>
      <c r="J106" s="44"/>
      <c r="K106" s="42"/>
      <c r="L106" s="42"/>
      <c r="M106" s="42"/>
      <c r="N106" s="42"/>
      <c r="O106" s="42"/>
      <c r="P106" s="42"/>
      <c r="Q106" s="42"/>
      <c r="R106" s="42"/>
      <c r="S106" s="42"/>
      <c r="T106" s="51"/>
      <c r="U106" s="4"/>
      <c r="W106" s="10" t="n">
        <f aca="false">Admin!B106</f>
        <v>44396</v>
      </c>
    </row>
    <row r="107" customFormat="false" ht="12" hidden="false" customHeight="false" outlineLevel="0" collapsed="false">
      <c r="A107" s="40"/>
      <c r="B107" s="42" t="s">
        <v>29</v>
      </c>
      <c r="C107" s="42"/>
      <c r="D107" s="80" t="n">
        <v>4</v>
      </c>
      <c r="E107" s="81"/>
      <c r="F107" s="66"/>
      <c r="G107" s="54"/>
      <c r="H107" s="42"/>
      <c r="I107" s="42"/>
      <c r="J107" s="44"/>
      <c r="K107" s="42"/>
      <c r="L107" s="42"/>
      <c r="M107" s="42"/>
      <c r="N107" s="42"/>
      <c r="O107" s="42"/>
      <c r="P107" s="42"/>
      <c r="Q107" s="42"/>
      <c r="R107" s="42"/>
      <c r="S107" s="42"/>
      <c r="T107" s="51"/>
      <c r="U107" s="4"/>
      <c r="W107" s="10" t="n">
        <f aca="false">Admin!B107</f>
        <v>44397</v>
      </c>
    </row>
    <row r="108" customFormat="false" ht="12" hidden="false" customHeight="false" outlineLevel="0" collapsed="false">
      <c r="A108" s="40"/>
      <c r="B108" s="42" t="s">
        <v>30</v>
      </c>
      <c r="C108" s="42"/>
      <c r="D108" s="82"/>
      <c r="E108" s="42"/>
      <c r="F108" s="83" t="s">
        <v>31</v>
      </c>
      <c r="G108" s="54"/>
      <c r="H108" s="42"/>
      <c r="I108" s="42"/>
      <c r="J108" s="44"/>
      <c r="K108" s="42"/>
      <c r="L108" s="42"/>
      <c r="M108" s="42"/>
      <c r="N108" s="42"/>
      <c r="O108" s="42"/>
      <c r="P108" s="42"/>
      <c r="Q108" s="42"/>
      <c r="R108" s="42"/>
      <c r="S108" s="42"/>
      <c r="T108" s="51"/>
      <c r="U108" s="4"/>
      <c r="W108" s="10" t="n">
        <f aca="false">Admin!B108</f>
        <v>44398</v>
      </c>
    </row>
    <row r="109" customFormat="false" ht="12" hidden="false" customHeight="true" outlineLevel="0" collapsed="false">
      <c r="A109" s="40"/>
      <c r="B109" s="42"/>
      <c r="C109" s="42"/>
      <c r="D109" s="42"/>
      <c r="E109" s="42"/>
      <c r="F109" s="84"/>
      <c r="G109" s="84"/>
      <c r="H109" s="84"/>
      <c r="I109" s="42"/>
      <c r="J109" s="44"/>
      <c r="K109" s="42"/>
      <c r="L109" s="42"/>
      <c r="M109" s="42"/>
      <c r="N109" s="42"/>
      <c r="O109" s="42"/>
      <c r="P109" s="42"/>
      <c r="Q109" s="42"/>
      <c r="R109" s="42"/>
      <c r="S109" s="42"/>
      <c r="T109" s="51"/>
      <c r="U109" s="4"/>
      <c r="W109" s="10" t="n">
        <f aca="false">Admin!B109</f>
        <v>44399</v>
      </c>
    </row>
    <row r="110" customFormat="false" ht="6" hidden="false" customHeight="true" outlineLevel="0" collapsed="false">
      <c r="A110" s="40"/>
      <c r="B110" s="42"/>
      <c r="C110" s="42"/>
      <c r="D110" s="42"/>
      <c r="E110" s="42"/>
      <c r="F110" s="85"/>
      <c r="G110" s="85"/>
      <c r="H110" s="85"/>
      <c r="I110" s="42"/>
      <c r="J110" s="44"/>
      <c r="K110" s="42"/>
      <c r="L110" s="42"/>
      <c r="M110" s="42"/>
      <c r="N110" s="42"/>
      <c r="O110" s="42"/>
      <c r="P110" s="42"/>
      <c r="Q110" s="42"/>
      <c r="R110" s="42"/>
      <c r="S110" s="42"/>
      <c r="T110" s="51"/>
      <c r="U110" s="4"/>
      <c r="W110" s="10" t="n">
        <f aca="false">Admin!B110</f>
        <v>44400</v>
      </c>
    </row>
    <row r="111" customFormat="false" ht="12" hidden="false" customHeight="true" outlineLevel="0" collapsed="false">
      <c r="A111" s="40"/>
      <c r="B111" s="42"/>
      <c r="C111" s="42"/>
      <c r="D111" s="42"/>
      <c r="E111" s="42"/>
      <c r="F111" s="42"/>
      <c r="G111" s="42"/>
      <c r="H111" s="42"/>
      <c r="I111" s="42"/>
      <c r="J111" s="44"/>
      <c r="K111" s="42"/>
      <c r="L111" s="42"/>
      <c r="M111" s="42"/>
      <c r="N111" s="42"/>
      <c r="O111" s="42"/>
      <c r="P111" s="42"/>
      <c r="Q111" s="42"/>
      <c r="R111" s="42"/>
      <c r="S111" s="42"/>
      <c r="T111" s="51"/>
      <c r="U111" s="4"/>
      <c r="W111" s="10" t="n">
        <f aca="false">Admin!B111</f>
        <v>44401</v>
      </c>
    </row>
    <row r="112" customFormat="false" ht="12" hidden="false" customHeight="false" outlineLevel="0" collapsed="false">
      <c r="A112" s="40"/>
      <c r="B112" s="42"/>
      <c r="C112" s="42"/>
      <c r="D112" s="42"/>
      <c r="E112" s="42"/>
      <c r="F112" s="42"/>
      <c r="G112" s="42"/>
      <c r="H112" s="42"/>
      <c r="I112" s="42"/>
      <c r="J112" s="44"/>
      <c r="K112" s="42"/>
      <c r="L112" s="42"/>
      <c r="M112" s="42"/>
      <c r="N112" s="42"/>
      <c r="O112" s="42"/>
      <c r="P112" s="42"/>
      <c r="Q112" s="42"/>
      <c r="R112" s="42"/>
      <c r="S112" s="42"/>
      <c r="T112" s="51"/>
      <c r="U112" s="4"/>
      <c r="W112" s="10" t="n">
        <f aca="false">Admin!B112</f>
        <v>44402</v>
      </c>
    </row>
    <row r="113" customFormat="false" ht="13.5" hidden="false" customHeight="true" outlineLevel="0" collapsed="false">
      <c r="A113" s="40"/>
      <c r="B113" s="42"/>
      <c r="C113" s="42"/>
      <c r="D113" s="42"/>
      <c r="E113" s="42"/>
      <c r="F113" s="42"/>
      <c r="G113" s="42"/>
      <c r="H113" s="42"/>
      <c r="I113" s="42"/>
      <c r="J113" s="44"/>
      <c r="K113" s="42"/>
      <c r="L113" s="42"/>
      <c r="M113" s="42"/>
      <c r="N113" s="42"/>
      <c r="O113" s="42"/>
      <c r="P113" s="42"/>
      <c r="Q113" s="42"/>
      <c r="R113" s="42"/>
      <c r="S113" s="42"/>
      <c r="T113" s="51"/>
      <c r="U113" s="4"/>
      <c r="W113" s="10" t="n">
        <f aca="false">Admin!B113</f>
        <v>44403</v>
      </c>
    </row>
    <row r="114" customFormat="false" ht="9" hidden="false" customHeight="true" outlineLevel="0" collapsed="false">
      <c r="A114" s="87"/>
      <c r="B114" s="88"/>
      <c r="C114" s="88"/>
      <c r="D114" s="88"/>
      <c r="E114" s="88"/>
      <c r="F114" s="88"/>
      <c r="G114" s="88"/>
      <c r="H114" s="88"/>
      <c r="I114" s="88"/>
      <c r="J114" s="89"/>
      <c r="K114" s="88"/>
      <c r="L114" s="88"/>
      <c r="M114" s="88"/>
      <c r="N114" s="88"/>
      <c r="O114" s="88"/>
      <c r="P114" s="90"/>
      <c r="Q114" s="88"/>
      <c r="R114" s="88"/>
      <c r="S114" s="88"/>
      <c r="T114" s="91"/>
      <c r="U114" s="4"/>
      <c r="W114" s="10" t="n">
        <f aca="false">Admin!B114</f>
        <v>44404</v>
      </c>
    </row>
    <row r="115" customFormat="false" ht="22.5" hidden="false" customHeight="true" outlineLevel="0" collapsed="false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4"/>
      <c r="W115" s="10" t="n">
        <f aca="false">Admin!B115</f>
        <v>44405</v>
      </c>
    </row>
    <row r="116" customFormat="false" ht="9" hidden="false" customHeight="true" outlineLevel="0" collapsed="false">
      <c r="A116" s="35"/>
      <c r="B116" s="36"/>
      <c r="C116" s="36"/>
      <c r="D116" s="36"/>
      <c r="E116" s="36"/>
      <c r="F116" s="36"/>
      <c r="G116" s="36"/>
      <c r="H116" s="36"/>
      <c r="I116" s="36"/>
      <c r="J116" s="37"/>
      <c r="K116" s="36"/>
      <c r="L116" s="36"/>
      <c r="M116" s="36"/>
      <c r="N116" s="36"/>
      <c r="O116" s="36"/>
      <c r="P116" s="38"/>
      <c r="Q116" s="36"/>
      <c r="R116" s="36"/>
      <c r="S116" s="36"/>
      <c r="T116" s="39"/>
      <c r="U116" s="4"/>
      <c r="W116" s="10" t="n">
        <f aca="false">Admin!B116</f>
        <v>44406</v>
      </c>
    </row>
    <row r="117" customFormat="false" ht="15" hidden="false" customHeight="true" outlineLevel="0" collapsed="false">
      <c r="A117" s="40"/>
      <c r="B117" s="12" t="s">
        <v>37</v>
      </c>
      <c r="C117" s="41"/>
      <c r="D117" s="42"/>
      <c r="E117" s="42"/>
      <c r="F117" s="42"/>
      <c r="G117" s="42"/>
      <c r="H117" s="43" t="s">
        <v>15</v>
      </c>
      <c r="I117" s="42"/>
      <c r="J117" s="44"/>
      <c r="K117" s="12" t="s">
        <v>16</v>
      </c>
      <c r="L117" s="41"/>
      <c r="M117" s="45"/>
      <c r="N117" s="46"/>
      <c r="O117" s="47"/>
      <c r="P117" s="47"/>
      <c r="Q117" s="48"/>
      <c r="R117" s="49"/>
      <c r="S117" s="50"/>
      <c r="T117" s="51"/>
      <c r="U117" s="4"/>
      <c r="W117" s="10" t="n">
        <f aca="false">Admin!B117</f>
        <v>44407</v>
      </c>
    </row>
    <row r="118" customFormat="false" ht="6" hidden="false" customHeight="true" outlineLevel="0" collapsed="false">
      <c r="A118" s="40"/>
      <c r="B118" s="41"/>
      <c r="C118" s="41"/>
      <c r="D118" s="42"/>
      <c r="E118" s="42"/>
      <c r="F118" s="42"/>
      <c r="G118" s="42"/>
      <c r="H118" s="43"/>
      <c r="I118" s="42"/>
      <c r="J118" s="44"/>
      <c r="K118" s="41"/>
      <c r="L118" s="41"/>
      <c r="M118" s="45"/>
      <c r="N118" s="46"/>
      <c r="O118" s="42"/>
      <c r="P118" s="52"/>
      <c r="Q118" s="48"/>
      <c r="R118" s="42"/>
      <c r="S118" s="50"/>
      <c r="T118" s="51"/>
      <c r="U118" s="4"/>
      <c r="W118" s="10" t="n">
        <f aca="false">Admin!B118</f>
        <v>44408</v>
      </c>
    </row>
    <row r="119" customFormat="false" ht="12.65" hidden="false" customHeight="false" outlineLevel="0" collapsed="false">
      <c r="A119" s="40"/>
      <c r="B119" s="42" t="s">
        <v>33</v>
      </c>
      <c r="C119" s="42"/>
      <c r="D119" s="53"/>
      <c r="E119" s="53"/>
      <c r="F119" s="53"/>
      <c r="G119" s="42"/>
      <c r="H119" s="54" t="s">
        <v>19</v>
      </c>
      <c r="I119" s="42"/>
      <c r="J119" s="55"/>
      <c r="K119" s="42" t="s">
        <v>20</v>
      </c>
      <c r="L119" s="42"/>
      <c r="M119" s="56"/>
      <c r="N119" s="56"/>
      <c r="O119" s="56"/>
      <c r="P119" s="52"/>
      <c r="Q119" s="61"/>
      <c r="R119" s="58"/>
      <c r="S119" s="59"/>
      <c r="T119" s="51"/>
      <c r="U119" s="4"/>
      <c r="W119" s="10" t="n">
        <f aca="false">Admin!B119</f>
        <v>44409</v>
      </c>
    </row>
    <row r="120" customFormat="false" ht="12" hidden="false" customHeight="false" outlineLevel="0" collapsed="false">
      <c r="A120" s="40"/>
      <c r="B120" s="42" t="s">
        <v>21</v>
      </c>
      <c r="C120" s="42"/>
      <c r="D120" s="53"/>
      <c r="E120" s="53"/>
      <c r="F120" s="53"/>
      <c r="G120" s="42"/>
      <c r="H120" s="60"/>
      <c r="I120" s="42"/>
      <c r="J120" s="44"/>
      <c r="K120" s="42"/>
      <c r="L120" s="42"/>
      <c r="M120" s="42"/>
      <c r="N120" s="42"/>
      <c r="O120" s="61"/>
      <c r="P120" s="93"/>
      <c r="Q120" s="61"/>
      <c r="R120" s="54"/>
      <c r="S120" s="61"/>
      <c r="T120" s="51"/>
      <c r="U120" s="4"/>
      <c r="W120" s="10" t="n">
        <f aca="false">Admin!B120</f>
        <v>44410</v>
      </c>
    </row>
    <row r="121" customFormat="false" ht="12" hidden="false" customHeight="false" outlineLevel="0" collapsed="false">
      <c r="A121" s="40"/>
      <c r="B121" s="42"/>
      <c r="C121" s="42"/>
      <c r="D121" s="42"/>
      <c r="E121" s="42"/>
      <c r="F121" s="42"/>
      <c r="G121" s="42"/>
      <c r="H121" s="54" t="s">
        <v>22</v>
      </c>
      <c r="I121" s="42"/>
      <c r="J121" s="44"/>
      <c r="K121" s="42"/>
      <c r="L121" s="42"/>
      <c r="M121" s="42"/>
      <c r="N121" s="42"/>
      <c r="O121" s="42"/>
      <c r="P121" s="42"/>
      <c r="Q121" s="42"/>
      <c r="R121" s="42"/>
      <c r="S121" s="42"/>
      <c r="T121" s="51"/>
      <c r="U121" s="4"/>
      <c r="W121" s="10" t="n">
        <f aca="false">Admin!B121</f>
        <v>44411</v>
      </c>
    </row>
    <row r="122" customFormat="false" ht="12" hidden="false" customHeight="false" outlineLevel="0" collapsed="false">
      <c r="A122" s="40"/>
      <c r="B122" s="42"/>
      <c r="C122" s="42"/>
      <c r="D122" s="42"/>
      <c r="E122" s="42"/>
      <c r="F122" s="42"/>
      <c r="G122" s="42"/>
      <c r="H122" s="63"/>
      <c r="I122" s="42"/>
      <c r="J122" s="44"/>
      <c r="K122" s="42"/>
      <c r="L122" s="42"/>
      <c r="M122" s="42"/>
      <c r="N122" s="42"/>
      <c r="O122" s="42"/>
      <c r="P122" s="42"/>
      <c r="Q122" s="42"/>
      <c r="R122" s="42"/>
      <c r="S122" s="42"/>
      <c r="T122" s="51"/>
      <c r="U122" s="4"/>
      <c r="W122" s="10" t="n">
        <f aca="false">Admin!B122</f>
        <v>44412</v>
      </c>
    </row>
    <row r="123" customFormat="false" ht="12" hidden="false" customHeight="false" outlineLevel="0" collapsed="false">
      <c r="A123" s="40"/>
      <c r="B123" s="42"/>
      <c r="C123" s="42"/>
      <c r="D123" s="42"/>
      <c r="E123" s="42"/>
      <c r="F123" s="42"/>
      <c r="G123" s="42"/>
      <c r="H123" s="54" t="s">
        <v>23</v>
      </c>
      <c r="I123" s="42"/>
      <c r="J123" s="44"/>
      <c r="K123" s="42"/>
      <c r="L123" s="42"/>
      <c r="M123" s="42"/>
      <c r="N123" s="42"/>
      <c r="O123" s="42"/>
      <c r="P123" s="42"/>
      <c r="Q123" s="42"/>
      <c r="R123" s="42"/>
      <c r="S123" s="42"/>
      <c r="T123" s="51"/>
      <c r="U123" s="4"/>
      <c r="W123" s="10" t="n">
        <f aca="false">Admin!B123</f>
        <v>44413</v>
      </c>
    </row>
    <row r="124" customFormat="false" ht="12" hidden="false" customHeight="false" outlineLevel="0" collapsed="false">
      <c r="A124" s="40"/>
      <c r="B124" s="42"/>
      <c r="C124" s="42"/>
      <c r="D124" s="42"/>
      <c r="E124" s="42"/>
      <c r="F124" s="42"/>
      <c r="G124" s="42"/>
      <c r="H124" s="60"/>
      <c r="I124" s="42"/>
      <c r="J124" s="44"/>
      <c r="K124" s="42"/>
      <c r="L124" s="42"/>
      <c r="M124" s="42"/>
      <c r="N124" s="42"/>
      <c r="O124" s="42"/>
      <c r="P124" s="42"/>
      <c r="Q124" s="42"/>
      <c r="R124" s="42"/>
      <c r="S124" s="42"/>
      <c r="T124" s="51"/>
      <c r="U124" s="4"/>
      <c r="W124" s="10" t="n">
        <f aca="false">Admin!B124</f>
        <v>44414</v>
      </c>
    </row>
    <row r="125" customFormat="false" ht="12" hidden="false" customHeight="true" outlineLevel="0" collapsed="false">
      <c r="A125" s="40"/>
      <c r="B125" s="42"/>
      <c r="C125" s="42"/>
      <c r="D125" s="42"/>
      <c r="E125" s="42"/>
      <c r="F125" s="42"/>
      <c r="G125" s="42"/>
      <c r="H125" s="54" t="s">
        <v>24</v>
      </c>
      <c r="I125" s="42"/>
      <c r="J125" s="44"/>
      <c r="K125" s="42"/>
      <c r="L125" s="42"/>
      <c r="M125" s="42"/>
      <c r="N125" s="42"/>
      <c r="O125" s="42"/>
      <c r="P125" s="42"/>
      <c r="Q125" s="42"/>
      <c r="R125" s="42"/>
      <c r="S125" s="42"/>
      <c r="T125" s="67"/>
      <c r="U125" s="4"/>
      <c r="W125" s="10" t="n">
        <f aca="false">Admin!B125</f>
        <v>44415</v>
      </c>
    </row>
    <row r="126" customFormat="false" ht="14.25" hidden="false" customHeight="true" outlineLevel="0" collapsed="false">
      <c r="A126" s="40"/>
      <c r="B126" s="42"/>
      <c r="C126" s="42"/>
      <c r="D126" s="42"/>
      <c r="E126" s="42"/>
      <c r="F126" s="42"/>
      <c r="G126" s="42"/>
      <c r="H126" s="68"/>
      <c r="I126" s="42"/>
      <c r="J126" s="44"/>
      <c r="K126" s="42"/>
      <c r="L126" s="42"/>
      <c r="M126" s="42"/>
      <c r="N126" s="42"/>
      <c r="O126" s="42"/>
      <c r="P126" s="42"/>
      <c r="Q126" s="42"/>
      <c r="R126" s="42"/>
      <c r="S126" s="42"/>
      <c r="T126" s="51"/>
      <c r="U126" s="4"/>
      <c r="W126" s="10" t="n">
        <f aca="false">Admin!B126</f>
        <v>44416</v>
      </c>
    </row>
    <row r="127" customFormat="false" ht="12" hidden="false" customHeight="false" outlineLevel="0" collapsed="false">
      <c r="A127" s="40"/>
      <c r="B127" s="42"/>
      <c r="C127" s="42"/>
      <c r="D127" s="70"/>
      <c r="E127" s="42"/>
      <c r="F127" s="61" t="s">
        <v>25</v>
      </c>
      <c r="G127" s="49"/>
      <c r="H127" s="42"/>
      <c r="I127" s="42"/>
      <c r="J127" s="44"/>
      <c r="K127" s="42"/>
      <c r="L127" s="42"/>
      <c r="M127" s="42"/>
      <c r="N127" s="42"/>
      <c r="O127" s="42"/>
      <c r="P127" s="42"/>
      <c r="Q127" s="42"/>
      <c r="R127" s="42"/>
      <c r="S127" s="42"/>
      <c r="T127" s="51"/>
      <c r="U127" s="4"/>
      <c r="W127" s="10" t="n">
        <f aca="false">Admin!B127</f>
        <v>44417</v>
      </c>
    </row>
    <row r="128" customFormat="false" ht="12" hidden="false" customHeight="false" outlineLevel="0" collapsed="false">
      <c r="A128" s="40"/>
      <c r="B128" s="42" t="str">
        <f aca="false">B24</f>
        <v>Starting date (existing = 06/04/21)</v>
      </c>
      <c r="C128" s="42"/>
      <c r="D128" s="71"/>
      <c r="E128" s="42"/>
      <c r="F128" s="72" t="str">
        <f aca="false">IF(D128=0," ",IF(D132="W",LOOKUP(D128,Admin!B:B,Admin!C:C),IF(D132="M",LOOKUP(D128,Admin!B:B,Admin!D:D),LOOKUP(D128,Admin!B:B,Admin!C:C))))</f>
        <v> </v>
      </c>
      <c r="G128" s="73"/>
      <c r="H128" s="42"/>
      <c r="I128" s="42"/>
      <c r="J128" s="44"/>
      <c r="K128" s="42"/>
      <c r="L128" s="42"/>
      <c r="M128" s="42"/>
      <c r="N128" s="42"/>
      <c r="O128" s="42"/>
      <c r="P128" s="42"/>
      <c r="Q128" s="42"/>
      <c r="R128" s="42"/>
      <c r="S128" s="42"/>
      <c r="T128" s="51"/>
      <c r="U128" s="4"/>
      <c r="W128" s="10" t="n">
        <f aca="false">Admin!B128</f>
        <v>44418</v>
      </c>
    </row>
    <row r="129" customFormat="false" ht="6" hidden="false" customHeight="true" outlineLevel="0" collapsed="false">
      <c r="A129" s="40"/>
      <c r="B129" s="42"/>
      <c r="C129" s="42"/>
      <c r="D129" s="70"/>
      <c r="E129" s="42"/>
      <c r="F129" s="72"/>
      <c r="G129" s="73"/>
      <c r="H129" s="42"/>
      <c r="I129" s="75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51"/>
      <c r="U129" s="4"/>
      <c r="W129" s="10" t="n">
        <f aca="false">Admin!B129</f>
        <v>44419</v>
      </c>
    </row>
    <row r="130" customFormat="false" ht="13.5" hidden="false" customHeight="true" outlineLevel="0" collapsed="false">
      <c r="A130" s="40"/>
      <c r="B130" s="42" t="s">
        <v>35</v>
      </c>
      <c r="C130" s="42"/>
      <c r="D130" s="71"/>
      <c r="E130" s="42"/>
      <c r="F130" s="72" t="str">
        <f aca="false">IF(D128=0," ",IF(D130=0," ",IF(D132="W",LOOKUP(D130,Admin!B:B,Admin!C:C),IF(D132="M",LOOKUP(D130,Admin!B:B,Admin!D:D),LOOKUP(D130,Admin!B:B,Admin!C:C)))))</f>
        <v> </v>
      </c>
      <c r="G130" s="73"/>
      <c r="H130" s="42"/>
      <c r="I130" s="42"/>
      <c r="J130" s="44"/>
      <c r="K130" s="42"/>
      <c r="L130" s="42"/>
      <c r="M130" s="42"/>
      <c r="N130" s="42"/>
      <c r="O130" s="42"/>
      <c r="P130" s="42"/>
      <c r="Q130" s="42"/>
      <c r="R130" s="42"/>
      <c r="S130" s="42"/>
      <c r="T130" s="51"/>
      <c r="U130" s="4"/>
      <c r="W130" s="10" t="n">
        <f aca="false">Admin!B130</f>
        <v>44420</v>
      </c>
    </row>
    <row r="131" customFormat="false" ht="12" hidden="false" customHeight="false" outlineLevel="0" collapsed="false">
      <c r="A131" s="40"/>
      <c r="B131" s="42"/>
      <c r="C131" s="42"/>
      <c r="D131" s="70"/>
      <c r="E131" s="42"/>
      <c r="F131" s="76"/>
      <c r="G131" s="76"/>
      <c r="H131" s="42"/>
      <c r="I131" s="42"/>
      <c r="J131" s="44"/>
      <c r="K131" s="42"/>
      <c r="L131" s="42"/>
      <c r="M131" s="42"/>
      <c r="N131" s="42"/>
      <c r="O131" s="42"/>
      <c r="P131" s="42"/>
      <c r="Q131" s="42"/>
      <c r="R131" s="42"/>
      <c r="S131" s="42"/>
      <c r="T131" s="51"/>
      <c r="U131" s="4"/>
      <c r="W131" s="10" t="n">
        <f aca="false">Admin!B131</f>
        <v>44421</v>
      </c>
    </row>
    <row r="132" customFormat="false" ht="12" hidden="false" customHeight="false" outlineLevel="0" collapsed="false">
      <c r="A132" s="40"/>
      <c r="B132" s="42" t="s">
        <v>27</v>
      </c>
      <c r="C132" s="42"/>
      <c r="D132" s="77"/>
      <c r="E132" s="54" t="s">
        <v>28</v>
      </c>
      <c r="F132" s="78" t="str">
        <f aca="false">IF(D134="D","Enter M for Director","Enter M or W for Employee")</f>
        <v>Enter M or W for Employee</v>
      </c>
      <c r="G132" s="42"/>
      <c r="H132" s="79"/>
      <c r="I132" s="79"/>
      <c r="J132" s="44"/>
      <c r="K132" s="42"/>
      <c r="L132" s="42"/>
      <c r="M132" s="42"/>
      <c r="N132" s="42"/>
      <c r="O132" s="42"/>
      <c r="P132" s="42"/>
      <c r="Q132" s="42"/>
      <c r="R132" s="42"/>
      <c r="S132" s="42"/>
      <c r="T132" s="51"/>
      <c r="U132" s="4"/>
      <c r="W132" s="10" t="n">
        <f aca="false">Admin!B132</f>
        <v>44422</v>
      </c>
    </row>
    <row r="133" customFormat="false" ht="12" hidden="false" customHeight="false" outlineLevel="0" collapsed="false">
      <c r="A133" s="40"/>
      <c r="B133" s="42" t="s">
        <v>29</v>
      </c>
      <c r="C133" s="42"/>
      <c r="D133" s="80" t="n">
        <v>5</v>
      </c>
      <c r="E133" s="81"/>
      <c r="F133" s="66"/>
      <c r="G133" s="54"/>
      <c r="H133" s="42"/>
      <c r="I133" s="42"/>
      <c r="J133" s="44"/>
      <c r="K133" s="42"/>
      <c r="L133" s="42"/>
      <c r="M133" s="42"/>
      <c r="N133" s="42"/>
      <c r="O133" s="42"/>
      <c r="P133" s="42"/>
      <c r="Q133" s="42"/>
      <c r="R133" s="42"/>
      <c r="S133" s="42"/>
      <c r="T133" s="51"/>
      <c r="U133" s="4"/>
      <c r="W133" s="10" t="n">
        <f aca="false">Admin!B133</f>
        <v>44423</v>
      </c>
    </row>
    <row r="134" customFormat="false" ht="12" hidden="false" customHeight="false" outlineLevel="0" collapsed="false">
      <c r="A134" s="40"/>
      <c r="B134" s="42" t="s">
        <v>30</v>
      </c>
      <c r="C134" s="42"/>
      <c r="D134" s="82"/>
      <c r="E134" s="42"/>
      <c r="F134" s="83" t="s">
        <v>31</v>
      </c>
      <c r="G134" s="54"/>
      <c r="H134" s="42"/>
      <c r="I134" s="42"/>
      <c r="J134" s="44"/>
      <c r="K134" s="42"/>
      <c r="L134" s="42"/>
      <c r="M134" s="42"/>
      <c r="N134" s="42"/>
      <c r="O134" s="42"/>
      <c r="P134" s="42"/>
      <c r="Q134" s="42"/>
      <c r="R134" s="42"/>
      <c r="S134" s="42"/>
      <c r="T134" s="51"/>
      <c r="U134" s="4"/>
      <c r="W134" s="10" t="n">
        <f aca="false">Admin!B134</f>
        <v>44424</v>
      </c>
    </row>
    <row r="135" customFormat="false" ht="12" hidden="false" customHeight="true" outlineLevel="0" collapsed="false">
      <c r="A135" s="40"/>
      <c r="B135" s="42"/>
      <c r="C135" s="42"/>
      <c r="D135" s="42"/>
      <c r="E135" s="42"/>
      <c r="F135" s="84"/>
      <c r="G135" s="84"/>
      <c r="H135" s="84"/>
      <c r="I135" s="42"/>
      <c r="J135" s="44"/>
      <c r="K135" s="42"/>
      <c r="L135" s="42"/>
      <c r="M135" s="42"/>
      <c r="N135" s="42"/>
      <c r="O135" s="42"/>
      <c r="P135" s="42"/>
      <c r="Q135" s="42"/>
      <c r="R135" s="42"/>
      <c r="S135" s="42"/>
      <c r="T135" s="51"/>
      <c r="U135" s="4"/>
      <c r="W135" s="10" t="n">
        <f aca="false">Admin!B135</f>
        <v>44425</v>
      </c>
    </row>
    <row r="136" customFormat="false" ht="6" hidden="false" customHeight="true" outlineLevel="0" collapsed="false">
      <c r="A136" s="40"/>
      <c r="B136" s="42"/>
      <c r="C136" s="42"/>
      <c r="D136" s="42"/>
      <c r="E136" s="42"/>
      <c r="F136" s="85"/>
      <c r="G136" s="85"/>
      <c r="H136" s="85"/>
      <c r="I136" s="42"/>
      <c r="J136" s="44"/>
      <c r="K136" s="42"/>
      <c r="L136" s="42"/>
      <c r="M136" s="42"/>
      <c r="N136" s="42"/>
      <c r="O136" s="42"/>
      <c r="P136" s="42"/>
      <c r="Q136" s="42"/>
      <c r="R136" s="42"/>
      <c r="S136" s="42"/>
      <c r="T136" s="51"/>
      <c r="U136" s="4"/>
      <c r="W136" s="10" t="n">
        <f aca="false">Admin!B136</f>
        <v>44426</v>
      </c>
    </row>
    <row r="137" customFormat="false" ht="12" hidden="false" customHeight="true" outlineLevel="0" collapsed="false">
      <c r="A137" s="40"/>
      <c r="B137" s="42"/>
      <c r="C137" s="42"/>
      <c r="D137" s="42"/>
      <c r="E137" s="42"/>
      <c r="F137" s="42"/>
      <c r="G137" s="42"/>
      <c r="H137" s="42"/>
      <c r="I137" s="42"/>
      <c r="J137" s="44"/>
      <c r="K137" s="42"/>
      <c r="L137" s="42"/>
      <c r="M137" s="42"/>
      <c r="N137" s="42"/>
      <c r="O137" s="42"/>
      <c r="P137" s="42"/>
      <c r="Q137" s="42"/>
      <c r="R137" s="42"/>
      <c r="S137" s="42"/>
      <c r="T137" s="51"/>
      <c r="U137" s="4"/>
      <c r="W137" s="10" t="n">
        <f aca="false">Admin!B137</f>
        <v>44427</v>
      </c>
    </row>
    <row r="138" customFormat="false" ht="12" hidden="false" customHeight="false" outlineLevel="0" collapsed="false">
      <c r="A138" s="40"/>
      <c r="B138" s="42"/>
      <c r="C138" s="42"/>
      <c r="D138" s="42"/>
      <c r="E138" s="42"/>
      <c r="F138" s="42"/>
      <c r="G138" s="42"/>
      <c r="H138" s="42"/>
      <c r="I138" s="42"/>
      <c r="J138" s="44"/>
      <c r="K138" s="42"/>
      <c r="L138" s="42"/>
      <c r="M138" s="42"/>
      <c r="N138" s="42"/>
      <c r="O138" s="42"/>
      <c r="P138" s="42"/>
      <c r="Q138" s="42"/>
      <c r="R138" s="42"/>
      <c r="S138" s="42"/>
      <c r="T138" s="51"/>
      <c r="U138" s="4"/>
      <c r="W138" s="10" t="n">
        <f aca="false">Admin!B138</f>
        <v>44428</v>
      </c>
    </row>
    <row r="139" customFormat="false" ht="13.5" hidden="false" customHeight="true" outlineLevel="0" collapsed="false">
      <c r="A139" s="40"/>
      <c r="B139" s="42"/>
      <c r="C139" s="42"/>
      <c r="D139" s="42"/>
      <c r="E139" s="42"/>
      <c r="F139" s="42"/>
      <c r="G139" s="42"/>
      <c r="H139" s="42"/>
      <c r="I139" s="42"/>
      <c r="J139" s="44"/>
      <c r="K139" s="42"/>
      <c r="L139" s="42"/>
      <c r="M139" s="42"/>
      <c r="N139" s="42"/>
      <c r="O139" s="42"/>
      <c r="P139" s="42"/>
      <c r="Q139" s="42"/>
      <c r="R139" s="42"/>
      <c r="S139" s="42"/>
      <c r="T139" s="51"/>
      <c r="U139" s="4"/>
      <c r="W139" s="10" t="n">
        <f aca="false">Admin!B139</f>
        <v>44429</v>
      </c>
    </row>
    <row r="140" customFormat="false" ht="9" hidden="false" customHeight="true" outlineLevel="0" collapsed="false">
      <c r="A140" s="87"/>
      <c r="B140" s="88"/>
      <c r="C140" s="88"/>
      <c r="D140" s="88"/>
      <c r="E140" s="88"/>
      <c r="F140" s="88"/>
      <c r="G140" s="88"/>
      <c r="H140" s="88"/>
      <c r="I140" s="88"/>
      <c r="J140" s="89"/>
      <c r="K140" s="42"/>
      <c r="L140" s="42"/>
      <c r="M140" s="42"/>
      <c r="N140" s="42"/>
      <c r="O140" s="42"/>
      <c r="P140" s="42"/>
      <c r="Q140" s="42"/>
      <c r="R140" s="42"/>
      <c r="S140" s="42"/>
      <c r="T140" s="91"/>
      <c r="U140" s="4"/>
      <c r="W140" s="10" t="n">
        <f aca="false">Admin!B140</f>
        <v>44430</v>
      </c>
    </row>
    <row r="141" customFormat="false" ht="22.5" hidden="false" customHeight="true" outlineLevel="0" collapsed="false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4"/>
      <c r="W141" s="10" t="n">
        <f aca="false">Admin!B141</f>
        <v>44431</v>
      </c>
    </row>
    <row r="142" customFormat="false" ht="12" hidden="false" customHeight="false" outlineLevel="0" collapsed="false">
      <c r="W142" s="10" t="n">
        <f aca="false">Admin!B142</f>
        <v>44432</v>
      </c>
    </row>
    <row r="143" customFormat="false" ht="12" hidden="false" customHeight="false" outlineLevel="0" collapsed="false">
      <c r="W143" s="10" t="n">
        <f aca="false">Admin!B143</f>
        <v>44433</v>
      </c>
    </row>
    <row r="144" customFormat="false" ht="12" hidden="false" customHeight="false" outlineLevel="0" collapsed="false">
      <c r="W144" s="10" t="n">
        <f aca="false">Admin!B144</f>
        <v>44434</v>
      </c>
    </row>
    <row r="145" customFormat="false" ht="12" hidden="false" customHeight="false" outlineLevel="0" collapsed="false">
      <c r="W145" s="10" t="n">
        <f aca="false">Admin!B145</f>
        <v>44435</v>
      </c>
    </row>
    <row r="146" customFormat="false" ht="12" hidden="false" customHeight="false" outlineLevel="0" collapsed="false">
      <c r="W146" s="10" t="n">
        <f aca="false">Admin!B146</f>
        <v>44436</v>
      </c>
    </row>
    <row r="147" customFormat="false" ht="12" hidden="false" customHeight="false" outlineLevel="0" collapsed="false">
      <c r="W147" s="10" t="n">
        <f aca="false">Admin!B147</f>
        <v>44437</v>
      </c>
    </row>
    <row r="148" customFormat="false" ht="12" hidden="false" customHeight="false" outlineLevel="0" collapsed="false">
      <c r="W148" s="10" t="n">
        <f aca="false">Admin!B148</f>
        <v>44438</v>
      </c>
    </row>
    <row r="149" customFormat="false" ht="12" hidden="false" customHeight="false" outlineLevel="0" collapsed="false">
      <c r="W149" s="10" t="n">
        <f aca="false">Admin!B149</f>
        <v>44439</v>
      </c>
    </row>
    <row r="150" customFormat="false" ht="12" hidden="false" customHeight="false" outlineLevel="0" collapsed="false">
      <c r="W150" s="10" t="n">
        <f aca="false">Admin!B150</f>
        <v>44440</v>
      </c>
    </row>
    <row r="151" customFormat="false" ht="12" hidden="false" customHeight="false" outlineLevel="0" collapsed="false">
      <c r="W151" s="10" t="n">
        <f aca="false">Admin!B151</f>
        <v>44441</v>
      </c>
    </row>
    <row r="152" customFormat="false" ht="12" hidden="false" customHeight="false" outlineLevel="0" collapsed="false">
      <c r="W152" s="10" t="n">
        <f aca="false">Admin!B152</f>
        <v>44442</v>
      </c>
    </row>
    <row r="153" customFormat="false" ht="12" hidden="false" customHeight="false" outlineLevel="0" collapsed="false">
      <c r="W153" s="10" t="n">
        <f aca="false">Admin!B153</f>
        <v>44443</v>
      </c>
    </row>
    <row r="154" customFormat="false" ht="12" hidden="false" customHeight="false" outlineLevel="0" collapsed="false">
      <c r="W154" s="10" t="n">
        <f aca="false">Admin!B154</f>
        <v>44444</v>
      </c>
    </row>
    <row r="155" customFormat="false" ht="12" hidden="false" customHeight="false" outlineLevel="0" collapsed="false">
      <c r="W155" s="10" t="n">
        <f aca="false">Admin!B155</f>
        <v>44445</v>
      </c>
    </row>
    <row r="156" customFormat="false" ht="12" hidden="false" customHeight="false" outlineLevel="0" collapsed="false">
      <c r="W156" s="10" t="n">
        <f aca="false">Admin!B156</f>
        <v>44446</v>
      </c>
    </row>
    <row r="157" customFormat="false" ht="12" hidden="false" customHeight="false" outlineLevel="0" collapsed="false">
      <c r="W157" s="10" t="n">
        <f aca="false">Admin!B157</f>
        <v>44447</v>
      </c>
    </row>
    <row r="158" customFormat="false" ht="12" hidden="false" customHeight="false" outlineLevel="0" collapsed="false">
      <c r="W158" s="10" t="n">
        <f aca="false">Admin!B158</f>
        <v>44448</v>
      </c>
    </row>
    <row r="159" customFormat="false" ht="12" hidden="false" customHeight="false" outlineLevel="0" collapsed="false">
      <c r="W159" s="10" t="n">
        <f aca="false">Admin!B159</f>
        <v>44449</v>
      </c>
    </row>
    <row r="160" customFormat="false" ht="12" hidden="false" customHeight="false" outlineLevel="0" collapsed="false">
      <c r="W160" s="10" t="n">
        <f aca="false">Admin!B160</f>
        <v>44450</v>
      </c>
    </row>
    <row r="161" customFormat="false" ht="12" hidden="false" customHeight="false" outlineLevel="0" collapsed="false">
      <c r="W161" s="10" t="n">
        <f aca="false">Admin!B161</f>
        <v>44451</v>
      </c>
    </row>
    <row r="162" customFormat="false" ht="12" hidden="false" customHeight="false" outlineLevel="0" collapsed="false">
      <c r="W162" s="10" t="n">
        <f aca="false">Admin!B162</f>
        <v>44452</v>
      </c>
    </row>
    <row r="163" customFormat="false" ht="12" hidden="false" customHeight="false" outlineLevel="0" collapsed="false">
      <c r="W163" s="10" t="n">
        <f aca="false">Admin!B163</f>
        <v>44453</v>
      </c>
    </row>
    <row r="164" customFormat="false" ht="12" hidden="false" customHeight="false" outlineLevel="0" collapsed="false">
      <c r="W164" s="10" t="n">
        <f aca="false">Admin!B164</f>
        <v>44454</v>
      </c>
    </row>
    <row r="165" customFormat="false" ht="12" hidden="false" customHeight="false" outlineLevel="0" collapsed="false">
      <c r="W165" s="10" t="n">
        <f aca="false">Admin!B165</f>
        <v>44455</v>
      </c>
    </row>
    <row r="166" customFormat="false" ht="12" hidden="false" customHeight="false" outlineLevel="0" collapsed="false">
      <c r="W166" s="10" t="n">
        <f aca="false">Admin!B166</f>
        <v>44456</v>
      </c>
    </row>
    <row r="167" customFormat="false" ht="12" hidden="false" customHeight="false" outlineLevel="0" collapsed="false">
      <c r="W167" s="10" t="n">
        <f aca="false">Admin!B167</f>
        <v>44457</v>
      </c>
    </row>
    <row r="168" customFormat="false" ht="12" hidden="false" customHeight="false" outlineLevel="0" collapsed="false">
      <c r="W168" s="10" t="n">
        <f aca="false">Admin!B168</f>
        <v>44458</v>
      </c>
    </row>
    <row r="169" customFormat="false" ht="12" hidden="false" customHeight="false" outlineLevel="0" collapsed="false">
      <c r="W169" s="10" t="n">
        <f aca="false">Admin!B169</f>
        <v>44459</v>
      </c>
    </row>
    <row r="170" customFormat="false" ht="12" hidden="false" customHeight="false" outlineLevel="0" collapsed="false">
      <c r="W170" s="10" t="n">
        <f aca="false">Admin!B170</f>
        <v>44460</v>
      </c>
    </row>
    <row r="171" customFormat="false" ht="12" hidden="false" customHeight="false" outlineLevel="0" collapsed="false">
      <c r="W171" s="10" t="n">
        <f aca="false">Admin!B171</f>
        <v>44461</v>
      </c>
    </row>
    <row r="172" customFormat="false" ht="12" hidden="false" customHeight="false" outlineLevel="0" collapsed="false">
      <c r="W172" s="10" t="n">
        <f aca="false">Admin!B172</f>
        <v>44462</v>
      </c>
    </row>
    <row r="173" customFormat="false" ht="12" hidden="false" customHeight="false" outlineLevel="0" collapsed="false">
      <c r="W173" s="10" t="n">
        <f aca="false">Admin!B173</f>
        <v>44463</v>
      </c>
    </row>
    <row r="174" customFormat="false" ht="12" hidden="false" customHeight="false" outlineLevel="0" collapsed="false">
      <c r="W174" s="10" t="n">
        <f aca="false">Admin!B174</f>
        <v>44464</v>
      </c>
    </row>
    <row r="175" customFormat="false" ht="12" hidden="false" customHeight="false" outlineLevel="0" collapsed="false">
      <c r="W175" s="10" t="n">
        <f aca="false">Admin!B175</f>
        <v>44465</v>
      </c>
    </row>
    <row r="176" customFormat="false" ht="12" hidden="false" customHeight="false" outlineLevel="0" collapsed="false">
      <c r="W176" s="10" t="n">
        <f aca="false">Admin!B176</f>
        <v>44466</v>
      </c>
    </row>
    <row r="177" customFormat="false" ht="12" hidden="false" customHeight="false" outlineLevel="0" collapsed="false">
      <c r="W177" s="10" t="n">
        <f aca="false">Admin!B177</f>
        <v>44467</v>
      </c>
    </row>
    <row r="178" customFormat="false" ht="12" hidden="false" customHeight="false" outlineLevel="0" collapsed="false">
      <c r="W178" s="10" t="n">
        <f aca="false">Admin!B178</f>
        <v>44468</v>
      </c>
    </row>
    <row r="179" customFormat="false" ht="12" hidden="false" customHeight="false" outlineLevel="0" collapsed="false">
      <c r="W179" s="10" t="n">
        <f aca="false">Admin!B179</f>
        <v>44469</v>
      </c>
    </row>
    <row r="180" customFormat="false" ht="12" hidden="false" customHeight="false" outlineLevel="0" collapsed="false">
      <c r="W180" s="10" t="n">
        <f aca="false">Admin!B180</f>
        <v>44470</v>
      </c>
    </row>
    <row r="181" customFormat="false" ht="12" hidden="false" customHeight="false" outlineLevel="0" collapsed="false">
      <c r="W181" s="10" t="n">
        <f aca="false">Admin!B181</f>
        <v>44471</v>
      </c>
    </row>
    <row r="182" customFormat="false" ht="12" hidden="false" customHeight="false" outlineLevel="0" collapsed="false">
      <c r="W182" s="10" t="n">
        <f aca="false">Admin!B182</f>
        <v>44472</v>
      </c>
    </row>
    <row r="183" customFormat="false" ht="12" hidden="false" customHeight="false" outlineLevel="0" collapsed="false">
      <c r="W183" s="10" t="n">
        <f aca="false">Admin!B183</f>
        <v>44473</v>
      </c>
    </row>
    <row r="184" customFormat="false" ht="12" hidden="false" customHeight="false" outlineLevel="0" collapsed="false">
      <c r="W184" s="10" t="n">
        <f aca="false">Admin!B184</f>
        <v>44474</v>
      </c>
    </row>
    <row r="185" customFormat="false" ht="12" hidden="false" customHeight="false" outlineLevel="0" collapsed="false">
      <c r="W185" s="10" t="n">
        <f aca="false">Admin!B185</f>
        <v>44475</v>
      </c>
    </row>
    <row r="186" customFormat="false" ht="12" hidden="false" customHeight="false" outlineLevel="0" collapsed="false">
      <c r="W186" s="10" t="n">
        <f aca="false">Admin!B186</f>
        <v>44476</v>
      </c>
    </row>
    <row r="187" customFormat="false" ht="12" hidden="false" customHeight="false" outlineLevel="0" collapsed="false">
      <c r="W187" s="10" t="n">
        <f aca="false">Admin!B187</f>
        <v>44477</v>
      </c>
    </row>
    <row r="188" customFormat="false" ht="12" hidden="false" customHeight="false" outlineLevel="0" collapsed="false">
      <c r="W188" s="10" t="n">
        <f aca="false">Admin!B188</f>
        <v>44478</v>
      </c>
    </row>
    <row r="189" customFormat="false" ht="12" hidden="false" customHeight="false" outlineLevel="0" collapsed="false">
      <c r="W189" s="10" t="n">
        <f aca="false">Admin!B189</f>
        <v>44479</v>
      </c>
    </row>
    <row r="190" customFormat="false" ht="12" hidden="false" customHeight="false" outlineLevel="0" collapsed="false">
      <c r="W190" s="10" t="n">
        <f aca="false">Admin!B190</f>
        <v>44480</v>
      </c>
    </row>
    <row r="191" customFormat="false" ht="12" hidden="false" customHeight="false" outlineLevel="0" collapsed="false">
      <c r="W191" s="10" t="n">
        <f aca="false">Admin!B191</f>
        <v>44481</v>
      </c>
    </row>
    <row r="192" customFormat="false" ht="12" hidden="false" customHeight="false" outlineLevel="0" collapsed="false">
      <c r="W192" s="10" t="n">
        <f aca="false">Admin!B192</f>
        <v>44482</v>
      </c>
    </row>
    <row r="193" customFormat="false" ht="12" hidden="false" customHeight="false" outlineLevel="0" collapsed="false">
      <c r="W193" s="10" t="n">
        <f aca="false">Admin!B193</f>
        <v>44483</v>
      </c>
    </row>
    <row r="194" customFormat="false" ht="12" hidden="false" customHeight="false" outlineLevel="0" collapsed="false">
      <c r="W194" s="10" t="n">
        <f aca="false">Admin!B194</f>
        <v>44484</v>
      </c>
    </row>
    <row r="195" customFormat="false" ht="12" hidden="false" customHeight="false" outlineLevel="0" collapsed="false">
      <c r="W195" s="10" t="n">
        <f aca="false">Admin!B195</f>
        <v>44485</v>
      </c>
    </row>
    <row r="196" customFormat="false" ht="12" hidden="false" customHeight="false" outlineLevel="0" collapsed="false">
      <c r="W196" s="10" t="n">
        <f aca="false">Admin!B196</f>
        <v>44486</v>
      </c>
    </row>
    <row r="197" customFormat="false" ht="12" hidden="false" customHeight="false" outlineLevel="0" collapsed="false">
      <c r="W197" s="10" t="n">
        <f aca="false">Admin!B197</f>
        <v>44487</v>
      </c>
    </row>
    <row r="198" customFormat="false" ht="12" hidden="false" customHeight="false" outlineLevel="0" collapsed="false">
      <c r="W198" s="10" t="n">
        <f aca="false">Admin!B198</f>
        <v>44488</v>
      </c>
    </row>
    <row r="199" customFormat="false" ht="12" hidden="false" customHeight="false" outlineLevel="0" collapsed="false">
      <c r="W199" s="10" t="n">
        <f aca="false">Admin!B199</f>
        <v>44489</v>
      </c>
    </row>
    <row r="200" customFormat="false" ht="12" hidden="false" customHeight="false" outlineLevel="0" collapsed="false">
      <c r="W200" s="10" t="n">
        <f aca="false">Admin!B200</f>
        <v>44490</v>
      </c>
    </row>
    <row r="201" customFormat="false" ht="12" hidden="false" customHeight="false" outlineLevel="0" collapsed="false">
      <c r="W201" s="10" t="n">
        <f aca="false">Admin!B201</f>
        <v>44491</v>
      </c>
    </row>
    <row r="202" customFormat="false" ht="12" hidden="false" customHeight="false" outlineLevel="0" collapsed="false">
      <c r="W202" s="10" t="n">
        <f aca="false">Admin!B202</f>
        <v>44492</v>
      </c>
    </row>
    <row r="203" customFormat="false" ht="12" hidden="false" customHeight="false" outlineLevel="0" collapsed="false">
      <c r="W203" s="10" t="n">
        <f aca="false">Admin!B203</f>
        <v>44493</v>
      </c>
    </row>
    <row r="204" customFormat="false" ht="12" hidden="false" customHeight="false" outlineLevel="0" collapsed="false">
      <c r="W204" s="10" t="n">
        <f aca="false">Admin!B204</f>
        <v>44494</v>
      </c>
    </row>
    <row r="205" customFormat="false" ht="12" hidden="false" customHeight="false" outlineLevel="0" collapsed="false">
      <c r="W205" s="10" t="n">
        <f aca="false">Admin!B205</f>
        <v>44495</v>
      </c>
    </row>
    <row r="206" customFormat="false" ht="12" hidden="false" customHeight="false" outlineLevel="0" collapsed="false">
      <c r="W206" s="10" t="n">
        <f aca="false">Admin!B206</f>
        <v>44496</v>
      </c>
    </row>
    <row r="207" customFormat="false" ht="12" hidden="false" customHeight="false" outlineLevel="0" collapsed="false">
      <c r="W207" s="10" t="n">
        <f aca="false">Admin!B207</f>
        <v>44497</v>
      </c>
    </row>
    <row r="208" customFormat="false" ht="12" hidden="false" customHeight="false" outlineLevel="0" collapsed="false">
      <c r="W208" s="10" t="n">
        <f aca="false">Admin!B208</f>
        <v>44498</v>
      </c>
    </row>
    <row r="209" customFormat="false" ht="12" hidden="false" customHeight="false" outlineLevel="0" collapsed="false">
      <c r="W209" s="10" t="n">
        <f aca="false">Admin!B209</f>
        <v>44499</v>
      </c>
    </row>
    <row r="210" customFormat="false" ht="12" hidden="false" customHeight="false" outlineLevel="0" collapsed="false">
      <c r="W210" s="10" t="n">
        <f aca="false">Admin!B210</f>
        <v>44500</v>
      </c>
    </row>
    <row r="211" customFormat="false" ht="12" hidden="false" customHeight="false" outlineLevel="0" collapsed="false">
      <c r="W211" s="10" t="n">
        <f aca="false">Admin!B211</f>
        <v>44501</v>
      </c>
    </row>
    <row r="212" customFormat="false" ht="12" hidden="false" customHeight="false" outlineLevel="0" collapsed="false">
      <c r="W212" s="10" t="n">
        <f aca="false">Admin!B212</f>
        <v>44502</v>
      </c>
    </row>
    <row r="213" customFormat="false" ht="12" hidden="false" customHeight="false" outlineLevel="0" collapsed="false">
      <c r="W213" s="10" t="n">
        <f aca="false">Admin!B213</f>
        <v>44503</v>
      </c>
    </row>
    <row r="214" customFormat="false" ht="12" hidden="false" customHeight="false" outlineLevel="0" collapsed="false">
      <c r="W214" s="10" t="n">
        <f aca="false">Admin!B214</f>
        <v>44504</v>
      </c>
    </row>
    <row r="215" customFormat="false" ht="12" hidden="false" customHeight="false" outlineLevel="0" collapsed="false">
      <c r="W215" s="10" t="n">
        <f aca="false">Admin!B215</f>
        <v>44505</v>
      </c>
    </row>
    <row r="216" customFormat="false" ht="12" hidden="false" customHeight="false" outlineLevel="0" collapsed="false">
      <c r="W216" s="10" t="n">
        <f aca="false">Admin!B216</f>
        <v>44506</v>
      </c>
    </row>
    <row r="217" customFormat="false" ht="12" hidden="false" customHeight="false" outlineLevel="0" collapsed="false">
      <c r="W217" s="10" t="n">
        <f aca="false">Admin!B217</f>
        <v>44507</v>
      </c>
    </row>
    <row r="218" customFormat="false" ht="12" hidden="false" customHeight="false" outlineLevel="0" collapsed="false">
      <c r="W218" s="10" t="n">
        <f aca="false">Admin!B218</f>
        <v>44508</v>
      </c>
    </row>
    <row r="219" customFormat="false" ht="12" hidden="false" customHeight="false" outlineLevel="0" collapsed="false">
      <c r="W219" s="10" t="n">
        <f aca="false">Admin!B219</f>
        <v>44509</v>
      </c>
    </row>
    <row r="220" customFormat="false" ht="12" hidden="false" customHeight="false" outlineLevel="0" collapsed="false">
      <c r="W220" s="10" t="n">
        <f aca="false">Admin!B220</f>
        <v>44510</v>
      </c>
    </row>
    <row r="221" customFormat="false" ht="12" hidden="false" customHeight="false" outlineLevel="0" collapsed="false">
      <c r="W221" s="10" t="n">
        <f aca="false">Admin!B221</f>
        <v>44511</v>
      </c>
    </row>
    <row r="222" customFormat="false" ht="12" hidden="false" customHeight="false" outlineLevel="0" collapsed="false">
      <c r="W222" s="10" t="n">
        <f aca="false">Admin!B222</f>
        <v>44512</v>
      </c>
    </row>
    <row r="223" customFormat="false" ht="12" hidden="false" customHeight="false" outlineLevel="0" collapsed="false">
      <c r="W223" s="10" t="n">
        <f aca="false">Admin!B223</f>
        <v>44513</v>
      </c>
    </row>
    <row r="224" customFormat="false" ht="12" hidden="false" customHeight="false" outlineLevel="0" collapsed="false">
      <c r="W224" s="10" t="n">
        <f aca="false">Admin!B224</f>
        <v>44514</v>
      </c>
    </row>
    <row r="225" customFormat="false" ht="12" hidden="false" customHeight="false" outlineLevel="0" collapsed="false">
      <c r="W225" s="10" t="n">
        <f aca="false">Admin!B225</f>
        <v>44515</v>
      </c>
    </row>
    <row r="226" customFormat="false" ht="12" hidden="false" customHeight="false" outlineLevel="0" collapsed="false">
      <c r="W226" s="10" t="n">
        <f aca="false">Admin!B226</f>
        <v>44516</v>
      </c>
    </row>
    <row r="227" customFormat="false" ht="12" hidden="false" customHeight="false" outlineLevel="0" collapsed="false">
      <c r="W227" s="10" t="n">
        <f aca="false">Admin!B227</f>
        <v>44517</v>
      </c>
    </row>
    <row r="228" customFormat="false" ht="12" hidden="false" customHeight="false" outlineLevel="0" collapsed="false">
      <c r="W228" s="10" t="n">
        <f aca="false">Admin!B228</f>
        <v>44518</v>
      </c>
    </row>
    <row r="229" customFormat="false" ht="12" hidden="false" customHeight="false" outlineLevel="0" collapsed="false">
      <c r="W229" s="10" t="n">
        <f aca="false">Admin!B229</f>
        <v>44519</v>
      </c>
    </row>
    <row r="230" customFormat="false" ht="12" hidden="false" customHeight="false" outlineLevel="0" collapsed="false">
      <c r="W230" s="10" t="n">
        <f aca="false">Admin!B230</f>
        <v>44520</v>
      </c>
    </row>
    <row r="231" customFormat="false" ht="12" hidden="false" customHeight="false" outlineLevel="0" collapsed="false">
      <c r="W231" s="10" t="n">
        <f aca="false">Admin!B231</f>
        <v>44521</v>
      </c>
    </row>
    <row r="232" customFormat="false" ht="12" hidden="false" customHeight="false" outlineLevel="0" collapsed="false">
      <c r="W232" s="10" t="n">
        <f aca="false">Admin!B232</f>
        <v>44522</v>
      </c>
    </row>
    <row r="233" customFormat="false" ht="12" hidden="false" customHeight="false" outlineLevel="0" collapsed="false">
      <c r="W233" s="10" t="n">
        <f aca="false">Admin!B233</f>
        <v>44523</v>
      </c>
    </row>
    <row r="234" customFormat="false" ht="12" hidden="false" customHeight="false" outlineLevel="0" collapsed="false">
      <c r="W234" s="10" t="n">
        <f aca="false">Admin!B234</f>
        <v>44524</v>
      </c>
    </row>
    <row r="235" customFormat="false" ht="12" hidden="false" customHeight="false" outlineLevel="0" collapsed="false">
      <c r="W235" s="10" t="n">
        <f aca="false">Admin!B235</f>
        <v>44525</v>
      </c>
    </row>
    <row r="236" customFormat="false" ht="12" hidden="false" customHeight="false" outlineLevel="0" collapsed="false">
      <c r="W236" s="10" t="n">
        <f aca="false">Admin!B236</f>
        <v>44526</v>
      </c>
    </row>
    <row r="237" customFormat="false" ht="12" hidden="false" customHeight="false" outlineLevel="0" collapsed="false">
      <c r="W237" s="10" t="n">
        <f aca="false">Admin!B237</f>
        <v>44527</v>
      </c>
    </row>
    <row r="238" customFormat="false" ht="12" hidden="false" customHeight="false" outlineLevel="0" collapsed="false">
      <c r="W238" s="10" t="n">
        <f aca="false">Admin!B238</f>
        <v>44528</v>
      </c>
    </row>
    <row r="239" customFormat="false" ht="12" hidden="false" customHeight="false" outlineLevel="0" collapsed="false">
      <c r="W239" s="10" t="n">
        <f aca="false">Admin!B239</f>
        <v>44529</v>
      </c>
    </row>
    <row r="240" customFormat="false" ht="12" hidden="false" customHeight="false" outlineLevel="0" collapsed="false">
      <c r="W240" s="10" t="n">
        <f aca="false">Admin!B240</f>
        <v>44530</v>
      </c>
    </row>
    <row r="241" customFormat="false" ht="12" hidden="false" customHeight="false" outlineLevel="0" collapsed="false">
      <c r="W241" s="10" t="n">
        <f aca="false">Admin!B241</f>
        <v>44531</v>
      </c>
    </row>
    <row r="242" customFormat="false" ht="12" hidden="false" customHeight="false" outlineLevel="0" collapsed="false">
      <c r="W242" s="10" t="n">
        <f aca="false">Admin!B242</f>
        <v>44532</v>
      </c>
    </row>
    <row r="243" customFormat="false" ht="12" hidden="false" customHeight="false" outlineLevel="0" collapsed="false">
      <c r="W243" s="10" t="n">
        <f aca="false">Admin!B243</f>
        <v>44533</v>
      </c>
    </row>
    <row r="244" customFormat="false" ht="12" hidden="false" customHeight="false" outlineLevel="0" collapsed="false">
      <c r="W244" s="10" t="n">
        <f aca="false">Admin!B244</f>
        <v>44534</v>
      </c>
    </row>
    <row r="245" customFormat="false" ht="12" hidden="false" customHeight="false" outlineLevel="0" collapsed="false">
      <c r="W245" s="10" t="n">
        <f aca="false">Admin!B245</f>
        <v>44535</v>
      </c>
    </row>
    <row r="246" customFormat="false" ht="12" hidden="false" customHeight="false" outlineLevel="0" collapsed="false">
      <c r="W246" s="10" t="n">
        <f aca="false">Admin!B246</f>
        <v>44536</v>
      </c>
    </row>
    <row r="247" customFormat="false" ht="12" hidden="false" customHeight="false" outlineLevel="0" collapsed="false">
      <c r="W247" s="10" t="n">
        <f aca="false">Admin!B247</f>
        <v>44537</v>
      </c>
    </row>
    <row r="248" customFormat="false" ht="12" hidden="false" customHeight="false" outlineLevel="0" collapsed="false">
      <c r="W248" s="10" t="n">
        <f aca="false">Admin!B248</f>
        <v>44538</v>
      </c>
    </row>
    <row r="249" customFormat="false" ht="12" hidden="false" customHeight="false" outlineLevel="0" collapsed="false">
      <c r="W249" s="10" t="n">
        <f aca="false">Admin!B249</f>
        <v>44539</v>
      </c>
    </row>
    <row r="250" customFormat="false" ht="12" hidden="false" customHeight="false" outlineLevel="0" collapsed="false">
      <c r="W250" s="10" t="n">
        <f aca="false">Admin!B250</f>
        <v>44540</v>
      </c>
    </row>
    <row r="251" customFormat="false" ht="12" hidden="false" customHeight="false" outlineLevel="0" collapsed="false">
      <c r="W251" s="10" t="n">
        <f aca="false">Admin!B251</f>
        <v>44541</v>
      </c>
    </row>
    <row r="252" customFormat="false" ht="12" hidden="false" customHeight="false" outlineLevel="0" collapsed="false">
      <c r="W252" s="10" t="n">
        <f aca="false">Admin!B252</f>
        <v>44542</v>
      </c>
    </row>
    <row r="253" customFormat="false" ht="12" hidden="false" customHeight="false" outlineLevel="0" collapsed="false">
      <c r="W253" s="10" t="n">
        <f aca="false">Admin!B253</f>
        <v>44543</v>
      </c>
    </row>
    <row r="254" customFormat="false" ht="12" hidden="false" customHeight="false" outlineLevel="0" collapsed="false">
      <c r="W254" s="10" t="n">
        <f aca="false">Admin!B254</f>
        <v>44544</v>
      </c>
    </row>
    <row r="255" customFormat="false" ht="12" hidden="false" customHeight="false" outlineLevel="0" collapsed="false">
      <c r="W255" s="10" t="n">
        <f aca="false">Admin!B255</f>
        <v>44545</v>
      </c>
    </row>
    <row r="256" customFormat="false" ht="12" hidden="false" customHeight="false" outlineLevel="0" collapsed="false">
      <c r="W256" s="10" t="n">
        <f aca="false">Admin!B256</f>
        <v>44546</v>
      </c>
    </row>
    <row r="257" customFormat="false" ht="12" hidden="false" customHeight="false" outlineLevel="0" collapsed="false">
      <c r="W257" s="10" t="n">
        <f aca="false">Admin!B257</f>
        <v>44547</v>
      </c>
    </row>
    <row r="258" customFormat="false" ht="12" hidden="false" customHeight="false" outlineLevel="0" collapsed="false">
      <c r="W258" s="10" t="n">
        <f aca="false">Admin!B258</f>
        <v>44548</v>
      </c>
    </row>
    <row r="259" customFormat="false" ht="12" hidden="false" customHeight="false" outlineLevel="0" collapsed="false">
      <c r="W259" s="10" t="n">
        <f aca="false">Admin!B259</f>
        <v>44549</v>
      </c>
    </row>
    <row r="260" customFormat="false" ht="12" hidden="false" customHeight="false" outlineLevel="0" collapsed="false">
      <c r="W260" s="10" t="n">
        <f aca="false">Admin!B260</f>
        <v>44550</v>
      </c>
    </row>
    <row r="261" customFormat="false" ht="12" hidden="false" customHeight="false" outlineLevel="0" collapsed="false">
      <c r="W261" s="10" t="n">
        <f aca="false">Admin!B261</f>
        <v>44551</v>
      </c>
    </row>
    <row r="262" customFormat="false" ht="12" hidden="false" customHeight="false" outlineLevel="0" collapsed="false">
      <c r="W262" s="10" t="n">
        <f aca="false">Admin!B262</f>
        <v>44552</v>
      </c>
    </row>
    <row r="263" customFormat="false" ht="12" hidden="false" customHeight="false" outlineLevel="0" collapsed="false">
      <c r="W263" s="10" t="n">
        <f aca="false">Admin!B263</f>
        <v>44553</v>
      </c>
    </row>
    <row r="264" customFormat="false" ht="12" hidden="false" customHeight="false" outlineLevel="0" collapsed="false">
      <c r="W264" s="10" t="n">
        <f aca="false">Admin!B264</f>
        <v>44554</v>
      </c>
    </row>
    <row r="265" customFormat="false" ht="12" hidden="false" customHeight="false" outlineLevel="0" collapsed="false">
      <c r="W265" s="10" t="n">
        <f aca="false">Admin!B265</f>
        <v>44555</v>
      </c>
    </row>
    <row r="266" customFormat="false" ht="12" hidden="false" customHeight="false" outlineLevel="0" collapsed="false">
      <c r="W266" s="10" t="n">
        <f aca="false">Admin!B266</f>
        <v>44556</v>
      </c>
    </row>
    <row r="267" customFormat="false" ht="12" hidden="false" customHeight="false" outlineLevel="0" collapsed="false">
      <c r="W267" s="10" t="n">
        <f aca="false">Admin!B267</f>
        <v>44557</v>
      </c>
    </row>
    <row r="268" customFormat="false" ht="12" hidden="false" customHeight="false" outlineLevel="0" collapsed="false">
      <c r="W268" s="10" t="n">
        <f aca="false">Admin!B268</f>
        <v>44558</v>
      </c>
    </row>
    <row r="269" customFormat="false" ht="12" hidden="false" customHeight="false" outlineLevel="0" collapsed="false">
      <c r="W269" s="10" t="n">
        <f aca="false">Admin!B269</f>
        <v>44559</v>
      </c>
    </row>
    <row r="270" customFormat="false" ht="12" hidden="false" customHeight="false" outlineLevel="0" collapsed="false">
      <c r="W270" s="10" t="n">
        <f aca="false">Admin!B270</f>
        <v>44560</v>
      </c>
    </row>
    <row r="271" customFormat="false" ht="12" hidden="false" customHeight="false" outlineLevel="0" collapsed="false">
      <c r="W271" s="10" t="n">
        <f aca="false">Admin!B271</f>
        <v>44561</v>
      </c>
    </row>
    <row r="272" customFormat="false" ht="12" hidden="false" customHeight="false" outlineLevel="0" collapsed="false">
      <c r="W272" s="10" t="n">
        <f aca="false">Admin!B272</f>
        <v>44562</v>
      </c>
    </row>
    <row r="273" customFormat="false" ht="12" hidden="false" customHeight="false" outlineLevel="0" collapsed="false">
      <c r="W273" s="10" t="n">
        <f aca="false">Admin!B273</f>
        <v>44563</v>
      </c>
    </row>
    <row r="274" customFormat="false" ht="12" hidden="false" customHeight="false" outlineLevel="0" collapsed="false">
      <c r="W274" s="10" t="n">
        <f aca="false">Admin!B274</f>
        <v>44564</v>
      </c>
    </row>
    <row r="275" customFormat="false" ht="12" hidden="false" customHeight="false" outlineLevel="0" collapsed="false">
      <c r="W275" s="10" t="n">
        <f aca="false">Admin!B275</f>
        <v>44565</v>
      </c>
    </row>
    <row r="276" customFormat="false" ht="12" hidden="false" customHeight="false" outlineLevel="0" collapsed="false">
      <c r="W276" s="10" t="n">
        <f aca="false">Admin!B276</f>
        <v>44566</v>
      </c>
    </row>
    <row r="277" customFormat="false" ht="12" hidden="false" customHeight="false" outlineLevel="0" collapsed="false">
      <c r="W277" s="10" t="n">
        <f aca="false">Admin!B277</f>
        <v>44567</v>
      </c>
    </row>
    <row r="278" customFormat="false" ht="12" hidden="false" customHeight="false" outlineLevel="0" collapsed="false">
      <c r="W278" s="10" t="n">
        <f aca="false">Admin!B278</f>
        <v>44568</v>
      </c>
    </row>
    <row r="279" customFormat="false" ht="12" hidden="false" customHeight="false" outlineLevel="0" collapsed="false">
      <c r="W279" s="10" t="n">
        <f aca="false">Admin!B279</f>
        <v>44569</v>
      </c>
    </row>
    <row r="280" customFormat="false" ht="12" hidden="false" customHeight="false" outlineLevel="0" collapsed="false">
      <c r="W280" s="10" t="n">
        <f aca="false">Admin!B280</f>
        <v>44570</v>
      </c>
    </row>
    <row r="281" customFormat="false" ht="12" hidden="false" customHeight="false" outlineLevel="0" collapsed="false">
      <c r="W281" s="10" t="n">
        <f aca="false">Admin!B281</f>
        <v>44571</v>
      </c>
    </row>
    <row r="282" customFormat="false" ht="12" hidden="false" customHeight="false" outlineLevel="0" collapsed="false">
      <c r="W282" s="10" t="n">
        <f aca="false">Admin!B282</f>
        <v>44572</v>
      </c>
    </row>
    <row r="283" customFormat="false" ht="12" hidden="false" customHeight="false" outlineLevel="0" collapsed="false">
      <c r="W283" s="10" t="n">
        <f aca="false">Admin!B283</f>
        <v>44573</v>
      </c>
    </row>
    <row r="284" customFormat="false" ht="12" hidden="false" customHeight="false" outlineLevel="0" collapsed="false">
      <c r="W284" s="10" t="n">
        <f aca="false">Admin!B284</f>
        <v>44574</v>
      </c>
    </row>
    <row r="285" customFormat="false" ht="12" hidden="false" customHeight="false" outlineLevel="0" collapsed="false">
      <c r="W285" s="10" t="n">
        <f aca="false">Admin!B285</f>
        <v>44575</v>
      </c>
    </row>
    <row r="286" customFormat="false" ht="12" hidden="false" customHeight="false" outlineLevel="0" collapsed="false">
      <c r="W286" s="10" t="n">
        <f aca="false">Admin!B286</f>
        <v>44576</v>
      </c>
    </row>
    <row r="287" customFormat="false" ht="12" hidden="false" customHeight="false" outlineLevel="0" collapsed="false">
      <c r="W287" s="10" t="n">
        <f aca="false">Admin!B287</f>
        <v>44577</v>
      </c>
    </row>
    <row r="288" customFormat="false" ht="12" hidden="false" customHeight="false" outlineLevel="0" collapsed="false">
      <c r="W288" s="10" t="n">
        <f aca="false">Admin!B288</f>
        <v>44578</v>
      </c>
    </row>
    <row r="289" customFormat="false" ht="12" hidden="false" customHeight="false" outlineLevel="0" collapsed="false">
      <c r="W289" s="10" t="n">
        <f aca="false">Admin!B289</f>
        <v>44579</v>
      </c>
    </row>
    <row r="290" customFormat="false" ht="12" hidden="false" customHeight="false" outlineLevel="0" collapsed="false">
      <c r="W290" s="10" t="n">
        <f aca="false">Admin!B290</f>
        <v>44580</v>
      </c>
    </row>
    <row r="291" customFormat="false" ht="12" hidden="false" customHeight="false" outlineLevel="0" collapsed="false">
      <c r="W291" s="10" t="n">
        <f aca="false">Admin!B291</f>
        <v>44581</v>
      </c>
    </row>
    <row r="292" customFormat="false" ht="12" hidden="false" customHeight="false" outlineLevel="0" collapsed="false">
      <c r="W292" s="10" t="n">
        <f aca="false">Admin!B292</f>
        <v>44582</v>
      </c>
    </row>
    <row r="293" customFormat="false" ht="12" hidden="false" customHeight="false" outlineLevel="0" collapsed="false">
      <c r="W293" s="10" t="n">
        <f aca="false">Admin!B293</f>
        <v>44583</v>
      </c>
    </row>
    <row r="294" customFormat="false" ht="12" hidden="false" customHeight="false" outlineLevel="0" collapsed="false">
      <c r="W294" s="10" t="n">
        <f aca="false">Admin!B294</f>
        <v>44584</v>
      </c>
    </row>
    <row r="295" customFormat="false" ht="12" hidden="false" customHeight="false" outlineLevel="0" collapsed="false">
      <c r="W295" s="10" t="n">
        <f aca="false">Admin!B295</f>
        <v>44585</v>
      </c>
    </row>
    <row r="296" customFormat="false" ht="12" hidden="false" customHeight="false" outlineLevel="0" collapsed="false">
      <c r="W296" s="10" t="n">
        <f aca="false">Admin!B296</f>
        <v>44586</v>
      </c>
    </row>
    <row r="297" customFormat="false" ht="12" hidden="false" customHeight="false" outlineLevel="0" collapsed="false">
      <c r="W297" s="10" t="n">
        <f aca="false">Admin!B297</f>
        <v>44587</v>
      </c>
    </row>
    <row r="298" customFormat="false" ht="12" hidden="false" customHeight="false" outlineLevel="0" collapsed="false">
      <c r="W298" s="10" t="n">
        <f aca="false">Admin!B298</f>
        <v>44588</v>
      </c>
    </row>
    <row r="299" customFormat="false" ht="12" hidden="false" customHeight="false" outlineLevel="0" collapsed="false">
      <c r="W299" s="10" t="n">
        <f aca="false">Admin!B299</f>
        <v>44589</v>
      </c>
    </row>
    <row r="300" customFormat="false" ht="12" hidden="false" customHeight="false" outlineLevel="0" collapsed="false">
      <c r="W300" s="10" t="n">
        <f aca="false">Admin!B300</f>
        <v>44590</v>
      </c>
    </row>
    <row r="301" customFormat="false" ht="12" hidden="false" customHeight="false" outlineLevel="0" collapsed="false">
      <c r="W301" s="10" t="n">
        <f aca="false">Admin!B301</f>
        <v>44591</v>
      </c>
    </row>
    <row r="302" customFormat="false" ht="12" hidden="false" customHeight="false" outlineLevel="0" collapsed="false">
      <c r="W302" s="10" t="n">
        <f aca="false">Admin!B302</f>
        <v>44592</v>
      </c>
    </row>
    <row r="303" customFormat="false" ht="12" hidden="false" customHeight="false" outlineLevel="0" collapsed="false">
      <c r="W303" s="10" t="n">
        <f aca="false">Admin!B303</f>
        <v>44593</v>
      </c>
    </row>
    <row r="304" customFormat="false" ht="12" hidden="false" customHeight="false" outlineLevel="0" collapsed="false">
      <c r="W304" s="10" t="n">
        <f aca="false">Admin!B304</f>
        <v>44594</v>
      </c>
    </row>
    <row r="305" customFormat="false" ht="12" hidden="false" customHeight="false" outlineLevel="0" collapsed="false">
      <c r="W305" s="10" t="n">
        <f aca="false">Admin!B305</f>
        <v>44595</v>
      </c>
    </row>
    <row r="306" customFormat="false" ht="12" hidden="false" customHeight="false" outlineLevel="0" collapsed="false">
      <c r="W306" s="10" t="n">
        <f aca="false">Admin!B306</f>
        <v>44596</v>
      </c>
    </row>
    <row r="307" customFormat="false" ht="12" hidden="false" customHeight="false" outlineLevel="0" collapsed="false">
      <c r="W307" s="10" t="n">
        <f aca="false">Admin!B307</f>
        <v>44597</v>
      </c>
    </row>
    <row r="308" customFormat="false" ht="12" hidden="false" customHeight="false" outlineLevel="0" collapsed="false">
      <c r="W308" s="10" t="n">
        <f aca="false">Admin!B308</f>
        <v>44598</v>
      </c>
    </row>
    <row r="309" customFormat="false" ht="12" hidden="false" customHeight="false" outlineLevel="0" collapsed="false">
      <c r="W309" s="10" t="n">
        <f aca="false">Admin!B309</f>
        <v>44599</v>
      </c>
    </row>
    <row r="310" customFormat="false" ht="12" hidden="false" customHeight="false" outlineLevel="0" collapsed="false">
      <c r="W310" s="10" t="n">
        <f aca="false">Admin!B310</f>
        <v>44600</v>
      </c>
    </row>
    <row r="311" customFormat="false" ht="12" hidden="false" customHeight="false" outlineLevel="0" collapsed="false">
      <c r="W311" s="10" t="n">
        <f aca="false">Admin!B311</f>
        <v>44601</v>
      </c>
    </row>
    <row r="312" customFormat="false" ht="12" hidden="false" customHeight="false" outlineLevel="0" collapsed="false">
      <c r="W312" s="10" t="n">
        <f aca="false">Admin!B312</f>
        <v>44602</v>
      </c>
    </row>
    <row r="313" customFormat="false" ht="12" hidden="false" customHeight="false" outlineLevel="0" collapsed="false">
      <c r="W313" s="10" t="n">
        <f aca="false">Admin!B313</f>
        <v>44603</v>
      </c>
    </row>
    <row r="314" customFormat="false" ht="12" hidden="false" customHeight="false" outlineLevel="0" collapsed="false">
      <c r="W314" s="10" t="n">
        <f aca="false">Admin!B314</f>
        <v>44604</v>
      </c>
    </row>
    <row r="315" customFormat="false" ht="12" hidden="false" customHeight="false" outlineLevel="0" collapsed="false">
      <c r="W315" s="10" t="n">
        <f aca="false">Admin!B315</f>
        <v>44605</v>
      </c>
    </row>
    <row r="316" customFormat="false" ht="12" hidden="false" customHeight="false" outlineLevel="0" collapsed="false">
      <c r="W316" s="10" t="n">
        <f aca="false">Admin!B316</f>
        <v>44606</v>
      </c>
    </row>
    <row r="317" customFormat="false" ht="12" hidden="false" customHeight="false" outlineLevel="0" collapsed="false">
      <c r="W317" s="10" t="n">
        <f aca="false">Admin!B317</f>
        <v>44607</v>
      </c>
    </row>
    <row r="318" customFormat="false" ht="12" hidden="false" customHeight="false" outlineLevel="0" collapsed="false">
      <c r="W318" s="10" t="n">
        <f aca="false">Admin!B318</f>
        <v>44608</v>
      </c>
    </row>
    <row r="319" customFormat="false" ht="12" hidden="false" customHeight="false" outlineLevel="0" collapsed="false">
      <c r="W319" s="10" t="n">
        <f aca="false">Admin!B319</f>
        <v>44609</v>
      </c>
    </row>
    <row r="320" customFormat="false" ht="12" hidden="false" customHeight="false" outlineLevel="0" collapsed="false">
      <c r="W320" s="10" t="n">
        <f aca="false">Admin!B320</f>
        <v>44610</v>
      </c>
    </row>
    <row r="321" customFormat="false" ht="12" hidden="false" customHeight="false" outlineLevel="0" collapsed="false">
      <c r="W321" s="10" t="n">
        <f aca="false">Admin!B321</f>
        <v>44611</v>
      </c>
    </row>
    <row r="322" customFormat="false" ht="12" hidden="false" customHeight="false" outlineLevel="0" collapsed="false">
      <c r="W322" s="10" t="n">
        <f aca="false">Admin!B322</f>
        <v>44612</v>
      </c>
    </row>
    <row r="323" customFormat="false" ht="12" hidden="false" customHeight="false" outlineLevel="0" collapsed="false">
      <c r="W323" s="10" t="n">
        <f aca="false">Admin!B323</f>
        <v>44613</v>
      </c>
    </row>
    <row r="324" customFormat="false" ht="12" hidden="false" customHeight="false" outlineLevel="0" collapsed="false">
      <c r="W324" s="10" t="n">
        <f aca="false">Admin!B324</f>
        <v>44614</v>
      </c>
    </row>
    <row r="325" customFormat="false" ht="12" hidden="false" customHeight="false" outlineLevel="0" collapsed="false">
      <c r="W325" s="10" t="n">
        <f aca="false">Admin!B325</f>
        <v>44615</v>
      </c>
    </row>
    <row r="326" customFormat="false" ht="12" hidden="false" customHeight="false" outlineLevel="0" collapsed="false">
      <c r="W326" s="10" t="n">
        <f aca="false">Admin!B326</f>
        <v>44616</v>
      </c>
    </row>
    <row r="327" customFormat="false" ht="12" hidden="false" customHeight="false" outlineLevel="0" collapsed="false">
      <c r="W327" s="10" t="n">
        <f aca="false">Admin!B327</f>
        <v>44617</v>
      </c>
    </row>
    <row r="328" customFormat="false" ht="12" hidden="false" customHeight="false" outlineLevel="0" collapsed="false">
      <c r="W328" s="10" t="n">
        <f aca="false">Admin!B328</f>
        <v>44618</v>
      </c>
    </row>
    <row r="329" customFormat="false" ht="12" hidden="false" customHeight="false" outlineLevel="0" collapsed="false">
      <c r="W329" s="10" t="n">
        <f aca="false">Admin!B329</f>
        <v>44619</v>
      </c>
    </row>
    <row r="330" customFormat="false" ht="12" hidden="false" customHeight="false" outlineLevel="0" collapsed="false">
      <c r="W330" s="10" t="n">
        <f aca="false">Admin!B330</f>
        <v>44620</v>
      </c>
    </row>
    <row r="331" customFormat="false" ht="12" hidden="false" customHeight="false" outlineLevel="0" collapsed="false">
      <c r="W331" s="10" t="n">
        <f aca="false">Admin!B331</f>
        <v>44621</v>
      </c>
    </row>
    <row r="332" customFormat="false" ht="12" hidden="false" customHeight="false" outlineLevel="0" collapsed="false">
      <c r="W332" s="10" t="n">
        <f aca="false">Admin!B332</f>
        <v>44622</v>
      </c>
    </row>
    <row r="333" customFormat="false" ht="12" hidden="false" customHeight="false" outlineLevel="0" collapsed="false">
      <c r="W333" s="10" t="n">
        <f aca="false">Admin!B333</f>
        <v>44623</v>
      </c>
    </row>
    <row r="334" customFormat="false" ht="12" hidden="false" customHeight="false" outlineLevel="0" collapsed="false">
      <c r="W334" s="10" t="n">
        <f aca="false">Admin!B334</f>
        <v>44624</v>
      </c>
    </row>
    <row r="335" customFormat="false" ht="12" hidden="false" customHeight="false" outlineLevel="0" collapsed="false">
      <c r="W335" s="10" t="n">
        <f aca="false">Admin!B335</f>
        <v>44625</v>
      </c>
    </row>
    <row r="336" customFormat="false" ht="12" hidden="false" customHeight="false" outlineLevel="0" collapsed="false">
      <c r="W336" s="10" t="n">
        <f aca="false">Admin!B336</f>
        <v>44626</v>
      </c>
    </row>
    <row r="337" customFormat="false" ht="12" hidden="false" customHeight="false" outlineLevel="0" collapsed="false">
      <c r="W337" s="10" t="n">
        <f aca="false">Admin!B337</f>
        <v>44627</v>
      </c>
    </row>
    <row r="338" customFormat="false" ht="12" hidden="false" customHeight="false" outlineLevel="0" collapsed="false">
      <c r="W338" s="10" t="n">
        <f aca="false">Admin!B338</f>
        <v>44628</v>
      </c>
    </row>
    <row r="339" customFormat="false" ht="12" hidden="false" customHeight="false" outlineLevel="0" collapsed="false">
      <c r="W339" s="10" t="n">
        <f aca="false">Admin!B339</f>
        <v>44629</v>
      </c>
    </row>
    <row r="340" customFormat="false" ht="12" hidden="false" customHeight="false" outlineLevel="0" collapsed="false">
      <c r="W340" s="10" t="n">
        <f aca="false">Admin!B340</f>
        <v>44630</v>
      </c>
    </row>
    <row r="341" customFormat="false" ht="12" hidden="false" customHeight="false" outlineLevel="0" collapsed="false">
      <c r="W341" s="10" t="n">
        <f aca="false">Admin!B341</f>
        <v>44631</v>
      </c>
    </row>
    <row r="342" customFormat="false" ht="12" hidden="false" customHeight="false" outlineLevel="0" collapsed="false">
      <c r="W342" s="10" t="n">
        <f aca="false">Admin!B342</f>
        <v>44632</v>
      </c>
    </row>
    <row r="343" customFormat="false" ht="12" hidden="false" customHeight="false" outlineLevel="0" collapsed="false">
      <c r="W343" s="10" t="n">
        <f aca="false">Admin!B343</f>
        <v>44633</v>
      </c>
    </row>
    <row r="344" customFormat="false" ht="12" hidden="false" customHeight="false" outlineLevel="0" collapsed="false">
      <c r="W344" s="10" t="n">
        <f aca="false">Admin!B344</f>
        <v>44634</v>
      </c>
    </row>
    <row r="345" customFormat="false" ht="12" hidden="false" customHeight="false" outlineLevel="0" collapsed="false">
      <c r="W345" s="10" t="n">
        <f aca="false">Admin!B345</f>
        <v>44635</v>
      </c>
    </row>
    <row r="346" customFormat="false" ht="12" hidden="false" customHeight="false" outlineLevel="0" collapsed="false">
      <c r="W346" s="10" t="n">
        <f aca="false">Admin!B346</f>
        <v>44636</v>
      </c>
    </row>
    <row r="347" customFormat="false" ht="12" hidden="false" customHeight="false" outlineLevel="0" collapsed="false">
      <c r="W347" s="10" t="n">
        <f aca="false">Admin!B347</f>
        <v>44637</v>
      </c>
    </row>
    <row r="348" customFormat="false" ht="12" hidden="false" customHeight="false" outlineLevel="0" collapsed="false">
      <c r="W348" s="10" t="n">
        <f aca="false">Admin!B348</f>
        <v>44638</v>
      </c>
    </row>
    <row r="349" customFormat="false" ht="12" hidden="false" customHeight="false" outlineLevel="0" collapsed="false">
      <c r="W349" s="10" t="n">
        <f aca="false">Admin!B349</f>
        <v>44639</v>
      </c>
    </row>
    <row r="350" customFormat="false" ht="12" hidden="false" customHeight="false" outlineLevel="0" collapsed="false">
      <c r="W350" s="10" t="n">
        <f aca="false">Admin!B350</f>
        <v>44640</v>
      </c>
    </row>
    <row r="351" customFormat="false" ht="12" hidden="false" customHeight="false" outlineLevel="0" collapsed="false">
      <c r="W351" s="10" t="n">
        <f aca="false">Admin!B351</f>
        <v>44641</v>
      </c>
    </row>
    <row r="352" customFormat="false" ht="12" hidden="false" customHeight="false" outlineLevel="0" collapsed="false">
      <c r="W352" s="10" t="n">
        <f aca="false">Admin!B352</f>
        <v>44642</v>
      </c>
    </row>
    <row r="353" customFormat="false" ht="12" hidden="false" customHeight="false" outlineLevel="0" collapsed="false">
      <c r="W353" s="10" t="n">
        <f aca="false">Admin!B353</f>
        <v>44643</v>
      </c>
    </row>
    <row r="354" customFormat="false" ht="12" hidden="false" customHeight="false" outlineLevel="0" collapsed="false">
      <c r="W354" s="10" t="n">
        <f aca="false">Admin!B354</f>
        <v>44644</v>
      </c>
    </row>
    <row r="355" customFormat="false" ht="12" hidden="false" customHeight="false" outlineLevel="0" collapsed="false">
      <c r="W355" s="10" t="n">
        <f aca="false">Admin!B355</f>
        <v>44645</v>
      </c>
    </row>
    <row r="356" customFormat="false" ht="12" hidden="false" customHeight="false" outlineLevel="0" collapsed="false">
      <c r="W356" s="10" t="n">
        <f aca="false">Admin!B356</f>
        <v>44646</v>
      </c>
    </row>
    <row r="357" customFormat="false" ht="12" hidden="false" customHeight="false" outlineLevel="0" collapsed="false">
      <c r="W357" s="10" t="n">
        <f aca="false">Admin!B357</f>
        <v>44647</v>
      </c>
    </row>
    <row r="358" customFormat="false" ht="12" hidden="false" customHeight="false" outlineLevel="0" collapsed="false">
      <c r="W358" s="10" t="n">
        <f aca="false">Admin!B358</f>
        <v>44648</v>
      </c>
    </row>
    <row r="359" customFormat="false" ht="12" hidden="false" customHeight="false" outlineLevel="0" collapsed="false">
      <c r="W359" s="10" t="n">
        <f aca="false">Admin!B359</f>
        <v>44649</v>
      </c>
    </row>
    <row r="360" customFormat="false" ht="12" hidden="false" customHeight="false" outlineLevel="0" collapsed="false">
      <c r="W360" s="10" t="n">
        <f aca="false">Admin!B360</f>
        <v>44650</v>
      </c>
    </row>
    <row r="361" customFormat="false" ht="12" hidden="false" customHeight="false" outlineLevel="0" collapsed="false">
      <c r="W361" s="10" t="n">
        <f aca="false">Admin!B361</f>
        <v>44651</v>
      </c>
    </row>
    <row r="362" customFormat="false" ht="12" hidden="false" customHeight="false" outlineLevel="0" collapsed="false">
      <c r="W362" s="10" t="n">
        <f aca="false">Admin!B362</f>
        <v>44652</v>
      </c>
    </row>
    <row r="363" customFormat="false" ht="12" hidden="false" customHeight="false" outlineLevel="0" collapsed="false">
      <c r="W363" s="10" t="n">
        <f aca="false">Admin!B363</f>
        <v>44653</v>
      </c>
    </row>
    <row r="364" customFormat="false" ht="12" hidden="false" customHeight="false" outlineLevel="0" collapsed="false">
      <c r="W364" s="10" t="n">
        <f aca="false">Admin!B364</f>
        <v>44654</v>
      </c>
    </row>
    <row r="365" customFormat="false" ht="12" hidden="false" customHeight="false" outlineLevel="0" collapsed="false">
      <c r="W365" s="10" t="n">
        <f aca="false">Admin!B365</f>
        <v>44655</v>
      </c>
    </row>
    <row r="366" customFormat="false" ht="12" hidden="false" customHeight="false" outlineLevel="0" collapsed="false">
      <c r="W366" s="10" t="n">
        <f aca="false">Admin!B366</f>
        <v>44656</v>
      </c>
    </row>
  </sheetData>
  <mergeCells count="51">
    <mergeCell ref="A1:T1"/>
    <mergeCell ref="U1:U141"/>
    <mergeCell ref="H3:M3"/>
    <mergeCell ref="Q3:S3"/>
    <mergeCell ref="D5:F5"/>
    <mergeCell ref="H5:O7"/>
    <mergeCell ref="D6:F6"/>
    <mergeCell ref="D7:F7"/>
    <mergeCell ref="A11:T11"/>
    <mergeCell ref="H13:H14"/>
    <mergeCell ref="O13:P13"/>
    <mergeCell ref="Q13:Q14"/>
    <mergeCell ref="S13:S14"/>
    <mergeCell ref="D15:F15"/>
    <mergeCell ref="M15:O15"/>
    <mergeCell ref="D16:F16"/>
    <mergeCell ref="A37:T37"/>
    <mergeCell ref="H39:H40"/>
    <mergeCell ref="O39:P39"/>
    <mergeCell ref="Q39:Q40"/>
    <mergeCell ref="S39:S40"/>
    <mergeCell ref="D41:F41"/>
    <mergeCell ref="M41:O41"/>
    <mergeCell ref="D42:F42"/>
    <mergeCell ref="K61:S61"/>
    <mergeCell ref="A63:T63"/>
    <mergeCell ref="H65:H66"/>
    <mergeCell ref="O65:P65"/>
    <mergeCell ref="Q65:Q66"/>
    <mergeCell ref="S65:S66"/>
    <mergeCell ref="D67:F67"/>
    <mergeCell ref="M67:O67"/>
    <mergeCell ref="D68:F68"/>
    <mergeCell ref="A89:T89"/>
    <mergeCell ref="H91:H92"/>
    <mergeCell ref="O91:P91"/>
    <mergeCell ref="Q91:Q92"/>
    <mergeCell ref="S91:S92"/>
    <mergeCell ref="D93:F93"/>
    <mergeCell ref="M93:O93"/>
    <mergeCell ref="D94:F94"/>
    <mergeCell ref="D95:F95"/>
    <mergeCell ref="A115:T115"/>
    <mergeCell ref="H117:H118"/>
    <mergeCell ref="O117:P117"/>
    <mergeCell ref="Q117:Q118"/>
    <mergeCell ref="S117:S118"/>
    <mergeCell ref="D119:F119"/>
    <mergeCell ref="M119:O119"/>
    <mergeCell ref="D120:F120"/>
    <mergeCell ref="A141:T141"/>
  </mergeCells>
  <dataValidations count="12">
    <dataValidation allowBlank="true" error="The tax code number only should be entered in this box.&#10;Example tax code 647L&#10;Enter just the number 603&#10;&#10;The formulae uses this number in the tax calculation and does not recognise alpha characters such as the SUFFIX Letter L" errorStyle="warning" errorTitle="TAX CODE" operator="between" showDropDown="false" showErrorMessage="true" showInputMessage="false" sqref="M27:M30 M53:M56 M79:M82 M105:M108 M131:M134" type="whole">
      <formula1>1</formula1>
      <formula2>2002</formula2>
    </dataValidation>
    <dataValidation allowBlank="true" errorStyle="stop" operator="between" showDropDown="false" showErrorMessage="true" showInputMessage="false" sqref="D126" type="list">
      <formula1>$V$5:$V$6</formula1>
      <formula2>0</formula2>
    </dataValidation>
    <dataValidation allowBlank="true" errorStyle="stop" operator="between" showDropDown="false" showErrorMessage="true" showInputMessage="false" sqref="D28 D54 D80 D106 D132" type="list">
      <formula1>$V$7:$V$8</formula1>
      <formula2>0</formula2>
    </dataValidation>
    <dataValidation allowBlank="true" errorStyle="stop" operator="between" showDropDown="false" showErrorMessage="true" showInputMessage="false" sqref="D30 D56 D82 D108 D134" type="list">
      <formula1>$V$9:$V$10</formula1>
      <formula2>0</formula2>
    </dataValidation>
    <dataValidation allowBlank="true" errorStyle="stop" operator="between" showDropDown="false" showErrorMessage="true" showInputMessage="false" sqref="O24 O50 O76 O102 O128" type="list">
      <formula1>$V$11:$V$13</formula1>
      <formula2>0</formula2>
    </dataValidation>
    <dataValidation allowBlank="true" error="This is the week or month number the tax code is applied and has to be between 1 and 53&#10;&#10;If N/A has appeared check date applied is correct and W or M entered for weekjly or monthly paid." errorStyle="stop" errorTitle="WEEK OR MONTH NUMBER" operator="between" showDropDown="false" showErrorMessage="true" showInputMessage="false" sqref="S27" type="whole">
      <formula1>1</formula1>
      <formula2>53</formula2>
    </dataValidation>
    <dataValidation allowBlank="true" error="Correct format is DD/MM/YYYY" errorStyle="stop" errorTitle="DATE OF BIRTH ERROR" operator="between" showDropDown="false" showErrorMessage="true" showInputMessage="false" sqref="M17 M43 M69 M95 M121" type="date">
      <formula1>1</formula1>
      <formula2>40273</formula2>
    </dataValidation>
    <dataValidation allowBlank="true" error="VALID DATES ARE&#10;06/04/09 TO 05/04/10&#10;Dates before or after the financial year not recognised&#10;&#10;DATE FORMAT IS   DD/MM/YYYY&#10;Dates entered dd.mm.yyyy = error" errorStyle="warning" errorTitle="LEAVING DATE ERROR" operator="between" showDropDown="false" showErrorMessage="true" showInputMessage="false" sqref="D26 D52 D78 D104 D130" type="list">
      <formula1>$W$2:$W$366</formula1>
      <formula2>0</formula2>
    </dataValidation>
    <dataValidation allowBlank="true" error="VALID DATES ARE&#10;06/04/09 TO 05/04/10&#10;Dates before or after the financial year not recognised&#10;For existing employees at start of financial year enter 06/04/09&#10;&#10;DATE FORMAT IS   DD/MM/YYYY&#10;Dates entered dd.mm.yyyy = error" errorStyle="warning" errorTitle="START DATE ERROR" operator="between" showDropDown="false" showErrorMessage="true" showInputMessage="false" sqref="D24 D50 D76 D102 D128" type="list">
      <formula1>$W$2:$W$366</formula1>
      <formula2>0</formula2>
    </dataValidation>
    <dataValidation allowBlank="true" errorStyle="stop" operator="between" prompt="Use drop down menu to complete both boxes&#10;Week No and Month No&#10;&#10;Both BOXES are required in case the employee has changed from for example weekly piad on P45 to monthly paid or vica versa" promptTitle="ENTER BOTH WEEK AND MONTH NUMBER" showDropDown="false" showErrorMessage="true" showInputMessage="true" sqref="H34 H60 H86 H112 H138" type="list">
      <formula1>$X$1:$X$53</formula1>
      <formula2>0</formula2>
    </dataValidation>
    <dataValidation allowBlank="true" errorStyle="stop" operator="between" prompt="Use drop down menu to complete both boxes&#10;Week No and Month No&#10;&#10;Both BOXES are required in case the employee has changed from for example weekly piad on P45 to monthly paid or vica versa" promptTitle="ENTER BOTH WEEK AND MONTH NUMBER" showDropDown="false" showErrorMessage="true" showInputMessage="true" sqref="H35 H61 H87 H113 H139" type="list">
      <formula1>$X$1:$X$13</formula1>
      <formula2>0</formula2>
    </dataValidation>
    <dataValidation allowBlank="true" error="VALID DATES ARE&#10;06/04/09 TO 05/04/10&#10;Dates before or after the financial year not recognised&#10;&#10;DATE FORMAT IS   DD/MM/YYYY&#10;Dates entered dd.mm.yyyy = error" errorStyle="stop" errorTitle="DATE APPLIED ERROR" operator="between" showDropDown="false" showErrorMessage="true" showInputMessage="false" sqref="Q18:Q19 Q24 Q27:Q30 Q34 Q44:Q45 Q50 Q53:Q56 Q60 Q70:Q71 Q76 Q79:Q82 Q86 Q96:Q97 Q102 Q105:Q108 Q112 Q122:Q123 Q128 Q131:Q134 Q138" type="list">
      <formula1>$W$2:$W$366</formula1>
      <formula2>0</formula2>
    </dataValidation>
  </dataValidations>
  <hyperlinks>
    <hyperlink ref="Q3" r:id="rId1" display="www.diyaccounting.co.uk"/>
  </hyperlinks>
  <printOptions headings="false" gridLines="false" gridLinesSet="true" horizontalCentered="true" verticalCentered="true"/>
  <pageMargins left="0.118055555555556" right="0.0784722222222222" top="0.551388888888889" bottom="0.511805555555556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true" outlineLevel="0" max="21" min="21" style="95" width="1.66"/>
    <col collapsed="false" customWidth="true" hidden="true" outlineLevel="0" max="22" min="22" style="99" width="10.66"/>
    <col collapsed="false" customWidth="true" hidden="true" outlineLevel="0" max="27" min="23" style="99" width="9.66"/>
    <col collapsed="false" customWidth="true" hidden="true" outlineLevel="0" max="28" min="28" style="99" width="1.15"/>
    <col collapsed="false" customWidth="true" hidden="true" outlineLevel="0" max="29" min="29" style="99" width="9.66"/>
    <col collapsed="false" customWidth="true" hidden="tru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102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102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102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">
        <v>48</v>
      </c>
      <c r="I3" s="116" t="s">
        <v>49</v>
      </c>
      <c r="J3" s="116" t="s">
        <v>50</v>
      </c>
      <c r="K3" s="117" t="s">
        <v>51</v>
      </c>
      <c r="L3" s="117" t="s">
        <v>52</v>
      </c>
      <c r="M3" s="118" t="s">
        <v>53</v>
      </c>
      <c r="N3" s="116" t="s">
        <v>54</v>
      </c>
      <c r="O3" s="116" t="s">
        <v>55</v>
      </c>
      <c r="P3" s="116" t="s">
        <v>56</v>
      </c>
      <c r="Q3" s="116" t="s">
        <v>57</v>
      </c>
      <c r="R3" s="118" t="s">
        <v>58</v>
      </c>
      <c r="S3" s="119"/>
      <c r="T3" s="116" t="s">
        <v>59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102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7"/>
      <c r="L4" s="117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102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7"/>
      <c r="L5" s="117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102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7"/>
      <c r="L6" s="117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42"/>
      <c r="S8" s="142"/>
      <c r="T8" s="142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1</v>
      </c>
      <c r="F9" s="144"/>
      <c r="G9" s="144"/>
      <c r="H9" s="146" t="s">
        <v>73</v>
      </c>
      <c r="I9" s="146"/>
      <c r="J9" s="146"/>
      <c r="K9" s="148" t="n">
        <f aca="false">Admin!B2</f>
        <v>44292</v>
      </c>
      <c r="L9" s="149" t="s">
        <v>74</v>
      </c>
      <c r="M9" s="150" t="n">
        <f aca="false">K9+(7-WEEKDAY(K9,2))</f>
        <v>44297</v>
      </c>
      <c r="N9" s="151"/>
      <c r="O9" s="152"/>
      <c r="P9" s="152"/>
      <c r="Q9" s="152"/>
      <c r="R9" s="152"/>
      <c r="S9" s="152"/>
      <c r="T9" s="152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8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163"/>
      <c r="H11" s="164" t="n">
        <v>0</v>
      </c>
      <c r="I11" s="165" t="n">
        <v>0</v>
      </c>
      <c r="J11" s="165" t="n">
        <v>0</v>
      </c>
      <c r="K11" s="165" t="n">
        <f aca="false">I11*J11</f>
        <v>0</v>
      </c>
      <c r="L11" s="166" t="n">
        <v>0</v>
      </c>
      <c r="M11" s="167" t="str">
        <f aca="false">IF(E11=" "," ",IF((H11+K11+L11)&gt;0,H11+K11+L11," "))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IF(Employee!H$34=E$9,Employee!D$34+SUM(M11)+0,SUM(M11)+0)</f>
        <v>0</v>
      </c>
      <c r="W11" s="172" t="n">
        <f aca="false">IF(Employee!H$34=E$9,Employee!D$35+SUM(N11)+0,SUM(N11)+0)</f>
        <v>0</v>
      </c>
      <c r="X11" s="172" t="n">
        <f aca="false">IF(O11=" ",0,O11)</f>
        <v>0</v>
      </c>
      <c r="Y11" s="172" t="n">
        <f aca="false">IF(P11=" ",0,P11)</f>
        <v>0</v>
      </c>
      <c r="Z11" s="172" t="n">
        <f aca="false">IF(Q11=" ",0,Q11)</f>
        <v>0</v>
      </c>
      <c r="AA11" s="172" t="n">
        <f aca="false">IF(R11=" ",0,R11)</f>
        <v>0</v>
      </c>
      <c r="AC11" s="172" t="n">
        <f aca="false">IF(T11=" ",0,T11)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163"/>
      <c r="H12" s="176" t="n">
        <v>0</v>
      </c>
      <c r="I12" s="177" t="n">
        <v>0</v>
      </c>
      <c r="J12" s="177" t="n">
        <v>0</v>
      </c>
      <c r="K12" s="178" t="n">
        <f aca="false">I12*J12</f>
        <v>0</v>
      </c>
      <c r="L12" s="179" t="n">
        <v>0</v>
      </c>
      <c r="M12" s="167" t="str">
        <f aca="false">IF(E12=" "," ",IF((H12+K12+L12)&gt;0,H12+K12+L12," "))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IF(Employee!H$60=E$9,Employee!D$60+SUM(M12)+0,SUM(M12)+0)</f>
        <v>0</v>
      </c>
      <c r="W12" s="172" t="n">
        <f aca="false">IF(Employee!H$60=E$9,Employee!D$61+SUM(N12)+0,SUM(N12)+0)</f>
        <v>0</v>
      </c>
      <c r="X12" s="172" t="n">
        <f aca="false">IF(O12=" ",0,O12)</f>
        <v>0</v>
      </c>
      <c r="Y12" s="172" t="n">
        <f aca="false">IF(P12=" ",0,P12)</f>
        <v>0</v>
      </c>
      <c r="Z12" s="172" t="n">
        <f aca="false">IF(Q12=" ",0,Q12)</f>
        <v>0</v>
      </c>
      <c r="AA12" s="172" t="n">
        <f aca="false">IF(R12=" ",0,R12)</f>
        <v>0</v>
      </c>
      <c r="AC12" s="172" t="n">
        <f aca="false">IF(T12=" ",0,T12)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163"/>
      <c r="H13" s="176" t="n">
        <v>0</v>
      </c>
      <c r="I13" s="177" t="n">
        <v>0</v>
      </c>
      <c r="J13" s="177" t="n">
        <v>0</v>
      </c>
      <c r="K13" s="178" t="n">
        <f aca="false">I13*J13</f>
        <v>0</v>
      </c>
      <c r="L13" s="179" t="n">
        <v>0</v>
      </c>
      <c r="M13" s="167" t="str">
        <f aca="false">IF(E13=" "," ",IF((H13+K13+L13)&gt;0,H13+K13+L13," "))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IF(Employee!H$86=E$9,Employee!D$86+SUM(M13)+0,SUM(M13)+0)</f>
        <v>0</v>
      </c>
      <c r="W13" s="172" t="n">
        <f aca="false">IF(Employee!H$86=E$9,Employee!D$87+SUM(N13)+0,SUM(N13)+0)</f>
        <v>0</v>
      </c>
      <c r="X13" s="172" t="n">
        <f aca="false">IF(O13=" ",0,O13)</f>
        <v>0</v>
      </c>
      <c r="Y13" s="172" t="n">
        <f aca="false">IF(P13=" ",0,P13)</f>
        <v>0</v>
      </c>
      <c r="Z13" s="172" t="n">
        <f aca="false">IF(Q13=" ",0,Q13)</f>
        <v>0</v>
      </c>
      <c r="AA13" s="172" t="n">
        <f aca="false">IF(R13=" ",0,R13)</f>
        <v>0</v>
      </c>
      <c r="AC13" s="172" t="n">
        <f aca="false">IF(T13=" ",0,T13)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163"/>
      <c r="H14" s="176" t="n">
        <v>0</v>
      </c>
      <c r="I14" s="177" t="n">
        <v>0</v>
      </c>
      <c r="J14" s="177" t="n">
        <v>0</v>
      </c>
      <c r="K14" s="178" t="n">
        <f aca="false">I14*J14</f>
        <v>0</v>
      </c>
      <c r="L14" s="179" t="n">
        <v>0</v>
      </c>
      <c r="M14" s="167" t="str">
        <f aca="false">IF(E14=" "," ",IF((H14+K14+L14)&gt;0,H14+K14+L14," "))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IF(Employee!H$112=E$9,Employee!D$112+SUM(M14)+0,SUM(M14)+0)</f>
        <v>0</v>
      </c>
      <c r="W14" s="172" t="n">
        <f aca="false">IF(Employee!H$112=E$9,Employee!D$113+SUM(N14)+0,SUM(N14)+0)</f>
        <v>0</v>
      </c>
      <c r="X14" s="172" t="n">
        <f aca="false">IF(O14=" ",0,O14)</f>
        <v>0</v>
      </c>
      <c r="Y14" s="172" t="n">
        <f aca="false">IF(P14=" ",0,P14)</f>
        <v>0</v>
      </c>
      <c r="Z14" s="172" t="n">
        <f aca="false">IF(Q14=" ",0,Q14)</f>
        <v>0</v>
      </c>
      <c r="AA14" s="172" t="n">
        <f aca="false">IF(R14=" ",0,R14)</f>
        <v>0</v>
      </c>
      <c r="AC14" s="172" t="n">
        <f aca="false">IF(T14=" ",0,T14)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163"/>
      <c r="H15" s="176" t="n">
        <v>0</v>
      </c>
      <c r="I15" s="177" t="n">
        <v>0</v>
      </c>
      <c r="J15" s="177" t="n">
        <v>0</v>
      </c>
      <c r="K15" s="178" t="n">
        <f aca="false">I15*J15</f>
        <v>0</v>
      </c>
      <c r="L15" s="179" t="n">
        <v>0</v>
      </c>
      <c r="M15" s="167" t="str">
        <f aca="false">IF(E15=" "," ",IF((H15+K15+L15)&gt;0,H15+K15+L15," "))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IF(Employee!H$138=E$9,Employee!D$138+SUM(M15)+0,SUM(M15)+0)</f>
        <v>0</v>
      </c>
      <c r="W15" s="172" t="n">
        <f aca="false">IF(Employee!H$138=E$9,Employee!D$139+SUM(N15)+0,SUM(N15)+0)</f>
        <v>0</v>
      </c>
      <c r="X15" s="172" t="n">
        <f aca="false">IF(O15=" ",0,O15)</f>
        <v>0</v>
      </c>
      <c r="Y15" s="172" t="n">
        <f aca="false">IF(P15=" ",0,P15)</f>
        <v>0</v>
      </c>
      <c r="Z15" s="172" t="n">
        <f aca="false">IF(Q15=" ",0,Q15)</f>
        <v>0</v>
      </c>
      <c r="AA15" s="172" t="n">
        <f aca="false">IF(R15=" ",0,R15)</f>
        <v>0</v>
      </c>
      <c r="AC15" s="172" t="n">
        <f aca="false">IF(T15=" ",0,T15)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190"/>
      <c r="I16" s="191"/>
      <c r="J16" s="191"/>
      <c r="K16" s="192"/>
      <c r="L16" s="192"/>
      <c r="M16" s="193" t="n">
        <f aca="false">SUM(M11:M15)</f>
        <v>0</v>
      </c>
      <c r="N16" s="194" t="n">
        <f aca="false">SUM(N11:N15)</f>
        <v>0</v>
      </c>
      <c r="O16" s="194" t="n">
        <f aca="false">SUM(O11:O15)</f>
        <v>0</v>
      </c>
      <c r="P16" s="194" t="n">
        <f aca="false">SUM(P11:P15)</f>
        <v>0</v>
      </c>
      <c r="Q16" s="194" t="n">
        <f aca="false">SUM(Q11:Q15)</f>
        <v>0</v>
      </c>
      <c r="R16" s="193" t="n">
        <f aca="false">SUM(R11:R15)</f>
        <v>0</v>
      </c>
      <c r="S16" s="107"/>
      <c r="T16" s="194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2</v>
      </c>
      <c r="F19" s="144"/>
      <c r="G19" s="144"/>
      <c r="H19" s="146" t="s">
        <v>71</v>
      </c>
      <c r="I19" s="146"/>
      <c r="J19" s="146"/>
      <c r="K19" s="148" t="n">
        <f aca="false">M9+1</f>
        <v>44298</v>
      </c>
      <c r="L19" s="149" t="s">
        <v>74</v>
      </c>
      <c r="M19" s="150" t="n">
        <f aca="false">K19+6</f>
        <v>44304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8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v>0</v>
      </c>
      <c r="J21" s="168" t="n">
        <v>0</v>
      </c>
      <c r="K21" s="168" t="n">
        <f aca="false">IF(T$19="Y",K11,I21*J21)</f>
        <v>0</v>
      </c>
      <c r="L21" s="166" t="n">
        <f aca="false">IF(T$19="Y",L11,0)</f>
        <v>0</v>
      </c>
      <c r="M21" s="18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9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9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9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9" t="n">
        <f aca="false">IF(T$19="Y",L15,0)</f>
        <v>0</v>
      </c>
      <c r="M25" s="206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208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3</v>
      </c>
      <c r="F29" s="144"/>
      <c r="G29" s="144"/>
      <c r="H29" s="146" t="s">
        <v>71</v>
      </c>
      <c r="I29" s="146"/>
      <c r="J29" s="146"/>
      <c r="K29" s="148" t="n">
        <f aca="false">M19+1</f>
        <v>44305</v>
      </c>
      <c r="L29" s="149" t="s">
        <v>74</v>
      </c>
      <c r="M29" s="150" t="n">
        <f aca="false">K29+6</f>
        <v>44311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v>0</v>
      </c>
      <c r="J31" s="168" t="n"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80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80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80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206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4</v>
      </c>
      <c r="F39" s="144"/>
      <c r="G39" s="144"/>
      <c r="H39" s="146" t="s">
        <v>71</v>
      </c>
      <c r="I39" s="146"/>
      <c r="J39" s="146"/>
      <c r="K39" s="148" t="n">
        <f aca="false">M29+1</f>
        <v>44312</v>
      </c>
      <c r="L39" s="149" t="s">
        <v>74</v>
      </c>
      <c r="M39" s="150" t="n">
        <f aca="false">K39+6</f>
        <v>44318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v>0</v>
      </c>
      <c r="J41" s="168" t="n">
        <v>0</v>
      </c>
      <c r="K41" s="168" t="n">
        <f aca="false">IF(T$39="Y",K31,I41*J41)</f>
        <v>0</v>
      </c>
      <c r="L41" s="166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n">
        <f aca="false">IF(T41=" ",AC31,T41+AC31)</f>
        <v>0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9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9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9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9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1</v>
      </c>
      <c r="F49" s="144"/>
      <c r="G49" s="144"/>
      <c r="H49" s="146" t="s">
        <v>71</v>
      </c>
      <c r="I49" s="146"/>
      <c r="J49" s="146"/>
      <c r="K49" s="215" t="n">
        <f aca="false">Admin!B2</f>
        <v>44292</v>
      </c>
      <c r="L49" s="149" t="s">
        <v>74</v>
      </c>
      <c r="M49" s="150" t="n">
        <f aca="false">Admin!B26</f>
        <v>44316</v>
      </c>
      <c r="N49" s="151"/>
      <c r="O49" s="198" t="s">
        <v>80</v>
      </c>
      <c r="P49" s="198"/>
      <c r="Q49" s="198"/>
      <c r="R49" s="198"/>
      <c r="S49" s="144"/>
      <c r="T49" s="216" t="s">
        <v>81</v>
      </c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163"/>
      <c r="H51" s="164" t="n">
        <v>0</v>
      </c>
      <c r="I51" s="168" t="n">
        <v>0</v>
      </c>
      <c r="J51" s="168" t="n">
        <v>0</v>
      </c>
      <c r="K51" s="165" t="n">
        <f aca="false">I51*J51</f>
        <v>0</v>
      </c>
      <c r="L51" s="166" t="n">
        <v>0</v>
      </c>
      <c r="M51" s="164" t="str">
        <f aca="false">IF(E51=" "," ",IF((H51+K51+L51)&gt;0,H51+K51+L51," "))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IF(Employee!H$35=E$49,Employee!D$34+SUM(M51)+0,SUM(M51)+0)</f>
        <v>0</v>
      </c>
      <c r="W51" s="172" t="n">
        <f aca="false">IF(Employee!H$35=E$49,Employee!D$35+SUM(N51)+0,SUM(N51)+0)</f>
        <v>0</v>
      </c>
      <c r="X51" s="172" t="n">
        <f aca="false">IF(O51=" ",0,O51)</f>
        <v>0</v>
      </c>
      <c r="Y51" s="172" t="n">
        <f aca="false">IF(P51=" ",0,P51)</f>
        <v>0</v>
      </c>
      <c r="Z51" s="172" t="n">
        <f aca="false">IF(Q51=" ",0,Q51)</f>
        <v>0</v>
      </c>
      <c r="AA51" s="172" t="n">
        <f aca="false">IF(R51=" ",0,R51)</f>
        <v>0</v>
      </c>
      <c r="AC51" s="172" t="n">
        <f aca="false">IF(T51=" ",0,T51)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163"/>
      <c r="H52" s="176" t="n">
        <v>0</v>
      </c>
      <c r="I52" s="177" t="n">
        <v>0</v>
      </c>
      <c r="J52" s="177" t="n">
        <v>0</v>
      </c>
      <c r="K52" s="178" t="n">
        <f aca="false">I52*J52</f>
        <v>0</v>
      </c>
      <c r="L52" s="179" t="n">
        <v>0</v>
      </c>
      <c r="M52" s="176" t="str">
        <f aca="false">IF(E52=" "," ",IF((H52+K52+L52)&gt;0,H52+K52+L52," "))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IF(Employee!H$61=E$49,Employee!D$60+SUM(M52)+0,SUM(M52)+0)</f>
        <v>0</v>
      </c>
      <c r="W52" s="172" t="n">
        <f aca="false">IF(Employee!H$61=E$49,Employee!D$61+SUM(N52)+0,SUM(N52)+0)</f>
        <v>0</v>
      </c>
      <c r="X52" s="172" t="n">
        <f aca="false">IF(O52=" ",0,O52)</f>
        <v>0</v>
      </c>
      <c r="Y52" s="172" t="n">
        <f aca="false">IF(P52=" ",0,P52)</f>
        <v>0</v>
      </c>
      <c r="Z52" s="172" t="n">
        <f aca="false">IF(Q52=" ",0,Q52)</f>
        <v>0</v>
      </c>
      <c r="AA52" s="172" t="n">
        <f aca="false">IF(R52=" ",0,R52)</f>
        <v>0</v>
      </c>
      <c r="AC52" s="172" t="n">
        <f aca="false">IF(T52=" ",0,T52)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163"/>
      <c r="H53" s="176" t="n">
        <v>0</v>
      </c>
      <c r="I53" s="177" t="n">
        <v>0</v>
      </c>
      <c r="J53" s="177" t="n">
        <v>0</v>
      </c>
      <c r="K53" s="178" t="n">
        <f aca="false">I53*J53</f>
        <v>0</v>
      </c>
      <c r="L53" s="179" t="n">
        <v>0</v>
      </c>
      <c r="M53" s="176" t="str">
        <f aca="false">IF(E53=" "," ",IF((H53+K53+L53)&gt;0,H53+K53+L53," "))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IF(Employee!H$87=E$49,Employee!D$86+SUM(M53)+0,SUM(M53)+0)</f>
        <v>0</v>
      </c>
      <c r="W53" s="172" t="n">
        <f aca="false">IF(Employee!H$87=E$49,Employee!D$87+SUM(N53)+0,SUM(N53)+0)</f>
        <v>0</v>
      </c>
      <c r="X53" s="172" t="n">
        <f aca="false">IF(O53=" ",0,O53)</f>
        <v>0</v>
      </c>
      <c r="Y53" s="172" t="n">
        <f aca="false">IF(P53=" ",0,P53)</f>
        <v>0</v>
      </c>
      <c r="Z53" s="172" t="n">
        <f aca="false">IF(Q53=" ",0,Q53)</f>
        <v>0</v>
      </c>
      <c r="AA53" s="172" t="n">
        <f aca="false">IF(R53=" ",0,R53)</f>
        <v>0</v>
      </c>
      <c r="AC53" s="172" t="n">
        <f aca="false">IF(T53=" ",0,T53)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163"/>
      <c r="H54" s="176" t="n">
        <v>0</v>
      </c>
      <c r="I54" s="177" t="n">
        <v>0</v>
      </c>
      <c r="J54" s="177" t="n">
        <v>0</v>
      </c>
      <c r="K54" s="178" t="n">
        <f aca="false">I54*J54</f>
        <v>0</v>
      </c>
      <c r="L54" s="179" t="n">
        <v>0</v>
      </c>
      <c r="M54" s="176" t="str">
        <f aca="false">IF(E54=" "," ",IF((H54+K54+L54)&gt;0,H54+K54+L54," "))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IF(Employee!H$113=E$49,Employee!D$112+SUM(M54)+0,SUM(M54)+0)</f>
        <v>0</v>
      </c>
      <c r="W54" s="172" t="n">
        <f aca="false">IF(Employee!H$113=E$49,Employee!D$113+SUM(N54)+0,SUM(N54)+0)</f>
        <v>0</v>
      </c>
      <c r="X54" s="172" t="n">
        <f aca="false">IF(O54=" ",0,O54)</f>
        <v>0</v>
      </c>
      <c r="Y54" s="172" t="n">
        <f aca="false">IF(P54=" ",0,P54)</f>
        <v>0</v>
      </c>
      <c r="Z54" s="172" t="n">
        <f aca="false">IF(Q54=" ",0,Q54)</f>
        <v>0</v>
      </c>
      <c r="AA54" s="172" t="n">
        <f aca="false">IF(R54=" ",0,R54)</f>
        <v>0</v>
      </c>
      <c r="AC54" s="172" t="n">
        <f aca="false">IF(T54=" ",0,T54)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163"/>
      <c r="H55" s="176" t="n">
        <v>0</v>
      </c>
      <c r="I55" s="177" t="n">
        <v>0</v>
      </c>
      <c r="J55" s="177" t="n">
        <v>0</v>
      </c>
      <c r="K55" s="178" t="n">
        <f aca="false">I55*J55</f>
        <v>0</v>
      </c>
      <c r="L55" s="179" t="n">
        <v>0</v>
      </c>
      <c r="M55" s="176" t="str">
        <f aca="false">IF(E55=" "," ",IF((H55+K55+L55)&gt;0,H55+K55+L55," "))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IF(Employee!H$139=E$49,Employee!D$138+SUM(M55)+0,SUM(M55)+0)</f>
        <v>0</v>
      </c>
      <c r="W55" s="172" t="n">
        <f aca="false">IF(Employee!H$139=E$49,Employee!D$139+SUM(N55)+0,SUM(N55)+0)</f>
        <v>0</v>
      </c>
      <c r="X55" s="172" t="n">
        <f aca="false">IF(O55=" ",0,O55)</f>
        <v>0</v>
      </c>
      <c r="Y55" s="172" t="n">
        <f aca="false">IF(P55=" ",0,P55)</f>
        <v>0</v>
      </c>
      <c r="Z55" s="172" t="n">
        <f aca="false">IF(Q55=" ",0,Q55)</f>
        <v>0</v>
      </c>
      <c r="AA55" s="172" t="n">
        <f aca="false">IF(R55=" ",0,R55)</f>
        <v>0</v>
      </c>
      <c r="AC55" s="172" t="n">
        <f aca="false">IF(T55=" ",0,T55)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190"/>
      <c r="I56" s="191"/>
      <c r="J56" s="191"/>
      <c r="K56" s="192"/>
      <c r="L56" s="192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2.7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</f>
        <v>0</v>
      </c>
      <c r="AE65" s="240" t="n">
        <f aca="false">AE60</f>
        <v>0</v>
      </c>
      <c r="AF65" s="240" t="n">
        <f aca="false">AF60</f>
        <v>0</v>
      </c>
      <c r="AG65" s="240" t="n">
        <f aca="false">AG60</f>
        <v>0</v>
      </c>
    </row>
    <row r="66" customFormat="false" ht="13.5" hidden="false" customHeight="false" outlineLevel="0" collapsed="false"/>
    <row r="67" customFormat="false" ht="12.75" hidden="false" customHeight="false" outlineLevel="0" collapsed="false">
      <c r="AD67" s="233"/>
      <c r="AE67" s="240" t="n">
        <f aca="false">AE62</f>
        <v>0</v>
      </c>
      <c r="AF67" s="240" t="n">
        <f aca="false">AF62</f>
        <v>0</v>
      </c>
      <c r="AG67" s="240" t="n">
        <f aca="false">AG62</f>
        <v>0</v>
      </c>
    </row>
  </sheetData>
  <mergeCells count="78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true" verticalCentered="true"/>
  <pageMargins left="0.196527777777778" right="0.196527777777778" top="0.7875" bottom="0.7875" header="0.511805555555556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5" manualBreakCount="5">
    <brk id="16" man="true" max="16383" min="0"/>
    <brk id="26" man="true" max="16383" min="0"/>
    <brk id="36" man="true" max="16383" min="0"/>
    <brk id="46" man="true" max="16383" min="0"/>
    <brk id="56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true" outlineLevel="0" max="21" min="21" style="95" width="1.66"/>
    <col collapsed="false" customWidth="true" hidden="true" outlineLevel="0" max="22" min="22" style="99" width="10.66"/>
    <col collapsed="false" customWidth="true" hidden="true" outlineLevel="0" max="27" min="23" style="99" width="9.66"/>
    <col collapsed="false" customWidth="true" hidden="true" outlineLevel="0" max="28" min="28" style="99" width="1.15"/>
    <col collapsed="false" customWidth="true" hidden="true" outlineLevel="0" max="29" min="29" style="99" width="9.66"/>
    <col collapsed="false" customWidth="true" hidden="tru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5</v>
      </c>
      <c r="F9" s="144"/>
      <c r="G9" s="144"/>
      <c r="H9" s="146" t="s">
        <v>71</v>
      </c>
      <c r="I9" s="146"/>
      <c r="J9" s="146"/>
      <c r="K9" s="215" t="n">
        <f aca="false">Apr!M39+1</f>
        <v>44319</v>
      </c>
      <c r="L9" s="149" t="s">
        <v>74</v>
      </c>
      <c r="M9" s="150" t="n">
        <f aca="false">K9+6</f>
        <v>44325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IF(T$9="Y",Apr!H41,0)</f>
        <v>0</v>
      </c>
      <c r="I11" s="168" t="n">
        <f aca="false">IF(T$9="Y",Apr!I41,0)</f>
        <v>0</v>
      </c>
      <c r="J11" s="168" t="n">
        <f aca="false">IF(T$9="Y",Apr!J41,0)</f>
        <v>0</v>
      </c>
      <c r="K11" s="168" t="n">
        <f aca="false">IF(T$9="Y",Apr!K41,I11*J11)</f>
        <v>0</v>
      </c>
      <c r="L11" s="166" t="n">
        <f aca="false">IF(T$9="Y",Apr!L41,0)</f>
        <v>0</v>
      </c>
      <c r="M11" s="166" t="str">
        <f aca="false">IF(E11=" "," ",IF(T$9="Y",Apr!M41,IF((H11+K11+L11)&gt;0,H11+K11+L11,"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IF(Employee!H$34=E$9,Employee!D$34+SUM(M11)+Apr!V41,SUM(M11)+Apr!V41)</f>
        <v>0</v>
      </c>
      <c r="W11" s="172" t="n">
        <f aca="false">IF(Employee!H$34=E$9,Employee!D$35+SUM(N11)+Apr!W41,SUM(N11)+Apr!W41)</f>
        <v>0</v>
      </c>
      <c r="X11" s="172" t="n">
        <f aca="false">IF(O11=" ",Apr!X41,O11+Apr!X41)</f>
        <v>0</v>
      </c>
      <c r="Y11" s="172" t="n">
        <f aca="false">IF(P11=" ",Apr!Y41,P11+Apr!Y41)</f>
        <v>0</v>
      </c>
      <c r="Z11" s="172" t="n">
        <f aca="false">IF(Q11=" ",Apr!Z41,Q11+Apr!Z41)</f>
        <v>0</v>
      </c>
      <c r="AA11" s="172" t="n">
        <f aca="false">IF(R11=" ",Apr!AA41,R11+Apr!AA41)</f>
        <v>0</v>
      </c>
      <c r="AC11" s="172" t="n">
        <f aca="false">IF(T11=" ",Apr!AC41,T11+Apr!AC41)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IF(T$9="Y",Apr!H42,0)</f>
        <v>0</v>
      </c>
      <c r="I12" s="177" t="n">
        <f aca="false">IF(T$9="Y",Apr!I42,0)</f>
        <v>0</v>
      </c>
      <c r="J12" s="177" t="n">
        <f aca="false">IF(T$9="Y",Apr!J42,0)</f>
        <v>0</v>
      </c>
      <c r="K12" s="177" t="n">
        <f aca="false">IF(T$9="Y",Apr!K42,I12*J12)</f>
        <v>0</v>
      </c>
      <c r="L12" s="179" t="n">
        <f aca="false">IF(T$9="Y",Apr!L42,0)</f>
        <v>0</v>
      </c>
      <c r="M12" s="179" t="str">
        <f aca="false">IF(E12=" "," ",IF(T$9="Y",Apr!M42,IF((H12+K12+L12)&gt;0,H12+K12+L12,"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IF(Employee!H$60=E$9,Employee!D$60+SUM(M12)+Apr!V42,SUM(M12)+Apr!V42)</f>
        <v>0</v>
      </c>
      <c r="W12" s="172" t="n">
        <f aca="false">IF(Employee!H$60=E$9,Employee!D$61+SUM(N12)+Apr!W42,SUM(N12)+Apr!W42)</f>
        <v>0</v>
      </c>
      <c r="X12" s="172" t="n">
        <f aca="false">IF(O12=" ",Apr!X42,O12+Apr!X42)</f>
        <v>0</v>
      </c>
      <c r="Y12" s="172" t="n">
        <f aca="false">IF(P12=" ",Apr!Y42,P12+Apr!Y42)</f>
        <v>0</v>
      </c>
      <c r="Z12" s="172" t="n">
        <f aca="false">IF(Q12=" ",Apr!Z42,Q12+Apr!Z42)</f>
        <v>0</v>
      </c>
      <c r="AA12" s="172" t="n">
        <f aca="false">IF(R12=" ",Apr!AA42,R12+Apr!AA42)</f>
        <v>0</v>
      </c>
      <c r="AC12" s="172" t="n">
        <f aca="false">IF(T12=" ",Apr!AC42,T12+Apr!AC42)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IF(T$9="Y",Apr!H43,0)</f>
        <v>0</v>
      </c>
      <c r="I13" s="177" t="n">
        <f aca="false">IF(T$9="Y",Apr!I43,0)</f>
        <v>0</v>
      </c>
      <c r="J13" s="177" t="n">
        <f aca="false">IF(T$9="Y",Apr!J43,0)</f>
        <v>0</v>
      </c>
      <c r="K13" s="177" t="n">
        <f aca="false">IF(T$9="Y",Apr!K43,I13*J13)</f>
        <v>0</v>
      </c>
      <c r="L13" s="179" t="n">
        <f aca="false">IF(T$9="Y",Apr!L43,0)</f>
        <v>0</v>
      </c>
      <c r="M13" s="179" t="str">
        <f aca="false">IF(E13=" "," ",IF(T$9="Y",Apr!M43,IF((H13+K13+L13)&gt;0,H13+K13+L13,"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IF(Employee!H$86=E$9,Employee!D$86+SUM(M13)+Apr!V43,SUM(M13)+Apr!V43)</f>
        <v>0</v>
      </c>
      <c r="W13" s="172" t="n">
        <f aca="false">IF(Employee!H$86=E$9,Employee!D$87+SUM(N13)+Apr!W43,SUM(N13)+Apr!W43)</f>
        <v>0</v>
      </c>
      <c r="X13" s="172" t="n">
        <f aca="false">IF(O13=" ",Apr!X43,O13+Apr!X43)</f>
        <v>0</v>
      </c>
      <c r="Y13" s="172" t="n">
        <f aca="false">IF(P13=" ",Apr!Y43,P13+Apr!Y43)</f>
        <v>0</v>
      </c>
      <c r="Z13" s="172" t="n">
        <f aca="false">IF(Q13=" ",Apr!Z43,Q13+Apr!Z43)</f>
        <v>0</v>
      </c>
      <c r="AA13" s="172" t="n">
        <f aca="false">IF(R13=" ",Apr!AA43,R13+Apr!AA43)</f>
        <v>0</v>
      </c>
      <c r="AC13" s="172" t="n">
        <f aca="false">IF(T13=" ",Apr!AC43,T13+Apr!AC43)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IF(T$9="Y",Apr!H44,0)</f>
        <v>0</v>
      </c>
      <c r="I14" s="177" t="n">
        <f aca="false">IF(T$9="Y",Apr!I44,0)</f>
        <v>0</v>
      </c>
      <c r="J14" s="177" t="n">
        <f aca="false">IF(T$9="Y",Apr!J44,0)</f>
        <v>0</v>
      </c>
      <c r="K14" s="177" t="n">
        <f aca="false">IF(T$9="Y",Apr!K44,I14*J14)</f>
        <v>0</v>
      </c>
      <c r="L14" s="179" t="n">
        <f aca="false">IF(T$9="Y",Apr!L44,0)</f>
        <v>0</v>
      </c>
      <c r="M14" s="179" t="str">
        <f aca="false">IF(E14=" "," ",IF(T$9="Y",Apr!M44,IF((H14+K14+L14)&gt;0,H14+K14+L14,"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IF(Employee!H$112=E$9,Employee!D$112+SUM(M14)+Apr!V44,SUM(M14)+Apr!V44)</f>
        <v>0</v>
      </c>
      <c r="W14" s="172" t="n">
        <f aca="false">IF(Employee!H$112=E$9,Employee!D$113+SUM(N14)+Apr!W44,SUM(N14)+Apr!W44)</f>
        <v>0</v>
      </c>
      <c r="X14" s="172" t="n">
        <f aca="false">IF(O14=" ",Apr!X44,O14+Apr!X44)</f>
        <v>0</v>
      </c>
      <c r="Y14" s="172" t="n">
        <f aca="false">IF(P14=" ",Apr!Y44,P14+Apr!Y44)</f>
        <v>0</v>
      </c>
      <c r="Z14" s="172" t="n">
        <f aca="false">IF(Q14=" ",Apr!Z44,Q14+Apr!Z44)</f>
        <v>0</v>
      </c>
      <c r="AA14" s="172" t="n">
        <f aca="false">IF(R14=" ",Apr!AA44,R14+Apr!AA44)</f>
        <v>0</v>
      </c>
      <c r="AC14" s="172" t="n">
        <f aca="false">IF(T14=" ",Apr!AC44,T14+Apr!AC44)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IF(T$9="Y",Apr!H45,0)</f>
        <v>0</v>
      </c>
      <c r="I15" s="182" t="n">
        <f aca="false">IF(T$9="Y",Apr!I45,0)</f>
        <v>0</v>
      </c>
      <c r="J15" s="182" t="n">
        <f aca="false">IF(T$9="Y",Apr!J45,0)</f>
        <v>0</v>
      </c>
      <c r="K15" s="182" t="n">
        <f aca="false">IF(T$9="Y",Apr!K45,I15*J15)</f>
        <v>0</v>
      </c>
      <c r="L15" s="183" t="n">
        <f aca="false">IF(T$9="Y",Apr!L45,0)</f>
        <v>0</v>
      </c>
      <c r="M15" s="179" t="str">
        <f aca="false">IF(E15=" "," ",IF(T$9="Y",Apr!M45,IF((H15+K15+L15)&gt;0,H15+K15+L15,"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IF(Employee!H$138=E$9,Employee!D$138+SUM(M15)+Apr!V45,SUM(M15)+Apr!V45)</f>
        <v>0</v>
      </c>
      <c r="W15" s="172" t="n">
        <f aca="false">IF(Employee!H$138=E$9,Employee!D$139+SUM(N15)+Apr!W45,SUM(N15)+Apr!W45)</f>
        <v>0</v>
      </c>
      <c r="X15" s="172" t="n">
        <f aca="false">IF(O15=" ",Apr!X45,O15+Apr!X45)</f>
        <v>0</v>
      </c>
      <c r="Y15" s="172" t="n">
        <f aca="false">IF(P15=" ",Apr!Y45,P15+Apr!Y45)</f>
        <v>0</v>
      </c>
      <c r="Z15" s="172" t="n">
        <f aca="false">IF(Q15=" ",Apr!Z45,Q15+Apr!Z45)</f>
        <v>0</v>
      </c>
      <c r="AA15" s="172" t="n">
        <f aca="false">IF(R15=" ",Apr!AA45,R15+Apr!AA45)</f>
        <v>0</v>
      </c>
      <c r="AC15" s="172" t="n">
        <f aca="false">IF(T15=" ",Apr!AC45,T15+Apr!AC45)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6</v>
      </c>
      <c r="F19" s="144"/>
      <c r="G19" s="144"/>
      <c r="H19" s="146" t="s">
        <v>71</v>
      </c>
      <c r="I19" s="146"/>
      <c r="J19" s="146"/>
      <c r="K19" s="215" t="n">
        <f aca="false">M9+1</f>
        <v>44326</v>
      </c>
      <c r="L19" s="149" t="s">
        <v>74</v>
      </c>
      <c r="M19" s="150" t="n">
        <f aca="false">K19+6</f>
        <v>44332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7</v>
      </c>
      <c r="F29" s="144"/>
      <c r="G29" s="144"/>
      <c r="H29" s="146" t="s">
        <v>71</v>
      </c>
      <c r="I29" s="146"/>
      <c r="J29" s="146"/>
      <c r="K29" s="215" t="n">
        <f aca="false">M19+1</f>
        <v>44333</v>
      </c>
      <c r="L29" s="149" t="s">
        <v>74</v>
      </c>
      <c r="M29" s="150" t="n">
        <f aca="false">K29+6</f>
        <v>44339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8</v>
      </c>
      <c r="F39" s="144"/>
      <c r="G39" s="144"/>
      <c r="H39" s="146" t="s">
        <v>71</v>
      </c>
      <c r="I39" s="146"/>
      <c r="J39" s="146"/>
      <c r="K39" s="215" t="n">
        <f aca="false">M29+1</f>
        <v>44340</v>
      </c>
      <c r="L39" s="149" t="s">
        <v>74</v>
      </c>
      <c r="M39" s="150" t="n">
        <f aca="false">K39+6</f>
        <v>44346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n">
        <f aca="false">IF(T41=" ",AC31,T41+AC31)</f>
        <v>0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2</v>
      </c>
      <c r="F49" s="144"/>
      <c r="G49" s="144"/>
      <c r="H49" s="146" t="s">
        <v>71</v>
      </c>
      <c r="I49" s="146"/>
      <c r="J49" s="146"/>
      <c r="K49" s="215" t="n">
        <f aca="false">Admin!B27</f>
        <v>44317</v>
      </c>
      <c r="L49" s="149" t="s">
        <v>74</v>
      </c>
      <c r="M49" s="150" t="n">
        <f aca="false">Admin!B57</f>
        <v>44347</v>
      </c>
      <c r="N49" s="151"/>
      <c r="O49" s="198" t="s">
        <v>85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IF(T$49="Y",Apr!H51,0)</f>
        <v>0</v>
      </c>
      <c r="I51" s="168" t="n">
        <f aca="false">IF(T$49="Y",Apr!I51,0)</f>
        <v>0</v>
      </c>
      <c r="J51" s="168" t="n">
        <f aca="false">IF(T$49="Y",Apr!J51,0)</f>
        <v>0</v>
      </c>
      <c r="K51" s="168" t="n">
        <f aca="false">IF(T$49="Y",Apr!K51,I51*J51)</f>
        <v>0</v>
      </c>
      <c r="L51" s="166" t="n">
        <f aca="false">IF(T$49="Y",Apr!L51,0)</f>
        <v>0</v>
      </c>
      <c r="M51" s="170" t="str">
        <f aca="false">IF(E51=" "," ",IF(T$49="Y",Apr!M51,IF((H51+K51+L51)&gt;0,H51+K51+L51,"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IF(Employee!H$35=E$49,Employee!D$34+SUM(M51)+Apr!V51,SUM(M51)+Apr!V51)</f>
        <v>0</v>
      </c>
      <c r="W51" s="172" t="n">
        <f aca="false">IF(Employee!H$35=E$49,Employee!D$35+SUM(N51)+Apr!W51,SUM(N51)+Apr!W51)</f>
        <v>0</v>
      </c>
      <c r="X51" s="172" t="n">
        <f aca="false">IF(O51=" ",Apr!X51,O51+Apr!X51)</f>
        <v>0</v>
      </c>
      <c r="Y51" s="172" t="n">
        <f aca="false">IF(P51=" ",Apr!Y51,P51+Apr!Y51)</f>
        <v>0</v>
      </c>
      <c r="Z51" s="172" t="n">
        <f aca="false">IF(Q51=" ",Apr!Z51,Q51+Apr!Z51)</f>
        <v>0</v>
      </c>
      <c r="AA51" s="172" t="n">
        <f aca="false">IF(R51=" ",Apr!AA51,R51+Apr!AA51)</f>
        <v>0</v>
      </c>
      <c r="AC51" s="172" t="n">
        <f aca="false">IF(T51=" ",Apr!AC51,T51+Apr!AC51)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IF(T$49="Y",Apr!H52,0)</f>
        <v>0</v>
      </c>
      <c r="I52" s="177" t="n">
        <f aca="false">IF(T$49="Y",Apr!I52,0)</f>
        <v>0</v>
      </c>
      <c r="J52" s="177" t="n">
        <f aca="false">IF(T$49="Y",Apr!J52,0)</f>
        <v>0</v>
      </c>
      <c r="K52" s="177" t="n">
        <f aca="false">IF(T$49="Y",Apr!K52,I52*J52)</f>
        <v>0</v>
      </c>
      <c r="L52" s="179" t="n">
        <f aca="false">IF(T$49="Y",Apr!L52,0)</f>
        <v>0</v>
      </c>
      <c r="M52" s="180" t="str">
        <f aca="false">IF(E52=" "," ",IF(T$49="Y",Apr!M52,IF((H52+K52+L52)&gt;0,H52+K52+L52,"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IF(Employee!H$61=E$49,Employee!D$60+SUM(M52)+Apr!V52,SUM(M52)+Apr!V52)</f>
        <v>0</v>
      </c>
      <c r="W52" s="172" t="n">
        <f aca="false">IF(Employee!H$61=E$49,Employee!D$61+SUM(N52)+Apr!W52,SUM(N52)+Apr!W52)</f>
        <v>0</v>
      </c>
      <c r="X52" s="172" t="n">
        <f aca="false">IF(O52=" ",Apr!X52,O52+Apr!X52)</f>
        <v>0</v>
      </c>
      <c r="Y52" s="172" t="n">
        <f aca="false">IF(P52=" ",Apr!Y52,P52+Apr!Y52)</f>
        <v>0</v>
      </c>
      <c r="Z52" s="172" t="n">
        <f aca="false">IF(Q52=" ",Apr!Z52,Q52+Apr!Z52)</f>
        <v>0</v>
      </c>
      <c r="AA52" s="172" t="n">
        <f aca="false">IF(R52=" ",Apr!AA52,R52+Apr!AA52)</f>
        <v>0</v>
      </c>
      <c r="AC52" s="172" t="n">
        <f aca="false">IF(T52=" ",Apr!AC52,T52+Apr!AC52)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IF(T$49="Y",Apr!H53,0)</f>
        <v>0</v>
      </c>
      <c r="I53" s="177" t="n">
        <f aca="false">IF(T$49="Y",Apr!I53,0)</f>
        <v>0</v>
      </c>
      <c r="J53" s="177" t="n">
        <f aca="false">IF(T$49="Y",Apr!J53,0)</f>
        <v>0</v>
      </c>
      <c r="K53" s="177" t="n">
        <f aca="false">IF(T$49="Y",Apr!K53,I53*J53)</f>
        <v>0</v>
      </c>
      <c r="L53" s="179" t="n">
        <f aca="false">IF(T$49="Y",Apr!L53,0)</f>
        <v>0</v>
      </c>
      <c r="M53" s="180" t="str">
        <f aca="false">IF(E53=" "," ",IF(T$49="Y",Apr!M53,IF((H53+K53+L53)&gt;0,H53+K53+L53,"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IF(Employee!H$87=E$49,Employee!D$86+SUM(M53)+Apr!V53,SUM(M53)+Apr!V53)</f>
        <v>0</v>
      </c>
      <c r="W53" s="172" t="n">
        <f aca="false">IF(Employee!H$87=E$49,Employee!D$7+SUM(N53)+Apr!W53,SUM(N53)+Apr!W53)</f>
        <v>0</v>
      </c>
      <c r="X53" s="172" t="n">
        <f aca="false">IF(O53=" ",Apr!X53,O53+Apr!X53)</f>
        <v>0</v>
      </c>
      <c r="Y53" s="172" t="n">
        <f aca="false">IF(P53=" ",Apr!Y53,P53+Apr!Y53)</f>
        <v>0</v>
      </c>
      <c r="Z53" s="172" t="n">
        <f aca="false">IF(Q53=" ",Apr!Z53,Q53+Apr!Z53)</f>
        <v>0</v>
      </c>
      <c r="AA53" s="172" t="n">
        <f aca="false">IF(R53=" ",Apr!AA53,R53+Apr!AA53)</f>
        <v>0</v>
      </c>
      <c r="AC53" s="172" t="n">
        <f aca="false">IF(T53=" ",Apr!AC53,T53+Apr!AC53)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IF(T$49="Y",Apr!H54,0)</f>
        <v>0</v>
      </c>
      <c r="I54" s="177" t="n">
        <f aca="false">IF(T$49="Y",Apr!I54,0)</f>
        <v>0</v>
      </c>
      <c r="J54" s="177" t="n">
        <f aca="false">IF(T$49="Y",Apr!J54,0)</f>
        <v>0</v>
      </c>
      <c r="K54" s="177" t="n">
        <f aca="false">IF(T$49="Y",Apr!K54,I54*J54)</f>
        <v>0</v>
      </c>
      <c r="L54" s="179" t="n">
        <f aca="false">IF(T$49="Y",Apr!L54,0)</f>
        <v>0</v>
      </c>
      <c r="M54" s="180" t="str">
        <f aca="false">IF(E54=" "," ",IF(T$49="Y",Apr!M54,IF((H54+K54+L54)&gt;0,H54+K54+L54,"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IF(Employee!H$113=E$49,Employee!D$112+SUM(M54)+Apr!V54,SUM(M54)+Apr!V54)</f>
        <v>0</v>
      </c>
      <c r="W54" s="172" t="n">
        <f aca="false">IF(Employee!H$113=E$49,Employee!D$113+SUM(N54)+Apr!W54,SUM(N54)+Apr!W54)</f>
        <v>0</v>
      </c>
      <c r="X54" s="172" t="n">
        <f aca="false">IF(O54=" ",Apr!X54,O54+Apr!X54)</f>
        <v>0</v>
      </c>
      <c r="Y54" s="172" t="n">
        <f aca="false">IF(P54=" ",Apr!Y54,P54+Apr!Y54)</f>
        <v>0</v>
      </c>
      <c r="Z54" s="172" t="n">
        <f aca="false">IF(Q54=" ",Apr!Z54,Q54+Apr!Z54)</f>
        <v>0</v>
      </c>
      <c r="AA54" s="172" t="n">
        <f aca="false">IF(R54=" ",Apr!AA54,R54+Apr!AA54)</f>
        <v>0</v>
      </c>
      <c r="AC54" s="172" t="n">
        <f aca="false">IF(T54=" ",Apr!AC54,T54+Apr!AC54)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IF(T$49="Y",Apr!H55,0)</f>
        <v>0</v>
      </c>
      <c r="I55" s="182" t="n">
        <f aca="false">IF(T$49="Y",Apr!I55,0)</f>
        <v>0</v>
      </c>
      <c r="J55" s="182" t="n">
        <f aca="false">IF(T$49="Y",Apr!J55,0)</f>
        <v>0</v>
      </c>
      <c r="K55" s="182" t="n">
        <f aca="false">IF(T$49="Y",Apr!K55,I55*J55)</f>
        <v>0</v>
      </c>
      <c r="L55" s="183" t="n">
        <f aca="false">IF(T$49="Y",Apr!L55,0)</f>
        <v>0</v>
      </c>
      <c r="M55" s="180" t="str">
        <f aca="false">IF(E55=" "," ",IF(T$49="Y",Apr!M55,IF((H55+K55+L55)&gt;0,H55+K55+L55,"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IF(Employee!H$139=E$49,Employee!D$138+SUM(M55)+Apr!V55,SUM(M55)+Apr!V55)</f>
        <v>0</v>
      </c>
      <c r="W55" s="172" t="n">
        <f aca="false">IF(Employee!H$139=E$49,Employee!D$139+SUM(N55)+Apr!W55,SUM(N55)+Apr!W55)</f>
        <v>0</v>
      </c>
      <c r="X55" s="172" t="n">
        <f aca="false">IF(O55=" ",Apr!X55,O55+Apr!X55)</f>
        <v>0</v>
      </c>
      <c r="Y55" s="172" t="n">
        <f aca="false">IF(P55=" ",Apr!Y55,P55+Apr!Y55)</f>
        <v>0</v>
      </c>
      <c r="Z55" s="172" t="n">
        <f aca="false">IF(Q55=" ",Apr!Z55,Q55+Apr!Z55)</f>
        <v>0</v>
      </c>
      <c r="AA55" s="172" t="n">
        <f aca="false">IF(R55=" ",Apr!AA55,R55+Apr!AA55)</f>
        <v>0</v>
      </c>
      <c r="AC55" s="172" t="n">
        <f aca="false">IF(T55=" ",Apr!AC55,T55+Apr!AC55)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3.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AD60+Apr!AD65</f>
        <v>0</v>
      </c>
      <c r="AE65" s="240" t="n">
        <f aca="false">AE60+Apr!AE65</f>
        <v>0</v>
      </c>
      <c r="AF65" s="240" t="n">
        <f aca="false">AF60+Apr!AF65</f>
        <v>0</v>
      </c>
      <c r="AG65" s="240" t="n">
        <f aca="false">AG60+Apr!AG65</f>
        <v>0</v>
      </c>
    </row>
    <row r="66" customFormat="false" ht="13.5" hidden="false" customHeight="false" outlineLevel="0" collapsed="false"/>
    <row r="67" customFormat="false" ht="12.75" hidden="false" customHeight="false" outlineLevel="0" collapsed="false">
      <c r="AD67" s="233"/>
      <c r="AE67" s="240" t="n">
        <f aca="false">AE62+Apr!AE67</f>
        <v>0</v>
      </c>
      <c r="AF67" s="240" t="n">
        <f aca="false">AF62+Apr!AF67</f>
        <v>0</v>
      </c>
      <c r="AG67" s="240" t="n">
        <f aca="false">AG62+Apr!AG67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97" customFormat="true" ht="1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246" t="n">
        <f aca="false">SUM(AD70:AG70)+SUM(AE72:AG72)</f>
        <v>0</v>
      </c>
      <c r="H1" s="246"/>
      <c r="I1" s="247" t="s">
        <v>38</v>
      </c>
      <c r="J1" s="247"/>
      <c r="K1" s="247"/>
      <c r="L1" s="247"/>
      <c r="M1" s="248" t="n">
        <f aca="false">M16+M26+M36+M46+M56+M66</f>
        <v>0</v>
      </c>
      <c r="N1" s="248" t="n">
        <f aca="false">N16+N26+N36+N46+N56+N66</f>
        <v>0</v>
      </c>
      <c r="O1" s="248" t="n">
        <f aca="false">O16+O26+O36+O46+O56+O66</f>
        <v>0</v>
      </c>
      <c r="P1" s="248" t="n">
        <f aca="false">P16+P26+P36+P46+P56+P66</f>
        <v>0</v>
      </c>
      <c r="Q1" s="248" t="n">
        <f aca="false">Q16+Q26+Q36+Q46+Q56+Q66</f>
        <v>0</v>
      </c>
      <c r="R1" s="248" t="n">
        <f aca="false">R16+R26+R36+R46+R56+R66</f>
        <v>0</v>
      </c>
      <c r="S1" s="249"/>
      <c r="T1" s="248" t="n">
        <f aca="false">T16+T26+T36+T46+T56+T66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210"/>
    </row>
    <row r="2" s="97" customFormat="true" ht="1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M75</f>
        <v>0</v>
      </c>
      <c r="N2" s="106" t="n">
        <f aca="false">N75</f>
        <v>0</v>
      </c>
      <c r="O2" s="106" t="n">
        <f aca="false">O75</f>
        <v>0</v>
      </c>
      <c r="P2" s="106" t="n">
        <f aca="false">P75</f>
        <v>0</v>
      </c>
      <c r="Q2" s="106" t="n">
        <f aca="false">Q75</f>
        <v>0</v>
      </c>
      <c r="R2" s="106" t="n">
        <f aca="false">R75</f>
        <v>0</v>
      </c>
      <c r="S2" s="106" t="n">
        <f aca="false">S65</f>
        <v>0</v>
      </c>
      <c r="T2" s="106" t="n">
        <f aca="false">T75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210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9</v>
      </c>
      <c r="F9" s="144"/>
      <c r="G9" s="144"/>
      <c r="H9" s="146" t="s">
        <v>71</v>
      </c>
      <c r="I9" s="146"/>
      <c r="J9" s="146"/>
      <c r="K9" s="215" t="n">
        <f aca="false">May!M39+1</f>
        <v>44347</v>
      </c>
      <c r="L9" s="149" t="s">
        <v>74</v>
      </c>
      <c r="M9" s="150" t="n">
        <f aca="false">K9+6</f>
        <v>44353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IF(T$9="Y",May!H41,0)</f>
        <v>0</v>
      </c>
      <c r="I11" s="168" t="n">
        <f aca="false">IF(T$9="Y",May!I41,0)</f>
        <v>0</v>
      </c>
      <c r="J11" s="168" t="n">
        <f aca="false">IF(T$9="Y",May!J41,0)</f>
        <v>0</v>
      </c>
      <c r="K11" s="168" t="n">
        <f aca="false">IF(T$9="Y",May!K41,I11*J11)</f>
        <v>0</v>
      </c>
      <c r="L11" s="166" t="n">
        <f aca="false">IF(T$9="Y",May!L41,0)</f>
        <v>0</v>
      </c>
      <c r="M11" s="166" t="str">
        <f aca="false">IF(E11=" "," ",IF(T$9="Y",May!M41,IF((H11+K11+L11)&gt;0,H11+K11+L11,"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IF(Employee!H$34=E$9,Employee!D$34+SUM(M11)+May!V41,SUM(M11)+May!V41)</f>
        <v>0</v>
      </c>
      <c r="W11" s="172" t="n">
        <f aca="false">IF(Employee!H$34=E$9,Employee!D$35+SUM(N11)+May!W41,SUM(N11)+May!W41)</f>
        <v>0</v>
      </c>
      <c r="X11" s="172" t="n">
        <f aca="false">IF(O11=" ",May!X41,O11+May!X41)</f>
        <v>0</v>
      </c>
      <c r="Y11" s="172" t="n">
        <f aca="false">IF(P11=" ",May!Y41,P11+May!Y41)</f>
        <v>0</v>
      </c>
      <c r="Z11" s="172" t="n">
        <f aca="false">IF(Q11=" ",May!Z41,Q11+May!Z41)</f>
        <v>0</v>
      </c>
      <c r="AA11" s="172" t="n">
        <f aca="false">IF(R11=" ",May!AA41,R11+May!AA41)</f>
        <v>0</v>
      </c>
      <c r="AC11" s="172" t="n">
        <f aca="false">IF(T11=" ",May!AC41,T11+May!AC41)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IF(T$9="Y",May!H42,0)</f>
        <v>0</v>
      </c>
      <c r="I12" s="177" t="n">
        <f aca="false">IF(T$9="Y",May!I42,0)</f>
        <v>0</v>
      </c>
      <c r="J12" s="177" t="n">
        <f aca="false">IF(T$9="Y",May!J42,0)</f>
        <v>0</v>
      </c>
      <c r="K12" s="177" t="n">
        <f aca="false">IF(T$9="Y",May!K42,I12*J12)</f>
        <v>0</v>
      </c>
      <c r="L12" s="179" t="n">
        <f aca="false">IF(T$9="Y",May!L42,0)</f>
        <v>0</v>
      </c>
      <c r="M12" s="179" t="str">
        <f aca="false">IF(E12=" "," ",IF(T$9="Y",May!M42,IF((H12+K12+L12)&gt;0,H12+K12+L12,"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IF(Employee!H$60=E$9,Employee!D$60+SUM(M12)+May!V42,SUM(M12)+May!V42)</f>
        <v>0</v>
      </c>
      <c r="W12" s="172" t="n">
        <f aca="false">IF(Employee!H$60=E$9,Employee!D$61+SUM(N12)+May!W42,SUM(N12)+May!W42)</f>
        <v>0</v>
      </c>
      <c r="X12" s="172" t="n">
        <f aca="false">IF(O12=" ",May!X42,O12+May!X42)</f>
        <v>0</v>
      </c>
      <c r="Y12" s="172" t="n">
        <f aca="false">IF(P12=" ",May!Y42,P12+May!Y42)</f>
        <v>0</v>
      </c>
      <c r="Z12" s="172" t="n">
        <f aca="false">IF(Q12=" ",May!Z42,Q12+May!Z42)</f>
        <v>0</v>
      </c>
      <c r="AA12" s="172" t="n">
        <f aca="false">IF(R12=" ",May!AA42,R12+May!AA42)</f>
        <v>0</v>
      </c>
      <c r="AC12" s="172" t="n">
        <f aca="false">IF(T12=" ",May!AC42,T12+May!AC42)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IF(T$9="Y",May!H43,0)</f>
        <v>0</v>
      </c>
      <c r="I13" s="177" t="n">
        <f aca="false">IF(T$9="Y",May!I43,0)</f>
        <v>0</v>
      </c>
      <c r="J13" s="177" t="n">
        <f aca="false">IF(T$9="Y",May!J43,0)</f>
        <v>0</v>
      </c>
      <c r="K13" s="177" t="n">
        <f aca="false">IF(T$9="Y",May!K43,I13*J13)</f>
        <v>0</v>
      </c>
      <c r="L13" s="179" t="n">
        <f aca="false">IF(T$9="Y",May!L43,0)</f>
        <v>0</v>
      </c>
      <c r="M13" s="179" t="str">
        <f aca="false">IF(E13=" "," ",IF(T$9="Y",May!M43,IF((H13+K13+L13)&gt;0,H13+K13+L13,"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IF(Employee!H$86=E$9,Employee!D$86+SUM(M13)+May!V43,SUM(M13)+May!V43)</f>
        <v>0</v>
      </c>
      <c r="W13" s="172" t="n">
        <f aca="false">IF(Employee!H$86=E$9,Employee!D$87+SUM(N13)+May!W43,SUM(N13)+May!W43)</f>
        <v>0</v>
      </c>
      <c r="X13" s="172" t="n">
        <f aca="false">IF(O13=" ",May!X43,O13+May!X43)</f>
        <v>0</v>
      </c>
      <c r="Y13" s="172" t="n">
        <f aca="false">IF(P13=" ",May!Y43,P13+May!Y43)</f>
        <v>0</v>
      </c>
      <c r="Z13" s="172" t="n">
        <f aca="false">IF(Q13=" ",May!Z43,Q13+May!Z43)</f>
        <v>0</v>
      </c>
      <c r="AA13" s="172" t="n">
        <f aca="false">IF(R13=" ",May!AA43,R13+May!AA43)</f>
        <v>0</v>
      </c>
      <c r="AC13" s="172" t="n">
        <f aca="false">IF(T13=" ",May!AC43,T13+May!AC43)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IF(T$9="Y",May!H44,0)</f>
        <v>0</v>
      </c>
      <c r="I14" s="177" t="n">
        <f aca="false">IF(T$9="Y",May!I44,0)</f>
        <v>0</v>
      </c>
      <c r="J14" s="177" t="n">
        <f aca="false">IF(T$9="Y",May!J44,0)</f>
        <v>0</v>
      </c>
      <c r="K14" s="177" t="n">
        <f aca="false">IF(T$9="Y",May!K44,I14*J14)</f>
        <v>0</v>
      </c>
      <c r="L14" s="179" t="n">
        <f aca="false">IF(T$9="Y",May!L44,0)</f>
        <v>0</v>
      </c>
      <c r="M14" s="179" t="str">
        <f aca="false">IF(E14=" "," ",IF(T$9="Y",May!M44,IF((H14+K14+L14)&gt;0,H14+K14+L14,"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IF(Employee!H$112=E$9,Employee!D$112+SUM(M14)+May!V44,SUM(M14)+May!V44)</f>
        <v>0</v>
      </c>
      <c r="W14" s="172" t="n">
        <f aca="false">IF(Employee!H$112=E$9,Employee!D$113+SUM(N14)+May!W44,SUM(N14)+May!W44)</f>
        <v>0</v>
      </c>
      <c r="X14" s="172" t="n">
        <f aca="false">IF(O14=" ",May!X44,O14+May!X44)</f>
        <v>0</v>
      </c>
      <c r="Y14" s="172" t="n">
        <f aca="false">IF(P14=" ",May!Y44,P14+May!Y44)</f>
        <v>0</v>
      </c>
      <c r="Z14" s="172" t="n">
        <f aca="false">IF(Q14=" ",May!Z44,Q14+May!Z44)</f>
        <v>0</v>
      </c>
      <c r="AA14" s="172" t="n">
        <f aca="false">IF(R14=" ",May!AA44,R14+May!AA44)</f>
        <v>0</v>
      </c>
      <c r="AC14" s="172" t="n">
        <f aca="false">IF(T14=" ",May!AC44,T14+May!AC44)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IF(T$9="Y",May!H45,0)</f>
        <v>0</v>
      </c>
      <c r="I15" s="182" t="n">
        <f aca="false">IF(T$9="Y",May!I45,0)</f>
        <v>0</v>
      </c>
      <c r="J15" s="182" t="n">
        <f aca="false">IF(T$9="Y",May!J45,0)</f>
        <v>0</v>
      </c>
      <c r="K15" s="182" t="n">
        <f aca="false">IF(T$9="Y",May!K45,I15*J15)</f>
        <v>0</v>
      </c>
      <c r="L15" s="183" t="n">
        <f aca="false">IF(T$9="Y",May!L45,0)</f>
        <v>0</v>
      </c>
      <c r="M15" s="179" t="str">
        <f aca="false">IF(E15=" "," ",IF(T$9="Y",May!M45,IF((H15+K15+L15)&gt;0,H15+K15+L15,"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IF(Employee!H$138=E$9,Employee!D$138+SUM(M15)+May!V45,SUM(M15)+May!V45)</f>
        <v>0</v>
      </c>
      <c r="W15" s="172" t="n">
        <f aca="false">IF(Employee!H$138=E$9,Employee!D$139+SUM(N15)+May!W45,SUM(N15)+May!W45)</f>
        <v>0</v>
      </c>
      <c r="X15" s="172" t="n">
        <f aca="false">IF(O15=" ",May!X45,O15+May!X45)</f>
        <v>0</v>
      </c>
      <c r="Y15" s="172" t="n">
        <f aca="false">IF(P15=" ",May!Y45,P15+May!Y45)</f>
        <v>0</v>
      </c>
      <c r="Z15" s="172" t="n">
        <f aca="false">IF(Q15=" ",May!Z45,Q15+May!Z45)</f>
        <v>0</v>
      </c>
      <c r="AA15" s="172" t="n">
        <f aca="false">IF(R15=" ",May!AA45,R15+May!AA45)</f>
        <v>0</v>
      </c>
      <c r="AC15" s="172" t="n">
        <f aca="false">IF(T15=" ",May!AC45,T15+May!AC45)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10</v>
      </c>
      <c r="F19" s="144"/>
      <c r="G19" s="144"/>
      <c r="H19" s="146" t="s">
        <v>71</v>
      </c>
      <c r="I19" s="146"/>
      <c r="J19" s="146"/>
      <c r="K19" s="215" t="n">
        <f aca="false">M9+1</f>
        <v>44354</v>
      </c>
      <c r="L19" s="149" t="s">
        <v>74</v>
      </c>
      <c r="M19" s="150" t="n">
        <f aca="false">K19+6</f>
        <v>44360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11</v>
      </c>
      <c r="F29" s="144"/>
      <c r="G29" s="144"/>
      <c r="H29" s="146" t="s">
        <v>71</v>
      </c>
      <c r="I29" s="146"/>
      <c r="J29" s="146"/>
      <c r="K29" s="215" t="n">
        <f aca="false">M19+1</f>
        <v>44361</v>
      </c>
      <c r="L29" s="149" t="s">
        <v>74</v>
      </c>
      <c r="M29" s="150" t="n">
        <f aca="false">K29+6</f>
        <v>44367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12</v>
      </c>
      <c r="F39" s="144"/>
      <c r="G39" s="144"/>
      <c r="H39" s="146" t="s">
        <v>71</v>
      </c>
      <c r="I39" s="146"/>
      <c r="J39" s="146"/>
      <c r="K39" s="215" t="n">
        <f aca="false">M29+1</f>
        <v>44368</v>
      </c>
      <c r="L39" s="149" t="s">
        <v>74</v>
      </c>
      <c r="M39" s="150" t="n">
        <f aca="false">K39+6</f>
        <v>44374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.75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n">
        <f aca="false">IF(T41=" ",AC31,T41+AC31)</f>
        <v>0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01"/>
      <c r="AE47" s="101"/>
      <c r="AF47" s="101"/>
      <c r="AG47" s="101"/>
      <c r="AH47" s="144"/>
    </row>
    <row r="48" s="127" customFormat="true" ht="18.75" hidden="false" customHeight="true" outlineLevel="0" collapsed="false">
      <c r="A48" s="134"/>
      <c r="B48" s="135" t="s">
        <v>70</v>
      </c>
      <c r="C48" s="135"/>
      <c r="D48" s="135"/>
      <c r="E48" s="135"/>
      <c r="F48" s="136"/>
      <c r="G48" s="136"/>
      <c r="H48" s="136"/>
      <c r="I48" s="136"/>
      <c r="J48" s="136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250"/>
      <c r="V48" s="130"/>
      <c r="W48" s="130"/>
      <c r="X48" s="130"/>
      <c r="Y48" s="131"/>
      <c r="Z48" s="130"/>
      <c r="AA48" s="130"/>
      <c r="AB48" s="132"/>
      <c r="AC48" s="130"/>
      <c r="AD48" s="101"/>
      <c r="AE48" s="101"/>
      <c r="AF48" s="101"/>
      <c r="AG48" s="101"/>
      <c r="AH48" s="144"/>
    </row>
    <row r="49" s="127" customFormat="true" ht="18.75" hidden="false" customHeight="true" outlineLevel="0" collapsed="false">
      <c r="A49" s="145"/>
      <c r="B49" s="146" t="s">
        <v>72</v>
      </c>
      <c r="C49" s="146"/>
      <c r="D49" s="146"/>
      <c r="E49" s="147" t="n">
        <v>13</v>
      </c>
      <c r="F49" s="144"/>
      <c r="G49" s="144"/>
      <c r="H49" s="146" t="s">
        <v>71</v>
      </c>
      <c r="I49" s="146"/>
      <c r="J49" s="146"/>
      <c r="K49" s="215" t="n">
        <f aca="false">M39+1</f>
        <v>44375</v>
      </c>
      <c r="L49" s="149" t="s">
        <v>74</v>
      </c>
      <c r="M49" s="150" t="n">
        <f aca="false">K49+6</f>
        <v>44381</v>
      </c>
      <c r="N49" s="151"/>
      <c r="O49" s="198" t="s">
        <v>77</v>
      </c>
      <c r="P49" s="198"/>
      <c r="Q49" s="198"/>
      <c r="R49" s="198"/>
      <c r="S49" s="144"/>
      <c r="T49" s="199"/>
      <c r="U49" s="250"/>
      <c r="V49" s="130"/>
      <c r="W49" s="130"/>
      <c r="X49" s="130"/>
      <c r="Y49" s="131"/>
      <c r="Z49" s="130"/>
      <c r="AA49" s="130"/>
      <c r="AB49" s="132"/>
      <c r="AC49" s="130"/>
      <c r="AD49" s="101"/>
      <c r="AE49" s="101"/>
      <c r="AF49" s="101"/>
      <c r="AG49" s="101"/>
      <c r="AH49" s="144"/>
    </row>
    <row r="50" s="127" customFormat="tru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250"/>
      <c r="V50" s="130"/>
      <c r="W50" s="130"/>
      <c r="X50" s="130"/>
      <c r="Y50" s="131"/>
      <c r="Z50" s="130"/>
      <c r="AA50" s="130"/>
      <c r="AB50" s="132"/>
      <c r="AC50" s="130"/>
      <c r="AD50" s="101"/>
      <c r="AE50" s="101"/>
      <c r="AF50" s="101"/>
      <c r="AG50" s="101"/>
      <c r="AH50" s="144"/>
    </row>
    <row r="51" s="127" customFormat="true" ht="18.75" hidden="false" customHeight="true" outlineLevel="0" collapsed="false">
      <c r="A51" s="145"/>
      <c r="B51" s="159" t="str">
        <f aca="false">IF(E51=" "," ",IF(Employee!F$24&gt;E$39," ",IF(Employee!F$26&lt;E$39," ",Employee!D$30)))</f>
        <v> </v>
      </c>
      <c r="C51" s="160"/>
      <c r="D51" s="160" t="s">
        <v>75</v>
      </c>
      <c r="E51" s="213" t="str">
        <f aca="false">IF(Employee!D$28="m"," ",IF(Employee!F$24&gt;E$39," ",IF(Employee!F$26&lt;E$39," ",Employee!D$29)))</f>
        <v> </v>
      </c>
      <c r="F51" s="162" t="str">
        <f aca="false">IF(E51=" "," ",IF(Employee!F$24&gt;E$39," ",IF(Employee!F$26&lt;E$39," ",Employee!D$15)))</f>
        <v> </v>
      </c>
      <c r="G51" s="212"/>
      <c r="H51" s="164" t="n">
        <f aca="false">IF(T$39="Y",H41,0)</f>
        <v>0</v>
      </c>
      <c r="I51" s="168" t="n">
        <f aca="false">IF(T$39="Y",I41,0)</f>
        <v>0</v>
      </c>
      <c r="J51" s="168" t="n">
        <f aca="false">IF(T$39="Y",J41,0)</f>
        <v>0</v>
      </c>
      <c r="K51" s="168" t="n">
        <f aca="false">IF(T$39="Y",K41,I51*J51)</f>
        <v>0</v>
      </c>
      <c r="L51" s="168" t="n">
        <f aca="false">IF(T$39="Y",L41,0)</f>
        <v>0</v>
      </c>
      <c r="M51" s="170" t="str">
        <f aca="false">IF(E51=" "," ",IF(T$39="Y",M41,IF((H51+K51+L51)&gt;0,H51+K51+L51,"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250"/>
      <c r="V51" s="172" t="n">
        <f aca="false">IF(Employee!H$34=E$49,Employee!D$34+SUM(M51)+V41,SUM(M51)+V41)</f>
        <v>0</v>
      </c>
      <c r="W51" s="172" t="n">
        <f aca="false">IF(Employee!H$34=E$49,Employee!D$35+SUM(N51)+W41,SUM(N51)+W41)</f>
        <v>0</v>
      </c>
      <c r="X51" s="172" t="n">
        <f aca="false">IF(O51=" ",X41,O51+X41)</f>
        <v>0</v>
      </c>
      <c r="Y51" s="172" t="n">
        <f aca="false">IF(P51=0,Y41,P51+Y41)</f>
        <v>0</v>
      </c>
      <c r="Z51" s="172" t="n">
        <f aca="false">IF(Q51=0,Z41,Q51+Z41)</f>
        <v>0</v>
      </c>
      <c r="AA51" s="172" t="n">
        <f aca="false">IF(R51=" ",AA41,AA41+R51)</f>
        <v>0</v>
      </c>
      <c r="AB51" s="99"/>
      <c r="AC51" s="172" t="n">
        <f aca="false">IF(T51=" ",AC41,T51+AC41)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s="127" customFormat="true" ht="18.75" hidden="false" customHeight="true" outlineLevel="0" collapsed="false">
      <c r="A52" s="145"/>
      <c r="B52" s="173" t="str">
        <f aca="false">IF(E52=" "," ",IF(Employee!F$50&gt;E$39," ",IF(Employee!F$52&lt;E$39," ",Employee!D$56)))</f>
        <v> </v>
      </c>
      <c r="C52" s="160"/>
      <c r="D52" s="160" t="s">
        <v>75</v>
      </c>
      <c r="E52" s="214" t="str">
        <f aca="false">IF(Employee!D$54="m"," ",IF(Employee!F$50&gt;E$39," ",IF(Employee!F$52&lt;E$39," ",Employee!D$55)))</f>
        <v> </v>
      </c>
      <c r="F52" s="175" t="str">
        <f aca="false">IF(E52=" "," ",IF(Employee!F$50&gt;E$39," ",IF(Employee!F$52&lt;E$39," ",Employee!D$41)))</f>
        <v> </v>
      </c>
      <c r="G52" s="212"/>
      <c r="H52" s="176" t="n">
        <f aca="false">IF(T$39="Y",H42,0)</f>
        <v>0</v>
      </c>
      <c r="I52" s="177" t="n">
        <f aca="false">IF(T$39="Y",I42,0)</f>
        <v>0</v>
      </c>
      <c r="J52" s="177" t="n">
        <f aca="false">IF(T$39="Y",J42,0)</f>
        <v>0</v>
      </c>
      <c r="K52" s="177" t="n">
        <f aca="false">IF(T$39="Y",K42,I52*J52)</f>
        <v>0</v>
      </c>
      <c r="L52" s="177" t="n">
        <f aca="false">IF(T$39="Y",L42,0)</f>
        <v>0</v>
      </c>
      <c r="M52" s="180" t="str">
        <f aca="false">IF(E52=" "," ",IF(T$39="Y",M42,IF((H52+K52+L52)&gt;0,H52+K52+L52,"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250"/>
      <c r="V52" s="172" t="n">
        <f aca="false">IF(Employee!H$60=E$49,Employee!D$60+SUM(M52)+V42,SUM(M52)+V42)</f>
        <v>0</v>
      </c>
      <c r="W52" s="172" t="n">
        <f aca="false">IF(Employee!H$60=E$49,Employee!D$61+SUM(N52)+W42,SUM(N52)+W42)</f>
        <v>0</v>
      </c>
      <c r="X52" s="172" t="n">
        <f aca="false">IF(O52=" ",X42,O52+X42)</f>
        <v>0</v>
      </c>
      <c r="Y52" s="172" t="n">
        <f aca="false">IF(P52=0,Y42,P52+Y42)</f>
        <v>0</v>
      </c>
      <c r="Z52" s="172" t="n">
        <f aca="false">IF(Q52=0,Z42,Q52+Z42)</f>
        <v>0</v>
      </c>
      <c r="AA52" s="172" t="n">
        <f aca="false">IF(R52=" ",AA42,AA42+R52)</f>
        <v>0</v>
      </c>
      <c r="AB52" s="99"/>
      <c r="AC52" s="172" t="n">
        <f aca="false">IF(T52=" ",AC42,T52+AC42)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s="127" customFormat="true" ht="18.75" hidden="false" customHeight="true" outlineLevel="0" collapsed="false">
      <c r="A53" s="145"/>
      <c r="B53" s="173" t="str">
        <f aca="false">IF(E53=" "," ",IF(Employee!F$76&gt;E$39," ",IF(Employee!F$78&lt;E$39," ",Employee!D$82)))</f>
        <v> </v>
      </c>
      <c r="C53" s="160"/>
      <c r="D53" s="160" t="s">
        <v>75</v>
      </c>
      <c r="E53" s="214" t="str">
        <f aca="false">IF(Employee!D$80="m"," ",IF(Employee!F$76&gt;E$39," ",IF(Employee!F$78&lt;E$39," ",Employee!D$81)))</f>
        <v> </v>
      </c>
      <c r="F53" s="175" t="str">
        <f aca="false">IF(E53=" "," ",IF(Employee!F$76&gt;E$39," ",IF(Employee!F$78&lt;E$39," ",Employee!D$67)))</f>
        <v> </v>
      </c>
      <c r="G53" s="212"/>
      <c r="H53" s="176" t="n">
        <f aca="false">IF(T$39="Y",H43,0)</f>
        <v>0</v>
      </c>
      <c r="I53" s="177" t="n">
        <f aca="false">IF(T$39="Y",I43,0)</f>
        <v>0</v>
      </c>
      <c r="J53" s="177" t="n">
        <f aca="false">IF(T$39="Y",J43,0)</f>
        <v>0</v>
      </c>
      <c r="K53" s="177" t="n">
        <f aca="false">IF(T$39="Y",K43,I53*J53)</f>
        <v>0</v>
      </c>
      <c r="L53" s="177" t="n">
        <f aca="false">IF(T$39="Y",L43,0)</f>
        <v>0</v>
      </c>
      <c r="M53" s="180" t="str">
        <f aca="false">IF(E53=" "," ",IF(T$39="Y",M43,IF((H53+K53+L53)&gt;0,H53+K53+L53,"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250"/>
      <c r="V53" s="172" t="n">
        <f aca="false">IF(Employee!H$86=E$49,Employee!D$86+SUM(M53)+V43,SUM(M53)+V43)</f>
        <v>0</v>
      </c>
      <c r="W53" s="172" t="n">
        <f aca="false">IF(Employee!H$86=E$49,Employee!D$87+SUM(N53)+W43,SUM(N53)+W43)</f>
        <v>0</v>
      </c>
      <c r="X53" s="172" t="n">
        <f aca="false">IF(O53=" ",X43,O53+X43)</f>
        <v>0</v>
      </c>
      <c r="Y53" s="172" t="n">
        <f aca="false">IF(P53=0,Y43,P53+Y43)</f>
        <v>0</v>
      </c>
      <c r="Z53" s="172" t="n">
        <f aca="false">IF(Q53=0,Z43,Q53+Z43)</f>
        <v>0</v>
      </c>
      <c r="AA53" s="172" t="n">
        <f aca="false">IF(R53=" ",AA43,AA43+R53)</f>
        <v>0</v>
      </c>
      <c r="AB53" s="99"/>
      <c r="AC53" s="172" t="n">
        <f aca="false">IF(T53=" ",AC43,T53+AC43)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s="127" customFormat="true" ht="18.75" hidden="false" customHeight="true" outlineLevel="0" collapsed="false">
      <c r="A54" s="145"/>
      <c r="B54" s="173" t="str">
        <f aca="false">IF(E54=" "," ",IF(Employee!F$102&gt;E$39," ",IF(Employee!F$104&lt;E$39," ",Employee!D$108)))</f>
        <v> </v>
      </c>
      <c r="C54" s="160"/>
      <c r="D54" s="160" t="s">
        <v>75</v>
      </c>
      <c r="E54" s="214" t="str">
        <f aca="false">IF(Employee!D$106="m"," ",IF(Employee!F$102&gt;E$39," ",IF(Employee!F$104&lt;E$39," ",Employee!D$107)))</f>
        <v> </v>
      </c>
      <c r="F54" s="175" t="str">
        <f aca="false">IF(E54=" "," ",IF(Employee!F$102&gt;E$39," ",IF(Employee!F$104&lt;E$39," ",Employee!D$93)))</f>
        <v> </v>
      </c>
      <c r="G54" s="212"/>
      <c r="H54" s="176" t="n">
        <f aca="false">IF(T$39="Y",H44,0)</f>
        <v>0</v>
      </c>
      <c r="I54" s="177" t="n">
        <f aca="false">IF(T$39="Y",I44,0)</f>
        <v>0</v>
      </c>
      <c r="J54" s="177" t="n">
        <f aca="false">IF(T$39="Y",J44,0)</f>
        <v>0</v>
      </c>
      <c r="K54" s="177" t="n">
        <f aca="false">IF(T$39="Y",K44,I54*J54)</f>
        <v>0</v>
      </c>
      <c r="L54" s="177" t="n">
        <f aca="false">IF(T$39="Y",L44,0)</f>
        <v>0</v>
      </c>
      <c r="M54" s="180" t="str">
        <f aca="false">IF(E54=" "," ",IF(T$39="Y",M44,IF((H54+K54+L54)&gt;0,H54+K54+L54,"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250"/>
      <c r="V54" s="172" t="n">
        <f aca="false">IF(Employee!H$112=E$49,Employee!D$112+SUM(M54)+V44,SUM(M54)+V44)</f>
        <v>0</v>
      </c>
      <c r="W54" s="172" t="n">
        <f aca="false">IF(Employee!H$112=E$49,Employee!D$113+SUM(N54)+W44,SUM(N54)+W44)</f>
        <v>0</v>
      </c>
      <c r="X54" s="172" t="n">
        <f aca="false">IF(O54=" ",X44,O54+X44)</f>
        <v>0</v>
      </c>
      <c r="Y54" s="172" t="n">
        <f aca="false">IF(P54=0,Y44,P54+Y44)</f>
        <v>0</v>
      </c>
      <c r="Z54" s="172" t="n">
        <f aca="false">IF(Q54=0,Z44,Q54+Z44)</f>
        <v>0</v>
      </c>
      <c r="AA54" s="172" t="n">
        <f aca="false">IF(R54=" ",AA44,AA44+R54)</f>
        <v>0</v>
      </c>
      <c r="AB54" s="99"/>
      <c r="AC54" s="172" t="n">
        <f aca="false">IF(T54=" ",AC44,T54+AC44)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s="127" customFormat="true" ht="18.75" hidden="false" customHeight="true" outlineLevel="0" collapsed="false">
      <c r="A55" s="145"/>
      <c r="B55" s="173" t="str">
        <f aca="false">IF(E55=" "," ",IF(Employee!F$128&gt;E$39," ",IF(Employee!F$130&lt;E$39," ",Employee!D$134)))</f>
        <v> </v>
      </c>
      <c r="C55" s="160"/>
      <c r="D55" s="160" t="s">
        <v>75</v>
      </c>
      <c r="E55" s="214" t="str">
        <f aca="false">IF(Employee!D$132="m"," ",IF(Employee!F$128&gt;E$39," ",IF(Employee!F$130&lt;E$39," ",Employee!D$133)))</f>
        <v> </v>
      </c>
      <c r="F55" s="175" t="str">
        <f aca="false">IF(E55=" "," ",IF(Employee!F$128&gt;E$39," ",IF(Employee!F$130&lt;E$39," ",Employee!D$119)))</f>
        <v> </v>
      </c>
      <c r="G55" s="212"/>
      <c r="H55" s="176" t="n">
        <f aca="false">IF(T$39="Y",H45,0)</f>
        <v>0</v>
      </c>
      <c r="I55" s="177" t="n">
        <f aca="false">IF(T$39="Y",I45,0)</f>
        <v>0</v>
      </c>
      <c r="J55" s="177" t="n">
        <f aca="false">IF(T$39="Y",J45,0)</f>
        <v>0</v>
      </c>
      <c r="K55" s="177" t="n">
        <f aca="false">IF(T$39="Y",K45,I55*J55)</f>
        <v>0</v>
      </c>
      <c r="L55" s="177" t="n">
        <f aca="false">IF(T$39="Y",L45,0)</f>
        <v>0</v>
      </c>
      <c r="M55" s="180" t="str">
        <f aca="false">IF(E55=" "," ",IF(T$39="Y",M45,IF((H55+K55+L55)&gt;0,H55+K55+L55,"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250"/>
      <c r="V55" s="172" t="n">
        <f aca="false">IF(Employee!H$138=E$49,Employee!D$138+SUM(M55)+V45,SUM(M55)+V45)</f>
        <v>0</v>
      </c>
      <c r="W55" s="172" t="n">
        <f aca="false">IF(Employee!H$138=E$49,Employee!D$139+SUM(N55)+W45,SUM(N55)+W45)</f>
        <v>0</v>
      </c>
      <c r="X55" s="172" t="n">
        <f aca="false">IF(O55=" ",X45,O55+X45)</f>
        <v>0</v>
      </c>
      <c r="Y55" s="172" t="n">
        <f aca="false">IF(P55=0,Y45,P55+Y45)</f>
        <v>0</v>
      </c>
      <c r="Z55" s="172" t="n">
        <f aca="false">IF(Q55=0,Z45,Q55+Z45)</f>
        <v>0</v>
      </c>
      <c r="AA55" s="172" t="n">
        <f aca="false">IF(R55=" ",AA45,AA45+R55)</f>
        <v>0</v>
      </c>
      <c r="AB55" s="99"/>
      <c r="AC55" s="172" t="n">
        <f aca="false">IF(T55=" ",AC45,T55+AC45)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s="127" customFormat="true" ht="18.75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190"/>
      <c r="I56" s="191"/>
      <c r="J56" s="191"/>
      <c r="K56" s="192"/>
      <c r="L56" s="192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250"/>
      <c r="V56" s="130"/>
      <c r="W56" s="130"/>
      <c r="X56" s="130"/>
      <c r="Y56" s="131"/>
      <c r="Z56" s="130"/>
      <c r="AA56" s="130"/>
      <c r="AB56" s="132"/>
      <c r="AC56" s="130"/>
      <c r="AD56" s="101"/>
      <c r="AE56" s="101"/>
      <c r="AF56" s="101"/>
      <c r="AG56" s="101"/>
      <c r="AH56" s="144"/>
    </row>
    <row r="57" s="127" customFormat="true" ht="24" hidden="false" customHeight="true" outlineLevel="0" collapsed="false">
      <c r="A57" s="126"/>
      <c r="B57" s="251"/>
      <c r="C57" s="251"/>
      <c r="D57" s="251"/>
      <c r="E57" s="251"/>
      <c r="F57" s="251"/>
      <c r="G57" s="251"/>
      <c r="H57" s="251"/>
      <c r="I57" s="251"/>
      <c r="J57" s="251"/>
      <c r="K57" s="251"/>
      <c r="L57" s="251"/>
      <c r="M57" s="251"/>
      <c r="N57" s="251"/>
      <c r="O57" s="251"/>
      <c r="P57" s="251"/>
      <c r="Q57" s="251"/>
      <c r="R57" s="251"/>
      <c r="S57" s="251"/>
      <c r="T57" s="251"/>
      <c r="U57" s="250"/>
      <c r="V57" s="130"/>
      <c r="W57" s="130"/>
      <c r="X57" s="130"/>
      <c r="Y57" s="131"/>
      <c r="Z57" s="130"/>
      <c r="AA57" s="130"/>
      <c r="AB57" s="132"/>
      <c r="AC57" s="130"/>
      <c r="AD57" s="101"/>
      <c r="AE57" s="101"/>
      <c r="AF57" s="101"/>
      <c r="AG57" s="101"/>
      <c r="AH57" s="144"/>
    </row>
    <row r="58" customFormat="false" ht="18" hidden="false" customHeight="true" outlineLevel="0" collapsed="false">
      <c r="A58" s="134"/>
      <c r="B58" s="135" t="s">
        <v>78</v>
      </c>
      <c r="C58" s="135"/>
      <c r="D58" s="135"/>
      <c r="E58" s="135"/>
      <c r="F58" s="136"/>
      <c r="G58" s="136"/>
      <c r="H58" s="140"/>
      <c r="I58" s="140"/>
      <c r="J58" s="140"/>
      <c r="K58" s="139"/>
      <c r="L58" s="139"/>
      <c r="M58" s="140"/>
      <c r="N58" s="136"/>
      <c r="O58" s="141" t="s">
        <v>71</v>
      </c>
      <c r="P58" s="141"/>
      <c r="Q58" s="141"/>
      <c r="R58" s="197"/>
      <c r="S58" s="197"/>
      <c r="T58" s="197"/>
      <c r="U58" s="143"/>
      <c r="AH58" s="144"/>
    </row>
    <row r="59" customFormat="false" ht="18" hidden="false" customHeight="true" outlineLevel="0" collapsed="false">
      <c r="A59" s="145"/>
      <c r="B59" s="146" t="s">
        <v>79</v>
      </c>
      <c r="C59" s="146"/>
      <c r="D59" s="146"/>
      <c r="E59" s="147" t="n">
        <v>3</v>
      </c>
      <c r="F59" s="144"/>
      <c r="G59" s="144"/>
      <c r="H59" s="146" t="s">
        <v>71</v>
      </c>
      <c r="I59" s="146"/>
      <c r="J59" s="146"/>
      <c r="K59" s="215" t="n">
        <f aca="false">Admin!B58</f>
        <v>44348</v>
      </c>
      <c r="L59" s="149" t="s">
        <v>74</v>
      </c>
      <c r="M59" s="150" t="n">
        <f aca="false">Admin!B87</f>
        <v>44377</v>
      </c>
      <c r="N59" s="151"/>
      <c r="O59" s="198" t="s">
        <v>85</v>
      </c>
      <c r="P59" s="198"/>
      <c r="Q59" s="198"/>
      <c r="R59" s="198"/>
      <c r="S59" s="144"/>
      <c r="T59" s="245"/>
      <c r="U59" s="153"/>
      <c r="AH59" s="144"/>
    </row>
    <row r="60" customFormat="false" ht="18" hidden="false" customHeight="true" outlineLevel="0" collapsed="false">
      <c r="A60" s="145"/>
      <c r="B60" s="209"/>
      <c r="C60" s="210"/>
      <c r="D60" s="210"/>
      <c r="E60" s="211"/>
      <c r="F60" s="144"/>
      <c r="G60" s="144"/>
      <c r="H60" s="152"/>
      <c r="I60" s="152"/>
      <c r="J60" s="152"/>
      <c r="K60" s="157"/>
      <c r="L60" s="157"/>
      <c r="M60" s="152"/>
      <c r="N60" s="144"/>
      <c r="O60" s="152"/>
      <c r="P60" s="152"/>
      <c r="Q60" s="152"/>
      <c r="R60" s="152"/>
      <c r="S60" s="144"/>
      <c r="T60" s="152"/>
      <c r="U60" s="153"/>
      <c r="AH60" s="144"/>
    </row>
    <row r="61" customFormat="false" ht="18" hidden="false" customHeight="true" outlineLevel="0" collapsed="false">
      <c r="A61" s="145"/>
      <c r="B61" s="159" t="str">
        <f aca="false">IF(E61=" "," ",IF(Employee!F$24&gt;E$59," ",IF(Employee!F$26&lt;E$59," ",Employee!D$30)))</f>
        <v> </v>
      </c>
      <c r="C61" s="160"/>
      <c r="D61" s="160" t="s">
        <v>75</v>
      </c>
      <c r="E61" s="213" t="str">
        <f aca="false">IF(Employee!D$28="w"," ",IF(Employee!F$24&gt;E$59," ",IF(Employee!F$26&lt;E$59," ",Employee!D$29)))</f>
        <v> </v>
      </c>
      <c r="F61" s="162" t="str">
        <f aca="false">IF(E61=" "," ",IF(Employee!F$24&gt;E$59," ",IF(Employee!F$26&lt;E$59," ",Employee!D$15)))</f>
        <v> </v>
      </c>
      <c r="G61" s="212"/>
      <c r="H61" s="164" t="n">
        <f aca="false">IF(T$59="Y",May!H51,0)</f>
        <v>0</v>
      </c>
      <c r="I61" s="168" t="n">
        <f aca="false">IF(T$59="Y",May!I51,0)</f>
        <v>0</v>
      </c>
      <c r="J61" s="168" t="n">
        <f aca="false">IF(T$59="Y",May!J51,0)</f>
        <v>0</v>
      </c>
      <c r="K61" s="168" t="n">
        <f aca="false">IF(T$59="Y",May!K51,I61*J61)</f>
        <v>0</v>
      </c>
      <c r="L61" s="166" t="n">
        <f aca="false">IF(T$59="Y",May!L51,0)</f>
        <v>0</v>
      </c>
      <c r="M61" s="170" t="str">
        <f aca="false">IF(E61=" "," ",IF(T$59="Y",May!M51,IF((H61+K61+L61)&gt;0,H61+K61+L61," ")))</f>
        <v> </v>
      </c>
      <c r="N61" s="164" t="n">
        <v>0</v>
      </c>
      <c r="O61" s="168" t="n">
        <v>0</v>
      </c>
      <c r="P61" s="168" t="n">
        <v>0</v>
      </c>
      <c r="Q61" s="166" t="n">
        <v>0</v>
      </c>
      <c r="R61" s="252" t="str">
        <f aca="false">IF(M61=" "," ",IF(M61=0," ",M61-SUM(N61:Q61)))</f>
        <v> </v>
      </c>
      <c r="S61" s="107"/>
      <c r="T61" s="170" t="n">
        <v>0</v>
      </c>
      <c r="U61" s="171"/>
      <c r="V61" s="172" t="n">
        <f aca="false">IF(Employee!H$35=E$59,Employee!D$34+SUM(M61)+May!V51,SUM(M61)+May!V51)</f>
        <v>0</v>
      </c>
      <c r="W61" s="172" t="n">
        <f aca="false">IF(Employee!H$35=E$59,Employee!D$35+SUM(N61)+May!W51,SUM(N61)+May!W51)</f>
        <v>0</v>
      </c>
      <c r="X61" s="172" t="n">
        <f aca="false">IF(O61=" ",May!X51,O61+May!X51)</f>
        <v>0</v>
      </c>
      <c r="Y61" s="172" t="n">
        <f aca="false">IF(P61=" ",May!Y51,P61+May!Y51)</f>
        <v>0</v>
      </c>
      <c r="Z61" s="172" t="n">
        <f aca="false">IF(Q61=" ",May!Z51,Q61+May!Z51)</f>
        <v>0</v>
      </c>
      <c r="AA61" s="172" t="n">
        <f aca="false">IF(R61=" ",May!AA51,R61+May!AA51)</f>
        <v>0</v>
      </c>
      <c r="AC61" s="172" t="n">
        <f aca="false">IF(T61=" ",May!AC51,T61+May!AC51)</f>
        <v>0</v>
      </c>
      <c r="AD61" s="101" t="n">
        <f aca="false">IF(G61="SSP",H61,0)</f>
        <v>0</v>
      </c>
      <c r="AE61" s="101" t="n">
        <f aca="false">IF(G61="SMP",H61,0)</f>
        <v>0</v>
      </c>
      <c r="AF61" s="101" t="n">
        <f aca="false">IF(G61="SPP",H61,0)</f>
        <v>0</v>
      </c>
      <c r="AG61" s="101" t="n">
        <f aca="false">IF(G61="SAP",H61,0)</f>
        <v>0</v>
      </c>
      <c r="AH61" s="144"/>
    </row>
    <row r="62" customFormat="false" ht="18" hidden="false" customHeight="true" outlineLevel="0" collapsed="false">
      <c r="A62" s="145"/>
      <c r="B62" s="173" t="str">
        <f aca="false">IF(E62=" "," ",IF(Employee!F$50&gt;E$59," ",IF(Employee!F$52&lt;E$59," ",Employee!D$56)))</f>
        <v> </v>
      </c>
      <c r="C62" s="160"/>
      <c r="D62" s="160" t="s">
        <v>75</v>
      </c>
      <c r="E62" s="214" t="str">
        <f aca="false">IF(Employee!D$54="w"," ",IF(Employee!F$50&gt;E$59," ",IF(Employee!F$52&lt;E$59," ",Employee!D$55)))</f>
        <v> </v>
      </c>
      <c r="F62" s="175" t="str">
        <f aca="false">IF(E62=" "," ",IF(Employee!F$50&gt;E$59," ",IF(Employee!F$52&lt;E$59," ",Employee!D$41)))</f>
        <v> </v>
      </c>
      <c r="G62" s="212"/>
      <c r="H62" s="176" t="n">
        <f aca="false">IF(T$59="Y",May!H52,0)</f>
        <v>0</v>
      </c>
      <c r="I62" s="177" t="n">
        <f aca="false">IF(T$59="Y",May!I52,0)</f>
        <v>0</v>
      </c>
      <c r="J62" s="177" t="n">
        <f aca="false">IF(T$59="Y",May!J52,0)</f>
        <v>0</v>
      </c>
      <c r="K62" s="177" t="n">
        <f aca="false">IF(T$59="Y",May!K52,I62*J62)</f>
        <v>0</v>
      </c>
      <c r="L62" s="179" t="n">
        <f aca="false">IF(T$59="Y",May!L52,0)</f>
        <v>0</v>
      </c>
      <c r="M62" s="180" t="str">
        <f aca="false">IF(E62=" "," ",IF(T$59="Y",May!M52,IF((H62+K62+L62)&gt;0,H62+K62+L62," ")))</f>
        <v> </v>
      </c>
      <c r="N62" s="176" t="n">
        <v>0</v>
      </c>
      <c r="O62" s="177" t="n">
        <v>0</v>
      </c>
      <c r="P62" s="177" t="n">
        <v>0</v>
      </c>
      <c r="Q62" s="179" t="n">
        <v>0</v>
      </c>
      <c r="R62" s="253" t="str">
        <f aca="false">IF(M62=" "," ",IF(M62=0," ",M62-SUM(N62:Q62)))</f>
        <v> </v>
      </c>
      <c r="S62" s="107"/>
      <c r="T62" s="180" t="n">
        <v>0</v>
      </c>
      <c r="U62" s="171"/>
      <c r="V62" s="172" t="n">
        <f aca="false">IF(Employee!H$61=E$59,Employee!D$60+SUM(M62)+May!V52,SUM(M62)+May!V52)</f>
        <v>0</v>
      </c>
      <c r="W62" s="172" t="n">
        <f aca="false">IF(Employee!H$61=E$59,Employee!D$61+SUM(N62)+May!W52,SUM(N62)+May!W52)</f>
        <v>0</v>
      </c>
      <c r="X62" s="172" t="n">
        <f aca="false">IF(O62=" ",May!X52,O62+May!X52)</f>
        <v>0</v>
      </c>
      <c r="Y62" s="172" t="n">
        <f aca="false">IF(P62=" ",May!Y52,P62+May!Y52)</f>
        <v>0</v>
      </c>
      <c r="Z62" s="172" t="n">
        <f aca="false">IF(Q62=" ",May!Z52,Q62+May!Z52)</f>
        <v>0</v>
      </c>
      <c r="AA62" s="172" t="n">
        <f aca="false">IF(R62=" ",May!AA52,R62+May!AA52)</f>
        <v>0</v>
      </c>
      <c r="AC62" s="172" t="n">
        <f aca="false">IF(T62=" ",May!AC52,T62+May!AC52)</f>
        <v>0</v>
      </c>
      <c r="AD62" s="101" t="n">
        <f aca="false">IF(G62="SSP",H62,0)</f>
        <v>0</v>
      </c>
      <c r="AE62" s="101" t="n">
        <f aca="false">IF(G62="SMP",H62,0)</f>
        <v>0</v>
      </c>
      <c r="AF62" s="101" t="n">
        <f aca="false">IF(G62="SPP",H62,0)</f>
        <v>0</v>
      </c>
      <c r="AG62" s="101" t="n">
        <f aca="false">IF(G62="SAP",H62,0)</f>
        <v>0</v>
      </c>
      <c r="AH62" s="144"/>
    </row>
    <row r="63" customFormat="false" ht="18" hidden="false" customHeight="true" outlineLevel="0" collapsed="false">
      <c r="A63" s="145"/>
      <c r="B63" s="173" t="str">
        <f aca="false">IF(E63=" "," ",IF(Employee!F$76&gt;E$59," ",IF(Employee!F$78&lt;E$59," ",Employee!D$82)))</f>
        <v> </v>
      </c>
      <c r="C63" s="160"/>
      <c r="D63" s="160" t="s">
        <v>75</v>
      </c>
      <c r="E63" s="214" t="str">
        <f aca="false">IF(Employee!D$80="w"," ",IF(Employee!F$76&gt;E$59," ",IF(Employee!F$78&lt;E$59," ",Employee!D$81)))</f>
        <v> </v>
      </c>
      <c r="F63" s="175" t="str">
        <f aca="false">IF(E63=" "," ",IF(Employee!F$76&gt;E$59," ",IF(Employee!F$78&lt;E$59," ",Employee!D$67)))</f>
        <v> </v>
      </c>
      <c r="G63" s="212"/>
      <c r="H63" s="176" t="n">
        <f aca="false">IF(T$59="Y",May!H53,0)</f>
        <v>0</v>
      </c>
      <c r="I63" s="177" t="n">
        <f aca="false">IF(T$59="Y",May!I53,0)</f>
        <v>0</v>
      </c>
      <c r="J63" s="177" t="n">
        <f aca="false">IF(T$59="Y",May!J53,0)</f>
        <v>0</v>
      </c>
      <c r="K63" s="177" t="n">
        <f aca="false">IF(T$59="Y",May!K53,I63*J63)</f>
        <v>0</v>
      </c>
      <c r="L63" s="179" t="n">
        <f aca="false">IF(T$59="Y",May!L53,0)</f>
        <v>0</v>
      </c>
      <c r="M63" s="180" t="str">
        <f aca="false">IF(E63=" "," ",IF(T$59="Y",May!M53,IF((H63+K63+L63)&gt;0,H63+K63+L63," ")))</f>
        <v> </v>
      </c>
      <c r="N63" s="176" t="n">
        <v>0</v>
      </c>
      <c r="O63" s="177" t="n">
        <v>0</v>
      </c>
      <c r="P63" s="177" t="n">
        <v>0</v>
      </c>
      <c r="Q63" s="179" t="n">
        <v>0</v>
      </c>
      <c r="R63" s="253" t="str">
        <f aca="false">IF(M63=" "," ",IF(M63=0," ",M63-SUM(N63:Q63)))</f>
        <v> </v>
      </c>
      <c r="S63" s="107"/>
      <c r="T63" s="180" t="n">
        <v>0</v>
      </c>
      <c r="U63" s="171"/>
      <c r="V63" s="172" t="n">
        <f aca="false">IF(Employee!H$87=E$59,Employee!D$86+SUM(M63)+May!V53,SUM(M63)+May!V53)</f>
        <v>0</v>
      </c>
      <c r="W63" s="172" t="n">
        <f aca="false">IF(Employee!H$87=E$59,Employee!D$87+SUM(N63)+May!W53,SUM(N63)+May!W53)</f>
        <v>0</v>
      </c>
      <c r="X63" s="172" t="n">
        <f aca="false">IF(O63=" ",May!X53,O63+May!X53)</f>
        <v>0</v>
      </c>
      <c r="Y63" s="172" t="n">
        <f aca="false">IF(P63=" ",May!Y53,P63+May!Y53)</f>
        <v>0</v>
      </c>
      <c r="Z63" s="172" t="n">
        <f aca="false">IF(Q63=" ",May!Z53,Q63+May!Z53)</f>
        <v>0</v>
      </c>
      <c r="AA63" s="172" t="n">
        <f aca="false">IF(R63=" ",May!AA53,R63+May!AA53)</f>
        <v>0</v>
      </c>
      <c r="AC63" s="172" t="n">
        <f aca="false">IF(T63=" ",May!AC53,T63+May!AC53)</f>
        <v>0</v>
      </c>
      <c r="AD63" s="101" t="n">
        <f aca="false">IF(G63="SSP",H63,0)</f>
        <v>0</v>
      </c>
      <c r="AE63" s="101" t="n">
        <f aca="false">IF(G63="SMP",H63,0)</f>
        <v>0</v>
      </c>
      <c r="AF63" s="101" t="n">
        <f aca="false">IF(G63="SPP",H63,0)</f>
        <v>0</v>
      </c>
      <c r="AG63" s="101" t="n">
        <f aca="false">IF(G63="SAP",H63,0)</f>
        <v>0</v>
      </c>
      <c r="AH63" s="144"/>
    </row>
    <row r="64" customFormat="false" ht="18" hidden="false" customHeight="true" outlineLevel="0" collapsed="false">
      <c r="A64" s="145"/>
      <c r="B64" s="173" t="str">
        <f aca="false">IF(E64=" "," ",IF(Employee!F$102&gt;E$59," ",IF(Employee!F$104&lt;E$59," ",Employee!D$108)))</f>
        <v> </v>
      </c>
      <c r="C64" s="160"/>
      <c r="D64" s="160" t="s">
        <v>75</v>
      </c>
      <c r="E64" s="214" t="str">
        <f aca="false">IF(Employee!D$106="w"," ",IF(Employee!F$102&gt;E$59," ",IF(Employee!F$104&lt;E$59," ",Employee!D$107)))</f>
        <v> </v>
      </c>
      <c r="F64" s="175" t="str">
        <f aca="false">IF(E64=" "," ",IF(Employee!F$102&gt;E$59," ",IF(Employee!F$104&lt;E$59," ",Employee!D$93)))</f>
        <v> </v>
      </c>
      <c r="G64" s="212"/>
      <c r="H64" s="176" t="n">
        <f aca="false">IF(T$59="Y",May!H54,0)</f>
        <v>0</v>
      </c>
      <c r="I64" s="177" t="n">
        <f aca="false">IF(T$59="Y",May!I54,0)</f>
        <v>0</v>
      </c>
      <c r="J64" s="177" t="n">
        <f aca="false">IF(T$59="Y",May!J54,0)</f>
        <v>0</v>
      </c>
      <c r="K64" s="177" t="n">
        <f aca="false">IF(T$59="Y",May!K54,I64*J64)</f>
        <v>0</v>
      </c>
      <c r="L64" s="179" t="n">
        <f aca="false">IF(T$59="Y",May!L54,0)</f>
        <v>0</v>
      </c>
      <c r="M64" s="180" t="str">
        <f aca="false">IF(E64=" "," ",IF(T$59="Y",May!M54,IF((H64+K64+L64)&gt;0,H64+K64+L64," ")))</f>
        <v> </v>
      </c>
      <c r="N64" s="176" t="n">
        <v>0</v>
      </c>
      <c r="O64" s="177" t="n">
        <v>0</v>
      </c>
      <c r="P64" s="177" t="n">
        <v>0</v>
      </c>
      <c r="Q64" s="179" t="n">
        <v>0</v>
      </c>
      <c r="R64" s="253" t="str">
        <f aca="false">IF(M64=" "," ",IF(M64=0," ",M64-SUM(N64:Q64)))</f>
        <v> </v>
      </c>
      <c r="S64" s="107"/>
      <c r="T64" s="180" t="n">
        <v>0</v>
      </c>
      <c r="U64" s="171"/>
      <c r="V64" s="172" t="n">
        <f aca="false">IF(Employee!H$113=E$59,Employee!D$112+SUM(M64)+May!V54,SUM(M64)+May!V54)</f>
        <v>0</v>
      </c>
      <c r="W64" s="172" t="n">
        <f aca="false">IF(Employee!H$113=E$59,Employee!D$113+SUM(N64)+May!W54,SUM(N64)+May!W54)</f>
        <v>0</v>
      </c>
      <c r="X64" s="172" t="n">
        <f aca="false">IF(O64=" ",May!X54,O64+May!X54)</f>
        <v>0</v>
      </c>
      <c r="Y64" s="172" t="n">
        <f aca="false">IF(P64=" ",May!Y54,P64+May!Y54)</f>
        <v>0</v>
      </c>
      <c r="Z64" s="172" t="n">
        <f aca="false">IF(Q64=" ",May!Z54,Q64+May!Z54)</f>
        <v>0</v>
      </c>
      <c r="AA64" s="172" t="n">
        <f aca="false">IF(R64=" ",May!AA54,R64+May!AA54)</f>
        <v>0</v>
      </c>
      <c r="AC64" s="172" t="n">
        <f aca="false">IF(T64=" ",May!AC54,T64+May!AC54)</f>
        <v>0</v>
      </c>
      <c r="AD64" s="101" t="n">
        <f aca="false">IF(G64="SSP",H64,0)</f>
        <v>0</v>
      </c>
      <c r="AE64" s="101" t="n">
        <f aca="false">IF(G64="SMP",H64,0)</f>
        <v>0</v>
      </c>
      <c r="AF64" s="101" t="n">
        <f aca="false">IF(G64="SPP",H64,0)</f>
        <v>0</v>
      </c>
      <c r="AG64" s="101" t="n">
        <f aca="false">IF(G64="SAP",H64,0)</f>
        <v>0</v>
      </c>
      <c r="AH64" s="144"/>
    </row>
    <row r="65" customFormat="false" ht="18" hidden="false" customHeight="true" outlineLevel="0" collapsed="false">
      <c r="A65" s="145"/>
      <c r="B65" s="173" t="str">
        <f aca="false">IF(E65=" "," ",IF(Employee!F$128&gt;E$59," ",IF(Employee!F$130&lt;E$59," ",Employee!D$134)))</f>
        <v> </v>
      </c>
      <c r="C65" s="160"/>
      <c r="D65" s="160" t="s">
        <v>75</v>
      </c>
      <c r="E65" s="214" t="str">
        <f aca="false">IF(Employee!D$132="w"," ",IF(Employee!F$128&gt;E$59," ",IF(Employee!F$130&lt;E$59," ",Employee!D$133)))</f>
        <v> </v>
      </c>
      <c r="F65" s="175" t="str">
        <f aca="false">IF(E65=" "," ",IF(Employee!F$128&gt;E$59," ",IF(Employee!F$130&lt;E$59," ",Employee!D$119)))</f>
        <v> </v>
      </c>
      <c r="G65" s="212"/>
      <c r="H65" s="181" t="n">
        <f aca="false">IF(T$59="Y",May!H55,0)</f>
        <v>0</v>
      </c>
      <c r="I65" s="182" t="n">
        <f aca="false">IF(T$59="Y",May!I55,0)</f>
        <v>0</v>
      </c>
      <c r="J65" s="182" t="n">
        <f aca="false">IF(T$59="Y",May!J55,0)</f>
        <v>0</v>
      </c>
      <c r="K65" s="182" t="n">
        <f aca="false">IF(T$59="Y",May!K55,I65*J65)</f>
        <v>0</v>
      </c>
      <c r="L65" s="183" t="n">
        <f aca="false">IF(T$59="Y",May!L55,0)</f>
        <v>0</v>
      </c>
      <c r="M65" s="180" t="str">
        <f aca="false">IF(E65=" "," ",IF(T$59="Y",May!M55,IF((H65+K65+L65)&gt;0,H65+K65+L65," ")))</f>
        <v> </v>
      </c>
      <c r="N65" s="181" t="n">
        <v>0</v>
      </c>
      <c r="O65" s="182" t="n">
        <v>0</v>
      </c>
      <c r="P65" s="182" t="n">
        <v>0</v>
      </c>
      <c r="Q65" s="183" t="n">
        <v>0</v>
      </c>
      <c r="R65" s="253" t="str">
        <f aca="false">IF(M65=" "," ",IF(M65=0," ",M65-SUM(N65:Q65)))</f>
        <v> </v>
      </c>
      <c r="S65" s="107"/>
      <c r="T65" s="184" t="n">
        <v>0</v>
      </c>
      <c r="U65" s="171"/>
      <c r="V65" s="172" t="n">
        <f aca="false">IF(Employee!H$139=E$59,Employee!D$138+SUM(M65)+May!V55,SUM(M65)+May!V55)</f>
        <v>0</v>
      </c>
      <c r="W65" s="172" t="n">
        <f aca="false">IF(Employee!H$139=E$59,Employee!D$139+SUM(N65)+May!W55,SUM(N65)+May!W55)</f>
        <v>0</v>
      </c>
      <c r="X65" s="172" t="n">
        <f aca="false">IF(O65=" ",May!X55,O65+May!X55)</f>
        <v>0</v>
      </c>
      <c r="Y65" s="172" t="n">
        <f aca="false">IF(P65=" ",May!Y55,P65+May!Y55)</f>
        <v>0</v>
      </c>
      <c r="Z65" s="172" t="n">
        <f aca="false">IF(Q65=" ",May!Z55,Q65+May!Z55)</f>
        <v>0</v>
      </c>
      <c r="AA65" s="172" t="n">
        <f aca="false">IF(R65=" ",May!AA55,R65+May!AA55)</f>
        <v>0</v>
      </c>
      <c r="AC65" s="172" t="n">
        <f aca="false">IF(T65=" ",May!AC55,T65+May!AC55)</f>
        <v>0</v>
      </c>
      <c r="AD65" s="101" t="n">
        <f aca="false">IF(G65="SSP",H65,0)</f>
        <v>0</v>
      </c>
      <c r="AE65" s="101" t="n">
        <f aca="false">IF(G65="SMP",H65,0)</f>
        <v>0</v>
      </c>
      <c r="AF65" s="101" t="n">
        <f aca="false">IF(G65="SPP",H65,0)</f>
        <v>0</v>
      </c>
      <c r="AG65" s="101" t="n">
        <f aca="false">IF(G65="SAP",H65,0)</f>
        <v>0</v>
      </c>
      <c r="AH65" s="144"/>
    </row>
    <row r="66" customFormat="false" ht="18" hidden="false" customHeight="true" outlineLevel="0" collapsed="false">
      <c r="A66" s="185"/>
      <c r="B66" s="186"/>
      <c r="C66" s="187"/>
      <c r="D66" s="187"/>
      <c r="E66" s="188"/>
      <c r="F66" s="207" t="s">
        <v>76</v>
      </c>
      <c r="G66" s="207"/>
      <c r="H66" s="242"/>
      <c r="I66" s="243"/>
      <c r="J66" s="243"/>
      <c r="K66" s="244"/>
      <c r="L66" s="244"/>
      <c r="M66" s="193" t="n">
        <f aca="false">SUM(M61:M65)</f>
        <v>0</v>
      </c>
      <c r="N66" s="193" t="n">
        <f aca="false">SUM(N61:N65)</f>
        <v>0</v>
      </c>
      <c r="O66" s="193" t="n">
        <f aca="false">SUM(O61:O65)</f>
        <v>0</v>
      </c>
      <c r="P66" s="193" t="n">
        <f aca="false">SUM(P61:P65)</f>
        <v>0</v>
      </c>
      <c r="Q66" s="193" t="n">
        <f aca="false">SUM(Q61:Q65)</f>
        <v>0</v>
      </c>
      <c r="R66" s="193" t="n">
        <f aca="false">SUM(R61:R65)</f>
        <v>0</v>
      </c>
      <c r="S66" s="107"/>
      <c r="T66" s="193" t="n">
        <f aca="false">SUM(T61:T65)</f>
        <v>0</v>
      </c>
      <c r="U66" s="195"/>
      <c r="V66" s="172"/>
      <c r="AH66" s="144"/>
    </row>
    <row r="67" customFormat="false" ht="24" hidden="false" customHeight="true" outlineLevel="0" collapsed="false"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44"/>
    </row>
    <row r="68" customFormat="false" ht="12.75" hidden="false" customHeight="true" outlineLevel="0" collapsed="false">
      <c r="AD68" s="217" t="n">
        <f aca="false">SUM(AD11:AD66)</f>
        <v>0</v>
      </c>
      <c r="AE68" s="217" t="n">
        <f aca="false">SUM(AE11:AE66)</f>
        <v>0</v>
      </c>
      <c r="AF68" s="217" t="n">
        <f aca="false">SUM(AF11:AF66)</f>
        <v>0</v>
      </c>
      <c r="AG68" s="217" t="n">
        <f aca="false">SUM(AG11:AG66)</f>
        <v>0</v>
      </c>
    </row>
    <row r="69" customFormat="false" ht="13.5" hidden="false" customHeight="true" outlineLevel="0" collapsed="false">
      <c r="F69" s="218" t="s">
        <v>82</v>
      </c>
      <c r="G69" s="219"/>
      <c r="H69" s="219"/>
      <c r="M69" s="220" t="s">
        <v>83</v>
      </c>
      <c r="N69" s="220"/>
      <c r="O69" s="220"/>
      <c r="P69" s="220"/>
      <c r="Q69" s="220"/>
      <c r="R69" s="220"/>
      <c r="T69" s="221"/>
    </row>
    <row r="70" customFormat="false" ht="12.75" hidden="false" customHeight="true" outlineLevel="0" collapsed="false">
      <c r="F70" s="222" t="str">
        <f aca="false">IF(B61="D",Employee!D15," ")</f>
        <v> </v>
      </c>
      <c r="M70" s="223" t="str">
        <f aca="false">IF(B61="D",M61," ")</f>
        <v> </v>
      </c>
      <c r="N70" s="224" t="str">
        <f aca="false">IF(B61="D",N61," ")</f>
        <v> </v>
      </c>
      <c r="O70" s="224" t="str">
        <f aca="false">IF(B61="D",O61," ")</f>
        <v> </v>
      </c>
      <c r="P70" s="224" t="str">
        <f aca="false">IF(B61="D",P61," ")</f>
        <v> </v>
      </c>
      <c r="Q70" s="224" t="str">
        <f aca="false">IF(B61="D",Q61," ")</f>
        <v> </v>
      </c>
      <c r="R70" s="225" t="str">
        <f aca="false">IF(B61="D",R61," ")</f>
        <v> </v>
      </c>
      <c r="S70" s="226"/>
      <c r="T70" s="227" t="str">
        <f aca="false">IF(B61="D",T61," ")</f>
        <v> </v>
      </c>
      <c r="AD70" s="228" t="n">
        <f aca="false">IF((AD68-(O1+T1)*0.13)&gt;0,AD68-(Q1+T1)*0.13,0)</f>
        <v>0</v>
      </c>
      <c r="AE70" s="228" t="n">
        <f aca="false">AE68</f>
        <v>0</v>
      </c>
      <c r="AF70" s="228" t="n">
        <f aca="false">AF68</f>
        <v>0</v>
      </c>
      <c r="AG70" s="228" t="n">
        <f aca="false">AG68</f>
        <v>0</v>
      </c>
    </row>
    <row r="71" customFormat="false" ht="12.75" hidden="false" customHeight="false" outlineLevel="0" collapsed="false">
      <c r="F71" s="222" t="str">
        <f aca="false">IF(B62="D",Employee!D41," ")</f>
        <v> </v>
      </c>
      <c r="M71" s="229" t="str">
        <f aca="false">IF(B62="D",M62," ")</f>
        <v> </v>
      </c>
      <c r="N71" s="230" t="str">
        <f aca="false">IF(B62="D",N62," ")</f>
        <v> </v>
      </c>
      <c r="O71" s="230" t="str">
        <f aca="false">IF(B62="D",O62," ")</f>
        <v> </v>
      </c>
      <c r="P71" s="230" t="str">
        <f aca="false">IF(B62="D",P62," ")</f>
        <v> </v>
      </c>
      <c r="Q71" s="230" t="str">
        <f aca="false">IF(B62="D",Q62," ")</f>
        <v> </v>
      </c>
      <c r="R71" s="231" t="str">
        <f aca="false">IF(B62="D",R62," ")</f>
        <v> </v>
      </c>
      <c r="S71" s="226"/>
      <c r="T71" s="232" t="str">
        <f aca="false">IF(B62="D",T62," ")</f>
        <v> </v>
      </c>
    </row>
    <row r="72" customFormat="false" ht="12.75" hidden="false" customHeight="true" outlineLevel="0" collapsed="false">
      <c r="F72" s="222" t="str">
        <f aca="false">IF(B63="D",Employee!D67," ")</f>
        <v> </v>
      </c>
      <c r="M72" s="229" t="str">
        <f aca="false">IF(B63="D",M63," ")</f>
        <v> </v>
      </c>
      <c r="N72" s="230" t="str">
        <f aca="false">IF(B63="D",N63," ")</f>
        <v> </v>
      </c>
      <c r="O72" s="230" t="str">
        <f aca="false">IF(B63="D",O63," ")</f>
        <v> </v>
      </c>
      <c r="P72" s="230" t="str">
        <f aca="false">IF(B63="D",P63," ")</f>
        <v> </v>
      </c>
      <c r="Q72" s="230" t="str">
        <f aca="false">IF(B63="D",Q63," ")</f>
        <v> </v>
      </c>
      <c r="R72" s="231" t="str">
        <f aca="false">IF(B63="D",R63," ")</f>
        <v> </v>
      </c>
      <c r="S72" s="226"/>
      <c r="T72" s="232" t="str">
        <f aca="false">IF(B63="D",T63," ")</f>
        <v> </v>
      </c>
      <c r="AD72" s="233"/>
      <c r="AE72" s="228" t="n">
        <f aca="false">AE70*0.045</f>
        <v>0</v>
      </c>
      <c r="AF72" s="228" t="n">
        <f aca="false">AF70*0.045</f>
        <v>0</v>
      </c>
      <c r="AG72" s="228" t="n">
        <f aca="false">AG70*0.045</f>
        <v>0</v>
      </c>
    </row>
    <row r="73" customFormat="false" ht="12.75" hidden="false" customHeight="false" outlineLevel="0" collapsed="false">
      <c r="F73" s="222" t="str">
        <f aca="false">IF(B64="D",Employee!D93," ")</f>
        <v> </v>
      </c>
      <c r="M73" s="229" t="str">
        <f aca="false">IF(B64="D",M64," ")</f>
        <v> </v>
      </c>
      <c r="N73" s="230" t="str">
        <f aca="false">IF(B64="D",N64," ")</f>
        <v> </v>
      </c>
      <c r="O73" s="230" t="str">
        <f aca="false">IF(B64="D",O64," ")</f>
        <v> </v>
      </c>
      <c r="P73" s="230" t="str">
        <f aca="false">IF(B64="D",P64," ")</f>
        <v> </v>
      </c>
      <c r="Q73" s="230" t="str">
        <f aca="false">IF(B64="D",Q64," ")</f>
        <v> </v>
      </c>
      <c r="R73" s="231" t="str">
        <f aca="false">IF(B64="D",R64," ")</f>
        <v> </v>
      </c>
      <c r="S73" s="226"/>
      <c r="T73" s="232" t="str">
        <f aca="false">IF(B64="D",T64," ")</f>
        <v> </v>
      </c>
    </row>
    <row r="74" customFormat="false" ht="12.75" hidden="false" customHeight="false" outlineLevel="0" collapsed="false">
      <c r="F74" s="222" t="str">
        <f aca="false">IF(B65="D",Employee!D119," ")</f>
        <v> </v>
      </c>
      <c r="M74" s="234" t="str">
        <f aca="false">IF(B65="D",M65," ")</f>
        <v> </v>
      </c>
      <c r="N74" s="235" t="str">
        <f aca="false">IF(B65="D",N65," ")</f>
        <v> </v>
      </c>
      <c r="O74" s="235" t="str">
        <f aca="false">IF(B65="D",O65," ")</f>
        <v> </v>
      </c>
      <c r="P74" s="235" t="str">
        <f aca="false">IF(B65="D",P65," ")</f>
        <v> </v>
      </c>
      <c r="Q74" s="235" t="str">
        <f aca="false">IF(B65="D",Q65," ")</f>
        <v> </v>
      </c>
      <c r="R74" s="236" t="str">
        <f aca="false">IF(B65="D",R65," ")</f>
        <v> </v>
      </c>
      <c r="S74" s="226"/>
      <c r="T74" s="237" t="str">
        <f aca="false">IF(B65="D",T65," ")</f>
        <v> </v>
      </c>
    </row>
    <row r="75" customFormat="false" ht="12.75" hidden="false" customHeight="false" outlineLevel="0" collapsed="false">
      <c r="F75" s="238" t="s">
        <v>84</v>
      </c>
      <c r="M75" s="239" t="n">
        <f aca="false">SUM(M70:M74)</f>
        <v>0</v>
      </c>
      <c r="N75" s="239" t="n">
        <f aca="false">SUM(N70:N74)</f>
        <v>0</v>
      </c>
      <c r="O75" s="239" t="n">
        <f aca="false">SUM(O70:O74)</f>
        <v>0</v>
      </c>
      <c r="P75" s="239" t="n">
        <f aca="false">SUM(P70:P74)</f>
        <v>0</v>
      </c>
      <c r="Q75" s="239" t="n">
        <f aca="false">SUM(Q70:Q74)</f>
        <v>0</v>
      </c>
      <c r="R75" s="239" t="n">
        <f aca="false">SUM(R70:R74)</f>
        <v>0</v>
      </c>
      <c r="S75" s="226"/>
      <c r="T75" s="239" t="n">
        <f aca="false">SUM(T70:T74)</f>
        <v>0</v>
      </c>
      <c r="AD75" s="240" t="n">
        <f aca="false">AD70+May!AD65</f>
        <v>0</v>
      </c>
      <c r="AE75" s="240" t="n">
        <f aca="false">AE70+May!AE65</f>
        <v>0</v>
      </c>
      <c r="AF75" s="240" t="n">
        <f aca="false">AF70+May!AF65</f>
        <v>0</v>
      </c>
      <c r="AG75" s="240" t="n">
        <f aca="false">AG70+May!AG65</f>
        <v>0</v>
      </c>
    </row>
    <row r="77" customFormat="false" ht="12.75" hidden="false" customHeight="false" outlineLevel="0" collapsed="false">
      <c r="AD77" s="233"/>
      <c r="AE77" s="240" t="n">
        <f aca="false">AE72+May!AE67</f>
        <v>0</v>
      </c>
      <c r="AF77" s="240" t="n">
        <f aca="false">AF72+May!AF67</f>
        <v>0</v>
      </c>
      <c r="AG77" s="240" t="n">
        <f aca="false">AG72+May!AG67</f>
        <v>0</v>
      </c>
    </row>
  </sheetData>
  <mergeCells count="86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8:E58"/>
    <mergeCell ref="O58:Q58"/>
    <mergeCell ref="R58:T58"/>
    <mergeCell ref="B59:D59"/>
    <mergeCell ref="H59:J59"/>
    <mergeCell ref="O59:R59"/>
    <mergeCell ref="F66:G66"/>
    <mergeCell ref="B67:T67"/>
    <mergeCell ref="M69:R69"/>
  </mergeCells>
  <dataValidations count="1">
    <dataValidation allowBlank="true" errorStyle="stop" operator="between" showDropDown="false" showErrorMessage="true" showInputMessage="false" sqref="G11:G15 G21:G25 G31:G35 G41:G45 G51:G55 G61:G6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4" manualBreakCount="4">
    <brk id="23" man="true" max="16383" min="0"/>
    <brk id="35" man="true" max="16383" min="0"/>
    <brk id="62" man="true" max="16383" min="0"/>
    <brk id="79" man="true" max="16383" min="0"/>
  </rowBreaks>
  <colBreaks count="1" manualBreakCount="1">
    <brk id="11" man="true" max="65535" min="0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15" hidden="false" customHeight="true" outlineLevel="0" collapsed="false">
      <c r="A7" s="250"/>
      <c r="B7" s="254"/>
      <c r="C7" s="254"/>
      <c r="D7" s="254"/>
      <c r="E7" s="255"/>
      <c r="F7" s="256"/>
      <c r="G7" s="122"/>
      <c r="H7" s="256"/>
      <c r="I7" s="256"/>
      <c r="J7" s="256"/>
      <c r="K7" s="256"/>
      <c r="L7" s="256"/>
      <c r="M7" s="257"/>
      <c r="N7" s="256"/>
      <c r="O7" s="256"/>
      <c r="P7" s="256"/>
      <c r="Q7" s="256"/>
      <c r="R7" s="257"/>
      <c r="S7" s="125"/>
      <c r="T7" s="256"/>
      <c r="U7" s="250"/>
      <c r="V7" s="256"/>
      <c r="W7" s="256"/>
      <c r="X7" s="256"/>
      <c r="Y7" s="258"/>
      <c r="Z7" s="256"/>
      <c r="AA7" s="256"/>
      <c r="AB7" s="125"/>
      <c r="AC7" s="256"/>
      <c r="AD7" s="259"/>
      <c r="AE7" s="259"/>
      <c r="AF7" s="259"/>
      <c r="AG7" s="259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6"/>
      <c r="H8" s="136"/>
      <c r="I8" s="136"/>
      <c r="J8" s="136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14</v>
      </c>
      <c r="F9" s="144"/>
      <c r="G9" s="144"/>
      <c r="H9" s="146" t="s">
        <v>71</v>
      </c>
      <c r="I9" s="146"/>
      <c r="J9" s="146"/>
      <c r="K9" s="215" t="n">
        <f aca="false">Admin!B91</f>
        <v>44381</v>
      </c>
      <c r="L9" s="149" t="s">
        <v>74</v>
      </c>
      <c r="M9" s="150" t="n">
        <f aca="false">K9+6</f>
        <v>44387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209"/>
      <c r="C10" s="210"/>
      <c r="D10" s="210"/>
      <c r="E10" s="211"/>
      <c r="F10" s="144"/>
      <c r="G10" s="144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213" t="str">
        <f aca="false">IF(Employee!D$28="m"," ",IF(Employee!F$24&gt;E$9," ",IF(Employee!F$26&lt;E$9," ",Employee!D$29)))</f>
        <v> </v>
      </c>
      <c r="F11" s="162" t="e">
        <f aca="false">NA()</f>
        <v>#N/A</v>
      </c>
      <c r="G11" s="212"/>
      <c r="H11" s="164" t="n">
        <f aca="false">IF(T$9="Y",Jun!H41,0)</f>
        <v>0</v>
      </c>
      <c r="I11" s="168" t="n">
        <f aca="false">IF(T$9="Y",Jun!I41,0)</f>
        <v>0</v>
      </c>
      <c r="J11" s="168" t="n">
        <f aca="false">IF(T$9="Y",Jun!J41,0)</f>
        <v>0</v>
      </c>
      <c r="K11" s="168" t="n">
        <f aca="false">IF(T$9="Y",Jun!K41,I11*J11)</f>
        <v>0</v>
      </c>
      <c r="L11" s="168" t="n">
        <f aca="false">IF(T$9="Y",Jun!L41,0)</f>
        <v>0</v>
      </c>
      <c r="M11" s="170" t="str">
        <f aca="false">IF(E11=" "," ",IF(T$9="Y",Jun!M41,IF((H11+K11+L11)&gt;0,H11+K11+L11," ")))</f>
        <v> </v>
      </c>
      <c r="N11" s="168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IF(Employee!H$34=E$9,Employee!D$34+SUM(M11)+Jun!V51,SUM(M11)+Jun!V51)</f>
        <v>0</v>
      </c>
      <c r="W11" s="172" t="n">
        <f aca="false">IF(Employee!H$34=E$9,Employee!D$35+SUM(N11)+Jun!W51,SUM(N11)+Jun!W51)</f>
        <v>0</v>
      </c>
      <c r="X11" s="172" t="n">
        <f aca="false">IF(O11=" ",Jun!X51,O11+Jun!X51)</f>
        <v>0</v>
      </c>
      <c r="Y11" s="172" t="n">
        <f aca="false">IF(P11=" ",Jun!Y51,P11+Jun!Y51)</f>
        <v>0</v>
      </c>
      <c r="Z11" s="172" t="n">
        <f aca="false">IF(Q11=" ",Jun!Z51,Q11+Jun!Z51)</f>
        <v>0</v>
      </c>
      <c r="AA11" s="172" t="n">
        <f aca="false">IF(R11=" ",Jun!AA51,R11+Jun!AA51)</f>
        <v>0</v>
      </c>
      <c r="AC11" s="172" t="n">
        <f aca="false">IF(T11=" ",Jun!AC51,T11+Jun!AC51)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214" t="str">
        <f aca="false">IF(Employee!D$54="m"," ",IF(Employee!F$50&gt;E$9," ",IF(Employee!F$52&lt;E$9," ",Employee!D$55)))</f>
        <v> </v>
      </c>
      <c r="F12" s="175" t="e">
        <f aca="false">NA()</f>
        <v>#N/A</v>
      </c>
      <c r="G12" s="212"/>
      <c r="H12" s="176" t="n">
        <f aca="false">IF(T$9="Y",Jun!H42,0)</f>
        <v>0</v>
      </c>
      <c r="I12" s="177" t="n">
        <f aca="false">IF(T$9="Y",Jun!I42,0)</f>
        <v>0</v>
      </c>
      <c r="J12" s="177" t="n">
        <f aca="false">IF(T$9="Y",Jun!J42,0)</f>
        <v>0</v>
      </c>
      <c r="K12" s="177" t="n">
        <f aca="false">IF(T$9="Y",Jun!K42,I12*J12)</f>
        <v>0</v>
      </c>
      <c r="L12" s="177" t="n">
        <f aca="false">IF(T$9="Y",Jun!L42,0)</f>
        <v>0</v>
      </c>
      <c r="M12" s="180" t="str">
        <f aca="false">IF(E12=" "," ",IF(T$9="Y",Jun!M42,IF((H12+K12+L12)&gt;0,H12+K12+L12," ")))</f>
        <v> </v>
      </c>
      <c r="N12" s="177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IF(Employee!H$60=E$9,Employee!D$60+SUM(M12)+Jun!V52,SUM(M12)+Jun!V52)</f>
        <v>0</v>
      </c>
      <c r="W12" s="172" t="n">
        <f aca="false">IF(Employee!H$60=E$9,Employee!D$61+SUM(N12)+Jun!W52,SUM(N12)+Jun!W52)</f>
        <v>0</v>
      </c>
      <c r="X12" s="172" t="n">
        <f aca="false">IF(O12=" ",Jun!X52,O12+Jun!X52)</f>
        <v>0</v>
      </c>
      <c r="Y12" s="172" t="n">
        <f aca="false">IF(P12=" ",Jun!Y52,P12+Jun!Y52)</f>
        <v>0</v>
      </c>
      <c r="Z12" s="172" t="n">
        <f aca="false">IF(Q12=" ",Jun!Z52,Q12+Jun!Z52)</f>
        <v>0</v>
      </c>
      <c r="AA12" s="172" t="n">
        <f aca="false">IF(R12=" ",Jun!AA52,R12+Jun!AA52)</f>
        <v>0</v>
      </c>
      <c r="AC12" s="172" t="n">
        <f aca="false">IF(T12=" ",Jun!AC52,T12+Jun!AC52)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214" t="str">
        <f aca="false">IF(Employee!D$80="m"," ",IF(Employee!F$76&gt;E$9," ",IF(Employee!F$78&lt;E$9," ",Employee!D$81)))</f>
        <v> </v>
      </c>
      <c r="F13" s="175" t="e">
        <f aca="false">NA()</f>
        <v>#N/A</v>
      </c>
      <c r="G13" s="212"/>
      <c r="H13" s="176" t="n">
        <f aca="false">IF(T$9="Y",Jun!H43,0)</f>
        <v>0</v>
      </c>
      <c r="I13" s="177" t="n">
        <f aca="false">IF(T$9="Y",Jun!I43,0)</f>
        <v>0</v>
      </c>
      <c r="J13" s="177" t="n">
        <f aca="false">IF(T$9="Y",Jun!J43,0)</f>
        <v>0</v>
      </c>
      <c r="K13" s="177" t="n">
        <f aca="false">IF(T$9="Y",Jun!K43,I13*J13)</f>
        <v>0</v>
      </c>
      <c r="L13" s="177" t="n">
        <f aca="false">IF(T$9="Y",Jun!L43,0)</f>
        <v>0</v>
      </c>
      <c r="M13" s="180" t="str">
        <f aca="false">IF(E13=" "," ",IF(T$9="Y",Jun!M43,IF((H13+K13+L13)&gt;0,H13+K13+L13," ")))</f>
        <v> </v>
      </c>
      <c r="N13" s="177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IF(Employee!H$86=E$9,Employee!D$86+SUM(M13)+Jun!V53,SUM(M13)+Jun!V53)</f>
        <v>0</v>
      </c>
      <c r="W13" s="172" t="n">
        <f aca="false">IF(Employee!H$86=E$9,Employee!D$87+SUM(N13)+Jun!W53,SUM(N13)+Jun!W53)</f>
        <v>0</v>
      </c>
      <c r="X13" s="172" t="n">
        <f aca="false">IF(O13=" ",Jun!X53,O13+Jun!X53)</f>
        <v>0</v>
      </c>
      <c r="Y13" s="172" t="n">
        <f aca="false">IF(P13=" ",Jun!Y53,P13+Jun!Y53)</f>
        <v>0</v>
      </c>
      <c r="Z13" s="172" t="n">
        <f aca="false">IF(Q13=" ",Jun!Z53,Q13+Jun!Z53)</f>
        <v>0</v>
      </c>
      <c r="AA13" s="172" t="n">
        <f aca="false">IF(R13=" ",Jun!AA53,R13+Jun!AA53)</f>
        <v>0</v>
      </c>
      <c r="AC13" s="172" t="n">
        <f aca="false">IF(T13=" ",Jun!AC53,T13+Jun!AC53)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214" t="str">
        <f aca="false">IF(Employee!D$106="m"," ",IF(Employee!F$102&gt;E$9," ",IF(Employee!F$104&lt;E$9," ",Employee!D$107)))</f>
        <v> </v>
      </c>
      <c r="F14" s="175" t="e">
        <f aca="false">NA()</f>
        <v>#N/A</v>
      </c>
      <c r="G14" s="212"/>
      <c r="H14" s="176" t="n">
        <f aca="false">IF(T$9="Y",Jun!H44,0)</f>
        <v>0</v>
      </c>
      <c r="I14" s="177" t="n">
        <f aca="false">IF(T$9="Y",Jun!I44,0)</f>
        <v>0</v>
      </c>
      <c r="J14" s="177" t="n">
        <f aca="false">IF(T$9="Y",Jun!J44,0)</f>
        <v>0</v>
      </c>
      <c r="K14" s="177" t="n">
        <f aca="false">IF(T$9="Y",Jun!K44,I14*J14)</f>
        <v>0</v>
      </c>
      <c r="L14" s="177" t="n">
        <f aca="false">IF(T$9="Y",Jun!L44,0)</f>
        <v>0</v>
      </c>
      <c r="M14" s="180" t="str">
        <f aca="false">IF(E14=" "," ",IF(T$9="Y",Jun!M44,IF((H14+K14+L14)&gt;0,H14+K14+L14," ")))</f>
        <v> </v>
      </c>
      <c r="N14" s="177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IF(Employee!H$112=E$9,Employee!D$112+SUM(M14)+Jun!V54,SUM(M14)+Jun!V54)</f>
        <v>0</v>
      </c>
      <c r="W14" s="172" t="n">
        <f aca="false">IF(Employee!H$112=E$9,Employee!D$113+SUM(N14)+Jun!W54,SUM(N14)+Jun!W54)</f>
        <v>0</v>
      </c>
      <c r="X14" s="172" t="n">
        <f aca="false">IF(O14=" ",Jun!X54,O14+Jun!X54)</f>
        <v>0</v>
      </c>
      <c r="Y14" s="172" t="n">
        <f aca="false">IF(P14=" ",Jun!Y54,P14+Jun!Y54)</f>
        <v>0</v>
      </c>
      <c r="Z14" s="172" t="n">
        <f aca="false">IF(Q14=" ",Jun!Z54,Q14+Jun!Z54)</f>
        <v>0</v>
      </c>
      <c r="AA14" s="172" t="n">
        <f aca="false">IF(R14=" ",Jun!AA54,R14+Jun!AA54)</f>
        <v>0</v>
      </c>
      <c r="AC14" s="172" t="n">
        <f aca="false">IF(T14=" ",Jun!AC54,T14+Jun!AC54)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214" t="str">
        <f aca="false">IF(Employee!D$132="m"," ",IF(Employee!F$128&gt;E$9," ",IF(Employee!F$130&lt;E$9," ",Employee!D$133)))</f>
        <v> </v>
      </c>
      <c r="F15" s="175" t="e">
        <f aca="false">NA()</f>
        <v>#N/A</v>
      </c>
      <c r="G15" s="212"/>
      <c r="H15" s="181" t="n">
        <f aca="false">IF(T$9="Y",Jun!H45,0)</f>
        <v>0</v>
      </c>
      <c r="I15" s="182" t="n">
        <f aca="false">IF(T$9="Y",Jun!I45,0)</f>
        <v>0</v>
      </c>
      <c r="J15" s="182" t="n">
        <f aca="false">IF(T$9="Y",Jun!J45,0)</f>
        <v>0</v>
      </c>
      <c r="K15" s="182" t="n">
        <f aca="false">IF(T$9="Y",Jun!K45,I15*J15)</f>
        <v>0</v>
      </c>
      <c r="L15" s="182" t="n">
        <f aca="false">IF(T$9="Y",Jun!L45,0)</f>
        <v>0</v>
      </c>
      <c r="M15" s="184" t="str">
        <f aca="false">IF(E15=" "," ",IF(T$9="Y",Jun!M45,IF((H15+K15+L15)&gt;0,H15+K15+L15," ")))</f>
        <v> </v>
      </c>
      <c r="N15" s="182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IF(Employee!H$138=E$9,Employee!D$138+SUM(M15)+Jun!V55,SUM(M15)+Jun!V55)</f>
        <v>0</v>
      </c>
      <c r="W15" s="172" t="n">
        <f aca="false">IF(Employee!H$138=E$9,Employee!D$139+SUM(N15)+Jun!W55,SUM(N15)+Jun!W55)</f>
        <v>0</v>
      </c>
      <c r="X15" s="172" t="n">
        <f aca="false">IF(O15=" ",Jun!X55,O15+Jun!X55)</f>
        <v>0</v>
      </c>
      <c r="Y15" s="172" t="n">
        <f aca="false">IF(P15=" ",Jun!Y55,P15+Jun!Y55)</f>
        <v>0</v>
      </c>
      <c r="Z15" s="172" t="n">
        <f aca="false">IF(Q15=" ",Jun!Z55,Q15+Jun!Z55)</f>
        <v>0</v>
      </c>
      <c r="AA15" s="172" t="n">
        <f aca="false">IF(R15=" ",Jun!AA55,R15+Jun!AA55)</f>
        <v>0</v>
      </c>
      <c r="AC15" s="172" t="n">
        <f aca="false">IF(T15=" ",Jun!AC55,T15+Jun!AC55)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207" t="s">
        <v>76</v>
      </c>
      <c r="G16" s="207"/>
      <c r="H16" s="242"/>
      <c r="I16" s="243"/>
      <c r="J16" s="243"/>
      <c r="K16" s="244"/>
      <c r="L16" s="244"/>
      <c r="M16" s="194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2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7"/>
      <c r="H18" s="138"/>
      <c r="I18" s="138"/>
      <c r="J18" s="138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15</v>
      </c>
      <c r="F19" s="144"/>
      <c r="G19" s="144"/>
      <c r="H19" s="146" t="s">
        <v>71</v>
      </c>
      <c r="I19" s="146"/>
      <c r="J19" s="146"/>
      <c r="K19" s="215" t="n">
        <f aca="false">M9+1</f>
        <v>44388</v>
      </c>
      <c r="L19" s="149" t="s">
        <v>74</v>
      </c>
      <c r="M19" s="150" t="n">
        <f aca="false">K19+6</f>
        <v>44394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154"/>
      <c r="C20" s="155"/>
      <c r="D20" s="156"/>
      <c r="E20" s="155"/>
      <c r="F20" s="155"/>
      <c r="G20" s="155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162" t="str">
        <f aca="false">IF(E21=" "," ",IF(Employee!F$24&gt;E$19," ",IF(Employee!F$26&lt;E$19," ",Employee!D$15)))</f>
        <v> </v>
      </c>
      <c r="G21" s="212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8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175" t="str">
        <f aca="false">IF(E22=" "," ",IF(Employee!F$50&gt;E$19," ",IF(Employee!F$52&lt;E$19," ",Employee!D$41)))</f>
        <v> </v>
      </c>
      <c r="G22" s="212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7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175" t="str">
        <f aca="false">IF(E23=" "," ",IF(Employee!F$76&gt;E$19," ",IF(Employee!F$78&lt;E$19," ",Employee!D$67)))</f>
        <v> </v>
      </c>
      <c r="G23" s="212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7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175" t="str">
        <f aca="false">IF(E24=" "," ",IF(Employee!F$102&gt;E$19," ",IF(Employee!F$104&lt;E$19," ",Employee!D$93)))</f>
        <v> </v>
      </c>
      <c r="G24" s="212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7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175" t="str">
        <f aca="false">IF(E25=" "," ",IF(Employee!F$128&gt;E$19," ",IF(Employee!F$130&lt;E$19," ",Employee!D$119)))</f>
        <v> </v>
      </c>
      <c r="G25" s="212"/>
      <c r="H25" s="181" t="n">
        <f aca="false">IF(T$19="Y",H15,0)</f>
        <v>0</v>
      </c>
      <c r="I25" s="182" t="n">
        <f aca="false">IF(T$19="Y",I15,0)</f>
        <v>0</v>
      </c>
      <c r="J25" s="182" t="n">
        <f aca="false">IF(T$19="Y",J15,0)</f>
        <v>0</v>
      </c>
      <c r="K25" s="182" t="n">
        <f aca="false">IF(T$19="Y",K15,I25*J25)</f>
        <v>0</v>
      </c>
      <c r="L25" s="182" t="n">
        <f aca="false">IF(T$19="Y",L15,0)</f>
        <v>0</v>
      </c>
      <c r="M25" s="184" t="str">
        <f aca="false">IF(E25=" "," ",IF(T$19="Y",M15,IF((H25+K25+L25)&gt;0,H25+K25+L25," ")))</f>
        <v> </v>
      </c>
      <c r="N25" s="182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189" t="s">
        <v>76</v>
      </c>
      <c r="G26" s="189"/>
      <c r="H26" s="242"/>
      <c r="I26" s="243"/>
      <c r="J26" s="243"/>
      <c r="K26" s="244"/>
      <c r="L26" s="244"/>
      <c r="M26" s="194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16</v>
      </c>
      <c r="F29" s="144"/>
      <c r="G29" s="144"/>
      <c r="H29" s="146" t="s">
        <v>71</v>
      </c>
      <c r="I29" s="146"/>
      <c r="J29" s="146"/>
      <c r="K29" s="215" t="n">
        <f aca="false">M19+1</f>
        <v>44395</v>
      </c>
      <c r="L29" s="149" t="s">
        <v>74</v>
      </c>
      <c r="M29" s="150" t="n">
        <f aca="false">K29+6</f>
        <v>44401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0"/>
      <c r="C30" s="201"/>
      <c r="D30" s="202"/>
      <c r="E30" s="201"/>
      <c r="F30" s="203"/>
      <c r="G30" s="201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163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8" t="n">
        <f aca="false">IF(T$29="Y",L21,0)</f>
        <v>0</v>
      </c>
      <c r="M31" s="170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163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7" t="n">
        <f aca="false">IF(T$29="Y",L22,0)</f>
        <v>0</v>
      </c>
      <c r="M32" s="180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163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7" t="n">
        <f aca="false">IF(T$29="Y",L23,0)</f>
        <v>0</v>
      </c>
      <c r="M33" s="180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163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7" t="n">
        <f aca="false">IF(T$29="Y",L24,0)</f>
        <v>0</v>
      </c>
      <c r="M34" s="180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163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7" t="n">
        <f aca="false">IF(T$29="Y",L25,0)</f>
        <v>0</v>
      </c>
      <c r="M35" s="180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40"/>
      <c r="I38" s="140"/>
      <c r="J38" s="140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17</v>
      </c>
      <c r="F39" s="144"/>
      <c r="G39" s="144"/>
      <c r="H39" s="146" t="s">
        <v>71</v>
      </c>
      <c r="I39" s="146"/>
      <c r="J39" s="146"/>
      <c r="K39" s="215" t="n">
        <f aca="false">M29+1</f>
        <v>44402</v>
      </c>
      <c r="L39" s="149" t="s">
        <v>74</v>
      </c>
      <c r="M39" s="150" t="n">
        <f aca="false">K39+6</f>
        <v>44408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161" t="str">
        <f aca="false">IF(Employee!D$28="m"," ",IF(Employee!F$24&gt;E$39," ",IF(Employee!F$26&lt;E$39," ",Employee!D$29)))</f>
        <v> </v>
      </c>
      <c r="F41" s="204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6" t="n">
        <f aca="false">IF(T$39="Y",L31,0)</f>
        <v>0</v>
      </c>
      <c r="M41" s="166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260" t="e">
        <f aca="false">NA()</f>
        <v>#N/A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174" t="str">
        <f aca="false">IF(Employee!D$54="m"," ",IF(Employee!F$50&gt;E$39," ",IF(Employee!F$52&lt;E$39," ",Employee!D$55)))</f>
        <v> </v>
      </c>
      <c r="F42" s="20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9" t="n">
        <f aca="false">IF(T$39="Y",L32,0)</f>
        <v>0</v>
      </c>
      <c r="M42" s="179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7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174" t="str">
        <f aca="false">IF(Employee!D$80="m"," ",IF(Employee!F$76&gt;E$39," ",IF(Employee!F$78&lt;E$39," ",Employee!D$81)))</f>
        <v> </v>
      </c>
      <c r="F43" s="20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9" t="n">
        <f aca="false">IF(T$39="Y",L33,0)</f>
        <v>0</v>
      </c>
      <c r="M43" s="179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174" t="str">
        <f aca="false">IF(Employee!D$106="m"," ",IF(Employee!F$102&gt;E$39," ",IF(Employee!F$104&lt;E$39," ",Employee!D$107)))</f>
        <v> </v>
      </c>
      <c r="F44" s="20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9" t="n">
        <f aca="false">IF(T$39="Y",L34,0)</f>
        <v>0</v>
      </c>
      <c r="M44" s="179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174" t="str">
        <f aca="false">IF(Employee!D$132="m"," ",IF(Employee!F$128&gt;E$39," ",IF(Employee!F$130&lt;E$39," ",Employee!D$133)))</f>
        <v> </v>
      </c>
      <c r="F45" s="20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9" t="n">
        <f aca="false">IF(T$39="Y",L35,0)</f>
        <v>0</v>
      </c>
      <c r="M45" s="179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0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84" t="n"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4</v>
      </c>
      <c r="F49" s="144"/>
      <c r="G49" s="144"/>
      <c r="H49" s="146" t="s">
        <v>71</v>
      </c>
      <c r="I49" s="146"/>
      <c r="J49" s="146"/>
      <c r="K49" s="215" t="n">
        <f aca="false">Admin!B88</f>
        <v>44378</v>
      </c>
      <c r="L49" s="149" t="s">
        <v>74</v>
      </c>
      <c r="M49" s="150" t="n">
        <f aca="false">Admin!B118</f>
        <v>44408</v>
      </c>
      <c r="N49" s="151"/>
      <c r="O49" s="198" t="s">
        <v>85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IF(T$49="Y",Jun!H61,0)</f>
        <v>0</v>
      </c>
      <c r="I51" s="168" t="n">
        <f aca="false">IF(T$49="Y",Jun!I61,0)</f>
        <v>0</v>
      </c>
      <c r="J51" s="168" t="n">
        <f aca="false">IF(T$49="Y",Jun!J61,0)</f>
        <v>0</v>
      </c>
      <c r="K51" s="168" t="n">
        <f aca="false">IF(T$49="Y",Jun!K61,I51*J51)</f>
        <v>0</v>
      </c>
      <c r="L51" s="166" t="n">
        <f aca="false">IF(T$49="Y",Jun!L61,0)</f>
        <v>0</v>
      </c>
      <c r="M51" s="170" t="str">
        <f aca="false">IF(E51=" "," ",IF(T$49="Y",Jun!M61,IF((H51+K51+L51)&gt;0,H51+K51+L51,"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252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IF(Employee!H$35=E$49,Employee!D$34+SUM(M51)+Jun!V61,SUM(M51)+Jun!V61)</f>
        <v>0</v>
      </c>
      <c r="W51" s="172" t="n">
        <f aca="false">IF(Employee!H$35=E$49,Employee!D$35+SUM(N51)+Jun!W61,SUM(N51)+Jun!W61)</f>
        <v>0</v>
      </c>
      <c r="X51" s="172" t="n">
        <f aca="false">IF(O51=" ",Jun!X61,O51+Jun!X61)</f>
        <v>0</v>
      </c>
      <c r="Y51" s="172" t="n">
        <f aca="false">IF(P51=" ",Jun!Y61,P51+Jun!Y61)</f>
        <v>0</v>
      </c>
      <c r="Z51" s="172" t="n">
        <f aca="false">IF(Q51=" ",Jun!Z61,Q51+Jun!Z61)</f>
        <v>0</v>
      </c>
      <c r="AA51" s="172" t="n">
        <f aca="false">IF(R51=" ",Jun!AA61,R51+Jun!AA61)</f>
        <v>0</v>
      </c>
      <c r="AC51" s="172" t="n">
        <f aca="false">IF(T51=" ",Jun!AC61,T51+Jun!AC61)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IF(T$49="Y",Jun!H62,0)</f>
        <v>0</v>
      </c>
      <c r="I52" s="177" t="n">
        <f aca="false">IF(T$49="Y",Jun!I62,0)</f>
        <v>0</v>
      </c>
      <c r="J52" s="177" t="n">
        <f aca="false">IF(T$49="Y",Jun!J62,0)</f>
        <v>0</v>
      </c>
      <c r="K52" s="177" t="n">
        <f aca="false">IF(T$49="Y",Jun!K62,I52*J52)</f>
        <v>0</v>
      </c>
      <c r="L52" s="179" t="n">
        <f aca="false">IF(T$49="Y",Jun!L62,0)</f>
        <v>0</v>
      </c>
      <c r="M52" s="180" t="str">
        <f aca="false">IF(E52=" "," ",IF(T$49="Y",Jun!M62,IF((H52+K52+L52)&gt;0,H52+K52+L52,"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253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IF(Employee!H$61=E$49,Employee!D$60+SUM(M52)+Jun!V62,SUM(M52)+Jun!V62)</f>
        <v>0</v>
      </c>
      <c r="W52" s="172" t="n">
        <f aca="false">IF(Employee!H$61=E$49,Employee!D$61+SUM(N52)+Jun!W62,SUM(N52)+Jun!W62)</f>
        <v>0</v>
      </c>
      <c r="X52" s="172" t="n">
        <f aca="false">IF(O52=" ",Jun!X62,O52+Jun!X62)</f>
        <v>0</v>
      </c>
      <c r="Y52" s="172" t="n">
        <f aca="false">IF(P52=" ",Jun!Y62,P52+Jun!Y62)</f>
        <v>0</v>
      </c>
      <c r="Z52" s="172" t="n">
        <f aca="false">IF(Q52=" ",Jun!Z62,Q52+Jun!Z62)</f>
        <v>0</v>
      </c>
      <c r="AA52" s="172" t="n">
        <f aca="false">IF(R52=" ",Jun!AA62,R52+Jun!AA62)</f>
        <v>0</v>
      </c>
      <c r="AC52" s="172" t="n">
        <f aca="false">IF(T52=" ",Jun!AC62,T52+Jun!AC62)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IF(T$49="Y",Jun!H63,0)</f>
        <v>0</v>
      </c>
      <c r="I53" s="177" t="n">
        <f aca="false">IF(T$49="Y",Jun!I63,0)</f>
        <v>0</v>
      </c>
      <c r="J53" s="177" t="n">
        <f aca="false">IF(T$49="Y",Jun!J63,0)</f>
        <v>0</v>
      </c>
      <c r="K53" s="177" t="n">
        <f aca="false">IF(T$49="Y",Jun!K63,I53*J53)</f>
        <v>0</v>
      </c>
      <c r="L53" s="179" t="n">
        <f aca="false">IF(T$49="Y",Jun!L63,0)</f>
        <v>0</v>
      </c>
      <c r="M53" s="180" t="str">
        <f aca="false">IF(E53=" "," ",IF(T$49="Y",Jun!M63,IF((H53+K53+L53)&gt;0,H53+K53+L53,"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IF(Employee!H$87=E$49,Employee!D$86+SUM(M53)+Jun!V63,SUM(M53)+Jun!V63)</f>
        <v>0</v>
      </c>
      <c r="W53" s="172" t="n">
        <f aca="false">IF(Employee!H$87=E$49,Employee!D$87+SUM(N53)+Jun!W63,SUM(N53)+Jun!W63)</f>
        <v>0</v>
      </c>
      <c r="X53" s="172" t="n">
        <f aca="false">IF(O53=" ",Jun!X63,O53+Jun!X63)</f>
        <v>0</v>
      </c>
      <c r="Y53" s="172" t="n">
        <f aca="false">IF(P53=" ",Jun!Y63,P53+Jun!Y63)</f>
        <v>0</v>
      </c>
      <c r="Z53" s="172" t="n">
        <f aca="false">IF(Q53=" ",Jun!Z63,Q53+Jun!Z63)</f>
        <v>0</v>
      </c>
      <c r="AA53" s="172" t="n">
        <f aca="false">IF(R53=" ",Jun!AA63,R53+Jun!AA63)</f>
        <v>0</v>
      </c>
      <c r="AC53" s="172" t="n">
        <f aca="false">IF(T53=" ",Jun!AC63,T53+Jun!AC63)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IF(T$49="Y",Jun!H64,0)</f>
        <v>0</v>
      </c>
      <c r="I54" s="177" t="n">
        <f aca="false">IF(T$49="Y",Jun!I64,0)</f>
        <v>0</v>
      </c>
      <c r="J54" s="177" t="n">
        <f aca="false">IF(T$49="Y",Jun!J64,0)</f>
        <v>0</v>
      </c>
      <c r="K54" s="177" t="n">
        <f aca="false">IF(T$49="Y",Jun!K64,I54*J54)</f>
        <v>0</v>
      </c>
      <c r="L54" s="179" t="n">
        <f aca="false">IF(T$49="Y",Jun!L64,0)</f>
        <v>0</v>
      </c>
      <c r="M54" s="180" t="str">
        <f aca="false">IF(E54=" "," ",IF(T$49="Y",Jun!M64,IF((H54+K54+L54)&gt;0,H54+K54+L54,"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IF(Employee!H$113=E$49,Employee!D$112+SUM(M54)+Jun!V64,SUM(M54)+Jun!V64)</f>
        <v>0</v>
      </c>
      <c r="W54" s="172" t="n">
        <f aca="false">IF(Employee!H$113=E$49,Employee!D$113+SUM(N54)+Jun!W64,SUM(N54)+Jun!W64)</f>
        <v>0</v>
      </c>
      <c r="X54" s="172" t="n">
        <f aca="false">IF(O54=" ",Jun!X64,O54+Jun!X64)</f>
        <v>0</v>
      </c>
      <c r="Y54" s="172" t="n">
        <f aca="false">IF(P54=" ",Jun!Y64,P54+Jun!Y64)</f>
        <v>0</v>
      </c>
      <c r="Z54" s="172" t="n">
        <f aca="false">IF(Q54=" ",Jun!Z64,Q54+Jun!Z64)</f>
        <v>0</v>
      </c>
      <c r="AA54" s="172" t="n">
        <f aca="false">IF(R54=" ",Jun!AA64,R54+Jun!AA64)</f>
        <v>0</v>
      </c>
      <c r="AC54" s="172" t="n">
        <f aca="false">IF(T54=" ",Jun!AC64,T54+Jun!AC64)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IF(T$49="Y",Jun!H65,0)</f>
        <v>0</v>
      </c>
      <c r="I55" s="182" t="n">
        <f aca="false">IF(T$49="Y",Jun!I65,0)</f>
        <v>0</v>
      </c>
      <c r="J55" s="182" t="n">
        <f aca="false">IF(T$49="Y",Jun!J65,0)</f>
        <v>0</v>
      </c>
      <c r="K55" s="182" t="n">
        <f aca="false">IF(T$49="Y",Jun!K65,I55*J55)</f>
        <v>0</v>
      </c>
      <c r="L55" s="183" t="n">
        <f aca="false">IF(T$49="Y",Jun!L65,0)</f>
        <v>0</v>
      </c>
      <c r="M55" s="180" t="str">
        <f aca="false">IF(E55=" "," ",IF(T$49="Y",Jun!M65,IF((H55+K55+L55)&gt;0,H55+K55+L55,"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IF(Employee!H$139=E$49,Employee!D$138+SUM(M55)+Jun!V65,SUM(M55)+Jun!V65)</f>
        <v>0</v>
      </c>
      <c r="W55" s="172" t="n">
        <f aca="false">IF(Employee!H$139=E$49,Employee!D$139+SUM(N55)+Jun!W65,SUM(N55)+Jun!W65)</f>
        <v>0</v>
      </c>
      <c r="X55" s="172" t="n">
        <f aca="false">IF(O55=" ",Jun!X65,O55+Jun!X65)</f>
        <v>0</v>
      </c>
      <c r="Y55" s="172" t="n">
        <f aca="false">IF(P55=" ",Jun!Y65,P55+Jun!Y65)</f>
        <v>0</v>
      </c>
      <c r="Z55" s="172" t="n">
        <f aca="false">IF(Q55=" ",Jun!Z65,Q55+Jun!Z65)</f>
        <v>0</v>
      </c>
      <c r="AA55" s="172" t="n">
        <f aca="false">IF(R55=" ",Jun!AA65,R55+Jun!AA65)</f>
        <v>0</v>
      </c>
      <c r="AC55" s="172" t="n">
        <f aca="false">IF(T55=" ",Jun!AC65,T55+Jun!AC65)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SUM(AD21:AD56)</f>
        <v>0</v>
      </c>
      <c r="AE58" s="217" t="n">
        <f aca="false">SUM(AE21:AE56)</f>
        <v>0</v>
      </c>
      <c r="AF58" s="217" t="n">
        <f aca="false">SUM(AF21:AF56)</f>
        <v>0</v>
      </c>
      <c r="AG58" s="217" t="n">
        <f aca="false">SUM(AG21:AG56)</f>
        <v>0</v>
      </c>
    </row>
    <row r="59" customFormat="false" ht="13.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AD60+Jun!AD75</f>
        <v>0</v>
      </c>
      <c r="AE65" s="240" t="n">
        <f aca="false">AE60+Jun!AE75</f>
        <v>0</v>
      </c>
      <c r="AF65" s="240" t="n">
        <f aca="false">AF60+Jun!AF75</f>
        <v>0</v>
      </c>
      <c r="AG65" s="240" t="n">
        <f aca="false">AG60+Jun!AG75</f>
        <v>0</v>
      </c>
    </row>
    <row r="67" customFormat="false" ht="12.75" hidden="false" customHeight="false" outlineLevel="0" collapsed="false">
      <c r="AD67" s="233"/>
      <c r="AE67" s="240" t="n">
        <f aca="false">AE62+Jun!AE77</f>
        <v>0</v>
      </c>
      <c r="AF67" s="240" t="n">
        <f aca="false">AF62+Jun!AF77</f>
        <v>0</v>
      </c>
      <c r="AG67" s="240" t="n">
        <f aca="false">AG62+Jun!AG77</f>
        <v>0</v>
      </c>
    </row>
  </sheetData>
  <mergeCells count="78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2" manualBreakCount="2">
    <brk id="33" man="true" max="16383" min="0"/>
    <brk id="45" man="true" max="16383" min="0"/>
  </rowBreaks>
  <colBreaks count="1" manualBreakCount="1">
    <brk id="11" man="true" max="65535" min="0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18</v>
      </c>
      <c r="F9" s="144"/>
      <c r="G9" s="144"/>
      <c r="H9" s="146" t="s">
        <v>71</v>
      </c>
      <c r="I9" s="146"/>
      <c r="J9" s="146"/>
      <c r="K9" s="215" t="n">
        <f aca="false">Admin!B119</f>
        <v>44409</v>
      </c>
      <c r="L9" s="149" t="s">
        <v>74</v>
      </c>
      <c r="M9" s="150" t="n">
        <f aca="false">K9+6</f>
        <v>44415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IF(T$9="Y","jul!#ref!",0)</f>
        <v>0</v>
      </c>
      <c r="I11" s="168" t="n">
        <f aca="false">IF(T$9="Y","jul!#ref!",0)</f>
        <v>0</v>
      </c>
      <c r="J11" s="168" t="n">
        <f aca="false">IF(T$9="Y","jul!#ref!",0)</f>
        <v>0</v>
      </c>
      <c r="K11" s="168" t="n">
        <v>0</v>
      </c>
      <c r="L11" s="166" t="n">
        <f aca="false">IF(T$9="Y","jul!#ref!",0)</f>
        <v>0</v>
      </c>
      <c r="M11" s="166" t="str">
        <f aca="false">IF(E11=" "," ",IF(T$9="Y","jul!#ref!",IF((H11+K11+L11)&gt;0,H11+K11+L11,"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IF(Employee!H$34=E$9,Employee!D$34+SUM(M11)+Jul!V41,SUM(M11)+Jul!V41)</f>
        <v>0</v>
      </c>
      <c r="W11" s="172" t="n">
        <f aca="false">IF(Employee!H$34=E$9,Employee!D$35+SUM(N11)+Jul!W41,SUM(N11)+Jul!W41)</f>
        <v>0</v>
      </c>
      <c r="X11" s="172" t="n">
        <f aca="false">IF(O11=" ",Jul!X41,O11+Jul!X41)</f>
        <v>0</v>
      </c>
      <c r="Y11" s="172" t="n">
        <f aca="false">IF(P11=" ",Jul!Y41,P11+Jul!Y41)</f>
        <v>0</v>
      </c>
      <c r="Z11" s="172" t="n">
        <f aca="false">IF(Q11=" ",Jul!Z41,Q11+Jul!Z41)</f>
        <v>0</v>
      </c>
      <c r="AA11" s="172" t="n">
        <f aca="false">IF(R11=" ",Jul!AA41,R11+Jul!AA41)</f>
        <v>0</v>
      </c>
      <c r="AC11" s="172" t="e">
        <f aca="false">IF(T11=" ",Jul!AC41,T11+Jul!AC41)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IF(T$9="Y","jul!#ref!",0)</f>
        <v>0</v>
      </c>
      <c r="I12" s="177" t="n">
        <f aca="false">IF(T$9="Y","jul!#ref!",0)</f>
        <v>0</v>
      </c>
      <c r="J12" s="177" t="n">
        <f aca="false">IF(T$9="Y","jul!#ref!",0)</f>
        <v>0</v>
      </c>
      <c r="K12" s="177" t="n">
        <f aca="false">IF(T$9="Y","jul!#ref!",I12*J12)</f>
        <v>0</v>
      </c>
      <c r="L12" s="179" t="n">
        <f aca="false">IF(T$9="Y","jul!#ref!",0)</f>
        <v>0</v>
      </c>
      <c r="M12" s="179" t="str">
        <f aca="false">IF(E12=" "," ",IF(T$9="Y","jul!#ref!",IF((H12+K12+L12)&gt;0,H12+K12+L12,"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IF(Employee!H$60=E$9,Employee!D$60+SUM(M12)+Jul!V42,SUM(M12)+Jul!V42)</f>
        <v>0</v>
      </c>
      <c r="W12" s="172" t="n">
        <f aca="false">IF(Employee!H$60=E$9,Employee!D$61+SUM(N12)+Jul!W42,SUM(N12)+Jul!W42)</f>
        <v>0</v>
      </c>
      <c r="X12" s="172" t="n">
        <f aca="false">IF(O12=" ",Jul!X42,O12+Jul!X42)</f>
        <v>0</v>
      </c>
      <c r="Y12" s="172" t="n">
        <f aca="false">IF(P12=" ",Jul!Y42,P12+Jul!Y42)</f>
        <v>0</v>
      </c>
      <c r="Z12" s="172" t="n">
        <f aca="false">IF(Q12=" ",Jul!Z42,Q12+Jul!Z42)</f>
        <v>0</v>
      </c>
      <c r="AA12" s="172" t="n">
        <f aca="false">IF(R12=" ",Jul!AA42,R12+Jul!AA42)</f>
        <v>0</v>
      </c>
      <c r="AC12" s="172" t="n">
        <f aca="false">IF(T12=" ",Jul!AC42,T12+Jul!AC42)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IF(T$9="Y","jul!#ref!",0)</f>
        <v>0</v>
      </c>
      <c r="I13" s="177" t="n">
        <f aca="false">IF(T$9="Y","jul!#ref!",0)</f>
        <v>0</v>
      </c>
      <c r="J13" s="177" t="n">
        <f aca="false">IF(T$9="Y","jul!#ref!",0)</f>
        <v>0</v>
      </c>
      <c r="K13" s="177" t="n">
        <f aca="false">IF(T$9="Y","jul!#ref!",I13*J13)</f>
        <v>0</v>
      </c>
      <c r="L13" s="179" t="n">
        <f aca="false">IF(T$9="Y","jul!#ref!",0)</f>
        <v>0</v>
      </c>
      <c r="M13" s="179" t="str">
        <f aca="false">IF(E13=" "," ",IF(T$9="Y","jul!#ref!",IF((H13+K13+L13)&gt;0,H13+K13+L13,"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IF(Employee!H$86=E$9,Employee!D$86+SUM(M13)+Jul!V43,SUM(M13)+Jul!V43)</f>
        <v>0</v>
      </c>
      <c r="W13" s="172" t="n">
        <f aca="false">IF(Employee!H$86=E$9,Employee!D$87+SUM(N13)+Jul!W43,SUM(N13)+Jul!W43)</f>
        <v>0</v>
      </c>
      <c r="X13" s="172" t="n">
        <f aca="false">IF(O13=" ",Jul!X43,O13+Jul!X43)</f>
        <v>0</v>
      </c>
      <c r="Y13" s="172" t="n">
        <f aca="false">IF(P13=" ",Jul!Y43,P13+Jul!Y43)</f>
        <v>0</v>
      </c>
      <c r="Z13" s="172" t="n">
        <f aca="false">IF(Q13=" ",Jul!Z43,Q13+Jul!Z43)</f>
        <v>0</v>
      </c>
      <c r="AA13" s="172" t="n">
        <f aca="false">IF(R13=" ",Jul!AA43,R13+Jul!AA43)</f>
        <v>0</v>
      </c>
      <c r="AC13" s="172" t="n">
        <f aca="false">IF(T13=" ",Jul!AC43,T13+Jul!AC43)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IF(T$9="Y","jul!#ref!",0)</f>
        <v>0</v>
      </c>
      <c r="I14" s="177" t="n">
        <f aca="false">IF(T$9="Y","jul!#ref!",0)</f>
        <v>0</v>
      </c>
      <c r="J14" s="177" t="n">
        <f aca="false">IF(T$9="Y","jul!#ref!",0)</f>
        <v>0</v>
      </c>
      <c r="K14" s="177" t="n">
        <f aca="false">IF(T$9="Y","jul!#ref!",I14*J14)</f>
        <v>0</v>
      </c>
      <c r="L14" s="179" t="n">
        <f aca="false">IF(T$9="Y","jul!#ref!",0)</f>
        <v>0</v>
      </c>
      <c r="M14" s="179" t="str">
        <f aca="false">IF(E14=" "," ",IF(T$9="Y","jul!#ref!",IF((H14+K14+L14)&gt;0,H14+K14+L14,"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IF(Employee!H$112=E$9,Employee!D$112+SUM(M14)+Jul!V44,SUM(M14)+Jul!V44)</f>
        <v>0</v>
      </c>
      <c r="W14" s="172" t="n">
        <f aca="false">IF(Employee!H$112=E$9,Employee!D$113+SUM(N14)+Jul!W44,SUM(N14)+Jul!W44)</f>
        <v>0</v>
      </c>
      <c r="X14" s="172" t="n">
        <f aca="false">IF(O14=" ",Jul!X44,O14+Jul!X44)</f>
        <v>0</v>
      </c>
      <c r="Y14" s="172" t="n">
        <f aca="false">IF(P14=" ",Jul!Y44,P14+Jul!Y44)</f>
        <v>0</v>
      </c>
      <c r="Z14" s="172" t="n">
        <f aca="false">IF(Q14=" ",Jul!Z44,Q14+Jul!Z44)</f>
        <v>0</v>
      </c>
      <c r="AA14" s="172" t="n">
        <f aca="false">IF(R14=" ",Jul!AA44,R14+Jul!AA44)</f>
        <v>0</v>
      </c>
      <c r="AC14" s="172" t="n">
        <f aca="false">IF(T14=" ",Jul!AC44,T14+Jul!AC44)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IF(T$9="Y","jul!#ref!",0)</f>
        <v>0</v>
      </c>
      <c r="I15" s="182" t="n">
        <f aca="false">IF(T$9="Y","jul!#ref!",0)</f>
        <v>0</v>
      </c>
      <c r="J15" s="182" t="n">
        <f aca="false">IF(T$9="Y","jul!#ref!",0)</f>
        <v>0</v>
      </c>
      <c r="K15" s="182" t="n">
        <f aca="false">IF(T$9="Y","jul!#ref!",I15*J15)</f>
        <v>0</v>
      </c>
      <c r="L15" s="183" t="n">
        <f aca="false">IF(T$9="Y","jul!#ref!",0)</f>
        <v>0</v>
      </c>
      <c r="M15" s="183" t="str">
        <f aca="false">IF(E15=" "," ",IF(T$9="Y","jul!#ref!",IF((H15+K15+L15)&gt;0,H15+K15+L15,"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IF(Employee!H$138=E$9,Employee!D$138+SUM(M15)+Jul!V45,SUM(M15)+Jul!V45)</f>
        <v>0</v>
      </c>
      <c r="W15" s="172" t="n">
        <f aca="false">IF(Employee!H$138=E$9,Employee!D$139+SUM(N15)+Jul!W45,SUM(N15)+Jul!W45)</f>
        <v>0</v>
      </c>
      <c r="X15" s="172" t="n">
        <f aca="false">IF(O15=" ",Jul!X45,O15+Jul!X45)</f>
        <v>0</v>
      </c>
      <c r="Y15" s="172" t="n">
        <f aca="false">IF(P15=" ",Jul!Y45,P15+Jul!Y45)</f>
        <v>0</v>
      </c>
      <c r="Z15" s="172" t="n">
        <f aca="false">IF(Q15=" ",Jul!Z45,Q15+Jul!Z45)</f>
        <v>0</v>
      </c>
      <c r="AA15" s="172" t="n">
        <f aca="false">IF(R15=" ",Jul!AA45,R15+Jul!AA45)</f>
        <v>0</v>
      </c>
      <c r="AC15" s="172" t="n">
        <f aca="false">IF(T15=" ",Jul!AC45,T15+Jul!AC45)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4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19</v>
      </c>
      <c r="F19" s="144"/>
      <c r="G19" s="144"/>
      <c r="H19" s="146" t="s">
        <v>71</v>
      </c>
      <c r="I19" s="146"/>
      <c r="J19" s="146"/>
      <c r="K19" s="215" t="n">
        <f aca="false">M9+1</f>
        <v>44416</v>
      </c>
      <c r="L19" s="149" t="s">
        <v>74</v>
      </c>
      <c r="M19" s="150" t="n">
        <f aca="false">K19+6</f>
        <v>44422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20</v>
      </c>
      <c r="F29" s="144"/>
      <c r="G29" s="144"/>
      <c r="H29" s="146" t="s">
        <v>71</v>
      </c>
      <c r="I29" s="146"/>
      <c r="J29" s="146"/>
      <c r="K29" s="215" t="n">
        <f aca="false">M19+1</f>
        <v>44423</v>
      </c>
      <c r="L29" s="149" t="s">
        <v>74</v>
      </c>
      <c r="M29" s="150" t="n">
        <f aca="false">K29+6</f>
        <v>44429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21</v>
      </c>
      <c r="F39" s="144"/>
      <c r="G39" s="144"/>
      <c r="H39" s="146" t="s">
        <v>71</v>
      </c>
      <c r="I39" s="146"/>
      <c r="J39" s="146"/>
      <c r="K39" s="215" t="n">
        <f aca="false">M29+1</f>
        <v>44430</v>
      </c>
      <c r="L39" s="149" t="s">
        <v>74</v>
      </c>
      <c r="M39" s="150" t="n">
        <f aca="false">K39+6</f>
        <v>44436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5</v>
      </c>
      <c r="F49" s="144"/>
      <c r="G49" s="144"/>
      <c r="H49" s="146" t="s">
        <v>71</v>
      </c>
      <c r="I49" s="146"/>
      <c r="J49" s="146"/>
      <c r="K49" s="215" t="n">
        <f aca="false">Admin!B119</f>
        <v>44409</v>
      </c>
      <c r="L49" s="149" t="s">
        <v>74</v>
      </c>
      <c r="M49" s="150" t="n">
        <f aca="false">Admin!B149</f>
        <v>44439</v>
      </c>
      <c r="N49" s="151"/>
      <c r="O49" s="198" t="s">
        <v>85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IF(T$49="Y",Jul!H51,0)</f>
        <v>0</v>
      </c>
      <c r="I51" s="168" t="n">
        <f aca="false">IF(T$49="Y",Jul!I51,0)</f>
        <v>0</v>
      </c>
      <c r="J51" s="168" t="n">
        <f aca="false">IF(T$49="Y",Jul!J51,0)</f>
        <v>0</v>
      </c>
      <c r="K51" s="168" t="n">
        <f aca="false">IF(T$49="Y",Jul!K51,I51*J51)</f>
        <v>0</v>
      </c>
      <c r="L51" s="168" t="n">
        <f aca="false">IF(T$49="Y",Jul!L51,0)</f>
        <v>0</v>
      </c>
      <c r="M51" s="170" t="str">
        <f aca="false">IF(E51=" "," ",IF(T$49="Y",Jul!M51,IF((H51+K51+L51)&gt;0,H51+K51+L51,"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252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IF(Employee!H$35=E$49,Employee!D$34+SUM(M51)+Jul!V51,SUM(M51)+Jul!V51)</f>
        <v>0</v>
      </c>
      <c r="W51" s="172" t="n">
        <f aca="false">IF(Employee!H$35=E$49,Employee!D$35+SUM(N51)+Jul!W51,SUM(N51)+Jul!W51)</f>
        <v>0</v>
      </c>
      <c r="X51" s="172" t="n">
        <f aca="false">IF(O51=" ",Jul!X51,O51+Jul!X51)</f>
        <v>0</v>
      </c>
      <c r="Y51" s="172" t="n">
        <f aca="false">IF(P51=" ",Jul!Y51,P51+Jul!Y51)</f>
        <v>0</v>
      </c>
      <c r="Z51" s="172" t="n">
        <f aca="false">IF(Q51=" ",Jul!Z51,Q51+Jul!Z51)</f>
        <v>0</v>
      </c>
      <c r="AA51" s="172" t="n">
        <f aca="false">IF(R51=" ",Jul!AA51,R51+Jul!AA51)</f>
        <v>0</v>
      </c>
      <c r="AC51" s="172" t="n">
        <f aca="false">IF(T51=" ",Jul!AC51,T51+Jul!AC51)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IF(T$49="Y",Jul!H52,0)</f>
        <v>0</v>
      </c>
      <c r="I52" s="177" t="n">
        <f aca="false">IF(T$49="Y",Jul!I52,0)</f>
        <v>0</v>
      </c>
      <c r="J52" s="177" t="n">
        <f aca="false">IF(T$49="Y",Jul!J52,0)</f>
        <v>0</v>
      </c>
      <c r="K52" s="177" t="n">
        <f aca="false">IF(T$49="Y",Jul!K52,I52*J52)</f>
        <v>0</v>
      </c>
      <c r="L52" s="177" t="n">
        <f aca="false">IF(T$49="Y",Jul!L52,0)</f>
        <v>0</v>
      </c>
      <c r="M52" s="180" t="str">
        <f aca="false">IF(E52=" "," ",IF(T$49="Y",Jul!M52,IF((H52+K52+L52)&gt;0,H52+K52+L52,"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253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IF(Employee!H$61=E$49,Employee!D$60+SUM(M52)+Jul!V52,SUM(M52)+Jul!V52)</f>
        <v>0</v>
      </c>
      <c r="W52" s="172" t="n">
        <f aca="false">IF(Employee!H$61=E$49,Employee!D$61+SUM(N52)+Jul!W52,SUM(N52)+Jul!W52)</f>
        <v>0</v>
      </c>
      <c r="X52" s="172" t="n">
        <f aca="false">IF(O52=" ",Jul!X52,O52+Jul!X52)</f>
        <v>0</v>
      </c>
      <c r="Y52" s="172" t="n">
        <f aca="false">IF(P52=" ",Jul!Y52,P52+Jul!Y52)</f>
        <v>0</v>
      </c>
      <c r="Z52" s="172" t="n">
        <f aca="false">IF(Q52=" ",Jul!Z52,Q52+Jul!Z52)</f>
        <v>0</v>
      </c>
      <c r="AA52" s="172" t="n">
        <f aca="false">IF(R52=" ",Jul!AA52,R52+Jul!AA52)</f>
        <v>0</v>
      </c>
      <c r="AC52" s="172" t="n">
        <f aca="false">IF(T52=" ",Jul!AC52,T52+Jul!AC52)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IF(T$49="Y",Jul!H53,0)</f>
        <v>0</v>
      </c>
      <c r="I53" s="177" t="n">
        <f aca="false">IF(T$49="Y",Jul!I53,0)</f>
        <v>0</v>
      </c>
      <c r="J53" s="177" t="n">
        <f aca="false">IF(T$49="Y",Jul!J53,0)</f>
        <v>0</v>
      </c>
      <c r="K53" s="177" t="n">
        <f aca="false">IF(T$49="Y",Jul!K53,I53*J53)</f>
        <v>0</v>
      </c>
      <c r="L53" s="177" t="n">
        <f aca="false">IF(T$49="Y",Jul!L53,0)</f>
        <v>0</v>
      </c>
      <c r="M53" s="180" t="str">
        <f aca="false">IF(E53=" "," ",IF(T$49="Y",Jul!M53,IF((H53+K53+L53)&gt;0,H53+K53+L53,"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IF(Employee!H$87=E$49,Employee!D$86+SUM(M53)+Jul!V53,SUM(M53)+Jul!V53)</f>
        <v>0</v>
      </c>
      <c r="W53" s="172" t="n">
        <f aca="false">IF(Employee!H$87=E$49,Employee!D$87+SUM(N53)+Jul!W53,SUM(N53)+Jul!W53)</f>
        <v>0</v>
      </c>
      <c r="X53" s="172" t="n">
        <f aca="false">IF(O53=" ",Jul!X53,O53+Jul!X53)</f>
        <v>0</v>
      </c>
      <c r="Y53" s="172" t="n">
        <f aca="false">IF(P53=" ",Jul!Y53,P53+Jul!Y53)</f>
        <v>0</v>
      </c>
      <c r="Z53" s="172" t="n">
        <f aca="false">IF(Q53=" ",Jul!Z53,Q53+Jul!Z53)</f>
        <v>0</v>
      </c>
      <c r="AA53" s="172" t="n">
        <f aca="false">IF(R53=" ",Jul!AA53,R53+Jul!AA53)</f>
        <v>0</v>
      </c>
      <c r="AC53" s="172" t="n">
        <f aca="false">IF(T53=" ",Jul!AC53,T53+Jul!AC53)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IF(T$49="Y",Jul!H54,0)</f>
        <v>0</v>
      </c>
      <c r="I54" s="177" t="n">
        <f aca="false">IF(T$49="Y",Jul!I54,0)</f>
        <v>0</v>
      </c>
      <c r="J54" s="177" t="n">
        <f aca="false">IF(T$49="Y",Jul!J54,0)</f>
        <v>0</v>
      </c>
      <c r="K54" s="177" t="n">
        <f aca="false">IF(T$49="Y",Jul!K54,I54*J54)</f>
        <v>0</v>
      </c>
      <c r="L54" s="177" t="n">
        <f aca="false">IF(T$49="Y",Jul!L54,0)</f>
        <v>0</v>
      </c>
      <c r="M54" s="180" t="str">
        <f aca="false">IF(E54=" "," ",IF(T$49="Y",Jul!M54,IF((H54+K54+L54)&gt;0,H54+K54+L54,"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IF(Employee!H$113=E$49,Employee!D$112+SUM(M54)+Jul!V54,SUM(M54)+Jul!V54)</f>
        <v>0</v>
      </c>
      <c r="W54" s="172" t="n">
        <f aca="false">IF(Employee!H$113=E$49,Employee!D$113+SUM(N54)+Jul!W54,SUM(N54)+Jul!W54)</f>
        <v>0</v>
      </c>
      <c r="X54" s="172" t="n">
        <f aca="false">IF(O54=" ",Jul!X54,O54+Jul!X54)</f>
        <v>0</v>
      </c>
      <c r="Y54" s="172" t="n">
        <f aca="false">IF(P54=" ",Jul!Y54,P54+Jul!Y54)</f>
        <v>0</v>
      </c>
      <c r="Z54" s="172" t="n">
        <f aca="false">IF(Q54=" ",Jul!Z54,Q54+Jul!Z54)</f>
        <v>0</v>
      </c>
      <c r="AA54" s="172" t="n">
        <f aca="false">IF(R54=" ",Jul!AA54,R54+Jul!AA54)</f>
        <v>0</v>
      </c>
      <c r="AC54" s="172" t="n">
        <f aca="false">IF(T54=" ",Jul!AC54,T54+Jul!AC54)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76" t="n">
        <f aca="false">IF(T$49="Y",Jul!H55,0)</f>
        <v>0</v>
      </c>
      <c r="I55" s="177" t="n">
        <f aca="false">IF(T$49="Y",Jul!I55,0)</f>
        <v>0</v>
      </c>
      <c r="J55" s="177" t="n">
        <f aca="false">IF(T$49="Y",Jul!J55,0)</f>
        <v>0</v>
      </c>
      <c r="K55" s="177" t="n">
        <f aca="false">IF(T$49="Y",Jul!K55,I55*J55)</f>
        <v>0</v>
      </c>
      <c r="L55" s="177" t="n">
        <f aca="false">IF(T$49="Y",Jul!L55,0)</f>
        <v>0</v>
      </c>
      <c r="M55" s="180" t="str">
        <f aca="false">IF(E55=" "," ",IF(T$49="Y",Jul!M55,IF((H55+K55+L55)&gt;0,H55+K55+L55,"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IF(Employee!H$139=E$49,Employee!D$138+SUM(M55)+Jul!V55,SUM(M55)+Jul!V55)</f>
        <v>0</v>
      </c>
      <c r="W55" s="172" t="n">
        <f aca="false">IF(Employee!H$139=E$49,Employee!D$139+SUM(N55)+Jul!W55,SUM(N55)+Jul!W55)</f>
        <v>0</v>
      </c>
      <c r="X55" s="172" t="n">
        <f aca="false">IF(O55=" ",Jul!X55,O55+Jul!X55)</f>
        <v>0</v>
      </c>
      <c r="Y55" s="172" t="n">
        <f aca="false">IF(P55=" ",Jul!Y55,P55+Jul!Y55)</f>
        <v>0</v>
      </c>
      <c r="Z55" s="172" t="n">
        <f aca="false">IF(Q55=" ",Jul!Z55,Q55+Jul!Z55)</f>
        <v>0</v>
      </c>
      <c r="AA55" s="172" t="n">
        <f aca="false">IF(R55=" ",Jul!AA55,R55+Jul!AA55)</f>
        <v>0</v>
      </c>
      <c r="AC55" s="172" t="n">
        <f aca="false">IF(T55=" ",Jul!AC55,T55+Jul!AC55)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3.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AD60+Jul!AD65</f>
        <v>0</v>
      </c>
      <c r="AE65" s="240" t="n">
        <f aca="false">AE60+Jul!AE65</f>
        <v>0</v>
      </c>
      <c r="AF65" s="240" t="n">
        <f aca="false">AF60+Jul!AF65</f>
        <v>0</v>
      </c>
      <c r="AG65" s="240" t="n">
        <f aca="false">AG60+Jul!AG65</f>
        <v>0</v>
      </c>
    </row>
    <row r="67" customFormat="false" ht="12.75" hidden="false" customHeight="false" outlineLevel="0" collapsed="false">
      <c r="AD67" s="233"/>
      <c r="AE67" s="240" t="n">
        <f aca="false">AE62+Jul!AE67</f>
        <v>0</v>
      </c>
      <c r="AF67" s="240" t="n">
        <f aca="false">AF62+Jul!AF67</f>
        <v>0</v>
      </c>
      <c r="AG67" s="240" t="n">
        <f aca="false">AG62+Jul!AG67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97" customFormat="tru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246" t="n">
        <f aca="false">SUM(AD70:AG70)+SUM(AE72:AG72)</f>
        <v>0</v>
      </c>
      <c r="H1" s="246"/>
      <c r="I1" s="261" t="s">
        <v>38</v>
      </c>
      <c r="J1" s="261"/>
      <c r="K1" s="261"/>
      <c r="L1" s="261"/>
      <c r="M1" s="248" t="n">
        <f aca="false">M16+M26+M36+M46+M56+M66</f>
        <v>0</v>
      </c>
      <c r="N1" s="248" t="n">
        <f aca="false">N16+N26+N36+N46+N56+N66</f>
        <v>0</v>
      </c>
      <c r="O1" s="248" t="n">
        <f aca="false">O16+O26+O36+O46+O56+O66</f>
        <v>0</v>
      </c>
      <c r="P1" s="248" t="n">
        <f aca="false">P16+P26+P36+P46+P56+P66</f>
        <v>0</v>
      </c>
      <c r="Q1" s="248" t="n">
        <f aca="false">Q16+Q26+Q36+Q46+Q56+Q66</f>
        <v>0</v>
      </c>
      <c r="R1" s="248" t="n">
        <f aca="false">R16+R26+R36+R46+R56+R66</f>
        <v>0</v>
      </c>
      <c r="S1" s="249"/>
      <c r="T1" s="248" t="n">
        <f aca="false">T16+T26+T36+T46+T56+T66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210"/>
    </row>
    <row r="2" s="97" customFormat="tru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M75</f>
        <v>0</v>
      </c>
      <c r="N2" s="106" t="n">
        <f aca="false">N75</f>
        <v>0</v>
      </c>
      <c r="O2" s="106" t="n">
        <f aca="false">O75</f>
        <v>0</v>
      </c>
      <c r="P2" s="106" t="n">
        <f aca="false">P75</f>
        <v>0</v>
      </c>
      <c r="Q2" s="106" t="n">
        <f aca="false">Q75</f>
        <v>0</v>
      </c>
      <c r="R2" s="106" t="n">
        <f aca="false">R75</f>
        <v>0</v>
      </c>
      <c r="S2" s="106" t="n">
        <f aca="false">S65</f>
        <v>0</v>
      </c>
      <c r="T2" s="106" t="n">
        <f aca="false">T75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210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22</v>
      </c>
      <c r="F9" s="144"/>
      <c r="G9" s="144"/>
      <c r="H9" s="146" t="s">
        <v>71</v>
      </c>
      <c r="I9" s="146"/>
      <c r="J9" s="146"/>
      <c r="K9" s="215" t="n">
        <f aca="false">Aug!M39+1</f>
        <v>44437</v>
      </c>
      <c r="L9" s="149" t="s">
        <v>74</v>
      </c>
      <c r="M9" s="150" t="n">
        <f aca="false">K9+6</f>
        <v>44443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IF(T$9="Y",Aug!H41,0)</f>
        <v>0</v>
      </c>
      <c r="I11" s="168" t="n">
        <f aca="false">IF(T$9="Y",Aug!I41,0)</f>
        <v>0</v>
      </c>
      <c r="J11" s="168" t="n">
        <f aca="false">IF(T$9="Y",Aug!J41,0)</f>
        <v>0</v>
      </c>
      <c r="K11" s="168" t="n">
        <f aca="false">IF(T$9="Y",Aug!K41,I11*J11)</f>
        <v>0</v>
      </c>
      <c r="L11" s="166" t="n">
        <f aca="false">IF(T$9="Y",Aug!L41,0)</f>
        <v>0</v>
      </c>
      <c r="M11" s="166" t="str">
        <f aca="false">IF(E11=" "," ",IF(T$9="Y",Aug!M41,IF((H11+K11+L11)&gt;0,H11+K11+L11,"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IF(Employee!H$34=E$9,Employee!D$34+SUM(M11)+Aug!V41,SUM(M11)+Aug!V41)</f>
        <v>0</v>
      </c>
      <c r="W11" s="172" t="n">
        <f aca="false">IF(Employee!H$34=E$9,Employee!D$35+SUM(N11)+Aug!W41,SUM(N11)+Aug!W41)</f>
        <v>0</v>
      </c>
      <c r="X11" s="172" t="n">
        <f aca="false">IF(O11=" ",Aug!X41,O11+Aug!X41)</f>
        <v>0</v>
      </c>
      <c r="Y11" s="172" t="n">
        <f aca="false">IF(P11=" ",Aug!Y41,P11+Aug!Y41)</f>
        <v>0</v>
      </c>
      <c r="Z11" s="172" t="n">
        <f aca="false">IF(Q11=" ",Aug!Z41,Q11+Aug!Z41)</f>
        <v>0</v>
      </c>
      <c r="AA11" s="172" t="n">
        <f aca="false">IF(R11=" ",Aug!AA41,R11+Aug!AA41)</f>
        <v>0</v>
      </c>
      <c r="AC11" s="172" t="e">
        <f aca="false">IF(T11=" ",Aug!AC41,T11+Aug!AC41)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IF(T$9="Y",Aug!H42,0)</f>
        <v>0</v>
      </c>
      <c r="I12" s="177" t="n">
        <f aca="false">IF(T$9="Y",Aug!I42,0)</f>
        <v>0</v>
      </c>
      <c r="J12" s="177" t="n">
        <f aca="false">IF(T$9="Y",Aug!J42,0)</f>
        <v>0</v>
      </c>
      <c r="K12" s="177" t="n">
        <f aca="false">IF(T$9="Y",Aug!K42,I12*J12)</f>
        <v>0</v>
      </c>
      <c r="L12" s="179" t="n">
        <f aca="false">IF(T$9="Y",Aug!L42,0)</f>
        <v>0</v>
      </c>
      <c r="M12" s="179" t="str">
        <f aca="false">IF(E12=" "," ",IF(T$9="Y",Aug!M42,IF((H12+K12+L12)&gt;0,H12+K12+L12,"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IF(Employee!H$60=E$9,Employee!D$60+SUM(M12)+Aug!V42,SUM(M12)+Aug!V42)</f>
        <v>0</v>
      </c>
      <c r="W12" s="172" t="n">
        <f aca="false">IF(Employee!H$60=E$9,Employee!D$61+SUM(N12)+Aug!W42,SUM(N12)+Aug!W42)</f>
        <v>0</v>
      </c>
      <c r="X12" s="172" t="n">
        <f aca="false">IF(O12=" ",Aug!X42,O12+Aug!X42)</f>
        <v>0</v>
      </c>
      <c r="Y12" s="172" t="n">
        <f aca="false">IF(P12=" ",Aug!Y42,P12+Aug!Y42)</f>
        <v>0</v>
      </c>
      <c r="Z12" s="172" t="n">
        <f aca="false">IF(Q12=" ",Aug!Z42,Q12+Aug!Z42)</f>
        <v>0</v>
      </c>
      <c r="AA12" s="172" t="n">
        <f aca="false">IF(R12=" ",Aug!AA42,R12+Aug!AA42)</f>
        <v>0</v>
      </c>
      <c r="AC12" s="172" t="n">
        <f aca="false">IF(T12=" ",Aug!AC42,T12+Aug!AC42)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IF(T$9="Y",Aug!H43,0)</f>
        <v>0</v>
      </c>
      <c r="I13" s="177" t="n">
        <f aca="false">IF(T$9="Y",Aug!I43,0)</f>
        <v>0</v>
      </c>
      <c r="J13" s="177" t="n">
        <f aca="false">IF(T$9="Y",Aug!J43,0)</f>
        <v>0</v>
      </c>
      <c r="K13" s="177" t="n">
        <f aca="false">IF(T$9="Y",Aug!K43,I13*J13)</f>
        <v>0</v>
      </c>
      <c r="L13" s="179" t="n">
        <f aca="false">IF(T$9="Y",Aug!L43,0)</f>
        <v>0</v>
      </c>
      <c r="M13" s="179" t="str">
        <f aca="false">IF(E13=" "," ",IF(T$9="Y",Aug!M43,IF((H13+K13+L13)&gt;0,H13+K13+L13,"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IF(Employee!H$86=E$9,Employee!D$86+SUM(M13)+Aug!V43,SUM(M13)+Aug!V43)</f>
        <v>0</v>
      </c>
      <c r="W13" s="172" t="n">
        <f aca="false">IF(Employee!H$86=E$9,Employee!D$87+SUM(N13)+Aug!W43,SUM(N13)+Aug!W43)</f>
        <v>0</v>
      </c>
      <c r="X13" s="172" t="n">
        <f aca="false">IF(O13=" ",Aug!X43,O13+Aug!X43)</f>
        <v>0</v>
      </c>
      <c r="Y13" s="172" t="n">
        <f aca="false">IF(P13=" ",Aug!Y43,P13+Aug!Y43)</f>
        <v>0</v>
      </c>
      <c r="Z13" s="172" t="n">
        <f aca="false">IF(Q13=" ",Aug!Z43,Q13+Aug!Z43)</f>
        <v>0</v>
      </c>
      <c r="AA13" s="172" t="n">
        <f aca="false">IF(R13=" ",Aug!AA43,R13+Aug!AA43)</f>
        <v>0</v>
      </c>
      <c r="AC13" s="172" t="n">
        <f aca="false">IF(T13=" ",Aug!AC43,T13+Aug!AC43)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IF(T$9="Y",Aug!H44,0)</f>
        <v>0</v>
      </c>
      <c r="I14" s="177" t="n">
        <f aca="false">IF(T$9="Y",Aug!I44,0)</f>
        <v>0</v>
      </c>
      <c r="J14" s="177" t="n">
        <f aca="false">IF(T$9="Y",Aug!J44,0)</f>
        <v>0</v>
      </c>
      <c r="K14" s="177" t="n">
        <f aca="false">IF(T$9="Y",Aug!K44,I14*J14)</f>
        <v>0</v>
      </c>
      <c r="L14" s="179" t="n">
        <f aca="false">IF(T$9="Y",Aug!L44,0)</f>
        <v>0</v>
      </c>
      <c r="M14" s="179" t="str">
        <f aca="false">IF(E14=" "," ",IF(T$9="Y",Aug!M44,IF((H14+K14+L14)&gt;0,H14+K14+L14,"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IF(Employee!H$112=E$9,Employee!D$112+SUM(M14)+Aug!V44,SUM(M14)+Aug!V44)</f>
        <v>0</v>
      </c>
      <c r="W14" s="172" t="n">
        <f aca="false">IF(Employee!H$112=E$9,Employee!D$113+SUM(N14)+Aug!W44,SUM(N14)+Aug!W44)</f>
        <v>0</v>
      </c>
      <c r="X14" s="172" t="n">
        <f aca="false">IF(O14=" ",Aug!X44,O14+Aug!X44)</f>
        <v>0</v>
      </c>
      <c r="Y14" s="172" t="n">
        <f aca="false">IF(P14=" ",Aug!Y44,P14+Aug!Y44)</f>
        <v>0</v>
      </c>
      <c r="Z14" s="172" t="n">
        <f aca="false">IF(Q14=" ",Aug!Z44,Q14+Aug!Z44)</f>
        <v>0</v>
      </c>
      <c r="AA14" s="172" t="n">
        <f aca="false">IF(R14=" ",Aug!AA44,R14+Aug!AA44)</f>
        <v>0</v>
      </c>
      <c r="AC14" s="172" t="n">
        <f aca="false">IF(T14=" ",Aug!AC44,T14+Aug!AC44)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IF(T$9="Y",Aug!H45,0)</f>
        <v>0</v>
      </c>
      <c r="I15" s="182" t="n">
        <f aca="false">IF(T$9="Y",Aug!I45,0)</f>
        <v>0</v>
      </c>
      <c r="J15" s="182" t="n">
        <f aca="false">IF(T$9="Y",Aug!J45,0)</f>
        <v>0</v>
      </c>
      <c r="K15" s="182" t="n">
        <f aca="false">IF(T$9="Y",Aug!K45,I15*J15)</f>
        <v>0</v>
      </c>
      <c r="L15" s="183" t="n">
        <f aca="false">IF(T$9="Y",Aug!L45,0)</f>
        <v>0</v>
      </c>
      <c r="M15" s="179" t="str">
        <f aca="false">IF(E15=" "," ",IF(T$9="Y",Aug!M45,IF((H15+K15+L15)&gt;0,H15+K15+L15,"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IF(Employee!H$138=E$9,Employee!D$138+SUM(M15)+Aug!V45,SUM(M15)+Aug!V45)</f>
        <v>0</v>
      </c>
      <c r="W15" s="172" t="n">
        <f aca="false">IF(Employee!H$138=E$9,Employee!D$139+SUM(N15)+Aug!W45,SUM(N15)+Aug!W45)</f>
        <v>0</v>
      </c>
      <c r="X15" s="172" t="n">
        <f aca="false">IF(O15=" ",Aug!X45,O15+Aug!X45)</f>
        <v>0</v>
      </c>
      <c r="Y15" s="172" t="n">
        <f aca="false">IF(P15=" ",Aug!Y45,P15+Aug!Y45)</f>
        <v>0</v>
      </c>
      <c r="Z15" s="172" t="n">
        <f aca="false">IF(Q15=" ",Aug!Z45,Q15+Aug!Z45)</f>
        <v>0</v>
      </c>
      <c r="AA15" s="172" t="n">
        <f aca="false">IF(R15=" ",Aug!AA45,R15+Aug!AA45)</f>
        <v>0</v>
      </c>
      <c r="AC15" s="172" t="n">
        <f aca="false">IF(T15=" ",Aug!AC45,T15+Aug!AC45)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23</v>
      </c>
      <c r="F19" s="144"/>
      <c r="G19" s="144"/>
      <c r="H19" s="146" t="s">
        <v>71</v>
      </c>
      <c r="I19" s="146"/>
      <c r="J19" s="146"/>
      <c r="K19" s="215" t="n">
        <f aca="false">M9+1</f>
        <v>44444</v>
      </c>
      <c r="L19" s="149" t="s">
        <v>74</v>
      </c>
      <c r="M19" s="150" t="n">
        <f aca="false">K19+6</f>
        <v>44450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24</v>
      </c>
      <c r="F29" s="144"/>
      <c r="G29" s="144"/>
      <c r="H29" s="146" t="s">
        <v>71</v>
      </c>
      <c r="I29" s="146"/>
      <c r="J29" s="146"/>
      <c r="K29" s="215" t="n">
        <f aca="false">M19+1</f>
        <v>44451</v>
      </c>
      <c r="L29" s="149" t="s">
        <v>74</v>
      </c>
      <c r="M29" s="150" t="n">
        <f aca="false">K29+6</f>
        <v>44457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25</v>
      </c>
      <c r="F39" s="144"/>
      <c r="G39" s="144"/>
      <c r="H39" s="146" t="s">
        <v>71</v>
      </c>
      <c r="I39" s="146"/>
      <c r="J39" s="146"/>
      <c r="K39" s="215" t="n">
        <f aca="false">M29+1</f>
        <v>44458</v>
      </c>
      <c r="L39" s="149" t="s">
        <v>74</v>
      </c>
      <c r="M39" s="150" t="n">
        <f aca="false">K39+6</f>
        <v>44464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70</v>
      </c>
      <c r="C48" s="135"/>
      <c r="D48" s="135"/>
      <c r="E48" s="135"/>
      <c r="F48" s="136"/>
      <c r="G48" s="136"/>
      <c r="H48" s="136"/>
      <c r="I48" s="136"/>
      <c r="J48" s="136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72</v>
      </c>
      <c r="C49" s="146"/>
      <c r="D49" s="146"/>
      <c r="E49" s="147" t="n">
        <v>26</v>
      </c>
      <c r="F49" s="144"/>
      <c r="G49" s="144"/>
      <c r="H49" s="146" t="s">
        <v>71</v>
      </c>
      <c r="I49" s="146"/>
      <c r="J49" s="146"/>
      <c r="K49" s="215" t="n">
        <f aca="false">Admin!B175</f>
        <v>44465</v>
      </c>
      <c r="L49" s="149" t="s">
        <v>74</v>
      </c>
      <c r="M49" s="150" t="n">
        <f aca="false">K49+6</f>
        <v>44471</v>
      </c>
      <c r="N49" s="151"/>
      <c r="O49" s="198" t="s">
        <v>77</v>
      </c>
      <c r="P49" s="198"/>
      <c r="Q49" s="198"/>
      <c r="R49" s="198"/>
      <c r="S49" s="144"/>
      <c r="T49" s="199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IF(Employee!D$28="m","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IF(T$49="Y",H41,0)</f>
        <v>0</v>
      </c>
      <c r="I51" s="168" t="n">
        <f aca="false">IF(T$49="Y",I41,0)</f>
        <v>0</v>
      </c>
      <c r="J51" s="168" t="n">
        <f aca="false">IF(T$49="Y",J41,0)</f>
        <v>0</v>
      </c>
      <c r="K51" s="168" t="n">
        <f aca="false">IF(T$49="Y",K41,I51*J51)</f>
        <v>0</v>
      </c>
      <c r="L51" s="166" t="n">
        <f aca="false">IF(T$49="Y",L41,0)</f>
        <v>0</v>
      </c>
      <c r="M51" s="170" t="str">
        <f aca="false">IF(E51=" "," ",IF(T$49="Y",M41,IF((H51+K51+L51)&gt;0,H51+K51+L51,"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IF(Employee!H$34=E$49,Employee!D$34+SUM(M51)+V41,SUM(M51)+V41)</f>
        <v>0</v>
      </c>
      <c r="W51" s="172" t="n">
        <f aca="false">IF(Employee!H$34=E$49,Employee!D$35+SUM(N51)+W41,SUM(N51)+W41)</f>
        <v>0</v>
      </c>
      <c r="X51" s="172" t="n">
        <f aca="false">IF(O51=" ",X41,O51+X41)</f>
        <v>0</v>
      </c>
      <c r="Y51" s="172" t="n">
        <f aca="false">IF(P51=0,Y41,P51+Y41)</f>
        <v>0</v>
      </c>
      <c r="Z51" s="172" t="n">
        <f aca="false">IF(Q51=0,Z41,Q51+Z41)</f>
        <v>0</v>
      </c>
      <c r="AA51" s="172" t="n">
        <f aca="false">IF(R51=" ",AA41,AA41+R51)</f>
        <v>0</v>
      </c>
      <c r="AC51" s="172" t="e">
        <f aca="false">IF(T51=" ",AC41,T51+AC41)</f>
        <v>#N/A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IF(Employee!D$54="m","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IF(T$49="Y",H42,0)</f>
        <v>0</v>
      </c>
      <c r="I52" s="177" t="n">
        <f aca="false">IF(T$49="Y",I42,0)</f>
        <v>0</v>
      </c>
      <c r="J52" s="177" t="n">
        <f aca="false">IF(T$49="Y",J42,0)</f>
        <v>0</v>
      </c>
      <c r="K52" s="177" t="n">
        <f aca="false">IF(T$49="Y",K42,I52*J52)</f>
        <v>0</v>
      </c>
      <c r="L52" s="179" t="n">
        <f aca="false">IF(T$49="Y",L42,0)</f>
        <v>0</v>
      </c>
      <c r="M52" s="180" t="str">
        <f aca="false">IF(E52=" "," ",IF(T$49="Y",M42,IF((H52+K52+L52)&gt;0,H52+K52+L52,"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IF(Employee!H$60=E$49,Employee!D$60+SUM(M52)+V42,SUM(M52)+V42)</f>
        <v>0</v>
      </c>
      <c r="W52" s="172" t="n">
        <f aca="false">IF(Employee!H$60=E$49,Employee!D$61+SUM(N52)+W42,SUM(N52)+W42)</f>
        <v>0</v>
      </c>
      <c r="X52" s="172" t="n">
        <f aca="false">IF(O52=" ",X42,O52+X42)</f>
        <v>0</v>
      </c>
      <c r="Y52" s="172" t="n">
        <f aca="false">IF(P52=0,Y42,P52+Y42)</f>
        <v>0</v>
      </c>
      <c r="Z52" s="172" t="n">
        <f aca="false">IF(Q52=0,Z42,Q52+Z42)</f>
        <v>0</v>
      </c>
      <c r="AA52" s="172" t="n">
        <f aca="false">IF(R52=" ",AA42,AA42+R52)</f>
        <v>0</v>
      </c>
      <c r="AC52" s="172" t="n">
        <f aca="false">IF(T52=" ",AC42,T52+AC42)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IF(Employee!D$80="m","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IF(T$49="Y",H43,0)</f>
        <v>0</v>
      </c>
      <c r="I53" s="177" t="n">
        <f aca="false">IF(T$49="Y",I43,0)</f>
        <v>0</v>
      </c>
      <c r="J53" s="177" t="n">
        <f aca="false">IF(T$49="Y",J43,0)</f>
        <v>0</v>
      </c>
      <c r="K53" s="177" t="n">
        <f aca="false">IF(T$49="Y",K43,I53*J53)</f>
        <v>0</v>
      </c>
      <c r="L53" s="179" t="n">
        <f aca="false">IF(T$49="Y",L43,0)</f>
        <v>0</v>
      </c>
      <c r="M53" s="180" t="str">
        <f aca="false">IF(E53=" "," ",IF(T$49="Y",M43,IF((H53+K53+L53)&gt;0,H53+K53+L53,"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IF(Employee!H$86=E$49,Employee!D$86+SUM(M53)+V43,SUM(M53)+V43)</f>
        <v>0</v>
      </c>
      <c r="W53" s="172" t="n">
        <f aca="false">IF(Employee!H$86=E$49,Employee!D$87+SUM(N53)+W43,SUM(N53)+W43)</f>
        <v>0</v>
      </c>
      <c r="X53" s="172" t="n">
        <f aca="false">IF(O53=" ",X43,O53+X43)</f>
        <v>0</v>
      </c>
      <c r="Y53" s="172" t="n">
        <f aca="false">IF(P53=0,Y43,P53+Y43)</f>
        <v>0</v>
      </c>
      <c r="Z53" s="172" t="n">
        <f aca="false">IF(Q53=0,Z43,Q53+Z43)</f>
        <v>0</v>
      </c>
      <c r="AA53" s="172" t="n">
        <f aca="false">IF(R53=" ",AA43,AA43+R53)</f>
        <v>0</v>
      </c>
      <c r="AC53" s="172" t="n">
        <f aca="false">IF(T53=" ",AC43,T53+AC43)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IF(Employee!D$106="m","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IF(T$49="Y",H44,0)</f>
        <v>0</v>
      </c>
      <c r="I54" s="177" t="n">
        <f aca="false">IF(T$49="Y",I44,0)</f>
        <v>0</v>
      </c>
      <c r="J54" s="177" t="n">
        <f aca="false">IF(T$49="Y",J44,0)</f>
        <v>0</v>
      </c>
      <c r="K54" s="177" t="n">
        <f aca="false">IF(T$49="Y",K44,I54*J54)</f>
        <v>0</v>
      </c>
      <c r="L54" s="179" t="n">
        <f aca="false">IF(T$49="Y",L44,0)</f>
        <v>0</v>
      </c>
      <c r="M54" s="180" t="str">
        <f aca="false">IF(E54=" "," ",IF(T$49="Y",M44,IF((H54+K54+L54)&gt;0,H54+K54+L54,"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IF(Employee!H$112=E$49,Employee!D$112+SUM(M54)+V44,SUM(M54)+V44)</f>
        <v>0</v>
      </c>
      <c r="W54" s="172" t="n">
        <f aca="false">IF(Employee!H$112=E$49,Employee!D$113+SUM(N54)+W44,SUM(N54)+W44)</f>
        <v>0</v>
      </c>
      <c r="X54" s="172" t="n">
        <f aca="false">IF(O54=" ",X44,O54+X44)</f>
        <v>0</v>
      </c>
      <c r="Y54" s="172" t="n">
        <f aca="false">IF(P54=0,Y44,P54+Y44)</f>
        <v>0</v>
      </c>
      <c r="Z54" s="172" t="n">
        <f aca="false">IF(Q54=0,Z44,Q54+Z44)</f>
        <v>0</v>
      </c>
      <c r="AA54" s="172" t="n">
        <f aca="false">IF(R54=" ",AA44,AA44+R54)</f>
        <v>0</v>
      </c>
      <c r="AC54" s="172" t="n">
        <f aca="false">IF(T54=" ",AC44,T54+AC44)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IF(Employee!D$132="m","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76" t="n">
        <f aca="false">IF(T$49="Y",H45,0)</f>
        <v>0</v>
      </c>
      <c r="I55" s="177" t="n">
        <f aca="false">IF(T$49="Y",I45,0)</f>
        <v>0</v>
      </c>
      <c r="J55" s="177" t="n">
        <f aca="false">IF(T$49="Y",J45,0)</f>
        <v>0</v>
      </c>
      <c r="K55" s="177" t="n">
        <f aca="false">IF(T$49="Y",K45,I55*J55)</f>
        <v>0</v>
      </c>
      <c r="L55" s="179" t="n">
        <f aca="false">IF(T$49="Y",L45,0)</f>
        <v>0</v>
      </c>
      <c r="M55" s="180" t="str">
        <f aca="false">IF(E55=" "," ",IF(T$49="Y",M45,IF((H55+K55+L55)&gt;0,H55+K55+L55,"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IF(Employee!H$138=E$49,Employee!D$138+SUM(M55)+V45,SUM(M55)+V45)</f>
        <v>0</v>
      </c>
      <c r="W55" s="172" t="n">
        <f aca="false">IF(Employee!H$138=E$49,Employee!D$139+SUM(N55)+W45,SUM(N55)+W45)</f>
        <v>0</v>
      </c>
      <c r="X55" s="172" t="n">
        <f aca="false">IF(O55=" ",X45,O55+X45)</f>
        <v>0</v>
      </c>
      <c r="Y55" s="172" t="n">
        <f aca="false">IF(P55=0,Y45,P55+Y45)</f>
        <v>0</v>
      </c>
      <c r="Z55" s="172" t="n">
        <f aca="false">IF(Q55=0,Z45,Q55+Z45)</f>
        <v>0</v>
      </c>
      <c r="AA55" s="172" t="n">
        <f aca="false">IF(R55=" ",AA45,AA45+R55)</f>
        <v>0</v>
      </c>
      <c r="AC55" s="172" t="n">
        <f aca="false">IF(T55=" ",AC45,T55+AC45)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s="127" customFormat="true" ht="24" hidden="false" customHeight="true" outlineLevel="0" collapsed="false">
      <c r="A57" s="196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9"/>
      <c r="V57" s="130"/>
      <c r="W57" s="130"/>
      <c r="X57" s="130"/>
      <c r="Y57" s="131"/>
      <c r="Z57" s="130"/>
      <c r="AA57" s="130"/>
      <c r="AB57" s="132"/>
      <c r="AC57" s="130"/>
      <c r="AD57" s="101"/>
      <c r="AE57" s="101"/>
      <c r="AF57" s="101"/>
      <c r="AG57" s="101"/>
      <c r="AH57" s="144"/>
    </row>
    <row r="58" customFormat="false" ht="18" hidden="false" customHeight="true" outlineLevel="0" collapsed="false">
      <c r="A58" s="134"/>
      <c r="B58" s="135" t="s">
        <v>78</v>
      </c>
      <c r="C58" s="135"/>
      <c r="D58" s="135"/>
      <c r="E58" s="135"/>
      <c r="F58" s="136"/>
      <c r="G58" s="136"/>
      <c r="H58" s="140"/>
      <c r="I58" s="140"/>
      <c r="J58" s="140"/>
      <c r="K58" s="139"/>
      <c r="L58" s="139"/>
      <c r="M58" s="140"/>
      <c r="N58" s="136"/>
      <c r="O58" s="141" t="s">
        <v>71</v>
      </c>
      <c r="P58" s="141"/>
      <c r="Q58" s="141"/>
      <c r="R58" s="197"/>
      <c r="S58" s="197"/>
      <c r="T58" s="197"/>
      <c r="U58" s="143"/>
      <c r="AD58" s="262"/>
      <c r="AE58" s="262"/>
      <c r="AF58" s="262"/>
      <c r="AG58" s="262"/>
      <c r="AH58" s="144"/>
    </row>
    <row r="59" customFormat="false" ht="18" hidden="false" customHeight="true" outlineLevel="0" collapsed="false">
      <c r="A59" s="145"/>
      <c r="B59" s="146" t="s">
        <v>79</v>
      </c>
      <c r="C59" s="146"/>
      <c r="D59" s="146"/>
      <c r="E59" s="147" t="n">
        <v>6</v>
      </c>
      <c r="F59" s="144"/>
      <c r="G59" s="144"/>
      <c r="H59" s="146" t="s">
        <v>71</v>
      </c>
      <c r="I59" s="146"/>
      <c r="J59" s="146"/>
      <c r="K59" s="215" t="n">
        <f aca="false">Admin!B150</f>
        <v>44440</v>
      </c>
      <c r="L59" s="149" t="s">
        <v>74</v>
      </c>
      <c r="M59" s="150" t="n">
        <f aca="false">Admin!B179</f>
        <v>44469</v>
      </c>
      <c r="N59" s="151"/>
      <c r="O59" s="198" t="s">
        <v>85</v>
      </c>
      <c r="P59" s="198"/>
      <c r="Q59" s="198"/>
      <c r="R59" s="198"/>
      <c r="S59" s="144"/>
      <c r="T59" s="245"/>
      <c r="U59" s="153"/>
      <c r="AH59" s="144"/>
    </row>
    <row r="60" customFormat="false" ht="18" hidden="false" customHeight="true" outlineLevel="0" collapsed="false">
      <c r="A60" s="145"/>
      <c r="B60" s="209"/>
      <c r="C60" s="210"/>
      <c r="D60" s="210"/>
      <c r="E60" s="211"/>
      <c r="F60" s="144"/>
      <c r="G60" s="144"/>
      <c r="H60" s="152"/>
      <c r="I60" s="152"/>
      <c r="J60" s="152"/>
      <c r="K60" s="157"/>
      <c r="L60" s="157"/>
      <c r="M60" s="152"/>
      <c r="N60" s="144"/>
      <c r="O60" s="152"/>
      <c r="P60" s="152"/>
      <c r="Q60" s="152"/>
      <c r="R60" s="152"/>
      <c r="S60" s="144"/>
      <c r="T60" s="152"/>
      <c r="U60" s="153"/>
      <c r="AH60" s="144"/>
    </row>
    <row r="61" customFormat="false" ht="18" hidden="false" customHeight="true" outlineLevel="0" collapsed="false">
      <c r="A61" s="145"/>
      <c r="B61" s="159" t="str">
        <f aca="false">IF(E61=" "," ",IF(Employee!F$24&gt;E$59," ",IF(Employee!F$26&lt;E$59," ",Employee!D$30)))</f>
        <v> </v>
      </c>
      <c r="C61" s="160"/>
      <c r="D61" s="160" t="s">
        <v>75</v>
      </c>
      <c r="E61" s="213" t="str">
        <f aca="false">IF(Employee!D$28="w"," ",IF(Employee!F$24&gt;E$59," ",IF(Employee!F$26&lt;E$59," ",Employee!D$29)))</f>
        <v> </v>
      </c>
      <c r="F61" s="162" t="str">
        <f aca="false">IF(E61=" "," ",IF(Employee!F$24&gt;E$59," ",IF(Employee!F$26&lt;E$59," ",Employee!D$15)))</f>
        <v> </v>
      </c>
      <c r="G61" s="212"/>
      <c r="H61" s="164" t="n">
        <f aca="false">IF(T$59="Y",Aug!H51,0)</f>
        <v>0</v>
      </c>
      <c r="I61" s="168" t="n">
        <f aca="false">IF(T$59="Y",Aug!I51,0)</f>
        <v>0</v>
      </c>
      <c r="J61" s="168" t="n">
        <f aca="false">IF(T$59="Y",Aug!J51,0)</f>
        <v>0</v>
      </c>
      <c r="K61" s="168" t="n">
        <f aca="false">IF(T$59="Y",Aug!K51,I61*J61)</f>
        <v>0</v>
      </c>
      <c r="L61" s="166" t="n">
        <f aca="false">IF(T$59="Y",Aug!L51,0)</f>
        <v>0</v>
      </c>
      <c r="M61" s="170" t="str">
        <f aca="false">IF(E61=" "," ",IF(T$59="Y",Aug!M51,IF((H61+K61+L61)&gt;0,H61+K61+L61," ")))</f>
        <v> </v>
      </c>
      <c r="N61" s="164" t="n">
        <v>0</v>
      </c>
      <c r="O61" s="168" t="n">
        <v>0</v>
      </c>
      <c r="P61" s="168" t="n">
        <v>0</v>
      </c>
      <c r="Q61" s="166" t="n">
        <v>0</v>
      </c>
      <c r="R61" s="252" t="str">
        <f aca="false">IF(M61=" "," ",IF(M61=0," ",M61-SUM(N61:Q61)))</f>
        <v> </v>
      </c>
      <c r="S61" s="107"/>
      <c r="T61" s="170" t="n">
        <v>0</v>
      </c>
      <c r="U61" s="171"/>
      <c r="V61" s="172" t="n">
        <f aca="false">IF(Employee!H$35=E$59,Employee!D$34+SUM(M61)+Aug!V51,SUM(M61)+Aug!V51)</f>
        <v>0</v>
      </c>
      <c r="W61" s="172" t="n">
        <f aca="false">IF(Employee!H$35=E$59,Employee!D$35+SUM(N61)+Aug!W51,SUM(N61)+Aug!W51)</f>
        <v>0</v>
      </c>
      <c r="X61" s="172" t="n">
        <f aca="false">IF(O61=" ",Aug!X51,O61+Aug!X51)</f>
        <v>0</v>
      </c>
      <c r="Y61" s="172" t="n">
        <f aca="false">IF(P61=" ",Aug!Y51,P61+Aug!Y51)</f>
        <v>0</v>
      </c>
      <c r="Z61" s="172" t="n">
        <f aca="false">IF(Q61=" ",Aug!Z51,Q61+Aug!Z51)</f>
        <v>0</v>
      </c>
      <c r="AA61" s="172" t="n">
        <f aca="false">IF(R61=" ",Aug!AA51,R61+Aug!AA51)</f>
        <v>0</v>
      </c>
      <c r="AC61" s="172" t="n">
        <f aca="false">IF(T61=" ",Aug!AC51,T61+Aug!AC51)</f>
        <v>0</v>
      </c>
      <c r="AD61" s="101" t="n">
        <f aca="false">IF(G61="SSP",H61,0)</f>
        <v>0</v>
      </c>
      <c r="AE61" s="101" t="n">
        <f aca="false">IF(G61="SMP",H61,0)</f>
        <v>0</v>
      </c>
      <c r="AF61" s="101" t="n">
        <f aca="false">IF(G61="SPP",H61,0)</f>
        <v>0</v>
      </c>
      <c r="AG61" s="101" t="n">
        <f aca="false">IF(G61="SAP",H61,0)</f>
        <v>0</v>
      </c>
      <c r="AH61" s="144"/>
    </row>
    <row r="62" customFormat="false" ht="18" hidden="false" customHeight="true" outlineLevel="0" collapsed="false">
      <c r="A62" s="145"/>
      <c r="B62" s="173" t="str">
        <f aca="false">IF(E62=" "," ",IF(Employee!F$50&gt;E$59," ",IF(Employee!F$52&lt;E$59," ",Employee!D$56)))</f>
        <v> </v>
      </c>
      <c r="C62" s="160"/>
      <c r="D62" s="160" t="s">
        <v>75</v>
      </c>
      <c r="E62" s="214" t="str">
        <f aca="false">IF(Employee!D$54="w"," ",IF(Employee!F$50&gt;E$59," ",IF(Employee!F$52&lt;E$59," ",Employee!D$55)))</f>
        <v> </v>
      </c>
      <c r="F62" s="175" t="str">
        <f aca="false">IF(E62=" "," ",IF(Employee!F$50&gt;E$59," ",IF(Employee!F$52&lt;E$59," ",Employee!D$41)))</f>
        <v> </v>
      </c>
      <c r="G62" s="212"/>
      <c r="H62" s="176" t="n">
        <f aca="false">IF(T$59="Y",Aug!H52,0)</f>
        <v>0</v>
      </c>
      <c r="I62" s="177" t="n">
        <f aca="false">IF(T$59="Y",Aug!I52,0)</f>
        <v>0</v>
      </c>
      <c r="J62" s="177" t="n">
        <f aca="false">IF(T$59="Y",Aug!J52,0)</f>
        <v>0</v>
      </c>
      <c r="K62" s="177" t="n">
        <f aca="false">IF(T$59="Y",Aug!K52,I62*J62)</f>
        <v>0</v>
      </c>
      <c r="L62" s="179" t="n">
        <f aca="false">IF(T$59="Y",Aug!L52,0)</f>
        <v>0</v>
      </c>
      <c r="M62" s="180" t="str">
        <f aca="false">IF(E62=" "," ",IF(T$59="Y",Aug!M52,IF((H62+K62+L62)&gt;0,H62+K62+L62," ")))</f>
        <v> </v>
      </c>
      <c r="N62" s="176" t="n">
        <v>0</v>
      </c>
      <c r="O62" s="177" t="n">
        <v>0</v>
      </c>
      <c r="P62" s="177" t="n">
        <v>0</v>
      </c>
      <c r="Q62" s="179" t="n">
        <v>0</v>
      </c>
      <c r="R62" s="253" t="str">
        <f aca="false">IF(M62=" "," ",IF(M62=0," ",M62-SUM(N62:Q62)))</f>
        <v> </v>
      </c>
      <c r="S62" s="107"/>
      <c r="T62" s="180" t="n">
        <v>0</v>
      </c>
      <c r="U62" s="171"/>
      <c r="V62" s="172" t="n">
        <f aca="false">IF(Employee!H$61=E$59,Employee!D$60+SUM(M62)+Aug!V52,SUM(M62)+Aug!V52)</f>
        <v>0</v>
      </c>
      <c r="W62" s="172" t="n">
        <f aca="false">IF(Employee!H$61=E$59,Employee!D$61+SUM(N62)+Aug!W52,SUM(N62)+Aug!W52)</f>
        <v>0</v>
      </c>
      <c r="X62" s="172" t="n">
        <f aca="false">IF(O62=" ",Aug!X52,O62+Aug!X52)</f>
        <v>0</v>
      </c>
      <c r="Y62" s="172" t="n">
        <f aca="false">IF(P62=" ",Aug!Y52,P62+Aug!Y52)</f>
        <v>0</v>
      </c>
      <c r="Z62" s="172" t="n">
        <f aca="false">IF(Q62=" ",Aug!Z52,Q62+Aug!Z52)</f>
        <v>0</v>
      </c>
      <c r="AA62" s="172" t="n">
        <f aca="false">IF(R62=" ",Aug!AA52,R62+Aug!AA52)</f>
        <v>0</v>
      </c>
      <c r="AC62" s="172" t="n">
        <f aca="false">IF(T62=" ",Aug!AC52,T62+Aug!AC52)</f>
        <v>0</v>
      </c>
      <c r="AD62" s="101" t="n">
        <f aca="false">IF(G62="SSP",H62,0)</f>
        <v>0</v>
      </c>
      <c r="AE62" s="101" t="n">
        <f aca="false">IF(G62="SMP",H62,0)</f>
        <v>0</v>
      </c>
      <c r="AF62" s="101" t="n">
        <f aca="false">IF(G62="SPP",H62,0)</f>
        <v>0</v>
      </c>
      <c r="AG62" s="101" t="n">
        <f aca="false">IF(G62="SAP",H62,0)</f>
        <v>0</v>
      </c>
      <c r="AH62" s="144"/>
    </row>
    <row r="63" customFormat="false" ht="18" hidden="false" customHeight="true" outlineLevel="0" collapsed="false">
      <c r="A63" s="145"/>
      <c r="B63" s="173" t="str">
        <f aca="false">IF(E63=" "," ",IF(Employee!F$76&gt;E$59," ",IF(Employee!F$78&lt;E$59," ",Employee!D$82)))</f>
        <v> </v>
      </c>
      <c r="C63" s="160"/>
      <c r="D63" s="160" t="s">
        <v>75</v>
      </c>
      <c r="E63" s="214" t="str">
        <f aca="false">IF(Employee!D$80="w"," ",IF(Employee!F$76&gt;E$59," ",IF(Employee!F$78&lt;E$59," ",Employee!D$81)))</f>
        <v> </v>
      </c>
      <c r="F63" s="175" t="str">
        <f aca="false">IF(E63=" "," ",IF(Employee!F$76&gt;E$59," ",IF(Employee!F$78&lt;E$59," ",Employee!D$67)))</f>
        <v> </v>
      </c>
      <c r="G63" s="212"/>
      <c r="H63" s="176" t="n">
        <f aca="false">IF(T$59="Y",Aug!H53,0)</f>
        <v>0</v>
      </c>
      <c r="I63" s="177" t="n">
        <f aca="false">IF(T$59="Y",Aug!I53,0)</f>
        <v>0</v>
      </c>
      <c r="J63" s="177" t="n">
        <f aca="false">IF(T$59="Y",Aug!J53,0)</f>
        <v>0</v>
      </c>
      <c r="K63" s="177" t="n">
        <f aca="false">IF(T$59="Y",Aug!K53,I63*J63)</f>
        <v>0</v>
      </c>
      <c r="L63" s="179" t="n">
        <f aca="false">IF(T$59="Y",Aug!L53,0)</f>
        <v>0</v>
      </c>
      <c r="M63" s="180" t="str">
        <f aca="false">IF(E63=" "," ",IF(T$59="Y",Aug!M53,IF((H63+K63+L63)&gt;0,H63+K63+L63," ")))</f>
        <v> </v>
      </c>
      <c r="N63" s="176" t="n">
        <v>0</v>
      </c>
      <c r="O63" s="177" t="n">
        <v>0</v>
      </c>
      <c r="P63" s="177" t="n">
        <v>0</v>
      </c>
      <c r="Q63" s="179" t="n">
        <v>0</v>
      </c>
      <c r="R63" s="253" t="str">
        <f aca="false">IF(M63=" "," ",IF(M63=0," ",M63-SUM(N63:Q63)))</f>
        <v> </v>
      </c>
      <c r="S63" s="107"/>
      <c r="T63" s="180" t="n">
        <v>0</v>
      </c>
      <c r="U63" s="171"/>
      <c r="V63" s="172" t="n">
        <f aca="false">IF(Employee!H$87=E$59,Employee!D$86+SUM(M63)+Aug!V53,SUM(M63)+Aug!V53)</f>
        <v>0</v>
      </c>
      <c r="W63" s="172" t="n">
        <f aca="false">IF(Employee!H$87=E$59,Employee!D$87+SUM(N63)+Aug!W53,SUM(N63)+Aug!W53)</f>
        <v>0</v>
      </c>
      <c r="X63" s="172" t="n">
        <f aca="false">IF(O63=" ",Aug!X53,O63+Aug!X53)</f>
        <v>0</v>
      </c>
      <c r="Y63" s="172" t="n">
        <f aca="false">IF(P63=" ",Aug!Y53,P63+Aug!Y53)</f>
        <v>0</v>
      </c>
      <c r="Z63" s="172" t="n">
        <f aca="false">IF(Q63=" ",Aug!Z53,Q63+Aug!Z53)</f>
        <v>0</v>
      </c>
      <c r="AA63" s="172" t="n">
        <f aca="false">IF(R63=" ",Aug!AA53,R63+Aug!AA53)</f>
        <v>0</v>
      </c>
      <c r="AC63" s="172" t="n">
        <f aca="false">IF(T63=" ",Aug!AC53,T63+Aug!AC53)</f>
        <v>0</v>
      </c>
      <c r="AD63" s="101" t="n">
        <f aca="false">IF(G63="SSP",H63,0)</f>
        <v>0</v>
      </c>
      <c r="AE63" s="101" t="n">
        <f aca="false">IF(G63="SMP",H63,0)</f>
        <v>0</v>
      </c>
      <c r="AF63" s="101" t="n">
        <f aca="false">IF(G63="SPP",H63,0)</f>
        <v>0</v>
      </c>
      <c r="AG63" s="101" t="n">
        <f aca="false">IF(G63="SAP",H63,0)</f>
        <v>0</v>
      </c>
      <c r="AH63" s="144"/>
    </row>
    <row r="64" customFormat="false" ht="18" hidden="false" customHeight="true" outlineLevel="0" collapsed="false">
      <c r="A64" s="145"/>
      <c r="B64" s="173" t="str">
        <f aca="false">IF(E64=" "," ",IF(Employee!F$102&gt;E$59," ",IF(Employee!F$104&lt;E$59," ",Employee!D$108)))</f>
        <v> </v>
      </c>
      <c r="C64" s="160"/>
      <c r="D64" s="160" t="s">
        <v>75</v>
      </c>
      <c r="E64" s="214" t="str">
        <f aca="false">IF(Employee!D$106="w"," ",IF(Employee!F$102&gt;E$59," ",IF(Employee!F$104&lt;E$59," ",Employee!D$107)))</f>
        <v> </v>
      </c>
      <c r="F64" s="175" t="str">
        <f aca="false">IF(E64=" "," ",IF(Employee!F$102&gt;E$59," ",IF(Employee!F$104&lt;E$59," ",Employee!D$93)))</f>
        <v> </v>
      </c>
      <c r="G64" s="212"/>
      <c r="H64" s="176" t="n">
        <f aca="false">IF(T$59="Y",Aug!H54,0)</f>
        <v>0</v>
      </c>
      <c r="I64" s="177" t="n">
        <f aca="false">IF(T$59="Y",Aug!I54,0)</f>
        <v>0</v>
      </c>
      <c r="J64" s="177" t="n">
        <f aca="false">IF(T$59="Y",Aug!J54,0)</f>
        <v>0</v>
      </c>
      <c r="K64" s="177" t="n">
        <f aca="false">IF(T$59="Y",Aug!K54,I64*J64)</f>
        <v>0</v>
      </c>
      <c r="L64" s="179" t="n">
        <f aca="false">IF(T$59="Y",Aug!L54,0)</f>
        <v>0</v>
      </c>
      <c r="M64" s="180" t="str">
        <f aca="false">IF(E64=" "," ",IF(T$59="Y",Aug!M54,IF((H64+K64+L64)&gt;0,H64+K64+L64," ")))</f>
        <v> </v>
      </c>
      <c r="N64" s="176" t="n">
        <v>0</v>
      </c>
      <c r="O64" s="177" t="n">
        <v>0</v>
      </c>
      <c r="P64" s="177" t="n">
        <v>0</v>
      </c>
      <c r="Q64" s="179" t="n">
        <v>0</v>
      </c>
      <c r="R64" s="253" t="str">
        <f aca="false">IF(M64=" "," ",IF(M64=0," ",M64-SUM(N64:Q64)))</f>
        <v> </v>
      </c>
      <c r="S64" s="107"/>
      <c r="T64" s="180" t="n">
        <v>0</v>
      </c>
      <c r="U64" s="171"/>
      <c r="V64" s="172" t="n">
        <f aca="false">IF(Employee!H$113=E$59,Employee!D$112+SUM(M64)+Aug!V54,SUM(M64)+Aug!V54)</f>
        <v>0</v>
      </c>
      <c r="W64" s="172" t="n">
        <f aca="false">IF(Employee!H$113=E$59,Employee!D$113+SUM(N64)+Aug!W54,SUM(N64)+Aug!W54)</f>
        <v>0</v>
      </c>
      <c r="X64" s="172" t="n">
        <f aca="false">IF(O64=" ",Aug!X54,O64+Aug!X54)</f>
        <v>0</v>
      </c>
      <c r="Y64" s="172" t="n">
        <f aca="false">IF(P64=" ",Aug!Y54,P64+Aug!Y54)</f>
        <v>0</v>
      </c>
      <c r="Z64" s="172" t="n">
        <f aca="false">IF(Q64=" ",Aug!Z54,Q64+Aug!Z54)</f>
        <v>0</v>
      </c>
      <c r="AA64" s="172" t="n">
        <f aca="false">IF(R64=" ",Aug!AA54,R64+Aug!AA54)</f>
        <v>0</v>
      </c>
      <c r="AC64" s="172" t="n">
        <f aca="false">IF(T64=" ",Aug!AC54,T64+Aug!AC54)</f>
        <v>0</v>
      </c>
      <c r="AD64" s="101" t="n">
        <f aca="false">IF(G64="SSP",H64,0)</f>
        <v>0</v>
      </c>
      <c r="AE64" s="101" t="n">
        <f aca="false">IF(G64="SMP",H64,0)</f>
        <v>0</v>
      </c>
      <c r="AF64" s="101" t="n">
        <f aca="false">IF(G64="SPP",H64,0)</f>
        <v>0</v>
      </c>
      <c r="AG64" s="101" t="n">
        <f aca="false">IF(G64="SAP",H64,0)</f>
        <v>0</v>
      </c>
      <c r="AH64" s="144"/>
    </row>
    <row r="65" customFormat="false" ht="18" hidden="false" customHeight="true" outlineLevel="0" collapsed="false">
      <c r="A65" s="145"/>
      <c r="B65" s="173" t="str">
        <f aca="false">IF(E65=" "," ",IF(Employee!F$128&gt;E$59," ",IF(Employee!F$130&lt;E$59," ",Employee!D$134)))</f>
        <v> </v>
      </c>
      <c r="C65" s="160"/>
      <c r="D65" s="160" t="s">
        <v>75</v>
      </c>
      <c r="E65" s="214" t="str">
        <f aca="false">IF(Employee!D$132="w"," ",IF(Employee!F$128&gt;E$59," ",IF(Employee!F$130&lt;E$59," ",Employee!D$133)))</f>
        <v> </v>
      </c>
      <c r="F65" s="175" t="str">
        <f aca="false">IF(E65=" "," ",IF(Employee!F$128&gt;E$59," ",IF(Employee!F$130&lt;E$59," ",Employee!D$119)))</f>
        <v> </v>
      </c>
      <c r="G65" s="212"/>
      <c r="H65" s="181" t="n">
        <f aca="false">IF(T$59="Y",Aug!H55,0)</f>
        <v>0</v>
      </c>
      <c r="I65" s="182" t="n">
        <f aca="false">IF(T$59="Y",Aug!I55,0)</f>
        <v>0</v>
      </c>
      <c r="J65" s="182" t="n">
        <f aca="false">IF(T$59="Y",Aug!J55,0)</f>
        <v>0</v>
      </c>
      <c r="K65" s="182" t="n">
        <f aca="false">IF(T$59="Y",Aug!K55,I65*J65)</f>
        <v>0</v>
      </c>
      <c r="L65" s="183" t="n">
        <f aca="false">IF(T$59="Y",Aug!L55,0)</f>
        <v>0</v>
      </c>
      <c r="M65" s="180" t="str">
        <f aca="false">IF(E65=" "," ",IF(T$59="Y",Aug!M55,IF((H65+K65+L65)&gt;0,H65+K65+L65," ")))</f>
        <v> </v>
      </c>
      <c r="N65" s="181" t="n">
        <v>0</v>
      </c>
      <c r="O65" s="182" t="n">
        <v>0</v>
      </c>
      <c r="P65" s="182" t="n">
        <v>0</v>
      </c>
      <c r="Q65" s="183" t="n">
        <v>0</v>
      </c>
      <c r="R65" s="253" t="str">
        <f aca="false">IF(M65=" "," ",IF(M65=0," ",M65-SUM(N65:Q65)))</f>
        <v> </v>
      </c>
      <c r="S65" s="107"/>
      <c r="T65" s="184" t="n">
        <v>0</v>
      </c>
      <c r="U65" s="171"/>
      <c r="V65" s="172" t="n">
        <f aca="false">IF(Employee!H$139=E$59,Employee!D$138+SUM(M65)+Aug!V55,SUM(M65)+Aug!V55)</f>
        <v>0</v>
      </c>
      <c r="W65" s="172" t="n">
        <f aca="false">IF(Employee!H$139=E$59,Employee!D$139+SUM(N65)+Aug!W55,SUM(N65)+Aug!W55)</f>
        <v>0</v>
      </c>
      <c r="X65" s="172" t="n">
        <f aca="false">IF(O65=" ",Aug!X55,O65+Aug!X55)</f>
        <v>0</v>
      </c>
      <c r="Y65" s="172" t="n">
        <f aca="false">IF(P65=" ",Aug!Y55,P65+Aug!Y55)</f>
        <v>0</v>
      </c>
      <c r="Z65" s="172" t="n">
        <f aca="false">IF(Q65=" ",Aug!Z55,Q65+Aug!Z55)</f>
        <v>0</v>
      </c>
      <c r="AA65" s="172" t="n">
        <f aca="false">IF(R65=" ",Aug!AA55,R65+Aug!AA55)</f>
        <v>0</v>
      </c>
      <c r="AC65" s="172" t="n">
        <f aca="false">IF(T65=" ",Aug!AC55,T65+Aug!AC55)</f>
        <v>0</v>
      </c>
      <c r="AD65" s="101" t="n">
        <f aca="false">IF(G65="SSP",H65,0)</f>
        <v>0</v>
      </c>
      <c r="AE65" s="101" t="n">
        <f aca="false">IF(G65="SMP",H65,0)</f>
        <v>0</v>
      </c>
      <c r="AF65" s="101" t="n">
        <f aca="false">IF(G65="SPP",H65,0)</f>
        <v>0</v>
      </c>
      <c r="AG65" s="101" t="n">
        <f aca="false">IF(G65="SAP",H65,0)</f>
        <v>0</v>
      </c>
      <c r="AH65" s="144"/>
    </row>
    <row r="66" customFormat="false" ht="18" hidden="false" customHeight="true" outlineLevel="0" collapsed="false">
      <c r="A66" s="185"/>
      <c r="B66" s="186"/>
      <c r="C66" s="187"/>
      <c r="D66" s="187"/>
      <c r="E66" s="188"/>
      <c r="F66" s="207" t="s">
        <v>76</v>
      </c>
      <c r="G66" s="207"/>
      <c r="H66" s="242"/>
      <c r="I66" s="243"/>
      <c r="J66" s="243"/>
      <c r="K66" s="244"/>
      <c r="L66" s="244"/>
      <c r="M66" s="193" t="n">
        <f aca="false">SUM(M61:M65)</f>
        <v>0</v>
      </c>
      <c r="N66" s="193" t="n">
        <f aca="false">SUM(N61:N65)</f>
        <v>0</v>
      </c>
      <c r="O66" s="193" t="n">
        <f aca="false">SUM(O61:O65)</f>
        <v>0</v>
      </c>
      <c r="P66" s="193" t="n">
        <f aca="false">SUM(P61:P65)</f>
        <v>0</v>
      </c>
      <c r="Q66" s="193" t="n">
        <f aca="false">SUM(Q61:Q65)</f>
        <v>0</v>
      </c>
      <c r="R66" s="193" t="n">
        <f aca="false">SUM(R61:R65)</f>
        <v>0</v>
      </c>
      <c r="S66" s="107"/>
      <c r="T66" s="193" t="n">
        <f aca="false">SUM(T61:T65)</f>
        <v>0</v>
      </c>
      <c r="U66" s="195"/>
      <c r="V66" s="172"/>
      <c r="AH66" s="144"/>
    </row>
    <row r="67" customFormat="false" ht="24" hidden="false" customHeight="true" outlineLevel="0" collapsed="false"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44"/>
    </row>
    <row r="68" customFormat="false" ht="12.75" hidden="false" customHeight="true" outlineLevel="0" collapsed="false">
      <c r="AD68" s="217" t="n">
        <f aca="false">SUM(AD11:AD66)</f>
        <v>0</v>
      </c>
      <c r="AE68" s="217" t="n">
        <f aca="false">SUM(AE11:AE66)</f>
        <v>0</v>
      </c>
      <c r="AF68" s="217" t="n">
        <f aca="false">SUM(AF11:AF66)</f>
        <v>0</v>
      </c>
      <c r="AG68" s="217" t="n">
        <f aca="false">SUM(AG11:AG66)</f>
        <v>0</v>
      </c>
    </row>
    <row r="69" customFormat="false" ht="13.5" hidden="false" customHeight="true" outlineLevel="0" collapsed="false">
      <c r="F69" s="218" t="s">
        <v>82</v>
      </c>
      <c r="G69" s="219"/>
      <c r="H69" s="219"/>
      <c r="M69" s="220" t="s">
        <v>83</v>
      </c>
      <c r="N69" s="220"/>
      <c r="O69" s="220"/>
      <c r="P69" s="220"/>
      <c r="Q69" s="220"/>
      <c r="R69" s="220"/>
      <c r="T69" s="221"/>
    </row>
    <row r="70" customFormat="false" ht="12.75" hidden="false" customHeight="true" outlineLevel="0" collapsed="false">
      <c r="F70" s="222" t="str">
        <f aca="false">IF(B61="D",Employee!D15," ")</f>
        <v> </v>
      </c>
      <c r="M70" s="223" t="str">
        <f aca="false">IF(B61="D",M61," ")</f>
        <v> </v>
      </c>
      <c r="N70" s="224" t="str">
        <f aca="false">IF(B61="D",N61," ")</f>
        <v> </v>
      </c>
      <c r="O70" s="224" t="str">
        <f aca="false">IF(B61="D",O61," ")</f>
        <v> </v>
      </c>
      <c r="P70" s="224" t="str">
        <f aca="false">IF(B61="D",P61," ")</f>
        <v> </v>
      </c>
      <c r="Q70" s="224" t="str">
        <f aca="false">IF(B61="D",Q61," ")</f>
        <v> </v>
      </c>
      <c r="R70" s="225" t="str">
        <f aca="false">IF(B61="D",R61," ")</f>
        <v> </v>
      </c>
      <c r="S70" s="226"/>
      <c r="T70" s="227" t="str">
        <f aca="false">IF(B61="D",T61," ")</f>
        <v> </v>
      </c>
      <c r="AD70" s="228" t="n">
        <f aca="false">IF((AD68-(O1+T1)*0.13)&gt;0,AD68-(Q1+T1)*0.13,0)</f>
        <v>0</v>
      </c>
      <c r="AE70" s="228" t="n">
        <f aca="false">AE68</f>
        <v>0</v>
      </c>
      <c r="AF70" s="228" t="n">
        <f aca="false">AF68</f>
        <v>0</v>
      </c>
      <c r="AG70" s="228" t="n">
        <f aca="false">AG68</f>
        <v>0</v>
      </c>
    </row>
    <row r="71" customFormat="false" ht="12.75" hidden="false" customHeight="false" outlineLevel="0" collapsed="false">
      <c r="F71" s="222" t="str">
        <f aca="false">IF(B62="D",Employee!D41," ")</f>
        <v> </v>
      </c>
      <c r="M71" s="229" t="str">
        <f aca="false">IF(B62="D",M62," ")</f>
        <v> </v>
      </c>
      <c r="N71" s="230" t="str">
        <f aca="false">IF(B62="D",N62," ")</f>
        <v> </v>
      </c>
      <c r="O71" s="230" t="str">
        <f aca="false">IF(B62="D",O62," ")</f>
        <v> </v>
      </c>
      <c r="P71" s="230" t="str">
        <f aca="false">IF(B62="D",P62," ")</f>
        <v> </v>
      </c>
      <c r="Q71" s="230" t="str">
        <f aca="false">IF(B62="D",Q62," ")</f>
        <v> </v>
      </c>
      <c r="R71" s="231" t="str">
        <f aca="false">IF(B62="D",R62," ")</f>
        <v> </v>
      </c>
      <c r="S71" s="226"/>
      <c r="T71" s="232" t="str">
        <f aca="false">IF(B62="D",T62," ")</f>
        <v> </v>
      </c>
    </row>
    <row r="72" customFormat="false" ht="12.75" hidden="false" customHeight="true" outlineLevel="0" collapsed="false">
      <c r="F72" s="222" t="str">
        <f aca="false">IF(B63="D",Employee!D67," ")</f>
        <v> </v>
      </c>
      <c r="M72" s="229" t="str">
        <f aca="false">IF(B63="D",M63," ")</f>
        <v> </v>
      </c>
      <c r="N72" s="230" t="str">
        <f aca="false">IF(B63="D",N63," ")</f>
        <v> </v>
      </c>
      <c r="O72" s="230" t="str">
        <f aca="false">IF(B63="D",O63," ")</f>
        <v> </v>
      </c>
      <c r="P72" s="230" t="str">
        <f aca="false">IF(B63="D",P63," ")</f>
        <v> </v>
      </c>
      <c r="Q72" s="230" t="str">
        <f aca="false">IF(B63="D",Q63," ")</f>
        <v> </v>
      </c>
      <c r="R72" s="231" t="str">
        <f aca="false">IF(B63="D",R63," ")</f>
        <v> </v>
      </c>
      <c r="S72" s="226"/>
      <c r="T72" s="232" t="str">
        <f aca="false">IF(B63="D",T63," ")</f>
        <v> </v>
      </c>
      <c r="AD72" s="233"/>
      <c r="AE72" s="228" t="n">
        <f aca="false">AE70*0.045</f>
        <v>0</v>
      </c>
      <c r="AF72" s="228" t="n">
        <f aca="false">AF70*0.045</f>
        <v>0</v>
      </c>
      <c r="AG72" s="228" t="n">
        <f aca="false">AG70*0.045</f>
        <v>0</v>
      </c>
    </row>
    <row r="73" customFormat="false" ht="12.75" hidden="false" customHeight="false" outlineLevel="0" collapsed="false">
      <c r="F73" s="222" t="str">
        <f aca="false">IF(B64="D",Employee!D93," ")</f>
        <v> </v>
      </c>
      <c r="M73" s="229" t="str">
        <f aca="false">IF(B64="D",M64," ")</f>
        <v> </v>
      </c>
      <c r="N73" s="230" t="str">
        <f aca="false">IF(B64="D",N64," ")</f>
        <v> </v>
      </c>
      <c r="O73" s="230" t="str">
        <f aca="false">IF(B64="D",O64," ")</f>
        <v> </v>
      </c>
      <c r="P73" s="230" t="str">
        <f aca="false">IF(B64="D",P64," ")</f>
        <v> </v>
      </c>
      <c r="Q73" s="230" t="str">
        <f aca="false">IF(B64="D",Q64," ")</f>
        <v> </v>
      </c>
      <c r="R73" s="231" t="str">
        <f aca="false">IF(B64="D",R64," ")</f>
        <v> </v>
      </c>
      <c r="S73" s="226"/>
      <c r="T73" s="232" t="str">
        <f aca="false">IF(B64="D",T64," ")</f>
        <v> </v>
      </c>
    </row>
    <row r="74" customFormat="false" ht="12.75" hidden="false" customHeight="false" outlineLevel="0" collapsed="false">
      <c r="F74" s="222" t="str">
        <f aca="false">IF(B65="D",Employee!D119," ")</f>
        <v> </v>
      </c>
      <c r="M74" s="234" t="str">
        <f aca="false">IF(B65="D",M65," ")</f>
        <v> </v>
      </c>
      <c r="N74" s="235" t="str">
        <f aca="false">IF(B65="D",N65," ")</f>
        <v> </v>
      </c>
      <c r="O74" s="235" t="str">
        <f aca="false">IF(B65="D",O65," ")</f>
        <v> </v>
      </c>
      <c r="P74" s="235" t="str">
        <f aca="false">IF(B65="D",P65," ")</f>
        <v> </v>
      </c>
      <c r="Q74" s="235" t="str">
        <f aca="false">IF(B65="D",Q65," ")</f>
        <v> </v>
      </c>
      <c r="R74" s="236" t="str">
        <f aca="false">IF(B65="D",R65," ")</f>
        <v> </v>
      </c>
      <c r="S74" s="226"/>
      <c r="T74" s="237" t="str">
        <f aca="false">IF(B65="D",T65," ")</f>
        <v> </v>
      </c>
    </row>
    <row r="75" customFormat="false" ht="12.75" hidden="false" customHeight="false" outlineLevel="0" collapsed="false">
      <c r="F75" s="238" t="s">
        <v>84</v>
      </c>
      <c r="M75" s="239" t="n">
        <f aca="false">SUM(M70:M74)</f>
        <v>0</v>
      </c>
      <c r="N75" s="239" t="n">
        <f aca="false">SUM(N70:N74)</f>
        <v>0</v>
      </c>
      <c r="O75" s="239" t="n">
        <f aca="false">SUM(O70:O74)</f>
        <v>0</v>
      </c>
      <c r="P75" s="239" t="n">
        <f aca="false">SUM(P70:P74)</f>
        <v>0</v>
      </c>
      <c r="Q75" s="239" t="n">
        <f aca="false">SUM(Q70:Q74)</f>
        <v>0</v>
      </c>
      <c r="R75" s="239" t="n">
        <f aca="false">SUM(R70:R74)</f>
        <v>0</v>
      </c>
      <c r="S75" s="226"/>
      <c r="T75" s="239" t="n">
        <f aca="false">SUM(T70:T74)</f>
        <v>0</v>
      </c>
      <c r="AD75" s="240" t="n">
        <f aca="false">AD70+Aug!AD65</f>
        <v>0</v>
      </c>
      <c r="AE75" s="240" t="n">
        <f aca="false">AE70+Aug!AE65</f>
        <v>0</v>
      </c>
      <c r="AF75" s="240" t="n">
        <f aca="false">AF70+Aug!AF65</f>
        <v>0</v>
      </c>
      <c r="AG75" s="240" t="n">
        <f aca="false">AG70+Aug!AG65</f>
        <v>0</v>
      </c>
    </row>
    <row r="77" customFormat="false" ht="12.75" hidden="false" customHeight="false" outlineLevel="0" collapsed="false">
      <c r="AD77" s="233"/>
      <c r="AE77" s="240" t="n">
        <f aca="false">AE72+Aug!AE67</f>
        <v>0</v>
      </c>
      <c r="AF77" s="240" t="n">
        <f aca="false">AF72+Aug!AF67</f>
        <v>0</v>
      </c>
      <c r="AG77" s="240" t="n">
        <f aca="false">AG72+Aug!AG67</f>
        <v>0</v>
      </c>
    </row>
  </sheetData>
  <mergeCells count="87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B58:E58"/>
    <mergeCell ref="O58:Q58"/>
    <mergeCell ref="R58:T58"/>
    <mergeCell ref="B59:D59"/>
    <mergeCell ref="H59:J59"/>
    <mergeCell ref="O59:R59"/>
    <mergeCell ref="F66:G66"/>
    <mergeCell ref="B67:T67"/>
    <mergeCell ref="M69:R69"/>
  </mergeCells>
  <dataValidations count="1">
    <dataValidation allowBlank="true" errorStyle="stop" operator="between" showDropDown="false" showErrorMessage="true" showInputMessage="false" sqref="G11:G15 G21:G25 G31:G35 G41:G45 G51:G55 G61:G6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9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6"/>
      <c r="H8" s="136"/>
      <c r="I8" s="136"/>
      <c r="J8" s="136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27</v>
      </c>
      <c r="F9" s="144"/>
      <c r="G9" s="144"/>
      <c r="H9" s="146" t="s">
        <v>71</v>
      </c>
      <c r="I9" s="146"/>
      <c r="J9" s="146"/>
      <c r="K9" s="215" t="n">
        <f aca="false">Admin!B182</f>
        <v>44472</v>
      </c>
      <c r="L9" s="149" t="s">
        <v>74</v>
      </c>
      <c r="M9" s="150" t="n">
        <f aca="false">Admin!B188</f>
        <v>44478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209"/>
      <c r="C10" s="210"/>
      <c r="D10" s="210"/>
      <c r="E10" s="211"/>
      <c r="F10" s="144"/>
      <c r="G10" s="144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213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IF(T$9="Y",Sep!H51,0)</f>
        <v>0</v>
      </c>
      <c r="I11" s="168" t="n">
        <f aca="false">IF(T$9="Y",Sep!I51,0)</f>
        <v>0</v>
      </c>
      <c r="J11" s="168" t="n">
        <f aca="false">IF(T$9="Y",Sep!J51,0)</f>
        <v>0</v>
      </c>
      <c r="K11" s="168" t="n">
        <f aca="false">IF(T$9="Y",Sep!K51,I11*J11)</f>
        <v>0</v>
      </c>
      <c r="L11" s="166" t="n">
        <f aca="false">IF(T$9="Y",Sep!L51,0)</f>
        <v>0</v>
      </c>
      <c r="M11" s="170" t="str">
        <f aca="false">IF(E11=" "," ",IF(T$9="Y",Sep!M51,IF((H11+K11+L11)&gt;0,H11+K11+L11," ")))</f>
        <v> </v>
      </c>
      <c r="N11" s="168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IF(Employee!H$34=E$9,Employee!D$34+SUM(M11)+Sep!V51,SUM(M11)+Sep!V51)</f>
        <v>0</v>
      </c>
      <c r="W11" s="172" t="n">
        <f aca="false">IF(Employee!H$34=E$9,Employee!D$35+SUM(N11)+Sep!W51,SUM(N11)+Sep!W51)</f>
        <v>0</v>
      </c>
      <c r="X11" s="172" t="n">
        <f aca="false">IF(O11=" ",Sep!X51,O11+Sep!X51)</f>
        <v>0</v>
      </c>
      <c r="Y11" s="172" t="n">
        <f aca="false">IF(P11=" ",Sep!Y51,P11+Sep!Y51)</f>
        <v>0</v>
      </c>
      <c r="Z11" s="172" t="n">
        <f aca="false">IF(Q11=" ",Sep!Z51,Q11+Sep!Z51)</f>
        <v>0</v>
      </c>
      <c r="AA11" s="172" t="n">
        <f aca="false">IF(R11=" ",Sep!AA51,R11+Sep!AA51)</f>
        <v>0</v>
      </c>
      <c r="AC11" s="172" t="e">
        <f aca="false">IF(T11=" ",Sep!AC51,T11+Sep!AC51)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21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IF(T$9="Y",Sep!H52,0)</f>
        <v>0</v>
      </c>
      <c r="I12" s="177" t="n">
        <f aca="false">IF(T$9="Y",Sep!I52,0)</f>
        <v>0</v>
      </c>
      <c r="J12" s="177" t="n">
        <f aca="false">IF(T$9="Y",Sep!J52,0)</f>
        <v>0</v>
      </c>
      <c r="K12" s="177" t="n">
        <f aca="false">IF(T$9="Y",Sep!K52,I12*J12)</f>
        <v>0</v>
      </c>
      <c r="L12" s="179" t="n">
        <f aca="false">IF(T$9="Y",Sep!L52,0)</f>
        <v>0</v>
      </c>
      <c r="M12" s="180" t="str">
        <f aca="false">IF(E12=" "," ",IF(T$9="Y",Sep!M52,IF((H12+K12+L12)&gt;0,H12+K12+L12," ")))</f>
        <v> </v>
      </c>
      <c r="N12" s="177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IF(Employee!H$60=E$9,Employee!D$60+SUM(M12)+Sep!V52,SUM(M12)+Sep!V52)</f>
        <v>0</v>
      </c>
      <c r="W12" s="172" t="n">
        <f aca="false">IF(Employee!H$60=E$9,Employee!D$61+SUM(N12)+Sep!W52,SUM(N12)+Sep!W52)</f>
        <v>0</v>
      </c>
      <c r="X12" s="172" t="n">
        <f aca="false">IF(O12=" ",Sep!X52,O12+Sep!X52)</f>
        <v>0</v>
      </c>
      <c r="Y12" s="172" t="n">
        <f aca="false">IF(P12=" ",Sep!Y52,P12+Sep!Y52)</f>
        <v>0</v>
      </c>
      <c r="Z12" s="172" t="n">
        <f aca="false">IF(Q12=" ",Sep!Z52,Q12+Sep!Z52)</f>
        <v>0</v>
      </c>
      <c r="AA12" s="172" t="n">
        <f aca="false">IF(R12=" ",Sep!AA52,R12+Sep!AA52)</f>
        <v>0</v>
      </c>
      <c r="AC12" s="172" t="n">
        <f aca="false">IF(T12=" ",Sep!AC52,T12+Sep!AC52)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214" t="str">
        <f aca="false">IF(Employee!D$80="m"," ",IF(Employee!F$76&gt;E$9," ",IF(Employee!F$78&gt;E$9,"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IF(T$9="Y",Sep!H53,0)</f>
        <v>0</v>
      </c>
      <c r="I13" s="177" t="n">
        <f aca="false">IF(T$9="Y",Sep!I53,0)</f>
        <v>0</v>
      </c>
      <c r="J13" s="177" t="n">
        <f aca="false">IF(T$9="Y",Sep!J53,0)</f>
        <v>0</v>
      </c>
      <c r="K13" s="177" t="n">
        <f aca="false">IF(T$9="Y",Sep!K53,I13*J13)</f>
        <v>0</v>
      </c>
      <c r="L13" s="179" t="n">
        <f aca="false">IF(T$9="Y",Sep!L53,0)</f>
        <v>0</v>
      </c>
      <c r="M13" s="180" t="str">
        <f aca="false">IF(E13=" "," ",IF(T$9="Y",Sep!M53,IF((H13+K13+L13)&gt;0,H13+K13+L13," ")))</f>
        <v> </v>
      </c>
      <c r="N13" s="177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IF(Employee!H$86=E$9,Employee!D$86+SUM(M13)+Sep!V53,SUM(M13)+Sep!V53)</f>
        <v>0</v>
      </c>
      <c r="W13" s="172" t="n">
        <f aca="false">IF(Employee!H$86=E$9,Employee!D$87+SUM(N13)+Sep!W53,SUM(N13)+Sep!W53)</f>
        <v>0</v>
      </c>
      <c r="X13" s="172" t="n">
        <f aca="false">IF(O13=" ",Sep!X53,O13+Sep!X53)</f>
        <v>0</v>
      </c>
      <c r="Y13" s="172" t="n">
        <f aca="false">IF(P13=" ",Sep!Y53,P13+Sep!Y53)</f>
        <v>0</v>
      </c>
      <c r="Z13" s="172" t="n">
        <f aca="false">IF(Q13=" ",Sep!Z53,Q13+Sep!Z53)</f>
        <v>0</v>
      </c>
      <c r="AA13" s="172" t="n">
        <f aca="false">IF(R13=" ",Sep!AA53,R13+Sep!AA53)</f>
        <v>0</v>
      </c>
      <c r="AC13" s="172" t="n">
        <f aca="false">IF(T13=" ",Sep!AC53,T13+Sep!AC53)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21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IF(T$9="Y",Sep!H54,0)</f>
        <v>0</v>
      </c>
      <c r="I14" s="177" t="n">
        <f aca="false">IF(T$9="Y",Sep!I54,0)</f>
        <v>0</v>
      </c>
      <c r="J14" s="177" t="n">
        <f aca="false">IF(T$9="Y",Sep!J54,0)</f>
        <v>0</v>
      </c>
      <c r="K14" s="177" t="n">
        <f aca="false">IF(T$9="Y",Sep!K54,I14*J14)</f>
        <v>0</v>
      </c>
      <c r="L14" s="179" t="n">
        <f aca="false">IF(T$9="Y",Sep!L54,0)</f>
        <v>0</v>
      </c>
      <c r="M14" s="180" t="str">
        <f aca="false">IF(E14=" "," ",IF(T$9="Y",Sep!M54,IF((H14+K14+L14)&gt;0,H14+K14+L14," ")))</f>
        <v> </v>
      </c>
      <c r="N14" s="177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IF(Employee!H$112=E$9,Employee!D$112+SUM(M14)+Sep!V54,SUM(M14)+Sep!V54)</f>
        <v>0</v>
      </c>
      <c r="W14" s="172" t="n">
        <f aca="false">IF(Employee!H$112=E$9,Employee!D$113+SUM(N14)+Sep!W54,SUM(N14)+Sep!W54)</f>
        <v>0</v>
      </c>
      <c r="X14" s="172" t="n">
        <f aca="false">IF(O14=" ",Sep!X54,O14+Sep!X54)</f>
        <v>0</v>
      </c>
      <c r="Y14" s="172" t="n">
        <f aca="false">IF(P14=" ",Sep!Y54,P14+Sep!Y54)</f>
        <v>0</v>
      </c>
      <c r="Z14" s="172" t="n">
        <f aca="false">IF(Q14=" ",Sep!Z54,Q14+Sep!Z54)</f>
        <v>0</v>
      </c>
      <c r="AA14" s="172" t="n">
        <f aca="false">IF(R14=" ",Sep!AA54,R14+Sep!AA54)</f>
        <v>0</v>
      </c>
      <c r="AC14" s="172" t="n">
        <f aca="false">IF(T14=" ",Sep!AC54,T14+Sep!AC54)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21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IF(T$9="Y",Sep!H55,0)</f>
        <v>0</v>
      </c>
      <c r="I15" s="182" t="n">
        <f aca="false">IF(T$9="Y",Sep!I55,0)</f>
        <v>0</v>
      </c>
      <c r="J15" s="182" t="n">
        <f aca="false">IF(T$9="Y",Sep!J55,0)</f>
        <v>0</v>
      </c>
      <c r="K15" s="182" t="n">
        <f aca="false">IF(T$9="Y",Sep!K55,I15*J15)</f>
        <v>0</v>
      </c>
      <c r="L15" s="183" t="n">
        <f aca="false">IF(T$9="Y",Sep!L55,0)</f>
        <v>0</v>
      </c>
      <c r="M15" s="184" t="str">
        <f aca="false">IF(E15=" "," ",IF(T$9="Y",Sep!M55,IF((H15+K15+L15)&gt;0,H15+K15+L15," ")))</f>
        <v> </v>
      </c>
      <c r="N15" s="182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IF(Employee!H$138=E$9,Employee!D$138+SUM(M15)+Sep!V55,SUM(M15)+Sep!V55)</f>
        <v>0</v>
      </c>
      <c r="W15" s="172" t="n">
        <f aca="false">IF(Employee!H$138=E$9,Employee!D$139+SUM(N15)+Sep!W55,SUM(N15)+Sep!W55)</f>
        <v>0</v>
      </c>
      <c r="X15" s="172" t="n">
        <f aca="false">IF(O15=" ",Sep!X55,O15+Sep!X55)</f>
        <v>0</v>
      </c>
      <c r="Y15" s="172" t="n">
        <f aca="false">IF(P15=" ",Sep!Y55,P15+Sep!Y55)</f>
        <v>0</v>
      </c>
      <c r="Z15" s="172" t="n">
        <f aca="false">IF(Q15=" ",Sep!Z55,Q15+Sep!Z55)</f>
        <v>0</v>
      </c>
      <c r="AA15" s="172" t="n">
        <f aca="false">IF(R15=" ",Sep!AA55,R15+Sep!AA55)</f>
        <v>0</v>
      </c>
      <c r="AC15" s="172" t="n">
        <f aca="false">IF(T15=" ",Sep!AC55,T15+Sep!AC55)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207" t="s">
        <v>76</v>
      </c>
      <c r="G16" s="207"/>
      <c r="H16" s="242"/>
      <c r="I16" s="243"/>
      <c r="J16" s="243"/>
      <c r="K16" s="244"/>
      <c r="L16" s="244"/>
      <c r="M16" s="194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2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7"/>
      <c r="H18" s="138"/>
      <c r="I18" s="138"/>
      <c r="J18" s="138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28</v>
      </c>
      <c r="F19" s="144"/>
      <c r="G19" s="144"/>
      <c r="H19" s="146" t="s">
        <v>71</v>
      </c>
      <c r="I19" s="146"/>
      <c r="J19" s="146"/>
      <c r="K19" s="215" t="n">
        <f aca="false">M9+1</f>
        <v>44479</v>
      </c>
      <c r="L19" s="149" t="s">
        <v>74</v>
      </c>
      <c r="M19" s="150" t="n">
        <f aca="false">K19+6</f>
        <v>44485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154"/>
      <c r="C20" s="155"/>
      <c r="D20" s="156"/>
      <c r="E20" s="155"/>
      <c r="F20" s="155"/>
      <c r="G20" s="155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162" t="str">
        <f aca="false">IF(E21=" "," ",IF(Employee!F$24&gt;E$19," ",IF(Employee!F$26&lt;E$19," ",Employee!D$15)))</f>
        <v> </v>
      </c>
      <c r="G21" s="212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8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IF(P21=" ",Y11,P21+Y11)</f>
        <v>0</v>
      </c>
      <c r="Z21" s="172" t="n">
        <f aca="false">IF(Q21=" ",Z11,Q21+Z11)</f>
        <v>0</v>
      </c>
      <c r="AA21" s="172" t="n">
        <f aca="false">IF(R21=" ",AA11,R21+AA11)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175" t="str">
        <f aca="false">IF(E22=" "," ",IF(Employee!F$50&gt;E$19," ",IF(Employee!F$52&lt;E$19," ",Employee!D$41)))</f>
        <v> </v>
      </c>
      <c r="G22" s="212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7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IF(P22=" ",Y12,P22+Y12)</f>
        <v>0</v>
      </c>
      <c r="Z22" s="172" t="n">
        <f aca="false">IF(Q22=" ",Z12,Q22+Z12)</f>
        <v>0</v>
      </c>
      <c r="AA22" s="172" t="n">
        <f aca="false">IF(R22=" ",AA12,R22+AA12)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175" t="str">
        <f aca="false">IF(E23=" "," ",IF(Employee!F$76&gt;E$19," ",IF(Employee!F$78&lt;E$19," ",Employee!D$67)))</f>
        <v> </v>
      </c>
      <c r="G23" s="212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7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IF(P23=" ",Y13,P23+Y13)</f>
        <v>0</v>
      </c>
      <c r="Z23" s="172" t="n">
        <f aca="false">IF(Q23=" ",Z13,Q23+Z13)</f>
        <v>0</v>
      </c>
      <c r="AA23" s="172" t="n">
        <f aca="false">IF(R23=" ",AA13,R23+AA13)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175" t="str">
        <f aca="false">IF(E24=" "," ",IF(Employee!F$102&gt;E$19," ",IF(Employee!F$104&lt;E$19," ",Employee!D$93)))</f>
        <v> </v>
      </c>
      <c r="G24" s="212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7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IF(P24=" ",Y14,P24+Y14)</f>
        <v>0</v>
      </c>
      <c r="Z24" s="172" t="n">
        <f aca="false">IF(Q24=" ",Z14,Q24+Z14)</f>
        <v>0</v>
      </c>
      <c r="AA24" s="172" t="n">
        <f aca="false">IF(R24=" ",AA14,R24+AA14)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175" t="str">
        <f aca="false">IF(E25=" "," ",IF(Employee!F$128&gt;E$19," ",IF(Employee!F$130&lt;E$19," ",Employee!D$119)))</f>
        <v> </v>
      </c>
      <c r="G25" s="212"/>
      <c r="H25" s="181" t="n">
        <f aca="false">IF(T$19="Y",H15,0)</f>
        <v>0</v>
      </c>
      <c r="I25" s="182" t="n">
        <f aca="false">IF(T$19="Y",I15,0)</f>
        <v>0</v>
      </c>
      <c r="J25" s="182" t="n">
        <f aca="false">IF(T$19="Y",J15,0)</f>
        <v>0</v>
      </c>
      <c r="K25" s="182" t="n">
        <f aca="false">IF(T$19="Y",K15,I25*J25)</f>
        <v>0</v>
      </c>
      <c r="L25" s="182" t="n">
        <f aca="false">IF(T$19="Y",L15,0)</f>
        <v>0</v>
      </c>
      <c r="M25" s="184" t="str">
        <f aca="false">IF(E25=" "," ",IF(T$19="Y",M15,IF((H25+K25+L25)&gt;0,H25+K25+L25," ")))</f>
        <v> </v>
      </c>
      <c r="N25" s="182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IF(P25=" ",Y15,P25+Y15)</f>
        <v>0</v>
      </c>
      <c r="Z25" s="172" t="n">
        <f aca="false">IF(Q25=" ",Z15,Q25+Z15)</f>
        <v>0</v>
      </c>
      <c r="AA25" s="172" t="n">
        <f aca="false">IF(R25=" ",AA15,R25+AA15)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189" t="s">
        <v>76</v>
      </c>
      <c r="G26" s="189"/>
      <c r="H26" s="242"/>
      <c r="I26" s="243"/>
      <c r="J26" s="243"/>
      <c r="K26" s="244"/>
      <c r="L26" s="244"/>
      <c r="M26" s="194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29</v>
      </c>
      <c r="F29" s="144"/>
      <c r="G29" s="144"/>
      <c r="H29" s="146" t="s">
        <v>71</v>
      </c>
      <c r="I29" s="146"/>
      <c r="J29" s="146"/>
      <c r="K29" s="215" t="n">
        <f aca="false">M19+1</f>
        <v>44486</v>
      </c>
      <c r="L29" s="149" t="s">
        <v>74</v>
      </c>
      <c r="M29" s="150" t="n">
        <f aca="false">K29+6</f>
        <v>44492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0"/>
      <c r="C30" s="201"/>
      <c r="D30" s="202"/>
      <c r="E30" s="201"/>
      <c r="F30" s="203"/>
      <c r="G30" s="201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163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8" t="n">
        <f aca="false">IF(T$29="Y",L21,0)</f>
        <v>0</v>
      </c>
      <c r="M31" s="170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163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7" t="n">
        <f aca="false">IF(T$29="Y",L22,0)</f>
        <v>0</v>
      </c>
      <c r="M32" s="180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163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7" t="n">
        <f aca="false">IF(T$29="Y",L23,0)</f>
        <v>0</v>
      </c>
      <c r="M33" s="180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163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7" t="n">
        <f aca="false">IF(T$29="Y",L24,0)</f>
        <v>0</v>
      </c>
      <c r="M34" s="180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163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7" t="n">
        <f aca="false">IF(T$29="Y",L25,0)</f>
        <v>0</v>
      </c>
      <c r="M35" s="180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40"/>
      <c r="I38" s="140"/>
      <c r="J38" s="140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30</v>
      </c>
      <c r="F39" s="144"/>
      <c r="G39" s="144"/>
      <c r="H39" s="146" t="s">
        <v>71</v>
      </c>
      <c r="I39" s="146"/>
      <c r="J39" s="146"/>
      <c r="K39" s="215" t="n">
        <f aca="false">M29+1</f>
        <v>44493</v>
      </c>
      <c r="L39" s="149" t="s">
        <v>74</v>
      </c>
      <c r="M39" s="150" t="n">
        <f aca="false">K39+6</f>
        <v>44499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161" t="str">
        <f aca="false">IF(Employee!D$28="m"," ",IF(Employee!F$24&gt;E$39," ",IF(Employee!F$26&lt;E$39," ",Employee!D$29)))</f>
        <v> </v>
      </c>
      <c r="F41" s="204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6" t="n">
        <f aca="false">IF(T$39="Y",L31,0)</f>
        <v>0</v>
      </c>
      <c r="M41" s="166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174" t="str">
        <f aca="false">IF(Employee!D$54="m"," ",IF(Employee!F$50&gt;E$39," ",IF(Employee!F$52&lt;E$39," ",Employee!D$55)))</f>
        <v> </v>
      </c>
      <c r="F42" s="20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9" t="n">
        <f aca="false">IF(T$39="Y",L32,0)</f>
        <v>0</v>
      </c>
      <c r="M42" s="179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174" t="str">
        <f aca="false">IF(Employee!D$80="m"," ",IF(Employee!F$76&gt;E$39," ",IF(Employee!F$78&lt;E$39," ",Employee!D$81)))</f>
        <v> </v>
      </c>
      <c r="F43" s="20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9" t="n">
        <f aca="false">IF(T$39="Y",L33,0)</f>
        <v>0</v>
      </c>
      <c r="M43" s="179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174" t="str">
        <f aca="false">IF(Employee!D$106="m"," ",IF(Employee!F$102&gt;E$39," ",IF(Employee!F$104&lt;E$39," ",Employee!D$107)))</f>
        <v> </v>
      </c>
      <c r="F44" s="20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9" t="n">
        <f aca="false">IF(T$39="Y",L34,0)</f>
        <v>0</v>
      </c>
      <c r="M44" s="179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174" t="str">
        <f aca="false">IF(Employee!D$132="m"," ",IF(Employee!F$128&gt;E$39," ",IF(Employee!F$130&lt;E$39," ",Employee!D$133)))</f>
        <v> </v>
      </c>
      <c r="F45" s="20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9" t="n">
        <f aca="false">IF(T$39="Y",L35,0)</f>
        <v>0</v>
      </c>
      <c r="M45" s="179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7</v>
      </c>
      <c r="F49" s="144"/>
      <c r="G49" s="144"/>
      <c r="H49" s="146" t="s">
        <v>71</v>
      </c>
      <c r="I49" s="146"/>
      <c r="J49" s="146"/>
      <c r="K49" s="215" t="n">
        <f aca="false">Admin!B180</f>
        <v>44470</v>
      </c>
      <c r="L49" s="149" t="s">
        <v>74</v>
      </c>
      <c r="M49" s="150" t="n">
        <f aca="false">Admin!B210</f>
        <v>44500</v>
      </c>
      <c r="N49" s="151"/>
      <c r="O49" s="198" t="s">
        <v>85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IF(T$49="Y",Sep!H61,0)</f>
        <v>0</v>
      </c>
      <c r="I51" s="168" t="n">
        <f aca="false">IF(T$49="Y",Sep!I61,0)</f>
        <v>0</v>
      </c>
      <c r="J51" s="168" t="n">
        <f aca="false">IF(T$49="Y",Sep!J61,0)</f>
        <v>0</v>
      </c>
      <c r="K51" s="168" t="n">
        <f aca="false">IF(T$49="Y",Sep!K61,I51*J51)</f>
        <v>0</v>
      </c>
      <c r="L51" s="166" t="n">
        <f aca="false">IF(T$49="Y",Sep!L61,0)</f>
        <v>0</v>
      </c>
      <c r="M51" s="170" t="str">
        <f aca="false">IF(E51=" "," ",IF(T$49="Y",Sep!M61,IF((H51+K51+L51)&gt;0,H51+K51+L51,"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252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IF(Employee!H$35=E$49,Employee!D$34+SUM(M51)+Sep!V61,SUM(M51)+Sep!V61)</f>
        <v>0</v>
      </c>
      <c r="W51" s="172" t="n">
        <f aca="false">IF(Employee!H$35=E$49,Employee!D$35+SUM(N51)+Sep!W61,SUM(N51)+Sep!W61)</f>
        <v>0</v>
      </c>
      <c r="X51" s="172" t="n">
        <f aca="false">IF(O51=" ",Sep!X61,O51+Sep!X61)</f>
        <v>0</v>
      </c>
      <c r="Y51" s="172" t="n">
        <f aca="false">IF(P51=" ",Sep!Y61,P51+Sep!Y61)</f>
        <v>0</v>
      </c>
      <c r="Z51" s="172" t="n">
        <f aca="false">IF(Q51=" ",Sep!Z61,Q51+Sep!Z61)</f>
        <v>0</v>
      </c>
      <c r="AA51" s="172" t="n">
        <f aca="false">IF(R51=" ",Sep!AA61,R51+Sep!AA61)</f>
        <v>0</v>
      </c>
      <c r="AC51" s="172" t="n">
        <f aca="false">IF(T51=" ",Sep!AC61,T51+Sep!AC61)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IF(T$49="Y",Sep!H62,0)</f>
        <v>0</v>
      </c>
      <c r="I52" s="177" t="n">
        <f aca="false">IF(T$49="Y",Sep!I62,0)</f>
        <v>0</v>
      </c>
      <c r="J52" s="177" t="n">
        <f aca="false">IF(T$49="Y",Sep!J62,0)</f>
        <v>0</v>
      </c>
      <c r="K52" s="177" t="n">
        <f aca="false">IF(T$49="Y",Sep!K62,I52*J52)</f>
        <v>0</v>
      </c>
      <c r="L52" s="179" t="n">
        <f aca="false">IF(T$49="Y",Sep!L62,0)</f>
        <v>0</v>
      </c>
      <c r="M52" s="180" t="str">
        <f aca="false">IF(E52=" "," ",IF(T$49="Y",Sep!M62,IF((H52+K52+L52)&gt;0,H52+K52+L52,"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253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IF(Employee!H$61=E$49,Employee!D$60+SUM(M52)+Sep!V62,SUM(M52)+Sep!V62)</f>
        <v>0</v>
      </c>
      <c r="W52" s="172" t="n">
        <f aca="false">IF(Employee!H$61=E$49,Employee!D$61+SUM(N52)+Sep!W62,SUM(N52)+Sep!W62)</f>
        <v>0</v>
      </c>
      <c r="X52" s="172" t="n">
        <f aca="false">IF(O52=" ",Sep!X62,O52+Sep!X62)</f>
        <v>0</v>
      </c>
      <c r="Y52" s="172" t="n">
        <f aca="false">IF(P52=" ",Sep!Y62,P52+Sep!Y62)</f>
        <v>0</v>
      </c>
      <c r="Z52" s="172" t="n">
        <f aca="false">IF(Q52=" ",Sep!Z62,Q52+Sep!Z62)</f>
        <v>0</v>
      </c>
      <c r="AA52" s="172" t="n">
        <f aca="false">IF(R52=" ",Sep!AA62,R52+Sep!AA62)</f>
        <v>0</v>
      </c>
      <c r="AC52" s="172" t="n">
        <f aca="false">IF(T52=" ",Sep!AC62,T52+Sep!AC62)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IF(T$49="Y",Sep!H63,0)</f>
        <v>0</v>
      </c>
      <c r="I53" s="177" t="n">
        <f aca="false">IF(T$49="Y",Sep!I63,0)</f>
        <v>0</v>
      </c>
      <c r="J53" s="177" t="n">
        <f aca="false">IF(T$49="Y",Sep!J63,0)</f>
        <v>0</v>
      </c>
      <c r="K53" s="177" t="n">
        <f aca="false">IF(T$49="Y",Sep!K63,I53*J53)</f>
        <v>0</v>
      </c>
      <c r="L53" s="179" t="n">
        <f aca="false">IF(T$49="Y",Sep!L63,0)</f>
        <v>0</v>
      </c>
      <c r="M53" s="180" t="str">
        <f aca="false">IF(E53=" "," ",IF(T$49="Y",Sep!M63,IF((H53+K53+L53)&gt;0,H53+K53+L53,"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IF(Employee!H$87=E$49,Employee!D$86+SUM(M53)+Sep!V63,SUM(M53)+Sep!V63)</f>
        <v>0</v>
      </c>
      <c r="W53" s="172" t="n">
        <f aca="false">IF(Employee!H$87=E$49,Employee!D$87+SUM(N53)+Sep!W63,SUM(N53)+Sep!W63)</f>
        <v>0</v>
      </c>
      <c r="X53" s="172" t="n">
        <f aca="false">IF(O53=" ",Sep!X63,O53+Sep!X63)</f>
        <v>0</v>
      </c>
      <c r="Y53" s="172" t="n">
        <f aca="false">IF(P53=" ",Sep!Y63,P53+Sep!Y63)</f>
        <v>0</v>
      </c>
      <c r="Z53" s="172" t="n">
        <f aca="false">IF(Q53=" ",Sep!Z63,Q53+Sep!Z63)</f>
        <v>0</v>
      </c>
      <c r="AA53" s="172" t="n">
        <f aca="false">IF(R53=" ",Sep!AA63,R53+Sep!AA63)</f>
        <v>0</v>
      </c>
      <c r="AC53" s="172" t="n">
        <f aca="false">IF(T53=" ",Sep!AC63,T53+Sep!AC63)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IF(T$49="Y",Sep!H64,0)</f>
        <v>0</v>
      </c>
      <c r="I54" s="177" t="n">
        <f aca="false">IF(T$49="Y",Sep!I64,0)</f>
        <v>0</v>
      </c>
      <c r="J54" s="177" t="n">
        <f aca="false">IF(T$49="Y",Sep!J64,0)</f>
        <v>0</v>
      </c>
      <c r="K54" s="177" t="n">
        <f aca="false">IF(T$49="Y",Sep!K64,I54*J54)</f>
        <v>0</v>
      </c>
      <c r="L54" s="179" t="n">
        <f aca="false">IF(T$49="Y",Sep!L64,0)</f>
        <v>0</v>
      </c>
      <c r="M54" s="180" t="str">
        <f aca="false">IF(E54=" "," ",IF(T$49="Y",Sep!M64,IF((H54+K54+L54)&gt;0,H54+K54+L54,"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IF(Employee!H$113=E$49,Employee!D$112+SUM(M54)+Sep!V64,SUM(M54)+Sep!V64)</f>
        <v>0</v>
      </c>
      <c r="W54" s="172" t="n">
        <f aca="false">IF(Employee!H$113=E$49,Employee!D$113+SUM(N54)+Sep!W64,SUM(N54)+Sep!W64)</f>
        <v>0</v>
      </c>
      <c r="X54" s="172" t="n">
        <f aca="false">IF(O54=" ",Sep!X64,O54+Sep!X64)</f>
        <v>0</v>
      </c>
      <c r="Y54" s="172" t="n">
        <f aca="false">IF(P54=" ",Sep!Y64,P54+Sep!Y64)</f>
        <v>0</v>
      </c>
      <c r="Z54" s="172" t="n">
        <f aca="false">IF(Q54=" ",Sep!Z64,Q54+Sep!Z64)</f>
        <v>0</v>
      </c>
      <c r="AA54" s="172" t="n">
        <f aca="false">IF(R54=" ",Sep!AA64,R54+Sep!AA64)</f>
        <v>0</v>
      </c>
      <c r="AC54" s="172" t="n">
        <f aca="false">IF(T54=" ",Sep!AC64,T54+Sep!AC64)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IF(T$49="Y",Sep!H65,0)</f>
        <v>0</v>
      </c>
      <c r="I55" s="182" t="n">
        <f aca="false">IF(T$49="Y",Sep!I65,0)</f>
        <v>0</v>
      </c>
      <c r="J55" s="182" t="n">
        <f aca="false">IF(T$49="Y",Sep!J65,0)</f>
        <v>0</v>
      </c>
      <c r="K55" s="182" t="n">
        <f aca="false">IF(T$49="Y",Sep!K65,I55*J55)</f>
        <v>0</v>
      </c>
      <c r="L55" s="183" t="n">
        <f aca="false">IF(T$49="Y",Sep!L65,0)</f>
        <v>0</v>
      </c>
      <c r="M55" s="180" t="str">
        <f aca="false">IF(E55=" "," ",IF(T$49="Y",Sep!M65,IF((H55+K55+L55)&gt;0,H55+K55+L55,"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IF(Employee!H$139=E$49,Employee!D$138+SUM(M55)+Sep!V65,SUM(M55)+Sep!V65)</f>
        <v>0</v>
      </c>
      <c r="W55" s="172" t="n">
        <f aca="false">IF(Employee!H$139=E$49,Employee!D$139+SUM(N55)+Sep!W65,SUM(N55)+Sep!W65)</f>
        <v>0</v>
      </c>
      <c r="X55" s="172" t="n">
        <f aca="false">IF(O55=" ",Sep!X65,O55+Sep!X65)</f>
        <v>0</v>
      </c>
      <c r="Y55" s="172" t="n">
        <f aca="false">IF(P55=" ",Sep!Y65,P55+Sep!Y65)</f>
        <v>0</v>
      </c>
      <c r="Z55" s="172" t="n">
        <f aca="false">IF(Q55=" ",Sep!Z65,Q55+Sep!Z65)</f>
        <v>0</v>
      </c>
      <c r="AA55" s="172" t="n">
        <f aca="false">IF(R55=" ",Sep!AA65,R55+Sep!AA65)</f>
        <v>0</v>
      </c>
      <c r="AC55" s="172" t="n">
        <f aca="false">IF(T55=" ",Sep!AC65,T55+Sep!AC65)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SUM(AD21:AD56)</f>
        <v>0</v>
      </c>
      <c r="AE58" s="217" t="n">
        <f aca="false">SUM(AE21:AE56)</f>
        <v>0</v>
      </c>
      <c r="AF58" s="217" t="n">
        <f aca="false">SUM(AF21:AF56)</f>
        <v>0</v>
      </c>
      <c r="AG58" s="217" t="n">
        <f aca="false">SUM(AG21:AG56)</f>
        <v>0</v>
      </c>
    </row>
    <row r="59" customFormat="false" ht="13.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AD60+Sep!AD75</f>
        <v>0</v>
      </c>
      <c r="AE65" s="240" t="n">
        <f aca="false">AE60+Sep!AE75</f>
        <v>0</v>
      </c>
      <c r="AF65" s="240" t="n">
        <f aca="false">AF60+Sep!AF75</f>
        <v>0</v>
      </c>
      <c r="AG65" s="240" t="n">
        <f aca="false">AG60+Sep!AG75</f>
        <v>0</v>
      </c>
    </row>
    <row r="67" customFormat="false" ht="12.75" hidden="false" customHeight="false" outlineLevel="0" collapsed="false">
      <c r="AD67" s="233"/>
      <c r="AE67" s="240" t="n">
        <f aca="false">AE62+Sep!AE77</f>
        <v>0</v>
      </c>
      <c r="AF67" s="240" t="n">
        <f aca="false">AF62+Sep!AF77</f>
        <v>0</v>
      </c>
      <c r="AG67" s="240" t="n">
        <f aca="false">AG62+Sep!AG77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33" man="true" max="16383" min="0"/>
    <brk id="45" man="true" max="16383" min="0"/>
    <brk id="52" man="true" max="16383" min="0"/>
  </rowBreaks>
  <colBreaks count="1" manualBreakCount="1">
    <brk id="11" man="true" max="65535" min="0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31</v>
      </c>
      <c r="F9" s="144"/>
      <c r="G9" s="144"/>
      <c r="H9" s="146" t="s">
        <v>71</v>
      </c>
      <c r="I9" s="146"/>
      <c r="J9" s="146"/>
      <c r="K9" s="215" t="n">
        <f aca="false">Admin!B210</f>
        <v>44500</v>
      </c>
      <c r="L9" s="149" t="s">
        <v>74</v>
      </c>
      <c r="M9" s="150" t="n">
        <f aca="false">K9+6</f>
        <v>44506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IF(T$9="Y",Oct!H41,0)</f>
        <v>0</v>
      </c>
      <c r="I11" s="168" t="n">
        <f aca="false">IF(T$9="Y",Oct!I41,0)</f>
        <v>0</v>
      </c>
      <c r="J11" s="168" t="n">
        <f aca="false">IF(T$9="Y",Oct!J41,0)</f>
        <v>0</v>
      </c>
      <c r="K11" s="168" t="n">
        <f aca="false">IF(T$9="Y",Oct!K41,I11*J11)</f>
        <v>0</v>
      </c>
      <c r="L11" s="166" t="n">
        <f aca="false">IF(T$9="Y",Oct!L41,0)</f>
        <v>0</v>
      </c>
      <c r="M11" s="170" t="str">
        <f aca="false">IF(E11=" "," ",IF(T$9="Y",Oct!M41,IF((H11+K11+L11)&gt;0,H11+K11+L11," ")))</f>
        <v> </v>
      </c>
      <c r="N11" s="168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IF(Employee!H$34=E$9,Employee!D$34+SUM(M11)+Oct!V41,SUM(M11)+Oct!V41)</f>
        <v>0</v>
      </c>
      <c r="W11" s="172" t="n">
        <f aca="false">IF(Employee!H$34=E$9,Employee!D$35+SUM(N11)+Oct!W41,SUM(N11)+Oct!W41)</f>
        <v>0</v>
      </c>
      <c r="X11" s="172" t="n">
        <f aca="false">IF(O11=" ",Oct!X41,O11+Oct!X41)</f>
        <v>0</v>
      </c>
      <c r="Y11" s="172" t="n">
        <f aca="false">IF(P11=" ",Oct!Y41,P11+Oct!Y41)</f>
        <v>0</v>
      </c>
      <c r="Z11" s="172" t="n">
        <f aca="false">IF(Q11=" ",Oct!Z41,Q11+Oct!Z41)</f>
        <v>0</v>
      </c>
      <c r="AA11" s="172" t="n">
        <f aca="false">IF(R11=" ",Oct!AA41,R11+Oct!AA41)</f>
        <v>0</v>
      </c>
      <c r="AC11" s="172" t="e">
        <f aca="false">IF(T11=" ",Oct!AC41,T11+Oct!AC41)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IF(T$9="Y",Oct!H42,0)</f>
        <v>0</v>
      </c>
      <c r="I12" s="177" t="n">
        <f aca="false">IF(T$9="Y",Oct!I42,0)</f>
        <v>0</v>
      </c>
      <c r="J12" s="177" t="n">
        <f aca="false">IF(T$9="Y",Oct!J42,0)</f>
        <v>0</v>
      </c>
      <c r="K12" s="177" t="n">
        <f aca="false">IF(T$9="Y",Oct!K42,I12*J12)</f>
        <v>0</v>
      </c>
      <c r="L12" s="179" t="n">
        <f aca="false">IF(T$9="Y",Oct!L42,0)</f>
        <v>0</v>
      </c>
      <c r="M12" s="180" t="str">
        <f aca="false">IF(E12=" "," ",IF(T$9="Y",Oct!M42,IF((H12+K12+L12)&gt;0,H12+K12+L12," ")))</f>
        <v> </v>
      </c>
      <c r="N12" s="177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IF(Employee!H$60=E$9,Employee!D$60+SUM(M12)+Oct!V42,SUM(M12)+Oct!V42)</f>
        <v>0</v>
      </c>
      <c r="W12" s="172" t="n">
        <f aca="false">IF(Employee!H$60=E$9,Employee!D$61+SUM(N12)+Oct!W42,SUM(N12)+Oct!W42)</f>
        <v>0</v>
      </c>
      <c r="X12" s="172" t="n">
        <f aca="false">IF(O12=" ",Oct!X42,O12+Oct!X42)</f>
        <v>0</v>
      </c>
      <c r="Y12" s="172" t="n">
        <f aca="false">IF(P12=" ",Oct!Y42,P12+Oct!Y42)</f>
        <v>0</v>
      </c>
      <c r="Z12" s="172" t="n">
        <f aca="false">IF(Q12=" ",Oct!Z42,Q12+Oct!Z42)</f>
        <v>0</v>
      </c>
      <c r="AA12" s="172" t="n">
        <f aca="false">IF(R12=" ",Oct!AA42,R12+Oct!AA42)</f>
        <v>0</v>
      </c>
      <c r="AC12" s="172" t="n">
        <f aca="false">IF(T12=" ",Oct!AC42,T12+Oct!AC42)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IF(T$9="Y",Oct!H43,0)</f>
        <v>0</v>
      </c>
      <c r="I13" s="177" t="n">
        <f aca="false">IF(T$9="Y",Oct!I43,0)</f>
        <v>0</v>
      </c>
      <c r="J13" s="177" t="n">
        <f aca="false">IF(T$9="Y",Oct!J43,0)</f>
        <v>0</v>
      </c>
      <c r="K13" s="177" t="n">
        <f aca="false">IF(T$9="Y",Oct!K43,I13*J13)</f>
        <v>0</v>
      </c>
      <c r="L13" s="179" t="n">
        <f aca="false">IF(T$9="Y",Oct!L43,0)</f>
        <v>0</v>
      </c>
      <c r="M13" s="180" t="str">
        <f aca="false">IF(E13=" "," ",IF(T$9="Y",Oct!M43,IF((H13+K13+L13)&gt;0,H13+K13+L13," ")))</f>
        <v> </v>
      </c>
      <c r="N13" s="177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IF(Employee!H$86=E$9,Employee!D$86+SUM(M13)+Oct!V43,SUM(M13)+Oct!V43)</f>
        <v>0</v>
      </c>
      <c r="W13" s="172" t="n">
        <f aca="false">IF(Employee!H$86=E$9,Employee!D$87+SUM(N13)+Oct!W43,SUM(N13)+Oct!W43)</f>
        <v>0</v>
      </c>
      <c r="X13" s="172" t="n">
        <f aca="false">IF(O13=" ",Oct!X43,O13+Oct!X43)</f>
        <v>0</v>
      </c>
      <c r="Y13" s="172" t="n">
        <f aca="false">IF(P13=" ",Oct!Y43,P13+Oct!Y43)</f>
        <v>0</v>
      </c>
      <c r="Z13" s="172" t="n">
        <f aca="false">IF(Q13=" ",Oct!Z43,Q13+Oct!Z43)</f>
        <v>0</v>
      </c>
      <c r="AA13" s="172" t="n">
        <f aca="false">IF(R13=" ",Oct!AA43,R13+Oct!AA43)</f>
        <v>0</v>
      </c>
      <c r="AC13" s="172" t="n">
        <f aca="false">IF(T13=" ",Oct!AC43,T13+Oct!AC43)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IF(T$9="Y",Oct!H44,0)</f>
        <v>0</v>
      </c>
      <c r="I14" s="177" t="n">
        <f aca="false">IF(T$9="Y",Oct!I44,0)</f>
        <v>0</v>
      </c>
      <c r="J14" s="177" t="n">
        <f aca="false">IF(T$9="Y",Oct!J44,0)</f>
        <v>0</v>
      </c>
      <c r="K14" s="177" t="n">
        <f aca="false">IF(T$9="Y",Oct!K44,I14*J14)</f>
        <v>0</v>
      </c>
      <c r="L14" s="179" t="n">
        <f aca="false">IF(T$9="Y",Oct!L44,0)</f>
        <v>0</v>
      </c>
      <c r="M14" s="180" t="str">
        <f aca="false">IF(E14=" "," ",IF(T$9="Y",Oct!M44,IF((H14+K14+L14)&gt;0,H14+K14+L14," ")))</f>
        <v> </v>
      </c>
      <c r="N14" s="177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IF(Employee!H$112=E$9,Employee!D$112+SUM(M14)+Oct!V44,SUM(M14)+Oct!V44)</f>
        <v>0</v>
      </c>
      <c r="W14" s="172" t="n">
        <f aca="false">IF(Employee!H$112=E$9,Employee!D$113+SUM(N14)+Oct!W44,SUM(N14)+Oct!W44)</f>
        <v>0</v>
      </c>
      <c r="X14" s="172" t="n">
        <f aca="false">IF(O14=" ",Oct!X44,O14+Oct!X44)</f>
        <v>0</v>
      </c>
      <c r="Y14" s="172" t="n">
        <f aca="false">IF(P14=" ",Oct!Y44,P14+Oct!Y44)</f>
        <v>0</v>
      </c>
      <c r="Z14" s="172" t="n">
        <f aca="false">IF(Q14=" ",Oct!Z44,Q14+Oct!Z44)</f>
        <v>0</v>
      </c>
      <c r="AA14" s="172" t="n">
        <f aca="false">IF(R14=" ",Oct!AA44,R14+Oct!AA44)</f>
        <v>0</v>
      </c>
      <c r="AC14" s="172" t="n">
        <f aca="false">IF(T14=" ",Oct!AC44,T14+Oct!AC44)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IF(T$9="Y",Oct!H45,0)</f>
        <v>0</v>
      </c>
      <c r="I15" s="182" t="n">
        <f aca="false">IF(T$9="Y",Oct!I45,0)</f>
        <v>0</v>
      </c>
      <c r="J15" s="182" t="n">
        <f aca="false">IF(T$9="Y",Oct!J45,0)</f>
        <v>0</v>
      </c>
      <c r="K15" s="182" t="n">
        <f aca="false">IF(T$9="Y",Oct!K45,I15*J15)</f>
        <v>0</v>
      </c>
      <c r="L15" s="183" t="n">
        <f aca="false">IF(T$9="Y",Oct!L45,0)</f>
        <v>0</v>
      </c>
      <c r="M15" s="184" t="str">
        <f aca="false">IF(E15=" "," ",IF(T$9="Y",Oct!M45,IF((H15+K15+L15)&gt;0,H15+K15+L15," ")))</f>
        <v> </v>
      </c>
      <c r="N15" s="182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IF(Employee!H$138=E$9,Employee!D$138+SUM(M15)+Oct!V45,SUM(M15)+Oct!V45)</f>
        <v>0</v>
      </c>
      <c r="W15" s="172" t="n">
        <f aca="false">IF(Employee!H$138=E$9,Employee!D$139+SUM(N15)+Oct!W45,SUM(N15)+Oct!W45)</f>
        <v>0</v>
      </c>
      <c r="X15" s="172" t="n">
        <f aca="false">IF(O15=" ",Oct!X45,O15+Oct!X45)</f>
        <v>0</v>
      </c>
      <c r="Y15" s="172" t="n">
        <f aca="false">IF(P15=" ",Oct!Y45,P15+Oct!Y45)</f>
        <v>0</v>
      </c>
      <c r="Z15" s="172" t="n">
        <f aca="false">IF(Q15=" ",Oct!Z45,Q15+Oct!Z45)</f>
        <v>0</v>
      </c>
      <c r="AA15" s="172" t="n">
        <f aca="false">IF(R15=" ",Oct!AA45,R15+Oct!AA45)</f>
        <v>0</v>
      </c>
      <c r="AC15" s="172" t="n">
        <f aca="false">IF(T15=" ",Oct!AC45,T15+Oct!AC45)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4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32</v>
      </c>
      <c r="F19" s="144"/>
      <c r="G19" s="144"/>
      <c r="H19" s="146" t="s">
        <v>71</v>
      </c>
      <c r="I19" s="146"/>
      <c r="J19" s="146"/>
      <c r="K19" s="215" t="n">
        <f aca="false">M9+1</f>
        <v>44507</v>
      </c>
      <c r="L19" s="149" t="s">
        <v>74</v>
      </c>
      <c r="M19" s="150" t="n">
        <f aca="false">K19+6</f>
        <v>44513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33</v>
      </c>
      <c r="F29" s="144"/>
      <c r="G29" s="144"/>
      <c r="H29" s="146" t="s">
        <v>71</v>
      </c>
      <c r="I29" s="146"/>
      <c r="J29" s="146"/>
      <c r="K29" s="215" t="n">
        <f aca="false">M19+1</f>
        <v>44514</v>
      </c>
      <c r="L29" s="149" t="s">
        <v>74</v>
      </c>
      <c r="M29" s="150" t="n">
        <f aca="false">K29+6</f>
        <v>44520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34</v>
      </c>
      <c r="F39" s="144"/>
      <c r="G39" s="144"/>
      <c r="H39" s="146" t="s">
        <v>71</v>
      </c>
      <c r="I39" s="146"/>
      <c r="J39" s="146"/>
      <c r="K39" s="215" t="n">
        <f aca="false">M29+1</f>
        <v>44521</v>
      </c>
      <c r="L39" s="149" t="s">
        <v>74</v>
      </c>
      <c r="M39" s="150" t="n">
        <f aca="false">K39+6</f>
        <v>44527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8</v>
      </c>
      <c r="F49" s="144"/>
      <c r="G49" s="144"/>
      <c r="H49" s="146" t="s">
        <v>71</v>
      </c>
      <c r="I49" s="146"/>
      <c r="J49" s="146"/>
      <c r="K49" s="215" t="n">
        <f aca="false">Admin!B211</f>
        <v>44501</v>
      </c>
      <c r="L49" s="149" t="s">
        <v>74</v>
      </c>
      <c r="M49" s="150" t="n">
        <f aca="false">Admin!B240</f>
        <v>44530</v>
      </c>
      <c r="N49" s="151"/>
      <c r="O49" s="198" t="s">
        <v>85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IF(T$49="Y",Oct!H51,0)</f>
        <v>0</v>
      </c>
      <c r="I51" s="168" t="n">
        <f aca="false">IF(T$49="Y",Oct!I51,0)</f>
        <v>0</v>
      </c>
      <c r="J51" s="168" t="n">
        <f aca="false">IF(T$49="Y",Oct!J51,0)</f>
        <v>0</v>
      </c>
      <c r="K51" s="168" t="n">
        <f aca="false">IF(T$49="Y",Oct!K51,I51*J51)</f>
        <v>0</v>
      </c>
      <c r="L51" s="166" t="n">
        <f aca="false">IF(T$49="Y",Oct!L51,0)</f>
        <v>0</v>
      </c>
      <c r="M51" s="170" t="str">
        <f aca="false">IF(E51=" "," ",IF(T$49="Y",Oct!M51,IF((H51+K51+L51)&gt;0,H51+K51+L51,"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252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IF(Employee!H$35=E$49,Employee!D$34+SUM(M51)+Oct!V51,SUM(M51)+Oct!V51)</f>
        <v>0</v>
      </c>
      <c r="W51" s="172" t="n">
        <f aca="false">IF(Employee!H$35=E$49,Employee!D$35+SUM(N51)+Oct!W51,SUM(N51)+Oct!W51)</f>
        <v>0</v>
      </c>
      <c r="X51" s="172" t="n">
        <f aca="false">IF(O51=" ",Oct!X51,O51+Oct!X51)</f>
        <v>0</v>
      </c>
      <c r="Y51" s="172" t="n">
        <f aca="false">IF(P51=" ",Oct!Y51,P51+Oct!Y51)</f>
        <v>0</v>
      </c>
      <c r="Z51" s="172" t="n">
        <f aca="false">IF(Q51=" ",Oct!Z51,Q51+Oct!Z51)</f>
        <v>0</v>
      </c>
      <c r="AA51" s="172" t="n">
        <f aca="false">IF(R51=" ",Oct!AA51,R51+Oct!AA51)</f>
        <v>0</v>
      </c>
      <c r="AC51" s="172" t="n">
        <f aca="false">IF(T51=" ",Oct!AC51,T51+Oct!AC51)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IF(T$49="Y",Oct!H52,0)</f>
        <v>0</v>
      </c>
      <c r="I52" s="177" t="n">
        <f aca="false">IF(T$49="Y",Oct!I52,0)</f>
        <v>0</v>
      </c>
      <c r="J52" s="177" t="n">
        <f aca="false">IF(T$49="Y",Oct!J52,0)</f>
        <v>0</v>
      </c>
      <c r="K52" s="177" t="n">
        <f aca="false">IF(T$49="Y",Oct!K52,I52*J52)</f>
        <v>0</v>
      </c>
      <c r="L52" s="179" t="n">
        <f aca="false">IF(T$49="Y",Oct!L52,0)</f>
        <v>0</v>
      </c>
      <c r="M52" s="180" t="str">
        <f aca="false">IF(E52=" "," ",IF(T$49="Y",Oct!M52,IF((H52+K52+L52)&gt;0,H52+K52+L52,"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253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IF(Employee!H$61=E$49,Employee!D$60+SUM(M52)+Oct!V52,SUM(M52)+Oct!V52)</f>
        <v>0</v>
      </c>
      <c r="W52" s="172" t="n">
        <f aca="false">IF(Employee!H$61=E$49,Employee!D$61+SUM(N52)+Oct!W52,SUM(N52)+Oct!W52)</f>
        <v>0</v>
      </c>
      <c r="X52" s="172" t="n">
        <f aca="false">IF(O52=" ",Oct!X52,O52+Oct!X52)</f>
        <v>0</v>
      </c>
      <c r="Y52" s="172" t="n">
        <f aca="false">IF(P52=" ",Oct!Y52,P52+Oct!Y52)</f>
        <v>0</v>
      </c>
      <c r="Z52" s="172" t="n">
        <f aca="false">IF(Q52=" ",Oct!Z52,Q52+Oct!Z52)</f>
        <v>0</v>
      </c>
      <c r="AA52" s="172" t="n">
        <f aca="false">IF(R52=" ",Oct!AA52,R52+Oct!AA52)</f>
        <v>0</v>
      </c>
      <c r="AC52" s="172" t="n">
        <f aca="false">IF(T52=" ",Oct!AC52,T52+Oct!AC52)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IF(T$49="Y",Oct!H53,0)</f>
        <v>0</v>
      </c>
      <c r="I53" s="177" t="n">
        <f aca="false">IF(T$49="Y",Oct!I53,0)</f>
        <v>0</v>
      </c>
      <c r="J53" s="177" t="n">
        <f aca="false">IF(T$49="Y",Oct!J53,0)</f>
        <v>0</v>
      </c>
      <c r="K53" s="177" t="n">
        <f aca="false">IF(T$49="Y",Oct!K53,I53*J53)</f>
        <v>0</v>
      </c>
      <c r="L53" s="179" t="n">
        <f aca="false">IF(T$49="Y",Oct!L53,0)</f>
        <v>0</v>
      </c>
      <c r="M53" s="180" t="str">
        <f aca="false">IF(E53=" "," ",IF(T$49="Y",Oct!M53,IF((H53+K53+L53)&gt;0,H53+K53+L53,"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IF(Employee!H$87=E$49,Employee!D$86+SUM(M53)+Oct!V53,SUM(M53)+Oct!V53)</f>
        <v>0</v>
      </c>
      <c r="W53" s="172" t="n">
        <f aca="false">IF(Employee!H$87=E$49,Employee!D$87+SUM(N53)+Oct!W53,SUM(N53)+Oct!W53)</f>
        <v>0</v>
      </c>
      <c r="X53" s="172" t="n">
        <f aca="false">IF(O53=" ",Oct!X53,O53+Oct!X53)</f>
        <v>0</v>
      </c>
      <c r="Y53" s="172" t="n">
        <f aca="false">IF(P53=" ",Oct!Y53,P53+Oct!Y53)</f>
        <v>0</v>
      </c>
      <c r="Z53" s="172" t="n">
        <f aca="false">IF(Q53=" ",Oct!Z53,Q53+Oct!Z53)</f>
        <v>0</v>
      </c>
      <c r="AA53" s="172" t="n">
        <f aca="false">IF(R53=" ",Oct!AA53,R53+Oct!AA53)</f>
        <v>0</v>
      </c>
      <c r="AC53" s="172" t="n">
        <f aca="false">IF(T53=" ",Oct!AC53,T53+Oct!AC53)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IF(T$49="Y",Oct!H54,0)</f>
        <v>0</v>
      </c>
      <c r="I54" s="177" t="n">
        <f aca="false">IF(T$49="Y",Oct!I54,0)</f>
        <v>0</v>
      </c>
      <c r="J54" s="177" t="n">
        <f aca="false">IF(T$49="Y",Oct!J54,0)</f>
        <v>0</v>
      </c>
      <c r="K54" s="177" t="n">
        <f aca="false">IF(T$49="Y",Oct!K54,I54*J54)</f>
        <v>0</v>
      </c>
      <c r="L54" s="179" t="n">
        <f aca="false">IF(T$49="Y",Oct!L54,0)</f>
        <v>0</v>
      </c>
      <c r="M54" s="180" t="str">
        <f aca="false">IF(E54=" "," ",IF(T$49="Y",Oct!M54,IF((H54+K54+L54)&gt;0,H54+K54+L54,"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IF(Employee!H$113=E$49,Employee!D$112+SUM(M54)+Oct!V54,SUM(M54)+Oct!V54)</f>
        <v>0</v>
      </c>
      <c r="W54" s="172" t="n">
        <f aca="false">IF(Employee!H$113=E$49,Employee!D$113+SUM(N54)+Oct!W54,SUM(N54)+Oct!W54)</f>
        <v>0</v>
      </c>
      <c r="X54" s="172" t="n">
        <f aca="false">IF(O54=" ",Oct!X54,O54+Oct!X54)</f>
        <v>0</v>
      </c>
      <c r="Y54" s="172" t="n">
        <f aca="false">IF(P54=" ",Oct!Y54,P54+Oct!Y54)</f>
        <v>0</v>
      </c>
      <c r="Z54" s="172" t="n">
        <f aca="false">IF(Q54=" ",Oct!Z54,Q54+Oct!Z54)</f>
        <v>0</v>
      </c>
      <c r="AA54" s="172" t="n">
        <f aca="false">IF(R54=" ",Oct!AA54,R54+Oct!AA54)</f>
        <v>0</v>
      </c>
      <c r="AC54" s="172" t="n">
        <f aca="false">IF(T54=" ",Oct!AC54,T54+Oct!AC54)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IF(T$49="Y",Oct!H55,0)</f>
        <v>0</v>
      </c>
      <c r="I55" s="182" t="n">
        <f aca="false">IF(T$49="Y",Oct!I55,0)</f>
        <v>0</v>
      </c>
      <c r="J55" s="182" t="n">
        <f aca="false">IF(T$49="Y",Oct!J55,0)</f>
        <v>0</v>
      </c>
      <c r="K55" s="182" t="n">
        <f aca="false">IF(T$49="Y",Oct!K55,I55*J55)</f>
        <v>0</v>
      </c>
      <c r="L55" s="183" t="n">
        <f aca="false">IF(T$49="Y",Oct!L55,0)</f>
        <v>0</v>
      </c>
      <c r="M55" s="180" t="str">
        <f aca="false">IF(E55=" "," ",IF(T$49="Y",Oct!M55,IF((H55+K55+L55)&gt;0,H55+K55+L55,"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IF(Employee!H$139=E$49,Employee!D$138+SUM(M55)+Oct!V55,SUM(M55)+Oct!V55)</f>
        <v>0</v>
      </c>
      <c r="W55" s="172" t="n">
        <f aca="false">IF(Employee!H$139=E$49,Employee!D$139+SUM(N55)+Oct!W55,SUM(N55)+Oct!W55)</f>
        <v>0</v>
      </c>
      <c r="X55" s="172" t="n">
        <f aca="false">IF(O55=" ",Oct!X55,O55+Oct!X55)</f>
        <v>0</v>
      </c>
      <c r="Y55" s="172" t="n">
        <f aca="false">IF(P55=" ",Oct!Y55,P55+Oct!Y55)</f>
        <v>0</v>
      </c>
      <c r="Z55" s="172" t="n">
        <f aca="false">IF(Q55=" ",Oct!Z55,Q55+Oct!Z55)</f>
        <v>0</v>
      </c>
      <c r="AA55" s="172" t="n">
        <f aca="false">IF(R55=" ",Oct!AA55,R55+Oct!AA55)</f>
        <v>0</v>
      </c>
      <c r="AC55" s="172" t="n">
        <f aca="false">IF(T55=" ",Oct!AC55,T55+Oct!AC55)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3.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AD60+Oct!AD65</f>
        <v>0</v>
      </c>
      <c r="AE65" s="240" t="n">
        <f aca="false">AE60+Oct!AE65</f>
        <v>0</v>
      </c>
      <c r="AF65" s="240" t="n">
        <f aca="false">AF60+Oct!AF65</f>
        <v>0</v>
      </c>
      <c r="AG65" s="240" t="n">
        <f aca="false">AG60+Oct!AG65</f>
        <v>0</v>
      </c>
    </row>
    <row r="67" customFormat="false" ht="12.75" hidden="false" customHeight="false" outlineLevel="0" collapsed="false">
      <c r="AD67" s="233"/>
      <c r="AE67" s="240" t="n">
        <f aca="false">AE62+Oct!AE67</f>
        <v>0</v>
      </c>
      <c r="AF67" s="240" t="n">
        <f aca="false">AF62+Oct!AF67</f>
        <v>0</v>
      </c>
      <c r="AG67" s="240" t="n">
        <f aca="false">AG62+Oct!AG67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97" customFormat="true" ht="1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246" t="n">
        <f aca="false">SUM(AD70:AG70)+SUM(AE72:AG72)</f>
        <v>0</v>
      </c>
      <c r="H1" s="246"/>
      <c r="I1" s="261" t="s">
        <v>38</v>
      </c>
      <c r="J1" s="261"/>
      <c r="K1" s="261"/>
      <c r="L1" s="261"/>
      <c r="M1" s="248" t="n">
        <f aca="false">M16+M26+M36+M46+M56+M66</f>
        <v>0</v>
      </c>
      <c r="N1" s="248" t="n">
        <f aca="false">N16+N26+N36+N46+N56+N66</f>
        <v>0</v>
      </c>
      <c r="O1" s="248" t="n">
        <f aca="false">O16+O26+O36+O46+O56+O66</f>
        <v>0</v>
      </c>
      <c r="P1" s="248" t="n">
        <f aca="false">P16+P26+P36+P46+P56+P66</f>
        <v>0</v>
      </c>
      <c r="Q1" s="248" t="n">
        <f aca="false">Q16+Q26+Q36+Q46+Q56+Q66</f>
        <v>0</v>
      </c>
      <c r="R1" s="248" t="n">
        <f aca="false">R16+R26+R36+R46+R56+R66</f>
        <v>0</v>
      </c>
      <c r="S1" s="249"/>
      <c r="T1" s="248" t="n">
        <f aca="false">T16+T26+T36+T46+T56+T66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210"/>
    </row>
    <row r="2" s="97" customFormat="true" ht="1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M75</f>
        <v>0</v>
      </c>
      <c r="N2" s="106" t="n">
        <f aca="false">N75</f>
        <v>0</v>
      </c>
      <c r="O2" s="106" t="n">
        <f aca="false">O75</f>
        <v>0</v>
      </c>
      <c r="P2" s="106" t="n">
        <f aca="false">P75</f>
        <v>0</v>
      </c>
      <c r="Q2" s="106" t="n">
        <f aca="false">Q75</f>
        <v>0</v>
      </c>
      <c r="R2" s="106" t="n">
        <f aca="false">R75</f>
        <v>0</v>
      </c>
      <c r="S2" s="106" t="n">
        <f aca="false">S65</f>
        <v>0</v>
      </c>
      <c r="T2" s="106" t="n">
        <f aca="false">T75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210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35</v>
      </c>
      <c r="F9" s="144"/>
      <c r="G9" s="144"/>
      <c r="H9" s="146" t="s">
        <v>71</v>
      </c>
      <c r="I9" s="146"/>
      <c r="J9" s="146"/>
      <c r="K9" s="215" t="n">
        <f aca="false">Nov!M39+1</f>
        <v>44528</v>
      </c>
      <c r="L9" s="149" t="s">
        <v>74</v>
      </c>
      <c r="M9" s="150" t="n">
        <f aca="false">K9+6</f>
        <v>44534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IF(T$9="Y",Nov!H41,0)</f>
        <v>0</v>
      </c>
      <c r="I11" s="168" t="n">
        <f aca="false">IF(T$9="Y",Nov!I41,0)</f>
        <v>0</v>
      </c>
      <c r="J11" s="168" t="n">
        <f aca="false">IF(T$9="Y",Nov!J41,0)</f>
        <v>0</v>
      </c>
      <c r="K11" s="168" t="n">
        <f aca="false">IF(T$9="Y",Nov!K41,I11*J11)</f>
        <v>0</v>
      </c>
      <c r="L11" s="166" t="n">
        <f aca="false">IF(T$9="Y",Nov!L41,0)</f>
        <v>0</v>
      </c>
      <c r="M11" s="166" t="str">
        <f aca="false">IF(E11=" "," ",IF(T$9="Y",Nov!M41,IF((H11+K11+L11)&gt;0,H11+K11+L11,"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IF(Employee!H$34=E$9,Employee!D$34+SUM(M11)+Nov!V41,SUM(M11)+Nov!V41)</f>
        <v>0</v>
      </c>
      <c r="W11" s="172" t="n">
        <f aca="false">IF(Employee!H$34=E$9,Employee!D$35+SUM(N11)+Nov!W41,SUM(N11)+Nov!W41)</f>
        <v>0</v>
      </c>
      <c r="X11" s="172" t="n">
        <f aca="false">IF(O11=" ",Nov!X41,O11+Nov!X41)</f>
        <v>0</v>
      </c>
      <c r="Y11" s="172" t="n">
        <f aca="false">IF(P11=" ",Nov!Y41,P11+Nov!Y41)</f>
        <v>0</v>
      </c>
      <c r="Z11" s="172" t="n">
        <f aca="false">IF(Q11=" ",Nov!Z41,Q11+Nov!Z41)</f>
        <v>0</v>
      </c>
      <c r="AA11" s="172" t="n">
        <f aca="false">IF(R11=" ",Nov!AA41,R11+Nov!AA41)</f>
        <v>0</v>
      </c>
      <c r="AC11" s="172" t="e">
        <f aca="false">IF(T11=" ",Nov!AC41,T11+Nov!AC41)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IF(T$9="Y",Nov!H42,0)</f>
        <v>0</v>
      </c>
      <c r="I12" s="177" t="n">
        <f aca="false">IF(T$9="Y",Nov!I42,0)</f>
        <v>0</v>
      </c>
      <c r="J12" s="177" t="n">
        <f aca="false">IF(T$9="Y",Nov!J42,0)</f>
        <v>0</v>
      </c>
      <c r="K12" s="177" t="n">
        <f aca="false">IF(T$9="Y",Nov!K42,I12*J12)</f>
        <v>0</v>
      </c>
      <c r="L12" s="179" t="n">
        <f aca="false">IF(T$9="Y",Nov!L42,0)</f>
        <v>0</v>
      </c>
      <c r="M12" s="179" t="str">
        <f aca="false">IF(E12=" "," ",IF(T$9="Y",Nov!M42,IF((H12+K12+L12)&gt;0,H12+K12+L12,"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IF(Employee!H$60=E$9,Employee!D$60+SUM(M12)+Nov!V42,SUM(M12)+Nov!V42)</f>
        <v>0</v>
      </c>
      <c r="W12" s="172" t="n">
        <f aca="false">IF(Employee!H$60=E$9,Employee!D$61+SUM(N12)+Nov!W42,SUM(N12)+Nov!W42)</f>
        <v>0</v>
      </c>
      <c r="X12" s="172" t="n">
        <f aca="false">IF(O12=" ",Nov!X42,O12+Nov!X42)</f>
        <v>0</v>
      </c>
      <c r="Y12" s="172" t="n">
        <f aca="false">IF(P12=" ",Nov!Y42,P12+Nov!Y42)</f>
        <v>0</v>
      </c>
      <c r="Z12" s="172" t="n">
        <f aca="false">IF(Q12=" ",Nov!Z42,Q12+Nov!Z42)</f>
        <v>0</v>
      </c>
      <c r="AA12" s="172" t="n">
        <f aca="false">IF(R12=" ",Nov!AA42,R12+Nov!AA42)</f>
        <v>0</v>
      </c>
      <c r="AC12" s="172" t="n">
        <f aca="false">IF(T12=" ",Nov!AC42,T12+Nov!AC42)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IF(T$9="Y",Nov!H43,0)</f>
        <v>0</v>
      </c>
      <c r="I13" s="177" t="n">
        <f aca="false">IF(T$9="Y",Nov!I43,0)</f>
        <v>0</v>
      </c>
      <c r="J13" s="177" t="n">
        <f aca="false">IF(T$9="Y",Nov!J43,0)</f>
        <v>0</v>
      </c>
      <c r="K13" s="177" t="n">
        <f aca="false">IF(T$9="Y",Nov!K43,I13*J13)</f>
        <v>0</v>
      </c>
      <c r="L13" s="179" t="n">
        <f aca="false">IF(T$9="Y",Nov!L43,0)</f>
        <v>0</v>
      </c>
      <c r="M13" s="179" t="str">
        <f aca="false">IF(E13=" "," ",IF(T$9="Y",Nov!M43,IF((H13+K13+L13)&gt;0,H13+K13+L13,"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IF(Employee!H$86=E$9,Employee!D$86+SUM(M13)+Nov!V43,SUM(M13)+Nov!V43)</f>
        <v>0</v>
      </c>
      <c r="W13" s="172" t="n">
        <f aca="false">IF(Employee!H$86=E$9,Employee!D$87+SUM(N13)+Nov!W43,SUM(N13)+Nov!W43)</f>
        <v>0</v>
      </c>
      <c r="X13" s="172" t="n">
        <f aca="false">IF(O13=" ",Nov!X43,O13+Nov!X43)</f>
        <v>0</v>
      </c>
      <c r="Y13" s="172" t="n">
        <f aca="false">IF(P13=" ",Nov!Y43,P13+Nov!Y43)</f>
        <v>0</v>
      </c>
      <c r="Z13" s="172" t="n">
        <f aca="false">IF(Q13=" ",Nov!Z43,Q13+Nov!Z43)</f>
        <v>0</v>
      </c>
      <c r="AA13" s="172" t="n">
        <f aca="false">IF(R13=" ",Nov!AA43,R13+Nov!AA43)</f>
        <v>0</v>
      </c>
      <c r="AC13" s="172" t="n">
        <f aca="false">IF(T13=" ",Nov!AC43,T13+Nov!AC43)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IF(T$9="Y",Nov!H44,0)</f>
        <v>0</v>
      </c>
      <c r="I14" s="177" t="n">
        <f aca="false">IF(T$9="Y",Nov!I44,0)</f>
        <v>0</v>
      </c>
      <c r="J14" s="177" t="n">
        <f aca="false">IF(T$9="Y",Nov!J44,0)</f>
        <v>0</v>
      </c>
      <c r="K14" s="177" t="n">
        <f aca="false">IF(T$9="Y",Nov!K44,I14*J14)</f>
        <v>0</v>
      </c>
      <c r="L14" s="179" t="n">
        <f aca="false">IF(T$9="Y",Nov!L44,0)</f>
        <v>0</v>
      </c>
      <c r="M14" s="179" t="str">
        <f aca="false">IF(E14=" "," ",IF(T$9="Y",Nov!M44,IF((H14+K14+L14)&gt;0,H14+K14+L14,"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IF(Employee!H$112=E$9,Employee!D$112+SUM(M14)+Nov!V44,SUM(M14)+Nov!V44)</f>
        <v>0</v>
      </c>
      <c r="W14" s="172" t="n">
        <f aca="false">IF(Employee!H$112=E$9,Employee!D$113+SUM(N14)+Nov!W44,SUM(N14)+Nov!W44)</f>
        <v>0</v>
      </c>
      <c r="X14" s="172" t="n">
        <f aca="false">IF(O14=" ",Nov!X44,O14+Nov!X44)</f>
        <v>0</v>
      </c>
      <c r="Y14" s="172" t="n">
        <f aca="false">IF(P14=" ",Nov!Y44,P14+Nov!Y44)</f>
        <v>0</v>
      </c>
      <c r="Z14" s="172" t="n">
        <f aca="false">IF(Q14=" ",Nov!Z44,Q14+Nov!Z44)</f>
        <v>0</v>
      </c>
      <c r="AA14" s="172" t="n">
        <f aca="false">IF(R14=" ",Nov!AA44,R14+Nov!AA44)</f>
        <v>0</v>
      </c>
      <c r="AC14" s="172" t="n">
        <f aca="false">IF(T14=" ",Nov!AC44,T14+Nov!AC44)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IF(T$9="Y",Nov!H45,0)</f>
        <v>0</v>
      </c>
      <c r="I15" s="182" t="n">
        <f aca="false">IF(T$9="Y",Nov!I45,0)</f>
        <v>0</v>
      </c>
      <c r="J15" s="182" t="n">
        <f aca="false">IF(T$9="Y",Nov!J45,0)</f>
        <v>0</v>
      </c>
      <c r="K15" s="182" t="n">
        <f aca="false">IF(T$9="Y",Nov!K45,I15*J15)</f>
        <v>0</v>
      </c>
      <c r="L15" s="183" t="n">
        <f aca="false">IF(T$9="Y",Nov!L45,0)</f>
        <v>0</v>
      </c>
      <c r="M15" s="179" t="str">
        <f aca="false">IF(E15=" "," ",IF(T$9="Y",Nov!M45,IF((H15+K15+L15)&gt;0,H15+K15+L15,"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IF(Employee!H$138=E$9,Employee!D$138+SUM(M15)+Nov!V45,SUM(M15)+Nov!V45)</f>
        <v>0</v>
      </c>
      <c r="W15" s="172" t="n">
        <f aca="false">IF(Employee!H$138=E$9,Employee!D$139+SUM(N15)+Nov!W45,SUM(N15)+Nov!W45)</f>
        <v>0</v>
      </c>
      <c r="X15" s="172" t="n">
        <f aca="false">IF(O15=" ",Nov!X45,O15+Nov!X45)</f>
        <v>0</v>
      </c>
      <c r="Y15" s="172" t="n">
        <f aca="false">IF(P15=" ",Nov!Y45,P15+Nov!Y45)</f>
        <v>0</v>
      </c>
      <c r="Z15" s="172" t="n">
        <f aca="false">IF(Q15=" ",Nov!Z45,Q15+Nov!Z45)</f>
        <v>0</v>
      </c>
      <c r="AA15" s="172" t="n">
        <f aca="false">IF(R15=" ",Nov!AA45,R15+Nov!AA45)</f>
        <v>0</v>
      </c>
      <c r="AC15" s="172" t="n">
        <f aca="false">IF(T15=" ",Nov!AC45,T15+Nov!AC45)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36</v>
      </c>
      <c r="F19" s="144"/>
      <c r="G19" s="144"/>
      <c r="H19" s="146" t="s">
        <v>71</v>
      </c>
      <c r="I19" s="146"/>
      <c r="J19" s="146"/>
      <c r="K19" s="215" t="n">
        <f aca="false">M9+1</f>
        <v>44535</v>
      </c>
      <c r="L19" s="149" t="s">
        <v>74</v>
      </c>
      <c r="M19" s="150" t="n">
        <f aca="false">K19+6</f>
        <v>44541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37</v>
      </c>
      <c r="F29" s="144"/>
      <c r="G29" s="144"/>
      <c r="H29" s="146" t="s">
        <v>71</v>
      </c>
      <c r="I29" s="146"/>
      <c r="J29" s="146"/>
      <c r="K29" s="215" t="n">
        <f aca="false">M19+1</f>
        <v>44542</v>
      </c>
      <c r="L29" s="149" t="s">
        <v>74</v>
      </c>
      <c r="M29" s="150" t="n">
        <f aca="false">K29+6</f>
        <v>44548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38</v>
      </c>
      <c r="F39" s="144"/>
      <c r="G39" s="144"/>
      <c r="H39" s="146" t="s">
        <v>71</v>
      </c>
      <c r="I39" s="146"/>
      <c r="J39" s="146"/>
      <c r="K39" s="215" t="n">
        <f aca="false">M29+1</f>
        <v>44549</v>
      </c>
      <c r="L39" s="149" t="s">
        <v>74</v>
      </c>
      <c r="M39" s="150" t="n">
        <f aca="false">K39+6</f>
        <v>44555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70</v>
      </c>
      <c r="C48" s="135"/>
      <c r="D48" s="135"/>
      <c r="E48" s="135"/>
      <c r="F48" s="136"/>
      <c r="G48" s="136"/>
      <c r="H48" s="136"/>
      <c r="I48" s="136"/>
      <c r="J48" s="136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72</v>
      </c>
      <c r="C49" s="146"/>
      <c r="D49" s="146"/>
      <c r="E49" s="147" t="n">
        <v>39</v>
      </c>
      <c r="F49" s="144"/>
      <c r="G49" s="144"/>
      <c r="H49" s="146" t="s">
        <v>71</v>
      </c>
      <c r="I49" s="146"/>
      <c r="J49" s="146"/>
      <c r="K49" s="215" t="n">
        <f aca="false">M39+1</f>
        <v>44556</v>
      </c>
      <c r="L49" s="149" t="s">
        <v>74</v>
      </c>
      <c r="M49" s="150" t="n">
        <f aca="false">K49+6</f>
        <v>44562</v>
      </c>
      <c r="N49" s="151"/>
      <c r="O49" s="198" t="s">
        <v>77</v>
      </c>
      <c r="P49" s="198"/>
      <c r="Q49" s="198"/>
      <c r="R49" s="198"/>
      <c r="S49" s="144"/>
      <c r="T49" s="199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IF(Employee!D$28="m","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IF(T$49="Y",H41,0)</f>
        <v>0</v>
      </c>
      <c r="I51" s="168" t="n">
        <f aca="false">IF(T$49="Y",I41,0)</f>
        <v>0</v>
      </c>
      <c r="J51" s="168" t="n">
        <f aca="false">IF(T$49="Y",J41,0)</f>
        <v>0</v>
      </c>
      <c r="K51" s="168" t="n">
        <f aca="false">IF(T$49="Y",K41,I51*J51)</f>
        <v>0</v>
      </c>
      <c r="L51" s="166" t="n">
        <f aca="false">IF(T$49="Y",L41,0)</f>
        <v>0</v>
      </c>
      <c r="M51" s="170" t="str">
        <f aca="false">IF(E51=" "," ",IF(T$49="Y",M41,IF((H51+K51+L51)&gt;0,H51+K51+L51,"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IF(Employee!H$34=E$49,Employee!D$34+SUM(M51)+V41,SUM(M51)+V41)</f>
        <v>0</v>
      </c>
      <c r="W51" s="172" t="n">
        <f aca="false">IF(Employee!H$34=E$49,Employee!D$35+SUM(N51)+W41,SUM(N51)+W41)</f>
        <v>0</v>
      </c>
      <c r="X51" s="172" t="n">
        <f aca="false">IF(O51=" ",X41,O51+X41)</f>
        <v>0</v>
      </c>
      <c r="Y51" s="172" t="n">
        <f aca="false">IF(P51=0,Y41,P51+Y41)</f>
        <v>0</v>
      </c>
      <c r="Z51" s="172" t="n">
        <f aca="false">IF(Q51=0,Z41,Q51+Z41)</f>
        <v>0</v>
      </c>
      <c r="AA51" s="172" t="n">
        <f aca="false">IF(R51=" ",AA41,AA41+R51)</f>
        <v>0</v>
      </c>
      <c r="AC51" s="172" t="e">
        <f aca="false">IF(T51=" ",AC41,T51+AC41)</f>
        <v>#N/A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IF(Employee!D$54="m","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IF(T$49="Y",H42,0)</f>
        <v>0</v>
      </c>
      <c r="I52" s="177" t="n">
        <f aca="false">IF(T$49="Y",I42,0)</f>
        <v>0</v>
      </c>
      <c r="J52" s="177" t="n">
        <f aca="false">IF(T$49="Y",J42,0)</f>
        <v>0</v>
      </c>
      <c r="K52" s="177" t="n">
        <f aca="false">IF(T$49="Y",K42,I52*J52)</f>
        <v>0</v>
      </c>
      <c r="L52" s="179" t="n">
        <f aca="false">IF(T$49="Y",L42,0)</f>
        <v>0</v>
      </c>
      <c r="M52" s="180" t="str">
        <f aca="false">IF(E52=" "," ",IF(T$49="Y",M42,IF((H52+K52+L52)&gt;0,H52+K52+L52,"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IF(Employee!H$60=E$49,Employee!D$60+SUM(M52)+V42,SUM(M52)+V42)</f>
        <v>0</v>
      </c>
      <c r="W52" s="172" t="n">
        <f aca="false">IF(Employee!H$60=E$49,Employee!D$61+SUM(N52)+W42,SUM(N52)+W42)</f>
        <v>0</v>
      </c>
      <c r="X52" s="172" t="n">
        <f aca="false">IF(O52=" ",X42,O52+X42)</f>
        <v>0</v>
      </c>
      <c r="Y52" s="172" t="n">
        <f aca="false">IF(P52=0,Y42,P52+Y42)</f>
        <v>0</v>
      </c>
      <c r="Z52" s="172" t="n">
        <f aca="false">IF(Q52=0,Z42,Q52+Z42)</f>
        <v>0</v>
      </c>
      <c r="AA52" s="172" t="n">
        <f aca="false">IF(R52=" ",AA42,AA42+R52)</f>
        <v>0</v>
      </c>
      <c r="AC52" s="172" t="n">
        <f aca="false">IF(T52=" ",AC42,T52+AC42)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IF(Employee!D$80="m","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IF(T$49="Y",H43,0)</f>
        <v>0</v>
      </c>
      <c r="I53" s="177" t="n">
        <f aca="false">IF(T$49="Y",I43,0)</f>
        <v>0</v>
      </c>
      <c r="J53" s="177" t="n">
        <f aca="false">IF(T$49="Y",J43,0)</f>
        <v>0</v>
      </c>
      <c r="K53" s="177" t="n">
        <f aca="false">IF(T$49="Y",K43,I53*J53)</f>
        <v>0</v>
      </c>
      <c r="L53" s="179" t="n">
        <f aca="false">IF(T$49="Y",L43,0)</f>
        <v>0</v>
      </c>
      <c r="M53" s="180" t="str">
        <f aca="false">IF(E53=" "," ",IF(T$49="Y",M43,IF((H53+K53+L53)&gt;0,H53+K53+L53,"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IF(Employee!H$86=E$49,Employee!D$86+SUM(M53)+V43,SUM(M53)+V43)</f>
        <v>0</v>
      </c>
      <c r="W53" s="172" t="n">
        <f aca="false">IF(Employee!H$86=E$49,Employee!D$87+SUM(N53)+W43,SUM(N53)+W43)</f>
        <v>0</v>
      </c>
      <c r="X53" s="172" t="n">
        <f aca="false">IF(O53=" ",X43,O53+X43)</f>
        <v>0</v>
      </c>
      <c r="Y53" s="172" t="n">
        <f aca="false">IF(P53=0,Y43,P53+Y43)</f>
        <v>0</v>
      </c>
      <c r="Z53" s="172" t="n">
        <f aca="false">IF(Q53=0,Z43,Q53+Z43)</f>
        <v>0</v>
      </c>
      <c r="AA53" s="172" t="n">
        <f aca="false">IF(R53=" ",AA43,AA43+R53)</f>
        <v>0</v>
      </c>
      <c r="AC53" s="172" t="n">
        <f aca="false">IF(T53=" ",AC43,T53+AC43)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IF(Employee!D$106="m","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IF(T$49="Y",H44,0)</f>
        <v>0</v>
      </c>
      <c r="I54" s="177" t="n">
        <f aca="false">IF(T$49="Y",I44,0)</f>
        <v>0</v>
      </c>
      <c r="J54" s="177" t="n">
        <f aca="false">IF(T$49="Y",J44,0)</f>
        <v>0</v>
      </c>
      <c r="K54" s="177" t="n">
        <f aca="false">IF(T$49="Y",K44,I54*J54)</f>
        <v>0</v>
      </c>
      <c r="L54" s="179" t="n">
        <f aca="false">IF(T$49="Y",L44,0)</f>
        <v>0</v>
      </c>
      <c r="M54" s="180" t="str">
        <f aca="false">IF(E54=" "," ",IF(T$49="Y",M44,IF((H54+K54+L54)&gt;0,H54+K54+L54,"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IF(Employee!H$112=E$49,Employee!D$112+SUM(M54)+V44,SUM(M54)+V44)</f>
        <v>0</v>
      </c>
      <c r="W54" s="172" t="n">
        <f aca="false">IF(Employee!H$112=E$49,Employee!D$113+SUM(N54)+W44,SUM(N54)+W44)</f>
        <v>0</v>
      </c>
      <c r="X54" s="172" t="n">
        <f aca="false">IF(O54=" ",X44,O54+X44)</f>
        <v>0</v>
      </c>
      <c r="Y54" s="172" t="n">
        <f aca="false">IF(P54=0,Y44,P54+Y44)</f>
        <v>0</v>
      </c>
      <c r="Z54" s="172" t="n">
        <f aca="false">IF(Q54=0,Z44,Q54+Z44)</f>
        <v>0</v>
      </c>
      <c r="AA54" s="172" t="n">
        <f aca="false">IF(R54=" ",AA44,AA44+R54)</f>
        <v>0</v>
      </c>
      <c r="AC54" s="172" t="n">
        <f aca="false">IF(T54=" ",AC44,T54+AC44)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IF(Employee!D$132="m","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IF(T$49="Y",H45,0)</f>
        <v>0</v>
      </c>
      <c r="I55" s="182" t="n">
        <f aca="false">IF(T$49="Y",I45,0)</f>
        <v>0</v>
      </c>
      <c r="J55" s="182" t="n">
        <f aca="false">IF(T$49="Y",J45,0)</f>
        <v>0</v>
      </c>
      <c r="K55" s="182" t="n">
        <f aca="false">IF(T$49="Y",K45,I55*J55)</f>
        <v>0</v>
      </c>
      <c r="L55" s="183" t="n">
        <f aca="false">IF(T$49="Y",L45,0)</f>
        <v>0</v>
      </c>
      <c r="M55" s="180" t="str">
        <f aca="false">IF(E55=" "," ",IF(T$49="Y",M45,IF((H55+K55+L55)&gt;0,H55+K55+L55,"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IF(Employee!H$138=E$49,Employee!D$138+SUM(M55)+V45,SUM(M55)+V45)</f>
        <v>0</v>
      </c>
      <c r="W55" s="172" t="n">
        <f aca="false">IF(Employee!H$138=E$49,Employee!D$139+SUM(N55)+W45,SUM(N55)+W45)</f>
        <v>0</v>
      </c>
      <c r="X55" s="172" t="n">
        <f aca="false">IF(O55=" ",X45,O55+X45)</f>
        <v>0</v>
      </c>
      <c r="Y55" s="172" t="n">
        <f aca="false">IF(P55=0,Y45,P55+Y45)</f>
        <v>0</v>
      </c>
      <c r="Z55" s="172" t="n">
        <f aca="false">IF(Q55=0,Z45,Q55+Z45)</f>
        <v>0</v>
      </c>
      <c r="AA55" s="172" t="n">
        <f aca="false">IF(R55=" ",AA45,AA45+R55)</f>
        <v>0</v>
      </c>
      <c r="AC55" s="172" t="n">
        <f aca="false">IF(T55=" ",AC45,T55+AC45)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s="127" customFormat="true" ht="24" hidden="false" customHeight="true" outlineLevel="0" collapsed="false">
      <c r="A57" s="196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9"/>
      <c r="V57" s="130"/>
      <c r="W57" s="130"/>
      <c r="X57" s="130"/>
      <c r="Y57" s="131"/>
      <c r="Z57" s="130"/>
      <c r="AA57" s="130"/>
      <c r="AB57" s="132"/>
      <c r="AC57" s="130"/>
      <c r="AD57" s="101"/>
      <c r="AE57" s="101"/>
      <c r="AF57" s="101"/>
      <c r="AG57" s="101"/>
      <c r="AH57" s="144"/>
    </row>
    <row r="58" customFormat="false" ht="18" hidden="false" customHeight="true" outlineLevel="0" collapsed="false">
      <c r="A58" s="134"/>
      <c r="B58" s="135" t="s">
        <v>78</v>
      </c>
      <c r="C58" s="135"/>
      <c r="D58" s="135"/>
      <c r="E58" s="135"/>
      <c r="F58" s="136"/>
      <c r="G58" s="136"/>
      <c r="H58" s="140"/>
      <c r="I58" s="140"/>
      <c r="J58" s="140"/>
      <c r="K58" s="139"/>
      <c r="L58" s="139"/>
      <c r="M58" s="140"/>
      <c r="N58" s="136"/>
      <c r="O58" s="141" t="s">
        <v>71</v>
      </c>
      <c r="P58" s="141"/>
      <c r="Q58" s="141"/>
      <c r="R58" s="197"/>
      <c r="S58" s="197"/>
      <c r="T58" s="197"/>
      <c r="U58" s="143"/>
      <c r="AD58" s="262"/>
      <c r="AE58" s="262"/>
      <c r="AF58" s="262"/>
      <c r="AG58" s="262"/>
      <c r="AH58" s="144"/>
    </row>
    <row r="59" customFormat="false" ht="18" hidden="false" customHeight="true" outlineLevel="0" collapsed="false">
      <c r="A59" s="145"/>
      <c r="B59" s="146" t="s">
        <v>79</v>
      </c>
      <c r="C59" s="146"/>
      <c r="D59" s="146"/>
      <c r="E59" s="147" t="n">
        <v>9</v>
      </c>
      <c r="F59" s="144"/>
      <c r="G59" s="144"/>
      <c r="H59" s="146" t="s">
        <v>71</v>
      </c>
      <c r="I59" s="146"/>
      <c r="J59" s="146"/>
      <c r="K59" s="215" t="n">
        <f aca="false">Admin!B241</f>
        <v>44531</v>
      </c>
      <c r="L59" s="149" t="s">
        <v>74</v>
      </c>
      <c r="M59" s="150" t="n">
        <f aca="false">Admin!B271</f>
        <v>44561</v>
      </c>
      <c r="N59" s="151"/>
      <c r="O59" s="198" t="s">
        <v>85</v>
      </c>
      <c r="P59" s="198"/>
      <c r="Q59" s="198"/>
      <c r="R59" s="198"/>
      <c r="S59" s="144"/>
      <c r="T59" s="245"/>
      <c r="U59" s="153"/>
      <c r="AH59" s="144"/>
    </row>
    <row r="60" customFormat="false" ht="18" hidden="false" customHeight="true" outlineLevel="0" collapsed="false">
      <c r="A60" s="145"/>
      <c r="B60" s="209"/>
      <c r="C60" s="210"/>
      <c r="D60" s="210"/>
      <c r="E60" s="211"/>
      <c r="F60" s="144"/>
      <c r="G60" s="144"/>
      <c r="H60" s="152"/>
      <c r="I60" s="152"/>
      <c r="J60" s="152"/>
      <c r="K60" s="157"/>
      <c r="L60" s="157"/>
      <c r="M60" s="152"/>
      <c r="N60" s="144"/>
      <c r="O60" s="152"/>
      <c r="P60" s="152"/>
      <c r="Q60" s="152"/>
      <c r="R60" s="152"/>
      <c r="S60" s="144"/>
      <c r="T60" s="152"/>
      <c r="U60" s="153"/>
      <c r="AH60" s="144"/>
    </row>
    <row r="61" customFormat="false" ht="18" hidden="false" customHeight="true" outlineLevel="0" collapsed="false">
      <c r="A61" s="145"/>
      <c r="B61" s="159" t="str">
        <f aca="false">IF(E61=" "," ",IF(Employee!F$24&gt;E$59," ",IF(Employee!F$26&lt;E$59," ",Employee!D$30)))</f>
        <v> </v>
      </c>
      <c r="C61" s="160"/>
      <c r="D61" s="160" t="s">
        <v>75</v>
      </c>
      <c r="E61" s="213" t="str">
        <f aca="false">IF(Employee!D$28="w"," ",IF(Employee!F$24&gt;E$59," ",IF(Employee!F$26&lt;E$59," ",Employee!D$29)))</f>
        <v> </v>
      </c>
      <c r="F61" s="162" t="str">
        <f aca="false">IF(E61=" "," ",IF(Employee!F$24&gt;E$59," ",IF(Employee!F$26&lt;E$59," ",Employee!D$15)))</f>
        <v> </v>
      </c>
      <c r="G61" s="212"/>
      <c r="H61" s="164" t="n">
        <f aca="false">IF(T$59="Y",Nov!H51,0)</f>
        <v>0</v>
      </c>
      <c r="I61" s="168" t="n">
        <f aca="false">IF(T$59="Y",Nov!I51,0)</f>
        <v>0</v>
      </c>
      <c r="J61" s="168" t="n">
        <f aca="false">IF(T$59="Y",Nov!J51,0)</f>
        <v>0</v>
      </c>
      <c r="K61" s="168" t="n">
        <f aca="false">IF(T$59="Y",Nov!K51,I61*J61)</f>
        <v>0</v>
      </c>
      <c r="L61" s="166" t="n">
        <f aca="false">IF(T$59="Y",Nov!L51,0)</f>
        <v>0</v>
      </c>
      <c r="M61" s="170" t="str">
        <f aca="false">IF(E61=" "," ",IF(T$59="Y",Nov!M51,IF((H61+K61+L61)&gt;0,H61+K61+L61," ")))</f>
        <v> </v>
      </c>
      <c r="N61" s="164" t="n">
        <v>0</v>
      </c>
      <c r="O61" s="168" t="n">
        <v>0</v>
      </c>
      <c r="P61" s="168" t="n">
        <v>0</v>
      </c>
      <c r="Q61" s="166" t="n">
        <v>0</v>
      </c>
      <c r="R61" s="252" t="str">
        <f aca="false">IF(M61=" "," ",IF(M61=0," ",M61-SUM(N61:Q61)))</f>
        <v> </v>
      </c>
      <c r="S61" s="107"/>
      <c r="T61" s="170" t="n">
        <v>0</v>
      </c>
      <c r="U61" s="171"/>
      <c r="V61" s="172" t="n">
        <f aca="false">IF(Employee!H$35=E$59,Employee!D$34+SUM(M61)+Nov!V51,SUM(M61)+Nov!V51)</f>
        <v>0</v>
      </c>
      <c r="W61" s="172" t="n">
        <f aca="false">IF(Employee!H$35=E$59,Employee!D$35+SUM(N61)+Nov!W51,SUM(N61)+Nov!W51)</f>
        <v>0</v>
      </c>
      <c r="X61" s="172" t="n">
        <f aca="false">IF(O61=" ",Nov!X51,O61+Nov!X51)</f>
        <v>0</v>
      </c>
      <c r="Y61" s="172" t="n">
        <f aca="false">IF(P61=" ",Nov!Y51,P61+Nov!Y51)</f>
        <v>0</v>
      </c>
      <c r="Z61" s="172" t="n">
        <f aca="false">IF(Q61=" ",Nov!Z51,Q61+Nov!Z51)</f>
        <v>0</v>
      </c>
      <c r="AA61" s="172" t="n">
        <f aca="false">IF(R61=" ",Nov!AA51,R61+Nov!AA51)</f>
        <v>0</v>
      </c>
      <c r="AC61" s="172" t="n">
        <f aca="false">IF(T61=" ",Nov!AC51,T61+Nov!AC51)</f>
        <v>0</v>
      </c>
      <c r="AD61" s="101" t="n">
        <f aca="false">IF(G61="SSP",H61,0)</f>
        <v>0</v>
      </c>
      <c r="AE61" s="101" t="n">
        <f aca="false">IF(G61="SMP",H61,0)</f>
        <v>0</v>
      </c>
      <c r="AF61" s="101" t="n">
        <f aca="false">IF(G61="SPP",H61,0)</f>
        <v>0</v>
      </c>
      <c r="AG61" s="101" t="n">
        <f aca="false">IF(G61="SAP",H61,0)</f>
        <v>0</v>
      </c>
      <c r="AH61" s="144"/>
    </row>
    <row r="62" customFormat="false" ht="18" hidden="false" customHeight="true" outlineLevel="0" collapsed="false">
      <c r="A62" s="145"/>
      <c r="B62" s="173" t="str">
        <f aca="false">IF(E62=" "," ",IF(Employee!F$50&gt;E$59," ",IF(Employee!F$52&lt;E$59," ",Employee!D$56)))</f>
        <v> </v>
      </c>
      <c r="C62" s="160"/>
      <c r="D62" s="160" t="s">
        <v>75</v>
      </c>
      <c r="E62" s="214" t="str">
        <f aca="false">IF(Employee!D$54="w"," ",IF(Employee!F$50&gt;E$59," ",IF(Employee!F$52&lt;E$59," ",Employee!D$55)))</f>
        <v> </v>
      </c>
      <c r="F62" s="175" t="str">
        <f aca="false">IF(E62=" "," ",IF(Employee!F$50&gt;E$59," ",IF(Employee!F$52&lt;E$59," ",Employee!D$41)))</f>
        <v> </v>
      </c>
      <c r="G62" s="212"/>
      <c r="H62" s="176" t="n">
        <f aca="false">IF(T$59="Y",Nov!H52,0)</f>
        <v>0</v>
      </c>
      <c r="I62" s="177" t="n">
        <f aca="false">IF(T$59="Y",Nov!I52,0)</f>
        <v>0</v>
      </c>
      <c r="J62" s="177" t="n">
        <f aca="false">IF(T$59="Y",Nov!J52,0)</f>
        <v>0</v>
      </c>
      <c r="K62" s="177" t="n">
        <f aca="false">IF(T$59="Y",Nov!K52,I62*J62)</f>
        <v>0</v>
      </c>
      <c r="L62" s="179" t="n">
        <f aca="false">IF(T$59="Y",Nov!L52,0)</f>
        <v>0</v>
      </c>
      <c r="M62" s="180" t="str">
        <f aca="false">IF(E62=" "," ",IF(T$59="Y",Nov!M52,IF((H62+K62+L62)&gt;0,H62+K62+L62," ")))</f>
        <v> </v>
      </c>
      <c r="N62" s="176" t="n">
        <v>0</v>
      </c>
      <c r="O62" s="177" t="n">
        <v>0</v>
      </c>
      <c r="P62" s="177" t="n">
        <v>0</v>
      </c>
      <c r="Q62" s="179" t="n">
        <v>0</v>
      </c>
      <c r="R62" s="253" t="str">
        <f aca="false">IF(M62=" "," ",IF(M62=0," ",M62-SUM(N62:Q62)))</f>
        <v> </v>
      </c>
      <c r="S62" s="107"/>
      <c r="T62" s="180" t="n">
        <v>0</v>
      </c>
      <c r="U62" s="171"/>
      <c r="V62" s="172" t="n">
        <f aca="false">IF(Employee!H$61=E$59,Employee!D$60+SUM(M62)+Nov!V52,SUM(M62)+Nov!V52)</f>
        <v>0</v>
      </c>
      <c r="W62" s="172" t="n">
        <f aca="false">IF(Employee!H$61=E$59,Employee!D$61+SUM(N62)+Nov!W52,SUM(N62)+Nov!W52)</f>
        <v>0</v>
      </c>
      <c r="X62" s="172" t="n">
        <f aca="false">IF(O62=" ",Nov!X52,O62+Nov!X52)</f>
        <v>0</v>
      </c>
      <c r="Y62" s="172" t="n">
        <f aca="false">IF(P62=" ",Nov!Y52,P62+Nov!Y52)</f>
        <v>0</v>
      </c>
      <c r="Z62" s="172" t="n">
        <f aca="false">IF(Q62=" ",Nov!Z52,Q62+Nov!Z52)</f>
        <v>0</v>
      </c>
      <c r="AA62" s="172" t="n">
        <f aca="false">IF(R62=" ",Nov!AA52,R62+Nov!AA52)</f>
        <v>0</v>
      </c>
      <c r="AC62" s="172" t="n">
        <f aca="false">IF(T62=" ",Nov!AC52,T62+Nov!AC52)</f>
        <v>0</v>
      </c>
      <c r="AD62" s="101" t="n">
        <f aca="false">IF(G62="SSP",H62,0)</f>
        <v>0</v>
      </c>
      <c r="AE62" s="101" t="n">
        <f aca="false">IF(G62="SMP",H62,0)</f>
        <v>0</v>
      </c>
      <c r="AF62" s="101" t="n">
        <f aca="false">IF(G62="SPP",H62,0)</f>
        <v>0</v>
      </c>
      <c r="AG62" s="101" t="n">
        <f aca="false">IF(G62="SAP",H62,0)</f>
        <v>0</v>
      </c>
      <c r="AH62" s="144"/>
    </row>
    <row r="63" customFormat="false" ht="18" hidden="false" customHeight="true" outlineLevel="0" collapsed="false">
      <c r="A63" s="145"/>
      <c r="B63" s="173" t="str">
        <f aca="false">IF(E63=" "," ",IF(Employee!F$76&gt;E$59," ",IF(Employee!F$78&lt;E$59," ",Employee!D$82)))</f>
        <v> </v>
      </c>
      <c r="C63" s="160"/>
      <c r="D63" s="160" t="s">
        <v>75</v>
      </c>
      <c r="E63" s="214" t="str">
        <f aca="false">IF(Employee!D$80="w"," ",IF(Employee!F$76&gt;E$59," ",IF(Employee!F$78&lt;E$59," ",Employee!D$81)))</f>
        <v> </v>
      </c>
      <c r="F63" s="175" t="str">
        <f aca="false">IF(E63=" "," ",IF(Employee!F$76&gt;E$59," ",IF(Employee!F$78&lt;E$59," ",Employee!D$67)))</f>
        <v> </v>
      </c>
      <c r="G63" s="212"/>
      <c r="H63" s="176" t="n">
        <f aca="false">IF(T$59="Y",Nov!H53,0)</f>
        <v>0</v>
      </c>
      <c r="I63" s="177" t="n">
        <f aca="false">IF(T$59="Y",Nov!I53,0)</f>
        <v>0</v>
      </c>
      <c r="J63" s="177" t="n">
        <f aca="false">IF(T$59="Y",Nov!J53,0)</f>
        <v>0</v>
      </c>
      <c r="K63" s="177" t="n">
        <f aca="false">IF(T$59="Y",Nov!K53,I63*J63)</f>
        <v>0</v>
      </c>
      <c r="L63" s="179" t="n">
        <f aca="false">IF(T$59="Y",Nov!L53,0)</f>
        <v>0</v>
      </c>
      <c r="M63" s="180" t="str">
        <f aca="false">IF(E63=" "," ",IF(T$59="Y",Nov!M53,IF((H63+K63+L63)&gt;0,H63+K63+L63," ")))</f>
        <v> </v>
      </c>
      <c r="N63" s="176" t="n">
        <v>0</v>
      </c>
      <c r="O63" s="177" t="n">
        <v>0</v>
      </c>
      <c r="P63" s="177" t="n">
        <v>0</v>
      </c>
      <c r="Q63" s="179" t="n">
        <v>0</v>
      </c>
      <c r="R63" s="253" t="str">
        <f aca="false">IF(M63=" "," ",IF(M63=0," ",M63-SUM(N63:Q63)))</f>
        <v> </v>
      </c>
      <c r="S63" s="107"/>
      <c r="T63" s="180" t="n">
        <v>0</v>
      </c>
      <c r="U63" s="171"/>
      <c r="V63" s="172" t="n">
        <f aca="false">IF(Employee!H$87=E$59,Employee!D$86+SUM(M63)+Nov!V53,SUM(M63)+Nov!V53)</f>
        <v>0</v>
      </c>
      <c r="W63" s="172" t="n">
        <f aca="false">IF(Employee!H$87=E$59,Employee!D$87+SUM(N63)+Nov!W53,SUM(N63)+Nov!W53)</f>
        <v>0</v>
      </c>
      <c r="X63" s="172" t="n">
        <f aca="false">IF(O63=" ",Nov!X53,O63+Nov!X53)</f>
        <v>0</v>
      </c>
      <c r="Y63" s="172" t="n">
        <f aca="false">IF(P63=" ",Nov!Y53,P63+Nov!Y53)</f>
        <v>0</v>
      </c>
      <c r="Z63" s="172" t="n">
        <f aca="false">IF(Q63=" ",Nov!Z53,Q63+Nov!Z53)</f>
        <v>0</v>
      </c>
      <c r="AA63" s="172" t="n">
        <f aca="false">IF(R63=" ",Nov!AA53,R63+Nov!AA53)</f>
        <v>0</v>
      </c>
      <c r="AC63" s="172" t="n">
        <f aca="false">IF(T63=" ",Nov!AC53,T63+Nov!AC53)</f>
        <v>0</v>
      </c>
      <c r="AD63" s="101" t="n">
        <f aca="false">IF(G63="SSP",H63,0)</f>
        <v>0</v>
      </c>
      <c r="AE63" s="101" t="n">
        <f aca="false">IF(G63="SMP",H63,0)</f>
        <v>0</v>
      </c>
      <c r="AF63" s="101" t="n">
        <f aca="false">IF(G63="SPP",H63,0)</f>
        <v>0</v>
      </c>
      <c r="AG63" s="101" t="n">
        <f aca="false">IF(G63="SAP",H63,0)</f>
        <v>0</v>
      </c>
      <c r="AH63" s="144"/>
    </row>
    <row r="64" customFormat="false" ht="18" hidden="false" customHeight="true" outlineLevel="0" collapsed="false">
      <c r="A64" s="145"/>
      <c r="B64" s="173" t="str">
        <f aca="false">IF(E64=" "," ",IF(Employee!F$102&gt;E$59," ",IF(Employee!F$104&lt;E$59," ",Employee!D$108)))</f>
        <v> </v>
      </c>
      <c r="C64" s="160"/>
      <c r="D64" s="160" t="s">
        <v>75</v>
      </c>
      <c r="E64" s="214" t="str">
        <f aca="false">IF(Employee!D$106="w"," ",IF(Employee!F$102&gt;E$59," ",IF(Employee!F$104&lt;E$59," ",Employee!D$107)))</f>
        <v> </v>
      </c>
      <c r="F64" s="175" t="str">
        <f aca="false">IF(E64=" "," ",IF(Employee!F$102&gt;E$59," ",IF(Employee!F$104&lt;E$59," ",Employee!D$93)))</f>
        <v> </v>
      </c>
      <c r="G64" s="212"/>
      <c r="H64" s="176" t="n">
        <f aca="false">IF(T$59="Y",Nov!H54,0)</f>
        <v>0</v>
      </c>
      <c r="I64" s="177" t="n">
        <f aca="false">IF(T$59="Y",Nov!I54,0)</f>
        <v>0</v>
      </c>
      <c r="J64" s="177" t="n">
        <f aca="false">IF(T$59="Y",Nov!J54,0)</f>
        <v>0</v>
      </c>
      <c r="K64" s="177" t="n">
        <f aca="false">IF(T$59="Y",Nov!K54,I64*J64)</f>
        <v>0</v>
      </c>
      <c r="L64" s="179" t="n">
        <f aca="false">IF(T$59="Y",Nov!L54,0)</f>
        <v>0</v>
      </c>
      <c r="M64" s="180" t="str">
        <f aca="false">IF(E64=" "," ",IF(T$59="Y",Nov!M54,IF((H64+K64+L64)&gt;0,H64+K64+L64," ")))</f>
        <v> </v>
      </c>
      <c r="N64" s="176" t="n">
        <v>0</v>
      </c>
      <c r="O64" s="177" t="n">
        <v>0</v>
      </c>
      <c r="P64" s="177" t="n">
        <v>0</v>
      </c>
      <c r="Q64" s="179" t="n">
        <v>0</v>
      </c>
      <c r="R64" s="253" t="str">
        <f aca="false">IF(M64=" "," ",IF(M64=0," ",M64-SUM(N64:Q64)))</f>
        <v> </v>
      </c>
      <c r="S64" s="107"/>
      <c r="T64" s="180" t="n">
        <v>0</v>
      </c>
      <c r="U64" s="171"/>
      <c r="V64" s="172" t="n">
        <f aca="false">IF(Employee!H$113=E$59,Employee!D$112+SUM(M64)+Nov!V54,SUM(M64)+Nov!V54)</f>
        <v>0</v>
      </c>
      <c r="W64" s="172" t="n">
        <f aca="false">IF(Employee!H$113=E$59,Employee!D$113+SUM(N64)+Nov!W54,SUM(N64)+Nov!W54)</f>
        <v>0</v>
      </c>
      <c r="X64" s="172" t="n">
        <f aca="false">IF(O64=" ",Nov!X54,O64+Nov!X54)</f>
        <v>0</v>
      </c>
      <c r="Y64" s="172" t="n">
        <f aca="false">IF(P64=" ",Nov!Y54,P64+Nov!Y54)</f>
        <v>0</v>
      </c>
      <c r="Z64" s="172" t="n">
        <f aca="false">IF(Q64=" ",Nov!Z54,Q64+Nov!Z54)</f>
        <v>0</v>
      </c>
      <c r="AA64" s="172" t="n">
        <f aca="false">IF(R64=" ",Nov!AA54,R64+Nov!AA54)</f>
        <v>0</v>
      </c>
      <c r="AC64" s="172" t="n">
        <f aca="false">IF(T64=" ",Nov!AC54,T64+Nov!AC54)</f>
        <v>0</v>
      </c>
      <c r="AD64" s="101" t="n">
        <f aca="false">IF(G64="SSP",H64,0)</f>
        <v>0</v>
      </c>
      <c r="AE64" s="101" t="n">
        <f aca="false">IF(G64="SMP",H64,0)</f>
        <v>0</v>
      </c>
      <c r="AF64" s="101" t="n">
        <f aca="false">IF(G64="SPP",H64,0)</f>
        <v>0</v>
      </c>
      <c r="AG64" s="101" t="n">
        <f aca="false">IF(G64="SAP",H64,0)</f>
        <v>0</v>
      </c>
      <c r="AH64" s="144"/>
    </row>
    <row r="65" customFormat="false" ht="18" hidden="false" customHeight="true" outlineLevel="0" collapsed="false">
      <c r="A65" s="145"/>
      <c r="B65" s="173" t="str">
        <f aca="false">IF(E65=" "," ",IF(Employee!F$128&gt;E$59," ",IF(Employee!F$130&lt;E$59," ",Employee!D$134)))</f>
        <v> </v>
      </c>
      <c r="C65" s="160"/>
      <c r="D65" s="160" t="s">
        <v>75</v>
      </c>
      <c r="E65" s="214" t="str">
        <f aca="false">IF(Employee!D$132="w"," ",IF(Employee!F$128&gt;E$59," ",IF(Employee!F$130&lt;E$59," ",Employee!D$133)))</f>
        <v> </v>
      </c>
      <c r="F65" s="175" t="str">
        <f aca="false">IF(E65=" "," ",IF(Employee!F$128&gt;E$59," ",IF(Employee!F$130&lt;E$59," ",Employee!D$119)))</f>
        <v> </v>
      </c>
      <c r="G65" s="212"/>
      <c r="H65" s="181" t="n">
        <f aca="false">IF(T$59="Y",Nov!H55,0)</f>
        <v>0</v>
      </c>
      <c r="I65" s="182" t="n">
        <f aca="false">IF(T$59="Y",Nov!I55,0)</f>
        <v>0</v>
      </c>
      <c r="J65" s="182" t="n">
        <f aca="false">IF(T$59="Y",Nov!J55,0)</f>
        <v>0</v>
      </c>
      <c r="K65" s="182" t="n">
        <f aca="false">IF(T$59="Y",Nov!K55,I65*J65)</f>
        <v>0</v>
      </c>
      <c r="L65" s="183" t="n">
        <f aca="false">IF(T$59="Y",Nov!L55,0)</f>
        <v>0</v>
      </c>
      <c r="M65" s="180" t="str">
        <f aca="false">IF(E65=" "," ",IF(T$59="Y",Nov!M55,IF((H65+K65+L65)&gt;0,H65+K65+L65," ")))</f>
        <v> </v>
      </c>
      <c r="N65" s="181" t="n">
        <v>0</v>
      </c>
      <c r="O65" s="182" t="n">
        <v>0</v>
      </c>
      <c r="P65" s="182" t="n">
        <v>0</v>
      </c>
      <c r="Q65" s="183" t="n">
        <v>0</v>
      </c>
      <c r="R65" s="253" t="str">
        <f aca="false">IF(M65=" "," ",IF(M65=0," ",M65-SUM(N65:Q65)))</f>
        <v> </v>
      </c>
      <c r="S65" s="107"/>
      <c r="T65" s="184" t="n">
        <v>0</v>
      </c>
      <c r="U65" s="171"/>
      <c r="V65" s="172" t="n">
        <f aca="false">IF(Employee!H$139=E$59,Employee!D$138+SUM(M65)+Nov!V55,SUM(M65)+Nov!V55)</f>
        <v>0</v>
      </c>
      <c r="W65" s="172" t="n">
        <f aca="false">IF(Employee!H$139=E$59,Employee!D$139+SUM(N65)+Nov!W55,SUM(N65)+Nov!W55)</f>
        <v>0</v>
      </c>
      <c r="X65" s="172" t="n">
        <f aca="false">IF(O65=" ",Nov!X55,O65+Nov!X55)</f>
        <v>0</v>
      </c>
      <c r="Y65" s="172" t="n">
        <f aca="false">IF(P65=" ",Nov!Y55,P65+Nov!Y55)</f>
        <v>0</v>
      </c>
      <c r="Z65" s="172" t="n">
        <f aca="false">IF(Q65=" ",Nov!Z55,Q65+Nov!Z55)</f>
        <v>0</v>
      </c>
      <c r="AA65" s="172" t="n">
        <f aca="false">IF(R65=" ",Nov!AA55,R65+Nov!AA55)</f>
        <v>0</v>
      </c>
      <c r="AC65" s="172" t="n">
        <f aca="false">IF(T65=" ",Nov!AC55,T65+Nov!AC55)</f>
        <v>0</v>
      </c>
      <c r="AD65" s="101" t="n">
        <f aca="false">IF(G65="SSP",H65,0)</f>
        <v>0</v>
      </c>
      <c r="AE65" s="101" t="n">
        <f aca="false">IF(G65="SMP",H65,0)</f>
        <v>0</v>
      </c>
      <c r="AF65" s="101" t="n">
        <f aca="false">IF(G65="SPP",H65,0)</f>
        <v>0</v>
      </c>
      <c r="AG65" s="101" t="n">
        <f aca="false">IF(G65="SAP",H65,0)</f>
        <v>0</v>
      </c>
      <c r="AH65" s="144"/>
    </row>
    <row r="66" customFormat="false" ht="18" hidden="false" customHeight="true" outlineLevel="0" collapsed="false">
      <c r="A66" s="185"/>
      <c r="B66" s="186"/>
      <c r="C66" s="187"/>
      <c r="D66" s="187"/>
      <c r="E66" s="188"/>
      <c r="F66" s="207" t="s">
        <v>76</v>
      </c>
      <c r="G66" s="207"/>
      <c r="H66" s="242"/>
      <c r="I66" s="243"/>
      <c r="J66" s="243"/>
      <c r="K66" s="244"/>
      <c r="L66" s="244"/>
      <c r="M66" s="193" t="n">
        <f aca="false">SUM(M61:M65)</f>
        <v>0</v>
      </c>
      <c r="N66" s="193" t="n">
        <f aca="false">SUM(N61:N65)</f>
        <v>0</v>
      </c>
      <c r="O66" s="193" t="n">
        <f aca="false">SUM(O61:O65)</f>
        <v>0</v>
      </c>
      <c r="P66" s="193" t="n">
        <f aca="false">SUM(P61:P65)</f>
        <v>0</v>
      </c>
      <c r="Q66" s="193" t="n">
        <f aca="false">SUM(Q61:Q65)</f>
        <v>0</v>
      </c>
      <c r="R66" s="193" t="n">
        <f aca="false">SUM(R61:R65)</f>
        <v>0</v>
      </c>
      <c r="S66" s="107"/>
      <c r="T66" s="193" t="n">
        <f aca="false">SUM(T61:T65)</f>
        <v>0</v>
      </c>
      <c r="U66" s="195"/>
      <c r="V66" s="172"/>
      <c r="AH66" s="144"/>
    </row>
    <row r="67" customFormat="false" ht="24" hidden="false" customHeight="true" outlineLevel="0" collapsed="false"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44"/>
    </row>
    <row r="68" customFormat="false" ht="12.75" hidden="false" customHeight="true" outlineLevel="0" collapsed="false">
      <c r="AD68" s="217" t="n">
        <f aca="false">SUM(AD11:AD66)</f>
        <v>0</v>
      </c>
      <c r="AE68" s="217" t="n">
        <f aca="false">SUM(AE11:AE66)</f>
        <v>0</v>
      </c>
      <c r="AF68" s="217" t="n">
        <f aca="false">SUM(AF11:AF66)</f>
        <v>0</v>
      </c>
      <c r="AG68" s="217" t="n">
        <f aca="false">SUM(AG11:AG66)</f>
        <v>0</v>
      </c>
    </row>
    <row r="69" customFormat="false" ht="13.5" hidden="false" customHeight="true" outlineLevel="0" collapsed="false">
      <c r="F69" s="218" t="s">
        <v>82</v>
      </c>
      <c r="G69" s="219"/>
      <c r="H69" s="219"/>
      <c r="M69" s="220" t="s">
        <v>83</v>
      </c>
      <c r="N69" s="220"/>
      <c r="O69" s="220"/>
      <c r="P69" s="220"/>
      <c r="Q69" s="220"/>
      <c r="R69" s="220"/>
      <c r="T69" s="221"/>
    </row>
    <row r="70" customFormat="false" ht="12.75" hidden="false" customHeight="true" outlineLevel="0" collapsed="false">
      <c r="F70" s="222" t="str">
        <f aca="false">IF(B61="D",Employee!D15," ")</f>
        <v> </v>
      </c>
      <c r="M70" s="223" t="str">
        <f aca="false">IF(B61="D",M61," ")</f>
        <v> </v>
      </c>
      <c r="N70" s="224" t="str">
        <f aca="false">IF(B61="D",N61," ")</f>
        <v> </v>
      </c>
      <c r="O70" s="224" t="str">
        <f aca="false">IF(B61="D",O61," ")</f>
        <v> </v>
      </c>
      <c r="P70" s="224" t="str">
        <f aca="false">IF(B61="D",P61," ")</f>
        <v> </v>
      </c>
      <c r="Q70" s="224" t="str">
        <f aca="false">IF(B61="D",Q61," ")</f>
        <v> </v>
      </c>
      <c r="R70" s="225" t="str">
        <f aca="false">IF(B61="D",R61," ")</f>
        <v> </v>
      </c>
      <c r="S70" s="226"/>
      <c r="T70" s="227" t="str">
        <f aca="false">IF(B61="D",T61," ")</f>
        <v> </v>
      </c>
      <c r="AD70" s="228" t="n">
        <f aca="false">IF((AD68-(O1+T1)*0.13)&gt;0,AD68-(Q1+T1)*0.13,0)</f>
        <v>0</v>
      </c>
      <c r="AE70" s="228" t="n">
        <f aca="false">AE68</f>
        <v>0</v>
      </c>
      <c r="AF70" s="228" t="n">
        <f aca="false">AF68</f>
        <v>0</v>
      </c>
      <c r="AG70" s="228" t="n">
        <f aca="false">AG68</f>
        <v>0</v>
      </c>
    </row>
    <row r="71" customFormat="false" ht="12.75" hidden="false" customHeight="false" outlineLevel="0" collapsed="false">
      <c r="F71" s="222" t="str">
        <f aca="false">IF(B62="D",Employee!D41," ")</f>
        <v> </v>
      </c>
      <c r="M71" s="229" t="str">
        <f aca="false">IF(B62="D",M62," ")</f>
        <v> </v>
      </c>
      <c r="N71" s="230" t="str">
        <f aca="false">IF(B62="D",N62," ")</f>
        <v> </v>
      </c>
      <c r="O71" s="230" t="str">
        <f aca="false">IF(B62="D",O62," ")</f>
        <v> </v>
      </c>
      <c r="P71" s="230" t="str">
        <f aca="false">IF(B62="D",P62," ")</f>
        <v> </v>
      </c>
      <c r="Q71" s="230" t="str">
        <f aca="false">IF(B62="D",Q62," ")</f>
        <v> </v>
      </c>
      <c r="R71" s="231" t="str">
        <f aca="false">IF(B62="D",R62," ")</f>
        <v> </v>
      </c>
      <c r="S71" s="226"/>
      <c r="T71" s="232" t="str">
        <f aca="false">IF(B62="D",T62," ")</f>
        <v> </v>
      </c>
    </row>
    <row r="72" customFormat="false" ht="12.75" hidden="false" customHeight="true" outlineLevel="0" collapsed="false">
      <c r="F72" s="222" t="str">
        <f aca="false">IF(B63="D",Employee!D67," ")</f>
        <v> </v>
      </c>
      <c r="M72" s="229" t="str">
        <f aca="false">IF(B63="D",M63," ")</f>
        <v> </v>
      </c>
      <c r="N72" s="230" t="str">
        <f aca="false">IF(B63="D",N63," ")</f>
        <v> </v>
      </c>
      <c r="O72" s="230" t="str">
        <f aca="false">IF(B63="D",O63," ")</f>
        <v> </v>
      </c>
      <c r="P72" s="230" t="str">
        <f aca="false">IF(B63="D",P63," ")</f>
        <v> </v>
      </c>
      <c r="Q72" s="230" t="str">
        <f aca="false">IF(B63="D",Q63," ")</f>
        <v> </v>
      </c>
      <c r="R72" s="231" t="str">
        <f aca="false">IF(B63="D",R63," ")</f>
        <v> </v>
      </c>
      <c r="S72" s="226"/>
      <c r="T72" s="232" t="str">
        <f aca="false">IF(B63="D",T63," ")</f>
        <v> </v>
      </c>
      <c r="AD72" s="233"/>
      <c r="AE72" s="228" t="n">
        <f aca="false">AE70*0.045</f>
        <v>0</v>
      </c>
      <c r="AF72" s="228" t="n">
        <f aca="false">AF70*0.045</f>
        <v>0</v>
      </c>
      <c r="AG72" s="228" t="n">
        <f aca="false">AG70*0.045</f>
        <v>0</v>
      </c>
    </row>
    <row r="73" customFormat="false" ht="12.75" hidden="false" customHeight="false" outlineLevel="0" collapsed="false">
      <c r="F73" s="222" t="str">
        <f aca="false">IF(B64="D",Employee!D93," ")</f>
        <v> </v>
      </c>
      <c r="M73" s="229" t="str">
        <f aca="false">IF(B64="D",M64," ")</f>
        <v> </v>
      </c>
      <c r="N73" s="230" t="str">
        <f aca="false">IF(B64="D",N64," ")</f>
        <v> </v>
      </c>
      <c r="O73" s="230" t="str">
        <f aca="false">IF(B64="D",O64," ")</f>
        <v> </v>
      </c>
      <c r="P73" s="230" t="str">
        <f aca="false">IF(B64="D",P64," ")</f>
        <v> </v>
      </c>
      <c r="Q73" s="230" t="str">
        <f aca="false">IF(B64="D",Q64," ")</f>
        <v> </v>
      </c>
      <c r="R73" s="231" t="str">
        <f aca="false">IF(B64="D",R64," ")</f>
        <v> </v>
      </c>
      <c r="S73" s="226"/>
      <c r="T73" s="232" t="str">
        <f aca="false">IF(B64="D",T64," ")</f>
        <v> </v>
      </c>
    </row>
    <row r="74" customFormat="false" ht="12.75" hidden="false" customHeight="false" outlineLevel="0" collapsed="false">
      <c r="F74" s="222" t="str">
        <f aca="false">IF(B65="D",Employee!D119," ")</f>
        <v> </v>
      </c>
      <c r="M74" s="234" t="str">
        <f aca="false">IF(B65="D",M65," ")</f>
        <v> </v>
      </c>
      <c r="N74" s="235" t="str">
        <f aca="false">IF(B65="D",N65," ")</f>
        <v> </v>
      </c>
      <c r="O74" s="235" t="str">
        <f aca="false">IF(B65="D",O65," ")</f>
        <v> </v>
      </c>
      <c r="P74" s="235" t="str">
        <f aca="false">IF(B65="D",P65," ")</f>
        <v> </v>
      </c>
      <c r="Q74" s="235" t="str">
        <f aca="false">IF(B65="D",Q65," ")</f>
        <v> </v>
      </c>
      <c r="R74" s="236" t="str">
        <f aca="false">IF(B65="D",R65," ")</f>
        <v> </v>
      </c>
      <c r="S74" s="226"/>
      <c r="T74" s="237" t="str">
        <f aca="false">IF(B65="D",T65," ")</f>
        <v> </v>
      </c>
    </row>
    <row r="75" customFormat="false" ht="12.75" hidden="false" customHeight="false" outlineLevel="0" collapsed="false">
      <c r="F75" s="238" t="s">
        <v>84</v>
      </c>
      <c r="M75" s="239" t="n">
        <f aca="false">SUM(M70:M74)</f>
        <v>0</v>
      </c>
      <c r="N75" s="239" t="n">
        <f aca="false">SUM(N70:N74)</f>
        <v>0</v>
      </c>
      <c r="O75" s="239" t="n">
        <f aca="false">SUM(O70:O74)</f>
        <v>0</v>
      </c>
      <c r="P75" s="239" t="n">
        <f aca="false">SUM(P70:P74)</f>
        <v>0</v>
      </c>
      <c r="Q75" s="239" t="n">
        <f aca="false">SUM(Q70:Q74)</f>
        <v>0</v>
      </c>
      <c r="R75" s="239" t="n">
        <f aca="false">SUM(R70:R74)</f>
        <v>0</v>
      </c>
      <c r="S75" s="226"/>
      <c r="T75" s="239" t="n">
        <f aca="false">SUM(T70:T74)</f>
        <v>0</v>
      </c>
      <c r="AD75" s="240" t="n">
        <f aca="false">AD70+Nov!AD65</f>
        <v>0</v>
      </c>
      <c r="AE75" s="240" t="n">
        <f aca="false">AE70+Nov!AE65</f>
        <v>0</v>
      </c>
      <c r="AF75" s="240" t="n">
        <f aca="false">AF70+Nov!AF65</f>
        <v>0</v>
      </c>
      <c r="AG75" s="240" t="n">
        <f aca="false">AG70+Nov!AG65</f>
        <v>0</v>
      </c>
    </row>
    <row r="77" customFormat="false" ht="12.75" hidden="false" customHeight="false" outlineLevel="0" collapsed="false">
      <c r="AD77" s="233"/>
      <c r="AE77" s="240" t="n">
        <f aca="false">AE72+Nov!AE67</f>
        <v>0</v>
      </c>
      <c r="AF77" s="240" t="n">
        <f aca="false">AF72+Nov!AF67</f>
        <v>0</v>
      </c>
      <c r="AG77" s="240" t="n">
        <f aca="false">AG72+Nov!AG67</f>
        <v>0</v>
      </c>
    </row>
  </sheetData>
  <mergeCells count="87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B58:E58"/>
    <mergeCell ref="O58:Q58"/>
    <mergeCell ref="R58:T58"/>
    <mergeCell ref="B59:D59"/>
    <mergeCell ref="H59:J59"/>
    <mergeCell ref="O59:R59"/>
    <mergeCell ref="F66:G66"/>
    <mergeCell ref="B67:T67"/>
    <mergeCell ref="M69:R69"/>
  </mergeCells>
  <dataValidations count="1">
    <dataValidation allowBlank="true" errorStyle="stop" operator="between" showDropDown="false" showErrorMessage="true" showInputMessage="false" sqref="G11:G15 G21:G25 G31:G35 G41:G45 G51:G55 G61:G6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40</v>
      </c>
      <c r="F9" s="144"/>
      <c r="G9" s="144"/>
      <c r="H9" s="146" t="s">
        <v>71</v>
      </c>
      <c r="I9" s="146"/>
      <c r="J9" s="146"/>
      <c r="K9" s="215" t="n">
        <f aca="false">Dec!M49+1</f>
        <v>44563</v>
      </c>
      <c r="L9" s="149" t="s">
        <v>74</v>
      </c>
      <c r="M9" s="150" t="n">
        <f aca="false">K9+6</f>
        <v>44569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IF(T$9="Y",Dec!H51,0)</f>
        <v>0</v>
      </c>
      <c r="I11" s="168" t="n">
        <f aca="false">IF(T$9="Y",Dec!I51,0)</f>
        <v>0</v>
      </c>
      <c r="J11" s="168" t="n">
        <f aca="false">IF(T$9="Y",Dec!J51,0)</f>
        <v>0</v>
      </c>
      <c r="K11" s="168" t="n">
        <f aca="false">IF(T$9="Y",Dec!K51,I11*J11)</f>
        <v>0</v>
      </c>
      <c r="L11" s="166" t="n">
        <f aca="false">IF(T$9="Y",Dec!L51,0)</f>
        <v>0</v>
      </c>
      <c r="M11" s="166" t="str">
        <f aca="false">IF(E11=" "," ",IF(T$9="Y",Dec!M51,IF((H11+K11+L11)&gt;0,H11+K11+L11,"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IF(Employee!H$34=E$9,Employee!D$34+SUM(M11)+Dec!V51,SUM(M11)+Dec!V51)</f>
        <v>0</v>
      </c>
      <c r="W11" s="172" t="n">
        <f aca="false">IF(Employee!H$34=E$9,Employee!D$35+SUM(N11)+Dec!W51,SUM(N11)+Dec!W51)</f>
        <v>0</v>
      </c>
      <c r="X11" s="172" t="n">
        <f aca="false">IF(O11=" ",Dec!X51,O11+Dec!X51)</f>
        <v>0</v>
      </c>
      <c r="Y11" s="172" t="n">
        <f aca="false">IF(P11=" ",Dec!Y51,P11+Dec!Y51)</f>
        <v>0</v>
      </c>
      <c r="Z11" s="172" t="n">
        <f aca="false">IF(Q11=" ",Dec!Z51,Q11+Dec!Z51)</f>
        <v>0</v>
      </c>
      <c r="AA11" s="172" t="n">
        <f aca="false">IF(R11=" ",Dec!AA51,R11+Dec!AA51)</f>
        <v>0</v>
      </c>
      <c r="AC11" s="172" t="e">
        <f aca="false">IF(T11=" ",Dec!AC51,T11+Dec!AC51)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IF(T$9="Y",Dec!H52,0)</f>
        <v>0</v>
      </c>
      <c r="I12" s="177" t="n">
        <f aca="false">IF(T$9="Y",Dec!I52,0)</f>
        <v>0</v>
      </c>
      <c r="J12" s="177" t="n">
        <f aca="false">IF(T$9="Y",Dec!J52,0)</f>
        <v>0</v>
      </c>
      <c r="K12" s="177" t="n">
        <f aca="false">IF(T$9="Y",Dec!K52,I12*J12)</f>
        <v>0</v>
      </c>
      <c r="L12" s="179" t="n">
        <f aca="false">IF(T$9="Y",Dec!L52,0)</f>
        <v>0</v>
      </c>
      <c r="M12" s="179" t="str">
        <f aca="false">IF(E12=" "," ",IF(T$9="Y",Dec!M52,IF((H12+K12+L12)&gt;0,H12+K12+L12,"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IF(Employee!H$60=E$9,Employee!D$60+SUM(M12)+Dec!V52,SUM(M12)+Dec!V52)</f>
        <v>0</v>
      </c>
      <c r="W12" s="172" t="n">
        <f aca="false">IF(Employee!H$60=E$9,Employee!D$61+SUM(N12)+Dec!W52,SUM(N12)+Dec!W52)</f>
        <v>0</v>
      </c>
      <c r="X12" s="172" t="n">
        <f aca="false">IF(O12=" ",Dec!X52,O12+Dec!X52)</f>
        <v>0</v>
      </c>
      <c r="Y12" s="172" t="n">
        <f aca="false">IF(P12=" ",Dec!Y52,P12+Dec!Y52)</f>
        <v>0</v>
      </c>
      <c r="Z12" s="172" t="n">
        <f aca="false">IF(Q12=" ",Dec!Z52,Q12+Dec!Z52)</f>
        <v>0</v>
      </c>
      <c r="AA12" s="172" t="n">
        <f aca="false">IF(R12=" ",Dec!AA52,R12+Dec!AA52)</f>
        <v>0</v>
      </c>
      <c r="AC12" s="172" t="n">
        <f aca="false">IF(T12=" ",Dec!AC52,T12+Dec!AC52)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IF(T$9="Y",Dec!H53,0)</f>
        <v>0</v>
      </c>
      <c r="I13" s="177" t="n">
        <f aca="false">IF(T$9="Y",Dec!I53,0)</f>
        <v>0</v>
      </c>
      <c r="J13" s="177" t="n">
        <f aca="false">IF(T$9="Y",Dec!J53,0)</f>
        <v>0</v>
      </c>
      <c r="K13" s="177" t="n">
        <f aca="false">IF(T$9="Y",Dec!K53,I13*J13)</f>
        <v>0</v>
      </c>
      <c r="L13" s="179" t="n">
        <f aca="false">IF(T$9="Y",Dec!L53,0)</f>
        <v>0</v>
      </c>
      <c r="M13" s="179" t="str">
        <f aca="false">IF(E13=" "," ",IF(T$9="Y",Dec!M53,IF((H13+K13+L13)&gt;0,H13+K13+L13,"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IF(Employee!H$86=E$9,Employee!D$86+SUM(M13)+Dec!V53,SUM(M13)+Dec!V53)</f>
        <v>0</v>
      </c>
      <c r="W13" s="172" t="n">
        <f aca="false">IF(Employee!H$86=E$9,Employee!D$87+SUM(N13)+Dec!W53,SUM(N13)+Dec!W53)</f>
        <v>0</v>
      </c>
      <c r="X13" s="172" t="n">
        <f aca="false">IF(O13=" ",Dec!X53,O13+Dec!X53)</f>
        <v>0</v>
      </c>
      <c r="Y13" s="172" t="n">
        <f aca="false">IF(P13=" ",Dec!Y53,P13+Dec!Y53)</f>
        <v>0</v>
      </c>
      <c r="Z13" s="172" t="n">
        <f aca="false">IF(Q13=" ",Dec!Z53,Q13+Dec!Z53)</f>
        <v>0</v>
      </c>
      <c r="AA13" s="172" t="n">
        <f aca="false">IF(R13=" ",Dec!AA53,R13+Dec!AA53)</f>
        <v>0</v>
      </c>
      <c r="AC13" s="172" t="n">
        <f aca="false">IF(T13=" ",Dec!AC53,T13+Dec!AC53)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IF(T$9="Y",Dec!H54,0)</f>
        <v>0</v>
      </c>
      <c r="I14" s="177" t="n">
        <f aca="false">IF(T$9="Y",Dec!I54,0)</f>
        <v>0</v>
      </c>
      <c r="J14" s="177" t="n">
        <f aca="false">IF(T$9="Y",Dec!J54,0)</f>
        <v>0</v>
      </c>
      <c r="K14" s="177" t="n">
        <f aca="false">IF(T$9="Y",Dec!K54,I14*J14)</f>
        <v>0</v>
      </c>
      <c r="L14" s="179" t="n">
        <f aca="false">IF(T$9="Y",Dec!L54,0)</f>
        <v>0</v>
      </c>
      <c r="M14" s="179" t="str">
        <f aca="false">IF(E14=" "," ",IF(T$9="Y",Dec!M54,IF((H14+K14+L14)&gt;0,H14+K14+L14,"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IF(Employee!H$112=E$9,Employee!D$112+SUM(M14)+Dec!V54,SUM(M14)+Dec!V54)</f>
        <v>0</v>
      </c>
      <c r="W14" s="172" t="n">
        <f aca="false">IF(Employee!H$112=E$9,Employee!D$113+SUM(N14)+Dec!W54,SUM(N14)+Dec!W54)</f>
        <v>0</v>
      </c>
      <c r="X14" s="172" t="n">
        <f aca="false">IF(O14=" ",Dec!X54,O14+Dec!X54)</f>
        <v>0</v>
      </c>
      <c r="Y14" s="172" t="n">
        <f aca="false">IF(P14=" ",Dec!Y54,P14+Dec!Y54)</f>
        <v>0</v>
      </c>
      <c r="Z14" s="172" t="n">
        <f aca="false">IF(Q14=" ",Dec!Z54,Q14+Dec!Z54)</f>
        <v>0</v>
      </c>
      <c r="AA14" s="172" t="n">
        <f aca="false">IF(R14=" ",Dec!AA54,R14+Dec!AA54)</f>
        <v>0</v>
      </c>
      <c r="AC14" s="172" t="n">
        <f aca="false">IF(T14=" ",Dec!AC54,T14+Dec!AC54)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IF(T$9="Y",Dec!H55,0)</f>
        <v>0</v>
      </c>
      <c r="I15" s="182" t="n">
        <f aca="false">IF(T$9="Y",Dec!I55,0)</f>
        <v>0</v>
      </c>
      <c r="J15" s="182" t="n">
        <f aca="false">IF(T$9="Y",Dec!J55,0)</f>
        <v>0</v>
      </c>
      <c r="K15" s="182" t="n">
        <f aca="false">IF(T$9="Y",Dec!K55,I15*J15)</f>
        <v>0</v>
      </c>
      <c r="L15" s="183" t="n">
        <f aca="false">IF(T$9="Y",Dec!L55,0)</f>
        <v>0</v>
      </c>
      <c r="M15" s="179" t="str">
        <f aca="false">IF(E15=" "," ",IF(T$9="Y",Dec!M55,IF((H15+K15+L15)&gt;0,H15+K15+L15,"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IF(Employee!H$138=E$9,Employee!D$138+SUM(M15)+Dec!V55,SUM(M15)+Dec!V55)</f>
        <v>0</v>
      </c>
      <c r="W15" s="172" t="n">
        <f aca="false">IF(Employee!H$138=E$9,Employee!D$139+SUM(N15)+Dec!W55,SUM(N15)+Dec!W55)</f>
        <v>0</v>
      </c>
      <c r="X15" s="172" t="n">
        <f aca="false">IF(O15=" ",Dec!X55,O15+Dec!X55)</f>
        <v>0</v>
      </c>
      <c r="Y15" s="172" t="n">
        <f aca="false">IF(P15=" ",Dec!Y55,P15+Dec!Y55)</f>
        <v>0</v>
      </c>
      <c r="Z15" s="172" t="n">
        <f aca="false">IF(Q15=" ",Dec!Z55,Q15+Dec!Z55)</f>
        <v>0</v>
      </c>
      <c r="AA15" s="172" t="n">
        <f aca="false">IF(R15=" ",Dec!AA55,R15+Dec!AA55)</f>
        <v>0</v>
      </c>
      <c r="AC15" s="172" t="n">
        <f aca="false">IF(T15=" ",Dec!AC55,T15+Dec!AC55)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41</v>
      </c>
      <c r="F19" s="144"/>
      <c r="G19" s="144"/>
      <c r="H19" s="146" t="s">
        <v>71</v>
      </c>
      <c r="I19" s="146"/>
      <c r="J19" s="146"/>
      <c r="K19" s="215" t="n">
        <f aca="false">M9+1</f>
        <v>44570</v>
      </c>
      <c r="L19" s="149" t="s">
        <v>74</v>
      </c>
      <c r="M19" s="150" t="n">
        <f aca="false">K19+6</f>
        <v>44576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42</v>
      </c>
      <c r="F29" s="144"/>
      <c r="G29" s="144"/>
      <c r="H29" s="146" t="s">
        <v>71</v>
      </c>
      <c r="I29" s="146"/>
      <c r="J29" s="146"/>
      <c r="K29" s="215" t="n">
        <f aca="false">M19+1</f>
        <v>44577</v>
      </c>
      <c r="L29" s="149" t="s">
        <v>74</v>
      </c>
      <c r="M29" s="150" t="n">
        <f aca="false">K29+6</f>
        <v>44583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43</v>
      </c>
      <c r="F39" s="144"/>
      <c r="G39" s="144"/>
      <c r="H39" s="146" t="s">
        <v>71</v>
      </c>
      <c r="I39" s="146"/>
      <c r="J39" s="146"/>
      <c r="K39" s="215" t="n">
        <f aca="false">M29+1</f>
        <v>44584</v>
      </c>
      <c r="L39" s="149" t="s">
        <v>74</v>
      </c>
      <c r="M39" s="150" t="n">
        <f aca="false">K39+6</f>
        <v>44590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10</v>
      </c>
      <c r="F49" s="144"/>
      <c r="G49" s="144"/>
      <c r="H49" s="146" t="s">
        <v>71</v>
      </c>
      <c r="I49" s="146"/>
      <c r="J49" s="146"/>
      <c r="K49" s="215" t="n">
        <f aca="false">Admin!B272</f>
        <v>44562</v>
      </c>
      <c r="L49" s="149" t="s">
        <v>74</v>
      </c>
      <c r="M49" s="150" t="n">
        <f aca="false">Admin!B302</f>
        <v>44592</v>
      </c>
      <c r="N49" s="151"/>
      <c r="O49" s="198" t="s">
        <v>85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IF(T$49="Y",Dec!H61,0)</f>
        <v>0</v>
      </c>
      <c r="I51" s="168" t="n">
        <f aca="false">IF(T$49="Y",Dec!I61,0)</f>
        <v>0</v>
      </c>
      <c r="J51" s="168" t="n">
        <f aca="false">IF(T$49="Y",Dec!J61,0)</f>
        <v>0</v>
      </c>
      <c r="K51" s="168" t="n">
        <f aca="false">IF(T$49="Y",Dec!K61,I51*J51)</f>
        <v>0</v>
      </c>
      <c r="L51" s="166" t="n">
        <f aca="false">IF(T$49="Y",Dec!L61,0)</f>
        <v>0</v>
      </c>
      <c r="M51" s="170" t="str">
        <f aca="false">IF(E51=" "," ",IF(T$49="Y",Dec!M61,IF((H51+K51+L51)&gt;0,H51+K51+L51,"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252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IF(Employee!H$35=E$49,Employee!D$34+SUM(M51)+Dec!V61,SUM(M51)+Dec!V61)</f>
        <v>0</v>
      </c>
      <c r="W51" s="172" t="n">
        <f aca="false">IF(Employee!H$35=E$49,Employee!D$35+SUM(N51)+Dec!W61,SUM(N51)+Dec!W61)</f>
        <v>0</v>
      </c>
      <c r="X51" s="172" t="n">
        <f aca="false">IF(O51=" ",Dec!X61,O51+Dec!X61)</f>
        <v>0</v>
      </c>
      <c r="Y51" s="172" t="n">
        <f aca="false">IF(P51=" ",Dec!Y61,P51+Dec!Y61)</f>
        <v>0</v>
      </c>
      <c r="Z51" s="172" t="n">
        <f aca="false">IF(Q51=" ",Dec!Z61,Q51+Dec!Z61)</f>
        <v>0</v>
      </c>
      <c r="AA51" s="172" t="n">
        <f aca="false">IF(R51=" ",Dec!AA61,R51+Dec!AA61)</f>
        <v>0</v>
      </c>
      <c r="AC51" s="172" t="n">
        <f aca="false">IF(T51=" ",Dec!AC61,T51+Dec!AC61)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IF(T$49="Y",Dec!H62,0)</f>
        <v>0</v>
      </c>
      <c r="I52" s="177" t="n">
        <f aca="false">IF(T$49="Y",Dec!I62,0)</f>
        <v>0</v>
      </c>
      <c r="J52" s="177" t="n">
        <f aca="false">IF(T$49="Y",Dec!J62,0)</f>
        <v>0</v>
      </c>
      <c r="K52" s="177" t="n">
        <f aca="false">IF(T$49="Y",Dec!K62,I52*J52)</f>
        <v>0</v>
      </c>
      <c r="L52" s="179" t="n">
        <f aca="false">IF(T$49="Y",Dec!L62,0)</f>
        <v>0</v>
      </c>
      <c r="M52" s="180" t="str">
        <f aca="false">IF(E52=" "," ",IF(T$49="Y",Dec!M62,IF((H52+K52+L52)&gt;0,H52+K52+L52,"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253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IF(Employee!H$61=E$49,Employee!D$60+SUM(M52)+Dec!V62,SUM(M52)+Dec!V62)</f>
        <v>0</v>
      </c>
      <c r="W52" s="172" t="n">
        <f aca="false">IF(Employee!H$61=E$49,Employee!D$61+SUM(N52)+Dec!W62,SUM(N52)+Dec!W62)</f>
        <v>0</v>
      </c>
      <c r="X52" s="172" t="n">
        <f aca="false">IF(O52=" ",Dec!X62,O52+Dec!X62)</f>
        <v>0</v>
      </c>
      <c r="Y52" s="172" t="n">
        <f aca="false">IF(P52=" ",Dec!Y62,P52+Dec!Y62)</f>
        <v>0</v>
      </c>
      <c r="Z52" s="172" t="n">
        <f aca="false">IF(Q52=" ",Dec!Z62,Q52+Dec!Z62)</f>
        <v>0</v>
      </c>
      <c r="AA52" s="172" t="n">
        <f aca="false">IF(R52=" ",Dec!AA62,R52+Dec!AA62)</f>
        <v>0</v>
      </c>
      <c r="AC52" s="172" t="n">
        <f aca="false">IF(T52=" ",Dec!AC62,T52+Dec!AC62)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IF(T$49="Y",Dec!H63,0)</f>
        <v>0</v>
      </c>
      <c r="I53" s="177" t="n">
        <f aca="false">IF(T$49="Y",Dec!I63,0)</f>
        <v>0</v>
      </c>
      <c r="J53" s="177" t="n">
        <f aca="false">IF(T$49="Y",Dec!J63,0)</f>
        <v>0</v>
      </c>
      <c r="K53" s="177" t="n">
        <f aca="false">IF(T$49="Y",Dec!K63,I53*J53)</f>
        <v>0</v>
      </c>
      <c r="L53" s="179" t="n">
        <f aca="false">IF(T$49="Y",Dec!L63,0)</f>
        <v>0</v>
      </c>
      <c r="M53" s="180" t="str">
        <f aca="false">IF(E53=" "," ",IF(T$49="Y",Dec!M63,IF((H53+K53+L53)&gt;0,H53+K53+L53,"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IF(Employee!H$87=E$49,Employee!D$86+SUM(M53)+Dec!V63,SUM(M53)+Dec!V63)</f>
        <v>0</v>
      </c>
      <c r="W53" s="172" t="n">
        <f aca="false">IF(Employee!H$87=E$49,Employee!D$87+SUM(N53)+Dec!W63,SUM(N53)+Dec!W63)</f>
        <v>0</v>
      </c>
      <c r="X53" s="172" t="n">
        <f aca="false">IF(O53=" ",Dec!X63,O53+Dec!X63)</f>
        <v>0</v>
      </c>
      <c r="Y53" s="172" t="n">
        <f aca="false">IF(P53=" ",Dec!Y63,P53+Dec!Y63)</f>
        <v>0</v>
      </c>
      <c r="Z53" s="172" t="n">
        <f aca="false">IF(Q53=" ",Dec!Z63,Q53+Dec!Z63)</f>
        <v>0</v>
      </c>
      <c r="AA53" s="172" t="n">
        <f aca="false">IF(R53=" ",Dec!AA63,R53+Dec!AA63)</f>
        <v>0</v>
      </c>
      <c r="AC53" s="172" t="n">
        <f aca="false">IF(T53=" ",Dec!AC63,T53+Dec!AC63)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IF(T$49="Y",Dec!H64,0)</f>
        <v>0</v>
      </c>
      <c r="I54" s="177" t="n">
        <f aca="false">IF(T$49="Y",Dec!I64,0)</f>
        <v>0</v>
      </c>
      <c r="J54" s="177" t="n">
        <f aca="false">IF(T$49="Y",Dec!J64,0)</f>
        <v>0</v>
      </c>
      <c r="K54" s="177" t="n">
        <f aca="false">IF(T$49="Y",Dec!K64,I54*J54)</f>
        <v>0</v>
      </c>
      <c r="L54" s="179" t="n">
        <f aca="false">IF(T$49="Y",Dec!L64,0)</f>
        <v>0</v>
      </c>
      <c r="M54" s="180" t="str">
        <f aca="false">IF(E54=" "," ",IF(T$49="Y",Dec!M64,IF((H54+K54+L54)&gt;0,H54+K54+L54,"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IF(Employee!H$113=E$49,Employee!D$112+SUM(M54)+Dec!V64,SUM(M54)+Dec!V64)</f>
        <v>0</v>
      </c>
      <c r="W54" s="172" t="n">
        <f aca="false">IF(Employee!H$113=E$49,Employee!D$113+SUM(N54)+Dec!W64,SUM(N54)+Dec!W64)</f>
        <v>0</v>
      </c>
      <c r="X54" s="172" t="n">
        <f aca="false">IF(O54=" ",Dec!X64,O54+Dec!X64)</f>
        <v>0</v>
      </c>
      <c r="Y54" s="172" t="n">
        <f aca="false">IF(P54=" ",Dec!Y64,P54+Dec!Y64)</f>
        <v>0</v>
      </c>
      <c r="Z54" s="172" t="n">
        <f aca="false">IF(Q54=" ",Dec!Z64,Q54+Dec!Z64)</f>
        <v>0</v>
      </c>
      <c r="AA54" s="172" t="n">
        <f aca="false">IF(R54=" ",Dec!AA64,R54+Dec!AA64)</f>
        <v>0</v>
      </c>
      <c r="AC54" s="172" t="n">
        <f aca="false">IF(T54=" ",Dec!AC64,T54+Dec!AC64)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IF(T$49="Y",Dec!H65,0)</f>
        <v>0</v>
      </c>
      <c r="I55" s="182" t="n">
        <f aca="false">IF(T$49="Y",Dec!I65,0)</f>
        <v>0</v>
      </c>
      <c r="J55" s="182" t="n">
        <f aca="false">IF(T$49="Y",Dec!J65,0)</f>
        <v>0</v>
      </c>
      <c r="K55" s="182" t="n">
        <f aca="false">IF(T$49="Y",Dec!K65,I55*J55)</f>
        <v>0</v>
      </c>
      <c r="L55" s="183" t="n">
        <f aca="false">IF(T$49="Y",Dec!L65,0)</f>
        <v>0</v>
      </c>
      <c r="M55" s="180" t="str">
        <f aca="false">IF(E55=" "," ",IF(T$49="Y",Dec!M65,IF((H55+K55+L55)&gt;0,H55+K55+L55,"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IF(Employee!H$139=E$49,Employee!D$138+SUM(M55)+Dec!V65,SUM(M55)+Dec!V65)</f>
        <v>0</v>
      </c>
      <c r="W55" s="172" t="n">
        <f aca="false">IF(Employee!H$139=E$49,Employee!D$139+SUM(N55)+Dec!W65,SUM(N55)+Dec!W65)</f>
        <v>0</v>
      </c>
      <c r="X55" s="172" t="n">
        <f aca="false">IF(O55=" ",Dec!X65,O55+Dec!X65)</f>
        <v>0</v>
      </c>
      <c r="Y55" s="172" t="n">
        <f aca="false">IF(P55=" ",Dec!Y65,P55+Dec!Y65)</f>
        <v>0</v>
      </c>
      <c r="Z55" s="172" t="n">
        <f aca="false">IF(Q55=" ",Dec!Z65,Q55+Dec!Z65)</f>
        <v>0</v>
      </c>
      <c r="AA55" s="172" t="n">
        <f aca="false">IF(R55=" ",Dec!AA65,R55+Dec!AA65)</f>
        <v>0</v>
      </c>
      <c r="AC55" s="172" t="n">
        <f aca="false">IF(T55=" ",Dec!AC65,T55+Dec!AC65)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3.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AD60+Dec!AD75</f>
        <v>0</v>
      </c>
      <c r="AE65" s="240" t="n">
        <f aca="false">AE60+Dec!AE75</f>
        <v>0</v>
      </c>
      <c r="AF65" s="240" t="n">
        <f aca="false">AF60+Dec!AF75</f>
        <v>0</v>
      </c>
      <c r="AG65" s="240" t="n">
        <f aca="false">AG60+Dec!AG75</f>
        <v>0</v>
      </c>
    </row>
    <row r="67" customFormat="false" ht="12.75" hidden="false" customHeight="false" outlineLevel="0" collapsed="false">
      <c r="AD67" s="233"/>
      <c r="AE67" s="240" t="n">
        <f aca="false">AE62+Dec!AE77</f>
        <v>0</v>
      </c>
      <c r="AF67" s="240" t="n">
        <f aca="false">AF62+Dec!AF77</f>
        <v>0</v>
      </c>
      <c r="AG67" s="240" t="n">
        <f aca="false">AG62+Dec!AG77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241"/>
      <c r="B1" s="263" t="s">
        <v>2</v>
      </c>
      <c r="C1" s="263"/>
      <c r="D1" s="263"/>
      <c r="E1" s="263"/>
      <c r="F1" s="26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241"/>
      <c r="B2" s="263"/>
      <c r="C2" s="263"/>
      <c r="D2" s="263"/>
      <c r="E2" s="263"/>
      <c r="F2" s="26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44</v>
      </c>
      <c r="F9" s="144"/>
      <c r="G9" s="144"/>
      <c r="H9" s="146" t="s">
        <v>71</v>
      </c>
      <c r="I9" s="146"/>
      <c r="J9" s="146"/>
      <c r="K9" s="215" t="n">
        <f aca="false">Jan!M39+1</f>
        <v>44591</v>
      </c>
      <c r="L9" s="149" t="s">
        <v>74</v>
      </c>
      <c r="M9" s="150" t="n">
        <f aca="false">K9+6</f>
        <v>44597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IF(T$9="Y",Jan!H41,0)</f>
        <v>0</v>
      </c>
      <c r="I11" s="168" t="n">
        <f aca="false">IF(T$9="Y",Jan!I41,0)</f>
        <v>0</v>
      </c>
      <c r="J11" s="168" t="n">
        <f aca="false">IF(T$9="Y",Jan!J41,0)</f>
        <v>0</v>
      </c>
      <c r="K11" s="168" t="n">
        <f aca="false">IF(T$9="Y",Jan!K41,I11*J11)</f>
        <v>0</v>
      </c>
      <c r="L11" s="166" t="n">
        <f aca="false">IF(T$9="Y",Jan!L41,0)</f>
        <v>0</v>
      </c>
      <c r="M11" s="166" t="str">
        <f aca="false">IF(E11=" "," ",IF(T$9="Y",Jan!M41,IF((H11+K11+L11)&gt;0,H11+K11+L11,"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IF(Employee!H$34=E$9,Employee!D$34+SUM(M11)+Jan!V41,SUM(M11)+Jan!V41)</f>
        <v>0</v>
      </c>
      <c r="W11" s="172" t="n">
        <f aca="false">IF(Employee!H$34=E$9,Employee!D$35+SUM(N11)+Jan!W41,SUM(N11)+Jan!W41)</f>
        <v>0</v>
      </c>
      <c r="X11" s="172" t="n">
        <f aca="false">IF(O11=" ",Jan!X41,O11+Jan!X41)</f>
        <v>0</v>
      </c>
      <c r="Y11" s="172" t="n">
        <f aca="false">IF(P11=" ",Jan!Y41,P11+Jan!Y41)</f>
        <v>0</v>
      </c>
      <c r="Z11" s="172" t="n">
        <f aca="false">IF(Q11=" ",Jan!Z41,Q11+Jan!Z41)</f>
        <v>0</v>
      </c>
      <c r="AA11" s="172" t="n">
        <f aca="false">IF(R11=" ",Jan!AA41,R11+Jan!AA41)</f>
        <v>0</v>
      </c>
      <c r="AC11" s="172" t="e">
        <f aca="false">IF(T11=" ",Jan!AC41,T11+Jan!AC41)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IF(T$9="Y",Jan!H42,0)</f>
        <v>0</v>
      </c>
      <c r="I12" s="177" t="n">
        <f aca="false">IF(T$9="Y",Jan!I42,0)</f>
        <v>0</v>
      </c>
      <c r="J12" s="177" t="n">
        <f aca="false">IF(T$9="Y",Jan!J42,0)</f>
        <v>0</v>
      </c>
      <c r="K12" s="177" t="n">
        <f aca="false">IF(T$9="Y",Jan!K42,I12*J12)</f>
        <v>0</v>
      </c>
      <c r="L12" s="179" t="n">
        <f aca="false">IF(T$9="Y",Jan!L42,0)</f>
        <v>0</v>
      </c>
      <c r="M12" s="179" t="str">
        <f aca="false">IF(E12=" "," ",IF(T$9="Y",Jan!M42,IF((H12+K12+L12)&gt;0,H12+K12+L12,"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IF(Employee!H$60=E$9,Employee!D$60+SUM(M12)+Jan!V42,SUM(M12)+Jan!V42)</f>
        <v>0</v>
      </c>
      <c r="W12" s="172" t="n">
        <f aca="false">IF(Employee!H$60=E$9,Employee!D$61+SUM(N12)+Jan!W42,SUM(N12)+Jan!W42)</f>
        <v>0</v>
      </c>
      <c r="X12" s="172" t="n">
        <f aca="false">IF(O12=" ",Jan!X42,O12+Jan!X42)</f>
        <v>0</v>
      </c>
      <c r="Y12" s="172" t="n">
        <f aca="false">IF(P12=" ",Jan!Y42,P12+Jan!Y42)</f>
        <v>0</v>
      </c>
      <c r="Z12" s="172" t="n">
        <f aca="false">IF(Q12=" ",Jan!Z42,Q12+Jan!Z42)</f>
        <v>0</v>
      </c>
      <c r="AA12" s="172" t="n">
        <f aca="false">IF(R12=" ",Jan!AA42,R12+Jan!AA42)</f>
        <v>0</v>
      </c>
      <c r="AC12" s="172" t="n">
        <f aca="false">IF(T12=" ",Jan!AC42,T12+Jan!AC42)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IF(T$9="Y",Jan!H43,0)</f>
        <v>0</v>
      </c>
      <c r="I13" s="177" t="n">
        <f aca="false">IF(T$9="Y",Jan!I43,0)</f>
        <v>0</v>
      </c>
      <c r="J13" s="177" t="n">
        <f aca="false">IF(T$9="Y",Jan!J43,0)</f>
        <v>0</v>
      </c>
      <c r="K13" s="177" t="n">
        <f aca="false">IF(T$9="Y",Jan!K43,I13*J13)</f>
        <v>0</v>
      </c>
      <c r="L13" s="179" t="n">
        <f aca="false">IF(T$9="Y",Jan!L43,0)</f>
        <v>0</v>
      </c>
      <c r="M13" s="179" t="str">
        <f aca="false">IF(E13=" "," ",IF(T$9="Y",Jan!M43,IF((H13+K13+L13)&gt;0,H13+K13+L13,"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IF(Employee!H$86=E$9,Employee!D$86+SUM(M13)+Jan!V43,SUM(M13)+Jan!V43)</f>
        <v>0</v>
      </c>
      <c r="W13" s="172" t="n">
        <f aca="false">IF(Employee!H$86=E$9,Employee!D$87+SUM(N13)+Jan!W43,SUM(N13)+Jan!W43)</f>
        <v>0</v>
      </c>
      <c r="X13" s="172" t="n">
        <f aca="false">IF(O13=" ",Jan!X43,O13+Jan!X43)</f>
        <v>0</v>
      </c>
      <c r="Y13" s="172" t="n">
        <f aca="false">IF(P13=" ",Jan!Y43,P13+Jan!Y43)</f>
        <v>0</v>
      </c>
      <c r="Z13" s="172" t="n">
        <f aca="false">IF(Q13=" ",Jan!Z43,Q13+Jan!Z43)</f>
        <v>0</v>
      </c>
      <c r="AA13" s="172" t="n">
        <f aca="false">IF(R13=" ",Jan!AA43,R13+Jan!AA43)</f>
        <v>0</v>
      </c>
      <c r="AC13" s="172" t="n">
        <f aca="false">IF(T13=" ",Jan!AC43,T13+Jan!AC43)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IF(T$9="Y",Jan!H44,0)</f>
        <v>0</v>
      </c>
      <c r="I14" s="177" t="n">
        <f aca="false">IF(T$9="Y",Jan!I44,0)</f>
        <v>0</v>
      </c>
      <c r="J14" s="177" t="n">
        <f aca="false">IF(T$9="Y",Jan!J44,0)</f>
        <v>0</v>
      </c>
      <c r="K14" s="177" t="n">
        <f aca="false">IF(T$9="Y",Jan!K44,I14*J14)</f>
        <v>0</v>
      </c>
      <c r="L14" s="179" t="n">
        <f aca="false">IF(T$9="Y",Jan!L44,0)</f>
        <v>0</v>
      </c>
      <c r="M14" s="179" t="str">
        <f aca="false">IF(E14=" "," ",IF(T$9="Y",Jan!M44,IF((H14+K14+L14)&gt;0,H14+K14+L14,"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IF(Employee!H$112=E$9,Employee!D$112+SUM(M14)+Jan!V44,SUM(M14)+Jan!V44)</f>
        <v>0</v>
      </c>
      <c r="W14" s="172" t="n">
        <f aca="false">IF(Employee!H$112=E$9,Employee!D$113+SUM(N14)+Jan!W44,SUM(N14)+Jan!W44)</f>
        <v>0</v>
      </c>
      <c r="X14" s="172" t="n">
        <f aca="false">IF(O14=" ",Jan!X44,O14+Jan!X44)</f>
        <v>0</v>
      </c>
      <c r="Y14" s="172" t="n">
        <f aca="false">IF(P14=" ",Jan!Y44,P14+Jan!Y44)</f>
        <v>0</v>
      </c>
      <c r="Z14" s="172" t="n">
        <f aca="false">IF(Q14=" ",Jan!Z44,Q14+Jan!Z44)</f>
        <v>0</v>
      </c>
      <c r="AA14" s="172" t="n">
        <f aca="false">IF(R14=" ",Jan!AA44,R14+Jan!AA44)</f>
        <v>0</v>
      </c>
      <c r="AC14" s="172" t="n">
        <f aca="false">IF(T14=" ",Jan!AC44,T14+Jan!AC44)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IF(T$9="Y",Jan!H45,0)</f>
        <v>0</v>
      </c>
      <c r="I15" s="182" t="n">
        <f aca="false">IF(T$9="Y",Jan!I45,0)</f>
        <v>0</v>
      </c>
      <c r="J15" s="182" t="n">
        <f aca="false">IF(T$9="Y",Jan!J45,0)</f>
        <v>0</v>
      </c>
      <c r="K15" s="182" t="n">
        <f aca="false">IF(T$9="Y",Jan!K45,I15*J15)</f>
        <v>0</v>
      </c>
      <c r="L15" s="183" t="n">
        <f aca="false">IF(T$19="Y",Jan!L45,0)</f>
        <v>0</v>
      </c>
      <c r="M15" s="179" t="str">
        <f aca="false">IF(E15=" "," ",IF(T$9="Y",Jan!M45,IF((H15+K15+L15)&gt;0,H15+K15+L15,"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IF(Employee!H$138=E$9,Employee!D$138+SUM(M15)+Jan!V45,SUM(M15)+Jan!V45)</f>
        <v>0</v>
      </c>
      <c r="W15" s="172" t="n">
        <f aca="false">IF(Employee!H$138=E$9,Employee!D$139+SUM(N15)+Jan!W45,SUM(N15)+Jan!W45)</f>
        <v>0</v>
      </c>
      <c r="X15" s="172" t="n">
        <f aca="false">IF(O15=" ",Jan!X45,O15+Jan!X45)</f>
        <v>0</v>
      </c>
      <c r="Y15" s="172" t="n">
        <f aca="false">IF(P15=" ",Jan!Y45,P15+Jan!Y45)</f>
        <v>0</v>
      </c>
      <c r="Z15" s="172" t="n">
        <f aca="false">IF(Q15=" ",Jan!Z45,Q15+Jan!Z45)</f>
        <v>0</v>
      </c>
      <c r="AA15" s="172" t="n">
        <f aca="false">IF(R15=" ",Jan!AA45,R15+Jan!AA45)</f>
        <v>0</v>
      </c>
      <c r="AC15" s="172" t="n">
        <f aca="false">IF(T15=" ",Jan!AC45,T15+Jan!AC45)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45</v>
      </c>
      <c r="F19" s="144"/>
      <c r="G19" s="144"/>
      <c r="H19" s="146" t="s">
        <v>71</v>
      </c>
      <c r="I19" s="146"/>
      <c r="J19" s="146"/>
      <c r="K19" s="215" t="n">
        <f aca="false">M9+1</f>
        <v>44598</v>
      </c>
      <c r="L19" s="149" t="s">
        <v>74</v>
      </c>
      <c r="M19" s="150" t="n">
        <f aca="false">K19+6</f>
        <v>44604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46</v>
      </c>
      <c r="F29" s="144"/>
      <c r="G29" s="144"/>
      <c r="H29" s="146" t="s">
        <v>71</v>
      </c>
      <c r="I29" s="146"/>
      <c r="J29" s="146"/>
      <c r="K29" s="215" t="n">
        <f aca="false">M19+1</f>
        <v>44605</v>
      </c>
      <c r="L29" s="149" t="s">
        <v>74</v>
      </c>
      <c r="M29" s="150" t="n">
        <f aca="false">K29+6</f>
        <v>44611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47</v>
      </c>
      <c r="F39" s="144"/>
      <c r="G39" s="144"/>
      <c r="H39" s="146" t="s">
        <v>71</v>
      </c>
      <c r="I39" s="146"/>
      <c r="J39" s="146"/>
      <c r="K39" s="215" t="n">
        <f aca="false">M29+1</f>
        <v>44612</v>
      </c>
      <c r="L39" s="149" t="s">
        <v>74</v>
      </c>
      <c r="M39" s="150" t="n">
        <f aca="false">K39+6</f>
        <v>44618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11</v>
      </c>
      <c r="F49" s="144"/>
      <c r="G49" s="144"/>
      <c r="H49" s="146" t="s">
        <v>71</v>
      </c>
      <c r="I49" s="146"/>
      <c r="J49" s="146"/>
      <c r="K49" s="215" t="n">
        <f aca="false">Admin!B303</f>
        <v>44593</v>
      </c>
      <c r="L49" s="149" t="s">
        <v>74</v>
      </c>
      <c r="M49" s="150" t="n">
        <f aca="false">Admin!B330</f>
        <v>44620</v>
      </c>
      <c r="N49" s="151"/>
      <c r="O49" s="198" t="s">
        <v>85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IF(T$49="Y",Jan!H51,0)</f>
        <v>0</v>
      </c>
      <c r="I51" s="168" t="n">
        <f aca="false">IF(T$49="Y",Jan!I51,0)</f>
        <v>0</v>
      </c>
      <c r="J51" s="168" t="n">
        <f aca="false">IF(T$49="Y",Jan!J51,0)</f>
        <v>0</v>
      </c>
      <c r="K51" s="168" t="n">
        <f aca="false">IF(T$49="Y",Jan!K51,I51*J51)</f>
        <v>0</v>
      </c>
      <c r="L51" s="166" t="n">
        <f aca="false">IF(T$49="Y",Jan!L51,0)</f>
        <v>0</v>
      </c>
      <c r="M51" s="170" t="str">
        <f aca="false">IF(E51=" "," ",IF(T$49="Y",Jan!M51,IF((H51+K51+L51)&gt;0,H51+K51+L51,"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252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IF(Employee!H$35=E$49,Employee!D$34+SUM(M51)+Jan!V51,SUM(M51)+Jan!V51)</f>
        <v>0</v>
      </c>
      <c r="W51" s="172" t="n">
        <f aca="false">IF(Employee!H$35=E$49,Employee!D$35+SUM(N51)+Jan!W51,SUM(N51)+Jan!W51)</f>
        <v>0</v>
      </c>
      <c r="X51" s="172" t="n">
        <f aca="false">IF(O51=" ",Jan!X51,O51+Jan!X51)</f>
        <v>0</v>
      </c>
      <c r="Y51" s="172" t="n">
        <f aca="false">IF(P51=" ",Jan!Y51,P51+Jan!Y51)</f>
        <v>0</v>
      </c>
      <c r="Z51" s="172" t="n">
        <f aca="false">IF(Q51=" ",Jan!Z51,Q51+Jan!Z51)</f>
        <v>0</v>
      </c>
      <c r="AA51" s="172" t="n">
        <f aca="false">IF(R51=" ",Jan!AA51,R51+Jan!AA51)</f>
        <v>0</v>
      </c>
      <c r="AC51" s="172" t="n">
        <f aca="false">IF(T51=" ",Jan!AC51,T51+Jan!AC51)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IF(T$49="Y",Jan!H52,0)</f>
        <v>0</v>
      </c>
      <c r="I52" s="177" t="n">
        <f aca="false">IF(T$49="Y",Jan!I52,0)</f>
        <v>0</v>
      </c>
      <c r="J52" s="177" t="n">
        <f aca="false">IF(T$49="Y",Jan!J52,0)</f>
        <v>0</v>
      </c>
      <c r="K52" s="177" t="n">
        <f aca="false">IF(T$49="Y",Jan!K52,I52*J52)</f>
        <v>0</v>
      </c>
      <c r="L52" s="179" t="n">
        <f aca="false">IF(T$49="Y",Jan!L52,0)</f>
        <v>0</v>
      </c>
      <c r="M52" s="180" t="str">
        <f aca="false">IF(E52=" "," ",IF(T$49="Y",Jan!M52,IF((H52+K52+L52)&gt;0,H52+K52+L52,"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253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IF(Employee!H$61=E$49,Employee!D$60+SUM(M52)+Jan!V52,SUM(M52)+Jan!V52)</f>
        <v>0</v>
      </c>
      <c r="W52" s="172" t="n">
        <f aca="false">IF(Employee!H$61=E$49,Employee!D$61+SUM(N52)+Jan!W52,SUM(N52)+Jan!W52)</f>
        <v>0</v>
      </c>
      <c r="X52" s="172" t="n">
        <f aca="false">IF(O52=" ",Jan!X52,O52+Jan!X52)</f>
        <v>0</v>
      </c>
      <c r="Y52" s="172" t="n">
        <f aca="false">IF(P52=" ",Jan!Y52,P52+Jan!Y52)</f>
        <v>0</v>
      </c>
      <c r="Z52" s="172" t="n">
        <f aca="false">IF(Q52=" ",Jan!Z52,Q52+Jan!Z52)</f>
        <v>0</v>
      </c>
      <c r="AA52" s="172" t="n">
        <f aca="false">IF(R52=" ",Jan!AA52,R52+Jan!AA52)</f>
        <v>0</v>
      </c>
      <c r="AC52" s="172" t="n">
        <f aca="false">IF(T52=" ",Jan!AC52,T52+Jan!AC52)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IF(T$49="Y",Jan!H53,0)</f>
        <v>0</v>
      </c>
      <c r="I53" s="177" t="n">
        <f aca="false">IF(T$49="Y",Jan!I53,0)</f>
        <v>0</v>
      </c>
      <c r="J53" s="177" t="n">
        <f aca="false">IF(T$49="Y",Jan!J53,0)</f>
        <v>0</v>
      </c>
      <c r="K53" s="177" t="n">
        <f aca="false">IF(T$49="Y",Jan!K53,I53*J53)</f>
        <v>0</v>
      </c>
      <c r="L53" s="179" t="n">
        <f aca="false">IF(T$49="Y",Jan!L53,0)</f>
        <v>0</v>
      </c>
      <c r="M53" s="180" t="str">
        <f aca="false">IF(E53=" "," ",IF(T$49="Y",Jan!M53,IF((H53+K53+L53)&gt;0,H53+K53+L53,"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IF(Employee!H$87=E$49,Employee!D$86+SUM(M53)+Jan!V53,SUM(M53)+Jan!V53)</f>
        <v>0</v>
      </c>
      <c r="W53" s="172" t="n">
        <f aca="false">IF(Employee!H$87=E$49,Employee!D$87+SUM(N53)+Jan!W53,SUM(N53)+Jan!W53)</f>
        <v>0</v>
      </c>
      <c r="X53" s="172" t="n">
        <f aca="false">IF(O53=" ",Jan!X53,O53+Jan!X53)</f>
        <v>0</v>
      </c>
      <c r="Y53" s="172" t="n">
        <f aca="false">IF(P53=" ",Jan!Y53,P53+Jan!Y53)</f>
        <v>0</v>
      </c>
      <c r="Z53" s="172" t="n">
        <f aca="false">IF(Q53=" ",Jan!Z53,Q53+Jan!Z53)</f>
        <v>0</v>
      </c>
      <c r="AA53" s="172" t="n">
        <f aca="false">IF(R53=" ",Jan!AA53,R53+Jan!AA53)</f>
        <v>0</v>
      </c>
      <c r="AC53" s="172" t="n">
        <f aca="false">IF(T53=" ",Jan!AC53,T53+Jan!AC53)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IF(T$49="Y",Jan!H54,0)</f>
        <v>0</v>
      </c>
      <c r="I54" s="177" t="n">
        <f aca="false">IF(T$49="Y",Jan!I54,0)</f>
        <v>0</v>
      </c>
      <c r="J54" s="177" t="n">
        <f aca="false">IF(T$49="Y",Jan!J54,0)</f>
        <v>0</v>
      </c>
      <c r="K54" s="177" t="n">
        <f aca="false">IF(T$49="Y",Jan!K54,I54*J54)</f>
        <v>0</v>
      </c>
      <c r="L54" s="179" t="n">
        <f aca="false">IF(T$49="Y",Jan!L54,0)</f>
        <v>0</v>
      </c>
      <c r="M54" s="180" t="str">
        <f aca="false">IF(E54=" "," ",IF(T$49="Y",Jan!M54,IF((H54+K54+L54)&gt;0,H54+K54+L54,"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IF(Employee!H$113=E$49,Employee!D$112+SUM(M54)+Jan!V54,SUM(M54)+Jan!V54)</f>
        <v>0</v>
      </c>
      <c r="W54" s="172" t="n">
        <f aca="false">IF(Employee!H$113=E$49,Employee!D$113+SUM(N54)+Jan!W54,SUM(N54)+Jan!W54)</f>
        <v>0</v>
      </c>
      <c r="X54" s="172" t="n">
        <f aca="false">IF(O54=" ",Jan!X54,O54+Jan!X54)</f>
        <v>0</v>
      </c>
      <c r="Y54" s="172" t="n">
        <f aca="false">IF(P54=" ",Jan!Y54,P54+Jan!Y54)</f>
        <v>0</v>
      </c>
      <c r="Z54" s="172" t="n">
        <f aca="false">IF(Q54=" ",Jan!Z54,Q54+Jan!Z54)</f>
        <v>0</v>
      </c>
      <c r="AA54" s="172" t="n">
        <f aca="false">IF(R54=" ",Jan!AA54,R54+Jan!AA54)</f>
        <v>0</v>
      </c>
      <c r="AC54" s="172" t="n">
        <f aca="false">IF(T54=" ",Jan!AC54,T54+Jan!AC54)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IF(T$49="Y",Jan!H55,0)</f>
        <v>0</v>
      </c>
      <c r="I55" s="182" t="n">
        <f aca="false">IF(T$49="Y",Jan!I55,0)</f>
        <v>0</v>
      </c>
      <c r="J55" s="182" t="n">
        <f aca="false">IF(T$49="Y",Jan!J55,0)</f>
        <v>0</v>
      </c>
      <c r="K55" s="182" t="n">
        <f aca="false">IF(T$49="Y",Jan!K55,I55*J55)</f>
        <v>0</v>
      </c>
      <c r="L55" s="183" t="n">
        <f aca="false">IF(T$49="Y",Jan!L55,0)</f>
        <v>0</v>
      </c>
      <c r="M55" s="180" t="str">
        <f aca="false">IF(E55=" "," ",IF(T$49="Y",Jan!M55,IF((H55+K55+L55)&gt;0,H55+K55+L55,"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IF(Employee!H$139=E$49,Employee!D$138+SUM(M55)+Jan!V55,SUM(M55)+Jan!V55)</f>
        <v>0</v>
      </c>
      <c r="W55" s="172" t="n">
        <f aca="false">IF(Employee!H$139=E$49,Employee!D$139+SUM(N55)+Jan!W55,SUM(N55)+Jan!W55)</f>
        <v>0</v>
      </c>
      <c r="X55" s="172" t="n">
        <f aca="false">IF(O55=" ",Jan!X55,O55+Jan!X55)</f>
        <v>0</v>
      </c>
      <c r="Y55" s="172" t="n">
        <f aca="false">IF(P55=" ",Jan!Y55,P55+Jan!Y55)</f>
        <v>0</v>
      </c>
      <c r="Z55" s="172" t="n">
        <f aca="false">IF(Q55=" ",Jan!Z55,Q55+Jan!Z55)</f>
        <v>0</v>
      </c>
      <c r="AA55" s="172" t="n">
        <f aca="false">IF(R55=" ",Jan!AA55,R55+Jan!AA55)</f>
        <v>0</v>
      </c>
      <c r="AC55" s="172" t="n">
        <f aca="false">IF(T55=" ",Jan!AC55,T55+Jan!AC55)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3.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AD60+Jan!AD65</f>
        <v>0</v>
      </c>
      <c r="AE65" s="240" t="n">
        <f aca="false">AE60+Jan!AE65</f>
        <v>0</v>
      </c>
      <c r="AF65" s="240" t="n">
        <f aca="false">AF60+Jan!AF65</f>
        <v>0</v>
      </c>
      <c r="AG65" s="240" t="n">
        <f aca="false">AG60+Jan!AG65</f>
        <v>0</v>
      </c>
    </row>
    <row r="67" customFormat="false" ht="12.75" hidden="false" customHeight="false" outlineLevel="0" collapsed="false">
      <c r="AD67" s="233"/>
      <c r="AE67" s="240" t="n">
        <f aca="false">AE62+Jan!AE67</f>
        <v>0</v>
      </c>
      <c r="AF67" s="240" t="n">
        <f aca="false">AF62+Jan!AF67</f>
        <v>0</v>
      </c>
      <c r="AG67" s="240" t="n">
        <f aca="false">AG62+Jan!AG67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1" manualBreakCount="1">
    <brk id="57" man="true" max="16383" min="0"/>
  </rowBreaks>
  <colBreaks count="1" manualBreakCount="1">
    <brk id="11" man="true" max="65535" min="0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97" customFormat="true" ht="1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246" t="n">
        <f aca="false">SUM(AD80:AG80)+SUM(AE82:AG82)</f>
        <v>0</v>
      </c>
      <c r="H1" s="246"/>
      <c r="I1" s="261" t="s">
        <v>38</v>
      </c>
      <c r="J1" s="261"/>
      <c r="K1" s="261"/>
      <c r="L1" s="261"/>
      <c r="M1" s="248" t="n">
        <f aca="false">M16+M26+M36+M46+M56+M66+M76</f>
        <v>0</v>
      </c>
      <c r="N1" s="248" t="n">
        <f aca="false">N16+N26+N36+N46+N56+N66+N76</f>
        <v>0</v>
      </c>
      <c r="O1" s="248" t="n">
        <f aca="false">O16+O26+O36+O46+O56+O66+O76</f>
        <v>0</v>
      </c>
      <c r="P1" s="248" t="n">
        <f aca="false">P16+P26+P36+P46+P56+P66+P76</f>
        <v>0</v>
      </c>
      <c r="Q1" s="248" t="n">
        <f aca="false">Q16+Q26+Q36+Q46+Q56+Q66+Q76</f>
        <v>0</v>
      </c>
      <c r="R1" s="248" t="n">
        <f aca="false">R16+R26+R36+R46+R56+R66+R76</f>
        <v>0</v>
      </c>
      <c r="S1" s="249"/>
      <c r="T1" s="248" t="n">
        <f aca="false">T16+T26+T36+T46+T56+T66+T76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210"/>
    </row>
    <row r="2" s="97" customFormat="true" ht="1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M85</f>
        <v>0</v>
      </c>
      <c r="N2" s="106" t="n">
        <f aca="false">N85</f>
        <v>0</v>
      </c>
      <c r="O2" s="106" t="n">
        <f aca="false">O85</f>
        <v>0</v>
      </c>
      <c r="P2" s="106" t="n">
        <f aca="false">P85</f>
        <v>0</v>
      </c>
      <c r="Q2" s="106" t="n">
        <f aca="false">Q85</f>
        <v>0</v>
      </c>
      <c r="R2" s="106" t="n">
        <f aca="false">R85</f>
        <v>0</v>
      </c>
      <c r="S2" s="106" t="n">
        <f aca="false">S65</f>
        <v>0</v>
      </c>
      <c r="T2" s="106" t="n">
        <f aca="false">T85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210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48</v>
      </c>
      <c r="F9" s="144"/>
      <c r="G9" s="144"/>
      <c r="H9" s="146" t="s">
        <v>71</v>
      </c>
      <c r="I9" s="146"/>
      <c r="J9" s="146"/>
      <c r="K9" s="215" t="n">
        <f aca="false">Feb!M39+1</f>
        <v>44619</v>
      </c>
      <c r="L9" s="149" t="s">
        <v>74</v>
      </c>
      <c r="M9" s="150" t="n">
        <f aca="false">K9+6</f>
        <v>44625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IF(T$9="Y",Feb!H41,0)</f>
        <v>0</v>
      </c>
      <c r="I11" s="168" t="n">
        <f aca="false">IF(T$9="Y",Feb!I41,0)</f>
        <v>0</v>
      </c>
      <c r="J11" s="168" t="n">
        <f aca="false">IF(T$9="Y",Feb!J41,0)</f>
        <v>0</v>
      </c>
      <c r="K11" s="168" t="n">
        <f aca="false">IF(T$9="Y",Feb!K41,I11*J11)</f>
        <v>0</v>
      </c>
      <c r="L11" s="166" t="n">
        <f aca="false">IF(T$9="Y",Feb!L41,0)</f>
        <v>0</v>
      </c>
      <c r="M11" s="166" t="str">
        <f aca="false">IF(E11=" "," ",IF(T$9="Y",Feb!M41,IF((H11+K11+L11)&gt;0,H11+K11+L11,"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IF(Employee!H$34=E$9,Employee!D$34+SUM(M11)+Feb!V41,SUM(M11)+Feb!V41)</f>
        <v>0</v>
      </c>
      <c r="W11" s="172" t="n">
        <f aca="false">IF(Employee!H$34=E$9,Employee!D$35+SUM(N11)+Feb!W41,SUM(N11)+Feb!W41)</f>
        <v>0</v>
      </c>
      <c r="X11" s="172" t="n">
        <f aca="false">IF(O11=" ",Feb!X41,O11+Feb!X41)</f>
        <v>0</v>
      </c>
      <c r="Y11" s="172" t="n">
        <f aca="false">IF(P11=" ",Feb!Y41,P11+Feb!Y41)</f>
        <v>0</v>
      </c>
      <c r="Z11" s="172" t="n">
        <f aca="false">IF(Q11=" ",Feb!Z41,Q11+Feb!Z41)</f>
        <v>0</v>
      </c>
      <c r="AA11" s="172" t="n">
        <f aca="false">IF(R11=" ",Feb!AA41,R11+Feb!AA41)</f>
        <v>0</v>
      </c>
      <c r="AC11" s="172" t="e">
        <f aca="false">IF(T11=" ",Feb!AC41,T11+Feb!AC41)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IF(T$9="Y",Feb!H42,0)</f>
        <v>0</v>
      </c>
      <c r="I12" s="177" t="n">
        <f aca="false">IF(T$9="Y",Feb!I42,0)</f>
        <v>0</v>
      </c>
      <c r="J12" s="177" t="n">
        <f aca="false">IF(T$9="Y",Feb!J42,0)</f>
        <v>0</v>
      </c>
      <c r="K12" s="177" t="n">
        <f aca="false">IF(T$9="Y",Feb!K42,I12*J12)</f>
        <v>0</v>
      </c>
      <c r="L12" s="179" t="n">
        <f aca="false">IF(T$9="Y",Feb!L42,0)</f>
        <v>0</v>
      </c>
      <c r="M12" s="179" t="str">
        <f aca="false">IF(E12=" "," ",IF(T$9="Y",Feb!M42,IF((H12+K12+L12)&gt;0,H12+K12+L12,"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IF(Employee!H$60=E$9,Employee!D$60+SUM(M12)+Feb!V42,SUM(M12)+Feb!V42)</f>
        <v>0</v>
      </c>
      <c r="W12" s="172" t="n">
        <f aca="false">IF(Employee!H$60=E$9,Employee!D$61+SUM(N12)+Feb!W42,SUM(N12)+Feb!W42)</f>
        <v>0</v>
      </c>
      <c r="X12" s="172" t="n">
        <f aca="false">IF(O12=" ",Feb!X42,O12+Feb!X42)</f>
        <v>0</v>
      </c>
      <c r="Y12" s="172" t="n">
        <f aca="false">IF(P12=" ",Feb!Y42,P12+Feb!Y42)</f>
        <v>0</v>
      </c>
      <c r="Z12" s="172" t="n">
        <f aca="false">IF(Q12=" ",Feb!Z42,Q12+Feb!Z42)</f>
        <v>0</v>
      </c>
      <c r="AA12" s="172" t="n">
        <f aca="false">IF(R12=" ",Feb!AA42,R12+Feb!AA42)</f>
        <v>0</v>
      </c>
      <c r="AC12" s="172" t="n">
        <f aca="false">IF(T12=" ",Feb!AC42,T12+Feb!AC42)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IF(T$9="Y",Feb!H43,0)</f>
        <v>0</v>
      </c>
      <c r="I13" s="177" t="n">
        <f aca="false">IF(T$9="Y",Feb!I43,0)</f>
        <v>0</v>
      </c>
      <c r="J13" s="177" t="n">
        <f aca="false">IF(T$9="Y",Feb!J43,0)</f>
        <v>0</v>
      </c>
      <c r="K13" s="177" t="n">
        <f aca="false">IF(T$9="Y",Feb!K43,I13*J13)</f>
        <v>0</v>
      </c>
      <c r="L13" s="179" t="n">
        <f aca="false">IF(T$9="Y",Feb!L43,0)</f>
        <v>0</v>
      </c>
      <c r="M13" s="179" t="str">
        <f aca="false">IF(E13=" "," ",IF(T$9="Y",Feb!M43,IF((H13+K13+L13)&gt;0,H13+K13+L13,"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IF(Employee!H$86=E$9,Employee!D$86+SUM(M13)+Feb!V43,SUM(M13)+Feb!V43)</f>
        <v>0</v>
      </c>
      <c r="W13" s="172" t="n">
        <f aca="false">IF(Employee!H$86=E$9,Employee!D$87+SUM(N13)+Feb!W43,SUM(N13)+Feb!W43)</f>
        <v>0</v>
      </c>
      <c r="X13" s="172" t="n">
        <f aca="false">IF(O13=" ",Feb!X43,O13+Feb!X43)</f>
        <v>0</v>
      </c>
      <c r="Y13" s="172" t="n">
        <f aca="false">IF(P13=" ",Feb!Y43,P13+Feb!Y43)</f>
        <v>0</v>
      </c>
      <c r="Z13" s="172" t="n">
        <f aca="false">IF(Q13=" ",Feb!Z43,Q13+Feb!Z43)</f>
        <v>0</v>
      </c>
      <c r="AA13" s="172" t="n">
        <f aca="false">IF(R13=" ",Feb!AA43,R13+Feb!AA43)</f>
        <v>0</v>
      </c>
      <c r="AC13" s="172" t="n">
        <f aca="false">IF(T13=" ",Feb!AC43,T13+Feb!AC43)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IF(T$9="Y",Feb!H44,0)</f>
        <v>0</v>
      </c>
      <c r="I14" s="177" t="n">
        <f aca="false">IF(T$9="Y",Feb!I44,0)</f>
        <v>0</v>
      </c>
      <c r="J14" s="177" t="n">
        <f aca="false">IF(T$9="Y",Feb!J44,0)</f>
        <v>0</v>
      </c>
      <c r="K14" s="177" t="n">
        <f aca="false">IF(T$9="Y",Feb!K44,I14*J14)</f>
        <v>0</v>
      </c>
      <c r="L14" s="179" t="n">
        <f aca="false">IF(T$9="Y",Feb!L44,0)</f>
        <v>0</v>
      </c>
      <c r="M14" s="179" t="str">
        <f aca="false">IF(E14=" "," ",IF(T$9="Y",Feb!M44,IF((H14+K14+L14)&gt;0,H14+K14+L14,"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IF(Employee!H$112=E$9,Employee!D$112+SUM(M14)+Feb!V44,SUM(M14)+Feb!V44)</f>
        <v>0</v>
      </c>
      <c r="W14" s="172" t="n">
        <f aca="false">IF(Employee!H$112=E$9,Employee!D$113+SUM(N14)+Feb!W44,SUM(N14)+Feb!W44)</f>
        <v>0</v>
      </c>
      <c r="X14" s="172" t="n">
        <f aca="false">IF(O14=" ",Feb!X44,O14+Feb!X44)</f>
        <v>0</v>
      </c>
      <c r="Y14" s="172" t="n">
        <f aca="false">IF(P14=" ",Feb!Y44,P14+Feb!Y44)</f>
        <v>0</v>
      </c>
      <c r="Z14" s="172" t="n">
        <f aca="false">IF(Q14=" ",Feb!Z44,Q14+Feb!Z44)</f>
        <v>0</v>
      </c>
      <c r="AA14" s="172" t="n">
        <f aca="false">IF(R14=" ",Feb!AA44,R14+Feb!AA44)</f>
        <v>0</v>
      </c>
      <c r="AC14" s="172" t="n">
        <f aca="false">IF(T14=" ",Feb!AC44,T14+Feb!AC44)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IF(T$9="Y",Feb!H45,0)</f>
        <v>0</v>
      </c>
      <c r="I15" s="182" t="n">
        <f aca="false">IF(T$9="Y",Feb!I45,0)</f>
        <v>0</v>
      </c>
      <c r="J15" s="182" t="n">
        <f aca="false">IF(T$9="Y",Feb!J45,0)</f>
        <v>0</v>
      </c>
      <c r="K15" s="182" t="n">
        <f aca="false">IF(T$9="Y",Feb!K45,I15*J15)</f>
        <v>0</v>
      </c>
      <c r="L15" s="183" t="n">
        <f aca="false">IF(T$9="Y",Feb!L45,0)</f>
        <v>0</v>
      </c>
      <c r="M15" s="179" t="str">
        <f aca="false">IF(E15=" "," ",IF(T$9="Y",Feb!M45,IF((H15+K15+L15)&gt;0,H15+K15+L15,"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IF(Employee!H$138=E$9,Employee!D$138+SUM(M15)+Feb!V45,SUM(M15)+Feb!V45)</f>
        <v>0</v>
      </c>
      <c r="W15" s="172" t="n">
        <f aca="false">IF(Employee!H$138=E$9,Employee!D$139+SUM(N15)+Feb!W45,SUM(N15)+Feb!W45)</f>
        <v>0</v>
      </c>
      <c r="X15" s="172" t="n">
        <f aca="false">IF(O15=" ",Feb!X45,O15+Feb!X45)</f>
        <v>0</v>
      </c>
      <c r="Y15" s="172" t="n">
        <f aca="false">IF(P15=" ",Feb!Y45,P15+Feb!Y45)</f>
        <v>0</v>
      </c>
      <c r="Z15" s="172" t="n">
        <f aca="false">IF(Q15=" ",Feb!Z45,Q15+Feb!Z45)</f>
        <v>0</v>
      </c>
      <c r="AA15" s="172" t="n">
        <f aca="false">IF(R15=" ",Feb!AA45,R15+Feb!AA45)</f>
        <v>0</v>
      </c>
      <c r="AC15" s="172" t="n">
        <f aca="false">IF(T15=" ",Feb!AC45,T15+Feb!AC45)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49</v>
      </c>
      <c r="F19" s="144"/>
      <c r="G19" s="144"/>
      <c r="H19" s="146" t="s">
        <v>71</v>
      </c>
      <c r="I19" s="146"/>
      <c r="J19" s="146"/>
      <c r="K19" s="215" t="n">
        <f aca="false">M9+1</f>
        <v>44626</v>
      </c>
      <c r="L19" s="149" t="s">
        <v>74</v>
      </c>
      <c r="M19" s="150" t="n">
        <f aca="false">K19+6</f>
        <v>44632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50</v>
      </c>
      <c r="F29" s="144"/>
      <c r="G29" s="144"/>
      <c r="H29" s="146" t="s">
        <v>71</v>
      </c>
      <c r="I29" s="146"/>
      <c r="J29" s="146"/>
      <c r="K29" s="215" t="n">
        <f aca="false">M19+1</f>
        <v>44633</v>
      </c>
      <c r="L29" s="149" t="s">
        <v>74</v>
      </c>
      <c r="M29" s="150" t="n">
        <f aca="false">K29+6</f>
        <v>44639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51</v>
      </c>
      <c r="F39" s="144"/>
      <c r="G39" s="144"/>
      <c r="H39" s="146" t="s">
        <v>71</v>
      </c>
      <c r="I39" s="146"/>
      <c r="J39" s="146"/>
      <c r="K39" s="215" t="n">
        <f aca="false">M29+1</f>
        <v>44640</v>
      </c>
      <c r="L39" s="149" t="s">
        <v>74</v>
      </c>
      <c r="M39" s="150" t="n">
        <f aca="false">K39+6</f>
        <v>44646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70</v>
      </c>
      <c r="C48" s="135"/>
      <c r="D48" s="135"/>
      <c r="E48" s="135"/>
      <c r="F48" s="136"/>
      <c r="G48" s="136"/>
      <c r="H48" s="136"/>
      <c r="I48" s="136"/>
      <c r="J48" s="136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72</v>
      </c>
      <c r="C49" s="146"/>
      <c r="D49" s="146"/>
      <c r="E49" s="147" t="n">
        <v>52</v>
      </c>
      <c r="F49" s="144"/>
      <c r="G49" s="144"/>
      <c r="H49" s="146" t="s">
        <v>71</v>
      </c>
      <c r="I49" s="146"/>
      <c r="J49" s="146"/>
      <c r="K49" s="215" t="n">
        <f aca="false">M39+1</f>
        <v>44647</v>
      </c>
      <c r="L49" s="149" t="s">
        <v>74</v>
      </c>
      <c r="M49" s="150" t="n">
        <f aca="false">K49+6</f>
        <v>44653</v>
      </c>
      <c r="N49" s="151"/>
      <c r="O49" s="198" t="s">
        <v>77</v>
      </c>
      <c r="P49" s="198"/>
      <c r="Q49" s="198"/>
      <c r="R49" s="198"/>
      <c r="S49" s="144"/>
      <c r="T49" s="199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IF(Employee!D$28="m","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IF(T$49="Y",H41,0)</f>
        <v>0</v>
      </c>
      <c r="I51" s="168" t="n">
        <f aca="false">IF(T$49="Y",I41,0)</f>
        <v>0</v>
      </c>
      <c r="J51" s="168" t="n">
        <f aca="false">IF(T$49="Y",J41,0)</f>
        <v>0</v>
      </c>
      <c r="K51" s="168" t="n">
        <f aca="false">IF(T$49="Y",K41,I51*J51)</f>
        <v>0</v>
      </c>
      <c r="L51" s="166" t="n">
        <f aca="false">IF(T$49="Y",L41,0)</f>
        <v>0</v>
      </c>
      <c r="M51" s="170" t="str">
        <f aca="false">IF(E51=" "," ",IF(T$49="Y",M41,IF((H51+K51+L51)&gt;0,H51+K51+L51,"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IF(Employee!H$34=E$49,Employee!D$34+SUM(M51)+V41,SUM(M51)+V41)</f>
        <v>0</v>
      </c>
      <c r="W51" s="172" t="n">
        <f aca="false">IF(Employee!H$34=E$49,Employee!D$35+SUM(N51)+W41,SUM(N51)+W41)</f>
        <v>0</v>
      </c>
      <c r="X51" s="172" t="n">
        <f aca="false">IF(O51=" ",X41,O51+X41)</f>
        <v>0</v>
      </c>
      <c r="Y51" s="172" t="n">
        <f aca="false">IF(P51=0,Y41,P51+Y41)</f>
        <v>0</v>
      </c>
      <c r="Z51" s="172" t="n">
        <f aca="false">IF(Q51=0,Z41,Q51+Z41)</f>
        <v>0</v>
      </c>
      <c r="AA51" s="172" t="n">
        <f aca="false">IF(R51=" ",AA41,AA41+R51)</f>
        <v>0</v>
      </c>
      <c r="AC51" s="172" t="e">
        <f aca="false">IF(T51=" ",AC41,T51+AC41)</f>
        <v>#N/A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IF(Employee!D$54="m","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IF(T$49="Y",H42,0)</f>
        <v>0</v>
      </c>
      <c r="I52" s="177" t="n">
        <f aca="false">IF(T$49="Y",I42,0)</f>
        <v>0</v>
      </c>
      <c r="J52" s="177" t="n">
        <f aca="false">IF(T$49="Y",J42,0)</f>
        <v>0</v>
      </c>
      <c r="K52" s="177" t="n">
        <f aca="false">IF(T$49="Y",K42,I52*J52)</f>
        <v>0</v>
      </c>
      <c r="L52" s="179" t="n">
        <f aca="false">IF(T$49="Y",L42,0)</f>
        <v>0</v>
      </c>
      <c r="M52" s="180" t="str">
        <f aca="false">IF(E52=" "," ",IF(T$49="Y",M42,IF((H52+K52+L52)&gt;0,H52+K52+L52,"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IF(Employee!H$60=E$49,Employee!D$60+SUM(M52)+V42,SUM(M52)+V42)</f>
        <v>0</v>
      </c>
      <c r="W52" s="172" t="n">
        <f aca="false">IF(Employee!H$60=E$49,Employee!D$61+SUM(N52)+W42,SUM(N52)+W42)</f>
        <v>0</v>
      </c>
      <c r="X52" s="172" t="n">
        <f aca="false">IF(O52=" ",X42,O52+X42)</f>
        <v>0</v>
      </c>
      <c r="Y52" s="172" t="n">
        <f aca="false">IF(P52=0,Y42,P52+Y42)</f>
        <v>0</v>
      </c>
      <c r="Z52" s="172" t="n">
        <f aca="false">IF(Q52=0,Z42,Q52+Z42)</f>
        <v>0</v>
      </c>
      <c r="AA52" s="172" t="n">
        <f aca="false">IF(R52=" ",AA42,AA42+R52)</f>
        <v>0</v>
      </c>
      <c r="AC52" s="172" t="n">
        <f aca="false">IF(T52=" ",AC42,T52+AC42)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IF(Employee!D$80="m","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IF(T$49="Y",H43,0)</f>
        <v>0</v>
      </c>
      <c r="I53" s="177" t="n">
        <f aca="false">IF(T$49="Y",I43,0)</f>
        <v>0</v>
      </c>
      <c r="J53" s="177" t="n">
        <f aca="false">IF(T$49="Y",J43,0)</f>
        <v>0</v>
      </c>
      <c r="K53" s="177" t="n">
        <f aca="false">IF(T$49="Y",K43,I53*J53)</f>
        <v>0</v>
      </c>
      <c r="L53" s="179" t="n">
        <f aca="false">IF(T$49="Y",L43,0)</f>
        <v>0</v>
      </c>
      <c r="M53" s="180" t="str">
        <f aca="false">IF(E53=" "," ",IF(T$49="Y",M43,IF((H53+K53+L53)&gt;0,H53+K53+L53,"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IF(Employee!H$86=E$49,Employee!D$86+SUM(M53)+V43,SUM(M53)+V43)</f>
        <v>0</v>
      </c>
      <c r="W53" s="172" t="n">
        <f aca="false">IF(Employee!H$86=E$49,Employee!D$87+SUM(N53)+W43,SUM(N53)+W43)</f>
        <v>0</v>
      </c>
      <c r="X53" s="172" t="n">
        <f aca="false">IF(O53=" ",X43,O53+X43)</f>
        <v>0</v>
      </c>
      <c r="Y53" s="172" t="n">
        <f aca="false">IF(P53=0,Y43,P53+Y43)</f>
        <v>0</v>
      </c>
      <c r="Z53" s="172" t="n">
        <f aca="false">IF(Q53=0,Z43,Q53+Z43)</f>
        <v>0</v>
      </c>
      <c r="AA53" s="172" t="n">
        <f aca="false">IF(R53=" ",AA43,AA43+R53)</f>
        <v>0</v>
      </c>
      <c r="AC53" s="172" t="n">
        <f aca="false">IF(T53=" ",AC43,T53+AC43)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IF(Employee!D$106="m","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IF(T$49="Y",H44,0)</f>
        <v>0</v>
      </c>
      <c r="I54" s="177" t="n">
        <f aca="false">IF(T$49="Y",I44,0)</f>
        <v>0</v>
      </c>
      <c r="J54" s="177" t="n">
        <f aca="false">IF(T$49="Y",J44,0)</f>
        <v>0</v>
      </c>
      <c r="K54" s="177" t="n">
        <f aca="false">IF(T$49="Y",K44,I54*J54)</f>
        <v>0</v>
      </c>
      <c r="L54" s="179" t="n">
        <f aca="false">IF(T$49="Y",L44,0)</f>
        <v>0</v>
      </c>
      <c r="M54" s="180" t="str">
        <f aca="false">IF(E54=" "," ",IF(T$49="Y",M44,IF((H54+K54+L54)&gt;0,H54+K54+L54,"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IF(Employee!H$112=E$49,Employee!D$112+SUM(M54)+V44,SUM(M54)+V44)</f>
        <v>0</v>
      </c>
      <c r="W54" s="172" t="n">
        <f aca="false">IF(Employee!H$112=E$49,Employee!D$113+SUM(N54)+W44,SUM(N54)+W44)</f>
        <v>0</v>
      </c>
      <c r="X54" s="172" t="n">
        <f aca="false">IF(O54=" ",X44,O54+X44)</f>
        <v>0</v>
      </c>
      <c r="Y54" s="172" t="n">
        <f aca="false">IF(P54=0,Y44,P54+Y44)</f>
        <v>0</v>
      </c>
      <c r="Z54" s="172" t="n">
        <f aca="false">IF(Q54=0,Z44,Q54+Z44)</f>
        <v>0</v>
      </c>
      <c r="AA54" s="172" t="n">
        <f aca="false">IF(R54=" ",AA44,AA44+R54)</f>
        <v>0</v>
      </c>
      <c r="AC54" s="172" t="n">
        <f aca="false">IF(T54=" ",AC44,T54+AC44)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IF(Employee!D$132="m","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IF(T$49="Y",H45,0)</f>
        <v>0</v>
      </c>
      <c r="I55" s="182" t="n">
        <f aca="false">IF(T$49="Y",I45,0)</f>
        <v>0</v>
      </c>
      <c r="J55" s="182" t="n">
        <f aca="false">IF(T$49="Y",J45,0)</f>
        <v>0</v>
      </c>
      <c r="K55" s="182" t="n">
        <f aca="false">IF(T$49="Y",K45,I55*J55)</f>
        <v>0</v>
      </c>
      <c r="L55" s="183" t="n">
        <f aca="false">IF(T$49="Y",L45,0)</f>
        <v>0</v>
      </c>
      <c r="M55" s="180" t="str">
        <f aca="false">IF(E55=" "," ",IF(T$49="Y",M45,IF((H55+K55+L55)&gt;0,H55+K55+L55,"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IF(Employee!H$138=E$49,Employee!D$138+SUM(M55)+V45,SUM(M55)+V45)</f>
        <v>0</v>
      </c>
      <c r="W55" s="172" t="n">
        <f aca="false">IF(Employee!H$138=E$49,Employee!D$139+SUM(N55)+W45,SUM(N55)+W45)</f>
        <v>0</v>
      </c>
      <c r="X55" s="172" t="n">
        <f aca="false">IF(O55=" ",X45,O55+X45)</f>
        <v>0</v>
      </c>
      <c r="Y55" s="172" t="n">
        <f aca="false">IF(P55=0,Y45,P55+Y45)</f>
        <v>0</v>
      </c>
      <c r="Z55" s="172" t="n">
        <f aca="false">IF(Q55=0,Z45,Q55+Z45)</f>
        <v>0</v>
      </c>
      <c r="AA55" s="172" t="n">
        <f aca="false">IF(R55=" ",AA45,AA45+R55)</f>
        <v>0</v>
      </c>
      <c r="AC55" s="172" t="n">
        <f aca="false">IF(T55=" ",AC45,T55+AC45)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s="127" customFormat="true" ht="24" hidden="false" customHeight="true" outlineLevel="0" collapsed="false">
      <c r="A57" s="196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9"/>
      <c r="V57" s="130"/>
      <c r="W57" s="130"/>
      <c r="X57" s="130"/>
      <c r="Y57" s="131"/>
      <c r="Z57" s="130"/>
      <c r="AA57" s="130"/>
      <c r="AB57" s="132"/>
      <c r="AC57" s="130"/>
      <c r="AD57" s="101"/>
      <c r="AE57" s="101"/>
      <c r="AF57" s="101"/>
      <c r="AG57" s="101"/>
      <c r="AH57" s="144"/>
    </row>
    <row r="58" customFormat="false" ht="18" hidden="false" customHeight="true" outlineLevel="0" collapsed="false">
      <c r="A58" s="134"/>
      <c r="B58" s="135" t="s">
        <v>70</v>
      </c>
      <c r="C58" s="135"/>
      <c r="D58" s="135"/>
      <c r="E58" s="135"/>
      <c r="F58" s="136"/>
      <c r="G58" s="136"/>
      <c r="H58" s="136"/>
      <c r="I58" s="136"/>
      <c r="J58" s="136"/>
      <c r="K58" s="139"/>
      <c r="L58" s="139"/>
      <c r="M58" s="140"/>
      <c r="N58" s="136"/>
      <c r="O58" s="141" t="s">
        <v>71</v>
      </c>
      <c r="P58" s="141"/>
      <c r="Q58" s="141"/>
      <c r="R58" s="197"/>
      <c r="S58" s="197"/>
      <c r="T58" s="197"/>
      <c r="U58" s="143"/>
      <c r="AD58" s="262"/>
      <c r="AE58" s="262"/>
      <c r="AF58" s="262"/>
      <c r="AG58" s="262"/>
      <c r="AH58" s="144"/>
    </row>
    <row r="59" customFormat="false" ht="18" hidden="false" customHeight="true" outlineLevel="0" collapsed="false">
      <c r="A59" s="145"/>
      <c r="B59" s="146" t="s">
        <v>72</v>
      </c>
      <c r="C59" s="146"/>
      <c r="D59" s="146"/>
      <c r="E59" s="147" t="n">
        <v>53</v>
      </c>
      <c r="F59" s="144"/>
      <c r="G59" s="144"/>
      <c r="H59" s="146" t="s">
        <v>71</v>
      </c>
      <c r="I59" s="146"/>
      <c r="J59" s="146"/>
      <c r="K59" s="215" t="n">
        <f aca="false">M49+1</f>
        <v>44654</v>
      </c>
      <c r="L59" s="149" t="s">
        <v>74</v>
      </c>
      <c r="M59" s="150" t="n">
        <f aca="false">K59+4</f>
        <v>44658</v>
      </c>
      <c r="N59" s="151"/>
      <c r="O59" s="198" t="s">
        <v>77</v>
      </c>
      <c r="P59" s="198"/>
      <c r="Q59" s="198"/>
      <c r="R59" s="198"/>
      <c r="S59" s="144"/>
      <c r="T59" s="199"/>
      <c r="U59" s="153"/>
      <c r="AH59" s="144"/>
    </row>
    <row r="60" customFormat="false" ht="18" hidden="false" customHeight="true" outlineLevel="0" collapsed="false">
      <c r="A60" s="145"/>
      <c r="B60" s="264" t="s">
        <v>86</v>
      </c>
      <c r="C60" s="264"/>
      <c r="D60" s="264"/>
      <c r="E60" s="264"/>
      <c r="F60" s="144"/>
      <c r="G60" s="144"/>
      <c r="H60" s="152"/>
      <c r="I60" s="152"/>
      <c r="J60" s="152"/>
      <c r="K60" s="157"/>
      <c r="L60" s="157"/>
      <c r="M60" s="152"/>
      <c r="N60" s="144"/>
      <c r="O60" s="152"/>
      <c r="P60" s="152"/>
      <c r="Q60" s="152"/>
      <c r="R60" s="152"/>
      <c r="S60" s="144"/>
      <c r="T60" s="152"/>
      <c r="U60" s="153"/>
      <c r="AH60" s="144"/>
    </row>
    <row r="61" customFormat="false" ht="18" hidden="false" customHeight="true" outlineLevel="0" collapsed="false">
      <c r="A61" s="145"/>
      <c r="B61" s="159" t="str">
        <f aca="false">IF(E61=" "," ",IF(Employee!F$24&gt;E$59," ",IF(Employee!F$26&lt;E$59," ",Employee!D$30)))</f>
        <v> </v>
      </c>
      <c r="C61" s="160"/>
      <c r="D61" s="160" t="s">
        <v>75</v>
      </c>
      <c r="E61" s="213" t="str">
        <f aca="false">IF(Employee!D$28="m"," ",IF(Employee!F$24&gt;E$59," ",IF(Employee!F$26&lt;E$59," ",Employee!D$29)))</f>
        <v> </v>
      </c>
      <c r="F61" s="162" t="str">
        <f aca="false">IF(E61=" "," ",IF(Employee!F$24&gt;E$59," ",IF(Employee!F$26&lt;E$59," ",Employee!D$15)))</f>
        <v> </v>
      </c>
      <c r="G61" s="212"/>
      <c r="H61" s="164" t="n">
        <f aca="false">IF(T$49="Y",H51,0)</f>
        <v>0</v>
      </c>
      <c r="I61" s="168" t="n">
        <f aca="false">IF(T$49="Y",I51,0)</f>
        <v>0</v>
      </c>
      <c r="J61" s="168" t="n">
        <f aca="false">IF(T$49="Y",J51,0)</f>
        <v>0</v>
      </c>
      <c r="K61" s="168" t="n">
        <f aca="false">IF(T$49="Y",K51,I61*J61)</f>
        <v>0</v>
      </c>
      <c r="L61" s="166" t="n">
        <f aca="false">IF(T$49="Y",L51,0)</f>
        <v>0</v>
      </c>
      <c r="M61" s="170" t="str">
        <f aca="false">IF(E61=" "," ",IF(T$59="Y",M51,IF((H61+K61+L61)&gt;0,H61+K61+L61," ")))</f>
        <v> </v>
      </c>
      <c r="N61" s="164" t="n">
        <v>0</v>
      </c>
      <c r="O61" s="168" t="n">
        <v>0</v>
      </c>
      <c r="P61" s="168" t="n">
        <v>0</v>
      </c>
      <c r="Q61" s="166" t="n">
        <v>0</v>
      </c>
      <c r="R61" s="169" t="str">
        <f aca="false">IF(M61=" "," ",IF(M61=0," ",M61-SUM(N61:Q61)))</f>
        <v> </v>
      </c>
      <c r="S61" s="107"/>
      <c r="T61" s="170" t="n">
        <v>0</v>
      </c>
      <c r="U61" s="171"/>
      <c r="V61" s="172" t="n">
        <f aca="false">IF(Employee!H$34=E$59,Employee!D$34+SUM(M61)+V51,SUM(M61)+V51)</f>
        <v>0</v>
      </c>
      <c r="W61" s="172" t="n">
        <f aca="false">IF(Employee!H$34=E$59,Employee!D$35+SUM(N61)+W51,SUM(N61)+W51)</f>
        <v>0</v>
      </c>
      <c r="X61" s="172" t="n">
        <f aca="false">IF(O61=" ",X51,O61+X51)</f>
        <v>0</v>
      </c>
      <c r="Y61" s="172" t="n">
        <f aca="false">IF(P61=0,Y51,P61+Y51)</f>
        <v>0</v>
      </c>
      <c r="Z61" s="172" t="n">
        <f aca="false">IF(Q61=0,Z51,Q61+Z51)</f>
        <v>0</v>
      </c>
      <c r="AA61" s="172" t="n">
        <f aca="false">IF(R61=" ",AA51,AA51+R61)</f>
        <v>0</v>
      </c>
      <c r="AC61" s="172" t="e">
        <f aca="false">IF(T61=" ",AC51,T61+AC51)</f>
        <v>#N/A</v>
      </c>
      <c r="AD61" s="101" t="n">
        <f aca="false">IF(G61="SSP",H61,0)</f>
        <v>0</v>
      </c>
      <c r="AE61" s="101" t="n">
        <f aca="false">IF(G61="SMP",H61,0)</f>
        <v>0</v>
      </c>
      <c r="AF61" s="101" t="n">
        <f aca="false">IF(G61="SPP",H61,0)</f>
        <v>0</v>
      </c>
      <c r="AG61" s="101" t="n">
        <f aca="false">IF(G61="SAP",H61,0)</f>
        <v>0</v>
      </c>
      <c r="AH61" s="144"/>
    </row>
    <row r="62" customFormat="false" ht="18" hidden="false" customHeight="true" outlineLevel="0" collapsed="false">
      <c r="A62" s="145"/>
      <c r="B62" s="173" t="str">
        <f aca="false">IF(E62=" "," ",IF(Employee!F$50&gt;E$59," ",IF(Employee!F$52&lt;E$59," ",Employee!D$56)))</f>
        <v> </v>
      </c>
      <c r="C62" s="160"/>
      <c r="D62" s="160" t="s">
        <v>75</v>
      </c>
      <c r="E62" s="214" t="str">
        <f aca="false">IF(Employee!D$54="m"," ",IF(Employee!F$50&gt;E$59," ",IF(Employee!F$52&lt;E$59," ",Employee!D$55)))</f>
        <v> </v>
      </c>
      <c r="F62" s="175" t="str">
        <f aca="false">IF(E62=" "," ",IF(Employee!F$50&gt;E$59," ",IF(Employee!F$52&lt;E$59," ",Employee!D$41)))</f>
        <v> </v>
      </c>
      <c r="G62" s="212"/>
      <c r="H62" s="176" t="n">
        <f aca="false">IF(T$49="Y",H52,0)</f>
        <v>0</v>
      </c>
      <c r="I62" s="177" t="n">
        <f aca="false">IF(T$49="Y",I52,0)</f>
        <v>0</v>
      </c>
      <c r="J62" s="177" t="n">
        <f aca="false">IF(T$49="Y",J52,0)</f>
        <v>0</v>
      </c>
      <c r="K62" s="177" t="n">
        <f aca="false">IF(T$49="Y",K52,I62*J62)</f>
        <v>0</v>
      </c>
      <c r="L62" s="179" t="n">
        <f aca="false">IF(T$49="Y",L52,0)</f>
        <v>0</v>
      </c>
      <c r="M62" s="180" t="str">
        <f aca="false">IF(E62=" "," ",IF(T$59="Y",M52,IF((H62+K62+L62)&gt;0,H62+K62+L62," ")))</f>
        <v> </v>
      </c>
      <c r="N62" s="176" t="n">
        <v>0</v>
      </c>
      <c r="O62" s="177" t="n">
        <v>0</v>
      </c>
      <c r="P62" s="177" t="n">
        <v>0</v>
      </c>
      <c r="Q62" s="179" t="n">
        <v>0</v>
      </c>
      <c r="R62" s="167" t="str">
        <f aca="false">IF(M62=" "," ",IF(M62=0," ",M62-SUM(N62:Q62)))</f>
        <v> </v>
      </c>
      <c r="S62" s="107"/>
      <c r="T62" s="180" t="n">
        <v>0</v>
      </c>
      <c r="U62" s="171"/>
      <c r="V62" s="172" t="n">
        <f aca="false">IF(Employee!H$60=E$59,Employee!D$60+SUM(M62)+V52,SUM(M62)+V52)</f>
        <v>0</v>
      </c>
      <c r="W62" s="172" t="n">
        <f aca="false">IF(Employee!H$60=E$59,Employee!D$61+SUM(N62)+W52,SUM(N62)+W52)</f>
        <v>0</v>
      </c>
      <c r="X62" s="172" t="n">
        <f aca="false">IF(O62=" ",X52,O62+X52)</f>
        <v>0</v>
      </c>
      <c r="Y62" s="172" t="n">
        <f aca="false">IF(P62=0,Y52,P62+Y52)</f>
        <v>0</v>
      </c>
      <c r="Z62" s="172" t="n">
        <f aca="false">IF(Q62=0,Z52,Q62+Z52)</f>
        <v>0</v>
      </c>
      <c r="AA62" s="172" t="n">
        <f aca="false">IF(R62=" ",AA52,AA52+R62)</f>
        <v>0</v>
      </c>
      <c r="AC62" s="172" t="n">
        <f aca="false">IF(T62=" ",AC52,T62+AC52)</f>
        <v>0</v>
      </c>
      <c r="AD62" s="101" t="n">
        <f aca="false">IF(G62="SSP",H62,0)</f>
        <v>0</v>
      </c>
      <c r="AE62" s="101" t="n">
        <f aca="false">IF(G62="SMP",H62,0)</f>
        <v>0</v>
      </c>
      <c r="AF62" s="101" t="n">
        <f aca="false">IF(G62="SPP",H62,0)</f>
        <v>0</v>
      </c>
      <c r="AG62" s="101" t="n">
        <f aca="false">IF(G62="SAP",H62,0)</f>
        <v>0</v>
      </c>
      <c r="AH62" s="144"/>
    </row>
    <row r="63" customFormat="false" ht="18" hidden="false" customHeight="true" outlineLevel="0" collapsed="false">
      <c r="A63" s="145"/>
      <c r="B63" s="173" t="str">
        <f aca="false">IF(E63=" "," ",IF(Employee!F$76&gt;E$59," ",IF(Employee!F$78&lt;E$59," ",Employee!D$82)))</f>
        <v> </v>
      </c>
      <c r="C63" s="160"/>
      <c r="D63" s="160" t="s">
        <v>75</v>
      </c>
      <c r="E63" s="214" t="str">
        <f aca="false">IF(Employee!D$80="m"," ",IF(Employee!F$76&gt;E$59," ",IF(Employee!F$78&lt;E$59," ",Employee!D$81)))</f>
        <v> </v>
      </c>
      <c r="F63" s="175" t="str">
        <f aca="false">IF(E63=" "," ",IF(Employee!F$76&gt;E$59," ",IF(Employee!F$78&lt;E$59," ",Employee!D$67)))</f>
        <v> </v>
      </c>
      <c r="G63" s="212"/>
      <c r="H63" s="176" t="n">
        <f aca="false">IF(T$49="Y",H53,0)</f>
        <v>0</v>
      </c>
      <c r="I63" s="177" t="n">
        <f aca="false">IF(T$49="Y",I53,0)</f>
        <v>0</v>
      </c>
      <c r="J63" s="177" t="n">
        <f aca="false">IF(T$49="Y",J53,0)</f>
        <v>0</v>
      </c>
      <c r="K63" s="177" t="n">
        <f aca="false">IF(T$49="Y",K53,I63*J63)</f>
        <v>0</v>
      </c>
      <c r="L63" s="179" t="n">
        <f aca="false">IF(T$49="Y",L53,0)</f>
        <v>0</v>
      </c>
      <c r="M63" s="180" t="str">
        <f aca="false">IF(E63=" "," ",IF(T$59="Y",M53,IF((H63+K63+L63)&gt;0,H63+K63+L63," ")))</f>
        <v> </v>
      </c>
      <c r="N63" s="176" t="n">
        <v>0</v>
      </c>
      <c r="O63" s="177" t="n">
        <v>0</v>
      </c>
      <c r="P63" s="177" t="n">
        <v>0</v>
      </c>
      <c r="Q63" s="179" t="n">
        <v>0</v>
      </c>
      <c r="R63" s="167" t="str">
        <f aca="false">IF(M63=" "," ",IF(M63=0," ",M63-SUM(N63:Q63)))</f>
        <v> </v>
      </c>
      <c r="S63" s="107"/>
      <c r="T63" s="180" t="n">
        <v>0</v>
      </c>
      <c r="U63" s="171"/>
      <c r="V63" s="172" t="n">
        <f aca="false">IF(Employee!H$86=E$59,Employee!D$86+SUM(M63)+V53,SUM(M63)+V53)</f>
        <v>0</v>
      </c>
      <c r="W63" s="172" t="n">
        <f aca="false">IF(Employee!H$86=E$59,Employee!D$87+SUM(N63)+W53,SUM(N63)+W53)</f>
        <v>0</v>
      </c>
      <c r="X63" s="172" t="n">
        <f aca="false">IF(O63=" ",X53,O63+X53)</f>
        <v>0</v>
      </c>
      <c r="Y63" s="172" t="n">
        <f aca="false">IF(P63=0,Y53,P63+Y53)</f>
        <v>0</v>
      </c>
      <c r="Z63" s="172" t="n">
        <f aca="false">IF(Q63=0,Z53,Q63+Z53)</f>
        <v>0</v>
      </c>
      <c r="AA63" s="172" t="n">
        <f aca="false">IF(R63=" ",AA53,AA53+R63)</f>
        <v>0</v>
      </c>
      <c r="AC63" s="172" t="n">
        <f aca="false">IF(T63=" ",AC53,T63+AC53)</f>
        <v>0</v>
      </c>
      <c r="AD63" s="101" t="n">
        <f aca="false">IF(G63="SSP",H63,0)</f>
        <v>0</v>
      </c>
      <c r="AE63" s="101" t="n">
        <f aca="false">IF(G63="SMP",H63,0)</f>
        <v>0</v>
      </c>
      <c r="AF63" s="101" t="n">
        <f aca="false">IF(G63="SPP",H63,0)</f>
        <v>0</v>
      </c>
      <c r="AG63" s="101" t="n">
        <f aca="false">IF(G63="SAP",H63,0)</f>
        <v>0</v>
      </c>
      <c r="AH63" s="144"/>
    </row>
    <row r="64" customFormat="false" ht="18" hidden="false" customHeight="true" outlineLevel="0" collapsed="false">
      <c r="A64" s="145"/>
      <c r="B64" s="173" t="str">
        <f aca="false">IF(E64=" "," ",IF(Employee!F$102&gt;E$59," ",IF(Employee!F$104&lt;E$59," ",Employee!D$108)))</f>
        <v> </v>
      </c>
      <c r="C64" s="160"/>
      <c r="D64" s="160" t="s">
        <v>75</v>
      </c>
      <c r="E64" s="214" t="str">
        <f aca="false">IF(Employee!D$106="m"," ",IF(Employee!F$102&gt;E$59," ",IF(Employee!F$104&lt;E$59," ",Employee!D$107)))</f>
        <v> </v>
      </c>
      <c r="F64" s="175" t="str">
        <f aca="false">IF(E64=" "," ",IF(Employee!F$102&gt;E$59," ",IF(Employee!F$104&lt;E$59," ",Employee!D$93)))</f>
        <v> </v>
      </c>
      <c r="G64" s="212"/>
      <c r="H64" s="176" t="n">
        <f aca="false">IF(T$49="Y",H54,0)</f>
        <v>0</v>
      </c>
      <c r="I64" s="177" t="n">
        <f aca="false">IF(T$49="Y",I54,0)</f>
        <v>0</v>
      </c>
      <c r="J64" s="177" t="n">
        <f aca="false">IF(T$49="Y",J54,0)</f>
        <v>0</v>
      </c>
      <c r="K64" s="177" t="n">
        <f aca="false">IF(T$49="Y",K54,I64*J64)</f>
        <v>0</v>
      </c>
      <c r="L64" s="179" t="n">
        <f aca="false">IF(T$49="Y",L54,0)</f>
        <v>0</v>
      </c>
      <c r="M64" s="180" t="str">
        <f aca="false">IF(E64=" "," ",IF(T$59="Y",M54,IF((H64+K64+L64)&gt;0,H64+K64+L64," ")))</f>
        <v> </v>
      </c>
      <c r="N64" s="176" t="n">
        <v>0</v>
      </c>
      <c r="O64" s="177" t="n">
        <v>0</v>
      </c>
      <c r="P64" s="177" t="n">
        <v>0</v>
      </c>
      <c r="Q64" s="179" t="n">
        <v>0</v>
      </c>
      <c r="R64" s="167" t="str">
        <f aca="false">IF(M64=" "," ",IF(M64=0," ",M64-SUM(N64:Q64)))</f>
        <v> </v>
      </c>
      <c r="S64" s="107"/>
      <c r="T64" s="180" t="n">
        <v>0</v>
      </c>
      <c r="U64" s="171"/>
      <c r="V64" s="172" t="n">
        <f aca="false">IF(Employee!H$112=E$59,Employee!D$112+SUM(M64)+V54,SUM(M64)+V54)</f>
        <v>0</v>
      </c>
      <c r="W64" s="172" t="n">
        <f aca="false">IF(Employee!H$112=E$59,Employee!D$113+SUM(N64)+W54,SUM(N64)+W54)</f>
        <v>0</v>
      </c>
      <c r="X64" s="172" t="n">
        <f aca="false">IF(O64=" ",X54,O64+X54)</f>
        <v>0</v>
      </c>
      <c r="Y64" s="172" t="n">
        <f aca="false">IF(P64=0,Y54,P64+Y54)</f>
        <v>0</v>
      </c>
      <c r="Z64" s="172" t="n">
        <f aca="false">IF(Q64=0,Z54,Q64+Z54)</f>
        <v>0</v>
      </c>
      <c r="AA64" s="172" t="n">
        <f aca="false">IF(R64=" ",AA54,AA54+R64)</f>
        <v>0</v>
      </c>
      <c r="AC64" s="172" t="n">
        <f aca="false">IF(T64=" ",AC54,T64+AC54)</f>
        <v>0</v>
      </c>
      <c r="AD64" s="101" t="n">
        <f aca="false">IF(G64="SSP",H64,0)</f>
        <v>0</v>
      </c>
      <c r="AE64" s="101" t="n">
        <f aca="false">IF(G64="SMP",H64,0)</f>
        <v>0</v>
      </c>
      <c r="AF64" s="101" t="n">
        <f aca="false">IF(G64="SPP",H64,0)</f>
        <v>0</v>
      </c>
      <c r="AG64" s="101" t="n">
        <f aca="false">IF(G64="SAP",H64,0)</f>
        <v>0</v>
      </c>
      <c r="AH64" s="144"/>
    </row>
    <row r="65" customFormat="false" ht="18" hidden="false" customHeight="true" outlineLevel="0" collapsed="false">
      <c r="A65" s="145"/>
      <c r="B65" s="173" t="str">
        <f aca="false">IF(E65=" "," ",IF(Employee!F$128&gt;E$59," ",IF(Employee!F$130&lt;E$59," ",Employee!D$134)))</f>
        <v> </v>
      </c>
      <c r="C65" s="160"/>
      <c r="D65" s="160" t="s">
        <v>75</v>
      </c>
      <c r="E65" s="214" t="str">
        <f aca="false">IF(Employee!D$132="m"," ",IF(Employee!F$128&gt;E$59," ",IF(Employee!F$130&lt;E$59," ",Employee!D$133)))</f>
        <v> </v>
      </c>
      <c r="F65" s="175" t="str">
        <f aca="false">IF(E65=" "," ",IF(Employee!F$128&gt;E$59," ",IF(Employee!F$130&lt;E$59," ",Employee!D$119)))</f>
        <v> </v>
      </c>
      <c r="G65" s="212"/>
      <c r="H65" s="181" t="n">
        <f aca="false">IF(T$49="Y",H55,0)</f>
        <v>0</v>
      </c>
      <c r="I65" s="182" t="n">
        <f aca="false">IF(T$49="Y",I55,0)</f>
        <v>0</v>
      </c>
      <c r="J65" s="182" t="n">
        <f aca="false">IF(T$49="Y",J55,0)</f>
        <v>0</v>
      </c>
      <c r="K65" s="182" t="n">
        <f aca="false">IF(T$49="Y",K55,I65*J65)</f>
        <v>0</v>
      </c>
      <c r="L65" s="183" t="n">
        <f aca="false">IF(T$49="Y",L55,0)</f>
        <v>0</v>
      </c>
      <c r="M65" s="180" t="str">
        <f aca="false">IF(E65=" "," ",IF(T$59="Y",M55,IF((H65+K65+L65)&gt;0,H65+K65+L65," ")))</f>
        <v> </v>
      </c>
      <c r="N65" s="181" t="n">
        <v>0</v>
      </c>
      <c r="O65" s="182" t="n">
        <v>0</v>
      </c>
      <c r="P65" s="182" t="n">
        <v>0</v>
      </c>
      <c r="Q65" s="183" t="n">
        <v>0</v>
      </c>
      <c r="R65" s="167" t="str">
        <f aca="false">IF(M65=" "," ",IF(M65=0," ",M65-SUM(N65:Q65)))</f>
        <v> </v>
      </c>
      <c r="S65" s="107"/>
      <c r="T65" s="184" t="n">
        <v>0</v>
      </c>
      <c r="U65" s="171"/>
      <c r="V65" s="172" t="n">
        <f aca="false">IF(Employee!H$138=E$59,Employee!D$138+SUM(M65)+V55,SUM(M65)+V55)</f>
        <v>0</v>
      </c>
      <c r="W65" s="172" t="n">
        <f aca="false">IF(Employee!H$138=E$59,Employee!D$139+SUM(N65)+W55,SUM(N65)+W55)</f>
        <v>0</v>
      </c>
      <c r="X65" s="172" t="n">
        <f aca="false">IF(O65=" ",X55,O65+X55)</f>
        <v>0</v>
      </c>
      <c r="Y65" s="172" t="n">
        <f aca="false">IF(P65=0,Y55,P65+Y55)</f>
        <v>0</v>
      </c>
      <c r="Z65" s="172" t="n">
        <f aca="false">IF(Q65=0,Z55,Q65+Z55)</f>
        <v>0</v>
      </c>
      <c r="AA65" s="172" t="n">
        <f aca="false">IF(R65=" ",AA55,AA55+R65)</f>
        <v>0</v>
      </c>
      <c r="AC65" s="172" t="n">
        <f aca="false">IF(T65=" ",AC55,T65+AC55)</f>
        <v>0</v>
      </c>
      <c r="AD65" s="101" t="n">
        <f aca="false">IF(G65="SSP",H65,0)</f>
        <v>0</v>
      </c>
      <c r="AE65" s="101" t="n">
        <f aca="false">IF(G65="SMP",H65,0)</f>
        <v>0</v>
      </c>
      <c r="AF65" s="101" t="n">
        <f aca="false">IF(G65="SPP",H65,0)</f>
        <v>0</v>
      </c>
      <c r="AG65" s="101" t="n">
        <f aca="false">IF(G65="SAP",H65,0)</f>
        <v>0</v>
      </c>
      <c r="AH65" s="144"/>
    </row>
    <row r="66" customFormat="false" ht="18" hidden="false" customHeight="true" outlineLevel="0" collapsed="false">
      <c r="A66" s="185"/>
      <c r="B66" s="186"/>
      <c r="C66" s="187"/>
      <c r="D66" s="187"/>
      <c r="E66" s="188"/>
      <c r="F66" s="207" t="s">
        <v>76</v>
      </c>
      <c r="G66" s="207"/>
      <c r="H66" s="242"/>
      <c r="I66" s="243"/>
      <c r="J66" s="243"/>
      <c r="K66" s="244"/>
      <c r="L66" s="244"/>
      <c r="M66" s="193" t="n">
        <f aca="false">SUM(M61:M65)</f>
        <v>0</v>
      </c>
      <c r="N66" s="193" t="n">
        <f aca="false">SUM(N61:N65)</f>
        <v>0</v>
      </c>
      <c r="O66" s="193" t="n">
        <f aca="false">SUM(O61:O65)</f>
        <v>0</v>
      </c>
      <c r="P66" s="193" t="n">
        <f aca="false">SUM(P61:P65)</f>
        <v>0</v>
      </c>
      <c r="Q66" s="193" t="n">
        <f aca="false">SUM(Q61:Q65)</f>
        <v>0</v>
      </c>
      <c r="R66" s="193" t="n">
        <f aca="false">SUM(R61:R65)</f>
        <v>0</v>
      </c>
      <c r="S66" s="107"/>
      <c r="T66" s="193" t="n">
        <f aca="false">SUM(T61:T65)</f>
        <v>0</v>
      </c>
      <c r="U66" s="195"/>
      <c r="V66" s="172"/>
      <c r="AH66" s="144"/>
    </row>
    <row r="67" s="127" customFormat="true" ht="24" hidden="false" customHeight="true" outlineLevel="0" collapsed="false">
      <c r="A67" s="196"/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9"/>
      <c r="V67" s="130"/>
      <c r="W67" s="130"/>
      <c r="X67" s="130"/>
      <c r="Y67" s="131"/>
      <c r="Z67" s="130"/>
      <c r="AA67" s="130"/>
      <c r="AB67" s="132"/>
      <c r="AC67" s="130"/>
      <c r="AD67" s="101"/>
      <c r="AE67" s="101"/>
      <c r="AF67" s="101"/>
      <c r="AG67" s="101"/>
      <c r="AH67" s="144"/>
    </row>
    <row r="68" customFormat="false" ht="18" hidden="false" customHeight="true" outlineLevel="0" collapsed="false">
      <c r="A68" s="134"/>
      <c r="B68" s="135" t="s">
        <v>78</v>
      </c>
      <c r="C68" s="135"/>
      <c r="D68" s="135"/>
      <c r="E68" s="135"/>
      <c r="F68" s="136"/>
      <c r="G68" s="136"/>
      <c r="H68" s="140"/>
      <c r="I68" s="140"/>
      <c r="J68" s="140"/>
      <c r="K68" s="139"/>
      <c r="L68" s="139"/>
      <c r="M68" s="140"/>
      <c r="N68" s="136"/>
      <c r="O68" s="141" t="s">
        <v>71</v>
      </c>
      <c r="P68" s="141"/>
      <c r="Q68" s="141"/>
      <c r="R68" s="197"/>
      <c r="S68" s="197"/>
      <c r="T68" s="197"/>
      <c r="U68" s="143"/>
      <c r="AH68" s="144"/>
    </row>
    <row r="69" customFormat="false" ht="18" hidden="false" customHeight="true" outlineLevel="0" collapsed="false">
      <c r="A69" s="145"/>
      <c r="B69" s="146" t="s">
        <v>79</v>
      </c>
      <c r="C69" s="146"/>
      <c r="D69" s="146"/>
      <c r="E69" s="147" t="n">
        <v>12</v>
      </c>
      <c r="F69" s="144"/>
      <c r="G69" s="144"/>
      <c r="H69" s="146" t="s">
        <v>71</v>
      </c>
      <c r="I69" s="146"/>
      <c r="J69" s="146"/>
      <c r="K69" s="215" t="n">
        <f aca="false">Admin!B331</f>
        <v>44621</v>
      </c>
      <c r="L69" s="149" t="s">
        <v>74</v>
      </c>
      <c r="M69" s="150" t="n">
        <f aca="false">Admin!B361</f>
        <v>44651</v>
      </c>
      <c r="N69" s="151"/>
      <c r="O69" s="198" t="s">
        <v>85</v>
      </c>
      <c r="P69" s="198"/>
      <c r="Q69" s="198"/>
      <c r="R69" s="198"/>
      <c r="S69" s="144"/>
      <c r="T69" s="245"/>
      <c r="U69" s="153"/>
      <c r="AH69" s="144"/>
    </row>
    <row r="70" customFormat="false" ht="18" hidden="false" customHeight="true" outlineLevel="0" collapsed="false">
      <c r="A70" s="145"/>
      <c r="B70" s="209"/>
      <c r="C70" s="210"/>
      <c r="D70" s="210"/>
      <c r="E70" s="211"/>
      <c r="F70" s="144"/>
      <c r="G70" s="144"/>
      <c r="H70" s="152"/>
      <c r="I70" s="152"/>
      <c r="J70" s="152"/>
      <c r="K70" s="157"/>
      <c r="L70" s="157"/>
      <c r="M70" s="152"/>
      <c r="N70" s="144"/>
      <c r="O70" s="152"/>
      <c r="P70" s="152"/>
      <c r="Q70" s="152"/>
      <c r="R70" s="152"/>
      <c r="S70" s="144"/>
      <c r="T70" s="152"/>
      <c r="U70" s="153"/>
      <c r="AH70" s="144"/>
    </row>
    <row r="71" customFormat="false" ht="18" hidden="false" customHeight="true" outlineLevel="0" collapsed="false">
      <c r="A71" s="145"/>
      <c r="B71" s="159" t="str">
        <f aca="false">IF(E71=" "," ",IF(Employee!F$24&gt;E$69," ",IF(Employee!F$26&lt;E$69," ",Employee!D$30)))</f>
        <v> </v>
      </c>
      <c r="C71" s="160"/>
      <c r="D71" s="160" t="s">
        <v>75</v>
      </c>
      <c r="E71" s="213" t="str">
        <f aca="false">IF(Employee!D$28="w"," ",IF(Employee!F$24&gt;E$69," ",IF(Employee!F$26&lt;E$69," ",Employee!D$29)))</f>
        <v> </v>
      </c>
      <c r="F71" s="162" t="str">
        <f aca="false">IF(E71=" "," ",IF(Employee!F$24&gt;E$69," ",IF(Employee!F$26&lt;E$69," ",Employee!D$15)))</f>
        <v> </v>
      </c>
      <c r="G71" s="212"/>
      <c r="H71" s="164" t="n">
        <f aca="false">IF(T$69="Y",Feb!H51,0)</f>
        <v>0</v>
      </c>
      <c r="I71" s="168" t="n">
        <f aca="false">IF(T$69="Y",Feb!I51,0)</f>
        <v>0</v>
      </c>
      <c r="J71" s="168" t="n">
        <f aca="false">IF(T$69="Y",Feb!J51,0)</f>
        <v>0</v>
      </c>
      <c r="K71" s="168" t="n">
        <f aca="false">IF(T$69="Y",Feb!K51,I71*J71)</f>
        <v>0</v>
      </c>
      <c r="L71" s="166" t="n">
        <f aca="false">IF(T$69="Y",Feb!L51,0)</f>
        <v>0</v>
      </c>
      <c r="M71" s="170" t="str">
        <f aca="false">IF(E71=" "," ",IF(T$69="Y",Feb!M51,IF((H71+K71+L71)&gt;0,H71+K71+L71," ")))</f>
        <v> </v>
      </c>
      <c r="N71" s="164" t="n">
        <v>0</v>
      </c>
      <c r="O71" s="168" t="n">
        <v>0</v>
      </c>
      <c r="P71" s="168" t="n">
        <v>0</v>
      </c>
      <c r="Q71" s="166" t="n">
        <v>0</v>
      </c>
      <c r="R71" s="252" t="str">
        <f aca="false">IF(M71=" "," ",IF(M71=0," ",M71-SUM(N71:Q71)))</f>
        <v> </v>
      </c>
      <c r="S71" s="107"/>
      <c r="T71" s="170" t="n">
        <v>0</v>
      </c>
      <c r="U71" s="171"/>
      <c r="V71" s="172" t="n">
        <f aca="false">IF(Employee!H$35=E$69,Employee!D$34+SUM(M71)+Feb!V51,SUM(M71)+Feb!V51)</f>
        <v>0</v>
      </c>
      <c r="W71" s="172" t="n">
        <f aca="false">IF(Employee!H$35=E$69,Employee!D$35+SUM(N71)+Feb!W51,SUM(N71)+Feb!W51)</f>
        <v>0</v>
      </c>
      <c r="X71" s="172" t="n">
        <f aca="false">IF(O71=" ",Feb!X51,O71+Feb!X51)</f>
        <v>0</v>
      </c>
      <c r="Y71" s="172" t="n">
        <f aca="false">IF(P71=" ",Feb!Y51,P71+Feb!Y51)</f>
        <v>0</v>
      </c>
      <c r="Z71" s="172" t="n">
        <f aca="false">IF(Q71=" ",Feb!Z51,Q71+Feb!Z51)</f>
        <v>0</v>
      </c>
      <c r="AA71" s="172" t="n">
        <f aca="false">IF(R71=" ",Feb!AA51,R71+Feb!AA51)</f>
        <v>0</v>
      </c>
      <c r="AC71" s="172" t="n">
        <f aca="false">IF(T71=" ",Feb!AC51,T71+Feb!AC51)</f>
        <v>0</v>
      </c>
      <c r="AD71" s="101" t="n">
        <f aca="false">IF(G71="SSP",H71,0)</f>
        <v>0</v>
      </c>
      <c r="AE71" s="101" t="n">
        <f aca="false">IF(G71="SMP",H71,0)</f>
        <v>0</v>
      </c>
      <c r="AF71" s="101" t="n">
        <f aca="false">IF(G71="SPP",H71,0)</f>
        <v>0</v>
      </c>
      <c r="AG71" s="101" t="n">
        <f aca="false">IF(G71="SAP",H71,0)</f>
        <v>0</v>
      </c>
      <c r="AH71" s="144"/>
    </row>
    <row r="72" customFormat="false" ht="18" hidden="false" customHeight="true" outlineLevel="0" collapsed="false">
      <c r="A72" s="145"/>
      <c r="B72" s="173" t="str">
        <f aca="false">IF(E72=" "," ",IF(Employee!F$50&gt;E$69," ",IF(Employee!F$52&lt;E$69," ",Employee!D$56)))</f>
        <v> </v>
      </c>
      <c r="C72" s="160"/>
      <c r="D72" s="160" t="s">
        <v>75</v>
      </c>
      <c r="E72" s="214" t="str">
        <f aca="false">IF(Employee!D$54="w"," ",IF(Employee!F$50&gt;E$69," ",IF(Employee!F$52&lt;E$69," ",Employee!D$55)))</f>
        <v> </v>
      </c>
      <c r="F72" s="175" t="str">
        <f aca="false">IF(E72=" "," ",IF(Employee!F$50&gt;E$69," ",IF(Employee!F$52&lt;E$69," ",Employee!D$41)))</f>
        <v> </v>
      </c>
      <c r="G72" s="212"/>
      <c r="H72" s="176" t="n">
        <f aca="false">IF(T$69="Y",Feb!H52,0)</f>
        <v>0</v>
      </c>
      <c r="I72" s="177" t="n">
        <f aca="false">IF(T$69="Y",Feb!I52,0)</f>
        <v>0</v>
      </c>
      <c r="J72" s="177" t="n">
        <f aca="false">IF(T$69="Y",Feb!J52,0)</f>
        <v>0</v>
      </c>
      <c r="K72" s="177" t="n">
        <f aca="false">IF(T$69="Y",Feb!K52,I72*J72)</f>
        <v>0</v>
      </c>
      <c r="L72" s="179" t="n">
        <f aca="false">IF(T$69="Y",Feb!L52,0)</f>
        <v>0</v>
      </c>
      <c r="M72" s="180" t="str">
        <f aca="false">IF(E72=" "," ",IF(T$69="Y",Feb!M52,IF((H72+K72+L72)&gt;0,H72+K72+L72," ")))</f>
        <v> </v>
      </c>
      <c r="N72" s="176" t="n">
        <v>0</v>
      </c>
      <c r="O72" s="177" t="n">
        <v>0</v>
      </c>
      <c r="P72" s="177" t="n">
        <v>0</v>
      </c>
      <c r="Q72" s="179" t="n">
        <v>0</v>
      </c>
      <c r="R72" s="253" t="str">
        <f aca="false">IF(M72=" "," ",IF(M72=0," ",M72-SUM(N72:Q72)))</f>
        <v> </v>
      </c>
      <c r="S72" s="107"/>
      <c r="T72" s="180" t="n">
        <v>0</v>
      </c>
      <c r="U72" s="171"/>
      <c r="V72" s="172" t="n">
        <f aca="false">IF(Employee!H$61=E$69,Employee!D$60+SUM(M72)+Feb!V52,SUM(M72)+Feb!V52)</f>
        <v>0</v>
      </c>
      <c r="W72" s="172" t="n">
        <f aca="false">IF(Employee!H$61=E$69,Employee!D$61+SUM(N72)+Feb!W52,SUM(N72)+Feb!W52)</f>
        <v>0</v>
      </c>
      <c r="X72" s="172" t="n">
        <f aca="false">IF(O72=" ",Feb!X52,O72+Feb!X52)</f>
        <v>0</v>
      </c>
      <c r="Y72" s="172" t="n">
        <f aca="false">IF(P72=" ",Feb!Y52,P72+Feb!Y52)</f>
        <v>0</v>
      </c>
      <c r="Z72" s="172" t="n">
        <f aca="false">IF(Q72=" ",Feb!Z52,Q72+Feb!Z52)</f>
        <v>0</v>
      </c>
      <c r="AA72" s="172" t="n">
        <f aca="false">IF(R72=" ",Feb!AA52,R72+Feb!AA52)</f>
        <v>0</v>
      </c>
      <c r="AC72" s="172" t="n">
        <f aca="false">IF(T72=" ",Feb!AC52,T72+Feb!AC52)</f>
        <v>0</v>
      </c>
      <c r="AD72" s="101" t="n">
        <f aca="false">IF(G72="SSP",H72,0)</f>
        <v>0</v>
      </c>
      <c r="AE72" s="101" t="n">
        <f aca="false">IF(G72="SMP",H72,0)</f>
        <v>0</v>
      </c>
      <c r="AF72" s="101" t="n">
        <f aca="false">IF(G72="SPP",H72,0)</f>
        <v>0</v>
      </c>
      <c r="AG72" s="101" t="n">
        <f aca="false">IF(G72="SAP",H72,0)</f>
        <v>0</v>
      </c>
      <c r="AH72" s="144"/>
    </row>
    <row r="73" customFormat="false" ht="18" hidden="false" customHeight="true" outlineLevel="0" collapsed="false">
      <c r="A73" s="145"/>
      <c r="B73" s="173" t="str">
        <f aca="false">IF(E73=" "," ",IF(Employee!F$76&gt;E$69," ",IF(Employee!F$78&lt;E$69," ",Employee!D$82)))</f>
        <v> </v>
      </c>
      <c r="C73" s="160"/>
      <c r="D73" s="160" t="s">
        <v>75</v>
      </c>
      <c r="E73" s="214" t="str">
        <f aca="false">IF(Employee!D$80="w"," ",IF(Employee!F$76&gt;E$69," ",IF(Employee!F$78&lt;E$69," ",Employee!D$81)))</f>
        <v> </v>
      </c>
      <c r="F73" s="175" t="str">
        <f aca="false">IF(E73=" "," ",IF(Employee!F$76&gt;E$69," ",IF(Employee!F$78&lt;E$69," ",Employee!D$67)))</f>
        <v> </v>
      </c>
      <c r="G73" s="212"/>
      <c r="H73" s="176" t="n">
        <f aca="false">IF(T$69="Y",Feb!H53,0)</f>
        <v>0</v>
      </c>
      <c r="I73" s="177" t="n">
        <f aca="false">IF(T$69="Y",Feb!I53,0)</f>
        <v>0</v>
      </c>
      <c r="J73" s="177" t="n">
        <f aca="false">IF(T$69="Y",Feb!J53,0)</f>
        <v>0</v>
      </c>
      <c r="K73" s="177" t="n">
        <f aca="false">IF(T$69="Y",Feb!K53,I73*J73)</f>
        <v>0</v>
      </c>
      <c r="L73" s="179" t="n">
        <f aca="false">IF(T$69="Y",Feb!L53,0)</f>
        <v>0</v>
      </c>
      <c r="M73" s="180" t="str">
        <f aca="false">IF(E73=" "," ",IF(T$69="Y",Feb!M53,IF((H73+K73+L73)&gt;0,H73+K73+L73," ")))</f>
        <v> </v>
      </c>
      <c r="N73" s="176" t="n">
        <v>0</v>
      </c>
      <c r="O73" s="177" t="n">
        <v>0</v>
      </c>
      <c r="P73" s="177" t="n">
        <v>0</v>
      </c>
      <c r="Q73" s="179" t="n">
        <v>0</v>
      </c>
      <c r="R73" s="253" t="str">
        <f aca="false">IF(M73=" "," ",IF(M73=0," ",M73-SUM(N73:Q73)))</f>
        <v> </v>
      </c>
      <c r="S73" s="107"/>
      <c r="T73" s="180" t="n">
        <v>0</v>
      </c>
      <c r="U73" s="171"/>
      <c r="V73" s="172" t="n">
        <f aca="false">IF(Employee!H$87=E$69,Employee!D$86+SUM(M73)+Feb!V53,SUM(M73)+Feb!V53)</f>
        <v>0</v>
      </c>
      <c r="W73" s="172" t="n">
        <f aca="false">IF(Employee!H$87=E$69,Employee!D$87+SUM(N73)+Feb!W53,SUM(N73)+Feb!W53)</f>
        <v>0</v>
      </c>
      <c r="X73" s="172" t="n">
        <f aca="false">IF(O73=" ",Feb!X53,O73+Feb!X53)</f>
        <v>0</v>
      </c>
      <c r="Y73" s="172" t="n">
        <f aca="false">IF(P73=" ",Feb!Y53,P73+Feb!Y53)</f>
        <v>0</v>
      </c>
      <c r="Z73" s="172" t="n">
        <f aca="false">IF(Q73=" ",Feb!Z53,Q73+Feb!Z53)</f>
        <v>0</v>
      </c>
      <c r="AA73" s="172" t="n">
        <f aca="false">IF(R73=" ",Feb!AA53,R73+Feb!AA53)</f>
        <v>0</v>
      </c>
      <c r="AC73" s="172" t="n">
        <f aca="false">IF(T73=" ",Feb!AC53,T73+Feb!AC53)</f>
        <v>0</v>
      </c>
      <c r="AD73" s="101" t="n">
        <f aca="false">IF(G73="SSP",H73,0)</f>
        <v>0</v>
      </c>
      <c r="AE73" s="101" t="n">
        <f aca="false">IF(G73="SMP",H73,0)</f>
        <v>0</v>
      </c>
      <c r="AF73" s="101" t="n">
        <f aca="false">IF(G73="SPP",H73,0)</f>
        <v>0</v>
      </c>
      <c r="AG73" s="101" t="n">
        <f aca="false">IF(G73="SAP",H73,0)</f>
        <v>0</v>
      </c>
      <c r="AH73" s="144"/>
    </row>
    <row r="74" customFormat="false" ht="18" hidden="false" customHeight="true" outlineLevel="0" collapsed="false">
      <c r="A74" s="145"/>
      <c r="B74" s="173" t="str">
        <f aca="false">IF(E74=" "," ",IF(Employee!F$102&gt;E$69," ",IF(Employee!F$104&lt;E$69," ",Employee!D$108)))</f>
        <v> </v>
      </c>
      <c r="C74" s="160"/>
      <c r="D74" s="160" t="s">
        <v>75</v>
      </c>
      <c r="E74" s="214" t="str">
        <f aca="false">IF(Employee!D$106="w"," ",IF(Employee!F$102&gt;E$69," ",IF(Employee!F$104&lt;E$69," ",Employee!D$107)))</f>
        <v> </v>
      </c>
      <c r="F74" s="175" t="str">
        <f aca="false">IF(E74=" "," ",IF(Employee!F$102&gt;E$69," ",IF(Employee!F$104&lt;E$69," ",Employee!D$93)))</f>
        <v> </v>
      </c>
      <c r="G74" s="212"/>
      <c r="H74" s="176" t="n">
        <f aca="false">IF(T$69="Y",Feb!H54,0)</f>
        <v>0</v>
      </c>
      <c r="I74" s="177" t="n">
        <f aca="false">IF(T$69="Y",Feb!I54,0)</f>
        <v>0</v>
      </c>
      <c r="J74" s="177" t="n">
        <f aca="false">IF(T$69="Y",Feb!J54,0)</f>
        <v>0</v>
      </c>
      <c r="K74" s="177" t="n">
        <f aca="false">IF(T$69="Y",Feb!K54,I74*J74)</f>
        <v>0</v>
      </c>
      <c r="L74" s="179" t="n">
        <f aca="false">IF(T$69="Y",Feb!L54,0)</f>
        <v>0</v>
      </c>
      <c r="M74" s="180" t="str">
        <f aca="false">IF(E74=" "," ",IF(T$69="Y",Feb!M54,IF((H74+K74+L74)&gt;0,H74+K74+L74," ")))</f>
        <v> </v>
      </c>
      <c r="N74" s="176" t="n">
        <v>0</v>
      </c>
      <c r="O74" s="177" t="n">
        <v>0</v>
      </c>
      <c r="P74" s="177" t="n">
        <v>0</v>
      </c>
      <c r="Q74" s="179" t="n">
        <v>0</v>
      </c>
      <c r="R74" s="253" t="str">
        <f aca="false">IF(M74=" "," ",IF(M74=0," ",M74-SUM(N74:Q74)))</f>
        <v> </v>
      </c>
      <c r="S74" s="107"/>
      <c r="T74" s="180" t="n">
        <v>0</v>
      </c>
      <c r="U74" s="171"/>
      <c r="V74" s="172" t="n">
        <f aca="false">IF(Employee!H$113=E$69,Employee!D$112+SUM(M74)+Feb!V54,SUM(M74)+Feb!V54)</f>
        <v>0</v>
      </c>
      <c r="W74" s="172" t="n">
        <f aca="false">IF(Employee!H$113=E$69,Employee!D$113+SUM(N74)+Feb!W54,SUM(N74)+Feb!W54)</f>
        <v>0</v>
      </c>
      <c r="X74" s="172" t="n">
        <f aca="false">IF(O74=" ",Feb!X54,O74+Feb!X54)</f>
        <v>0</v>
      </c>
      <c r="Y74" s="172" t="n">
        <f aca="false">IF(P74=" ",Feb!Y54,P74+Feb!Y54)</f>
        <v>0</v>
      </c>
      <c r="Z74" s="172" t="n">
        <f aca="false">IF(Q74=" ",Feb!Z54,Q74+Feb!Z54)</f>
        <v>0</v>
      </c>
      <c r="AA74" s="172" t="n">
        <f aca="false">IF(R74=" ",Feb!AA54,R74+Feb!AA54)</f>
        <v>0</v>
      </c>
      <c r="AC74" s="172" t="n">
        <f aca="false">IF(T74=" ",Feb!AC54,T74+Feb!AC54)</f>
        <v>0</v>
      </c>
      <c r="AD74" s="101" t="n">
        <f aca="false">IF(G74="SSP",H74,0)</f>
        <v>0</v>
      </c>
      <c r="AE74" s="101" t="n">
        <f aca="false">IF(G74="SMP",H74,0)</f>
        <v>0</v>
      </c>
      <c r="AF74" s="101" t="n">
        <f aca="false">IF(G74="SPP",H74,0)</f>
        <v>0</v>
      </c>
      <c r="AG74" s="101" t="n">
        <f aca="false">IF(G74="SAP",H74,0)</f>
        <v>0</v>
      </c>
      <c r="AH74" s="144"/>
    </row>
    <row r="75" customFormat="false" ht="18" hidden="false" customHeight="true" outlineLevel="0" collapsed="false">
      <c r="A75" s="145"/>
      <c r="B75" s="173" t="str">
        <f aca="false">IF(E75=" "," ",IF(Employee!F$128&gt;E$69," ",IF(Employee!F$130&lt;E$69," ",Employee!D$134)))</f>
        <v> </v>
      </c>
      <c r="C75" s="160"/>
      <c r="D75" s="160" t="s">
        <v>75</v>
      </c>
      <c r="E75" s="214" t="str">
        <f aca="false">IF(Employee!D$132="w"," ",IF(Employee!F$128&gt;E$69," ",IF(Employee!F$130&lt;E$69," ",Employee!D$133)))</f>
        <v> </v>
      </c>
      <c r="F75" s="175" t="str">
        <f aca="false">IF(E75=" "," ",IF(Employee!F$128&gt;E$69," ",IF(Employee!F$130&lt;E$69," ",Employee!D$119)))</f>
        <v> </v>
      </c>
      <c r="G75" s="212"/>
      <c r="H75" s="181" t="n">
        <f aca="false">IF(T$69="Y",Feb!H55,0)</f>
        <v>0</v>
      </c>
      <c r="I75" s="182" t="n">
        <f aca="false">IF(T$69="Y",Feb!I55,0)</f>
        <v>0</v>
      </c>
      <c r="J75" s="182" t="n">
        <f aca="false">IF(T$69="Y",Feb!J55,0)</f>
        <v>0</v>
      </c>
      <c r="K75" s="182" t="n">
        <f aca="false">IF(T$69="Y",Feb!K55,I75*J75)</f>
        <v>0</v>
      </c>
      <c r="L75" s="183" t="n">
        <f aca="false">IF(T$69="Y",Feb!L55,0)</f>
        <v>0</v>
      </c>
      <c r="M75" s="180" t="str">
        <f aca="false">IF(E75=" "," ",IF(T$69="Y",Feb!M55,IF((H75+K75+L75)&gt;0,H75+K75+L75," ")))</f>
        <v> </v>
      </c>
      <c r="N75" s="181" t="n">
        <v>0</v>
      </c>
      <c r="O75" s="182" t="n">
        <v>0</v>
      </c>
      <c r="P75" s="182" t="n">
        <v>0</v>
      </c>
      <c r="Q75" s="183" t="n">
        <v>0</v>
      </c>
      <c r="R75" s="253" t="str">
        <f aca="false">IF(M75=" "," ",IF(M75=0," ",M75-SUM(N75:Q75)))</f>
        <v> </v>
      </c>
      <c r="S75" s="107"/>
      <c r="T75" s="184" t="n">
        <v>0</v>
      </c>
      <c r="U75" s="171"/>
      <c r="V75" s="172" t="n">
        <f aca="false">IF(Employee!H$139=E$69,Employee!D$138+SUM(M75)+Feb!V55,SUM(M75)+Feb!V55)</f>
        <v>0</v>
      </c>
      <c r="W75" s="172" t="n">
        <f aca="false">IF(Employee!H$139=E$69,Employee!D$139+SUM(N75)+Feb!W55,SUM(N75)+Feb!W55)</f>
        <v>0</v>
      </c>
      <c r="X75" s="172" t="n">
        <f aca="false">IF(O75=" ",Feb!X55,O75+Feb!X55)</f>
        <v>0</v>
      </c>
      <c r="Y75" s="172" t="n">
        <f aca="false">IF(P75=" ",Feb!Y55,P75+Feb!Y55)</f>
        <v>0</v>
      </c>
      <c r="Z75" s="172" t="n">
        <f aca="false">IF(Q75=" ",Feb!Z55,Q75+Feb!Z55)</f>
        <v>0</v>
      </c>
      <c r="AA75" s="172" t="n">
        <f aca="false">IF(R75=" ",Feb!AA55,R75+Feb!AA55)</f>
        <v>0</v>
      </c>
      <c r="AC75" s="172" t="n">
        <f aca="false">IF(T75=" ",Feb!AC55,T75+Feb!AC55)</f>
        <v>0</v>
      </c>
      <c r="AD75" s="101" t="n">
        <f aca="false">IF(G75="SSP",H75,0)</f>
        <v>0</v>
      </c>
      <c r="AE75" s="101" t="n">
        <f aca="false">IF(G75="SMP",H75,0)</f>
        <v>0</v>
      </c>
      <c r="AF75" s="101" t="n">
        <f aca="false">IF(G75="SPP",H75,0)</f>
        <v>0</v>
      </c>
      <c r="AG75" s="101" t="n">
        <f aca="false">IF(G75="SAP",H75,0)</f>
        <v>0</v>
      </c>
      <c r="AH75" s="144"/>
    </row>
    <row r="76" customFormat="false" ht="18" hidden="false" customHeight="true" outlineLevel="0" collapsed="false">
      <c r="A76" s="185"/>
      <c r="B76" s="186"/>
      <c r="C76" s="187"/>
      <c r="D76" s="187"/>
      <c r="E76" s="188"/>
      <c r="F76" s="207" t="s">
        <v>76</v>
      </c>
      <c r="G76" s="207"/>
      <c r="H76" s="242"/>
      <c r="I76" s="243"/>
      <c r="J76" s="243"/>
      <c r="K76" s="244"/>
      <c r="L76" s="244"/>
      <c r="M76" s="193" t="n">
        <f aca="false">SUM(M71:M75)</f>
        <v>0</v>
      </c>
      <c r="N76" s="193" t="n">
        <f aca="false">SUM(N71:N75)</f>
        <v>0</v>
      </c>
      <c r="O76" s="193" t="n">
        <f aca="false">SUM(O71:O75)</f>
        <v>0</v>
      </c>
      <c r="P76" s="193" t="n">
        <f aca="false">SUM(P71:P75)</f>
        <v>0</v>
      </c>
      <c r="Q76" s="193" t="n">
        <f aca="false">SUM(Q71:Q75)</f>
        <v>0</v>
      </c>
      <c r="R76" s="193" t="n">
        <f aca="false">SUM(R71:R75)</f>
        <v>0</v>
      </c>
      <c r="S76" s="107"/>
      <c r="T76" s="193" t="n">
        <f aca="false">SUM(T71:T75)</f>
        <v>0</v>
      </c>
      <c r="U76" s="195"/>
      <c r="V76" s="172"/>
      <c r="AH76" s="144"/>
    </row>
    <row r="77" customFormat="false" ht="24" hidden="false" customHeight="true" outlineLevel="0" collapsed="false"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44"/>
    </row>
    <row r="78" customFormat="false" ht="12.75" hidden="false" customHeight="true" outlineLevel="0" collapsed="false">
      <c r="AD78" s="217" t="n">
        <f aca="false">SUM(AD11:AD76)</f>
        <v>0</v>
      </c>
      <c r="AE78" s="217" t="n">
        <f aca="false">SUM(AE11:AE76)</f>
        <v>0</v>
      </c>
      <c r="AF78" s="217" t="n">
        <f aca="false">SUM(AF11:AF76)</f>
        <v>0</v>
      </c>
      <c r="AG78" s="217" t="n">
        <f aca="false">SUM(AG11:AG76)</f>
        <v>0</v>
      </c>
    </row>
    <row r="79" customFormat="false" ht="13.5" hidden="false" customHeight="true" outlineLevel="0" collapsed="false">
      <c r="F79" s="218" t="s">
        <v>82</v>
      </c>
      <c r="G79" s="219"/>
      <c r="H79" s="219"/>
      <c r="M79" s="220" t="s">
        <v>83</v>
      </c>
      <c r="N79" s="220"/>
      <c r="O79" s="220"/>
      <c r="P79" s="220"/>
      <c r="Q79" s="220"/>
      <c r="R79" s="220"/>
      <c r="T79" s="221"/>
    </row>
    <row r="80" customFormat="false" ht="12.75" hidden="false" customHeight="true" outlineLevel="0" collapsed="false">
      <c r="F80" s="222" t="str">
        <f aca="false">IF(B71="D",Employee!D15," ")</f>
        <v> </v>
      </c>
      <c r="M80" s="223" t="str">
        <f aca="false">IF(B71="D",M71," ")</f>
        <v> </v>
      </c>
      <c r="N80" s="224" t="str">
        <f aca="false">IF(B71="D",N71," ")</f>
        <v> </v>
      </c>
      <c r="O80" s="224" t="str">
        <f aca="false">IF(B71="D",O71," ")</f>
        <v> </v>
      </c>
      <c r="P80" s="224" t="str">
        <f aca="false">IF(B71="D",P71," ")</f>
        <v> </v>
      </c>
      <c r="Q80" s="224" t="str">
        <f aca="false">IF(B71="D",Q71," ")</f>
        <v> </v>
      </c>
      <c r="R80" s="225" t="str">
        <f aca="false">IF(B71="D",R71," ")</f>
        <v> </v>
      </c>
      <c r="S80" s="226"/>
      <c r="T80" s="227" t="str">
        <f aca="false">IF(B71="D",T71," ")</f>
        <v> </v>
      </c>
      <c r="AD80" s="228" t="n">
        <f aca="false">IF((AD78-(O1+T1)*0.13)&gt;0,AD78-(Q1+T1)*0.13,0)</f>
        <v>0</v>
      </c>
      <c r="AE80" s="228" t="n">
        <f aca="false">AE78</f>
        <v>0</v>
      </c>
      <c r="AF80" s="228" t="n">
        <f aca="false">AF78</f>
        <v>0</v>
      </c>
      <c r="AG80" s="228" t="n">
        <f aca="false">AG78</f>
        <v>0</v>
      </c>
    </row>
    <row r="81" customFormat="false" ht="12.75" hidden="false" customHeight="false" outlineLevel="0" collapsed="false">
      <c r="F81" s="222" t="str">
        <f aca="false">IF(B72="D",Employee!D41," ")</f>
        <v> </v>
      </c>
      <c r="M81" s="229" t="str">
        <f aca="false">IF(B72="D",M72," ")</f>
        <v> </v>
      </c>
      <c r="N81" s="230" t="str">
        <f aca="false">IF(B72="D",N72," ")</f>
        <v> </v>
      </c>
      <c r="O81" s="230" t="str">
        <f aca="false">IF(B72="D",O72," ")</f>
        <v> </v>
      </c>
      <c r="P81" s="230" t="str">
        <f aca="false">IF(B72="D",P72," ")</f>
        <v> </v>
      </c>
      <c r="Q81" s="230" t="str">
        <f aca="false">IF(B72="D",Q72," ")</f>
        <v> </v>
      </c>
      <c r="R81" s="231" t="str">
        <f aca="false">IF(B72="D",R72," ")</f>
        <v> </v>
      </c>
      <c r="S81" s="226"/>
      <c r="T81" s="232" t="str">
        <f aca="false">IF(B72="D",T72," ")</f>
        <v> </v>
      </c>
    </row>
    <row r="82" customFormat="false" ht="12.75" hidden="false" customHeight="true" outlineLevel="0" collapsed="false">
      <c r="F82" s="222" t="str">
        <f aca="false">IF(B73="D",Employee!D67," ")</f>
        <v> </v>
      </c>
      <c r="M82" s="229" t="str">
        <f aca="false">IF(B73="D",M73," ")</f>
        <v> </v>
      </c>
      <c r="N82" s="230" t="str">
        <f aca="false">IF(B73="D",N73," ")</f>
        <v> </v>
      </c>
      <c r="O82" s="230" t="str">
        <f aca="false">IF(B73="D",O73," ")</f>
        <v> </v>
      </c>
      <c r="P82" s="230" t="str">
        <f aca="false">IF(B73="D",P73," ")</f>
        <v> </v>
      </c>
      <c r="Q82" s="230" t="str">
        <f aca="false">IF(B73="D",Q73," ")</f>
        <v> </v>
      </c>
      <c r="R82" s="231" t="str">
        <f aca="false">IF(B73="D",R73," ")</f>
        <v> </v>
      </c>
      <c r="S82" s="226"/>
      <c r="T82" s="232" t="str">
        <f aca="false">IF(B73="D",T73," ")</f>
        <v> </v>
      </c>
      <c r="AD82" s="233"/>
      <c r="AE82" s="228" t="n">
        <f aca="false">AE80*0.045</f>
        <v>0</v>
      </c>
      <c r="AF82" s="228" t="n">
        <f aca="false">AF80*0.045</f>
        <v>0</v>
      </c>
      <c r="AG82" s="228" t="n">
        <f aca="false">AG80*0.045</f>
        <v>0</v>
      </c>
    </row>
    <row r="83" customFormat="false" ht="12.75" hidden="false" customHeight="false" outlineLevel="0" collapsed="false">
      <c r="F83" s="222" t="str">
        <f aca="false">IF(B74="D",Employee!D93," ")</f>
        <v> </v>
      </c>
      <c r="M83" s="229" t="str">
        <f aca="false">IF(B74="D",M74," ")</f>
        <v> </v>
      </c>
      <c r="N83" s="230" t="str">
        <f aca="false">IF(B74="D",N74," ")</f>
        <v> </v>
      </c>
      <c r="O83" s="230" t="str">
        <f aca="false">IF(B74="D",O74," ")</f>
        <v> </v>
      </c>
      <c r="P83" s="230" t="str">
        <f aca="false">IF(B74="D",P74," ")</f>
        <v> </v>
      </c>
      <c r="Q83" s="230" t="str">
        <f aca="false">IF(B74="D",Q74," ")</f>
        <v> </v>
      </c>
      <c r="R83" s="231" t="str">
        <f aca="false">IF(B74="D",R74," ")</f>
        <v> </v>
      </c>
      <c r="S83" s="226"/>
      <c r="T83" s="232" t="str">
        <f aca="false">IF(B74="D",T74," ")</f>
        <v> </v>
      </c>
    </row>
    <row r="84" customFormat="false" ht="12.75" hidden="false" customHeight="false" outlineLevel="0" collapsed="false">
      <c r="F84" s="222" t="str">
        <f aca="false">IF(B75="D",Employee!D119," ")</f>
        <v> </v>
      </c>
      <c r="M84" s="234" t="str">
        <f aca="false">IF(B75="D",M75," ")</f>
        <v> </v>
      </c>
      <c r="N84" s="235" t="str">
        <f aca="false">IF(B75="D",N75," ")</f>
        <v> </v>
      </c>
      <c r="O84" s="235" t="str">
        <f aca="false">IF(B75="D",O75," ")</f>
        <v> </v>
      </c>
      <c r="P84" s="235" t="str">
        <f aca="false">IF(B75="D",P75," ")</f>
        <v> </v>
      </c>
      <c r="Q84" s="235" t="str">
        <f aca="false">IF(B75="D",Q75," ")</f>
        <v> </v>
      </c>
      <c r="R84" s="236" t="str">
        <f aca="false">IF(B75="D",R75," ")</f>
        <v> </v>
      </c>
      <c r="S84" s="226"/>
      <c r="T84" s="237" t="str">
        <f aca="false">IF(B75="D",T75," ")</f>
        <v> </v>
      </c>
    </row>
    <row r="85" customFormat="false" ht="12.75" hidden="false" customHeight="false" outlineLevel="0" collapsed="false">
      <c r="F85" s="238" t="s">
        <v>84</v>
      </c>
      <c r="M85" s="239" t="n">
        <f aca="false">SUM(M80:M84)</f>
        <v>0</v>
      </c>
      <c r="N85" s="239" t="n">
        <f aca="false">SUM(N80:N84)</f>
        <v>0</v>
      </c>
      <c r="O85" s="239" t="n">
        <f aca="false">SUM(O80:O84)</f>
        <v>0</v>
      </c>
      <c r="P85" s="239" t="n">
        <f aca="false">SUM(P80:P84)</f>
        <v>0</v>
      </c>
      <c r="Q85" s="239" t="n">
        <f aca="false">SUM(Q80:Q84)</f>
        <v>0</v>
      </c>
      <c r="R85" s="239" t="n">
        <f aca="false">SUM(R80:R84)</f>
        <v>0</v>
      </c>
      <c r="S85" s="226"/>
      <c r="T85" s="239" t="n">
        <f aca="false">SUM(T80:T84)</f>
        <v>0</v>
      </c>
      <c r="AD85" s="240" t="n">
        <f aca="false">AD80+Feb!AD65</f>
        <v>0</v>
      </c>
      <c r="AE85" s="240" t="n">
        <f aca="false">AE80+Feb!AE65</f>
        <v>0</v>
      </c>
      <c r="AF85" s="240" t="n">
        <f aca="false">AF80+Feb!AF65</f>
        <v>0</v>
      </c>
      <c r="AG85" s="240" t="n">
        <f aca="false">AG80+Feb!AG65</f>
        <v>0</v>
      </c>
    </row>
    <row r="87" customFormat="false" ht="12.75" hidden="false" customHeight="false" outlineLevel="0" collapsed="false">
      <c r="AD87" s="233"/>
      <c r="AE87" s="240" t="n">
        <f aca="false">AE82+Feb!AE67</f>
        <v>0</v>
      </c>
      <c r="AF87" s="240" t="n">
        <f aca="false">AF82+Feb!AF67</f>
        <v>0</v>
      </c>
      <c r="AG87" s="240" t="n">
        <f aca="false">AG82+Feb!AG67</f>
        <v>0</v>
      </c>
    </row>
  </sheetData>
  <mergeCells count="96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B58:E58"/>
    <mergeCell ref="O58:Q58"/>
    <mergeCell ref="R58:T58"/>
    <mergeCell ref="B59:D59"/>
    <mergeCell ref="H59:J59"/>
    <mergeCell ref="O59:R59"/>
    <mergeCell ref="B60:E60"/>
    <mergeCell ref="F66:G66"/>
    <mergeCell ref="B67:T67"/>
    <mergeCell ref="B68:E68"/>
    <mergeCell ref="O68:Q68"/>
    <mergeCell ref="R68:T68"/>
    <mergeCell ref="B69:D69"/>
    <mergeCell ref="H69:J69"/>
    <mergeCell ref="O69:R69"/>
    <mergeCell ref="F76:G76"/>
    <mergeCell ref="B77:T77"/>
    <mergeCell ref="M79:R79"/>
  </mergeCells>
  <dataValidations count="1">
    <dataValidation allowBlank="true" errorStyle="stop" operator="between" showDropDown="false" showErrorMessage="true" showInputMessage="false" sqref="G11:G15 G21:G25 G31:G35 G41:G45 G51:G55 G61:G65 G71:G7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0.5" zeroHeight="false" outlineLevelRow="0" outlineLevelCol="0"/>
  <cols>
    <col collapsed="false" customWidth="true" hidden="false" outlineLevel="0" max="1" min="1" style="265" width="2.66"/>
    <col collapsed="false" customWidth="true" hidden="false" outlineLevel="0" max="2" min="2" style="265" width="12.66"/>
    <col collapsed="false" customWidth="true" hidden="false" outlineLevel="0" max="4" min="3" style="265" width="10.66"/>
    <col collapsed="false" customWidth="true" hidden="false" outlineLevel="0" max="7" min="5" style="265" width="12.66"/>
    <col collapsed="false" customWidth="true" hidden="false" outlineLevel="0" max="9" min="8" style="265" width="10.66"/>
    <col collapsed="false" customWidth="true" hidden="false" outlineLevel="0" max="11" min="10" style="265" width="5.66"/>
    <col collapsed="false" customWidth="true" hidden="false" outlineLevel="0" max="12" min="12" style="265" width="10.66"/>
    <col collapsed="false" customWidth="true" hidden="false" outlineLevel="0" max="13" min="13" style="265" width="12.66"/>
    <col collapsed="false" customWidth="true" hidden="false" outlineLevel="0" max="14" min="14" style="265" width="2.66"/>
    <col collapsed="false" customWidth="false" hidden="false" outlineLevel="0" max="257" min="15" style="265" width="9.15"/>
  </cols>
  <sheetData>
    <row r="2" customFormat="false" ht="11.45" hidden="false" customHeight="false" outlineLevel="0" collapsed="false">
      <c r="B2" s="266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8"/>
    </row>
    <row r="3" s="269" customFormat="true" ht="12.65" hidden="false" customHeight="false" outlineLevel="0" collapsed="false">
      <c r="B3" s="270" t="s">
        <v>87</v>
      </c>
      <c r="C3" s="271"/>
      <c r="D3" s="271"/>
      <c r="E3" s="271"/>
      <c r="F3" s="272" t="s">
        <v>88</v>
      </c>
      <c r="G3" s="273" t="s">
        <v>89</v>
      </c>
      <c r="H3" s="273" t="str">
        <f aca="false">LOOKUP(F4,IF(F3="W",Admin!C2:C381,IF(F3="M",Admin!D2:D381," ")),Admin!A2:A381)</f>
        <v>Apr</v>
      </c>
      <c r="I3" s="274" t="str">
        <f aca="false">IF(M3="ERROR","Enter W or M in cell F3"," ")</f>
        <v> </v>
      </c>
      <c r="J3" s="274"/>
      <c r="K3" s="274"/>
      <c r="L3" s="274"/>
      <c r="M3" s="275" t="n">
        <f aca="false">IF(ISERROR(H3),"ERROR")</f>
        <v>0</v>
      </c>
    </row>
    <row r="4" s="269" customFormat="true" ht="12.65" hidden="false" customHeight="false" outlineLevel="0" collapsed="false">
      <c r="B4" s="270" t="s">
        <v>90</v>
      </c>
      <c r="C4" s="271"/>
      <c r="D4" s="271"/>
      <c r="E4" s="271"/>
      <c r="F4" s="272" t="n">
        <v>1</v>
      </c>
      <c r="G4" s="273" t="s">
        <v>91</v>
      </c>
      <c r="H4" s="273" t="n">
        <f aca="false">IF(F$3="W",8+10*(LOOKUP(F4,Admin!C2:C381,Admin!F2:F381)-1),8+10*LOOKUP(F4,Admin!H8:H19,Admin!I8:I19))</f>
        <v>8</v>
      </c>
      <c r="I4" s="274" t="str">
        <f aca="false">IF(M3="ERROR","Enter 1 to 53 in cell F4"," ")</f>
        <v> </v>
      </c>
      <c r="J4" s="274"/>
      <c r="K4" s="274"/>
      <c r="L4" s="274"/>
      <c r="M4" s="276"/>
    </row>
    <row r="5" s="269" customFormat="true" ht="12.65" hidden="false" customHeight="false" outlineLevel="0" collapsed="false">
      <c r="B5" s="277"/>
      <c r="C5" s="278"/>
      <c r="D5" s="278"/>
      <c r="E5" s="278"/>
      <c r="F5" s="278"/>
      <c r="G5" s="278"/>
      <c r="H5" s="278"/>
      <c r="I5" s="278"/>
      <c r="J5" s="278"/>
      <c r="K5" s="278"/>
      <c r="L5" s="278"/>
      <c r="M5" s="279"/>
    </row>
    <row r="6" customFormat="false" ht="21" hidden="false" customHeight="true" outlineLevel="0" collapsed="false">
      <c r="A6" s="280"/>
      <c r="B6" s="280"/>
      <c r="C6" s="280"/>
      <c r="D6" s="280"/>
      <c r="E6" s="280"/>
      <c r="F6" s="280"/>
      <c r="G6" s="280"/>
      <c r="H6" s="280"/>
      <c r="I6" s="280"/>
      <c r="J6" s="280"/>
      <c r="K6" s="280"/>
      <c r="L6" s="280"/>
      <c r="M6" s="280"/>
      <c r="N6" s="280"/>
    </row>
    <row r="7" customFormat="false" ht="24.75" hidden="false" customHeight="true" outlineLevel="0" collapsed="false">
      <c r="A7" s="281"/>
      <c r="B7" s="282" t="e">
        <f aca="false">IF(M14=" "," ",Employee!$D$5)</f>
        <v>#REF!</v>
      </c>
      <c r="C7" s="282"/>
      <c r="D7" s="282"/>
      <c r="E7" s="282"/>
      <c r="F7" s="282"/>
      <c r="G7" s="283" t="e">
        <f aca="false">IF(G14=" "," ",Employee!$D$15)</f>
        <v>#REF!</v>
      </c>
      <c r="H7" s="283"/>
      <c r="I7" s="284" t="e">
        <f aca="false">IF(G14=" "," ",Employee!$D$16)</f>
        <v>#REF!</v>
      </c>
      <c r="J7" s="284"/>
      <c r="K7" s="284"/>
      <c r="L7" s="285" t="e">
        <f aca="true">INDIRECT($H$3&amp;"!B"&amp;$H$4)</f>
        <v>#REF!</v>
      </c>
      <c r="M7" s="285"/>
      <c r="N7" s="286"/>
    </row>
    <row r="8" customFormat="false" ht="18" hidden="false" customHeight="true" outlineLevel="0" collapsed="false">
      <c r="A8" s="287"/>
      <c r="B8" s="288" t="e">
        <f aca="false">IF(M14=" "," ",Employee!$D$6)</f>
        <v>#REF!</v>
      </c>
      <c r="C8" s="288"/>
      <c r="D8" s="288"/>
      <c r="E8" s="289"/>
      <c r="F8" s="289"/>
      <c r="G8" s="290"/>
      <c r="H8" s="291"/>
      <c r="I8" s="292"/>
      <c r="J8" s="292"/>
      <c r="K8" s="292"/>
      <c r="L8" s="292"/>
      <c r="M8" s="292" t="e">
        <f aca="true">INDIRECT($H$3&amp;"!E"&amp;$H$4+2+C10)</f>
        <v>#REF!</v>
      </c>
      <c r="N8" s="293"/>
    </row>
    <row r="9" customFormat="false" ht="21" hidden="false" customHeight="true" outlineLevel="0" collapsed="false">
      <c r="A9" s="287"/>
      <c r="B9" s="288" t="e">
        <f aca="false">IF(M14=" "," ",Employee!$D$7)</f>
        <v>#REF!</v>
      </c>
      <c r="C9" s="288"/>
      <c r="D9" s="288"/>
      <c r="E9" s="294" t="e">
        <f aca="false">IF(M14=" "," ",Employee!$D$9)</f>
        <v>#REF!</v>
      </c>
      <c r="F9" s="271"/>
      <c r="G9" s="295"/>
      <c r="H9" s="296" t="s">
        <v>92</v>
      </c>
      <c r="I9" s="297" t="e">
        <f aca="true">INDIRECT($H$3&amp;"!M"&amp;$H$4+1)</f>
        <v>#REF!</v>
      </c>
      <c r="J9" s="298" t="s">
        <v>44</v>
      </c>
      <c r="K9" s="298"/>
      <c r="L9" s="296" t="s">
        <v>93</v>
      </c>
      <c r="M9" s="292" t="e">
        <f aca="false">IF(M8=" "," ",Employee!$M$15)</f>
        <v>#REF!</v>
      </c>
      <c r="N9" s="293"/>
    </row>
    <row r="10" customFormat="false" ht="21" hidden="false" customHeight="true" outlineLevel="0" collapsed="false">
      <c r="A10" s="287"/>
      <c r="B10" s="296" t="s">
        <v>94</v>
      </c>
      <c r="C10" s="299" t="n">
        <f aca="false">Employee!$D$29</f>
        <v>1</v>
      </c>
      <c r="D10" s="300"/>
      <c r="E10" s="300"/>
      <c r="F10" s="301"/>
      <c r="G10" s="301"/>
      <c r="H10" s="302" t="str">
        <f aca="false">"Tax "&amp;IF($F$3="W","Week","Month")</f>
        <v>Tax Week</v>
      </c>
      <c r="I10" s="303" t="e">
        <f aca="true">INDIRECT($H$3&amp;"!E"&amp;$H$4+1)</f>
        <v>#REF!</v>
      </c>
      <c r="J10" s="304" t="e">
        <f aca="true">IF(M8=" "," ",INDIRECT($H$3&amp;"!D"&amp;$H$4+2+C10))</f>
        <v>#REF!</v>
      </c>
      <c r="K10" s="304"/>
      <c r="L10" s="296" t="s">
        <v>95</v>
      </c>
      <c r="M10" s="292" t="e">
        <f aca="true">IF(M8=" "," ",INDIRECT($H$3&amp;"!C"&amp;$H$4+2+C10))</f>
        <v>#REF!</v>
      </c>
      <c r="N10" s="293"/>
    </row>
    <row r="11" customFormat="false" ht="6" hidden="false" customHeight="true" outlineLevel="0" collapsed="false">
      <c r="A11" s="287"/>
      <c r="B11" s="305"/>
      <c r="C11" s="305"/>
      <c r="D11" s="305"/>
      <c r="E11" s="305"/>
      <c r="F11" s="305"/>
      <c r="G11" s="305"/>
      <c r="H11" s="305"/>
      <c r="I11" s="305"/>
      <c r="J11" s="305"/>
      <c r="K11" s="305"/>
      <c r="L11" s="305"/>
      <c r="M11" s="305"/>
      <c r="N11" s="293"/>
    </row>
    <row r="12" customFormat="false" ht="21" hidden="false" customHeight="true" outlineLevel="0" collapsed="false">
      <c r="A12" s="287"/>
      <c r="B12" s="306" t="s">
        <v>96</v>
      </c>
      <c r="C12" s="306"/>
      <c r="D12" s="306"/>
      <c r="E12" s="306"/>
      <c r="F12" s="306"/>
      <c r="G12" s="307" t="s">
        <v>97</v>
      </c>
      <c r="H12" s="308" t="s">
        <v>98</v>
      </c>
      <c r="I12" s="308"/>
      <c r="J12" s="308"/>
      <c r="K12" s="308"/>
      <c r="L12" s="308"/>
      <c r="M12" s="309" t="s">
        <v>99</v>
      </c>
      <c r="N12" s="293"/>
    </row>
    <row r="13" s="313" customFormat="true" ht="21" hidden="false" customHeight="true" outlineLevel="0" collapsed="false">
      <c r="A13" s="287"/>
      <c r="B13" s="310" t="s">
        <v>100</v>
      </c>
      <c r="C13" s="310" t="s">
        <v>101</v>
      </c>
      <c r="D13" s="310" t="s">
        <v>102</v>
      </c>
      <c r="E13" s="310" t="s">
        <v>103</v>
      </c>
      <c r="F13" s="311" t="s">
        <v>104</v>
      </c>
      <c r="G13" s="307"/>
      <c r="H13" s="312" t="s">
        <v>105</v>
      </c>
      <c r="I13" s="310" t="s">
        <v>106</v>
      </c>
      <c r="J13" s="310" t="s">
        <v>107</v>
      </c>
      <c r="K13" s="310"/>
      <c r="L13" s="311" t="s">
        <v>57</v>
      </c>
      <c r="M13" s="309"/>
      <c r="N13" s="293"/>
    </row>
    <row r="14" s="321" customFormat="true" ht="21" hidden="false" customHeight="true" outlineLevel="0" collapsed="false">
      <c r="A14" s="314"/>
      <c r="B14" s="315" t="e">
        <f aca="true">IF(M8=" "," ",INDIRECT($H$3&amp;"!H"&amp;$H$4+2+C10))</f>
        <v>#REF!</v>
      </c>
      <c r="C14" s="315" t="e">
        <f aca="true">IF(M8=" "," ",INDIRECT($H$3&amp;"!I"&amp;$H$4+2+C10))</f>
        <v>#REF!</v>
      </c>
      <c r="D14" s="315" t="e">
        <f aca="true">IF(M8=" "," ",INDIRECT($H$3&amp;"!J"&amp;$H$4+2+C10))</f>
        <v>#REF!</v>
      </c>
      <c r="E14" s="315" t="e">
        <f aca="true">IF(M8=" "," ",INDIRECT($H$3&amp;"!K"&amp;$H$4+2+C10))</f>
        <v>#REF!</v>
      </c>
      <c r="F14" s="316" t="e">
        <f aca="true">IF(M8=" "," ",INDIRECT($H$3&amp;"!L"&amp;$H$4+2+C10))</f>
        <v>#REF!</v>
      </c>
      <c r="G14" s="317" t="e">
        <f aca="true">IF(M8=" "," ",INDIRECT($H$3&amp;"!M"&amp;$H$4+2+C10))</f>
        <v>#REF!</v>
      </c>
      <c r="H14" s="318" t="e">
        <f aca="true">IF(M8=" "," ",INDIRECT($H$3&amp;"!N"&amp;$H$4+2+C10))</f>
        <v>#REF!</v>
      </c>
      <c r="I14" s="315" t="e">
        <f aca="true">IF(M8=" "," ",INDIRECT($H$3&amp;"!O"&amp;$H$4+2+C10))</f>
        <v>#REF!</v>
      </c>
      <c r="J14" s="315" t="e">
        <f aca="true">IF(M8=" "," ",INDIRECT($H$3&amp;"!P"&amp;$H$4+2+C10))</f>
        <v>#REF!</v>
      </c>
      <c r="K14" s="315"/>
      <c r="L14" s="316" t="e">
        <f aca="true">IF(M8=" "," ",INDIRECT($H$3&amp;"!Q"&amp;$H$4+2+C10))</f>
        <v>#REF!</v>
      </c>
      <c r="M14" s="319" t="e">
        <f aca="true">IF(M8=" "," ",INDIRECT($H$3&amp;"!R"&amp;$H$4+2+C10))</f>
        <v>#REF!</v>
      </c>
      <c r="N14" s="320"/>
    </row>
    <row r="15" s="324" customFormat="true" ht="21" hidden="false" customHeight="true" outlineLevel="0" collapsed="false">
      <c r="A15" s="287"/>
      <c r="B15" s="322" t="s">
        <v>108</v>
      </c>
      <c r="C15" s="322"/>
      <c r="D15" s="323"/>
      <c r="E15" s="323"/>
      <c r="F15" s="323"/>
      <c r="G15" s="323"/>
      <c r="H15" s="323"/>
      <c r="I15" s="323"/>
      <c r="J15" s="323"/>
      <c r="K15" s="323"/>
      <c r="L15" s="323"/>
      <c r="M15" s="323"/>
      <c r="N15" s="293"/>
    </row>
    <row r="16" s="324" customFormat="true" ht="21" hidden="false" customHeight="true" outlineLevel="0" collapsed="false">
      <c r="A16" s="287"/>
      <c r="B16" s="325"/>
      <c r="C16" s="325"/>
      <c r="D16" s="323"/>
      <c r="E16" s="326" t="s">
        <v>109</v>
      </c>
      <c r="F16" s="326"/>
      <c r="G16" s="315" t="e">
        <f aca="true">IF(M8=" "," ",INDIRECT($H$3&amp;"!V"&amp;$H$4+2+C10))</f>
        <v>#REF!</v>
      </c>
      <c r="H16" s="315" t="e">
        <f aca="true">IF(M8=" "," ",INDIRECT($H$3&amp;"!W"&amp;$H$4+2+C10))</f>
        <v>#REF!</v>
      </c>
      <c r="I16" s="315" t="e">
        <f aca="true">IF(M8=" "," ",INDIRECT($H$3&amp;"!X"&amp;$H$4+2+C10))</f>
        <v>#REF!</v>
      </c>
      <c r="J16" s="315" t="e">
        <f aca="true">IF(M8=" "," ",INDIRECT($H$3&amp;"!Y"&amp;$H$4+2+C10))</f>
        <v>#REF!</v>
      </c>
      <c r="K16" s="315"/>
      <c r="L16" s="315" t="e">
        <f aca="true">IF(M8=" "," ",INDIRECT($H$3&amp;"!Z"&amp;$H$4+2+C10))</f>
        <v>#REF!</v>
      </c>
      <c r="M16" s="315" t="e">
        <f aca="true">IF(M8=" "," ",INDIRECT($H$3&amp;"!AA"&amp;$H$4+2+C10))</f>
        <v>#REF!</v>
      </c>
      <c r="N16" s="293"/>
    </row>
    <row r="17" customFormat="false" ht="6" hidden="false" customHeight="true" outlineLevel="0" collapsed="false">
      <c r="A17" s="287"/>
      <c r="B17" s="292"/>
      <c r="C17" s="292"/>
      <c r="D17" s="292"/>
      <c r="E17" s="292"/>
      <c r="F17" s="292"/>
      <c r="G17" s="292"/>
      <c r="H17" s="292"/>
      <c r="I17" s="292"/>
      <c r="J17" s="305"/>
      <c r="K17" s="305"/>
      <c r="L17" s="292"/>
      <c r="M17" s="292"/>
      <c r="N17" s="293"/>
    </row>
    <row r="18" customFormat="false" ht="21" hidden="false" customHeight="true" outlineLevel="0" collapsed="false">
      <c r="A18" s="287"/>
      <c r="B18" s="292"/>
      <c r="C18" s="292"/>
      <c r="D18" s="292"/>
      <c r="E18" s="292"/>
      <c r="F18" s="292"/>
      <c r="G18" s="292"/>
      <c r="H18" s="292"/>
      <c r="I18" s="292"/>
      <c r="J18" s="327" t="s">
        <v>110</v>
      </c>
      <c r="K18" s="327"/>
      <c r="L18" s="327"/>
      <c r="M18" s="328" t="e">
        <f aca="true">IF(M8=" "," ",INDIRECT($H$3&amp;"!R"&amp;$H$4))</f>
        <v>#REF!</v>
      </c>
      <c r="N18" s="293"/>
    </row>
    <row r="19" customFormat="false" ht="12" hidden="false" customHeight="true" outlineLevel="0" collapsed="false">
      <c r="A19" s="329"/>
      <c r="B19" s="330" t="s">
        <v>2</v>
      </c>
      <c r="C19" s="330"/>
      <c r="D19" s="331"/>
      <c r="E19" s="332"/>
      <c r="F19" s="332"/>
      <c r="G19" s="332"/>
      <c r="H19" s="332"/>
      <c r="I19" s="332"/>
      <c r="J19" s="332"/>
      <c r="K19" s="332"/>
      <c r="L19" s="332"/>
      <c r="M19" s="332"/>
      <c r="N19" s="333"/>
    </row>
    <row r="20" customFormat="false" ht="21" hidden="false" customHeight="true" outlineLevel="0" collapsed="false">
      <c r="A20" s="280"/>
      <c r="B20" s="280"/>
      <c r="C20" s="280"/>
      <c r="D20" s="280"/>
      <c r="E20" s="280"/>
      <c r="F20" s="280"/>
      <c r="G20" s="280"/>
      <c r="H20" s="280"/>
      <c r="I20" s="280"/>
      <c r="J20" s="280"/>
      <c r="K20" s="280"/>
      <c r="L20" s="280"/>
      <c r="M20" s="280"/>
      <c r="N20" s="280"/>
    </row>
    <row r="21" customFormat="false" ht="24.75" hidden="false" customHeight="true" outlineLevel="0" collapsed="false">
      <c r="A21" s="281"/>
      <c r="B21" s="282" t="e">
        <f aca="false">IF(M28=" "," ",Employee!$D$5)</f>
        <v>#REF!</v>
      </c>
      <c r="C21" s="282"/>
      <c r="D21" s="282"/>
      <c r="E21" s="282"/>
      <c r="F21" s="282"/>
      <c r="G21" s="283" t="e">
        <f aca="false">IF(G28=" "," ",Employee!$D$41)</f>
        <v>#REF!</v>
      </c>
      <c r="H21" s="283"/>
      <c r="I21" s="284" t="e">
        <f aca="false">IF(G28=" "," ",Employee!$D$42)</f>
        <v>#REF!</v>
      </c>
      <c r="J21" s="284"/>
      <c r="K21" s="284"/>
      <c r="L21" s="285" t="s">
        <v>70</v>
      </c>
      <c r="M21" s="285"/>
      <c r="N21" s="286"/>
    </row>
    <row r="22" customFormat="false" ht="18" hidden="false" customHeight="true" outlineLevel="0" collapsed="false">
      <c r="A22" s="287"/>
      <c r="B22" s="288" t="e">
        <f aca="false">IF(M28=" "," ",Employee!$D$6)</f>
        <v>#REF!</v>
      </c>
      <c r="C22" s="288"/>
      <c r="D22" s="288"/>
      <c r="E22" s="289"/>
      <c r="F22" s="289"/>
      <c r="G22" s="290"/>
      <c r="H22" s="291"/>
      <c r="I22" s="292"/>
      <c r="J22" s="292"/>
      <c r="K22" s="292"/>
      <c r="L22" s="292"/>
      <c r="M22" s="292" t="e">
        <f aca="true">INDIRECT($H$3&amp;"!E"&amp;$H$4+2+C24)</f>
        <v>#REF!</v>
      </c>
      <c r="N22" s="293"/>
    </row>
    <row r="23" customFormat="false" ht="21" hidden="false" customHeight="true" outlineLevel="0" collapsed="false">
      <c r="A23" s="287"/>
      <c r="B23" s="288" t="e">
        <f aca="false">IF(M28=" "," ",Employee!$D$7)</f>
        <v>#REF!</v>
      </c>
      <c r="C23" s="288"/>
      <c r="D23" s="288"/>
      <c r="E23" s="294" t="e">
        <f aca="false">IF(M28=" "," ",Employee!$D$9)</f>
        <v>#REF!</v>
      </c>
      <c r="F23" s="271"/>
      <c r="G23" s="295"/>
      <c r="H23" s="296" t="s">
        <v>92</v>
      </c>
      <c r="I23" s="297" t="e">
        <f aca="false">I9</f>
        <v>#REF!</v>
      </c>
      <c r="J23" s="298" t="s">
        <v>44</v>
      </c>
      <c r="K23" s="298"/>
      <c r="L23" s="296" t="s">
        <v>93</v>
      </c>
      <c r="M23" s="292" t="e">
        <f aca="false">IF(M22=" "," ",Employee!$M$41)</f>
        <v>#REF!</v>
      </c>
      <c r="N23" s="293"/>
    </row>
    <row r="24" customFormat="false" ht="21" hidden="false" customHeight="true" outlineLevel="0" collapsed="false">
      <c r="A24" s="287"/>
      <c r="B24" s="296" t="s">
        <v>94</v>
      </c>
      <c r="C24" s="299" t="n">
        <f aca="false">Employee!$D$55</f>
        <v>2</v>
      </c>
      <c r="D24" s="334"/>
      <c r="E24" s="335"/>
      <c r="F24" s="305"/>
      <c r="G24" s="305"/>
      <c r="H24" s="302" t="s">
        <v>111</v>
      </c>
      <c r="I24" s="303" t="e">
        <f aca="false">I10</f>
        <v>#REF!</v>
      </c>
      <c r="J24" s="304" t="e">
        <f aca="true">IF(M22=" "," ",INDIRECT($H$3&amp;"!D"&amp;$H$4+2+C24))</f>
        <v>#REF!</v>
      </c>
      <c r="K24" s="304"/>
      <c r="L24" s="296" t="s">
        <v>95</v>
      </c>
      <c r="M24" s="292" t="e">
        <f aca="true">IF(M22=" "," ",INDIRECT($H$3&amp;"!C"&amp;$H$4+2+C24))</f>
        <v>#REF!</v>
      </c>
      <c r="N24" s="293"/>
    </row>
    <row r="25" customFormat="false" ht="6" hidden="false" customHeight="true" outlineLevel="0" collapsed="false">
      <c r="A25" s="287"/>
      <c r="B25" s="305"/>
      <c r="C25" s="305"/>
      <c r="D25" s="305"/>
      <c r="E25" s="305"/>
      <c r="F25" s="305"/>
      <c r="G25" s="305"/>
      <c r="H25" s="305"/>
      <c r="I25" s="305"/>
      <c r="J25" s="305"/>
      <c r="K25" s="305"/>
      <c r="L25" s="305"/>
      <c r="M25" s="305"/>
      <c r="N25" s="293"/>
    </row>
    <row r="26" customFormat="false" ht="21" hidden="false" customHeight="true" outlineLevel="0" collapsed="false">
      <c r="A26" s="287"/>
      <c r="B26" s="306" t="s">
        <v>96</v>
      </c>
      <c r="C26" s="306"/>
      <c r="D26" s="306"/>
      <c r="E26" s="306"/>
      <c r="F26" s="306"/>
      <c r="G26" s="307" t="s">
        <v>97</v>
      </c>
      <c r="H26" s="306" t="s">
        <v>98</v>
      </c>
      <c r="I26" s="306"/>
      <c r="J26" s="306"/>
      <c r="K26" s="306"/>
      <c r="L26" s="306"/>
      <c r="M26" s="336" t="s">
        <v>99</v>
      </c>
      <c r="N26" s="293"/>
    </row>
    <row r="27" s="313" customFormat="true" ht="21" hidden="false" customHeight="true" outlineLevel="0" collapsed="false">
      <c r="A27" s="287"/>
      <c r="B27" s="310" t="s">
        <v>100</v>
      </c>
      <c r="C27" s="310" t="s">
        <v>101</v>
      </c>
      <c r="D27" s="310" t="s">
        <v>102</v>
      </c>
      <c r="E27" s="310" t="s">
        <v>103</v>
      </c>
      <c r="F27" s="311" t="s">
        <v>104</v>
      </c>
      <c r="G27" s="307"/>
      <c r="H27" s="310" t="s">
        <v>105</v>
      </c>
      <c r="I27" s="310" t="s">
        <v>106</v>
      </c>
      <c r="J27" s="310" t="s">
        <v>107</v>
      </c>
      <c r="K27" s="310"/>
      <c r="L27" s="311" t="s">
        <v>57</v>
      </c>
      <c r="M27" s="336"/>
      <c r="N27" s="293"/>
    </row>
    <row r="28" s="324" customFormat="true" ht="21" hidden="false" customHeight="true" outlineLevel="0" collapsed="false">
      <c r="A28" s="287"/>
      <c r="B28" s="315" t="e">
        <f aca="true">IF(M22=" "," ",INDIRECT($H$3&amp;"!H"&amp;$H$4+2+C24))</f>
        <v>#REF!</v>
      </c>
      <c r="C28" s="315" t="e">
        <f aca="true">IF(M22=" "," ",INDIRECT($H$3&amp;"!I"&amp;$H$4+2+C24))</f>
        <v>#REF!</v>
      </c>
      <c r="D28" s="315" t="e">
        <f aca="true">IF(M22=" "," ",INDIRECT($H$3&amp;"!J"&amp;$H$4+2+C24))</f>
        <v>#REF!</v>
      </c>
      <c r="E28" s="315" t="e">
        <f aca="true">IF(M22=" "," ",INDIRECT($H$3&amp;"!K"&amp;$H$4+2+C24))</f>
        <v>#REF!</v>
      </c>
      <c r="F28" s="316" t="e">
        <f aca="true">IF(M22=" "," ",INDIRECT($H$3&amp;"!L"&amp;$H$4+2+C24))</f>
        <v>#REF!</v>
      </c>
      <c r="G28" s="317" t="e">
        <f aca="true">IF(M22=" "," ",INDIRECT($H$3&amp;"!M"&amp;$H$4+2+C24))</f>
        <v>#REF!</v>
      </c>
      <c r="H28" s="318" t="e">
        <f aca="true">IF(M22=" "," ",INDIRECT($H$3&amp;"!N"&amp;$H$4+2+C24))</f>
        <v>#REF!</v>
      </c>
      <c r="I28" s="315" t="e">
        <f aca="true">IF(M22=" "," ",INDIRECT($H$3&amp;"!O"&amp;$H$4+2+C24))</f>
        <v>#REF!</v>
      </c>
      <c r="J28" s="315" t="e">
        <f aca="true">IF(M22=" "," ",INDIRECT($H$3&amp;"!P"&amp;$H$4+2+C24))</f>
        <v>#REF!</v>
      </c>
      <c r="K28" s="315"/>
      <c r="L28" s="316" t="e">
        <f aca="true">IF(M22=" "," ",INDIRECT($H$3&amp;"!Q"&amp;$H$4+2+C24))</f>
        <v>#REF!</v>
      </c>
      <c r="M28" s="319" t="e">
        <f aca="true">IF(M22=" "," ",INDIRECT($H$3&amp;"!R"&amp;$H$4+2+C24))</f>
        <v>#REF!</v>
      </c>
      <c r="N28" s="293"/>
    </row>
    <row r="29" s="324" customFormat="true" ht="21" hidden="false" customHeight="true" outlineLevel="0" collapsed="false">
      <c r="A29" s="287"/>
      <c r="B29" s="322" t="s">
        <v>108</v>
      </c>
      <c r="C29" s="322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293"/>
    </row>
    <row r="30" s="324" customFormat="true" ht="21" hidden="false" customHeight="true" outlineLevel="0" collapsed="false">
      <c r="A30" s="287"/>
      <c r="B30" s="325"/>
      <c r="C30" s="325"/>
      <c r="D30" s="323"/>
      <c r="E30" s="326" t="s">
        <v>109</v>
      </c>
      <c r="F30" s="326"/>
      <c r="G30" s="315" t="e">
        <f aca="true">IF(M22=" "," ",INDIRECT($H$3&amp;"!V"&amp;$H$4+2+C24))</f>
        <v>#REF!</v>
      </c>
      <c r="H30" s="315" t="e">
        <f aca="true">IF(M22=" "," ",INDIRECT($H$3&amp;"!W"&amp;$H$4+2+C24))</f>
        <v>#REF!</v>
      </c>
      <c r="I30" s="315" t="e">
        <f aca="true">IF(M22=" "," ",INDIRECT($H$3&amp;"!X"&amp;$H$4+2+C24))</f>
        <v>#REF!</v>
      </c>
      <c r="J30" s="315" t="e">
        <f aca="true">IF(M22=" "," ",INDIRECT($H$3&amp;"!Y"&amp;$H$4+2+C24))</f>
        <v>#REF!</v>
      </c>
      <c r="K30" s="315"/>
      <c r="L30" s="315" t="e">
        <f aca="true">IF(M22=" "," ",INDIRECT($H$3&amp;"!Z"&amp;$H$4+2+C24))</f>
        <v>#REF!</v>
      </c>
      <c r="M30" s="315" t="e">
        <f aca="true">IF(M22=" "," ",INDIRECT($H$3&amp;"!AA"&amp;$H$4+2+C24))</f>
        <v>#REF!</v>
      </c>
      <c r="N30" s="293"/>
    </row>
    <row r="31" customFormat="false" ht="6" hidden="false" customHeight="true" outlineLevel="0" collapsed="false">
      <c r="A31" s="287"/>
      <c r="B31" s="292"/>
      <c r="C31" s="292"/>
      <c r="D31" s="292"/>
      <c r="E31" s="292"/>
      <c r="F31" s="292"/>
      <c r="G31" s="292"/>
      <c r="H31" s="292"/>
      <c r="I31" s="292"/>
      <c r="J31" s="305"/>
      <c r="K31" s="305"/>
      <c r="L31" s="292"/>
      <c r="M31" s="292"/>
      <c r="N31" s="293"/>
    </row>
    <row r="32" customFormat="false" ht="21" hidden="false" customHeight="true" outlineLevel="0" collapsed="false">
      <c r="A32" s="287"/>
      <c r="B32" s="292"/>
      <c r="C32" s="292"/>
      <c r="D32" s="292"/>
      <c r="E32" s="292"/>
      <c r="F32" s="292"/>
      <c r="G32" s="292"/>
      <c r="H32" s="292"/>
      <c r="I32" s="292"/>
      <c r="J32" s="327" t="s">
        <v>110</v>
      </c>
      <c r="K32" s="327"/>
      <c r="L32" s="327"/>
      <c r="M32" s="328" t="e">
        <f aca="false">M18</f>
        <v>#REF!</v>
      </c>
      <c r="N32" s="293"/>
    </row>
    <row r="33" customFormat="false" ht="12" hidden="false" customHeight="true" outlineLevel="0" collapsed="false">
      <c r="A33" s="329"/>
      <c r="B33" s="330" t="s">
        <v>2</v>
      </c>
      <c r="C33" s="330"/>
      <c r="D33" s="331"/>
      <c r="E33" s="332"/>
      <c r="F33" s="332"/>
      <c r="G33" s="332"/>
      <c r="H33" s="332"/>
      <c r="I33" s="332"/>
      <c r="J33" s="332"/>
      <c r="K33" s="332"/>
      <c r="L33" s="332"/>
      <c r="M33" s="332"/>
      <c r="N33" s="333"/>
    </row>
    <row r="34" customFormat="false" ht="21" hidden="false" customHeight="true" outlineLevel="0" collapsed="false">
      <c r="A34" s="337"/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</row>
    <row r="35" customFormat="false" ht="21" hidden="false" customHeight="true" outlineLevel="0" collapsed="false">
      <c r="A35" s="280"/>
      <c r="B35" s="280"/>
      <c r="C35" s="280"/>
      <c r="D35" s="280"/>
      <c r="E35" s="280"/>
      <c r="F35" s="280"/>
      <c r="G35" s="280"/>
      <c r="H35" s="280"/>
      <c r="I35" s="280"/>
      <c r="J35" s="280"/>
      <c r="K35" s="280"/>
      <c r="L35" s="280"/>
      <c r="M35" s="280"/>
      <c r="N35" s="280"/>
    </row>
    <row r="36" customFormat="false" ht="24.75" hidden="false" customHeight="true" outlineLevel="0" collapsed="false">
      <c r="A36" s="281"/>
      <c r="B36" s="282" t="e">
        <f aca="false">IF(M43=" "," ",Employee!$D$5)</f>
        <v>#REF!</v>
      </c>
      <c r="C36" s="282"/>
      <c r="D36" s="282"/>
      <c r="E36" s="282"/>
      <c r="F36" s="282"/>
      <c r="G36" s="283" t="e">
        <f aca="false">IF(G43=" "," ",Employee!$D$67)</f>
        <v>#REF!</v>
      </c>
      <c r="H36" s="283"/>
      <c r="I36" s="284" t="e">
        <f aca="false">IF(G43=" "," ",Employee!$D$68)</f>
        <v>#REF!</v>
      </c>
      <c r="J36" s="284"/>
      <c r="K36" s="284"/>
      <c r="L36" s="285" t="s">
        <v>70</v>
      </c>
      <c r="M36" s="285"/>
      <c r="N36" s="286"/>
    </row>
    <row r="37" customFormat="false" ht="18" hidden="false" customHeight="true" outlineLevel="0" collapsed="false">
      <c r="A37" s="287"/>
      <c r="B37" s="288" t="e">
        <f aca="false">IF(M43=" "," ",Employee!$D$6)</f>
        <v>#REF!</v>
      </c>
      <c r="C37" s="288"/>
      <c r="D37" s="288"/>
      <c r="E37" s="289"/>
      <c r="F37" s="289"/>
      <c r="G37" s="290"/>
      <c r="H37" s="291"/>
      <c r="I37" s="292"/>
      <c r="J37" s="292"/>
      <c r="K37" s="292"/>
      <c r="L37" s="292"/>
      <c r="M37" s="292" t="e">
        <f aca="true">INDIRECT($H$3&amp;"!E"&amp;$H$4+2+C39)</f>
        <v>#REF!</v>
      </c>
      <c r="N37" s="293"/>
    </row>
    <row r="38" customFormat="false" ht="21" hidden="false" customHeight="true" outlineLevel="0" collapsed="false">
      <c r="A38" s="287"/>
      <c r="B38" s="288" t="e">
        <f aca="false">IF(M43=" "," ",Employee!$D$7)</f>
        <v>#REF!</v>
      </c>
      <c r="C38" s="288"/>
      <c r="D38" s="288"/>
      <c r="E38" s="294" t="e">
        <f aca="false">IF(M43=" "," ",Employee!$D$9)</f>
        <v>#REF!</v>
      </c>
      <c r="F38" s="271"/>
      <c r="G38" s="295"/>
      <c r="H38" s="296" t="s">
        <v>92</v>
      </c>
      <c r="I38" s="297" t="e">
        <f aca="false">I23</f>
        <v>#REF!</v>
      </c>
      <c r="J38" s="298" t="s">
        <v>44</v>
      </c>
      <c r="K38" s="298"/>
      <c r="L38" s="296" t="s">
        <v>93</v>
      </c>
      <c r="M38" s="292" t="e">
        <f aca="false">IF(M37=" "," ",Employee!$M$67)</f>
        <v>#REF!</v>
      </c>
      <c r="N38" s="293"/>
    </row>
    <row r="39" customFormat="false" ht="21" hidden="false" customHeight="true" outlineLevel="0" collapsed="false">
      <c r="A39" s="287"/>
      <c r="B39" s="296" t="s">
        <v>94</v>
      </c>
      <c r="C39" s="299" t="n">
        <f aca="false">Employee!$D$81</f>
        <v>3</v>
      </c>
      <c r="D39" s="334"/>
      <c r="E39" s="335"/>
      <c r="F39" s="305"/>
      <c r="G39" s="305"/>
      <c r="H39" s="302" t="s">
        <v>111</v>
      </c>
      <c r="I39" s="303" t="e">
        <f aca="false">I24</f>
        <v>#REF!</v>
      </c>
      <c r="J39" s="304" t="e">
        <f aca="true">IF(M37=" "," ",INDIRECT($H$3&amp;"!D"&amp;$H$4+2+C39))</f>
        <v>#REF!</v>
      </c>
      <c r="K39" s="304"/>
      <c r="L39" s="296" t="s">
        <v>95</v>
      </c>
      <c r="M39" s="292" t="e">
        <f aca="true">IF(M37=" "," ",INDIRECT($H$3&amp;"!C"&amp;$H$4+2+C39))</f>
        <v>#REF!</v>
      </c>
      <c r="N39" s="293"/>
    </row>
    <row r="40" customFormat="false" ht="6" hidden="false" customHeight="true" outlineLevel="0" collapsed="false">
      <c r="A40" s="287"/>
      <c r="B40" s="305"/>
      <c r="C40" s="305"/>
      <c r="D40" s="305"/>
      <c r="E40" s="305"/>
      <c r="F40" s="305"/>
      <c r="G40" s="305"/>
      <c r="H40" s="305"/>
      <c r="I40" s="305"/>
      <c r="J40" s="305"/>
      <c r="K40" s="305"/>
      <c r="L40" s="305"/>
      <c r="M40" s="305"/>
      <c r="N40" s="293"/>
    </row>
    <row r="41" customFormat="false" ht="21" hidden="false" customHeight="true" outlineLevel="0" collapsed="false">
      <c r="A41" s="287"/>
      <c r="B41" s="306" t="s">
        <v>96</v>
      </c>
      <c r="C41" s="306"/>
      <c r="D41" s="306"/>
      <c r="E41" s="306"/>
      <c r="F41" s="306"/>
      <c r="G41" s="307" t="s">
        <v>97</v>
      </c>
      <c r="H41" s="306" t="s">
        <v>98</v>
      </c>
      <c r="I41" s="306"/>
      <c r="J41" s="306"/>
      <c r="K41" s="306"/>
      <c r="L41" s="306"/>
      <c r="M41" s="336" t="s">
        <v>99</v>
      </c>
      <c r="N41" s="293"/>
    </row>
    <row r="42" s="313" customFormat="true" ht="21" hidden="false" customHeight="true" outlineLevel="0" collapsed="false">
      <c r="A42" s="287"/>
      <c r="B42" s="310" t="s">
        <v>100</v>
      </c>
      <c r="C42" s="310" t="s">
        <v>101</v>
      </c>
      <c r="D42" s="310" t="s">
        <v>102</v>
      </c>
      <c r="E42" s="310" t="s">
        <v>103</v>
      </c>
      <c r="F42" s="311" t="s">
        <v>104</v>
      </c>
      <c r="G42" s="307"/>
      <c r="H42" s="310" t="s">
        <v>105</v>
      </c>
      <c r="I42" s="310" t="s">
        <v>106</v>
      </c>
      <c r="J42" s="310" t="s">
        <v>107</v>
      </c>
      <c r="K42" s="310"/>
      <c r="L42" s="311" t="s">
        <v>57</v>
      </c>
      <c r="M42" s="336"/>
      <c r="N42" s="293"/>
    </row>
    <row r="43" s="324" customFormat="true" ht="21" hidden="false" customHeight="true" outlineLevel="0" collapsed="false">
      <c r="A43" s="287"/>
      <c r="B43" s="315" t="e">
        <f aca="true">IF(M37=" "," ",INDIRECT($H$3&amp;"!H"&amp;$H$4+2+C39))</f>
        <v>#REF!</v>
      </c>
      <c r="C43" s="315" t="e">
        <f aca="true">IF(M37=" "," ",INDIRECT($H$3&amp;"!I"&amp;$H$4+2+C39))</f>
        <v>#REF!</v>
      </c>
      <c r="D43" s="315" t="e">
        <f aca="true">IF(M37=" "," ",INDIRECT($H$3&amp;"!J"&amp;$H$4+2+C39))</f>
        <v>#REF!</v>
      </c>
      <c r="E43" s="315" t="e">
        <f aca="true">IF(M37=" "," ",INDIRECT($H$3&amp;"!K"&amp;$H$4+2+C39))</f>
        <v>#REF!</v>
      </c>
      <c r="F43" s="316" t="e">
        <f aca="true">IF(M37=" "," ",INDIRECT($H$3&amp;"!L"&amp;$H$4+2+C39))</f>
        <v>#REF!</v>
      </c>
      <c r="G43" s="317" t="e">
        <f aca="true">IF(M37=" "," ",INDIRECT($H$3&amp;"!M"&amp;$H$4+2+C39))</f>
        <v>#REF!</v>
      </c>
      <c r="H43" s="318" t="e">
        <f aca="true">IF(M37=" "," ",INDIRECT($H$3&amp;"!N"&amp;$H$4+2+C39))</f>
        <v>#REF!</v>
      </c>
      <c r="I43" s="315" t="e">
        <f aca="true">IF(M37=" "," ",INDIRECT($H$3&amp;"!O"&amp;$H$4+2+C39))</f>
        <v>#REF!</v>
      </c>
      <c r="J43" s="315" t="e">
        <f aca="true">IF(M37=" "," ",INDIRECT($H$3&amp;"!P"&amp;$H$4+2+C39))</f>
        <v>#REF!</v>
      </c>
      <c r="K43" s="315"/>
      <c r="L43" s="316" t="e">
        <f aca="true">IF(M37=" "," ",INDIRECT($H$3&amp;"!Q"&amp;$H$4+2+C39))</f>
        <v>#REF!</v>
      </c>
      <c r="M43" s="319" t="e">
        <f aca="true">IF(M37=" "," ",INDIRECT($H$3&amp;"!R"&amp;$H$4+2+C39))</f>
        <v>#REF!</v>
      </c>
      <c r="N43" s="293"/>
    </row>
    <row r="44" s="324" customFormat="true" ht="21" hidden="false" customHeight="true" outlineLevel="0" collapsed="false">
      <c r="A44" s="287"/>
      <c r="B44" s="322" t="s">
        <v>108</v>
      </c>
      <c r="C44" s="322"/>
      <c r="D44" s="323"/>
      <c r="E44" s="323"/>
      <c r="F44" s="323"/>
      <c r="G44" s="323"/>
      <c r="H44" s="323"/>
      <c r="I44" s="323"/>
      <c r="J44" s="323"/>
      <c r="K44" s="323"/>
      <c r="L44" s="323"/>
      <c r="M44" s="323"/>
      <c r="N44" s="293"/>
    </row>
    <row r="45" s="324" customFormat="true" ht="21" hidden="false" customHeight="true" outlineLevel="0" collapsed="false">
      <c r="A45" s="287"/>
      <c r="B45" s="325"/>
      <c r="C45" s="325"/>
      <c r="D45" s="323"/>
      <c r="E45" s="326" t="s">
        <v>109</v>
      </c>
      <c r="F45" s="326"/>
      <c r="G45" s="315" t="e">
        <f aca="true">IF(M37=" "," ",INDIRECT($H$3&amp;"!V"&amp;$H$4+2+C39))</f>
        <v>#REF!</v>
      </c>
      <c r="H45" s="315" t="e">
        <f aca="true">IF(M37=" "," ",INDIRECT($H$3&amp;"!W"&amp;$H$4+2+C39))</f>
        <v>#REF!</v>
      </c>
      <c r="I45" s="315" t="e">
        <f aca="true">IF(M37=" "," ",INDIRECT($H$3&amp;"!X"&amp;$H$4+2+C39))</f>
        <v>#REF!</v>
      </c>
      <c r="J45" s="315" t="e">
        <f aca="true">IF(M37=" "," ",INDIRECT($H$3&amp;"!Y"&amp;$H$4+2+C39))</f>
        <v>#REF!</v>
      </c>
      <c r="K45" s="315"/>
      <c r="L45" s="315" t="e">
        <f aca="true">IF(M37=" "," ",INDIRECT($H$3&amp;"!Z"&amp;$H$4+2+C39))</f>
        <v>#REF!</v>
      </c>
      <c r="M45" s="315" t="e">
        <f aca="true">IF(M37=" "," ",INDIRECT($H$3&amp;"!AA"&amp;$H$4+2+C39))</f>
        <v>#REF!</v>
      </c>
      <c r="N45" s="293"/>
    </row>
    <row r="46" customFormat="false" ht="6" hidden="false" customHeight="true" outlineLevel="0" collapsed="false">
      <c r="A46" s="287"/>
      <c r="B46" s="292"/>
      <c r="C46" s="292"/>
      <c r="D46" s="292"/>
      <c r="E46" s="292"/>
      <c r="F46" s="292"/>
      <c r="G46" s="292"/>
      <c r="H46" s="292"/>
      <c r="I46" s="292"/>
      <c r="J46" s="305"/>
      <c r="K46" s="305"/>
      <c r="L46" s="292"/>
      <c r="M46" s="292"/>
      <c r="N46" s="293"/>
    </row>
    <row r="47" customFormat="false" ht="21" hidden="false" customHeight="true" outlineLevel="0" collapsed="false">
      <c r="A47" s="287"/>
      <c r="B47" s="292"/>
      <c r="C47" s="292"/>
      <c r="D47" s="292"/>
      <c r="E47" s="292"/>
      <c r="F47" s="292"/>
      <c r="G47" s="292"/>
      <c r="H47" s="292"/>
      <c r="I47" s="292"/>
      <c r="J47" s="327" t="s">
        <v>110</v>
      </c>
      <c r="K47" s="327"/>
      <c r="L47" s="327"/>
      <c r="M47" s="328" t="e">
        <f aca="false">M32</f>
        <v>#REF!</v>
      </c>
      <c r="N47" s="293"/>
    </row>
    <row r="48" customFormat="false" ht="12" hidden="false" customHeight="true" outlineLevel="0" collapsed="false">
      <c r="A48" s="329"/>
      <c r="B48" s="330" t="s">
        <v>2</v>
      </c>
      <c r="C48" s="330"/>
      <c r="D48" s="331"/>
      <c r="E48" s="332"/>
      <c r="F48" s="332"/>
      <c r="G48" s="332"/>
      <c r="H48" s="332"/>
      <c r="I48" s="332"/>
      <c r="J48" s="332"/>
      <c r="K48" s="332"/>
      <c r="L48" s="332"/>
      <c r="M48" s="332"/>
      <c r="N48" s="333"/>
    </row>
    <row r="49" customFormat="false" ht="21" hidden="false" customHeight="true" outlineLevel="0" collapsed="false">
      <c r="A49" s="280"/>
      <c r="B49" s="280"/>
      <c r="C49" s="280"/>
      <c r="D49" s="280"/>
      <c r="E49" s="280"/>
      <c r="F49" s="280"/>
      <c r="G49" s="280"/>
      <c r="H49" s="280"/>
      <c r="I49" s="280"/>
      <c r="J49" s="280"/>
      <c r="K49" s="280"/>
      <c r="L49" s="280"/>
      <c r="M49" s="280"/>
      <c r="N49" s="280"/>
    </row>
    <row r="50" customFormat="false" ht="24.75" hidden="false" customHeight="true" outlineLevel="0" collapsed="false">
      <c r="A50" s="281"/>
      <c r="B50" s="282" t="e">
        <f aca="false">IF(M57=" "," ",Employee!$D$5)</f>
        <v>#REF!</v>
      </c>
      <c r="C50" s="282"/>
      <c r="D50" s="282"/>
      <c r="E50" s="282"/>
      <c r="F50" s="282"/>
      <c r="G50" s="283" t="e">
        <f aca="false">IF(G57=" "," ",Employee!$D$93)</f>
        <v>#REF!</v>
      </c>
      <c r="H50" s="283"/>
      <c r="I50" s="284" t="e">
        <f aca="false">IF(G57=" "," ",Employee!$D$94)</f>
        <v>#REF!</v>
      </c>
      <c r="J50" s="284"/>
      <c r="K50" s="284"/>
      <c r="L50" s="285" t="s">
        <v>70</v>
      </c>
      <c r="M50" s="285"/>
      <c r="N50" s="286"/>
    </row>
    <row r="51" customFormat="false" ht="18" hidden="false" customHeight="true" outlineLevel="0" collapsed="false">
      <c r="A51" s="287"/>
      <c r="B51" s="288" t="e">
        <f aca="false">IF(M57=" "," ",Employee!$D$6)</f>
        <v>#REF!</v>
      </c>
      <c r="C51" s="288"/>
      <c r="D51" s="288"/>
      <c r="E51" s="289"/>
      <c r="F51" s="289"/>
      <c r="G51" s="290"/>
      <c r="H51" s="291"/>
      <c r="I51" s="292"/>
      <c r="J51" s="292"/>
      <c r="K51" s="292"/>
      <c r="L51" s="292"/>
      <c r="M51" s="292" t="e">
        <f aca="true">INDIRECT($H$3&amp;"!E"&amp;$H$4+2+C53)</f>
        <v>#REF!</v>
      </c>
      <c r="N51" s="293"/>
    </row>
    <row r="52" customFormat="false" ht="21" hidden="false" customHeight="true" outlineLevel="0" collapsed="false">
      <c r="A52" s="287"/>
      <c r="B52" s="288" t="e">
        <f aca="false">IF(M57=" "," ",Employee!$D$7)</f>
        <v>#REF!</v>
      </c>
      <c r="C52" s="288"/>
      <c r="D52" s="288"/>
      <c r="E52" s="294" t="e">
        <f aca="false">IF(M57=" "," ",Employee!$D$9)</f>
        <v>#REF!</v>
      </c>
      <c r="F52" s="271"/>
      <c r="G52" s="295"/>
      <c r="H52" s="296" t="s">
        <v>92</v>
      </c>
      <c r="I52" s="297" t="e">
        <f aca="false">I38</f>
        <v>#REF!</v>
      </c>
      <c r="J52" s="298" t="s">
        <v>44</v>
      </c>
      <c r="K52" s="298"/>
      <c r="L52" s="296" t="s">
        <v>93</v>
      </c>
      <c r="M52" s="292" t="e">
        <f aca="false">IF(M51=" "," ",Employee!$M$93)</f>
        <v>#REF!</v>
      </c>
      <c r="N52" s="293"/>
    </row>
    <row r="53" customFormat="false" ht="21" hidden="false" customHeight="true" outlineLevel="0" collapsed="false">
      <c r="A53" s="287"/>
      <c r="B53" s="296" t="s">
        <v>94</v>
      </c>
      <c r="C53" s="299" t="n">
        <f aca="false">Employee!$D$107</f>
        <v>4</v>
      </c>
      <c r="D53" s="334"/>
      <c r="E53" s="335"/>
      <c r="F53" s="305"/>
      <c r="G53" s="305"/>
      <c r="H53" s="302" t="s">
        <v>111</v>
      </c>
      <c r="I53" s="303" t="e">
        <f aca="false">I39</f>
        <v>#REF!</v>
      </c>
      <c r="J53" s="304" t="e">
        <f aca="true">IF(M51=" "," ",INDIRECT($H$3&amp;"!D"&amp;$H$4+2+C53))</f>
        <v>#REF!</v>
      </c>
      <c r="K53" s="304"/>
      <c r="L53" s="296" t="s">
        <v>95</v>
      </c>
      <c r="M53" s="292" t="e">
        <f aca="true">IF(M51=" "," ",INDIRECT($H$3&amp;"!C"&amp;$H$4+2+C53))</f>
        <v>#REF!</v>
      </c>
      <c r="N53" s="293"/>
    </row>
    <row r="54" customFormat="false" ht="6" hidden="false" customHeight="true" outlineLevel="0" collapsed="false">
      <c r="A54" s="287"/>
      <c r="B54" s="305"/>
      <c r="C54" s="305"/>
      <c r="D54" s="305"/>
      <c r="E54" s="305"/>
      <c r="F54" s="305"/>
      <c r="G54" s="305"/>
      <c r="H54" s="305"/>
      <c r="I54" s="305"/>
      <c r="J54" s="305"/>
      <c r="K54" s="305"/>
      <c r="L54" s="305"/>
      <c r="M54" s="305"/>
      <c r="N54" s="293"/>
    </row>
    <row r="55" customFormat="false" ht="21" hidden="false" customHeight="true" outlineLevel="0" collapsed="false">
      <c r="A55" s="287"/>
      <c r="B55" s="306" t="s">
        <v>96</v>
      </c>
      <c r="C55" s="306"/>
      <c r="D55" s="306"/>
      <c r="E55" s="306"/>
      <c r="F55" s="306"/>
      <c r="G55" s="307" t="s">
        <v>97</v>
      </c>
      <c r="H55" s="306" t="s">
        <v>98</v>
      </c>
      <c r="I55" s="306"/>
      <c r="J55" s="306"/>
      <c r="K55" s="306"/>
      <c r="L55" s="306"/>
      <c r="M55" s="336" t="s">
        <v>99</v>
      </c>
      <c r="N55" s="293"/>
    </row>
    <row r="56" s="313" customFormat="true" ht="21" hidden="false" customHeight="true" outlineLevel="0" collapsed="false">
      <c r="A56" s="287"/>
      <c r="B56" s="310" t="s">
        <v>100</v>
      </c>
      <c r="C56" s="310" t="s">
        <v>101</v>
      </c>
      <c r="D56" s="310" t="s">
        <v>102</v>
      </c>
      <c r="E56" s="310" t="s">
        <v>103</v>
      </c>
      <c r="F56" s="311" t="s">
        <v>104</v>
      </c>
      <c r="G56" s="307"/>
      <c r="H56" s="310" t="s">
        <v>105</v>
      </c>
      <c r="I56" s="310" t="s">
        <v>106</v>
      </c>
      <c r="J56" s="310" t="s">
        <v>107</v>
      </c>
      <c r="K56" s="310"/>
      <c r="L56" s="311" t="s">
        <v>57</v>
      </c>
      <c r="M56" s="336"/>
      <c r="N56" s="293"/>
    </row>
    <row r="57" s="324" customFormat="true" ht="21" hidden="false" customHeight="true" outlineLevel="0" collapsed="false">
      <c r="A57" s="287"/>
      <c r="B57" s="315" t="e">
        <f aca="true">IF(M51=" "," ",INDIRECT($H$3&amp;"!H"&amp;$H$4+2+C53))</f>
        <v>#REF!</v>
      </c>
      <c r="C57" s="315" t="e">
        <f aca="true">IF(M51=" "," ",INDIRECT($H$3&amp;"!I"&amp;$H$4+2+C53))</f>
        <v>#REF!</v>
      </c>
      <c r="D57" s="315" t="e">
        <f aca="true">IF(M51=" "," ",INDIRECT($H$3&amp;"!J"&amp;$H$4+2+C53))</f>
        <v>#REF!</v>
      </c>
      <c r="E57" s="315" t="e">
        <f aca="true">IF(M51=" "," ",INDIRECT($H$3&amp;"!K"&amp;$H$4+2+C53))</f>
        <v>#REF!</v>
      </c>
      <c r="F57" s="316" t="e">
        <f aca="true">IF(M51=" "," ",INDIRECT($H$3&amp;"!L"&amp;$H$4+2+C53))</f>
        <v>#REF!</v>
      </c>
      <c r="G57" s="317" t="e">
        <f aca="true">IF(M51=" "," ",INDIRECT($H$3&amp;"!M"&amp;$H$4+2+C53))</f>
        <v>#REF!</v>
      </c>
      <c r="H57" s="318" t="e">
        <f aca="true">IF(M51=" "," ",INDIRECT($H$3&amp;"!N"&amp;$H$4+2+C53))</f>
        <v>#REF!</v>
      </c>
      <c r="I57" s="315" t="e">
        <f aca="true">IF(M51=" "," ",INDIRECT($H$3&amp;"!O"&amp;$H$4+2+C53))</f>
        <v>#REF!</v>
      </c>
      <c r="J57" s="315" t="e">
        <f aca="true">IF(M51=" "," ",INDIRECT($H$3&amp;"!P"&amp;$H$4+2+C53))</f>
        <v>#REF!</v>
      </c>
      <c r="K57" s="315"/>
      <c r="L57" s="316" t="e">
        <f aca="true">IF(M51=" "," ",INDIRECT($H$3&amp;"!Q"&amp;$H$4+2+C53))</f>
        <v>#REF!</v>
      </c>
      <c r="M57" s="319" t="e">
        <f aca="true">IF(M51=" "," ",INDIRECT($H$3&amp;"!R"&amp;$H$4+2+C53))</f>
        <v>#REF!</v>
      </c>
      <c r="N57" s="293"/>
    </row>
    <row r="58" s="324" customFormat="true" ht="21" hidden="false" customHeight="true" outlineLevel="0" collapsed="false">
      <c r="A58" s="287"/>
      <c r="B58" s="322" t="s">
        <v>108</v>
      </c>
      <c r="C58" s="322"/>
      <c r="D58" s="323"/>
      <c r="E58" s="323"/>
      <c r="F58" s="323"/>
      <c r="G58" s="323"/>
      <c r="H58" s="323"/>
      <c r="I58" s="323"/>
      <c r="J58" s="323"/>
      <c r="K58" s="323"/>
      <c r="L58" s="323"/>
      <c r="M58" s="323"/>
      <c r="N58" s="293"/>
    </row>
    <row r="59" s="324" customFormat="true" ht="21" hidden="false" customHeight="true" outlineLevel="0" collapsed="false">
      <c r="A59" s="287"/>
      <c r="B59" s="325"/>
      <c r="C59" s="325"/>
      <c r="D59" s="323"/>
      <c r="E59" s="326" t="s">
        <v>109</v>
      </c>
      <c r="F59" s="326"/>
      <c r="G59" s="315" t="e">
        <f aca="true">IF(M51=" "," ",INDIRECT($H$3&amp;"!V"&amp;$H$4+2+C53))</f>
        <v>#REF!</v>
      </c>
      <c r="H59" s="315" t="e">
        <f aca="true">IF(M51=" "," ",INDIRECT($H$3&amp;"!W"&amp;$H$4+2+C53))</f>
        <v>#REF!</v>
      </c>
      <c r="I59" s="315" t="e">
        <f aca="true">IF(M51=" "," ",INDIRECT($H$3&amp;"!X"&amp;$H$4+2+C53))</f>
        <v>#REF!</v>
      </c>
      <c r="J59" s="315" t="e">
        <f aca="true">IF(M51=" "," ",INDIRECT($H$3&amp;"!Y"&amp;$H$4+2+C53))</f>
        <v>#REF!</v>
      </c>
      <c r="K59" s="315"/>
      <c r="L59" s="315" t="e">
        <f aca="true">IF(M51=" "," ",INDIRECT($H$3&amp;"!Z"&amp;$H$4+2+C53))</f>
        <v>#REF!</v>
      </c>
      <c r="M59" s="315" t="e">
        <f aca="true">IF(M51=" "," ",INDIRECT($H$3&amp;"!AA"&amp;$H$4+2+C53))</f>
        <v>#REF!</v>
      </c>
      <c r="N59" s="293"/>
    </row>
    <row r="60" customFormat="false" ht="6" hidden="false" customHeight="true" outlineLevel="0" collapsed="false">
      <c r="A60" s="287"/>
      <c r="B60" s="292"/>
      <c r="C60" s="292"/>
      <c r="D60" s="292"/>
      <c r="E60" s="292"/>
      <c r="F60" s="292"/>
      <c r="G60" s="292"/>
      <c r="H60" s="292"/>
      <c r="I60" s="292"/>
      <c r="J60" s="305"/>
      <c r="K60" s="305"/>
      <c r="L60" s="292"/>
      <c r="M60" s="292"/>
      <c r="N60" s="293"/>
    </row>
    <row r="61" customFormat="false" ht="21" hidden="false" customHeight="true" outlineLevel="0" collapsed="false">
      <c r="A61" s="287"/>
      <c r="B61" s="292"/>
      <c r="C61" s="292"/>
      <c r="D61" s="292"/>
      <c r="E61" s="292"/>
      <c r="F61" s="292"/>
      <c r="G61" s="292"/>
      <c r="H61" s="292"/>
      <c r="I61" s="292"/>
      <c r="J61" s="327" t="s">
        <v>110</v>
      </c>
      <c r="K61" s="327"/>
      <c r="L61" s="327"/>
      <c r="M61" s="328" t="e">
        <f aca="false">M47</f>
        <v>#REF!</v>
      </c>
      <c r="N61" s="293"/>
    </row>
    <row r="62" customFormat="false" ht="12" hidden="false" customHeight="true" outlineLevel="0" collapsed="false">
      <c r="A62" s="329"/>
      <c r="B62" s="330" t="s">
        <v>2</v>
      </c>
      <c r="C62" s="330"/>
      <c r="D62" s="331"/>
      <c r="E62" s="332"/>
      <c r="F62" s="332"/>
      <c r="G62" s="332"/>
      <c r="H62" s="332"/>
      <c r="I62" s="332"/>
      <c r="J62" s="332"/>
      <c r="K62" s="332"/>
      <c r="L62" s="332"/>
      <c r="M62" s="332"/>
      <c r="N62" s="333"/>
    </row>
    <row r="63" customFormat="false" ht="21" hidden="false" customHeight="true" outlineLevel="0" collapsed="false">
      <c r="A63" s="337"/>
      <c r="B63" s="337"/>
      <c r="C63" s="337"/>
      <c r="D63" s="337"/>
      <c r="E63" s="337"/>
      <c r="F63" s="337"/>
      <c r="G63" s="337"/>
      <c r="H63" s="337"/>
      <c r="I63" s="337"/>
      <c r="J63" s="337"/>
      <c r="K63" s="337"/>
      <c r="L63" s="337"/>
      <c r="M63" s="337"/>
      <c r="N63" s="337"/>
    </row>
    <row r="64" customFormat="false" ht="21" hidden="false" customHeight="true" outlineLevel="0" collapsed="false">
      <c r="A64" s="280"/>
      <c r="B64" s="280"/>
      <c r="C64" s="280"/>
      <c r="D64" s="280"/>
      <c r="E64" s="280"/>
      <c r="F64" s="280"/>
      <c r="G64" s="280"/>
      <c r="H64" s="280"/>
      <c r="I64" s="280"/>
      <c r="J64" s="280"/>
      <c r="K64" s="280"/>
      <c r="L64" s="280"/>
      <c r="M64" s="280"/>
      <c r="N64" s="280"/>
    </row>
    <row r="65" customFormat="false" ht="24.75" hidden="false" customHeight="true" outlineLevel="0" collapsed="false">
      <c r="A65" s="281"/>
      <c r="B65" s="282" t="e">
        <f aca="false">IF(M72=" "," ",Employee!$D$5)</f>
        <v>#REF!</v>
      </c>
      <c r="C65" s="282"/>
      <c r="D65" s="282"/>
      <c r="E65" s="282"/>
      <c r="F65" s="282"/>
      <c r="G65" s="283" t="e">
        <f aca="false">IF(G72=" "," ",Employee!$D$119)</f>
        <v>#REF!</v>
      </c>
      <c r="H65" s="283"/>
      <c r="I65" s="284" t="e">
        <f aca="false">IF(G72=" "," ",Employee!$D$120)</f>
        <v>#REF!</v>
      </c>
      <c r="J65" s="284"/>
      <c r="K65" s="284"/>
      <c r="L65" s="285" t="s">
        <v>70</v>
      </c>
      <c r="M65" s="285"/>
      <c r="N65" s="286"/>
    </row>
    <row r="66" customFormat="false" ht="18" hidden="false" customHeight="true" outlineLevel="0" collapsed="false">
      <c r="A66" s="287"/>
      <c r="B66" s="288" t="e">
        <f aca="false">IF(M72=" "," ",Employee!$D$6)</f>
        <v>#REF!</v>
      </c>
      <c r="C66" s="288"/>
      <c r="D66" s="288"/>
      <c r="E66" s="289"/>
      <c r="F66" s="289"/>
      <c r="G66" s="290"/>
      <c r="H66" s="291"/>
      <c r="I66" s="292"/>
      <c r="J66" s="292"/>
      <c r="K66" s="292"/>
      <c r="L66" s="292"/>
      <c r="M66" s="292" t="e">
        <f aca="true">INDIRECT($H$3&amp;"!E"&amp;$H$4+2+C68)</f>
        <v>#REF!</v>
      </c>
      <c r="N66" s="293"/>
    </row>
    <row r="67" customFormat="false" ht="21" hidden="false" customHeight="true" outlineLevel="0" collapsed="false">
      <c r="A67" s="287"/>
      <c r="B67" s="288" t="e">
        <f aca="false">IF(M72=" "," ",Employee!$D$7)</f>
        <v>#REF!</v>
      </c>
      <c r="C67" s="288"/>
      <c r="D67" s="288"/>
      <c r="E67" s="294" t="e">
        <f aca="false">IF(M72=" "," ",Employee!$D$9)</f>
        <v>#REF!</v>
      </c>
      <c r="F67" s="271"/>
      <c r="G67" s="295"/>
      <c r="H67" s="296" t="s">
        <v>92</v>
      </c>
      <c r="I67" s="297" t="e">
        <f aca="false">I52</f>
        <v>#REF!</v>
      </c>
      <c r="J67" s="298" t="s">
        <v>44</v>
      </c>
      <c r="K67" s="298"/>
      <c r="L67" s="296" t="s">
        <v>93</v>
      </c>
      <c r="M67" s="292" t="e">
        <f aca="false">IF(M66=" "," ",Employee!$M$119)</f>
        <v>#REF!</v>
      </c>
      <c r="N67" s="293"/>
    </row>
    <row r="68" customFormat="false" ht="21" hidden="false" customHeight="true" outlineLevel="0" collapsed="false">
      <c r="A68" s="287"/>
      <c r="B68" s="296" t="s">
        <v>94</v>
      </c>
      <c r="C68" s="299" t="n">
        <f aca="false">Employee!$D$133</f>
        <v>5</v>
      </c>
      <c r="D68" s="334"/>
      <c r="E68" s="335"/>
      <c r="F68" s="305"/>
      <c r="G68" s="305"/>
      <c r="H68" s="302" t="s">
        <v>111</v>
      </c>
      <c r="I68" s="303" t="e">
        <f aca="false">I53</f>
        <v>#REF!</v>
      </c>
      <c r="J68" s="304" t="e">
        <f aca="true">IF(M66=" "," ",INDIRECT($H$3&amp;"!D"&amp;$H$4+2+C68))</f>
        <v>#REF!</v>
      </c>
      <c r="K68" s="304"/>
      <c r="L68" s="296" t="s">
        <v>95</v>
      </c>
      <c r="M68" s="292" t="e">
        <f aca="true">IF(M66=" "," ",INDIRECT($H$3&amp;"!C"&amp;$H$4+2+C68))</f>
        <v>#REF!</v>
      </c>
      <c r="N68" s="293"/>
    </row>
    <row r="69" customFormat="false" ht="6" hidden="false" customHeight="true" outlineLevel="0" collapsed="false">
      <c r="A69" s="287"/>
      <c r="B69" s="305"/>
      <c r="C69" s="305"/>
      <c r="D69" s="305"/>
      <c r="E69" s="305"/>
      <c r="F69" s="305"/>
      <c r="G69" s="305"/>
      <c r="H69" s="305"/>
      <c r="I69" s="305"/>
      <c r="J69" s="305"/>
      <c r="K69" s="305"/>
      <c r="L69" s="305"/>
      <c r="M69" s="305"/>
      <c r="N69" s="293"/>
    </row>
    <row r="70" customFormat="false" ht="21" hidden="false" customHeight="true" outlineLevel="0" collapsed="false">
      <c r="A70" s="287"/>
      <c r="B70" s="306" t="s">
        <v>96</v>
      </c>
      <c r="C70" s="306"/>
      <c r="D70" s="306"/>
      <c r="E70" s="306"/>
      <c r="F70" s="306"/>
      <c r="G70" s="307" t="s">
        <v>97</v>
      </c>
      <c r="H70" s="306" t="s">
        <v>98</v>
      </c>
      <c r="I70" s="306"/>
      <c r="J70" s="306"/>
      <c r="K70" s="306"/>
      <c r="L70" s="306"/>
      <c r="M70" s="336" t="s">
        <v>99</v>
      </c>
      <c r="N70" s="293"/>
    </row>
    <row r="71" s="313" customFormat="true" ht="21" hidden="false" customHeight="true" outlineLevel="0" collapsed="false">
      <c r="A71" s="287"/>
      <c r="B71" s="310" t="s">
        <v>100</v>
      </c>
      <c r="C71" s="310" t="s">
        <v>101</v>
      </c>
      <c r="D71" s="310" t="s">
        <v>102</v>
      </c>
      <c r="E71" s="310" t="s">
        <v>103</v>
      </c>
      <c r="F71" s="311" t="s">
        <v>104</v>
      </c>
      <c r="G71" s="307"/>
      <c r="H71" s="310" t="s">
        <v>112</v>
      </c>
      <c r="I71" s="310" t="s">
        <v>106</v>
      </c>
      <c r="J71" s="310" t="s">
        <v>107</v>
      </c>
      <c r="K71" s="310"/>
      <c r="L71" s="311" t="s">
        <v>57</v>
      </c>
      <c r="M71" s="336"/>
      <c r="N71" s="293"/>
    </row>
    <row r="72" s="324" customFormat="true" ht="21" hidden="false" customHeight="true" outlineLevel="0" collapsed="false">
      <c r="A72" s="287"/>
      <c r="B72" s="315" t="e">
        <f aca="true">IF(M66=" "," ",INDIRECT($H$3&amp;"!H"&amp;$H$4+2+C68))</f>
        <v>#REF!</v>
      </c>
      <c r="C72" s="315" t="e">
        <f aca="true">IF(M66=" "," ",INDIRECT($H$3&amp;"!I"&amp;$H$4+2+C68))</f>
        <v>#REF!</v>
      </c>
      <c r="D72" s="315" t="e">
        <f aca="true">IF(M66=" "," ",INDIRECT($H$3&amp;"!J"&amp;$H$4+2+C68))</f>
        <v>#REF!</v>
      </c>
      <c r="E72" s="315" t="e">
        <f aca="true">IF(M66=" "," ",INDIRECT($H$3&amp;"!K"&amp;$H$4+2+C68))</f>
        <v>#REF!</v>
      </c>
      <c r="F72" s="316" t="e">
        <f aca="true">IF(M66=" "," ",INDIRECT($H$3&amp;"!L"&amp;$H$4+2+C68))</f>
        <v>#REF!</v>
      </c>
      <c r="G72" s="317" t="e">
        <f aca="true">IF(M66=" "," ",INDIRECT($H$3&amp;"!M"&amp;$H$4+2+C68))</f>
        <v>#REF!</v>
      </c>
      <c r="H72" s="318" t="e">
        <f aca="true">IF(M66=" "," ",INDIRECT($H$3&amp;"!N"&amp;$H$4+2+C68))</f>
        <v>#REF!</v>
      </c>
      <c r="I72" s="315" t="e">
        <f aca="true">IF(M66=" "," ",INDIRECT($H$3&amp;"!O"&amp;$H$4+2+C68))</f>
        <v>#REF!</v>
      </c>
      <c r="J72" s="315" t="e">
        <f aca="true">IF(M66=" "," ",INDIRECT($H$3&amp;"!P"&amp;$H$4+2+C68))</f>
        <v>#REF!</v>
      </c>
      <c r="K72" s="315"/>
      <c r="L72" s="316" t="e">
        <f aca="true">IF(M66=" "," ",INDIRECT($H$3&amp;"!Q"&amp;$H$4+2+C68))</f>
        <v>#REF!</v>
      </c>
      <c r="M72" s="319" t="e">
        <f aca="true">IF(M66=" "," ",INDIRECT($H$3&amp;"!R"&amp;$H$4+2+C68))</f>
        <v>#REF!</v>
      </c>
      <c r="N72" s="293"/>
    </row>
    <row r="73" s="324" customFormat="true" ht="21" hidden="false" customHeight="true" outlineLevel="0" collapsed="false">
      <c r="A73" s="287"/>
      <c r="B73" s="322" t="s">
        <v>108</v>
      </c>
      <c r="C73" s="322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293"/>
    </row>
    <row r="74" s="324" customFormat="true" ht="21" hidden="false" customHeight="true" outlineLevel="0" collapsed="false">
      <c r="A74" s="287"/>
      <c r="B74" s="325"/>
      <c r="C74" s="325"/>
      <c r="D74" s="323"/>
      <c r="E74" s="326" t="s">
        <v>109</v>
      </c>
      <c r="F74" s="326"/>
      <c r="G74" s="315" t="e">
        <f aca="true">IF(M66=" "," ",INDIRECT($H$3&amp;"!V"&amp;$H$4+2+C68))</f>
        <v>#REF!</v>
      </c>
      <c r="H74" s="315" t="e">
        <f aca="true">IF(M66=" "," ",INDIRECT($H$3&amp;"!W"&amp;$H$4+2+C68))</f>
        <v>#REF!</v>
      </c>
      <c r="I74" s="315" t="e">
        <f aca="true">IF(M66=" "," ",INDIRECT($H$3&amp;"!X"&amp;$H$4+2+C68))</f>
        <v>#REF!</v>
      </c>
      <c r="J74" s="315" t="e">
        <f aca="true">IF(M66=" "," ",INDIRECT($H$3&amp;"!Y"&amp;$H$4+2+C68))</f>
        <v>#REF!</v>
      </c>
      <c r="K74" s="315"/>
      <c r="L74" s="315" t="e">
        <f aca="true">IF(M66=" "," ",INDIRECT($H$3&amp;"!Z"&amp;$H$4+2+C68))</f>
        <v>#REF!</v>
      </c>
      <c r="M74" s="315" t="e">
        <f aca="true">IF(M66=" "," ",INDIRECT($H$3&amp;"!AA"&amp;$H$4+2+C68))</f>
        <v>#REF!</v>
      </c>
      <c r="N74" s="293"/>
    </row>
    <row r="75" customFormat="false" ht="6" hidden="false" customHeight="true" outlineLevel="0" collapsed="false">
      <c r="A75" s="287"/>
      <c r="B75" s="292"/>
      <c r="C75" s="292"/>
      <c r="D75" s="292"/>
      <c r="E75" s="292"/>
      <c r="F75" s="292"/>
      <c r="G75" s="292"/>
      <c r="H75" s="292"/>
      <c r="I75" s="292"/>
      <c r="J75" s="305"/>
      <c r="K75" s="305"/>
      <c r="L75" s="292"/>
      <c r="M75" s="292"/>
      <c r="N75" s="293"/>
    </row>
    <row r="76" customFormat="false" ht="21" hidden="false" customHeight="true" outlineLevel="0" collapsed="false">
      <c r="A76" s="287"/>
      <c r="B76" s="292"/>
      <c r="C76" s="292"/>
      <c r="D76" s="292"/>
      <c r="E76" s="292"/>
      <c r="F76" s="292"/>
      <c r="G76" s="292"/>
      <c r="H76" s="292"/>
      <c r="I76" s="292"/>
      <c r="J76" s="327" t="s">
        <v>110</v>
      </c>
      <c r="K76" s="327"/>
      <c r="L76" s="327"/>
      <c r="M76" s="328" t="e">
        <f aca="false">M61</f>
        <v>#REF!</v>
      </c>
      <c r="N76" s="293"/>
    </row>
    <row r="77" customFormat="false" ht="12" hidden="false" customHeight="true" outlineLevel="0" collapsed="false">
      <c r="A77" s="329"/>
      <c r="B77" s="330" t="s">
        <v>2</v>
      </c>
      <c r="C77" s="330"/>
      <c r="D77" s="331"/>
      <c r="E77" s="332"/>
      <c r="F77" s="332"/>
      <c r="G77" s="332"/>
      <c r="H77" s="332"/>
      <c r="I77" s="332"/>
      <c r="J77" s="332"/>
      <c r="K77" s="332"/>
      <c r="L77" s="332"/>
      <c r="M77" s="332"/>
      <c r="N77" s="333"/>
    </row>
    <row r="78" customFormat="false" ht="21" hidden="false" customHeight="true" outlineLevel="0" collapsed="false">
      <c r="A78" s="280"/>
      <c r="B78" s="280"/>
      <c r="C78" s="280"/>
      <c r="D78" s="280"/>
      <c r="E78" s="280"/>
      <c r="F78" s="280"/>
      <c r="G78" s="280"/>
      <c r="H78" s="280"/>
      <c r="I78" s="280"/>
      <c r="J78" s="280"/>
      <c r="K78" s="280"/>
      <c r="L78" s="280"/>
      <c r="M78" s="280"/>
      <c r="N78" s="280"/>
    </row>
  </sheetData>
  <mergeCells count="121">
    <mergeCell ref="I3:L3"/>
    <mergeCell ref="I4:L4"/>
    <mergeCell ref="A6:N6"/>
    <mergeCell ref="B7:F7"/>
    <mergeCell ref="G7:H7"/>
    <mergeCell ref="I7:K7"/>
    <mergeCell ref="L7:M7"/>
    <mergeCell ref="B8:D8"/>
    <mergeCell ref="E8:F8"/>
    <mergeCell ref="B9:D9"/>
    <mergeCell ref="J9:K9"/>
    <mergeCell ref="D10:E10"/>
    <mergeCell ref="F10:G10"/>
    <mergeCell ref="J10:K10"/>
    <mergeCell ref="B11:M11"/>
    <mergeCell ref="B12:F12"/>
    <mergeCell ref="G12:G13"/>
    <mergeCell ref="H12:L12"/>
    <mergeCell ref="M12:M13"/>
    <mergeCell ref="J13:K13"/>
    <mergeCell ref="J14:K14"/>
    <mergeCell ref="B15:C15"/>
    <mergeCell ref="E16:F16"/>
    <mergeCell ref="J16:K16"/>
    <mergeCell ref="J17:K17"/>
    <mergeCell ref="J18:L18"/>
    <mergeCell ref="A20:N20"/>
    <mergeCell ref="B21:F21"/>
    <mergeCell ref="G21:H21"/>
    <mergeCell ref="I21:K21"/>
    <mergeCell ref="L21:M21"/>
    <mergeCell ref="B22:D22"/>
    <mergeCell ref="E22:F22"/>
    <mergeCell ref="B23:D23"/>
    <mergeCell ref="J23:K23"/>
    <mergeCell ref="F24:G24"/>
    <mergeCell ref="J24:K24"/>
    <mergeCell ref="B25:M25"/>
    <mergeCell ref="B26:F26"/>
    <mergeCell ref="G26:G27"/>
    <mergeCell ref="H26:L26"/>
    <mergeCell ref="M26:M27"/>
    <mergeCell ref="J27:K27"/>
    <mergeCell ref="J28:K28"/>
    <mergeCell ref="B29:C29"/>
    <mergeCell ref="E30:F30"/>
    <mergeCell ref="J30:K30"/>
    <mergeCell ref="J31:K31"/>
    <mergeCell ref="J32:L32"/>
    <mergeCell ref="A34:N34"/>
    <mergeCell ref="A35:N35"/>
    <mergeCell ref="B36:F36"/>
    <mergeCell ref="G36:H36"/>
    <mergeCell ref="I36:K36"/>
    <mergeCell ref="L36:M36"/>
    <mergeCell ref="B37:D37"/>
    <mergeCell ref="E37:F37"/>
    <mergeCell ref="B38:D38"/>
    <mergeCell ref="J38:K38"/>
    <mergeCell ref="F39:G39"/>
    <mergeCell ref="J39:K39"/>
    <mergeCell ref="B40:M40"/>
    <mergeCell ref="B41:F41"/>
    <mergeCell ref="G41:G42"/>
    <mergeCell ref="H41:L41"/>
    <mergeCell ref="M41:M42"/>
    <mergeCell ref="J42:K42"/>
    <mergeCell ref="J43:K43"/>
    <mergeCell ref="B44:C44"/>
    <mergeCell ref="E45:F45"/>
    <mergeCell ref="J45:K45"/>
    <mergeCell ref="J46:K46"/>
    <mergeCell ref="J47:L47"/>
    <mergeCell ref="A49:N49"/>
    <mergeCell ref="B50:F50"/>
    <mergeCell ref="G50:H50"/>
    <mergeCell ref="I50:K50"/>
    <mergeCell ref="L50:M50"/>
    <mergeCell ref="B51:D51"/>
    <mergeCell ref="E51:F51"/>
    <mergeCell ref="B52:D52"/>
    <mergeCell ref="J52:K52"/>
    <mergeCell ref="F53:G53"/>
    <mergeCell ref="J53:K53"/>
    <mergeCell ref="B54:M54"/>
    <mergeCell ref="B55:F55"/>
    <mergeCell ref="G55:G56"/>
    <mergeCell ref="H55:L55"/>
    <mergeCell ref="M55:M56"/>
    <mergeCell ref="J56:K56"/>
    <mergeCell ref="J57:K57"/>
    <mergeCell ref="B58:C58"/>
    <mergeCell ref="E59:F59"/>
    <mergeCell ref="J59:K59"/>
    <mergeCell ref="J60:K60"/>
    <mergeCell ref="J61:L61"/>
    <mergeCell ref="A63:N63"/>
    <mergeCell ref="A64:N64"/>
    <mergeCell ref="B65:F65"/>
    <mergeCell ref="G65:H65"/>
    <mergeCell ref="I65:K65"/>
    <mergeCell ref="L65:M65"/>
    <mergeCell ref="B66:D66"/>
    <mergeCell ref="E66:F66"/>
    <mergeCell ref="B67:D67"/>
    <mergeCell ref="J67:K67"/>
    <mergeCell ref="F68:G68"/>
    <mergeCell ref="J68:K68"/>
    <mergeCell ref="B69:M69"/>
    <mergeCell ref="B70:F70"/>
    <mergeCell ref="G70:G71"/>
    <mergeCell ref="H70:L70"/>
    <mergeCell ref="M70:M71"/>
    <mergeCell ref="J71:K71"/>
    <mergeCell ref="J72:K72"/>
    <mergeCell ref="B73:C73"/>
    <mergeCell ref="E74:F74"/>
    <mergeCell ref="J74:K74"/>
    <mergeCell ref="J75:K75"/>
    <mergeCell ref="J76:L76"/>
    <mergeCell ref="A78:N78"/>
  </mergeCells>
  <dataValidations count="2">
    <dataValidation allowBlank="true" errorStyle="stop" operator="between" showDropDown="false" showErrorMessage="true" showInputMessage="false" sqref="F3" type="list">
      <formula1>Employee!$V$7:$V$8</formula1>
      <formula2>0</formula2>
    </dataValidation>
    <dataValidation allowBlank="true" errorStyle="stop" operator="between" prompt="Either use the drop down menu to enter Week number or Month number, or type the number 1-12 or 1 through 53." promptTitle="Enter Week or Month Number" showDropDown="false" showErrorMessage="true" showInputMessage="true" sqref="F4" type="list">
      <formula1>Employee!$X$2:$X$54</formula1>
      <formula2>0</formula2>
    </dataValidation>
  </dataValidations>
  <hyperlinks>
    <hyperlink ref="B19" r:id="rId1" display="www.diyaccounting.co.uk"/>
    <hyperlink ref="B33" r:id="rId2" display="www.diyaccounting.co.uk"/>
    <hyperlink ref="B48" r:id="rId3" display="www.diyaccounting.co.uk"/>
    <hyperlink ref="B62" r:id="rId4" display="www.diyaccounting.co.uk"/>
    <hyperlink ref="B77" r:id="rId5" display="www.diyaccounting.co.uk"/>
  </hyperlinks>
  <printOptions headings="false" gridLines="false" gridLinesSet="true" horizontalCentered="true" verticalCentered="true"/>
  <pageMargins left="0.551388888888889" right="0.551388888888889" top="0.315277777777778" bottom="0.23611111111111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34" man="true" max="16383" min="0"/>
    <brk id="63" man="true" max="16383" min="0"/>
  </rowBreak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338" width="1.66"/>
    <col collapsed="false" customWidth="true" hidden="false" outlineLevel="0" max="2" min="2" style="339" width="9.66"/>
    <col collapsed="false" customWidth="true" hidden="false" outlineLevel="0" max="9" min="3" style="338" width="11.66"/>
    <col collapsed="false" customWidth="true" hidden="false" outlineLevel="0" max="10" min="10" style="338" width="9.66"/>
    <col collapsed="false" customWidth="true" hidden="false" outlineLevel="0" max="14" min="11" style="338" width="11.66"/>
    <col collapsed="false" customWidth="true" hidden="false" outlineLevel="0" max="15" min="15" style="338" width="1.66"/>
    <col collapsed="false" customWidth="false" hidden="false" outlineLevel="0" max="257" min="16" style="338" width="9.15"/>
  </cols>
  <sheetData>
    <row r="1" customFormat="false" ht="9" hidden="false" customHeight="true" outlineLevel="0" collapsed="false">
      <c r="A1" s="340"/>
      <c r="B1" s="341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3"/>
    </row>
    <row r="2" s="348" customFormat="true" ht="32.8" hidden="false" customHeight="false" outlineLevel="0" collapsed="false">
      <c r="A2" s="344"/>
      <c r="B2" s="345" t="s">
        <v>113</v>
      </c>
      <c r="C2" s="346" t="s">
        <v>114</v>
      </c>
      <c r="D2" s="345" t="s">
        <v>115</v>
      </c>
      <c r="E2" s="345" t="s">
        <v>116</v>
      </c>
      <c r="F2" s="345" t="s">
        <v>117</v>
      </c>
      <c r="G2" s="345" t="s">
        <v>118</v>
      </c>
      <c r="H2" s="345" t="s">
        <v>119</v>
      </c>
      <c r="I2" s="345" t="s">
        <v>120</v>
      </c>
      <c r="J2" s="345" t="s">
        <v>121</v>
      </c>
      <c r="K2" s="345" t="s">
        <v>122</v>
      </c>
      <c r="L2" s="346" t="s">
        <v>123</v>
      </c>
      <c r="M2" s="346" t="s">
        <v>124</v>
      </c>
      <c r="N2" s="345" t="s">
        <v>125</v>
      </c>
      <c r="O2" s="347"/>
    </row>
    <row r="3" customFormat="false" ht="15" hidden="false" customHeight="true" outlineLevel="0" collapsed="false">
      <c r="A3" s="349"/>
      <c r="B3" s="350"/>
      <c r="C3" s="351"/>
      <c r="D3" s="351"/>
      <c r="E3" s="351"/>
      <c r="F3" s="351"/>
      <c r="G3" s="351"/>
      <c r="H3" s="351"/>
      <c r="I3" s="351"/>
      <c r="N3" s="352"/>
      <c r="O3" s="353"/>
    </row>
    <row r="4" customFormat="false" ht="15" hidden="false" customHeight="true" outlineLevel="0" collapsed="false">
      <c r="A4" s="349"/>
      <c r="B4" s="354" t="n">
        <f aca="false">Admin!$B$26</f>
        <v>44316</v>
      </c>
      <c r="C4" s="355" t="n">
        <f aca="false">Admin!$B$45</f>
        <v>44335</v>
      </c>
      <c r="D4" s="356" t="n">
        <f aca="false">Apr!T1+Apr!O1</f>
        <v>0</v>
      </c>
      <c r="E4" s="357" t="n">
        <f aca="false">Apr!N1</f>
        <v>0</v>
      </c>
      <c r="F4" s="357" t="n">
        <f aca="false">Apr!AD60+Apr!AE60+Apr!AF60+Apr!AG60</f>
        <v>0</v>
      </c>
      <c r="G4" s="357" t="n">
        <f aca="false">Apr!AE62+Apr!AF62+Apr!AG62</f>
        <v>0</v>
      </c>
      <c r="H4" s="357" t="n">
        <f aca="false">Apr!P1</f>
        <v>0</v>
      </c>
      <c r="I4" s="356" t="n">
        <f aca="false">D4+E4-F4-G4+H4</f>
        <v>0</v>
      </c>
      <c r="M4" s="338" t="n">
        <f aca="false">(YEAR(Admin!B2)-1999)*100+1</f>
        <v>2201</v>
      </c>
      <c r="N4" s="358" t="n">
        <f aca="false">N3+I4-L4</f>
        <v>0</v>
      </c>
      <c r="O4" s="353"/>
    </row>
    <row r="5" customFormat="false" ht="15" hidden="false" customHeight="true" outlineLevel="0" collapsed="false">
      <c r="A5" s="349"/>
      <c r="B5" s="354" t="n">
        <f aca="false">Admin!$B$57</f>
        <v>44347</v>
      </c>
      <c r="C5" s="355" t="n">
        <f aca="false">Admin!$B$76</f>
        <v>44366</v>
      </c>
      <c r="D5" s="356" t="n">
        <f aca="false">May!T1+May!O1</f>
        <v>0</v>
      </c>
      <c r="E5" s="357" t="n">
        <f aca="false">May!N1</f>
        <v>0</v>
      </c>
      <c r="F5" s="357" t="n">
        <f aca="false">May!AD60+May!AE60+May!AF60+May!AG60</f>
        <v>0</v>
      </c>
      <c r="G5" s="357" t="n">
        <f aca="false">May!AE62+May!AF62+May!AG62</f>
        <v>0</v>
      </c>
      <c r="H5" s="357" t="n">
        <f aca="false">May!P1</f>
        <v>0</v>
      </c>
      <c r="I5" s="356" t="n">
        <f aca="false">D5+E5-F5-G5+H5</f>
        <v>0</v>
      </c>
      <c r="M5" s="338" t="n">
        <f aca="false">M4+1</f>
        <v>2202</v>
      </c>
      <c r="N5" s="358" t="n">
        <f aca="false">N4+I5-L5</f>
        <v>0</v>
      </c>
      <c r="O5" s="353"/>
    </row>
    <row r="6" customFormat="false" ht="15" hidden="false" customHeight="true" outlineLevel="0" collapsed="false">
      <c r="A6" s="349"/>
      <c r="B6" s="354" t="n">
        <f aca="false">Admin!$B$87</f>
        <v>44377</v>
      </c>
      <c r="C6" s="355" t="n">
        <f aca="false">Admin!$B$106</f>
        <v>44396</v>
      </c>
      <c r="D6" s="356" t="n">
        <f aca="false">Jun!T1+Jun!O1</f>
        <v>0</v>
      </c>
      <c r="E6" s="357" t="n">
        <f aca="false">Jun!N1</f>
        <v>0</v>
      </c>
      <c r="F6" s="357" t="n">
        <f aca="false">Jun!AD70+Jun!AE70+Jun!AF70+Jun!AG70</f>
        <v>0</v>
      </c>
      <c r="G6" s="357" t="n">
        <f aca="false">Jun!AE72+Jun!AF72+Jun!AG72</f>
        <v>0</v>
      </c>
      <c r="H6" s="357" t="n">
        <f aca="false">Jun!P1</f>
        <v>0</v>
      </c>
      <c r="I6" s="356" t="n">
        <f aca="false">D6+E6-F6-G6+H6</f>
        <v>0</v>
      </c>
      <c r="M6" s="338" t="n">
        <f aca="false">M5+1</f>
        <v>2203</v>
      </c>
      <c r="N6" s="358" t="n">
        <f aca="false">N5+I6-L6</f>
        <v>0</v>
      </c>
      <c r="O6" s="353"/>
    </row>
    <row r="7" customFormat="false" ht="15" hidden="false" customHeight="true" outlineLevel="0" collapsed="false">
      <c r="A7" s="349"/>
      <c r="B7" s="354" t="n">
        <f aca="false">Admin!$B$118</f>
        <v>44408</v>
      </c>
      <c r="C7" s="355" t="n">
        <f aca="false">Admin!$B$137</f>
        <v>44427</v>
      </c>
      <c r="D7" s="356" t="n">
        <f aca="false">Jul!T1+Jul!O1</f>
        <v>0</v>
      </c>
      <c r="E7" s="357" t="n">
        <f aca="false">Jul!N1</f>
        <v>0</v>
      </c>
      <c r="F7" s="357" t="n">
        <f aca="false">Jul!AD60+Jul!AE60+Jul!AF60+Jul!AG60</f>
        <v>0</v>
      </c>
      <c r="G7" s="357" t="n">
        <f aca="false">Jul!AE62+Jul!AF62+Jul!AG62</f>
        <v>0</v>
      </c>
      <c r="H7" s="357" t="n">
        <f aca="false">Jul!P1</f>
        <v>0</v>
      </c>
      <c r="I7" s="356" t="n">
        <f aca="false">D7+E7-F7-G7+H7</f>
        <v>0</v>
      </c>
      <c r="M7" s="338" t="n">
        <f aca="false">M6+1</f>
        <v>2204</v>
      </c>
      <c r="N7" s="358" t="n">
        <f aca="false">N6+I7-L7</f>
        <v>0</v>
      </c>
      <c r="O7" s="353"/>
    </row>
    <row r="8" customFormat="false" ht="15" hidden="false" customHeight="true" outlineLevel="0" collapsed="false">
      <c r="A8" s="349"/>
      <c r="B8" s="354" t="n">
        <f aca="false">Admin!$B$149</f>
        <v>44439</v>
      </c>
      <c r="C8" s="355" t="n">
        <f aca="false">Admin!$B$168</f>
        <v>44458</v>
      </c>
      <c r="D8" s="356" t="n">
        <f aca="false">Aug!T1+Aug!O1</f>
        <v>0</v>
      </c>
      <c r="E8" s="357" t="n">
        <f aca="false">Aug!N1</f>
        <v>0</v>
      </c>
      <c r="F8" s="357" t="n">
        <f aca="false">Aug!AD60+Aug!AE60+Aug!AF60+Aug!AG60</f>
        <v>0</v>
      </c>
      <c r="G8" s="357" t="n">
        <f aca="false">Aug!AE62+Aug!AF62+Aug!AG62</f>
        <v>0</v>
      </c>
      <c r="H8" s="357" t="n">
        <f aca="false">Aug!P1</f>
        <v>0</v>
      </c>
      <c r="I8" s="356" t="n">
        <f aca="false">D8+E8-F8-G8+H8</f>
        <v>0</v>
      </c>
      <c r="M8" s="338" t="n">
        <f aca="false">M7+1</f>
        <v>2205</v>
      </c>
      <c r="N8" s="358" t="n">
        <f aca="false">N7+I8-L8</f>
        <v>0</v>
      </c>
      <c r="O8" s="353"/>
    </row>
    <row r="9" customFormat="false" ht="15" hidden="false" customHeight="true" outlineLevel="0" collapsed="false">
      <c r="A9" s="349"/>
      <c r="B9" s="354" t="n">
        <f aca="false">Admin!$B$179</f>
        <v>44469</v>
      </c>
      <c r="C9" s="355" t="n">
        <f aca="false">Admin!$B$198</f>
        <v>44488</v>
      </c>
      <c r="D9" s="356" t="n">
        <f aca="false">Sep!T1+Sep!O1</f>
        <v>0</v>
      </c>
      <c r="E9" s="357" t="n">
        <f aca="false">Sep!N1</f>
        <v>0</v>
      </c>
      <c r="F9" s="357" t="n">
        <f aca="false">Sep!AD70+Sep!AE70+Sep!AF70+Sep!AG70</f>
        <v>0</v>
      </c>
      <c r="G9" s="357" t="n">
        <f aca="false">Sep!AE72+Sep!AF72+Sep!AG72</f>
        <v>0</v>
      </c>
      <c r="H9" s="357" t="n">
        <f aca="false">Sep!P1</f>
        <v>0</v>
      </c>
      <c r="I9" s="356" t="n">
        <f aca="false">D9+E9-F9-G9+H9</f>
        <v>0</v>
      </c>
      <c r="M9" s="338" t="n">
        <f aca="false">M8+1</f>
        <v>2206</v>
      </c>
      <c r="N9" s="358" t="n">
        <f aca="false">N8+I9-L9</f>
        <v>0</v>
      </c>
      <c r="O9" s="353"/>
    </row>
    <row r="10" customFormat="false" ht="15" hidden="false" customHeight="true" outlineLevel="0" collapsed="false">
      <c r="A10" s="349"/>
      <c r="B10" s="354" t="n">
        <f aca="false">Admin!$B$210</f>
        <v>44500</v>
      </c>
      <c r="C10" s="355" t="n">
        <f aca="false">Admin!$B$229</f>
        <v>44519</v>
      </c>
      <c r="D10" s="356" t="n">
        <f aca="false">Oct!T1+Oct!O1</f>
        <v>0</v>
      </c>
      <c r="E10" s="357" t="n">
        <f aca="false">Oct!N1</f>
        <v>0</v>
      </c>
      <c r="F10" s="357" t="n">
        <f aca="false">Oct!AD60+Oct!AE60+Oct!AF60+Oct!AG60</f>
        <v>0</v>
      </c>
      <c r="G10" s="357" t="n">
        <f aca="false">Oct!AE62+Oct!AF62+Oct!AG62</f>
        <v>0</v>
      </c>
      <c r="H10" s="357" t="n">
        <f aca="false">Oct!P1</f>
        <v>0</v>
      </c>
      <c r="I10" s="356" t="n">
        <f aca="false">D10+E10-F10-G10+H10</f>
        <v>0</v>
      </c>
      <c r="M10" s="338" t="n">
        <f aca="false">M9+1</f>
        <v>2207</v>
      </c>
      <c r="N10" s="358" t="n">
        <f aca="false">N9+I10-L10</f>
        <v>0</v>
      </c>
      <c r="O10" s="353"/>
    </row>
    <row r="11" customFormat="false" ht="15" hidden="false" customHeight="true" outlineLevel="0" collapsed="false">
      <c r="A11" s="349"/>
      <c r="B11" s="354" t="n">
        <f aca="false">Admin!$B$240</f>
        <v>44530</v>
      </c>
      <c r="C11" s="355" t="n">
        <f aca="false">Admin!$B$259</f>
        <v>44549</v>
      </c>
      <c r="D11" s="356" t="n">
        <f aca="false">Nov!T1+Nov!O1</f>
        <v>0</v>
      </c>
      <c r="E11" s="357" t="n">
        <f aca="false">Nov!N1</f>
        <v>0</v>
      </c>
      <c r="F11" s="357" t="n">
        <f aca="false">Nov!AD60+Nov!AE60+Nov!AF60+Nov!AG60</f>
        <v>0</v>
      </c>
      <c r="G11" s="357" t="n">
        <f aca="false">Nov!AE62+Nov!AF62+Nov!AG62</f>
        <v>0</v>
      </c>
      <c r="H11" s="357" t="n">
        <f aca="false">Nov!P1</f>
        <v>0</v>
      </c>
      <c r="I11" s="356" t="n">
        <f aca="false">D11+E11-F11-G11+H11</f>
        <v>0</v>
      </c>
      <c r="M11" s="338" t="n">
        <f aca="false">M10+1</f>
        <v>2208</v>
      </c>
      <c r="N11" s="358" t="n">
        <f aca="false">N10+I11-L11</f>
        <v>0</v>
      </c>
      <c r="O11" s="353"/>
    </row>
    <row r="12" customFormat="false" ht="15" hidden="false" customHeight="true" outlineLevel="0" collapsed="false">
      <c r="A12" s="349"/>
      <c r="B12" s="354" t="n">
        <f aca="false">Admin!$B$271</f>
        <v>44561</v>
      </c>
      <c r="C12" s="355" t="n">
        <f aca="false">Admin!$B$290</f>
        <v>44580</v>
      </c>
      <c r="D12" s="356" t="n">
        <f aca="false">Dec!T1+Dec!O1</f>
        <v>0</v>
      </c>
      <c r="E12" s="357" t="n">
        <f aca="false">Dec!N1</f>
        <v>0</v>
      </c>
      <c r="F12" s="357" t="n">
        <f aca="false">Dec!AD70+Dec!AE70+Dec!AF70+Dec!AG70</f>
        <v>0</v>
      </c>
      <c r="G12" s="357" t="n">
        <f aca="false">Dec!AE72+Dec!AF72+Dec!AG72</f>
        <v>0</v>
      </c>
      <c r="H12" s="357" t="n">
        <f aca="false">Dec!P1</f>
        <v>0</v>
      </c>
      <c r="I12" s="356" t="n">
        <f aca="false">D12+E12-F12-G12+H12</f>
        <v>0</v>
      </c>
      <c r="M12" s="338" t="n">
        <f aca="false">M11+1</f>
        <v>2209</v>
      </c>
      <c r="N12" s="358" t="n">
        <f aca="false">N11+I12-L12</f>
        <v>0</v>
      </c>
      <c r="O12" s="353"/>
    </row>
    <row r="13" customFormat="false" ht="15" hidden="false" customHeight="true" outlineLevel="0" collapsed="false">
      <c r="A13" s="349"/>
      <c r="B13" s="354" t="n">
        <f aca="false">Admin!$B$302</f>
        <v>44592</v>
      </c>
      <c r="C13" s="355" t="n">
        <f aca="false">Admin!$B$321</f>
        <v>44611</v>
      </c>
      <c r="D13" s="356" t="n">
        <f aca="false">Jan!T1+Jan!O1</f>
        <v>0</v>
      </c>
      <c r="E13" s="357" t="n">
        <f aca="false">Jan!N1</f>
        <v>0</v>
      </c>
      <c r="F13" s="357" t="n">
        <f aca="false">Jan!AD60+Jan!AE60+Jan!AF60+Jan!AG60</f>
        <v>0</v>
      </c>
      <c r="G13" s="357" t="n">
        <f aca="false">Jan!AE62+Jan!AF62+Jan!AG62</f>
        <v>0</v>
      </c>
      <c r="H13" s="357" t="n">
        <f aca="false">Jan!P1</f>
        <v>0</v>
      </c>
      <c r="I13" s="356" t="n">
        <f aca="false">D13+E13-F13-G13+H13</f>
        <v>0</v>
      </c>
      <c r="M13" s="338" t="n">
        <f aca="false">M12+1</f>
        <v>2210</v>
      </c>
      <c r="N13" s="358" t="n">
        <f aca="false">N12+I13-L13</f>
        <v>0</v>
      </c>
      <c r="O13" s="353"/>
    </row>
    <row r="14" customFormat="false" ht="15" hidden="false" customHeight="true" outlineLevel="0" collapsed="false">
      <c r="A14" s="349"/>
      <c r="B14" s="354" t="n">
        <f aca="false">Admin!$B$330</f>
        <v>44620</v>
      </c>
      <c r="C14" s="355" t="n">
        <f aca="false">Admin!$B$350</f>
        <v>44640</v>
      </c>
      <c r="D14" s="356" t="n">
        <f aca="false">Feb!T1+Feb!O1</f>
        <v>0</v>
      </c>
      <c r="E14" s="357" t="n">
        <f aca="false">Feb!N1</f>
        <v>0</v>
      </c>
      <c r="F14" s="357" t="n">
        <f aca="false">Feb!AD60+Feb!AE60+Feb!AF60+Feb!AG60</f>
        <v>0</v>
      </c>
      <c r="G14" s="357" t="n">
        <f aca="false">Feb!AE62+Feb!AF62+Feb!AG62</f>
        <v>0</v>
      </c>
      <c r="H14" s="357" t="n">
        <f aca="false">Feb!P1</f>
        <v>0</v>
      </c>
      <c r="I14" s="356" t="n">
        <f aca="false">D14+E14-F14-G14+H14</f>
        <v>0</v>
      </c>
      <c r="M14" s="338" t="n">
        <f aca="false">M13+1</f>
        <v>2211</v>
      </c>
      <c r="N14" s="358" t="n">
        <f aca="false">N13+I14-L14</f>
        <v>0</v>
      </c>
      <c r="O14" s="353"/>
    </row>
    <row r="15" customFormat="false" ht="15" hidden="false" customHeight="true" outlineLevel="0" collapsed="false">
      <c r="A15" s="349"/>
      <c r="B15" s="354" t="n">
        <f aca="false">Admin!$B$361</f>
        <v>44651</v>
      </c>
      <c r="C15" s="355" t="n">
        <f aca="false">Admin!$B$381</f>
        <v>44671</v>
      </c>
      <c r="D15" s="356" t="n">
        <f aca="false">Mar!T1+Mar!O1</f>
        <v>0</v>
      </c>
      <c r="E15" s="357" t="n">
        <f aca="false">Mar!N1</f>
        <v>0</v>
      </c>
      <c r="F15" s="357" t="n">
        <f aca="false">Mar!AD80+Mar!AE80+Mar!AF80+Mar!AG80</f>
        <v>0</v>
      </c>
      <c r="G15" s="357" t="n">
        <f aca="false">Mar!AE82+Mar!AF82+Mar!AG82</f>
        <v>0</v>
      </c>
      <c r="H15" s="357" t="n">
        <f aca="false">Mar!P1</f>
        <v>0</v>
      </c>
      <c r="I15" s="356" t="n">
        <f aca="false">D15+E15-F15-G15+H15</f>
        <v>0</v>
      </c>
      <c r="M15" s="338" t="n">
        <f aca="false">M14+1</f>
        <v>2212</v>
      </c>
      <c r="N15" s="358" t="n">
        <f aca="false">N14+I15-L15</f>
        <v>0</v>
      </c>
      <c r="O15" s="353"/>
    </row>
    <row r="16" s="339" customFormat="true" ht="15" hidden="false" customHeight="true" outlineLevel="0" collapsed="false">
      <c r="A16" s="359"/>
      <c r="B16" s="360"/>
      <c r="C16" s="361"/>
      <c r="D16" s="362" t="n">
        <f aca="false">SUM(D4:D15)</f>
        <v>0</v>
      </c>
      <c r="E16" s="362" t="n">
        <f aca="false">SUM(E4:E15)</f>
        <v>0</v>
      </c>
      <c r="F16" s="362" t="n">
        <f aca="false">SUM(F4:F15)</f>
        <v>0</v>
      </c>
      <c r="G16" s="362" t="n">
        <f aca="false">SUM(G4:G15)</f>
        <v>0</v>
      </c>
      <c r="H16" s="362" t="n">
        <f aca="false">SUM(H4:H15)</f>
        <v>0</v>
      </c>
      <c r="I16" s="362" t="n">
        <f aca="false">SUM(I4:I15)</f>
        <v>0</v>
      </c>
      <c r="J16" s="363"/>
      <c r="K16" s="363"/>
      <c r="L16" s="364" t="n">
        <f aca="false">SUM(L4:L15)</f>
        <v>0</v>
      </c>
      <c r="M16" s="361"/>
      <c r="N16" s="365"/>
      <c r="O16" s="366"/>
    </row>
    <row r="17" customFormat="false" ht="9" hidden="false" customHeight="true" outlineLevel="0" collapsed="false">
      <c r="A17" s="367"/>
      <c r="B17" s="368"/>
      <c r="C17" s="368"/>
      <c r="D17" s="368"/>
      <c r="E17" s="368"/>
      <c r="F17" s="368"/>
      <c r="G17" s="368"/>
      <c r="H17" s="368"/>
      <c r="I17" s="368"/>
      <c r="J17" s="368"/>
      <c r="K17" s="368"/>
      <c r="L17" s="368"/>
      <c r="M17" s="368"/>
      <c r="N17" s="368"/>
      <c r="O17" s="369"/>
    </row>
    <row r="18" customFormat="false" ht="12" hidden="false" customHeight="false" outlineLevel="0" collapsed="false">
      <c r="B18" s="370" t="s">
        <v>126</v>
      </c>
    </row>
  </sheetData>
  <mergeCells count="1">
    <mergeCell ref="B17:N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0.5" zeroHeight="false" outlineLevelRow="0" outlineLevelCol="0"/>
  <cols>
    <col collapsed="false" customWidth="true" hidden="false" outlineLevel="0" max="1" min="1" style="371" width="5.99"/>
    <col collapsed="false" customWidth="false" hidden="false" outlineLevel="0" max="2" min="2" style="372" width="9.15"/>
    <col collapsed="false" customWidth="false" hidden="false" outlineLevel="0" max="4" min="3" style="373" width="9.15"/>
    <col collapsed="false" customWidth="true" hidden="false" outlineLevel="0" max="5" min="5" style="371" width="5.66"/>
    <col collapsed="false" customWidth="false" hidden="false" outlineLevel="0" max="6" min="6" style="374" width="9.15"/>
    <col collapsed="false" customWidth="true" hidden="false" outlineLevel="0" max="7" min="7" style="371" width="6.32"/>
    <col collapsed="false" customWidth="false" hidden="false" outlineLevel="0" max="9" min="8" style="371" width="9.15"/>
    <col collapsed="false" customWidth="true" hidden="false" outlineLevel="0" max="10" min="10" style="371" width="12.5"/>
    <col collapsed="false" customWidth="true" hidden="false" outlineLevel="0" max="11" min="11" style="371" width="9.49"/>
    <col collapsed="false" customWidth="false" hidden="false" outlineLevel="0" max="12" min="12" style="371" width="9.15"/>
    <col collapsed="false" customWidth="true" hidden="false" outlineLevel="0" max="13" min="13" style="374" width="8.33"/>
    <col collapsed="false" customWidth="true" hidden="false" outlineLevel="0" max="14" min="14" style="374" width="10.5"/>
    <col collapsed="false" customWidth="true" hidden="false" outlineLevel="0" max="15" min="15" style="374" width="4.33"/>
    <col collapsed="false" customWidth="true" hidden="false" outlineLevel="0" max="16" min="16" style="374" width="9.82"/>
    <col collapsed="false" customWidth="true" hidden="false" outlineLevel="0" max="17" min="17" style="374" width="4.33"/>
    <col collapsed="false" customWidth="true" hidden="false" outlineLevel="0" max="18" min="18" style="374" width="9.82"/>
    <col collapsed="false" customWidth="true" hidden="false" outlineLevel="0" max="19" min="19" style="371" width="1.99"/>
    <col collapsed="false" customWidth="false" hidden="false" outlineLevel="0" max="257" min="20" style="371" width="9.15"/>
  </cols>
  <sheetData>
    <row r="1" customFormat="false" ht="22.35" hidden="false" customHeight="false" outlineLevel="0" collapsed="false">
      <c r="A1" s="375" t="s">
        <v>127</v>
      </c>
      <c r="B1" s="376" t="s">
        <v>128</v>
      </c>
      <c r="C1" s="375" t="s">
        <v>72</v>
      </c>
      <c r="D1" s="375" t="s">
        <v>79</v>
      </c>
      <c r="E1" s="377" t="s">
        <v>129</v>
      </c>
      <c r="F1" s="377" t="s">
        <v>130</v>
      </c>
      <c r="G1" s="378" t="s">
        <v>131</v>
      </c>
      <c r="H1" s="378"/>
      <c r="I1" s="379" t="n">
        <f aca="false">B366</f>
        <v>44656</v>
      </c>
      <c r="J1" s="379"/>
      <c r="K1" s="380"/>
      <c r="L1" s="380"/>
      <c r="M1" s="381"/>
      <c r="N1" s="382" t="str">
        <f aca="false">TEXT(YEAR(I1)-1,"0")&amp;"-"&amp;TEXT(YEAR(I1)-2000,"0")</f>
        <v>2021-22</v>
      </c>
      <c r="O1" s="381"/>
      <c r="P1" s="381"/>
      <c r="Q1" s="381"/>
      <c r="R1" s="381"/>
      <c r="S1" s="380"/>
    </row>
    <row r="2" customFormat="false" ht="11.45" hidden="false" customHeight="false" outlineLevel="0" collapsed="false">
      <c r="A2" s="383" t="str">
        <f aca="false">TEXT(DATE(YEAR(B$2),MONTH(B$2)+(D2-1),1),"Mmm")</f>
        <v>Apr</v>
      </c>
      <c r="B2" s="384" t="n">
        <v>44292</v>
      </c>
      <c r="C2" s="385" t="n">
        <v>1</v>
      </c>
      <c r="D2" s="385" t="n">
        <v>1</v>
      </c>
      <c r="E2" s="386" t="n">
        <f aca="false">B2</f>
        <v>44292</v>
      </c>
      <c r="F2" s="385" t="n">
        <v>1</v>
      </c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380"/>
      <c r="R2" s="380"/>
      <c r="S2" s="380"/>
    </row>
    <row r="3" customFormat="false" ht="11.45" hidden="false" customHeight="false" outlineLevel="0" collapsed="false">
      <c r="A3" s="383" t="str">
        <f aca="false">TEXT(DATE(YEAR(B$2),MONTH(B$2)+(D3-1),1),"Mmm")</f>
        <v>Apr</v>
      </c>
      <c r="B3" s="384" t="n">
        <f aca="false">B2+1</f>
        <v>44293</v>
      </c>
      <c r="C3" s="385" t="n">
        <v>1</v>
      </c>
      <c r="D3" s="385" t="n">
        <v>1</v>
      </c>
      <c r="E3" s="387"/>
      <c r="F3" s="388" t="n">
        <v>1</v>
      </c>
      <c r="G3" s="380"/>
      <c r="H3" s="389" t="s">
        <v>132</v>
      </c>
      <c r="I3" s="389"/>
      <c r="J3" s="389"/>
      <c r="K3" s="389"/>
      <c r="L3" s="389"/>
      <c r="M3" s="389"/>
      <c r="N3" s="380"/>
      <c r="O3" s="380"/>
      <c r="P3" s="380"/>
      <c r="Q3" s="380"/>
      <c r="R3" s="380"/>
      <c r="S3" s="380"/>
    </row>
    <row r="4" customFormat="false" ht="11.45" hidden="false" customHeight="false" outlineLevel="0" collapsed="false">
      <c r="A4" s="383" t="str">
        <f aca="false">TEXT(DATE(YEAR(B$2),MONTH(B$2)+(D4-1),1),"Mmm")</f>
        <v>Apr</v>
      </c>
      <c r="B4" s="384" t="n">
        <f aca="false">B3+1</f>
        <v>44294</v>
      </c>
      <c r="C4" s="385" t="n">
        <v>1</v>
      </c>
      <c r="D4" s="385" t="n">
        <v>1</v>
      </c>
      <c r="E4" s="387"/>
      <c r="F4" s="388" t="n">
        <v>1</v>
      </c>
      <c r="G4" s="380"/>
      <c r="H4" s="390"/>
      <c r="I4" s="390"/>
      <c r="J4" s="390"/>
      <c r="K4" s="390"/>
      <c r="L4" s="390"/>
      <c r="M4" s="390"/>
      <c r="N4" s="380"/>
      <c r="O4" s="380"/>
      <c r="P4" s="380"/>
      <c r="Q4" s="380"/>
      <c r="R4" s="380"/>
      <c r="S4" s="380"/>
    </row>
    <row r="5" customFormat="false" ht="11.45" hidden="false" customHeight="false" outlineLevel="0" collapsed="false">
      <c r="A5" s="383" t="str">
        <f aca="false">TEXT(DATE(YEAR(B$2),MONTH(B$2)+(D5-1),1),"Mmm")</f>
        <v>Apr</v>
      </c>
      <c r="B5" s="384" t="n">
        <f aca="false">B4+1</f>
        <v>44295</v>
      </c>
      <c r="C5" s="385" t="n">
        <v>1</v>
      </c>
      <c r="D5" s="385" t="n">
        <v>1</v>
      </c>
      <c r="E5" s="387"/>
      <c r="F5" s="388" t="n">
        <v>1</v>
      </c>
      <c r="G5" s="380"/>
      <c r="H5" s="390"/>
      <c r="I5" s="390"/>
      <c r="J5" s="390"/>
      <c r="K5" s="390"/>
      <c r="L5" s="390"/>
      <c r="M5" s="390"/>
      <c r="N5" s="380"/>
      <c r="O5" s="380"/>
      <c r="P5" s="380"/>
      <c r="Q5" s="380"/>
      <c r="R5" s="380"/>
      <c r="S5" s="380"/>
    </row>
    <row r="6" customFormat="false" ht="11.45" hidden="false" customHeight="false" outlineLevel="0" collapsed="false">
      <c r="A6" s="383" t="str">
        <f aca="false">TEXT(DATE(YEAR(B$2),MONTH(B$2)+(D6-1),1),"Mmm")</f>
        <v>Apr</v>
      </c>
      <c r="B6" s="384" t="n">
        <f aca="false">B5+1</f>
        <v>44296</v>
      </c>
      <c r="C6" s="385" t="n">
        <v>1</v>
      </c>
      <c r="D6" s="385" t="n">
        <v>1</v>
      </c>
      <c r="E6" s="387"/>
      <c r="F6" s="388" t="n">
        <v>1</v>
      </c>
      <c r="G6" s="380"/>
      <c r="H6" s="390" t="s">
        <v>133</v>
      </c>
      <c r="I6" s="390" t="s">
        <v>134</v>
      </c>
      <c r="J6" s="390"/>
      <c r="K6" s="390" t="s">
        <v>135</v>
      </c>
      <c r="L6" s="390"/>
      <c r="M6" s="390"/>
      <c r="N6" s="380"/>
      <c r="O6" s="380"/>
      <c r="P6" s="380"/>
      <c r="Q6" s="380"/>
      <c r="R6" s="380"/>
      <c r="S6" s="380"/>
    </row>
    <row r="7" customFormat="false" ht="11.45" hidden="false" customHeight="false" outlineLevel="0" collapsed="false">
      <c r="A7" s="383" t="str">
        <f aca="false">TEXT(DATE(YEAR(B$2),MONTH(B$2)+(D7-1),1),"Mmm")</f>
        <v>Apr</v>
      </c>
      <c r="B7" s="384" t="n">
        <f aca="false">B6+1</f>
        <v>44297</v>
      </c>
      <c r="C7" s="385" t="n">
        <v>2</v>
      </c>
      <c r="D7" s="385" t="n">
        <v>1</v>
      </c>
      <c r="E7" s="387"/>
      <c r="F7" s="388" t="n">
        <v>2</v>
      </c>
      <c r="G7" s="380"/>
      <c r="H7" s="390"/>
      <c r="I7" s="390"/>
      <c r="J7" s="390"/>
      <c r="K7" s="390"/>
      <c r="L7" s="390"/>
      <c r="M7" s="390"/>
      <c r="N7" s="380"/>
      <c r="O7" s="380"/>
      <c r="P7" s="380"/>
      <c r="Q7" s="380"/>
      <c r="R7" s="380"/>
      <c r="S7" s="380"/>
    </row>
    <row r="8" customFormat="false" ht="11.45" hidden="false" customHeight="false" outlineLevel="0" collapsed="false">
      <c r="A8" s="383" t="str">
        <f aca="false">TEXT(DATE(YEAR(B$2),MONTH(B$2)+(D8-1),1),"Mmm")</f>
        <v>Apr</v>
      </c>
      <c r="B8" s="384" t="n">
        <f aca="false">B7+1</f>
        <v>44298</v>
      </c>
      <c r="C8" s="385" t="n">
        <v>2</v>
      </c>
      <c r="D8" s="385" t="n">
        <v>1</v>
      </c>
      <c r="E8" s="387"/>
      <c r="F8" s="388" t="n">
        <v>2</v>
      </c>
      <c r="G8" s="380"/>
      <c r="H8" s="385" t="n">
        <v>1</v>
      </c>
      <c r="I8" s="385" t="n">
        <v>4</v>
      </c>
      <c r="J8" s="390"/>
      <c r="K8" s="385" t="n">
        <v>5</v>
      </c>
      <c r="L8" s="390"/>
      <c r="M8" s="390"/>
      <c r="N8" s="380"/>
      <c r="O8" s="380"/>
      <c r="P8" s="380"/>
      <c r="Q8" s="380"/>
      <c r="R8" s="380"/>
      <c r="S8" s="380"/>
    </row>
    <row r="9" customFormat="false" ht="11.45" hidden="false" customHeight="false" outlineLevel="0" collapsed="false">
      <c r="A9" s="383" t="str">
        <f aca="false">TEXT(DATE(YEAR(B$2),MONTH(B$2)+(D9-1),1),"Mmm")</f>
        <v>Apr</v>
      </c>
      <c r="B9" s="384" t="n">
        <f aca="false">B8+1</f>
        <v>44299</v>
      </c>
      <c r="C9" s="385" t="n">
        <v>2</v>
      </c>
      <c r="D9" s="385" t="n">
        <v>1</v>
      </c>
      <c r="E9" s="387"/>
      <c r="F9" s="388" t="n">
        <v>2</v>
      </c>
      <c r="G9" s="380"/>
      <c r="H9" s="385" t="n">
        <v>2</v>
      </c>
      <c r="I9" s="385" t="n">
        <v>4</v>
      </c>
      <c r="J9" s="390"/>
      <c r="K9" s="390"/>
      <c r="L9" s="390"/>
      <c r="M9" s="390"/>
      <c r="N9" s="380"/>
      <c r="O9" s="380"/>
      <c r="P9" s="380"/>
      <c r="Q9" s="380"/>
      <c r="R9" s="380"/>
      <c r="S9" s="380"/>
    </row>
    <row r="10" customFormat="false" ht="11.45" hidden="false" customHeight="false" outlineLevel="0" collapsed="false">
      <c r="A10" s="383" t="str">
        <f aca="false">TEXT(DATE(YEAR(B$2),MONTH(B$2)+(D10-1),1),"Mmm")</f>
        <v>Apr</v>
      </c>
      <c r="B10" s="384" t="n">
        <f aca="false">B9+1</f>
        <v>44300</v>
      </c>
      <c r="C10" s="385" t="n">
        <v>2</v>
      </c>
      <c r="D10" s="385" t="n">
        <v>1</v>
      </c>
      <c r="E10" s="387"/>
      <c r="F10" s="388" t="n">
        <v>2</v>
      </c>
      <c r="G10" s="380"/>
      <c r="H10" s="385" t="n">
        <v>3</v>
      </c>
      <c r="I10" s="385" t="n">
        <v>5</v>
      </c>
      <c r="J10" s="390"/>
      <c r="K10" s="390"/>
      <c r="L10" s="390"/>
      <c r="M10" s="390"/>
      <c r="N10" s="380"/>
      <c r="O10" s="380"/>
      <c r="P10" s="380"/>
      <c r="Q10" s="380"/>
      <c r="R10" s="380"/>
      <c r="S10" s="380"/>
    </row>
    <row r="11" customFormat="false" ht="11.45" hidden="false" customHeight="false" outlineLevel="0" collapsed="false">
      <c r="A11" s="383" t="str">
        <f aca="false">TEXT(DATE(YEAR(B$2),MONTH(B$2)+(D11-1),1),"Mmm")</f>
        <v>Apr</v>
      </c>
      <c r="B11" s="384" t="n">
        <f aca="false">B10+1</f>
        <v>44301</v>
      </c>
      <c r="C11" s="385" t="n">
        <v>2</v>
      </c>
      <c r="D11" s="385" t="n">
        <v>1</v>
      </c>
      <c r="E11" s="387"/>
      <c r="F11" s="388" t="n">
        <v>2</v>
      </c>
      <c r="G11" s="380"/>
      <c r="H11" s="385" t="n">
        <v>4</v>
      </c>
      <c r="I11" s="385" t="n">
        <v>4</v>
      </c>
      <c r="J11" s="390"/>
      <c r="K11" s="390" t="s">
        <v>136</v>
      </c>
      <c r="L11" s="385" t="s">
        <v>9</v>
      </c>
      <c r="M11" s="390"/>
      <c r="N11" s="380"/>
      <c r="O11" s="380"/>
      <c r="P11" s="380"/>
      <c r="Q11" s="380"/>
      <c r="R11" s="380"/>
      <c r="S11" s="380"/>
    </row>
    <row r="12" customFormat="false" ht="11.45" hidden="false" customHeight="false" outlineLevel="0" collapsed="false">
      <c r="A12" s="383" t="str">
        <f aca="false">TEXT(DATE(YEAR(B$2),MONTH(B$2)+(D12-1),1),"Mmm")</f>
        <v>Apr</v>
      </c>
      <c r="B12" s="384" t="n">
        <f aca="false">B11+1</f>
        <v>44302</v>
      </c>
      <c r="C12" s="385" t="n">
        <v>2</v>
      </c>
      <c r="D12" s="385" t="n">
        <v>1</v>
      </c>
      <c r="E12" s="387"/>
      <c r="F12" s="388" t="n">
        <v>2</v>
      </c>
      <c r="G12" s="380"/>
      <c r="H12" s="385" t="n">
        <v>5</v>
      </c>
      <c r="I12" s="385" t="n">
        <v>4</v>
      </c>
      <c r="J12" s="390"/>
      <c r="K12" s="390" t="s">
        <v>137</v>
      </c>
      <c r="L12" s="385" t="s">
        <v>5</v>
      </c>
      <c r="M12" s="390"/>
      <c r="N12" s="380"/>
      <c r="O12" s="380"/>
      <c r="P12" s="380"/>
      <c r="Q12" s="380"/>
      <c r="R12" s="380"/>
      <c r="S12" s="380"/>
    </row>
    <row r="13" customFormat="false" ht="11.45" hidden="false" customHeight="false" outlineLevel="0" collapsed="false">
      <c r="A13" s="383" t="str">
        <f aca="false">TEXT(DATE(YEAR(B$2),MONTH(B$2)+(D13-1),1),"Mmm")</f>
        <v>Apr</v>
      </c>
      <c r="B13" s="384" t="n">
        <f aca="false">B12+1</f>
        <v>44303</v>
      </c>
      <c r="C13" s="385" t="n">
        <v>2</v>
      </c>
      <c r="D13" s="385" t="n">
        <v>1</v>
      </c>
      <c r="E13" s="387"/>
      <c r="F13" s="388" t="n">
        <v>2</v>
      </c>
      <c r="G13" s="380"/>
      <c r="H13" s="385" t="n">
        <v>6</v>
      </c>
      <c r="I13" s="385" t="n">
        <v>5</v>
      </c>
      <c r="J13" s="390"/>
      <c r="K13" s="390"/>
      <c r="L13" s="390"/>
      <c r="M13" s="390"/>
      <c r="N13" s="380"/>
      <c r="O13" s="380"/>
      <c r="P13" s="380"/>
      <c r="Q13" s="380"/>
      <c r="R13" s="380"/>
      <c r="S13" s="380"/>
    </row>
    <row r="14" customFormat="false" ht="11.45" hidden="false" customHeight="false" outlineLevel="0" collapsed="false">
      <c r="A14" s="383" t="str">
        <f aca="false">TEXT(DATE(YEAR(B$2),MONTH(B$2)+(D14-1),1),"Mmm")</f>
        <v>Apr</v>
      </c>
      <c r="B14" s="384" t="n">
        <f aca="false">B13+1</f>
        <v>44304</v>
      </c>
      <c r="C14" s="385" t="n">
        <v>3</v>
      </c>
      <c r="D14" s="385" t="n">
        <v>1</v>
      </c>
      <c r="E14" s="387"/>
      <c r="F14" s="388" t="n">
        <v>3</v>
      </c>
      <c r="G14" s="380"/>
      <c r="H14" s="385" t="n">
        <v>7</v>
      </c>
      <c r="I14" s="385" t="n">
        <v>4</v>
      </c>
      <c r="J14" s="390"/>
      <c r="K14" s="390"/>
      <c r="L14" s="390"/>
      <c r="M14" s="390"/>
      <c r="N14" s="380"/>
      <c r="O14" s="380"/>
      <c r="P14" s="380"/>
      <c r="Q14" s="380"/>
      <c r="R14" s="380"/>
      <c r="S14" s="380"/>
    </row>
    <row r="15" customFormat="false" ht="11.45" hidden="false" customHeight="false" outlineLevel="0" collapsed="false">
      <c r="A15" s="383" t="str">
        <f aca="false">TEXT(DATE(YEAR(B$2),MONTH(B$2)+(D15-1),1),"Mmm")</f>
        <v>Apr</v>
      </c>
      <c r="B15" s="384" t="n">
        <f aca="false">B14+1</f>
        <v>44305</v>
      </c>
      <c r="C15" s="385" t="n">
        <v>3</v>
      </c>
      <c r="D15" s="385" t="n">
        <v>1</v>
      </c>
      <c r="E15" s="387"/>
      <c r="F15" s="388" t="n">
        <v>3</v>
      </c>
      <c r="G15" s="380"/>
      <c r="H15" s="385" t="n">
        <v>8</v>
      </c>
      <c r="I15" s="385" t="n">
        <v>4</v>
      </c>
      <c r="J15" s="390"/>
      <c r="K15" s="390"/>
      <c r="L15" s="390"/>
      <c r="M15" s="390"/>
      <c r="N15" s="380"/>
      <c r="O15" s="380"/>
      <c r="P15" s="380"/>
      <c r="Q15" s="380"/>
      <c r="R15" s="380"/>
      <c r="S15" s="380"/>
    </row>
    <row r="16" customFormat="false" ht="11.45" hidden="false" customHeight="false" outlineLevel="0" collapsed="false">
      <c r="A16" s="383" t="str">
        <f aca="false">TEXT(DATE(YEAR(B$2),MONTH(B$2)+(D16-1),1),"Mmm")</f>
        <v>Apr</v>
      </c>
      <c r="B16" s="384" t="n">
        <f aca="false">B15+1</f>
        <v>44306</v>
      </c>
      <c r="C16" s="385" t="n">
        <v>3</v>
      </c>
      <c r="D16" s="385" t="n">
        <v>1</v>
      </c>
      <c r="E16" s="387"/>
      <c r="F16" s="388" t="n">
        <v>3</v>
      </c>
      <c r="G16" s="380"/>
      <c r="H16" s="385" t="n">
        <v>9</v>
      </c>
      <c r="I16" s="385" t="n">
        <v>5</v>
      </c>
      <c r="J16" s="390"/>
      <c r="K16" s="390"/>
      <c r="L16" s="390"/>
      <c r="M16" s="390"/>
      <c r="N16" s="380"/>
      <c r="O16" s="380"/>
      <c r="P16" s="380"/>
      <c r="Q16" s="380"/>
      <c r="R16" s="380"/>
      <c r="S16" s="380"/>
    </row>
    <row r="17" customFormat="false" ht="12" hidden="false" customHeight="true" outlineLevel="0" collapsed="false">
      <c r="A17" s="383" t="str">
        <f aca="false">TEXT(DATE(YEAR(B$2),MONTH(B$2)+(D17-1),1),"Mmm")</f>
        <v>Apr</v>
      </c>
      <c r="B17" s="384" t="n">
        <f aca="false">B16+1</f>
        <v>44307</v>
      </c>
      <c r="C17" s="385" t="n">
        <v>3</v>
      </c>
      <c r="D17" s="385" t="n">
        <v>1</v>
      </c>
      <c r="E17" s="387"/>
      <c r="F17" s="388" t="n">
        <v>3</v>
      </c>
      <c r="G17" s="380"/>
      <c r="H17" s="385" t="n">
        <v>10</v>
      </c>
      <c r="I17" s="385" t="n">
        <v>4</v>
      </c>
      <c r="J17" s="390"/>
      <c r="K17" s="390"/>
      <c r="L17" s="390"/>
      <c r="M17" s="390"/>
      <c r="N17" s="380"/>
      <c r="O17" s="380"/>
      <c r="P17" s="380"/>
      <c r="Q17" s="380"/>
      <c r="R17" s="380"/>
      <c r="S17" s="380"/>
    </row>
    <row r="18" customFormat="false" ht="11.45" hidden="false" customHeight="false" outlineLevel="0" collapsed="false">
      <c r="A18" s="383" t="str">
        <f aca="false">TEXT(DATE(YEAR(B$2),MONTH(B$2)+(D18-1),1),"Mmm")</f>
        <v>Apr</v>
      </c>
      <c r="B18" s="384" t="n">
        <f aca="false">B17+1</f>
        <v>44308</v>
      </c>
      <c r="C18" s="385" t="n">
        <v>3</v>
      </c>
      <c r="D18" s="385" t="n">
        <v>1</v>
      </c>
      <c r="E18" s="387"/>
      <c r="F18" s="388" t="n">
        <v>3</v>
      </c>
      <c r="G18" s="380"/>
      <c r="H18" s="385" t="n">
        <v>11</v>
      </c>
      <c r="I18" s="385" t="n">
        <v>4</v>
      </c>
      <c r="J18" s="390"/>
      <c r="K18" s="390"/>
      <c r="L18" s="390"/>
      <c r="M18" s="390"/>
      <c r="N18" s="380"/>
      <c r="O18" s="380"/>
      <c r="P18" s="380"/>
      <c r="Q18" s="380"/>
      <c r="R18" s="380"/>
      <c r="S18" s="380"/>
    </row>
    <row r="19" customFormat="false" ht="11.45" hidden="false" customHeight="false" outlineLevel="0" collapsed="false">
      <c r="A19" s="383" t="str">
        <f aca="false">TEXT(DATE(YEAR(B$2),MONTH(B$2)+(D19-1),1),"Mmm")</f>
        <v>Apr</v>
      </c>
      <c r="B19" s="384" t="n">
        <f aca="false">B18+1</f>
        <v>44309</v>
      </c>
      <c r="C19" s="385" t="n">
        <v>3</v>
      </c>
      <c r="D19" s="385" t="n">
        <v>1</v>
      </c>
      <c r="E19" s="387"/>
      <c r="F19" s="388" t="n">
        <v>3</v>
      </c>
      <c r="G19" s="380"/>
      <c r="H19" s="385" t="n">
        <v>12</v>
      </c>
      <c r="I19" s="385" t="n">
        <v>6</v>
      </c>
      <c r="J19" s="390"/>
      <c r="K19" s="390"/>
      <c r="L19" s="390"/>
      <c r="M19" s="390"/>
      <c r="N19" s="380"/>
      <c r="O19" s="380"/>
      <c r="P19" s="380"/>
      <c r="Q19" s="380"/>
      <c r="R19" s="380"/>
      <c r="S19" s="380"/>
    </row>
    <row r="20" customFormat="false" ht="11.45" hidden="false" customHeight="false" outlineLevel="0" collapsed="false">
      <c r="A20" s="383" t="str">
        <f aca="false">TEXT(DATE(YEAR(B$2),MONTH(B$2)+(D20-1),1),"Mmm")</f>
        <v>Apr</v>
      </c>
      <c r="B20" s="384" t="n">
        <f aca="false">B19+1</f>
        <v>44310</v>
      </c>
      <c r="C20" s="385" t="n">
        <v>3</v>
      </c>
      <c r="D20" s="385" t="n">
        <v>1</v>
      </c>
      <c r="E20" s="387"/>
      <c r="F20" s="388" t="n">
        <v>3</v>
      </c>
      <c r="G20" s="380"/>
      <c r="H20" s="380"/>
      <c r="I20" s="380"/>
      <c r="J20" s="380"/>
      <c r="K20" s="380"/>
      <c r="L20" s="380"/>
      <c r="M20" s="380"/>
      <c r="N20" s="380"/>
      <c r="O20" s="380"/>
      <c r="P20" s="380"/>
      <c r="Q20" s="380"/>
      <c r="R20" s="380"/>
      <c r="S20" s="380"/>
    </row>
    <row r="21" customFormat="false" ht="11.45" hidden="false" customHeight="false" outlineLevel="0" collapsed="false">
      <c r="A21" s="383" t="str">
        <f aca="false">TEXT(DATE(YEAR(B$2),MONTH(B$2)+(D21-1),1),"Mmm")</f>
        <v>Apr</v>
      </c>
      <c r="B21" s="384" t="n">
        <f aca="false">B20+1</f>
        <v>44311</v>
      </c>
      <c r="C21" s="385" t="n">
        <v>4</v>
      </c>
      <c r="D21" s="385" t="n">
        <v>1</v>
      </c>
      <c r="E21" s="387"/>
      <c r="F21" s="388" t="n">
        <v>4</v>
      </c>
      <c r="G21" s="380"/>
      <c r="H21" s="380"/>
      <c r="I21" s="380"/>
      <c r="J21" s="380"/>
      <c r="K21" s="380"/>
      <c r="L21" s="380"/>
      <c r="M21" s="380"/>
      <c r="N21" s="380"/>
      <c r="O21" s="380"/>
      <c r="P21" s="380"/>
      <c r="Q21" s="380"/>
      <c r="R21" s="380"/>
      <c r="S21" s="380"/>
    </row>
    <row r="22" customFormat="false" ht="11.45" hidden="false" customHeight="false" outlineLevel="0" collapsed="false">
      <c r="A22" s="383" t="str">
        <f aca="false">TEXT(DATE(YEAR(B$2),MONTH(B$2)+(D22-1),1),"Mmm")</f>
        <v>Apr</v>
      </c>
      <c r="B22" s="384" t="n">
        <f aca="false">B21+1</f>
        <v>44312</v>
      </c>
      <c r="C22" s="385" t="n">
        <v>4</v>
      </c>
      <c r="D22" s="385" t="n">
        <v>1</v>
      </c>
      <c r="E22" s="387"/>
      <c r="F22" s="388" t="n">
        <v>4</v>
      </c>
      <c r="G22" s="380"/>
      <c r="H22" s="380"/>
      <c r="I22" s="380"/>
      <c r="J22" s="380"/>
      <c r="K22" s="380"/>
      <c r="L22" s="380"/>
      <c r="M22" s="380"/>
      <c r="N22" s="380"/>
      <c r="O22" s="380"/>
      <c r="P22" s="380"/>
      <c r="Q22" s="380"/>
      <c r="R22" s="380"/>
      <c r="S22" s="380"/>
    </row>
    <row r="23" customFormat="false" ht="11.45" hidden="false" customHeight="false" outlineLevel="0" collapsed="false">
      <c r="A23" s="383" t="str">
        <f aca="false">TEXT(DATE(YEAR(B$2),MONTH(B$2)+(D23-1),1),"Mmm")</f>
        <v>Apr</v>
      </c>
      <c r="B23" s="384" t="n">
        <f aca="false">B22+1</f>
        <v>44313</v>
      </c>
      <c r="C23" s="385" t="n">
        <v>4</v>
      </c>
      <c r="D23" s="385" t="n">
        <v>1</v>
      </c>
      <c r="E23" s="387"/>
      <c r="F23" s="388" t="n">
        <v>4</v>
      </c>
      <c r="G23" s="380"/>
      <c r="H23" s="380"/>
      <c r="I23" s="380"/>
      <c r="J23" s="380"/>
      <c r="K23" s="380"/>
      <c r="L23" s="380"/>
      <c r="M23" s="380"/>
      <c r="N23" s="380"/>
      <c r="O23" s="380"/>
      <c r="P23" s="380"/>
      <c r="Q23" s="380"/>
      <c r="R23" s="380"/>
      <c r="S23" s="380"/>
    </row>
    <row r="24" customFormat="false" ht="11.45" hidden="false" customHeight="false" outlineLevel="0" collapsed="false">
      <c r="A24" s="383" t="str">
        <f aca="false">TEXT(DATE(YEAR(B$2),MONTH(B$2)+(D24-1),1),"Mmm")</f>
        <v>Apr</v>
      </c>
      <c r="B24" s="384" t="n">
        <f aca="false">B23+1</f>
        <v>44314</v>
      </c>
      <c r="C24" s="385" t="n">
        <v>4</v>
      </c>
      <c r="D24" s="385" t="n">
        <v>1</v>
      </c>
      <c r="E24" s="387"/>
      <c r="F24" s="388" t="n">
        <v>4</v>
      </c>
      <c r="G24" s="380"/>
      <c r="H24" s="380"/>
      <c r="I24" s="380"/>
      <c r="J24" s="380"/>
      <c r="K24" s="380"/>
      <c r="L24" s="380"/>
      <c r="M24" s="380"/>
      <c r="N24" s="380"/>
      <c r="O24" s="380"/>
      <c r="P24" s="380"/>
      <c r="Q24" s="380"/>
      <c r="R24" s="380"/>
      <c r="S24" s="380"/>
    </row>
    <row r="25" customFormat="false" ht="11.45" hidden="false" customHeight="false" outlineLevel="0" collapsed="false">
      <c r="A25" s="383" t="str">
        <f aca="false">TEXT(DATE(YEAR(B$2),MONTH(B$2)+(D25-1),1),"Mmm")</f>
        <v>Apr</v>
      </c>
      <c r="B25" s="384" t="n">
        <f aca="false">B24+1</f>
        <v>44315</v>
      </c>
      <c r="C25" s="385" t="n">
        <v>4</v>
      </c>
      <c r="D25" s="385" t="n">
        <v>1</v>
      </c>
      <c r="E25" s="387"/>
      <c r="F25" s="388" t="n">
        <v>4</v>
      </c>
      <c r="G25" s="380"/>
      <c r="H25" s="380"/>
      <c r="I25" s="380"/>
      <c r="J25" s="380"/>
      <c r="K25" s="380"/>
      <c r="L25" s="380"/>
      <c r="M25" s="380"/>
      <c r="N25" s="380"/>
      <c r="O25" s="380"/>
      <c r="P25" s="380"/>
      <c r="Q25" s="380"/>
      <c r="R25" s="380"/>
      <c r="S25" s="380"/>
    </row>
    <row r="26" customFormat="false" ht="12" hidden="false" customHeight="true" outlineLevel="0" collapsed="false">
      <c r="A26" s="383" t="str">
        <f aca="false">TEXT(DATE(YEAR(B$2),MONTH(B$2)+(D26-1),1),"Mmm")</f>
        <v>Apr</v>
      </c>
      <c r="B26" s="384" t="n">
        <f aca="false">B25+1</f>
        <v>44316</v>
      </c>
      <c r="C26" s="385" t="n">
        <v>4</v>
      </c>
      <c r="D26" s="385" t="n">
        <v>1</v>
      </c>
      <c r="E26" s="387"/>
      <c r="F26" s="388" t="n">
        <v>4</v>
      </c>
      <c r="G26" s="380"/>
      <c r="H26" s="380"/>
      <c r="I26" s="380"/>
      <c r="J26" s="380"/>
      <c r="K26" s="380"/>
      <c r="L26" s="380"/>
      <c r="M26" s="380"/>
      <c r="N26" s="380"/>
      <c r="O26" s="380"/>
      <c r="P26" s="380"/>
      <c r="Q26" s="380"/>
      <c r="R26" s="380"/>
      <c r="S26" s="380"/>
    </row>
    <row r="27" customFormat="false" ht="12" hidden="false" customHeight="true" outlineLevel="0" collapsed="false">
      <c r="A27" s="383" t="str">
        <f aca="false">TEXT(DATE(YEAR(B$2),MONTH(B$2)+(D27-1),1),"Mmm")</f>
        <v>Apr</v>
      </c>
      <c r="B27" s="384" t="n">
        <f aca="false">B26+1</f>
        <v>44317</v>
      </c>
      <c r="C27" s="385" t="n">
        <v>4</v>
      </c>
      <c r="D27" s="385" t="n">
        <v>1</v>
      </c>
      <c r="E27" s="380"/>
      <c r="F27" s="388" t="n">
        <v>4</v>
      </c>
      <c r="G27" s="380"/>
      <c r="H27" s="380"/>
      <c r="I27" s="380"/>
      <c r="J27" s="380"/>
      <c r="K27" s="380"/>
      <c r="L27" s="380"/>
      <c r="M27" s="380"/>
      <c r="N27" s="380"/>
      <c r="O27" s="380"/>
      <c r="P27" s="380"/>
      <c r="Q27" s="380"/>
      <c r="R27" s="380"/>
      <c r="S27" s="380"/>
    </row>
    <row r="28" customFormat="false" ht="11.45" hidden="false" customHeight="false" outlineLevel="0" collapsed="false">
      <c r="A28" s="383" t="str">
        <f aca="false">TEXT(DATE(YEAR(B$2),MONTH(B$2)+(D28-1),1),"Mmm")</f>
        <v>May</v>
      </c>
      <c r="B28" s="384" t="n">
        <f aca="false">B27+1</f>
        <v>44318</v>
      </c>
      <c r="C28" s="385" t="n">
        <v>5</v>
      </c>
      <c r="D28" s="385" t="n">
        <v>2</v>
      </c>
      <c r="E28" s="387"/>
      <c r="F28" s="388" t="n">
        <v>1</v>
      </c>
      <c r="G28" s="380"/>
      <c r="H28" s="380"/>
      <c r="I28" s="380"/>
      <c r="J28" s="380"/>
      <c r="K28" s="380"/>
      <c r="L28" s="380"/>
      <c r="M28" s="380"/>
      <c r="N28" s="380"/>
      <c r="O28" s="380"/>
      <c r="P28" s="380"/>
      <c r="Q28" s="380"/>
      <c r="R28" s="380"/>
      <c r="S28" s="380"/>
    </row>
    <row r="29" customFormat="false" ht="11.45" hidden="false" customHeight="false" outlineLevel="0" collapsed="false">
      <c r="A29" s="383" t="str">
        <f aca="false">TEXT(DATE(YEAR(B$2),MONTH(B$2)+(D29-1),1),"Mmm")</f>
        <v>May</v>
      </c>
      <c r="B29" s="384" t="n">
        <f aca="false">B28+1</f>
        <v>44319</v>
      </c>
      <c r="C29" s="385" t="n">
        <v>5</v>
      </c>
      <c r="D29" s="385" t="n">
        <v>2</v>
      </c>
      <c r="E29" s="387"/>
      <c r="F29" s="388" t="n">
        <v>1</v>
      </c>
      <c r="G29" s="380"/>
      <c r="H29" s="380"/>
      <c r="I29" s="380"/>
      <c r="J29" s="380"/>
      <c r="K29" s="380"/>
      <c r="L29" s="380"/>
      <c r="M29" s="380"/>
      <c r="N29" s="380"/>
      <c r="O29" s="380"/>
      <c r="P29" s="380"/>
      <c r="Q29" s="380"/>
      <c r="R29" s="380"/>
      <c r="S29" s="380"/>
    </row>
    <row r="30" customFormat="false" ht="11.45" hidden="false" customHeight="false" outlineLevel="0" collapsed="false">
      <c r="A30" s="383" t="str">
        <f aca="false">TEXT(DATE(YEAR(B$2),MONTH(B$2)+(D30-1),1),"Mmm")</f>
        <v>May</v>
      </c>
      <c r="B30" s="384" t="n">
        <f aca="false">B29+1</f>
        <v>44320</v>
      </c>
      <c r="C30" s="385" t="n">
        <v>5</v>
      </c>
      <c r="D30" s="385" t="n">
        <v>2</v>
      </c>
      <c r="E30" s="387"/>
      <c r="F30" s="385" t="n">
        <v>1</v>
      </c>
      <c r="G30" s="380"/>
      <c r="H30" s="380"/>
      <c r="I30" s="380"/>
      <c r="J30" s="380"/>
      <c r="K30" s="380"/>
      <c r="L30" s="380"/>
      <c r="M30" s="380"/>
      <c r="N30" s="380"/>
      <c r="O30" s="380"/>
      <c r="P30" s="380"/>
      <c r="Q30" s="380"/>
      <c r="R30" s="380"/>
      <c r="S30" s="380"/>
    </row>
    <row r="31" customFormat="false" ht="11.45" hidden="false" customHeight="false" outlineLevel="0" collapsed="false">
      <c r="A31" s="383" t="str">
        <f aca="false">TEXT(DATE(YEAR(B$2),MONTH(B$2)+(D31-1),1),"Mmm")</f>
        <v>May</v>
      </c>
      <c r="B31" s="384" t="n">
        <f aca="false">B30+1</f>
        <v>44321</v>
      </c>
      <c r="C31" s="385" t="n">
        <v>5</v>
      </c>
      <c r="D31" s="385" t="n">
        <v>2</v>
      </c>
      <c r="E31" s="387"/>
      <c r="F31" s="388" t="n">
        <v>1</v>
      </c>
      <c r="G31" s="380"/>
      <c r="H31" s="380"/>
      <c r="I31" s="380"/>
      <c r="J31" s="380"/>
      <c r="K31" s="380"/>
      <c r="L31" s="380"/>
      <c r="M31" s="380"/>
      <c r="N31" s="380"/>
      <c r="O31" s="380"/>
      <c r="P31" s="380"/>
      <c r="Q31" s="380"/>
      <c r="R31" s="380"/>
      <c r="S31" s="380"/>
    </row>
    <row r="32" customFormat="false" ht="11.45" hidden="false" customHeight="false" outlineLevel="0" collapsed="false">
      <c r="A32" s="383" t="str">
        <f aca="false">TEXT(DATE(YEAR(B$2),MONTH(B$2)+(D32-1),1),"Mmm")</f>
        <v>May</v>
      </c>
      <c r="B32" s="384" t="n">
        <f aca="false">B31+1</f>
        <v>44322</v>
      </c>
      <c r="C32" s="385" t="n">
        <v>5</v>
      </c>
      <c r="D32" s="385" t="n">
        <v>2</v>
      </c>
      <c r="E32" s="391"/>
      <c r="F32" s="388" t="n">
        <v>1</v>
      </c>
      <c r="G32" s="380"/>
      <c r="H32" s="380"/>
      <c r="I32" s="380"/>
      <c r="J32" s="380"/>
      <c r="K32" s="380"/>
      <c r="L32" s="380"/>
      <c r="M32" s="380"/>
      <c r="N32" s="380"/>
      <c r="O32" s="380"/>
      <c r="P32" s="380"/>
      <c r="Q32" s="380"/>
      <c r="R32" s="380"/>
      <c r="S32" s="380"/>
    </row>
    <row r="33" customFormat="false" ht="11.45" hidden="false" customHeight="false" outlineLevel="0" collapsed="false">
      <c r="A33" s="383" t="str">
        <f aca="false">TEXT(DATE(YEAR(B$2),MONTH(B$2)+(D33-1),1),"Mmm")</f>
        <v>May</v>
      </c>
      <c r="B33" s="384" t="n">
        <f aca="false">B32+1</f>
        <v>44323</v>
      </c>
      <c r="C33" s="385" t="n">
        <v>5</v>
      </c>
      <c r="D33" s="385" t="n">
        <v>2</v>
      </c>
      <c r="E33" s="387"/>
      <c r="F33" s="388" t="n">
        <v>1</v>
      </c>
      <c r="G33" s="390"/>
      <c r="H33" s="390"/>
      <c r="I33" s="390"/>
      <c r="J33" s="390"/>
      <c r="K33" s="390"/>
      <c r="L33" s="390"/>
      <c r="M33" s="390"/>
      <c r="N33" s="390"/>
      <c r="O33" s="390"/>
      <c r="P33" s="390"/>
      <c r="Q33" s="390"/>
      <c r="R33" s="390"/>
      <c r="S33" s="390"/>
    </row>
    <row r="34" customFormat="false" ht="11.45" hidden="false" customHeight="false" outlineLevel="0" collapsed="false">
      <c r="A34" s="383" t="str">
        <f aca="false">TEXT(DATE(YEAR(B$2),MONTH(B$2)+(D34-1),1),"Mmm")</f>
        <v>May</v>
      </c>
      <c r="B34" s="384" t="n">
        <f aca="false">B33+1</f>
        <v>44324</v>
      </c>
      <c r="C34" s="385" t="n">
        <v>5</v>
      </c>
      <c r="D34" s="385" t="n">
        <v>2</v>
      </c>
      <c r="E34" s="387"/>
      <c r="F34" s="388" t="n">
        <v>1</v>
      </c>
      <c r="G34" s="390"/>
      <c r="H34" s="390"/>
      <c r="I34" s="390"/>
      <c r="J34" s="390"/>
      <c r="K34" s="390"/>
      <c r="L34" s="390"/>
      <c r="M34" s="390"/>
      <c r="N34" s="390"/>
      <c r="O34" s="390"/>
      <c r="P34" s="390"/>
      <c r="Q34" s="390"/>
      <c r="R34" s="390"/>
      <c r="S34" s="390"/>
    </row>
    <row r="35" customFormat="false" ht="11.45" hidden="false" customHeight="false" outlineLevel="0" collapsed="false">
      <c r="A35" s="383" t="str">
        <f aca="false">TEXT(DATE(YEAR(B$2),MONTH(B$2)+(D35-1),1),"Mmm")</f>
        <v>May</v>
      </c>
      <c r="B35" s="384" t="n">
        <f aca="false">B34+1</f>
        <v>44325</v>
      </c>
      <c r="C35" s="385" t="n">
        <v>6</v>
      </c>
      <c r="D35" s="385" t="n">
        <v>2</v>
      </c>
      <c r="E35" s="387"/>
      <c r="F35" s="388" t="n">
        <v>2</v>
      </c>
      <c r="G35" s="380"/>
      <c r="H35" s="380"/>
      <c r="I35" s="380"/>
      <c r="J35" s="380"/>
      <c r="K35" s="380"/>
      <c r="L35" s="380"/>
      <c r="M35" s="390"/>
      <c r="N35" s="390"/>
      <c r="O35" s="390"/>
      <c r="P35" s="390"/>
      <c r="Q35" s="390"/>
      <c r="R35" s="390"/>
      <c r="S35" s="390"/>
    </row>
    <row r="36" customFormat="false" ht="11.45" hidden="false" customHeight="false" outlineLevel="0" collapsed="false">
      <c r="A36" s="383" t="str">
        <f aca="false">TEXT(DATE(YEAR(B$2),MONTH(B$2)+(D36-1),1),"Mmm")</f>
        <v>May</v>
      </c>
      <c r="B36" s="384" t="n">
        <f aca="false">B35+1</f>
        <v>44326</v>
      </c>
      <c r="C36" s="385" t="n">
        <v>6</v>
      </c>
      <c r="D36" s="385" t="n">
        <v>2</v>
      </c>
      <c r="E36" s="387"/>
      <c r="F36" s="388" t="n">
        <v>2</v>
      </c>
      <c r="G36" s="380"/>
      <c r="H36" s="380"/>
      <c r="I36" s="380"/>
      <c r="J36" s="380"/>
      <c r="K36" s="380"/>
      <c r="L36" s="380"/>
      <c r="M36" s="390"/>
      <c r="N36" s="390"/>
      <c r="O36" s="390"/>
      <c r="P36" s="390"/>
      <c r="Q36" s="390"/>
      <c r="R36" s="390"/>
      <c r="S36" s="390"/>
    </row>
    <row r="37" customFormat="false" ht="11.45" hidden="false" customHeight="false" outlineLevel="0" collapsed="false">
      <c r="A37" s="383" t="str">
        <f aca="false">TEXT(DATE(YEAR(B$2),MONTH(B$2)+(D37-1),1),"Mmm")</f>
        <v>May</v>
      </c>
      <c r="B37" s="384" t="n">
        <f aca="false">B36+1</f>
        <v>44327</v>
      </c>
      <c r="C37" s="385" t="n">
        <v>6</v>
      </c>
      <c r="D37" s="385" t="n">
        <v>2</v>
      </c>
      <c r="E37" s="387"/>
      <c r="F37" s="388" t="n">
        <v>2</v>
      </c>
      <c r="G37" s="380"/>
      <c r="H37" s="380"/>
      <c r="I37" s="380"/>
      <c r="J37" s="380"/>
      <c r="K37" s="380"/>
      <c r="L37" s="380"/>
      <c r="M37" s="390"/>
      <c r="N37" s="390"/>
      <c r="O37" s="390"/>
      <c r="P37" s="390"/>
      <c r="Q37" s="390"/>
      <c r="R37" s="390"/>
      <c r="S37" s="390"/>
    </row>
    <row r="38" customFormat="false" ht="11.45" hidden="false" customHeight="false" outlineLevel="0" collapsed="false">
      <c r="A38" s="383" t="str">
        <f aca="false">TEXT(DATE(YEAR(B$2),MONTH(B$2)+(D38-1),1),"Mmm")</f>
        <v>May</v>
      </c>
      <c r="B38" s="384" t="n">
        <f aca="false">B37+1</f>
        <v>44328</v>
      </c>
      <c r="C38" s="385" t="n">
        <v>6</v>
      </c>
      <c r="D38" s="385" t="n">
        <v>2</v>
      </c>
      <c r="E38" s="387"/>
      <c r="F38" s="388" t="n">
        <v>2</v>
      </c>
      <c r="G38" s="380"/>
      <c r="H38" s="380"/>
      <c r="I38" s="380"/>
      <c r="J38" s="380"/>
      <c r="K38" s="380"/>
      <c r="L38" s="380"/>
      <c r="M38" s="390"/>
      <c r="N38" s="390"/>
      <c r="O38" s="390"/>
      <c r="P38" s="390"/>
      <c r="Q38" s="390"/>
      <c r="R38" s="390"/>
      <c r="S38" s="390"/>
    </row>
    <row r="39" customFormat="false" ht="11.45" hidden="false" customHeight="false" outlineLevel="0" collapsed="false">
      <c r="A39" s="383" t="str">
        <f aca="false">TEXT(DATE(YEAR(B$2),MONTH(B$2)+(D39-1),1),"Mmm")</f>
        <v>May</v>
      </c>
      <c r="B39" s="384" t="n">
        <f aca="false">B38+1</f>
        <v>44329</v>
      </c>
      <c r="C39" s="385" t="n">
        <v>6</v>
      </c>
      <c r="D39" s="385" t="n">
        <v>2</v>
      </c>
      <c r="E39" s="387"/>
      <c r="F39" s="388" t="n">
        <v>2</v>
      </c>
      <c r="G39" s="380"/>
      <c r="H39" s="380"/>
      <c r="I39" s="380"/>
      <c r="J39" s="380"/>
      <c r="K39" s="380"/>
      <c r="L39" s="380"/>
      <c r="M39" s="390"/>
      <c r="N39" s="390"/>
      <c r="O39" s="390"/>
      <c r="P39" s="390"/>
      <c r="Q39" s="390"/>
      <c r="R39" s="390"/>
      <c r="S39" s="390"/>
    </row>
    <row r="40" customFormat="false" ht="11.45" hidden="false" customHeight="false" outlineLevel="0" collapsed="false">
      <c r="A40" s="383" t="str">
        <f aca="false">TEXT(DATE(YEAR(B$2),MONTH(B$2)+(D40-1),1),"Mmm")</f>
        <v>May</v>
      </c>
      <c r="B40" s="384" t="n">
        <f aca="false">B39+1</f>
        <v>44330</v>
      </c>
      <c r="C40" s="385" t="n">
        <v>6</v>
      </c>
      <c r="D40" s="385" t="n">
        <v>2</v>
      </c>
      <c r="E40" s="387"/>
      <c r="F40" s="388" t="n">
        <v>2</v>
      </c>
      <c r="G40" s="380"/>
      <c r="H40" s="380"/>
      <c r="I40" s="380"/>
      <c r="J40" s="380"/>
      <c r="K40" s="380"/>
      <c r="L40" s="380"/>
      <c r="M40" s="390"/>
      <c r="N40" s="390"/>
      <c r="O40" s="390"/>
      <c r="P40" s="390"/>
      <c r="Q40" s="390"/>
      <c r="R40" s="390"/>
      <c r="S40" s="390"/>
    </row>
    <row r="41" customFormat="false" ht="11.45" hidden="false" customHeight="false" outlineLevel="0" collapsed="false">
      <c r="A41" s="383" t="str">
        <f aca="false">TEXT(DATE(YEAR(B$2),MONTH(B$2)+(D41-1),1),"Mmm")</f>
        <v>May</v>
      </c>
      <c r="B41" s="384" t="n">
        <f aca="false">B40+1</f>
        <v>44331</v>
      </c>
      <c r="C41" s="385" t="n">
        <v>6</v>
      </c>
      <c r="D41" s="385" t="n">
        <v>2</v>
      </c>
      <c r="E41" s="387"/>
      <c r="F41" s="388" t="n">
        <v>2</v>
      </c>
      <c r="G41" s="380"/>
      <c r="H41" s="380"/>
      <c r="I41" s="380"/>
      <c r="J41" s="380"/>
      <c r="K41" s="380"/>
      <c r="L41" s="380"/>
      <c r="M41" s="390"/>
      <c r="N41" s="390"/>
      <c r="O41" s="390"/>
      <c r="P41" s="390"/>
      <c r="Q41" s="390"/>
      <c r="R41" s="390"/>
      <c r="S41" s="390"/>
    </row>
    <row r="42" customFormat="false" ht="11.45" hidden="false" customHeight="false" outlineLevel="0" collapsed="false">
      <c r="A42" s="383" t="str">
        <f aca="false">TEXT(DATE(YEAR(B$2),MONTH(B$2)+(D42-1),1),"Mmm")</f>
        <v>May</v>
      </c>
      <c r="B42" s="384" t="n">
        <f aca="false">B41+1</f>
        <v>44332</v>
      </c>
      <c r="C42" s="385" t="n">
        <v>7</v>
      </c>
      <c r="D42" s="385" t="n">
        <v>2</v>
      </c>
      <c r="E42" s="387"/>
      <c r="F42" s="388" t="n">
        <v>3</v>
      </c>
      <c r="G42" s="380"/>
      <c r="H42" s="380"/>
      <c r="I42" s="380"/>
      <c r="J42" s="380"/>
      <c r="K42" s="380"/>
      <c r="L42" s="380"/>
      <c r="M42" s="390"/>
      <c r="N42" s="390"/>
      <c r="O42" s="390"/>
      <c r="P42" s="390"/>
      <c r="Q42" s="390"/>
      <c r="R42" s="390"/>
      <c r="S42" s="390"/>
    </row>
    <row r="43" customFormat="false" ht="11.45" hidden="false" customHeight="false" outlineLevel="0" collapsed="false">
      <c r="A43" s="383" t="str">
        <f aca="false">TEXT(DATE(YEAR(B$2),MONTH(B$2)+(D43-1),1),"Mmm")</f>
        <v>May</v>
      </c>
      <c r="B43" s="384" t="n">
        <f aca="false">B42+1</f>
        <v>44333</v>
      </c>
      <c r="C43" s="385" t="n">
        <v>7</v>
      </c>
      <c r="D43" s="385" t="n">
        <v>2</v>
      </c>
      <c r="E43" s="387"/>
      <c r="F43" s="388" t="n">
        <v>3</v>
      </c>
      <c r="G43" s="380"/>
      <c r="H43" s="380"/>
      <c r="I43" s="380"/>
      <c r="J43" s="380"/>
      <c r="K43" s="380"/>
      <c r="L43" s="380"/>
      <c r="M43" s="390"/>
      <c r="N43" s="390"/>
      <c r="O43" s="390"/>
      <c r="P43" s="390"/>
      <c r="Q43" s="390"/>
      <c r="R43" s="390"/>
      <c r="S43" s="390"/>
    </row>
    <row r="44" customFormat="false" ht="11.45" hidden="false" customHeight="false" outlineLevel="0" collapsed="false">
      <c r="A44" s="383" t="str">
        <f aca="false">TEXT(DATE(YEAR(B$2),MONTH(B$2)+(D44-1),1),"Mmm")</f>
        <v>May</v>
      </c>
      <c r="B44" s="384" t="n">
        <f aca="false">B43+1</f>
        <v>44334</v>
      </c>
      <c r="C44" s="385" t="n">
        <v>7</v>
      </c>
      <c r="D44" s="385" t="n">
        <v>2</v>
      </c>
      <c r="E44" s="387"/>
      <c r="F44" s="388" t="n">
        <v>3</v>
      </c>
      <c r="G44" s="380"/>
      <c r="H44" s="380"/>
      <c r="I44" s="380"/>
      <c r="J44" s="380"/>
      <c r="K44" s="380"/>
      <c r="L44" s="380"/>
      <c r="M44" s="390"/>
      <c r="N44" s="390"/>
      <c r="O44" s="390"/>
      <c r="P44" s="390"/>
      <c r="Q44" s="390"/>
      <c r="R44" s="390"/>
      <c r="S44" s="390"/>
    </row>
    <row r="45" customFormat="false" ht="11.45" hidden="false" customHeight="false" outlineLevel="0" collapsed="false">
      <c r="A45" s="383" t="str">
        <f aca="false">TEXT(DATE(YEAR(B$2),MONTH(B$2)+(D45-1),1),"Mmm")</f>
        <v>May</v>
      </c>
      <c r="B45" s="384" t="n">
        <f aca="false">B44+1</f>
        <v>44335</v>
      </c>
      <c r="C45" s="385" t="n">
        <v>7</v>
      </c>
      <c r="D45" s="385" t="n">
        <v>2</v>
      </c>
      <c r="E45" s="387"/>
      <c r="F45" s="388" t="n">
        <v>3</v>
      </c>
      <c r="G45" s="380"/>
      <c r="H45" s="380"/>
      <c r="I45" s="380"/>
      <c r="J45" s="380"/>
      <c r="K45" s="380"/>
      <c r="L45" s="380"/>
      <c r="M45" s="390"/>
      <c r="N45" s="390"/>
      <c r="O45" s="390"/>
      <c r="P45" s="390"/>
      <c r="Q45" s="390"/>
      <c r="R45" s="390"/>
      <c r="S45" s="390"/>
    </row>
    <row r="46" customFormat="false" ht="11.45" hidden="false" customHeight="false" outlineLevel="0" collapsed="false">
      <c r="A46" s="383" t="str">
        <f aca="false">TEXT(DATE(YEAR(B$2),MONTH(B$2)+(D46-1),1),"Mmm")</f>
        <v>May</v>
      </c>
      <c r="B46" s="384" t="n">
        <f aca="false">B45+1</f>
        <v>44336</v>
      </c>
      <c r="C46" s="385" t="n">
        <v>7</v>
      </c>
      <c r="D46" s="385" t="n">
        <v>2</v>
      </c>
      <c r="E46" s="387"/>
      <c r="F46" s="388" t="n">
        <v>3</v>
      </c>
      <c r="G46" s="380"/>
      <c r="H46" s="380"/>
      <c r="I46" s="380"/>
      <c r="J46" s="380"/>
      <c r="K46" s="380"/>
      <c r="L46" s="380"/>
      <c r="M46" s="390"/>
      <c r="N46" s="390"/>
      <c r="O46" s="390"/>
      <c r="P46" s="390"/>
      <c r="Q46" s="390"/>
      <c r="R46" s="390"/>
      <c r="S46" s="390"/>
    </row>
    <row r="47" customFormat="false" ht="11.45" hidden="false" customHeight="false" outlineLevel="0" collapsed="false">
      <c r="A47" s="383" t="str">
        <f aca="false">TEXT(DATE(YEAR(B$2),MONTH(B$2)+(D47-1),1),"Mmm")</f>
        <v>May</v>
      </c>
      <c r="B47" s="384" t="n">
        <f aca="false">B46+1</f>
        <v>44337</v>
      </c>
      <c r="C47" s="385" t="n">
        <v>7</v>
      </c>
      <c r="D47" s="385" t="n">
        <v>2</v>
      </c>
      <c r="E47" s="387"/>
      <c r="F47" s="388" t="n">
        <v>3</v>
      </c>
      <c r="G47" s="380"/>
      <c r="H47" s="380"/>
      <c r="I47" s="380"/>
      <c r="J47" s="380"/>
      <c r="K47" s="380"/>
      <c r="L47" s="380"/>
      <c r="M47" s="390"/>
      <c r="N47" s="390"/>
      <c r="O47" s="390"/>
      <c r="P47" s="390"/>
      <c r="Q47" s="390"/>
      <c r="R47" s="390"/>
      <c r="S47" s="390"/>
    </row>
    <row r="48" customFormat="false" ht="11.45" hidden="false" customHeight="false" outlineLevel="0" collapsed="false">
      <c r="A48" s="383" t="str">
        <f aca="false">TEXT(DATE(YEAR(B$2),MONTH(B$2)+(D48-1),1),"Mmm")</f>
        <v>May</v>
      </c>
      <c r="B48" s="384" t="n">
        <f aca="false">B47+1</f>
        <v>44338</v>
      </c>
      <c r="C48" s="385" t="n">
        <v>7</v>
      </c>
      <c r="D48" s="385" t="n">
        <v>2</v>
      </c>
      <c r="E48" s="387"/>
      <c r="F48" s="388" t="n">
        <v>3</v>
      </c>
      <c r="G48" s="380"/>
      <c r="H48" s="380"/>
      <c r="I48" s="380"/>
      <c r="J48" s="380"/>
      <c r="K48" s="380"/>
      <c r="L48" s="380"/>
      <c r="M48" s="390"/>
      <c r="N48" s="390"/>
      <c r="O48" s="390"/>
      <c r="P48" s="390"/>
      <c r="Q48" s="390"/>
      <c r="R48" s="390"/>
      <c r="S48" s="390"/>
    </row>
    <row r="49" customFormat="false" ht="11.45" hidden="false" customHeight="false" outlineLevel="0" collapsed="false">
      <c r="A49" s="383" t="str">
        <f aca="false">TEXT(DATE(YEAR(B$2),MONTH(B$2)+(D49-1),1),"Mmm")</f>
        <v>May</v>
      </c>
      <c r="B49" s="384" t="n">
        <f aca="false">B48+1</f>
        <v>44339</v>
      </c>
      <c r="C49" s="385" t="n">
        <v>8</v>
      </c>
      <c r="D49" s="385" t="n">
        <v>2</v>
      </c>
      <c r="E49" s="387"/>
      <c r="F49" s="388" t="n">
        <v>4</v>
      </c>
      <c r="G49" s="380"/>
      <c r="H49" s="380"/>
      <c r="I49" s="380"/>
      <c r="J49" s="380"/>
      <c r="K49" s="380"/>
      <c r="L49" s="380"/>
      <c r="M49" s="390"/>
      <c r="N49" s="390"/>
      <c r="O49" s="390"/>
      <c r="P49" s="390"/>
      <c r="Q49" s="390"/>
      <c r="R49" s="390"/>
      <c r="S49" s="390"/>
    </row>
    <row r="50" customFormat="false" ht="11.45" hidden="false" customHeight="false" outlineLevel="0" collapsed="false">
      <c r="A50" s="383" t="str">
        <f aca="false">TEXT(DATE(YEAR(B$2),MONTH(B$2)+(D50-1),1),"Mmm")</f>
        <v>May</v>
      </c>
      <c r="B50" s="384" t="n">
        <f aca="false">B49+1</f>
        <v>44340</v>
      </c>
      <c r="C50" s="385" t="n">
        <v>8</v>
      </c>
      <c r="D50" s="385" t="n">
        <v>2</v>
      </c>
      <c r="E50" s="387"/>
      <c r="F50" s="388" t="n">
        <v>4</v>
      </c>
      <c r="G50" s="380"/>
      <c r="H50" s="380"/>
      <c r="I50" s="380"/>
      <c r="J50" s="380"/>
      <c r="K50" s="380"/>
      <c r="L50" s="380"/>
      <c r="M50" s="390"/>
      <c r="N50" s="390"/>
      <c r="O50" s="390"/>
      <c r="P50" s="390"/>
      <c r="Q50" s="390"/>
      <c r="R50" s="390"/>
      <c r="S50" s="390"/>
    </row>
    <row r="51" customFormat="false" ht="11.45" hidden="false" customHeight="false" outlineLevel="0" collapsed="false">
      <c r="A51" s="383" t="str">
        <f aca="false">TEXT(DATE(YEAR(B$2),MONTH(B$2)+(D51-1),1),"Mmm")</f>
        <v>May</v>
      </c>
      <c r="B51" s="384" t="n">
        <f aca="false">B50+1</f>
        <v>44341</v>
      </c>
      <c r="C51" s="385" t="n">
        <v>8</v>
      </c>
      <c r="D51" s="385" t="n">
        <v>2</v>
      </c>
      <c r="E51" s="387"/>
      <c r="F51" s="388" t="n">
        <v>4</v>
      </c>
      <c r="G51" s="380"/>
      <c r="H51" s="380"/>
      <c r="I51" s="380"/>
      <c r="J51" s="380"/>
      <c r="K51" s="380"/>
      <c r="L51" s="380"/>
      <c r="M51" s="390"/>
      <c r="N51" s="390"/>
      <c r="O51" s="390"/>
      <c r="P51" s="390"/>
      <c r="Q51" s="390"/>
      <c r="R51" s="390"/>
      <c r="S51" s="390"/>
    </row>
    <row r="52" customFormat="false" ht="11.45" hidden="false" customHeight="false" outlineLevel="0" collapsed="false">
      <c r="A52" s="383" t="str">
        <f aca="false">TEXT(DATE(YEAR(B$2),MONTH(B$2)+(D52-1),1),"Mmm")</f>
        <v>May</v>
      </c>
      <c r="B52" s="384" t="n">
        <f aca="false">B51+1</f>
        <v>44342</v>
      </c>
      <c r="C52" s="385" t="n">
        <v>8</v>
      </c>
      <c r="D52" s="385" t="n">
        <v>2</v>
      </c>
      <c r="E52" s="387"/>
      <c r="F52" s="388" t="n">
        <v>4</v>
      </c>
      <c r="G52" s="390"/>
      <c r="H52" s="390"/>
      <c r="I52" s="390"/>
      <c r="J52" s="390"/>
      <c r="K52" s="390"/>
      <c r="L52" s="390"/>
      <c r="M52" s="390"/>
      <c r="N52" s="390"/>
      <c r="O52" s="390"/>
      <c r="P52" s="390"/>
      <c r="Q52" s="390"/>
      <c r="R52" s="390"/>
      <c r="S52" s="390"/>
    </row>
    <row r="53" customFormat="false" ht="11.45" hidden="false" customHeight="false" outlineLevel="0" collapsed="false">
      <c r="A53" s="383" t="str">
        <f aca="false">TEXT(DATE(YEAR(B$2),MONTH(B$2)+(D53-1),1),"Mmm")</f>
        <v>May</v>
      </c>
      <c r="B53" s="384" t="n">
        <f aca="false">B52+1</f>
        <v>44343</v>
      </c>
      <c r="C53" s="385" t="n">
        <v>8</v>
      </c>
      <c r="D53" s="385" t="n">
        <v>2</v>
      </c>
      <c r="E53" s="387"/>
      <c r="F53" s="388" t="n">
        <v>4</v>
      </c>
      <c r="G53" s="390"/>
      <c r="H53" s="390"/>
      <c r="I53" s="390"/>
      <c r="J53" s="390"/>
      <c r="K53" s="390"/>
      <c r="L53" s="390"/>
      <c r="M53" s="390"/>
      <c r="N53" s="390"/>
      <c r="O53" s="390"/>
      <c r="P53" s="390"/>
      <c r="Q53" s="390"/>
      <c r="R53" s="390"/>
      <c r="S53" s="390"/>
    </row>
    <row r="54" customFormat="false" ht="11.45" hidden="false" customHeight="false" outlineLevel="0" collapsed="false">
      <c r="A54" s="383" t="str">
        <f aca="false">TEXT(DATE(YEAR(B$2),MONTH(B$2)+(D54-1),1),"Mmm")</f>
        <v>May</v>
      </c>
      <c r="B54" s="384" t="n">
        <f aca="false">B53+1</f>
        <v>44344</v>
      </c>
      <c r="C54" s="385" t="n">
        <v>8</v>
      </c>
      <c r="D54" s="385" t="n">
        <v>2</v>
      </c>
      <c r="E54" s="387"/>
      <c r="F54" s="388" t="n">
        <v>4</v>
      </c>
      <c r="G54" s="390"/>
      <c r="H54" s="390"/>
      <c r="I54" s="390"/>
      <c r="J54" s="390"/>
      <c r="K54" s="390"/>
      <c r="L54" s="390"/>
      <c r="M54" s="390"/>
      <c r="N54" s="390"/>
      <c r="O54" s="390"/>
      <c r="P54" s="390"/>
      <c r="Q54" s="390"/>
      <c r="R54" s="390"/>
      <c r="S54" s="390"/>
    </row>
    <row r="55" customFormat="false" ht="11.45" hidden="false" customHeight="false" outlineLevel="0" collapsed="false">
      <c r="A55" s="383" t="str">
        <f aca="false">TEXT(DATE(YEAR(B$2),MONTH(B$2)+(D55-1),1),"Mmm")</f>
        <v>May</v>
      </c>
      <c r="B55" s="384" t="n">
        <f aca="false">B54+1</f>
        <v>44345</v>
      </c>
      <c r="C55" s="385" t="n">
        <v>8</v>
      </c>
      <c r="D55" s="385" t="n">
        <v>2</v>
      </c>
      <c r="E55" s="387"/>
      <c r="F55" s="388" t="n">
        <v>4</v>
      </c>
      <c r="G55" s="390"/>
      <c r="H55" s="390"/>
      <c r="I55" s="390"/>
      <c r="J55" s="390"/>
      <c r="K55" s="390"/>
      <c r="L55" s="390"/>
      <c r="M55" s="390"/>
      <c r="N55" s="390"/>
      <c r="O55" s="390"/>
      <c r="P55" s="390"/>
      <c r="Q55" s="390"/>
      <c r="R55" s="390"/>
      <c r="S55" s="390"/>
    </row>
    <row r="56" customFormat="false" ht="11.45" hidden="false" customHeight="false" outlineLevel="0" collapsed="false">
      <c r="A56" s="383" t="str">
        <f aca="false">TEXT(DATE(YEAR(B$2),MONTH(B$2)+(D56-1),1),"Mmm")</f>
        <v>Jun</v>
      </c>
      <c r="B56" s="384" t="n">
        <f aca="false">B55+1</f>
        <v>44346</v>
      </c>
      <c r="C56" s="385" t="n">
        <v>9</v>
      </c>
      <c r="D56" s="385" t="n">
        <v>3</v>
      </c>
      <c r="E56" s="387"/>
      <c r="F56" s="388" t="n">
        <v>1</v>
      </c>
      <c r="G56" s="390"/>
      <c r="H56" s="390"/>
      <c r="I56" s="390"/>
      <c r="J56" s="390"/>
      <c r="K56" s="390"/>
      <c r="L56" s="390"/>
      <c r="M56" s="390"/>
      <c r="N56" s="390"/>
      <c r="O56" s="390"/>
      <c r="P56" s="390"/>
      <c r="Q56" s="390"/>
      <c r="R56" s="390"/>
      <c r="S56" s="390"/>
    </row>
    <row r="57" customFormat="false" ht="11.45" hidden="false" customHeight="false" outlineLevel="0" collapsed="false">
      <c r="A57" s="383" t="str">
        <f aca="false">TEXT(DATE(YEAR(B$2),MONTH(B$2)+(D57-1),1),"Mmm")</f>
        <v>Jun</v>
      </c>
      <c r="B57" s="384" t="n">
        <f aca="false">B56+1</f>
        <v>44347</v>
      </c>
      <c r="C57" s="385" t="n">
        <v>9</v>
      </c>
      <c r="D57" s="385" t="n">
        <v>3</v>
      </c>
      <c r="E57" s="387"/>
      <c r="F57" s="388" t="n">
        <v>1</v>
      </c>
      <c r="G57" s="390"/>
      <c r="H57" s="390"/>
      <c r="I57" s="390"/>
      <c r="J57" s="390"/>
      <c r="K57" s="390"/>
      <c r="L57" s="390"/>
      <c r="M57" s="390"/>
      <c r="N57" s="390"/>
      <c r="O57" s="390"/>
      <c r="P57" s="390"/>
      <c r="Q57" s="390"/>
      <c r="R57" s="390"/>
      <c r="S57" s="390"/>
    </row>
    <row r="58" customFormat="false" ht="10.5" hidden="false" customHeight="false" outlineLevel="0" collapsed="false">
      <c r="A58" s="383" t="str">
        <f aca="false">TEXT(DATE(YEAR(B$2),MONTH(B$2)+(D58-1),1),"Mmm")</f>
        <v>Jun</v>
      </c>
      <c r="B58" s="384" t="n">
        <f aca="false">B57+1</f>
        <v>44348</v>
      </c>
      <c r="C58" s="385" t="n">
        <v>9</v>
      </c>
      <c r="D58" s="385" t="n">
        <v>3</v>
      </c>
      <c r="E58" s="387"/>
      <c r="F58" s="385" t="n">
        <v>1</v>
      </c>
      <c r="G58" s="390"/>
      <c r="H58" s="390"/>
      <c r="I58" s="390"/>
      <c r="J58" s="390"/>
      <c r="K58" s="390"/>
      <c r="L58" s="390"/>
      <c r="M58" s="390"/>
      <c r="N58" s="390"/>
      <c r="O58" s="390"/>
      <c r="P58" s="390"/>
      <c r="Q58" s="390"/>
      <c r="R58" s="390"/>
      <c r="S58" s="390"/>
    </row>
    <row r="59" customFormat="false" ht="11.45" hidden="false" customHeight="false" outlineLevel="0" collapsed="false">
      <c r="A59" s="383" t="str">
        <f aca="false">TEXT(DATE(YEAR(B$2),MONTH(B$2)+(D59-1),1),"Mmm")</f>
        <v>Jun</v>
      </c>
      <c r="B59" s="384" t="n">
        <f aca="false">B58+1</f>
        <v>44349</v>
      </c>
      <c r="C59" s="385" t="n">
        <v>9</v>
      </c>
      <c r="D59" s="385" t="n">
        <v>3</v>
      </c>
      <c r="E59" s="387"/>
      <c r="F59" s="388" t="n">
        <v>1</v>
      </c>
      <c r="G59" s="390"/>
      <c r="H59" s="390"/>
      <c r="I59" s="390"/>
      <c r="J59" s="390"/>
      <c r="K59" s="390"/>
      <c r="L59" s="390"/>
      <c r="M59" s="390"/>
      <c r="N59" s="390"/>
      <c r="O59" s="390"/>
      <c r="P59" s="390"/>
      <c r="Q59" s="390"/>
      <c r="R59" s="390"/>
      <c r="S59" s="390"/>
    </row>
    <row r="60" customFormat="false" ht="11.45" hidden="false" customHeight="false" outlineLevel="0" collapsed="false">
      <c r="A60" s="383" t="str">
        <f aca="false">TEXT(DATE(YEAR(B$2),MONTH(B$2)+(D60-1),1),"Mmm")</f>
        <v>Jun</v>
      </c>
      <c r="B60" s="384" t="n">
        <f aca="false">B59+1</f>
        <v>44350</v>
      </c>
      <c r="C60" s="385" t="n">
        <v>9</v>
      </c>
      <c r="D60" s="385" t="n">
        <v>3</v>
      </c>
      <c r="E60" s="387"/>
      <c r="F60" s="388" t="n">
        <v>1</v>
      </c>
      <c r="G60" s="390"/>
      <c r="H60" s="390"/>
      <c r="I60" s="390"/>
      <c r="J60" s="390"/>
      <c r="K60" s="390"/>
      <c r="L60" s="390"/>
      <c r="M60" s="390"/>
      <c r="N60" s="390"/>
      <c r="O60" s="390"/>
      <c r="P60" s="390"/>
      <c r="Q60" s="390"/>
      <c r="R60" s="390"/>
      <c r="S60" s="390"/>
    </row>
    <row r="61" customFormat="false" ht="11.45" hidden="false" customHeight="false" outlineLevel="0" collapsed="false">
      <c r="A61" s="383" t="str">
        <f aca="false">TEXT(DATE(YEAR(B$2),MONTH(B$2)+(D61-1),1),"Mmm")</f>
        <v>Jun</v>
      </c>
      <c r="B61" s="384" t="n">
        <f aca="false">B60+1</f>
        <v>44351</v>
      </c>
      <c r="C61" s="385" t="n">
        <v>9</v>
      </c>
      <c r="D61" s="385" t="n">
        <v>3</v>
      </c>
      <c r="E61" s="387"/>
      <c r="F61" s="388" t="n">
        <v>1</v>
      </c>
      <c r="G61" s="390"/>
      <c r="H61" s="390"/>
      <c r="I61" s="390"/>
      <c r="J61" s="390"/>
      <c r="K61" s="390"/>
      <c r="L61" s="390"/>
      <c r="M61" s="390"/>
      <c r="N61" s="390"/>
      <c r="O61" s="390"/>
      <c r="P61" s="390"/>
      <c r="Q61" s="390"/>
      <c r="R61" s="390"/>
      <c r="S61" s="390"/>
    </row>
    <row r="62" customFormat="false" ht="11.45" hidden="false" customHeight="false" outlineLevel="0" collapsed="false">
      <c r="A62" s="383" t="str">
        <f aca="false">TEXT(DATE(YEAR(B$2),MONTH(B$2)+(D62-1),1),"Mmm")</f>
        <v>Jun</v>
      </c>
      <c r="B62" s="384" t="n">
        <f aca="false">B61+1</f>
        <v>44352</v>
      </c>
      <c r="C62" s="385" t="n">
        <v>9</v>
      </c>
      <c r="D62" s="385" t="n">
        <v>3</v>
      </c>
      <c r="E62" s="387"/>
      <c r="F62" s="388" t="n">
        <v>1</v>
      </c>
      <c r="G62" s="390"/>
      <c r="H62" s="390"/>
      <c r="I62" s="390"/>
      <c r="J62" s="390"/>
      <c r="K62" s="390"/>
      <c r="L62" s="390"/>
      <c r="M62" s="390"/>
      <c r="N62" s="390"/>
      <c r="O62" s="390"/>
      <c r="P62" s="390"/>
      <c r="Q62" s="390"/>
      <c r="R62" s="390"/>
      <c r="S62" s="390"/>
    </row>
    <row r="63" customFormat="false" ht="11.45" hidden="false" customHeight="false" outlineLevel="0" collapsed="false">
      <c r="A63" s="383" t="str">
        <f aca="false">TEXT(DATE(YEAR(B$2),MONTH(B$2)+(D63-1),1),"Mmm")</f>
        <v>Jun</v>
      </c>
      <c r="B63" s="384" t="n">
        <f aca="false">B62+1</f>
        <v>44353</v>
      </c>
      <c r="C63" s="385" t="n">
        <v>10</v>
      </c>
      <c r="D63" s="385" t="n">
        <v>3</v>
      </c>
      <c r="E63" s="391"/>
      <c r="F63" s="388" t="n">
        <v>2</v>
      </c>
      <c r="G63" s="390"/>
      <c r="H63" s="390"/>
      <c r="I63" s="390"/>
      <c r="J63" s="390"/>
      <c r="K63" s="390"/>
      <c r="L63" s="390"/>
      <c r="M63" s="390"/>
      <c r="N63" s="390"/>
      <c r="O63" s="390"/>
      <c r="P63" s="390"/>
      <c r="Q63" s="390"/>
      <c r="R63" s="390"/>
      <c r="S63" s="390"/>
    </row>
    <row r="64" customFormat="false" ht="11.45" hidden="false" customHeight="false" outlineLevel="0" collapsed="false">
      <c r="A64" s="383" t="str">
        <f aca="false">TEXT(DATE(YEAR(B$2),MONTH(B$2)+(D64-1),1),"Mmm")</f>
        <v>Jun</v>
      </c>
      <c r="B64" s="384" t="n">
        <f aca="false">B63+1</f>
        <v>44354</v>
      </c>
      <c r="C64" s="385" t="n">
        <v>10</v>
      </c>
      <c r="D64" s="385" t="n">
        <v>3</v>
      </c>
      <c r="E64" s="387"/>
      <c r="F64" s="388" t="n">
        <v>2</v>
      </c>
      <c r="G64" s="390"/>
      <c r="H64" s="390"/>
      <c r="I64" s="390"/>
      <c r="J64" s="390"/>
      <c r="K64" s="390"/>
      <c r="L64" s="390"/>
      <c r="M64" s="390"/>
      <c r="N64" s="390"/>
      <c r="O64" s="390"/>
      <c r="P64" s="390"/>
      <c r="Q64" s="390"/>
      <c r="R64" s="390"/>
      <c r="S64" s="390"/>
    </row>
    <row r="65" customFormat="false" ht="11.45" hidden="false" customHeight="false" outlineLevel="0" collapsed="false">
      <c r="A65" s="383" t="str">
        <f aca="false">TEXT(DATE(YEAR(B$2),MONTH(B$2)+(D65-1),1),"Mmm")</f>
        <v>Jun</v>
      </c>
      <c r="B65" s="384" t="n">
        <f aca="false">B64+1</f>
        <v>44355</v>
      </c>
      <c r="C65" s="385" t="n">
        <v>10</v>
      </c>
      <c r="D65" s="385" t="n">
        <v>3</v>
      </c>
      <c r="E65" s="387"/>
      <c r="F65" s="388" t="n">
        <v>2</v>
      </c>
      <c r="G65" s="390"/>
      <c r="H65" s="390"/>
      <c r="I65" s="390"/>
      <c r="J65" s="390"/>
      <c r="K65" s="390"/>
      <c r="L65" s="390"/>
      <c r="M65" s="390"/>
      <c r="N65" s="390"/>
      <c r="O65" s="390"/>
      <c r="P65" s="390"/>
      <c r="Q65" s="390"/>
      <c r="R65" s="390"/>
      <c r="S65" s="390"/>
    </row>
    <row r="66" customFormat="false" ht="11.45" hidden="false" customHeight="false" outlineLevel="0" collapsed="false">
      <c r="A66" s="383" t="str">
        <f aca="false">TEXT(DATE(YEAR(B$2),MONTH(B$2)+(D66-1),1),"Mmm")</f>
        <v>Jun</v>
      </c>
      <c r="B66" s="384" t="n">
        <f aca="false">B65+1</f>
        <v>44356</v>
      </c>
      <c r="C66" s="385" t="n">
        <v>10</v>
      </c>
      <c r="D66" s="385" t="n">
        <v>3</v>
      </c>
      <c r="E66" s="387"/>
      <c r="F66" s="388" t="n">
        <v>2</v>
      </c>
      <c r="G66" s="390"/>
      <c r="H66" s="390"/>
      <c r="I66" s="390"/>
      <c r="J66" s="390"/>
      <c r="K66" s="390"/>
      <c r="L66" s="390"/>
      <c r="M66" s="390"/>
      <c r="N66" s="390"/>
      <c r="O66" s="390"/>
      <c r="P66" s="390"/>
      <c r="Q66" s="390"/>
      <c r="R66" s="390"/>
      <c r="S66" s="390"/>
    </row>
    <row r="67" customFormat="false" ht="11.45" hidden="false" customHeight="false" outlineLevel="0" collapsed="false">
      <c r="A67" s="383" t="str">
        <f aca="false">TEXT(DATE(YEAR(B$2),MONTH(B$2)+(D67-1),1),"Mmm")</f>
        <v>Jun</v>
      </c>
      <c r="B67" s="384" t="n">
        <f aca="false">B66+1</f>
        <v>44357</v>
      </c>
      <c r="C67" s="385" t="n">
        <v>10</v>
      </c>
      <c r="D67" s="385" t="n">
        <v>3</v>
      </c>
      <c r="E67" s="387"/>
      <c r="F67" s="388" t="n">
        <v>2</v>
      </c>
      <c r="G67" s="390"/>
      <c r="H67" s="390"/>
      <c r="I67" s="390"/>
      <c r="J67" s="390"/>
      <c r="K67" s="390"/>
      <c r="L67" s="390"/>
      <c r="M67" s="390"/>
      <c r="N67" s="390"/>
      <c r="O67" s="390"/>
      <c r="P67" s="390"/>
      <c r="Q67" s="390"/>
      <c r="R67" s="390"/>
      <c r="S67" s="390"/>
    </row>
    <row r="68" customFormat="false" ht="11.45" hidden="false" customHeight="false" outlineLevel="0" collapsed="false">
      <c r="A68" s="383" t="str">
        <f aca="false">TEXT(DATE(YEAR(B$2),MONTH(B$2)+(D68-1),1),"Mmm")</f>
        <v>Jun</v>
      </c>
      <c r="B68" s="384" t="n">
        <f aca="false">B67+1</f>
        <v>44358</v>
      </c>
      <c r="C68" s="385" t="n">
        <v>10</v>
      </c>
      <c r="D68" s="385" t="n">
        <v>3</v>
      </c>
      <c r="E68" s="387"/>
      <c r="F68" s="388" t="n">
        <v>2</v>
      </c>
      <c r="G68" s="390"/>
      <c r="H68" s="390"/>
      <c r="I68" s="390"/>
      <c r="J68" s="390"/>
      <c r="K68" s="390"/>
      <c r="L68" s="390"/>
      <c r="M68" s="390"/>
      <c r="N68" s="390"/>
      <c r="O68" s="390"/>
      <c r="P68" s="390"/>
      <c r="Q68" s="390"/>
      <c r="R68" s="390"/>
      <c r="S68" s="390"/>
    </row>
    <row r="69" customFormat="false" ht="11.45" hidden="false" customHeight="false" outlineLevel="0" collapsed="false">
      <c r="A69" s="383" t="str">
        <f aca="false">TEXT(DATE(YEAR(B$2),MONTH(B$2)+(D69-1),1),"Mmm")</f>
        <v>Jun</v>
      </c>
      <c r="B69" s="384" t="n">
        <f aca="false">B68+1</f>
        <v>44359</v>
      </c>
      <c r="C69" s="385" t="n">
        <v>10</v>
      </c>
      <c r="D69" s="385" t="n">
        <v>3</v>
      </c>
      <c r="E69" s="387"/>
      <c r="F69" s="388" t="n">
        <v>2</v>
      </c>
      <c r="G69" s="390"/>
      <c r="H69" s="390"/>
      <c r="I69" s="390"/>
      <c r="J69" s="390"/>
      <c r="K69" s="390"/>
      <c r="L69" s="390"/>
      <c r="M69" s="390"/>
      <c r="N69" s="390"/>
      <c r="O69" s="390"/>
      <c r="P69" s="390"/>
      <c r="Q69" s="390"/>
      <c r="R69" s="390"/>
      <c r="S69" s="390"/>
    </row>
    <row r="70" customFormat="false" ht="11.45" hidden="false" customHeight="false" outlineLevel="0" collapsed="false">
      <c r="A70" s="383" t="str">
        <f aca="false">TEXT(DATE(YEAR(B$2),MONTH(B$2)+(D70-1),1),"Mmm")</f>
        <v>Jun</v>
      </c>
      <c r="B70" s="384" t="n">
        <f aca="false">B69+1</f>
        <v>44360</v>
      </c>
      <c r="C70" s="385" t="n">
        <v>11</v>
      </c>
      <c r="D70" s="385" t="n">
        <v>3</v>
      </c>
      <c r="E70" s="387"/>
      <c r="F70" s="388" t="n">
        <v>3</v>
      </c>
      <c r="G70" s="390"/>
      <c r="H70" s="390"/>
      <c r="I70" s="390"/>
      <c r="J70" s="390"/>
      <c r="K70" s="390"/>
      <c r="L70" s="390"/>
      <c r="M70" s="390"/>
      <c r="N70" s="390"/>
      <c r="O70" s="390"/>
      <c r="P70" s="390"/>
      <c r="Q70" s="390"/>
      <c r="R70" s="390"/>
      <c r="S70" s="390"/>
    </row>
    <row r="71" customFormat="false" ht="11.45" hidden="false" customHeight="false" outlineLevel="0" collapsed="false">
      <c r="A71" s="383" t="str">
        <f aca="false">TEXT(DATE(YEAR(B$2),MONTH(B$2)+(D71-1),1),"Mmm")</f>
        <v>Jun</v>
      </c>
      <c r="B71" s="384" t="n">
        <f aca="false">B70+1</f>
        <v>44361</v>
      </c>
      <c r="C71" s="385" t="n">
        <v>11</v>
      </c>
      <c r="D71" s="385" t="n">
        <v>3</v>
      </c>
      <c r="E71" s="387"/>
      <c r="F71" s="388" t="n">
        <v>3</v>
      </c>
      <c r="G71" s="390"/>
      <c r="H71" s="390"/>
      <c r="I71" s="390"/>
      <c r="J71" s="390"/>
      <c r="K71" s="390"/>
      <c r="L71" s="390"/>
      <c r="M71" s="390"/>
      <c r="N71" s="390"/>
      <c r="O71" s="390"/>
      <c r="P71" s="390"/>
      <c r="Q71" s="390"/>
      <c r="R71" s="390"/>
      <c r="S71" s="390"/>
    </row>
    <row r="72" customFormat="false" ht="11.45" hidden="false" customHeight="false" outlineLevel="0" collapsed="false">
      <c r="A72" s="383" t="str">
        <f aca="false">TEXT(DATE(YEAR(B$2),MONTH(B$2)+(D72-1),1),"Mmm")</f>
        <v>Jun</v>
      </c>
      <c r="B72" s="384" t="n">
        <f aca="false">B71+1</f>
        <v>44362</v>
      </c>
      <c r="C72" s="385" t="n">
        <v>11</v>
      </c>
      <c r="D72" s="385" t="n">
        <v>3</v>
      </c>
      <c r="E72" s="387"/>
      <c r="F72" s="388" t="n">
        <v>3</v>
      </c>
      <c r="G72" s="390"/>
      <c r="H72" s="390"/>
      <c r="I72" s="390"/>
      <c r="J72" s="390"/>
      <c r="K72" s="390"/>
      <c r="L72" s="390"/>
      <c r="M72" s="390"/>
      <c r="N72" s="390"/>
      <c r="O72" s="390"/>
      <c r="P72" s="390"/>
      <c r="Q72" s="390"/>
      <c r="R72" s="390"/>
      <c r="S72" s="390"/>
    </row>
    <row r="73" customFormat="false" ht="11.45" hidden="false" customHeight="false" outlineLevel="0" collapsed="false">
      <c r="A73" s="383" t="str">
        <f aca="false">TEXT(DATE(YEAR(B$2),MONTH(B$2)+(D73-1),1),"Mmm")</f>
        <v>Jun</v>
      </c>
      <c r="B73" s="384" t="n">
        <f aca="false">B72+1</f>
        <v>44363</v>
      </c>
      <c r="C73" s="385" t="n">
        <v>11</v>
      </c>
      <c r="D73" s="385" t="n">
        <v>3</v>
      </c>
      <c r="E73" s="387"/>
      <c r="F73" s="388" t="n">
        <v>3</v>
      </c>
      <c r="G73" s="390"/>
      <c r="H73" s="390"/>
      <c r="I73" s="390"/>
      <c r="J73" s="390"/>
      <c r="K73" s="390"/>
      <c r="L73" s="390"/>
      <c r="M73" s="390"/>
      <c r="N73" s="390"/>
      <c r="O73" s="390"/>
      <c r="P73" s="390"/>
      <c r="Q73" s="390"/>
      <c r="R73" s="390"/>
      <c r="S73" s="390"/>
    </row>
    <row r="74" customFormat="false" ht="11.45" hidden="false" customHeight="false" outlineLevel="0" collapsed="false">
      <c r="A74" s="383" t="str">
        <f aca="false">TEXT(DATE(YEAR(B$2),MONTH(B$2)+(D74-1),1),"Mmm")</f>
        <v>Jun</v>
      </c>
      <c r="B74" s="384" t="n">
        <f aca="false">B73+1</f>
        <v>44364</v>
      </c>
      <c r="C74" s="385" t="n">
        <v>11</v>
      </c>
      <c r="D74" s="385" t="n">
        <v>3</v>
      </c>
      <c r="E74" s="387"/>
      <c r="F74" s="388" t="n">
        <v>3</v>
      </c>
      <c r="G74" s="390"/>
      <c r="H74" s="390"/>
      <c r="I74" s="390"/>
      <c r="J74" s="390"/>
      <c r="K74" s="390"/>
      <c r="L74" s="390"/>
      <c r="M74" s="390"/>
      <c r="N74" s="390"/>
      <c r="O74" s="390"/>
      <c r="P74" s="390"/>
      <c r="Q74" s="390"/>
      <c r="R74" s="390"/>
      <c r="S74" s="390"/>
    </row>
    <row r="75" customFormat="false" ht="11.45" hidden="false" customHeight="false" outlineLevel="0" collapsed="false">
      <c r="A75" s="383" t="str">
        <f aca="false">TEXT(DATE(YEAR(B$2),MONTH(B$2)+(D75-1),1),"Mmm")</f>
        <v>Jun</v>
      </c>
      <c r="B75" s="384" t="n">
        <f aca="false">B74+1</f>
        <v>44365</v>
      </c>
      <c r="C75" s="385" t="n">
        <v>11</v>
      </c>
      <c r="D75" s="385" t="n">
        <v>3</v>
      </c>
      <c r="E75" s="387"/>
      <c r="F75" s="388" t="n">
        <v>3</v>
      </c>
      <c r="G75" s="390"/>
      <c r="H75" s="390"/>
      <c r="I75" s="390"/>
      <c r="J75" s="390"/>
      <c r="K75" s="390"/>
      <c r="L75" s="390"/>
      <c r="M75" s="390"/>
      <c r="N75" s="390"/>
      <c r="O75" s="390"/>
      <c r="P75" s="390"/>
      <c r="Q75" s="390"/>
      <c r="R75" s="390"/>
      <c r="S75" s="390"/>
    </row>
    <row r="76" customFormat="false" ht="11.45" hidden="false" customHeight="false" outlineLevel="0" collapsed="false">
      <c r="A76" s="383" t="str">
        <f aca="false">TEXT(DATE(YEAR(B$2),MONTH(B$2)+(D76-1),1),"Mmm")</f>
        <v>Jun</v>
      </c>
      <c r="B76" s="384" t="n">
        <f aca="false">B75+1</f>
        <v>44366</v>
      </c>
      <c r="C76" s="385" t="n">
        <v>11</v>
      </c>
      <c r="D76" s="385" t="n">
        <v>3</v>
      </c>
      <c r="E76" s="387"/>
      <c r="F76" s="388" t="n">
        <v>3</v>
      </c>
      <c r="G76" s="390"/>
      <c r="H76" s="390"/>
      <c r="I76" s="390"/>
      <c r="J76" s="390"/>
      <c r="K76" s="390"/>
      <c r="L76" s="390"/>
      <c r="M76" s="390"/>
      <c r="N76" s="390"/>
      <c r="O76" s="390"/>
      <c r="P76" s="390"/>
      <c r="Q76" s="390"/>
      <c r="R76" s="390"/>
      <c r="S76" s="390"/>
    </row>
    <row r="77" customFormat="false" ht="11.45" hidden="false" customHeight="false" outlineLevel="0" collapsed="false">
      <c r="A77" s="383" t="str">
        <f aca="false">TEXT(DATE(YEAR(B$2),MONTH(B$2)+(D77-1),1),"Mmm")</f>
        <v>Jun</v>
      </c>
      <c r="B77" s="384" t="n">
        <f aca="false">B76+1</f>
        <v>44367</v>
      </c>
      <c r="C77" s="385" t="n">
        <v>12</v>
      </c>
      <c r="D77" s="385" t="n">
        <v>3</v>
      </c>
      <c r="E77" s="387"/>
      <c r="F77" s="388" t="n">
        <v>4</v>
      </c>
      <c r="G77" s="390"/>
      <c r="H77" s="390"/>
      <c r="I77" s="390"/>
      <c r="J77" s="390"/>
      <c r="K77" s="390"/>
      <c r="L77" s="390"/>
      <c r="M77" s="390"/>
      <c r="N77" s="390"/>
      <c r="O77" s="390"/>
      <c r="P77" s="390"/>
      <c r="Q77" s="390"/>
      <c r="R77" s="390"/>
      <c r="S77" s="390"/>
    </row>
    <row r="78" customFormat="false" ht="11.45" hidden="false" customHeight="false" outlineLevel="0" collapsed="false">
      <c r="A78" s="383" t="str">
        <f aca="false">TEXT(DATE(YEAR(B$2),MONTH(B$2)+(D78-1),1),"Mmm")</f>
        <v>Jun</v>
      </c>
      <c r="B78" s="384" t="n">
        <f aca="false">B77+1</f>
        <v>44368</v>
      </c>
      <c r="C78" s="385" t="n">
        <v>12</v>
      </c>
      <c r="D78" s="385" t="n">
        <v>3</v>
      </c>
      <c r="E78" s="387"/>
      <c r="F78" s="388" t="n">
        <v>4</v>
      </c>
      <c r="G78" s="390"/>
      <c r="H78" s="390"/>
      <c r="I78" s="390"/>
      <c r="J78" s="390"/>
      <c r="K78" s="390"/>
      <c r="L78" s="390"/>
      <c r="M78" s="390"/>
      <c r="N78" s="390"/>
      <c r="O78" s="390"/>
      <c r="P78" s="390"/>
      <c r="Q78" s="390"/>
      <c r="R78" s="390"/>
      <c r="S78" s="390"/>
    </row>
    <row r="79" customFormat="false" ht="11.45" hidden="false" customHeight="false" outlineLevel="0" collapsed="false">
      <c r="A79" s="383" t="str">
        <f aca="false">TEXT(DATE(YEAR(B$2),MONTH(B$2)+(D79-1),1),"Mmm")</f>
        <v>Jun</v>
      </c>
      <c r="B79" s="384" t="n">
        <f aca="false">B78+1</f>
        <v>44369</v>
      </c>
      <c r="C79" s="385" t="n">
        <v>12</v>
      </c>
      <c r="D79" s="385" t="n">
        <v>3</v>
      </c>
      <c r="E79" s="387"/>
      <c r="F79" s="388" t="n">
        <v>4</v>
      </c>
      <c r="G79" s="390"/>
      <c r="H79" s="390"/>
      <c r="I79" s="390"/>
      <c r="J79" s="390"/>
      <c r="K79" s="390"/>
      <c r="L79" s="390"/>
      <c r="M79" s="390"/>
      <c r="N79" s="390"/>
      <c r="O79" s="390"/>
      <c r="P79" s="390"/>
      <c r="Q79" s="390"/>
      <c r="R79" s="390"/>
      <c r="S79" s="390"/>
    </row>
    <row r="80" customFormat="false" ht="11.45" hidden="false" customHeight="false" outlineLevel="0" collapsed="false">
      <c r="A80" s="383" t="str">
        <f aca="false">TEXT(DATE(YEAR(B$2),MONTH(B$2)+(D80-1),1),"Mmm")</f>
        <v>Jun</v>
      </c>
      <c r="B80" s="384" t="n">
        <f aca="false">B79+1</f>
        <v>44370</v>
      </c>
      <c r="C80" s="385" t="n">
        <v>12</v>
      </c>
      <c r="D80" s="385" t="n">
        <v>3</v>
      </c>
      <c r="E80" s="387"/>
      <c r="F80" s="388" t="n">
        <v>4</v>
      </c>
      <c r="G80" s="390"/>
      <c r="H80" s="390"/>
      <c r="I80" s="390"/>
      <c r="J80" s="390"/>
      <c r="K80" s="390"/>
      <c r="L80" s="390"/>
      <c r="M80" s="390"/>
      <c r="N80" s="390"/>
      <c r="O80" s="390"/>
      <c r="P80" s="390"/>
      <c r="Q80" s="390"/>
      <c r="R80" s="390"/>
      <c r="S80" s="390"/>
    </row>
    <row r="81" customFormat="false" ht="11.45" hidden="false" customHeight="false" outlineLevel="0" collapsed="false">
      <c r="A81" s="383" t="str">
        <f aca="false">TEXT(DATE(YEAR(B$2),MONTH(B$2)+(D81-1),1),"Mmm")</f>
        <v>Jun</v>
      </c>
      <c r="B81" s="384" t="n">
        <f aca="false">B80+1</f>
        <v>44371</v>
      </c>
      <c r="C81" s="385" t="n">
        <v>12</v>
      </c>
      <c r="D81" s="385" t="n">
        <v>3</v>
      </c>
      <c r="E81" s="387"/>
      <c r="F81" s="388" t="n">
        <v>4</v>
      </c>
      <c r="G81" s="390"/>
      <c r="H81" s="390"/>
      <c r="I81" s="390"/>
      <c r="J81" s="390"/>
      <c r="K81" s="390"/>
      <c r="L81" s="390"/>
      <c r="M81" s="390"/>
      <c r="N81" s="390"/>
      <c r="O81" s="390"/>
      <c r="P81" s="390"/>
      <c r="Q81" s="390"/>
      <c r="R81" s="390"/>
      <c r="S81" s="390"/>
    </row>
    <row r="82" customFormat="false" ht="11.45" hidden="false" customHeight="false" outlineLevel="0" collapsed="false">
      <c r="A82" s="383" t="str">
        <f aca="false">TEXT(DATE(YEAR(B$2),MONTH(B$2)+(D82-1),1),"Mmm")</f>
        <v>Jun</v>
      </c>
      <c r="B82" s="384" t="n">
        <f aca="false">B81+1</f>
        <v>44372</v>
      </c>
      <c r="C82" s="385" t="n">
        <v>12</v>
      </c>
      <c r="D82" s="385" t="n">
        <v>3</v>
      </c>
      <c r="E82" s="387"/>
      <c r="F82" s="388" t="n">
        <v>4</v>
      </c>
      <c r="G82" s="390"/>
      <c r="H82" s="390"/>
      <c r="I82" s="390"/>
      <c r="J82" s="390"/>
      <c r="K82" s="390"/>
      <c r="L82" s="390"/>
      <c r="M82" s="390"/>
      <c r="N82" s="390"/>
      <c r="O82" s="390"/>
      <c r="P82" s="390"/>
      <c r="Q82" s="390"/>
      <c r="R82" s="390"/>
      <c r="S82" s="390"/>
    </row>
    <row r="83" customFormat="false" ht="11.45" hidden="false" customHeight="false" outlineLevel="0" collapsed="false">
      <c r="A83" s="383" t="str">
        <f aca="false">TEXT(DATE(YEAR(B$2),MONTH(B$2)+(D83-1),1),"Mmm")</f>
        <v>Jun</v>
      </c>
      <c r="B83" s="384" t="n">
        <f aca="false">B82+1</f>
        <v>44373</v>
      </c>
      <c r="C83" s="385" t="n">
        <v>12</v>
      </c>
      <c r="D83" s="385" t="n">
        <v>3</v>
      </c>
      <c r="E83" s="387"/>
      <c r="F83" s="388" t="n">
        <v>4</v>
      </c>
      <c r="G83" s="390"/>
      <c r="H83" s="390"/>
      <c r="I83" s="390"/>
      <c r="J83" s="390"/>
      <c r="K83" s="390"/>
      <c r="L83" s="390"/>
      <c r="M83" s="390"/>
      <c r="N83" s="390"/>
      <c r="O83" s="390"/>
      <c r="P83" s="390"/>
      <c r="Q83" s="390"/>
      <c r="R83" s="390"/>
      <c r="S83" s="390"/>
    </row>
    <row r="84" customFormat="false" ht="11.45" hidden="false" customHeight="false" outlineLevel="0" collapsed="false">
      <c r="A84" s="383" t="str">
        <f aca="false">TEXT(DATE(YEAR(B$2),MONTH(B$2)+(D84-1),1),"Mmm")</f>
        <v>Jun</v>
      </c>
      <c r="B84" s="384" t="n">
        <f aca="false">B83+1</f>
        <v>44374</v>
      </c>
      <c r="C84" s="385" t="n">
        <v>13</v>
      </c>
      <c r="D84" s="385" t="n">
        <v>3</v>
      </c>
      <c r="E84" s="387"/>
      <c r="F84" s="388" t="n">
        <v>5</v>
      </c>
      <c r="G84" s="390"/>
      <c r="H84" s="390"/>
      <c r="I84" s="390"/>
      <c r="J84" s="390"/>
      <c r="K84" s="390"/>
      <c r="L84" s="390"/>
      <c r="M84" s="390"/>
      <c r="N84" s="390"/>
      <c r="O84" s="390"/>
      <c r="P84" s="390"/>
      <c r="Q84" s="390"/>
      <c r="R84" s="390"/>
      <c r="S84" s="390"/>
    </row>
    <row r="85" customFormat="false" ht="11.45" hidden="false" customHeight="false" outlineLevel="0" collapsed="false">
      <c r="A85" s="383" t="str">
        <f aca="false">TEXT(DATE(YEAR(B$2),MONTH(B$2)+(D85-1),1),"Mmm")</f>
        <v>Jun</v>
      </c>
      <c r="B85" s="384" t="n">
        <f aca="false">B84+1</f>
        <v>44375</v>
      </c>
      <c r="C85" s="385" t="n">
        <v>13</v>
      </c>
      <c r="D85" s="385" t="n">
        <v>3</v>
      </c>
      <c r="E85" s="387"/>
      <c r="F85" s="388" t="n">
        <v>5</v>
      </c>
      <c r="G85" s="390"/>
      <c r="H85" s="390"/>
      <c r="I85" s="390"/>
      <c r="J85" s="390"/>
      <c r="K85" s="390"/>
      <c r="L85" s="390"/>
      <c r="M85" s="390"/>
      <c r="N85" s="390"/>
      <c r="O85" s="390"/>
      <c r="P85" s="390"/>
      <c r="Q85" s="390"/>
      <c r="R85" s="390"/>
      <c r="S85" s="390"/>
    </row>
    <row r="86" customFormat="false" ht="11.45" hidden="false" customHeight="false" outlineLevel="0" collapsed="false">
      <c r="A86" s="383" t="str">
        <f aca="false">TEXT(DATE(YEAR(B$2),MONTH(B$2)+(D86-1),1),"Mmm")</f>
        <v>Jun</v>
      </c>
      <c r="B86" s="384" t="n">
        <f aca="false">B85+1</f>
        <v>44376</v>
      </c>
      <c r="C86" s="385" t="n">
        <v>13</v>
      </c>
      <c r="D86" s="385" t="n">
        <v>3</v>
      </c>
      <c r="E86" s="387"/>
      <c r="F86" s="388" t="n">
        <v>5</v>
      </c>
      <c r="G86" s="390"/>
      <c r="H86" s="390"/>
      <c r="I86" s="390"/>
      <c r="J86" s="390"/>
      <c r="K86" s="390"/>
      <c r="L86" s="390"/>
      <c r="M86" s="390"/>
      <c r="N86" s="390"/>
      <c r="O86" s="390"/>
      <c r="P86" s="390"/>
      <c r="Q86" s="390"/>
      <c r="R86" s="390"/>
      <c r="S86" s="390"/>
    </row>
    <row r="87" customFormat="false" ht="11.45" hidden="false" customHeight="false" outlineLevel="0" collapsed="false">
      <c r="A87" s="383" t="str">
        <f aca="false">TEXT(DATE(YEAR(B$2),MONTH(B$2)+(D87-1),1),"Mmm")</f>
        <v>Jun</v>
      </c>
      <c r="B87" s="384" t="n">
        <f aca="false">B86+1</f>
        <v>44377</v>
      </c>
      <c r="C87" s="385" t="n">
        <v>13</v>
      </c>
      <c r="D87" s="385" t="n">
        <v>3</v>
      </c>
      <c r="E87" s="387"/>
      <c r="F87" s="388" t="n">
        <v>5</v>
      </c>
      <c r="G87" s="390"/>
      <c r="H87" s="390"/>
      <c r="I87" s="390"/>
      <c r="J87" s="390"/>
      <c r="K87" s="390"/>
      <c r="L87" s="390"/>
      <c r="M87" s="390"/>
      <c r="N87" s="390"/>
      <c r="O87" s="390"/>
      <c r="P87" s="390"/>
      <c r="Q87" s="390"/>
      <c r="R87" s="390"/>
      <c r="S87" s="390"/>
    </row>
    <row r="88" customFormat="false" ht="11.45" hidden="false" customHeight="false" outlineLevel="0" collapsed="false">
      <c r="A88" s="383" t="str">
        <f aca="false">TEXT(DATE(YEAR(B$2),MONTH(B$2)+(D88-1),1),"Mmm")</f>
        <v>Jun</v>
      </c>
      <c r="B88" s="384" t="n">
        <f aca="false">B87+1</f>
        <v>44378</v>
      </c>
      <c r="C88" s="385" t="n">
        <v>13</v>
      </c>
      <c r="D88" s="385" t="n">
        <v>3</v>
      </c>
      <c r="E88" s="387"/>
      <c r="F88" s="388" t="n">
        <v>5</v>
      </c>
      <c r="G88" s="390"/>
      <c r="H88" s="390"/>
      <c r="I88" s="390"/>
      <c r="J88" s="390"/>
      <c r="K88" s="390"/>
      <c r="L88" s="390"/>
      <c r="M88" s="390"/>
      <c r="N88" s="390"/>
      <c r="O88" s="390"/>
      <c r="P88" s="390"/>
      <c r="Q88" s="390"/>
      <c r="R88" s="390"/>
      <c r="S88" s="390"/>
    </row>
    <row r="89" customFormat="false" ht="11.45" hidden="false" customHeight="false" outlineLevel="0" collapsed="false">
      <c r="A89" s="383" t="str">
        <f aca="false">TEXT(DATE(YEAR(B$2),MONTH(B$2)+(D89-1),1),"Mmm")</f>
        <v>Jun</v>
      </c>
      <c r="B89" s="384" t="n">
        <f aca="false">B88+1</f>
        <v>44379</v>
      </c>
      <c r="C89" s="385" t="n">
        <v>13</v>
      </c>
      <c r="D89" s="385" t="n">
        <v>3</v>
      </c>
      <c r="E89" s="387"/>
      <c r="F89" s="388" t="n">
        <v>5</v>
      </c>
      <c r="G89" s="390"/>
      <c r="H89" s="390"/>
      <c r="I89" s="390"/>
      <c r="J89" s="390"/>
      <c r="K89" s="390"/>
      <c r="L89" s="390"/>
      <c r="M89" s="390"/>
      <c r="N89" s="390"/>
      <c r="O89" s="390"/>
      <c r="P89" s="390"/>
      <c r="Q89" s="390"/>
      <c r="R89" s="390"/>
      <c r="S89" s="390"/>
    </row>
    <row r="90" customFormat="false" ht="11.45" hidden="false" customHeight="false" outlineLevel="0" collapsed="false">
      <c r="A90" s="383" t="str">
        <f aca="false">TEXT(DATE(YEAR(B$2),MONTH(B$2)+(D90-1),1),"Mmm")</f>
        <v>Jun</v>
      </c>
      <c r="B90" s="384" t="n">
        <f aca="false">B89+1</f>
        <v>44380</v>
      </c>
      <c r="C90" s="385" t="n">
        <v>13</v>
      </c>
      <c r="D90" s="385" t="n">
        <v>3</v>
      </c>
      <c r="E90" s="387"/>
      <c r="F90" s="388" t="n">
        <v>5</v>
      </c>
      <c r="G90" s="390"/>
      <c r="H90" s="390"/>
      <c r="I90" s="390"/>
      <c r="J90" s="390"/>
      <c r="K90" s="390"/>
      <c r="L90" s="390"/>
      <c r="M90" s="390"/>
      <c r="N90" s="390"/>
      <c r="O90" s="390"/>
      <c r="P90" s="390"/>
      <c r="Q90" s="390"/>
      <c r="R90" s="390"/>
      <c r="S90" s="390"/>
    </row>
    <row r="91" customFormat="false" ht="11.45" hidden="false" customHeight="false" outlineLevel="0" collapsed="false">
      <c r="A91" s="383" t="str">
        <f aca="false">TEXT(DATE(YEAR(B$2),MONTH(B$2)+(D91-1),1),"Mmm")</f>
        <v>Jul</v>
      </c>
      <c r="B91" s="384" t="n">
        <f aca="false">B90+1</f>
        <v>44381</v>
      </c>
      <c r="C91" s="385" t="n">
        <v>14</v>
      </c>
      <c r="D91" s="385" t="n">
        <v>4</v>
      </c>
      <c r="E91" s="387"/>
      <c r="F91" s="388" t="n">
        <v>1</v>
      </c>
      <c r="G91" s="390"/>
      <c r="H91" s="390"/>
      <c r="I91" s="390"/>
      <c r="J91" s="390"/>
      <c r="K91" s="390"/>
      <c r="L91" s="390"/>
      <c r="M91" s="390"/>
      <c r="N91" s="390"/>
      <c r="O91" s="390"/>
      <c r="P91" s="390"/>
      <c r="Q91" s="390"/>
      <c r="R91" s="390"/>
      <c r="S91" s="390"/>
    </row>
    <row r="92" customFormat="false" ht="11.45" hidden="false" customHeight="false" outlineLevel="0" collapsed="false">
      <c r="A92" s="383" t="str">
        <f aca="false">TEXT(DATE(YEAR(B$2),MONTH(B$2)+(D92-1),1),"Mmm")</f>
        <v>Jul</v>
      </c>
      <c r="B92" s="384" t="n">
        <f aca="false">B91+1</f>
        <v>44382</v>
      </c>
      <c r="C92" s="385" t="n">
        <v>14</v>
      </c>
      <c r="D92" s="385" t="n">
        <v>4</v>
      </c>
      <c r="E92" s="387"/>
      <c r="F92" s="388" t="n">
        <v>1</v>
      </c>
      <c r="G92" s="390"/>
      <c r="H92" s="390"/>
      <c r="I92" s="390"/>
      <c r="J92" s="390"/>
      <c r="K92" s="390"/>
      <c r="L92" s="390"/>
      <c r="M92" s="390"/>
      <c r="N92" s="390"/>
      <c r="O92" s="390"/>
      <c r="P92" s="390"/>
      <c r="Q92" s="390"/>
      <c r="R92" s="390"/>
      <c r="S92" s="390"/>
    </row>
    <row r="93" customFormat="false" ht="10.5" hidden="false" customHeight="false" outlineLevel="0" collapsed="false">
      <c r="A93" s="383" t="str">
        <f aca="false">TEXT(DATE(YEAR(B$2),MONTH(B$2)+(D93-1),1),"Mmm")</f>
        <v>Jul</v>
      </c>
      <c r="B93" s="384" t="n">
        <f aca="false">B92+1</f>
        <v>44383</v>
      </c>
      <c r="C93" s="385" t="n">
        <v>14</v>
      </c>
      <c r="D93" s="385" t="n">
        <v>4</v>
      </c>
      <c r="E93" s="391"/>
      <c r="F93" s="385" t="n">
        <v>1</v>
      </c>
      <c r="G93" s="390"/>
      <c r="H93" s="390"/>
      <c r="I93" s="390"/>
      <c r="J93" s="390"/>
      <c r="K93" s="390"/>
      <c r="L93" s="390"/>
      <c r="M93" s="390"/>
      <c r="N93" s="390"/>
      <c r="O93" s="390"/>
      <c r="P93" s="390"/>
      <c r="Q93" s="390"/>
      <c r="R93" s="390"/>
      <c r="S93" s="390"/>
    </row>
    <row r="94" customFormat="false" ht="11.45" hidden="false" customHeight="false" outlineLevel="0" collapsed="false">
      <c r="A94" s="383" t="str">
        <f aca="false">TEXT(DATE(YEAR(B$2),MONTH(B$2)+(D94-1),1),"Mmm")</f>
        <v>Jul</v>
      </c>
      <c r="B94" s="384" t="n">
        <f aca="false">B93+1</f>
        <v>44384</v>
      </c>
      <c r="C94" s="385" t="n">
        <v>14</v>
      </c>
      <c r="D94" s="385" t="n">
        <v>4</v>
      </c>
      <c r="E94" s="387"/>
      <c r="F94" s="388" t="n">
        <v>1</v>
      </c>
      <c r="G94" s="390"/>
      <c r="H94" s="390"/>
      <c r="I94" s="390"/>
      <c r="J94" s="390"/>
      <c r="K94" s="390"/>
      <c r="L94" s="390"/>
      <c r="M94" s="390"/>
      <c r="N94" s="390"/>
      <c r="O94" s="390"/>
      <c r="P94" s="390"/>
      <c r="Q94" s="390"/>
      <c r="R94" s="390"/>
      <c r="S94" s="390"/>
    </row>
    <row r="95" customFormat="false" ht="11.45" hidden="false" customHeight="false" outlineLevel="0" collapsed="false">
      <c r="A95" s="383" t="str">
        <f aca="false">TEXT(DATE(YEAR(B$2),MONTH(B$2)+(D95-1),1),"Mmm")</f>
        <v>Jul</v>
      </c>
      <c r="B95" s="384" t="n">
        <f aca="false">B94+1</f>
        <v>44385</v>
      </c>
      <c r="C95" s="385" t="n">
        <v>14</v>
      </c>
      <c r="D95" s="385" t="n">
        <v>4</v>
      </c>
      <c r="E95" s="387"/>
      <c r="F95" s="388" t="n">
        <v>1</v>
      </c>
      <c r="G95" s="390"/>
      <c r="H95" s="390"/>
      <c r="I95" s="390"/>
      <c r="J95" s="390"/>
      <c r="K95" s="390"/>
      <c r="L95" s="390"/>
      <c r="M95" s="390"/>
      <c r="N95" s="390"/>
      <c r="O95" s="390"/>
      <c r="P95" s="390"/>
      <c r="Q95" s="390"/>
      <c r="R95" s="390"/>
      <c r="S95" s="390"/>
    </row>
    <row r="96" customFormat="false" ht="11.45" hidden="false" customHeight="false" outlineLevel="0" collapsed="false">
      <c r="A96" s="383" t="str">
        <f aca="false">TEXT(DATE(YEAR(B$2),MONTH(B$2)+(D96-1),1),"Mmm")</f>
        <v>Jul</v>
      </c>
      <c r="B96" s="384" t="n">
        <f aca="false">B95+1</f>
        <v>44386</v>
      </c>
      <c r="C96" s="385" t="n">
        <v>14</v>
      </c>
      <c r="D96" s="385" t="n">
        <v>4</v>
      </c>
      <c r="E96" s="387"/>
      <c r="F96" s="388" t="n">
        <v>1</v>
      </c>
      <c r="G96" s="390"/>
      <c r="H96" s="390"/>
      <c r="I96" s="390"/>
      <c r="J96" s="390"/>
      <c r="K96" s="390"/>
      <c r="L96" s="390"/>
      <c r="M96" s="390"/>
      <c r="N96" s="390"/>
      <c r="O96" s="390"/>
      <c r="P96" s="390"/>
      <c r="Q96" s="390"/>
      <c r="R96" s="390"/>
      <c r="S96" s="390"/>
    </row>
    <row r="97" customFormat="false" ht="11.45" hidden="false" customHeight="false" outlineLevel="0" collapsed="false">
      <c r="A97" s="383" t="str">
        <f aca="false">TEXT(DATE(YEAR(B$2),MONTH(B$2)+(D97-1),1),"Mmm")</f>
        <v>Jul</v>
      </c>
      <c r="B97" s="384" t="n">
        <f aca="false">B96+1</f>
        <v>44387</v>
      </c>
      <c r="C97" s="385" t="n">
        <v>14</v>
      </c>
      <c r="D97" s="385" t="n">
        <v>4</v>
      </c>
      <c r="E97" s="387"/>
      <c r="F97" s="388" t="n">
        <v>1</v>
      </c>
      <c r="G97" s="390"/>
      <c r="H97" s="390"/>
      <c r="I97" s="390"/>
      <c r="J97" s="390"/>
      <c r="K97" s="390"/>
      <c r="L97" s="390"/>
      <c r="M97" s="390"/>
      <c r="N97" s="390"/>
      <c r="O97" s="390"/>
      <c r="P97" s="390"/>
      <c r="Q97" s="390"/>
      <c r="R97" s="390"/>
      <c r="S97" s="390"/>
    </row>
    <row r="98" customFormat="false" ht="11.45" hidden="false" customHeight="false" outlineLevel="0" collapsed="false">
      <c r="A98" s="383" t="str">
        <f aca="false">TEXT(DATE(YEAR(B$2),MONTH(B$2)+(D98-1),1),"Mmm")</f>
        <v>Jul</v>
      </c>
      <c r="B98" s="384" t="n">
        <f aca="false">B97+1</f>
        <v>44388</v>
      </c>
      <c r="C98" s="385" t="n">
        <v>15</v>
      </c>
      <c r="D98" s="385" t="n">
        <v>4</v>
      </c>
      <c r="E98" s="387"/>
      <c r="F98" s="388" t="n">
        <v>2</v>
      </c>
      <c r="G98" s="390"/>
      <c r="H98" s="390"/>
      <c r="I98" s="390"/>
      <c r="J98" s="390"/>
      <c r="K98" s="390"/>
      <c r="L98" s="390"/>
      <c r="M98" s="390"/>
      <c r="N98" s="390"/>
      <c r="O98" s="390"/>
      <c r="P98" s="390"/>
      <c r="Q98" s="390"/>
      <c r="R98" s="390"/>
      <c r="S98" s="390"/>
    </row>
    <row r="99" customFormat="false" ht="11.45" hidden="false" customHeight="false" outlineLevel="0" collapsed="false">
      <c r="A99" s="383" t="str">
        <f aca="false">TEXT(DATE(YEAR(B$2),MONTH(B$2)+(D99-1),1),"Mmm")</f>
        <v>Jul</v>
      </c>
      <c r="B99" s="384" t="n">
        <f aca="false">B98+1</f>
        <v>44389</v>
      </c>
      <c r="C99" s="385" t="n">
        <v>15</v>
      </c>
      <c r="D99" s="385" t="n">
        <v>4</v>
      </c>
      <c r="E99" s="387"/>
      <c r="F99" s="388" t="n">
        <v>2</v>
      </c>
      <c r="G99" s="390"/>
      <c r="H99" s="390"/>
      <c r="I99" s="390"/>
      <c r="J99" s="390"/>
      <c r="K99" s="390"/>
      <c r="L99" s="390"/>
      <c r="M99" s="390"/>
      <c r="N99" s="390"/>
      <c r="O99" s="390"/>
      <c r="P99" s="390"/>
      <c r="Q99" s="390"/>
      <c r="R99" s="390"/>
      <c r="S99" s="390"/>
    </row>
    <row r="100" customFormat="false" ht="11.45" hidden="false" customHeight="false" outlineLevel="0" collapsed="false">
      <c r="A100" s="383" t="str">
        <f aca="false">TEXT(DATE(YEAR(B$2),MONTH(B$2)+(D100-1),1),"Mmm")</f>
        <v>Jul</v>
      </c>
      <c r="B100" s="384" t="n">
        <f aca="false">B99+1</f>
        <v>44390</v>
      </c>
      <c r="C100" s="385" t="n">
        <v>15</v>
      </c>
      <c r="D100" s="385" t="n">
        <v>4</v>
      </c>
      <c r="E100" s="387"/>
      <c r="F100" s="388" t="n">
        <v>2</v>
      </c>
      <c r="G100" s="390"/>
      <c r="H100" s="390"/>
      <c r="I100" s="390"/>
      <c r="J100" s="390"/>
      <c r="K100" s="390"/>
      <c r="L100" s="390"/>
      <c r="M100" s="390"/>
      <c r="N100" s="390"/>
      <c r="O100" s="390"/>
      <c r="P100" s="390"/>
      <c r="Q100" s="390"/>
      <c r="R100" s="390"/>
      <c r="S100" s="390"/>
    </row>
    <row r="101" customFormat="false" ht="11.45" hidden="false" customHeight="false" outlineLevel="0" collapsed="false">
      <c r="A101" s="383" t="str">
        <f aca="false">TEXT(DATE(YEAR(B$2),MONTH(B$2)+(D101-1),1),"Mmm")</f>
        <v>Jul</v>
      </c>
      <c r="B101" s="384" t="n">
        <f aca="false">B100+1</f>
        <v>44391</v>
      </c>
      <c r="C101" s="385" t="n">
        <v>15</v>
      </c>
      <c r="D101" s="385" t="n">
        <v>4</v>
      </c>
      <c r="E101" s="387"/>
      <c r="F101" s="388" t="n">
        <v>2</v>
      </c>
      <c r="G101" s="390"/>
      <c r="H101" s="390"/>
      <c r="I101" s="390"/>
      <c r="J101" s="390"/>
      <c r="K101" s="390"/>
      <c r="L101" s="390"/>
      <c r="M101" s="390"/>
      <c r="N101" s="390"/>
      <c r="O101" s="390"/>
      <c r="P101" s="390"/>
      <c r="Q101" s="390"/>
      <c r="R101" s="390"/>
      <c r="S101" s="390"/>
    </row>
    <row r="102" customFormat="false" ht="11.45" hidden="false" customHeight="false" outlineLevel="0" collapsed="false">
      <c r="A102" s="383" t="str">
        <f aca="false">TEXT(DATE(YEAR(B$2),MONTH(B$2)+(D102-1),1),"Mmm")</f>
        <v>Jul</v>
      </c>
      <c r="B102" s="384" t="n">
        <f aca="false">B101+1</f>
        <v>44392</v>
      </c>
      <c r="C102" s="385" t="n">
        <v>15</v>
      </c>
      <c r="D102" s="385" t="n">
        <v>4</v>
      </c>
      <c r="E102" s="387"/>
      <c r="F102" s="388" t="n">
        <v>2</v>
      </c>
      <c r="G102" s="390"/>
      <c r="H102" s="390"/>
      <c r="I102" s="390"/>
      <c r="J102" s="390"/>
      <c r="K102" s="390"/>
      <c r="L102" s="390"/>
      <c r="M102" s="390"/>
      <c r="N102" s="390"/>
      <c r="O102" s="390"/>
      <c r="P102" s="390"/>
      <c r="Q102" s="390"/>
      <c r="R102" s="390"/>
      <c r="S102" s="390"/>
    </row>
    <row r="103" customFormat="false" ht="11.45" hidden="false" customHeight="false" outlineLevel="0" collapsed="false">
      <c r="A103" s="383" t="str">
        <f aca="false">TEXT(DATE(YEAR(B$2),MONTH(B$2)+(D103-1),1),"Mmm")</f>
        <v>Jul</v>
      </c>
      <c r="B103" s="384" t="n">
        <f aca="false">B102+1</f>
        <v>44393</v>
      </c>
      <c r="C103" s="385" t="n">
        <v>15</v>
      </c>
      <c r="D103" s="385" t="n">
        <v>4</v>
      </c>
      <c r="E103" s="387"/>
      <c r="F103" s="388" t="n">
        <v>2</v>
      </c>
      <c r="G103" s="390"/>
      <c r="H103" s="390"/>
      <c r="I103" s="390"/>
      <c r="J103" s="390"/>
      <c r="K103" s="390"/>
      <c r="L103" s="390"/>
      <c r="M103" s="390"/>
      <c r="N103" s="390"/>
      <c r="O103" s="390"/>
      <c r="P103" s="390"/>
      <c r="Q103" s="390"/>
      <c r="R103" s="390"/>
      <c r="S103" s="390"/>
    </row>
    <row r="104" customFormat="false" ht="11.45" hidden="false" customHeight="false" outlineLevel="0" collapsed="false">
      <c r="A104" s="383" t="str">
        <f aca="false">TEXT(DATE(YEAR(B$2),MONTH(B$2)+(D104-1),1),"Mmm")</f>
        <v>Jul</v>
      </c>
      <c r="B104" s="384" t="n">
        <f aca="false">B103+1</f>
        <v>44394</v>
      </c>
      <c r="C104" s="385" t="n">
        <v>15</v>
      </c>
      <c r="D104" s="385" t="n">
        <v>4</v>
      </c>
      <c r="E104" s="387"/>
      <c r="F104" s="388" t="n">
        <v>2</v>
      </c>
      <c r="G104" s="390"/>
      <c r="H104" s="390"/>
      <c r="I104" s="390"/>
      <c r="J104" s="390"/>
      <c r="K104" s="390"/>
      <c r="L104" s="390"/>
      <c r="M104" s="390"/>
      <c r="N104" s="390"/>
      <c r="O104" s="390"/>
      <c r="P104" s="390"/>
      <c r="Q104" s="390"/>
      <c r="R104" s="390"/>
      <c r="S104" s="390"/>
    </row>
    <row r="105" customFormat="false" ht="11.45" hidden="false" customHeight="false" outlineLevel="0" collapsed="false">
      <c r="A105" s="383" t="str">
        <f aca="false">TEXT(DATE(YEAR(B$2),MONTH(B$2)+(D105-1),1),"Mmm")</f>
        <v>Jul</v>
      </c>
      <c r="B105" s="384" t="n">
        <f aca="false">B104+1</f>
        <v>44395</v>
      </c>
      <c r="C105" s="385" t="n">
        <v>16</v>
      </c>
      <c r="D105" s="385" t="n">
        <v>4</v>
      </c>
      <c r="E105" s="387"/>
      <c r="F105" s="388" t="n">
        <v>3</v>
      </c>
      <c r="G105" s="390"/>
      <c r="H105" s="390"/>
      <c r="I105" s="390"/>
      <c r="J105" s="390"/>
      <c r="K105" s="390"/>
      <c r="L105" s="390"/>
      <c r="M105" s="390"/>
      <c r="N105" s="390"/>
      <c r="O105" s="390"/>
      <c r="P105" s="390"/>
      <c r="Q105" s="390"/>
      <c r="R105" s="390"/>
      <c r="S105" s="390"/>
    </row>
    <row r="106" customFormat="false" ht="11.45" hidden="false" customHeight="false" outlineLevel="0" collapsed="false">
      <c r="A106" s="383" t="str">
        <f aca="false">TEXT(DATE(YEAR(B$2),MONTH(B$2)+(D106-1),1),"Mmm")</f>
        <v>Jul</v>
      </c>
      <c r="B106" s="384" t="n">
        <f aca="false">B105+1</f>
        <v>44396</v>
      </c>
      <c r="C106" s="385" t="n">
        <v>16</v>
      </c>
      <c r="D106" s="385" t="n">
        <v>4</v>
      </c>
      <c r="E106" s="387"/>
      <c r="F106" s="388" t="n">
        <v>3</v>
      </c>
      <c r="G106" s="390"/>
      <c r="H106" s="390"/>
      <c r="I106" s="390"/>
      <c r="J106" s="390"/>
      <c r="K106" s="390"/>
      <c r="L106" s="390"/>
      <c r="M106" s="390"/>
      <c r="N106" s="390"/>
      <c r="O106" s="390"/>
      <c r="P106" s="390"/>
      <c r="Q106" s="390"/>
      <c r="R106" s="390"/>
      <c r="S106" s="390"/>
    </row>
    <row r="107" customFormat="false" ht="11.45" hidden="false" customHeight="false" outlineLevel="0" collapsed="false">
      <c r="A107" s="383" t="str">
        <f aca="false">TEXT(DATE(YEAR(B$2),MONTH(B$2)+(D107-1),1),"Mmm")</f>
        <v>Jul</v>
      </c>
      <c r="B107" s="384" t="n">
        <f aca="false">B106+1</f>
        <v>44397</v>
      </c>
      <c r="C107" s="385" t="n">
        <v>16</v>
      </c>
      <c r="D107" s="385" t="n">
        <v>4</v>
      </c>
      <c r="E107" s="387"/>
      <c r="F107" s="388" t="n">
        <v>3</v>
      </c>
      <c r="G107" s="390"/>
      <c r="H107" s="390"/>
      <c r="I107" s="390"/>
      <c r="J107" s="390"/>
      <c r="K107" s="390"/>
      <c r="L107" s="390"/>
      <c r="M107" s="390"/>
      <c r="N107" s="390"/>
      <c r="O107" s="390"/>
      <c r="P107" s="390"/>
      <c r="Q107" s="390"/>
      <c r="R107" s="390"/>
      <c r="S107" s="390"/>
    </row>
    <row r="108" customFormat="false" ht="11.45" hidden="false" customHeight="false" outlineLevel="0" collapsed="false">
      <c r="A108" s="383" t="str">
        <f aca="false">TEXT(DATE(YEAR(B$2),MONTH(B$2)+(D108-1),1),"Mmm")</f>
        <v>Jul</v>
      </c>
      <c r="B108" s="384" t="n">
        <f aca="false">B107+1</f>
        <v>44398</v>
      </c>
      <c r="C108" s="385" t="n">
        <v>16</v>
      </c>
      <c r="D108" s="385" t="n">
        <v>4</v>
      </c>
      <c r="E108" s="387"/>
      <c r="F108" s="388" t="n">
        <v>3</v>
      </c>
      <c r="G108" s="390"/>
      <c r="H108" s="390"/>
      <c r="I108" s="390"/>
      <c r="J108" s="390"/>
      <c r="K108" s="390"/>
      <c r="L108" s="390"/>
      <c r="M108" s="390"/>
      <c r="N108" s="390"/>
      <c r="O108" s="390"/>
      <c r="P108" s="390"/>
      <c r="Q108" s="390"/>
      <c r="R108" s="390"/>
      <c r="S108" s="390"/>
    </row>
    <row r="109" customFormat="false" ht="11.45" hidden="false" customHeight="false" outlineLevel="0" collapsed="false">
      <c r="A109" s="383" t="str">
        <f aca="false">TEXT(DATE(YEAR(B$2),MONTH(B$2)+(D109-1),1),"Mmm")</f>
        <v>Jul</v>
      </c>
      <c r="B109" s="384" t="n">
        <f aca="false">B108+1</f>
        <v>44399</v>
      </c>
      <c r="C109" s="385" t="n">
        <v>16</v>
      </c>
      <c r="D109" s="385" t="n">
        <v>4</v>
      </c>
      <c r="E109" s="387"/>
      <c r="F109" s="388" t="n">
        <v>3</v>
      </c>
      <c r="G109" s="390"/>
      <c r="H109" s="390"/>
      <c r="I109" s="390"/>
      <c r="J109" s="390"/>
      <c r="K109" s="390"/>
      <c r="L109" s="390"/>
      <c r="M109" s="390"/>
      <c r="N109" s="390"/>
      <c r="O109" s="390"/>
      <c r="P109" s="390"/>
      <c r="Q109" s="390"/>
      <c r="R109" s="390"/>
      <c r="S109" s="390"/>
    </row>
    <row r="110" customFormat="false" ht="11.45" hidden="false" customHeight="false" outlineLevel="0" collapsed="false">
      <c r="A110" s="383" t="str">
        <f aca="false">TEXT(DATE(YEAR(B$2),MONTH(B$2)+(D110-1),1),"Mmm")</f>
        <v>Jul</v>
      </c>
      <c r="B110" s="384" t="n">
        <f aca="false">B109+1</f>
        <v>44400</v>
      </c>
      <c r="C110" s="385" t="n">
        <v>16</v>
      </c>
      <c r="D110" s="385" t="n">
        <v>4</v>
      </c>
      <c r="E110" s="387"/>
      <c r="F110" s="388" t="n">
        <v>3</v>
      </c>
      <c r="G110" s="390"/>
      <c r="H110" s="390"/>
      <c r="I110" s="390"/>
      <c r="J110" s="390"/>
      <c r="K110" s="390"/>
      <c r="L110" s="390"/>
      <c r="M110" s="390"/>
      <c r="N110" s="390"/>
      <c r="O110" s="390"/>
      <c r="P110" s="390"/>
      <c r="Q110" s="390"/>
      <c r="R110" s="390"/>
      <c r="S110" s="390"/>
    </row>
    <row r="111" customFormat="false" ht="11.45" hidden="false" customHeight="false" outlineLevel="0" collapsed="false">
      <c r="A111" s="383" t="str">
        <f aca="false">TEXT(DATE(YEAR(B$2),MONTH(B$2)+(D111-1),1),"Mmm")</f>
        <v>Jul</v>
      </c>
      <c r="B111" s="384" t="n">
        <f aca="false">B110+1</f>
        <v>44401</v>
      </c>
      <c r="C111" s="385" t="n">
        <v>16</v>
      </c>
      <c r="D111" s="385" t="n">
        <v>4</v>
      </c>
      <c r="E111" s="387"/>
      <c r="F111" s="388" t="n">
        <v>3</v>
      </c>
      <c r="G111" s="390"/>
      <c r="H111" s="390"/>
      <c r="I111" s="390"/>
      <c r="J111" s="390"/>
      <c r="K111" s="390"/>
      <c r="L111" s="390"/>
      <c r="M111" s="390"/>
      <c r="N111" s="390"/>
      <c r="O111" s="390"/>
      <c r="P111" s="390"/>
      <c r="Q111" s="390"/>
      <c r="R111" s="390"/>
      <c r="S111" s="390"/>
    </row>
    <row r="112" customFormat="false" ht="11.45" hidden="false" customHeight="false" outlineLevel="0" collapsed="false">
      <c r="A112" s="383" t="str">
        <f aca="false">TEXT(DATE(YEAR(B$2),MONTH(B$2)+(D112-1),1),"Mmm")</f>
        <v>Jul</v>
      </c>
      <c r="B112" s="384" t="n">
        <f aca="false">B111+1</f>
        <v>44402</v>
      </c>
      <c r="C112" s="385" t="n">
        <v>17</v>
      </c>
      <c r="D112" s="385" t="n">
        <v>4</v>
      </c>
      <c r="E112" s="387"/>
      <c r="F112" s="388" t="n">
        <v>4</v>
      </c>
      <c r="G112" s="390"/>
      <c r="H112" s="390"/>
      <c r="I112" s="390"/>
      <c r="J112" s="390"/>
      <c r="K112" s="390"/>
      <c r="L112" s="390"/>
      <c r="M112" s="390"/>
      <c r="N112" s="390"/>
      <c r="O112" s="390"/>
      <c r="P112" s="390"/>
      <c r="Q112" s="390"/>
      <c r="R112" s="390"/>
      <c r="S112" s="390"/>
    </row>
    <row r="113" customFormat="false" ht="11.45" hidden="false" customHeight="false" outlineLevel="0" collapsed="false">
      <c r="A113" s="383" t="str">
        <f aca="false">TEXT(DATE(YEAR(B$2),MONTH(B$2)+(D113-1),1),"Mmm")</f>
        <v>Jul</v>
      </c>
      <c r="B113" s="384" t="n">
        <f aca="false">B112+1</f>
        <v>44403</v>
      </c>
      <c r="C113" s="385" t="n">
        <v>17</v>
      </c>
      <c r="D113" s="385" t="n">
        <v>4</v>
      </c>
      <c r="E113" s="387"/>
      <c r="F113" s="388" t="n">
        <v>4</v>
      </c>
      <c r="G113" s="390"/>
      <c r="H113" s="390"/>
      <c r="I113" s="390"/>
      <c r="J113" s="390"/>
      <c r="K113" s="390"/>
      <c r="L113" s="390"/>
      <c r="M113" s="390"/>
      <c r="N113" s="390"/>
      <c r="O113" s="390"/>
      <c r="P113" s="390"/>
      <c r="Q113" s="390"/>
      <c r="R113" s="390"/>
      <c r="S113" s="390"/>
    </row>
    <row r="114" customFormat="false" ht="11.45" hidden="false" customHeight="false" outlineLevel="0" collapsed="false">
      <c r="A114" s="383" t="str">
        <f aca="false">TEXT(DATE(YEAR(B$2),MONTH(B$2)+(D114-1),1),"Mmm")</f>
        <v>Jul</v>
      </c>
      <c r="B114" s="384" t="n">
        <f aca="false">B113+1</f>
        <v>44404</v>
      </c>
      <c r="C114" s="385" t="n">
        <v>17</v>
      </c>
      <c r="D114" s="385" t="n">
        <v>4</v>
      </c>
      <c r="E114" s="387"/>
      <c r="F114" s="388" t="n">
        <v>4</v>
      </c>
      <c r="G114" s="390"/>
      <c r="H114" s="390"/>
      <c r="I114" s="390"/>
      <c r="J114" s="390"/>
      <c r="K114" s="390"/>
      <c r="L114" s="390"/>
      <c r="M114" s="390"/>
      <c r="N114" s="390"/>
      <c r="O114" s="390"/>
      <c r="P114" s="390"/>
      <c r="Q114" s="390"/>
      <c r="R114" s="390"/>
      <c r="S114" s="390"/>
    </row>
    <row r="115" customFormat="false" ht="11.45" hidden="false" customHeight="false" outlineLevel="0" collapsed="false">
      <c r="A115" s="383" t="str">
        <f aca="false">TEXT(DATE(YEAR(B$2),MONTH(B$2)+(D115-1),1),"Mmm")</f>
        <v>Jul</v>
      </c>
      <c r="B115" s="384" t="n">
        <f aca="false">B114+1</f>
        <v>44405</v>
      </c>
      <c r="C115" s="385" t="n">
        <v>17</v>
      </c>
      <c r="D115" s="385" t="n">
        <v>4</v>
      </c>
      <c r="E115" s="387"/>
      <c r="F115" s="388" t="n">
        <v>4</v>
      </c>
      <c r="G115" s="390"/>
      <c r="H115" s="390"/>
      <c r="I115" s="390"/>
      <c r="J115" s="390"/>
      <c r="K115" s="390"/>
      <c r="L115" s="390"/>
      <c r="M115" s="390"/>
      <c r="N115" s="390"/>
      <c r="O115" s="390"/>
      <c r="P115" s="390"/>
      <c r="Q115" s="390"/>
      <c r="R115" s="390"/>
      <c r="S115" s="390"/>
    </row>
    <row r="116" customFormat="false" ht="11.45" hidden="false" customHeight="false" outlineLevel="0" collapsed="false">
      <c r="A116" s="383" t="str">
        <f aca="false">TEXT(DATE(YEAR(B$2),MONTH(B$2)+(D116-1),1),"Mmm")</f>
        <v>Jul</v>
      </c>
      <c r="B116" s="384" t="n">
        <f aca="false">B115+1</f>
        <v>44406</v>
      </c>
      <c r="C116" s="385" t="n">
        <v>17</v>
      </c>
      <c r="D116" s="385" t="n">
        <v>4</v>
      </c>
      <c r="E116" s="387"/>
      <c r="F116" s="388" t="n">
        <v>4</v>
      </c>
      <c r="G116" s="390"/>
      <c r="H116" s="390"/>
      <c r="I116" s="390"/>
      <c r="J116" s="390"/>
      <c r="K116" s="390"/>
      <c r="L116" s="390"/>
      <c r="M116" s="390"/>
      <c r="N116" s="390"/>
      <c r="O116" s="390"/>
      <c r="P116" s="390"/>
      <c r="Q116" s="390"/>
      <c r="R116" s="390"/>
      <c r="S116" s="390"/>
    </row>
    <row r="117" customFormat="false" ht="11.45" hidden="false" customHeight="false" outlineLevel="0" collapsed="false">
      <c r="A117" s="383" t="str">
        <f aca="false">TEXT(DATE(YEAR(B$2),MONTH(B$2)+(D117-1),1),"Mmm")</f>
        <v>Jul</v>
      </c>
      <c r="B117" s="384" t="n">
        <f aca="false">B116+1</f>
        <v>44407</v>
      </c>
      <c r="C117" s="385" t="n">
        <v>17</v>
      </c>
      <c r="D117" s="385" t="n">
        <v>4</v>
      </c>
      <c r="E117" s="387"/>
      <c r="F117" s="388" t="n">
        <v>4</v>
      </c>
      <c r="G117" s="390"/>
      <c r="H117" s="390"/>
      <c r="I117" s="390"/>
      <c r="J117" s="390"/>
      <c r="K117" s="390"/>
      <c r="L117" s="390"/>
      <c r="M117" s="390"/>
      <c r="N117" s="390"/>
      <c r="O117" s="390"/>
      <c r="P117" s="390"/>
      <c r="Q117" s="390"/>
      <c r="R117" s="390"/>
      <c r="S117" s="390"/>
    </row>
    <row r="118" customFormat="false" ht="11.45" hidden="false" customHeight="false" outlineLevel="0" collapsed="false">
      <c r="A118" s="383" t="str">
        <f aca="false">TEXT(DATE(YEAR(B$2),MONTH(B$2)+(D118-1),1),"Mmm")</f>
        <v>Jul</v>
      </c>
      <c r="B118" s="384" t="n">
        <f aca="false">B117+1</f>
        <v>44408</v>
      </c>
      <c r="C118" s="385" t="n">
        <v>17</v>
      </c>
      <c r="D118" s="385" t="n">
        <v>4</v>
      </c>
      <c r="E118" s="387"/>
      <c r="F118" s="388" t="n">
        <v>4</v>
      </c>
      <c r="G118" s="390"/>
      <c r="H118" s="390"/>
      <c r="I118" s="390"/>
      <c r="J118" s="390"/>
      <c r="K118" s="390"/>
      <c r="L118" s="390"/>
      <c r="M118" s="390"/>
      <c r="N118" s="390"/>
      <c r="O118" s="390"/>
      <c r="P118" s="390"/>
      <c r="Q118" s="390"/>
      <c r="R118" s="390"/>
      <c r="S118" s="390"/>
    </row>
    <row r="119" customFormat="false" ht="11.45" hidden="false" customHeight="false" outlineLevel="0" collapsed="false">
      <c r="A119" s="383" t="str">
        <f aca="false">TEXT(DATE(YEAR(B$2),MONTH(B$2)+(D119-1),1),"Mmm")</f>
        <v>Aug</v>
      </c>
      <c r="B119" s="384" t="n">
        <f aca="false">B118+1</f>
        <v>44409</v>
      </c>
      <c r="C119" s="385" t="n">
        <v>18</v>
      </c>
      <c r="D119" s="385" t="n">
        <v>5</v>
      </c>
      <c r="E119" s="387"/>
      <c r="F119" s="388" t="n">
        <v>1</v>
      </c>
      <c r="G119" s="390"/>
      <c r="H119" s="390"/>
      <c r="I119" s="390"/>
      <c r="J119" s="390"/>
      <c r="K119" s="390"/>
      <c r="L119" s="390"/>
      <c r="M119" s="390"/>
      <c r="N119" s="390"/>
      <c r="O119" s="390"/>
      <c r="P119" s="390"/>
      <c r="Q119" s="390"/>
      <c r="R119" s="390"/>
      <c r="S119" s="390"/>
    </row>
    <row r="120" customFormat="false" ht="11.45" hidden="false" customHeight="false" outlineLevel="0" collapsed="false">
      <c r="A120" s="383" t="str">
        <f aca="false">TEXT(DATE(YEAR(B$2),MONTH(B$2)+(D120-1),1),"Mmm")</f>
        <v>Aug</v>
      </c>
      <c r="B120" s="384" t="n">
        <f aca="false">B119+1</f>
        <v>44410</v>
      </c>
      <c r="C120" s="385" t="n">
        <v>18</v>
      </c>
      <c r="D120" s="385" t="n">
        <v>5</v>
      </c>
      <c r="E120" s="387"/>
      <c r="F120" s="388" t="n">
        <v>1</v>
      </c>
      <c r="G120" s="390"/>
      <c r="H120" s="390"/>
      <c r="I120" s="390"/>
      <c r="J120" s="390"/>
      <c r="K120" s="390"/>
      <c r="L120" s="390"/>
      <c r="M120" s="390"/>
      <c r="N120" s="390"/>
      <c r="O120" s="390"/>
      <c r="P120" s="390"/>
      <c r="Q120" s="390"/>
      <c r="R120" s="390"/>
      <c r="S120" s="390"/>
    </row>
    <row r="121" customFormat="false" ht="10.5" hidden="false" customHeight="false" outlineLevel="0" collapsed="false">
      <c r="A121" s="383" t="str">
        <f aca="false">TEXT(DATE(YEAR(B$2),MONTH(B$2)+(D121-1),1),"Mmm")</f>
        <v>Aug</v>
      </c>
      <c r="B121" s="384" t="n">
        <f aca="false">B120+1</f>
        <v>44411</v>
      </c>
      <c r="C121" s="385" t="n">
        <v>18</v>
      </c>
      <c r="D121" s="385" t="n">
        <v>5</v>
      </c>
      <c r="E121" s="387"/>
      <c r="F121" s="385" t="n">
        <v>1</v>
      </c>
      <c r="G121" s="390"/>
      <c r="H121" s="390"/>
      <c r="I121" s="390"/>
      <c r="J121" s="390"/>
      <c r="K121" s="390"/>
      <c r="L121" s="390"/>
      <c r="M121" s="390"/>
      <c r="N121" s="390"/>
      <c r="O121" s="390"/>
      <c r="P121" s="390"/>
      <c r="Q121" s="390"/>
      <c r="R121" s="390"/>
      <c r="S121" s="390"/>
    </row>
    <row r="122" customFormat="false" ht="11.45" hidden="false" customHeight="false" outlineLevel="0" collapsed="false">
      <c r="A122" s="383" t="str">
        <f aca="false">TEXT(DATE(YEAR(B$2),MONTH(B$2)+(D122-1),1),"Mmm")</f>
        <v>Aug</v>
      </c>
      <c r="B122" s="384" t="n">
        <f aca="false">B121+1</f>
        <v>44412</v>
      </c>
      <c r="C122" s="385" t="n">
        <v>18</v>
      </c>
      <c r="D122" s="385" t="n">
        <v>5</v>
      </c>
      <c r="E122" s="387"/>
      <c r="F122" s="388" t="n">
        <v>1</v>
      </c>
      <c r="G122" s="390"/>
      <c r="H122" s="390"/>
      <c r="I122" s="390"/>
      <c r="J122" s="390"/>
      <c r="K122" s="390"/>
      <c r="L122" s="390"/>
      <c r="M122" s="390"/>
      <c r="N122" s="390"/>
      <c r="O122" s="390"/>
      <c r="P122" s="390"/>
      <c r="Q122" s="390"/>
      <c r="R122" s="390"/>
      <c r="S122" s="390"/>
    </row>
    <row r="123" customFormat="false" ht="11.45" hidden="false" customHeight="false" outlineLevel="0" collapsed="false">
      <c r="A123" s="383" t="str">
        <f aca="false">TEXT(DATE(YEAR(B$2),MONTH(B$2)+(D123-1),1),"Mmm")</f>
        <v>Aug</v>
      </c>
      <c r="B123" s="384" t="n">
        <f aca="false">B122+1</f>
        <v>44413</v>
      </c>
      <c r="C123" s="385" t="n">
        <v>18</v>
      </c>
      <c r="D123" s="385" t="n">
        <v>5</v>
      </c>
      <c r="E123" s="387"/>
      <c r="F123" s="388" t="n">
        <v>1</v>
      </c>
      <c r="G123" s="390"/>
      <c r="H123" s="390"/>
      <c r="I123" s="390"/>
      <c r="J123" s="390"/>
      <c r="K123" s="390"/>
      <c r="L123" s="390"/>
      <c r="M123" s="390"/>
      <c r="N123" s="390"/>
      <c r="O123" s="390"/>
      <c r="P123" s="390"/>
      <c r="Q123" s="390"/>
      <c r="R123" s="390"/>
      <c r="S123" s="390"/>
    </row>
    <row r="124" customFormat="false" ht="11.45" hidden="false" customHeight="false" outlineLevel="0" collapsed="false">
      <c r="A124" s="383" t="str">
        <f aca="false">TEXT(DATE(YEAR(B$2),MONTH(B$2)+(D124-1),1),"Mmm")</f>
        <v>Aug</v>
      </c>
      <c r="B124" s="384" t="n">
        <f aca="false">B123+1</f>
        <v>44414</v>
      </c>
      <c r="C124" s="385" t="n">
        <v>18</v>
      </c>
      <c r="D124" s="385" t="n">
        <v>5</v>
      </c>
      <c r="E124" s="391"/>
      <c r="F124" s="388" t="n">
        <v>1</v>
      </c>
      <c r="G124" s="390"/>
      <c r="H124" s="390"/>
      <c r="I124" s="390"/>
      <c r="J124" s="390"/>
      <c r="K124" s="390"/>
      <c r="L124" s="390"/>
      <c r="M124" s="390"/>
      <c r="N124" s="390"/>
      <c r="O124" s="390"/>
      <c r="P124" s="390"/>
      <c r="Q124" s="390"/>
      <c r="R124" s="390"/>
      <c r="S124" s="390"/>
    </row>
    <row r="125" customFormat="false" ht="11.45" hidden="false" customHeight="false" outlineLevel="0" collapsed="false">
      <c r="A125" s="383" t="str">
        <f aca="false">TEXT(DATE(YEAR(B$2),MONTH(B$2)+(D125-1),1),"Mmm")</f>
        <v>Aug</v>
      </c>
      <c r="B125" s="384" t="n">
        <f aca="false">B124+1</f>
        <v>44415</v>
      </c>
      <c r="C125" s="385" t="n">
        <v>18</v>
      </c>
      <c r="D125" s="385" t="n">
        <v>5</v>
      </c>
      <c r="E125" s="387"/>
      <c r="F125" s="388" t="n">
        <v>1</v>
      </c>
      <c r="G125" s="390"/>
      <c r="H125" s="390"/>
      <c r="I125" s="390"/>
      <c r="J125" s="390"/>
      <c r="K125" s="390"/>
      <c r="L125" s="390"/>
      <c r="M125" s="390"/>
      <c r="N125" s="390"/>
      <c r="O125" s="390"/>
      <c r="P125" s="390"/>
      <c r="Q125" s="390"/>
      <c r="R125" s="390"/>
      <c r="S125" s="390"/>
    </row>
    <row r="126" customFormat="false" ht="11.45" hidden="false" customHeight="false" outlineLevel="0" collapsed="false">
      <c r="A126" s="383" t="str">
        <f aca="false">TEXT(DATE(YEAR(B$2),MONTH(B$2)+(D126-1),1),"Mmm")</f>
        <v>Aug</v>
      </c>
      <c r="B126" s="384" t="n">
        <f aca="false">B125+1</f>
        <v>44416</v>
      </c>
      <c r="C126" s="385" t="n">
        <v>19</v>
      </c>
      <c r="D126" s="385" t="n">
        <v>5</v>
      </c>
      <c r="E126" s="387"/>
      <c r="F126" s="388" t="n">
        <v>2</v>
      </c>
      <c r="G126" s="390"/>
      <c r="H126" s="390"/>
      <c r="I126" s="390"/>
      <c r="J126" s="390"/>
      <c r="K126" s="390"/>
      <c r="L126" s="390"/>
      <c r="M126" s="390"/>
      <c r="N126" s="390"/>
      <c r="O126" s="390"/>
      <c r="P126" s="390"/>
      <c r="Q126" s="390"/>
      <c r="R126" s="390"/>
      <c r="S126" s="390"/>
    </row>
    <row r="127" customFormat="false" ht="11.45" hidden="false" customHeight="false" outlineLevel="0" collapsed="false">
      <c r="A127" s="383" t="str">
        <f aca="false">TEXT(DATE(YEAR(B$2),MONTH(B$2)+(D127-1),1),"Mmm")</f>
        <v>Aug</v>
      </c>
      <c r="B127" s="384" t="n">
        <f aca="false">B126+1</f>
        <v>44417</v>
      </c>
      <c r="C127" s="385" t="n">
        <v>19</v>
      </c>
      <c r="D127" s="385" t="n">
        <v>5</v>
      </c>
      <c r="E127" s="387"/>
      <c r="F127" s="388" t="n">
        <v>2</v>
      </c>
      <c r="G127" s="390"/>
      <c r="H127" s="390"/>
      <c r="I127" s="390"/>
      <c r="J127" s="390"/>
      <c r="K127" s="390"/>
      <c r="L127" s="390"/>
      <c r="M127" s="390"/>
      <c r="N127" s="390"/>
      <c r="O127" s="390"/>
      <c r="P127" s="390"/>
      <c r="Q127" s="390"/>
      <c r="R127" s="390"/>
      <c r="S127" s="390"/>
    </row>
    <row r="128" customFormat="false" ht="11.45" hidden="false" customHeight="false" outlineLevel="0" collapsed="false">
      <c r="A128" s="383" t="str">
        <f aca="false">TEXT(DATE(YEAR(B$2),MONTH(B$2)+(D128-1),1),"Mmm")</f>
        <v>Aug</v>
      </c>
      <c r="B128" s="384" t="n">
        <f aca="false">B127+1</f>
        <v>44418</v>
      </c>
      <c r="C128" s="385" t="n">
        <v>19</v>
      </c>
      <c r="D128" s="385" t="n">
        <v>5</v>
      </c>
      <c r="E128" s="387"/>
      <c r="F128" s="388" t="n">
        <v>2</v>
      </c>
      <c r="G128" s="390"/>
      <c r="H128" s="390"/>
      <c r="I128" s="390"/>
      <c r="J128" s="390"/>
      <c r="K128" s="390"/>
      <c r="L128" s="390"/>
      <c r="M128" s="390"/>
      <c r="N128" s="390"/>
      <c r="O128" s="390"/>
      <c r="P128" s="390"/>
      <c r="Q128" s="390"/>
      <c r="R128" s="390"/>
      <c r="S128" s="390"/>
    </row>
    <row r="129" customFormat="false" ht="11.45" hidden="false" customHeight="false" outlineLevel="0" collapsed="false">
      <c r="A129" s="383" t="str">
        <f aca="false">TEXT(DATE(YEAR(B$2),MONTH(B$2)+(D129-1),1),"Mmm")</f>
        <v>Aug</v>
      </c>
      <c r="B129" s="384" t="n">
        <f aca="false">B128+1</f>
        <v>44419</v>
      </c>
      <c r="C129" s="385" t="n">
        <v>19</v>
      </c>
      <c r="D129" s="385" t="n">
        <v>5</v>
      </c>
      <c r="E129" s="387"/>
      <c r="F129" s="388" t="n">
        <v>2</v>
      </c>
      <c r="G129" s="390"/>
      <c r="H129" s="390"/>
      <c r="I129" s="390"/>
      <c r="J129" s="390"/>
      <c r="K129" s="390"/>
      <c r="L129" s="390"/>
      <c r="M129" s="390"/>
      <c r="N129" s="390"/>
      <c r="O129" s="390"/>
      <c r="P129" s="390"/>
      <c r="Q129" s="390"/>
      <c r="R129" s="390"/>
      <c r="S129" s="390"/>
    </row>
    <row r="130" customFormat="false" ht="11.45" hidden="false" customHeight="false" outlineLevel="0" collapsed="false">
      <c r="A130" s="383" t="str">
        <f aca="false">TEXT(DATE(YEAR(B$2),MONTH(B$2)+(D130-1),1),"Mmm")</f>
        <v>Aug</v>
      </c>
      <c r="B130" s="384" t="n">
        <f aca="false">B129+1</f>
        <v>44420</v>
      </c>
      <c r="C130" s="385" t="n">
        <v>19</v>
      </c>
      <c r="D130" s="385" t="n">
        <v>5</v>
      </c>
      <c r="E130" s="387"/>
      <c r="F130" s="388" t="n">
        <v>2</v>
      </c>
      <c r="G130" s="390"/>
      <c r="H130" s="390"/>
      <c r="I130" s="390"/>
      <c r="J130" s="390"/>
      <c r="K130" s="390"/>
      <c r="L130" s="390"/>
      <c r="M130" s="390"/>
      <c r="N130" s="390"/>
      <c r="O130" s="390"/>
      <c r="P130" s="390"/>
      <c r="Q130" s="390"/>
      <c r="R130" s="390"/>
      <c r="S130" s="390"/>
    </row>
    <row r="131" customFormat="false" ht="11.45" hidden="false" customHeight="false" outlineLevel="0" collapsed="false">
      <c r="A131" s="383" t="str">
        <f aca="false">TEXT(DATE(YEAR(B$2),MONTH(B$2)+(D131-1),1),"Mmm")</f>
        <v>Aug</v>
      </c>
      <c r="B131" s="384" t="n">
        <f aca="false">B130+1</f>
        <v>44421</v>
      </c>
      <c r="C131" s="385" t="n">
        <v>19</v>
      </c>
      <c r="D131" s="385" t="n">
        <v>5</v>
      </c>
      <c r="E131" s="387"/>
      <c r="F131" s="388" t="n">
        <v>2</v>
      </c>
      <c r="G131" s="390"/>
      <c r="H131" s="390"/>
      <c r="I131" s="390"/>
      <c r="J131" s="390"/>
      <c r="K131" s="390"/>
      <c r="L131" s="390"/>
      <c r="M131" s="390"/>
      <c r="N131" s="390"/>
      <c r="O131" s="390"/>
      <c r="P131" s="390"/>
      <c r="Q131" s="390"/>
      <c r="R131" s="390"/>
      <c r="S131" s="390"/>
    </row>
    <row r="132" customFormat="false" ht="11.45" hidden="false" customHeight="false" outlineLevel="0" collapsed="false">
      <c r="A132" s="383" t="str">
        <f aca="false">TEXT(DATE(YEAR(B$2),MONTH(B$2)+(D132-1),1),"Mmm")</f>
        <v>Aug</v>
      </c>
      <c r="B132" s="384" t="n">
        <f aca="false">B131+1</f>
        <v>44422</v>
      </c>
      <c r="C132" s="385" t="n">
        <v>19</v>
      </c>
      <c r="D132" s="385" t="n">
        <v>5</v>
      </c>
      <c r="E132" s="387"/>
      <c r="F132" s="388" t="n">
        <v>2</v>
      </c>
      <c r="G132" s="390"/>
      <c r="H132" s="390"/>
      <c r="I132" s="390"/>
      <c r="J132" s="390"/>
      <c r="K132" s="390"/>
      <c r="L132" s="390"/>
      <c r="M132" s="390"/>
      <c r="N132" s="390"/>
      <c r="O132" s="390"/>
      <c r="P132" s="390"/>
      <c r="Q132" s="390"/>
      <c r="R132" s="390"/>
      <c r="S132" s="390"/>
    </row>
    <row r="133" customFormat="false" ht="11.45" hidden="false" customHeight="false" outlineLevel="0" collapsed="false">
      <c r="A133" s="383" t="str">
        <f aca="false">TEXT(DATE(YEAR(B$2),MONTH(B$2)+(D133-1),1),"Mmm")</f>
        <v>Aug</v>
      </c>
      <c r="B133" s="384" t="n">
        <f aca="false">B132+1</f>
        <v>44423</v>
      </c>
      <c r="C133" s="385" t="n">
        <v>20</v>
      </c>
      <c r="D133" s="385" t="n">
        <v>5</v>
      </c>
      <c r="E133" s="387"/>
      <c r="F133" s="388" t="n">
        <v>3</v>
      </c>
      <c r="G133" s="390"/>
      <c r="H133" s="390"/>
      <c r="I133" s="390"/>
      <c r="J133" s="390"/>
      <c r="K133" s="390"/>
      <c r="L133" s="390"/>
      <c r="M133" s="390"/>
      <c r="N133" s="390"/>
      <c r="O133" s="390"/>
      <c r="P133" s="390"/>
      <c r="Q133" s="390"/>
      <c r="R133" s="390"/>
      <c r="S133" s="390"/>
    </row>
    <row r="134" customFormat="false" ht="11.45" hidden="false" customHeight="false" outlineLevel="0" collapsed="false">
      <c r="A134" s="383" t="str">
        <f aca="false">TEXT(DATE(YEAR(B$2),MONTH(B$2)+(D134-1),1),"Mmm")</f>
        <v>Aug</v>
      </c>
      <c r="B134" s="384" t="n">
        <f aca="false">B133+1</f>
        <v>44424</v>
      </c>
      <c r="C134" s="385" t="n">
        <v>20</v>
      </c>
      <c r="D134" s="385" t="n">
        <v>5</v>
      </c>
      <c r="E134" s="387"/>
      <c r="F134" s="388" t="n">
        <v>3</v>
      </c>
      <c r="G134" s="390"/>
      <c r="H134" s="390"/>
      <c r="I134" s="390"/>
      <c r="J134" s="390"/>
      <c r="K134" s="390"/>
      <c r="L134" s="390"/>
      <c r="M134" s="390"/>
      <c r="N134" s="390"/>
      <c r="O134" s="390"/>
      <c r="P134" s="390"/>
      <c r="Q134" s="390"/>
      <c r="R134" s="390"/>
      <c r="S134" s="390"/>
    </row>
    <row r="135" customFormat="false" ht="11.45" hidden="false" customHeight="false" outlineLevel="0" collapsed="false">
      <c r="A135" s="383" t="str">
        <f aca="false">TEXT(DATE(YEAR(B$2),MONTH(B$2)+(D135-1),1),"Mmm")</f>
        <v>Aug</v>
      </c>
      <c r="B135" s="384" t="n">
        <f aca="false">B134+1</f>
        <v>44425</v>
      </c>
      <c r="C135" s="385" t="n">
        <v>20</v>
      </c>
      <c r="D135" s="385" t="n">
        <v>5</v>
      </c>
      <c r="E135" s="387"/>
      <c r="F135" s="388" t="n">
        <v>3</v>
      </c>
      <c r="G135" s="390"/>
      <c r="H135" s="390"/>
      <c r="I135" s="390"/>
      <c r="J135" s="390"/>
      <c r="K135" s="390"/>
      <c r="L135" s="390"/>
      <c r="M135" s="390"/>
      <c r="N135" s="390"/>
      <c r="O135" s="390"/>
      <c r="P135" s="390"/>
      <c r="Q135" s="390"/>
      <c r="R135" s="390"/>
      <c r="S135" s="390"/>
    </row>
    <row r="136" customFormat="false" ht="11.45" hidden="false" customHeight="false" outlineLevel="0" collapsed="false">
      <c r="A136" s="383" t="str">
        <f aca="false">TEXT(DATE(YEAR(B$2),MONTH(B$2)+(D136-1),1),"Mmm")</f>
        <v>Aug</v>
      </c>
      <c r="B136" s="384" t="n">
        <f aca="false">B135+1</f>
        <v>44426</v>
      </c>
      <c r="C136" s="385" t="n">
        <v>20</v>
      </c>
      <c r="D136" s="385" t="n">
        <v>5</v>
      </c>
      <c r="E136" s="387"/>
      <c r="F136" s="388" t="n">
        <v>3</v>
      </c>
      <c r="G136" s="390"/>
      <c r="H136" s="390"/>
      <c r="I136" s="390"/>
      <c r="J136" s="390"/>
      <c r="K136" s="390"/>
      <c r="L136" s="390"/>
      <c r="M136" s="390"/>
      <c r="N136" s="390"/>
      <c r="O136" s="390"/>
      <c r="P136" s="390"/>
      <c r="Q136" s="390"/>
      <c r="R136" s="390"/>
      <c r="S136" s="390"/>
    </row>
    <row r="137" customFormat="false" ht="11.45" hidden="false" customHeight="false" outlineLevel="0" collapsed="false">
      <c r="A137" s="383" t="str">
        <f aca="false">TEXT(DATE(YEAR(B$2),MONTH(B$2)+(D137-1),1),"Mmm")</f>
        <v>Aug</v>
      </c>
      <c r="B137" s="384" t="n">
        <f aca="false">B136+1</f>
        <v>44427</v>
      </c>
      <c r="C137" s="385" t="n">
        <v>20</v>
      </c>
      <c r="D137" s="385" t="n">
        <v>5</v>
      </c>
      <c r="E137" s="387"/>
      <c r="F137" s="388" t="n">
        <v>3</v>
      </c>
      <c r="G137" s="390"/>
      <c r="H137" s="390"/>
      <c r="I137" s="390"/>
      <c r="J137" s="390"/>
      <c r="K137" s="390"/>
      <c r="L137" s="390"/>
      <c r="M137" s="390"/>
      <c r="N137" s="390"/>
      <c r="O137" s="390"/>
      <c r="P137" s="390"/>
      <c r="Q137" s="390"/>
      <c r="R137" s="390"/>
      <c r="S137" s="390"/>
    </row>
    <row r="138" customFormat="false" ht="11.45" hidden="false" customHeight="false" outlineLevel="0" collapsed="false">
      <c r="A138" s="383" t="str">
        <f aca="false">TEXT(DATE(YEAR(B$2),MONTH(B$2)+(D138-1),1),"Mmm")</f>
        <v>Aug</v>
      </c>
      <c r="B138" s="384" t="n">
        <f aca="false">B137+1</f>
        <v>44428</v>
      </c>
      <c r="C138" s="385" t="n">
        <v>20</v>
      </c>
      <c r="D138" s="385" t="n">
        <v>5</v>
      </c>
      <c r="E138" s="387"/>
      <c r="F138" s="388" t="n">
        <v>3</v>
      </c>
      <c r="G138" s="390"/>
      <c r="H138" s="390"/>
      <c r="I138" s="390"/>
      <c r="J138" s="390"/>
      <c r="K138" s="390"/>
      <c r="L138" s="390"/>
      <c r="M138" s="390"/>
      <c r="N138" s="390"/>
      <c r="O138" s="390"/>
      <c r="P138" s="390"/>
      <c r="Q138" s="390"/>
      <c r="R138" s="390"/>
      <c r="S138" s="390"/>
    </row>
    <row r="139" customFormat="false" ht="11.45" hidden="false" customHeight="false" outlineLevel="0" collapsed="false">
      <c r="A139" s="383" t="str">
        <f aca="false">TEXT(DATE(YEAR(B$2),MONTH(B$2)+(D139-1),1),"Mmm")</f>
        <v>Aug</v>
      </c>
      <c r="B139" s="384" t="n">
        <f aca="false">B138+1</f>
        <v>44429</v>
      </c>
      <c r="C139" s="385" t="n">
        <v>20</v>
      </c>
      <c r="D139" s="385" t="n">
        <v>5</v>
      </c>
      <c r="E139" s="387"/>
      <c r="F139" s="388" t="n">
        <v>3</v>
      </c>
      <c r="G139" s="390"/>
      <c r="H139" s="390"/>
      <c r="I139" s="390"/>
      <c r="J139" s="390"/>
      <c r="K139" s="390"/>
      <c r="L139" s="390"/>
      <c r="M139" s="390"/>
      <c r="N139" s="390"/>
      <c r="O139" s="390"/>
      <c r="P139" s="390"/>
      <c r="Q139" s="390"/>
      <c r="R139" s="390"/>
      <c r="S139" s="390"/>
    </row>
    <row r="140" customFormat="false" ht="11.45" hidden="false" customHeight="false" outlineLevel="0" collapsed="false">
      <c r="A140" s="383" t="str">
        <f aca="false">TEXT(DATE(YEAR(B$2),MONTH(B$2)+(D140-1),1),"Mmm")</f>
        <v>Aug</v>
      </c>
      <c r="B140" s="384" t="n">
        <f aca="false">B139+1</f>
        <v>44430</v>
      </c>
      <c r="C140" s="385" t="n">
        <v>21</v>
      </c>
      <c r="D140" s="385" t="n">
        <v>5</v>
      </c>
      <c r="E140" s="387"/>
      <c r="F140" s="388" t="n">
        <v>4</v>
      </c>
      <c r="G140" s="390"/>
      <c r="H140" s="390"/>
      <c r="I140" s="390"/>
      <c r="J140" s="390"/>
      <c r="K140" s="390"/>
      <c r="L140" s="390"/>
      <c r="M140" s="390"/>
      <c r="N140" s="390"/>
      <c r="O140" s="390"/>
      <c r="P140" s="390"/>
      <c r="Q140" s="390"/>
      <c r="R140" s="390"/>
      <c r="S140" s="390"/>
    </row>
    <row r="141" customFormat="false" ht="11.45" hidden="false" customHeight="false" outlineLevel="0" collapsed="false">
      <c r="A141" s="383" t="str">
        <f aca="false">TEXT(DATE(YEAR(B$2),MONTH(B$2)+(D141-1),1),"Mmm")</f>
        <v>Aug</v>
      </c>
      <c r="B141" s="384" t="n">
        <f aca="false">B140+1</f>
        <v>44431</v>
      </c>
      <c r="C141" s="385" t="n">
        <v>21</v>
      </c>
      <c r="D141" s="385" t="n">
        <v>5</v>
      </c>
      <c r="E141" s="387"/>
      <c r="F141" s="388" t="n">
        <v>4</v>
      </c>
      <c r="G141" s="390"/>
      <c r="H141" s="390"/>
      <c r="I141" s="390"/>
      <c r="J141" s="390"/>
      <c r="K141" s="390"/>
      <c r="L141" s="390"/>
      <c r="M141" s="390"/>
      <c r="N141" s="390"/>
      <c r="O141" s="390"/>
      <c r="P141" s="390"/>
      <c r="Q141" s="390"/>
      <c r="R141" s="390"/>
      <c r="S141" s="390"/>
    </row>
    <row r="142" customFormat="false" ht="11.45" hidden="false" customHeight="false" outlineLevel="0" collapsed="false">
      <c r="A142" s="383" t="str">
        <f aca="false">TEXT(DATE(YEAR(B$2),MONTH(B$2)+(D142-1),1),"Mmm")</f>
        <v>Aug</v>
      </c>
      <c r="B142" s="384" t="n">
        <f aca="false">B141+1</f>
        <v>44432</v>
      </c>
      <c r="C142" s="385" t="n">
        <v>21</v>
      </c>
      <c r="D142" s="385" t="n">
        <v>5</v>
      </c>
      <c r="E142" s="387"/>
      <c r="F142" s="388" t="n">
        <v>4</v>
      </c>
      <c r="G142" s="390"/>
      <c r="H142" s="390"/>
      <c r="I142" s="390"/>
      <c r="J142" s="390"/>
      <c r="K142" s="390"/>
      <c r="L142" s="390"/>
      <c r="M142" s="390"/>
      <c r="N142" s="390"/>
      <c r="O142" s="390"/>
      <c r="P142" s="390"/>
      <c r="Q142" s="390"/>
      <c r="R142" s="390"/>
      <c r="S142" s="390"/>
    </row>
    <row r="143" customFormat="false" ht="11.45" hidden="false" customHeight="false" outlineLevel="0" collapsed="false">
      <c r="A143" s="383" t="str">
        <f aca="false">TEXT(DATE(YEAR(B$2),MONTH(B$2)+(D143-1),1),"Mmm")</f>
        <v>Aug</v>
      </c>
      <c r="B143" s="384" t="n">
        <f aca="false">B142+1</f>
        <v>44433</v>
      </c>
      <c r="C143" s="385" t="n">
        <v>21</v>
      </c>
      <c r="D143" s="385" t="n">
        <v>5</v>
      </c>
      <c r="E143" s="387"/>
      <c r="F143" s="388" t="n">
        <v>4</v>
      </c>
      <c r="G143" s="390"/>
      <c r="H143" s="390"/>
      <c r="I143" s="390"/>
      <c r="J143" s="390"/>
      <c r="K143" s="390"/>
      <c r="L143" s="390"/>
      <c r="M143" s="390"/>
      <c r="N143" s="390"/>
      <c r="O143" s="390"/>
      <c r="P143" s="390"/>
      <c r="Q143" s="390"/>
      <c r="R143" s="390"/>
      <c r="S143" s="390"/>
    </row>
    <row r="144" customFormat="false" ht="11.45" hidden="false" customHeight="false" outlineLevel="0" collapsed="false">
      <c r="A144" s="383" t="str">
        <f aca="false">TEXT(DATE(YEAR(B$2),MONTH(B$2)+(D144-1),1),"Mmm")</f>
        <v>Aug</v>
      </c>
      <c r="B144" s="384" t="n">
        <f aca="false">B143+1</f>
        <v>44434</v>
      </c>
      <c r="C144" s="385" t="n">
        <v>21</v>
      </c>
      <c r="D144" s="385" t="n">
        <v>5</v>
      </c>
      <c r="E144" s="387"/>
      <c r="F144" s="388" t="n">
        <v>4</v>
      </c>
      <c r="G144" s="390"/>
      <c r="H144" s="390"/>
      <c r="I144" s="390"/>
      <c r="J144" s="390"/>
      <c r="K144" s="390"/>
      <c r="L144" s="390"/>
      <c r="M144" s="390"/>
      <c r="N144" s="390"/>
      <c r="O144" s="390"/>
      <c r="P144" s="390"/>
      <c r="Q144" s="390"/>
      <c r="R144" s="390"/>
      <c r="S144" s="390"/>
    </row>
    <row r="145" customFormat="false" ht="11.45" hidden="false" customHeight="false" outlineLevel="0" collapsed="false">
      <c r="A145" s="383" t="str">
        <f aca="false">TEXT(DATE(YEAR(B$2),MONTH(B$2)+(D145-1),1),"Mmm")</f>
        <v>Aug</v>
      </c>
      <c r="B145" s="384" t="n">
        <f aca="false">B144+1</f>
        <v>44435</v>
      </c>
      <c r="C145" s="385" t="n">
        <v>21</v>
      </c>
      <c r="D145" s="385" t="n">
        <v>5</v>
      </c>
      <c r="E145" s="387"/>
      <c r="F145" s="388" t="n">
        <v>4</v>
      </c>
      <c r="G145" s="390"/>
      <c r="H145" s="390"/>
      <c r="I145" s="390"/>
      <c r="J145" s="390"/>
      <c r="K145" s="390"/>
      <c r="L145" s="390"/>
      <c r="M145" s="390"/>
      <c r="N145" s="390"/>
      <c r="O145" s="390"/>
      <c r="P145" s="390"/>
      <c r="Q145" s="390"/>
      <c r="R145" s="390"/>
      <c r="S145" s="390"/>
    </row>
    <row r="146" customFormat="false" ht="11.45" hidden="false" customHeight="false" outlineLevel="0" collapsed="false">
      <c r="A146" s="383" t="str">
        <f aca="false">TEXT(DATE(YEAR(B$2),MONTH(B$2)+(D146-1),1),"Mmm")</f>
        <v>Aug</v>
      </c>
      <c r="B146" s="384" t="n">
        <f aca="false">B145+1</f>
        <v>44436</v>
      </c>
      <c r="C146" s="385" t="n">
        <v>21</v>
      </c>
      <c r="D146" s="385" t="n">
        <v>5</v>
      </c>
      <c r="E146" s="387"/>
      <c r="F146" s="388" t="n">
        <v>4</v>
      </c>
      <c r="G146" s="390"/>
      <c r="H146" s="390"/>
      <c r="I146" s="390"/>
      <c r="J146" s="390"/>
      <c r="K146" s="390"/>
      <c r="L146" s="390"/>
      <c r="M146" s="390"/>
      <c r="N146" s="390"/>
      <c r="O146" s="390"/>
      <c r="P146" s="390"/>
      <c r="Q146" s="390"/>
      <c r="R146" s="390"/>
      <c r="S146" s="390"/>
    </row>
    <row r="147" customFormat="false" ht="11.45" hidden="false" customHeight="false" outlineLevel="0" collapsed="false">
      <c r="A147" s="383" t="str">
        <f aca="false">TEXT(DATE(YEAR(B$2),MONTH(B$2)+(D147-1),1),"Mmm")</f>
        <v>Sep</v>
      </c>
      <c r="B147" s="384" t="n">
        <f aca="false">B146+1</f>
        <v>44437</v>
      </c>
      <c r="C147" s="385" t="n">
        <v>22</v>
      </c>
      <c r="D147" s="385" t="n">
        <v>6</v>
      </c>
      <c r="E147" s="387"/>
      <c r="F147" s="388" t="n">
        <v>1</v>
      </c>
      <c r="G147" s="390"/>
      <c r="H147" s="390"/>
      <c r="I147" s="390"/>
      <c r="J147" s="390"/>
      <c r="K147" s="390"/>
      <c r="L147" s="390"/>
      <c r="M147" s="390"/>
      <c r="N147" s="390"/>
      <c r="O147" s="390"/>
      <c r="P147" s="390"/>
      <c r="Q147" s="390"/>
      <c r="R147" s="390"/>
      <c r="S147" s="390"/>
    </row>
    <row r="148" customFormat="false" ht="11.45" hidden="false" customHeight="false" outlineLevel="0" collapsed="false">
      <c r="A148" s="383" t="str">
        <f aca="false">TEXT(DATE(YEAR(B$2),MONTH(B$2)+(D148-1),1),"Mmm")</f>
        <v>Sep</v>
      </c>
      <c r="B148" s="384" t="n">
        <f aca="false">B147+1</f>
        <v>44438</v>
      </c>
      <c r="C148" s="385" t="n">
        <v>22</v>
      </c>
      <c r="D148" s="385" t="n">
        <v>6</v>
      </c>
      <c r="E148" s="387"/>
      <c r="F148" s="388" t="n">
        <v>1</v>
      </c>
      <c r="G148" s="390"/>
      <c r="H148" s="390"/>
      <c r="I148" s="390"/>
      <c r="J148" s="390"/>
      <c r="K148" s="390"/>
      <c r="L148" s="390"/>
      <c r="M148" s="390"/>
      <c r="N148" s="390"/>
      <c r="O148" s="390"/>
      <c r="P148" s="390"/>
      <c r="Q148" s="390"/>
      <c r="R148" s="390"/>
      <c r="S148" s="390"/>
    </row>
    <row r="149" customFormat="false" ht="10.5" hidden="false" customHeight="false" outlineLevel="0" collapsed="false">
      <c r="A149" s="383" t="str">
        <f aca="false">TEXT(DATE(YEAR(B$2),MONTH(B$2)+(D149-1),1),"Mmm")</f>
        <v>Sep</v>
      </c>
      <c r="B149" s="384" t="n">
        <f aca="false">B148+1</f>
        <v>44439</v>
      </c>
      <c r="C149" s="385" t="n">
        <v>22</v>
      </c>
      <c r="D149" s="385" t="n">
        <v>6</v>
      </c>
      <c r="E149" s="387"/>
      <c r="F149" s="385" t="n">
        <v>1</v>
      </c>
      <c r="G149" s="390"/>
      <c r="H149" s="390"/>
      <c r="I149" s="390"/>
      <c r="J149" s="390"/>
      <c r="K149" s="390"/>
      <c r="L149" s="390"/>
      <c r="M149" s="390"/>
      <c r="N149" s="390"/>
      <c r="O149" s="390"/>
      <c r="P149" s="390"/>
      <c r="Q149" s="390"/>
      <c r="R149" s="390"/>
      <c r="S149" s="390"/>
    </row>
    <row r="150" customFormat="false" ht="11.45" hidden="false" customHeight="false" outlineLevel="0" collapsed="false">
      <c r="A150" s="383" t="str">
        <f aca="false">TEXT(DATE(YEAR(B$2),MONTH(B$2)+(D150-1),1),"Mmm")</f>
        <v>Sep</v>
      </c>
      <c r="B150" s="384" t="n">
        <f aca="false">B149+1</f>
        <v>44440</v>
      </c>
      <c r="C150" s="385" t="n">
        <v>22</v>
      </c>
      <c r="D150" s="385" t="n">
        <v>6</v>
      </c>
      <c r="E150" s="387"/>
      <c r="F150" s="388" t="n">
        <v>1</v>
      </c>
      <c r="G150" s="390"/>
      <c r="H150" s="390"/>
      <c r="I150" s="390"/>
      <c r="J150" s="390"/>
      <c r="K150" s="390"/>
      <c r="L150" s="390"/>
      <c r="M150" s="390"/>
      <c r="N150" s="390"/>
      <c r="O150" s="390"/>
      <c r="P150" s="390"/>
      <c r="Q150" s="390"/>
      <c r="R150" s="390"/>
      <c r="S150" s="390"/>
    </row>
    <row r="151" customFormat="false" ht="11.45" hidden="false" customHeight="false" outlineLevel="0" collapsed="false">
      <c r="A151" s="383" t="str">
        <f aca="false">TEXT(DATE(YEAR(B$2),MONTH(B$2)+(D151-1),1),"Mmm")</f>
        <v>Sep</v>
      </c>
      <c r="B151" s="384" t="n">
        <f aca="false">B150+1</f>
        <v>44441</v>
      </c>
      <c r="C151" s="385" t="n">
        <v>22</v>
      </c>
      <c r="D151" s="385" t="n">
        <v>6</v>
      </c>
      <c r="E151" s="387"/>
      <c r="F151" s="388" t="n">
        <v>1</v>
      </c>
      <c r="G151" s="390"/>
      <c r="H151" s="390"/>
      <c r="I151" s="390"/>
      <c r="J151" s="390"/>
      <c r="K151" s="390"/>
      <c r="L151" s="390"/>
      <c r="M151" s="390"/>
      <c r="N151" s="390"/>
      <c r="O151" s="390"/>
      <c r="P151" s="390"/>
      <c r="Q151" s="390"/>
      <c r="R151" s="390"/>
      <c r="S151" s="390"/>
    </row>
    <row r="152" customFormat="false" ht="11.45" hidden="false" customHeight="false" outlineLevel="0" collapsed="false">
      <c r="A152" s="383" t="str">
        <f aca="false">TEXT(DATE(YEAR(B$2),MONTH(B$2)+(D152-1),1),"Mmm")</f>
        <v>Sep</v>
      </c>
      <c r="B152" s="384" t="n">
        <f aca="false">B151+1</f>
        <v>44442</v>
      </c>
      <c r="C152" s="385" t="n">
        <v>22</v>
      </c>
      <c r="D152" s="385" t="n">
        <v>6</v>
      </c>
      <c r="E152" s="387"/>
      <c r="F152" s="388" t="n">
        <v>1</v>
      </c>
      <c r="G152" s="390"/>
      <c r="H152" s="390"/>
      <c r="I152" s="390"/>
      <c r="J152" s="390"/>
      <c r="K152" s="390"/>
      <c r="L152" s="390"/>
      <c r="M152" s="390"/>
      <c r="N152" s="390"/>
      <c r="O152" s="390"/>
      <c r="P152" s="390"/>
      <c r="Q152" s="390"/>
      <c r="R152" s="390"/>
      <c r="S152" s="390"/>
    </row>
    <row r="153" customFormat="false" ht="11.45" hidden="false" customHeight="false" outlineLevel="0" collapsed="false">
      <c r="A153" s="383" t="str">
        <f aca="false">TEXT(DATE(YEAR(B$2),MONTH(B$2)+(D153-1),1),"Mmm")</f>
        <v>Sep</v>
      </c>
      <c r="B153" s="384" t="n">
        <f aca="false">B152+1</f>
        <v>44443</v>
      </c>
      <c r="C153" s="385" t="n">
        <v>22</v>
      </c>
      <c r="D153" s="385" t="n">
        <v>6</v>
      </c>
      <c r="E153" s="387"/>
      <c r="F153" s="388" t="n">
        <v>1</v>
      </c>
      <c r="G153" s="390"/>
      <c r="H153" s="390"/>
      <c r="I153" s="390"/>
      <c r="J153" s="390"/>
      <c r="K153" s="390"/>
      <c r="L153" s="390"/>
      <c r="M153" s="390"/>
      <c r="N153" s="390"/>
      <c r="O153" s="390"/>
      <c r="P153" s="390"/>
      <c r="Q153" s="390"/>
      <c r="R153" s="390"/>
      <c r="S153" s="390"/>
    </row>
    <row r="154" customFormat="false" ht="11.45" hidden="false" customHeight="false" outlineLevel="0" collapsed="false">
      <c r="A154" s="383" t="str">
        <f aca="false">TEXT(DATE(YEAR(B$2),MONTH(B$2)+(D154-1),1),"Mmm")</f>
        <v>Sep</v>
      </c>
      <c r="B154" s="384" t="n">
        <f aca="false">B153+1</f>
        <v>44444</v>
      </c>
      <c r="C154" s="385" t="n">
        <v>23</v>
      </c>
      <c r="D154" s="385" t="n">
        <v>6</v>
      </c>
      <c r="E154" s="387"/>
      <c r="F154" s="388" t="n">
        <v>2</v>
      </c>
      <c r="G154" s="390"/>
      <c r="H154" s="390"/>
      <c r="I154" s="390"/>
      <c r="J154" s="390"/>
      <c r="K154" s="390"/>
      <c r="L154" s="390"/>
      <c r="M154" s="390"/>
      <c r="N154" s="390"/>
      <c r="O154" s="390"/>
      <c r="P154" s="390"/>
      <c r="Q154" s="390"/>
      <c r="R154" s="390"/>
      <c r="S154" s="390"/>
    </row>
    <row r="155" customFormat="false" ht="11.45" hidden="false" customHeight="false" outlineLevel="0" collapsed="false">
      <c r="A155" s="383" t="str">
        <f aca="false">TEXT(DATE(YEAR(B$2),MONTH(B$2)+(D155-1),1),"Mmm")</f>
        <v>Sep</v>
      </c>
      <c r="B155" s="384" t="n">
        <f aca="false">B154+1</f>
        <v>44445</v>
      </c>
      <c r="C155" s="385" t="n">
        <v>23</v>
      </c>
      <c r="D155" s="385" t="n">
        <v>6</v>
      </c>
      <c r="E155" s="391"/>
      <c r="F155" s="388" t="n">
        <v>2</v>
      </c>
      <c r="G155" s="390"/>
      <c r="H155" s="390"/>
      <c r="I155" s="390"/>
      <c r="J155" s="390"/>
      <c r="K155" s="390"/>
      <c r="L155" s="390"/>
      <c r="M155" s="390"/>
      <c r="N155" s="390"/>
      <c r="O155" s="390"/>
      <c r="P155" s="390"/>
      <c r="Q155" s="390"/>
      <c r="R155" s="390"/>
      <c r="S155" s="390"/>
    </row>
    <row r="156" customFormat="false" ht="11.45" hidden="false" customHeight="false" outlineLevel="0" collapsed="false">
      <c r="A156" s="383" t="str">
        <f aca="false">TEXT(DATE(YEAR(B$2),MONTH(B$2)+(D156-1),1),"Mmm")</f>
        <v>Sep</v>
      </c>
      <c r="B156" s="384" t="n">
        <f aca="false">B155+1</f>
        <v>44446</v>
      </c>
      <c r="C156" s="385" t="n">
        <v>23</v>
      </c>
      <c r="D156" s="385" t="n">
        <v>6</v>
      </c>
      <c r="E156" s="387"/>
      <c r="F156" s="388" t="n">
        <v>2</v>
      </c>
      <c r="G156" s="390"/>
      <c r="H156" s="390"/>
      <c r="I156" s="390"/>
      <c r="J156" s="390"/>
      <c r="K156" s="390"/>
      <c r="L156" s="390"/>
      <c r="M156" s="390"/>
      <c r="N156" s="390"/>
      <c r="O156" s="390"/>
      <c r="P156" s="390"/>
      <c r="Q156" s="390"/>
      <c r="R156" s="390"/>
      <c r="S156" s="390"/>
    </row>
    <row r="157" customFormat="false" ht="11.45" hidden="false" customHeight="false" outlineLevel="0" collapsed="false">
      <c r="A157" s="383" t="str">
        <f aca="false">TEXT(DATE(YEAR(B$2),MONTH(B$2)+(D157-1),1),"Mmm")</f>
        <v>Sep</v>
      </c>
      <c r="B157" s="384" t="n">
        <f aca="false">B156+1</f>
        <v>44447</v>
      </c>
      <c r="C157" s="385" t="n">
        <v>23</v>
      </c>
      <c r="D157" s="385" t="n">
        <v>6</v>
      </c>
      <c r="E157" s="387"/>
      <c r="F157" s="388" t="n">
        <v>2</v>
      </c>
      <c r="G157" s="390"/>
      <c r="H157" s="390"/>
      <c r="I157" s="390"/>
      <c r="J157" s="390"/>
      <c r="K157" s="390"/>
      <c r="L157" s="390"/>
      <c r="M157" s="390"/>
      <c r="N157" s="390"/>
      <c r="O157" s="390"/>
      <c r="P157" s="390"/>
      <c r="Q157" s="390"/>
      <c r="R157" s="390"/>
      <c r="S157" s="390"/>
    </row>
    <row r="158" customFormat="false" ht="11.45" hidden="false" customHeight="false" outlineLevel="0" collapsed="false">
      <c r="A158" s="383" t="str">
        <f aca="false">TEXT(DATE(YEAR(B$2),MONTH(B$2)+(D158-1),1),"Mmm")</f>
        <v>Sep</v>
      </c>
      <c r="B158" s="384" t="n">
        <f aca="false">B157+1</f>
        <v>44448</v>
      </c>
      <c r="C158" s="385" t="n">
        <v>23</v>
      </c>
      <c r="D158" s="385" t="n">
        <v>6</v>
      </c>
      <c r="E158" s="387"/>
      <c r="F158" s="388" t="n">
        <v>2</v>
      </c>
      <c r="G158" s="390"/>
      <c r="H158" s="390"/>
      <c r="I158" s="390"/>
      <c r="J158" s="390"/>
      <c r="K158" s="390"/>
      <c r="L158" s="390"/>
      <c r="M158" s="390"/>
      <c r="N158" s="390"/>
      <c r="O158" s="390"/>
      <c r="P158" s="390"/>
      <c r="Q158" s="390"/>
      <c r="R158" s="390"/>
      <c r="S158" s="390"/>
    </row>
    <row r="159" customFormat="false" ht="11.45" hidden="false" customHeight="false" outlineLevel="0" collapsed="false">
      <c r="A159" s="383" t="str">
        <f aca="false">TEXT(DATE(YEAR(B$2),MONTH(B$2)+(D159-1),1),"Mmm")</f>
        <v>Sep</v>
      </c>
      <c r="B159" s="384" t="n">
        <f aca="false">B158+1</f>
        <v>44449</v>
      </c>
      <c r="C159" s="385" t="n">
        <v>23</v>
      </c>
      <c r="D159" s="385" t="n">
        <v>6</v>
      </c>
      <c r="E159" s="387"/>
      <c r="F159" s="388" t="n">
        <v>2</v>
      </c>
      <c r="G159" s="390"/>
      <c r="H159" s="390"/>
      <c r="I159" s="390"/>
      <c r="J159" s="390"/>
      <c r="K159" s="390"/>
      <c r="L159" s="390"/>
      <c r="M159" s="390"/>
      <c r="N159" s="390"/>
      <c r="O159" s="390"/>
      <c r="P159" s="390"/>
      <c r="Q159" s="390"/>
      <c r="R159" s="390"/>
      <c r="S159" s="390"/>
    </row>
    <row r="160" customFormat="false" ht="11.45" hidden="false" customHeight="false" outlineLevel="0" collapsed="false">
      <c r="A160" s="383" t="str">
        <f aca="false">TEXT(DATE(YEAR(B$2),MONTH(B$2)+(D160-1),1),"Mmm")</f>
        <v>Sep</v>
      </c>
      <c r="B160" s="384" t="n">
        <f aca="false">B159+1</f>
        <v>44450</v>
      </c>
      <c r="C160" s="385" t="n">
        <v>23</v>
      </c>
      <c r="D160" s="385" t="n">
        <v>6</v>
      </c>
      <c r="E160" s="387"/>
      <c r="F160" s="388" t="n">
        <v>2</v>
      </c>
      <c r="G160" s="390"/>
      <c r="H160" s="390"/>
      <c r="I160" s="390"/>
      <c r="J160" s="390"/>
      <c r="K160" s="390"/>
      <c r="L160" s="390"/>
      <c r="M160" s="390"/>
      <c r="N160" s="390"/>
      <c r="O160" s="390"/>
      <c r="P160" s="390"/>
      <c r="Q160" s="390"/>
      <c r="R160" s="390"/>
      <c r="S160" s="390"/>
    </row>
    <row r="161" customFormat="false" ht="11.45" hidden="false" customHeight="false" outlineLevel="0" collapsed="false">
      <c r="A161" s="383" t="str">
        <f aca="false">TEXT(DATE(YEAR(B$2),MONTH(B$2)+(D161-1),1),"Mmm")</f>
        <v>Sep</v>
      </c>
      <c r="B161" s="384" t="n">
        <f aca="false">B160+1</f>
        <v>44451</v>
      </c>
      <c r="C161" s="385" t="n">
        <v>24</v>
      </c>
      <c r="D161" s="385" t="n">
        <v>6</v>
      </c>
      <c r="E161" s="387"/>
      <c r="F161" s="388" t="n">
        <v>3</v>
      </c>
      <c r="G161" s="390"/>
      <c r="H161" s="390"/>
      <c r="I161" s="390"/>
      <c r="J161" s="390"/>
      <c r="K161" s="390"/>
      <c r="L161" s="390"/>
      <c r="M161" s="390"/>
      <c r="N161" s="390"/>
      <c r="O161" s="390"/>
      <c r="P161" s="390"/>
      <c r="Q161" s="390"/>
      <c r="R161" s="390"/>
      <c r="S161" s="390"/>
    </row>
    <row r="162" customFormat="false" ht="11.45" hidden="false" customHeight="false" outlineLevel="0" collapsed="false">
      <c r="A162" s="383" t="str">
        <f aca="false">TEXT(DATE(YEAR(B$2),MONTH(B$2)+(D162-1),1),"Mmm")</f>
        <v>Sep</v>
      </c>
      <c r="B162" s="384" t="n">
        <f aca="false">B161+1</f>
        <v>44452</v>
      </c>
      <c r="C162" s="385" t="n">
        <v>24</v>
      </c>
      <c r="D162" s="385" t="n">
        <v>6</v>
      </c>
      <c r="E162" s="387"/>
      <c r="F162" s="388" t="n">
        <v>3</v>
      </c>
      <c r="G162" s="390"/>
      <c r="H162" s="390"/>
      <c r="I162" s="390"/>
      <c r="J162" s="390"/>
      <c r="K162" s="390"/>
      <c r="L162" s="390"/>
      <c r="M162" s="390"/>
      <c r="N162" s="390"/>
      <c r="O162" s="390"/>
      <c r="P162" s="390"/>
      <c r="Q162" s="390"/>
      <c r="R162" s="390"/>
      <c r="S162" s="390"/>
    </row>
    <row r="163" customFormat="false" ht="11.45" hidden="false" customHeight="false" outlineLevel="0" collapsed="false">
      <c r="A163" s="383" t="str">
        <f aca="false">TEXT(DATE(YEAR(B$2),MONTH(B$2)+(D163-1),1),"Mmm")</f>
        <v>Sep</v>
      </c>
      <c r="B163" s="384" t="n">
        <f aca="false">B162+1</f>
        <v>44453</v>
      </c>
      <c r="C163" s="385" t="n">
        <v>24</v>
      </c>
      <c r="D163" s="385" t="n">
        <v>6</v>
      </c>
      <c r="E163" s="387"/>
      <c r="F163" s="388" t="n">
        <v>3</v>
      </c>
      <c r="G163" s="390"/>
      <c r="H163" s="390"/>
      <c r="I163" s="390"/>
      <c r="J163" s="390"/>
      <c r="K163" s="390"/>
      <c r="L163" s="390"/>
      <c r="M163" s="390"/>
      <c r="N163" s="390"/>
      <c r="O163" s="390"/>
      <c r="P163" s="390"/>
      <c r="Q163" s="390"/>
      <c r="R163" s="390"/>
      <c r="S163" s="390"/>
    </row>
    <row r="164" customFormat="false" ht="11.45" hidden="false" customHeight="false" outlineLevel="0" collapsed="false">
      <c r="A164" s="383" t="str">
        <f aca="false">TEXT(DATE(YEAR(B$2),MONTH(B$2)+(D164-1),1),"Mmm")</f>
        <v>Sep</v>
      </c>
      <c r="B164" s="384" t="n">
        <f aca="false">B163+1</f>
        <v>44454</v>
      </c>
      <c r="C164" s="385" t="n">
        <v>24</v>
      </c>
      <c r="D164" s="385" t="n">
        <v>6</v>
      </c>
      <c r="E164" s="387"/>
      <c r="F164" s="388" t="n">
        <v>3</v>
      </c>
      <c r="G164" s="390"/>
      <c r="H164" s="390"/>
      <c r="I164" s="390"/>
      <c r="J164" s="390"/>
      <c r="K164" s="390"/>
      <c r="L164" s="390"/>
      <c r="M164" s="390"/>
      <c r="N164" s="390"/>
      <c r="O164" s="390"/>
      <c r="P164" s="390"/>
      <c r="Q164" s="390"/>
      <c r="R164" s="390"/>
      <c r="S164" s="390"/>
    </row>
    <row r="165" customFormat="false" ht="11.45" hidden="false" customHeight="false" outlineLevel="0" collapsed="false">
      <c r="A165" s="383" t="str">
        <f aca="false">TEXT(DATE(YEAR(B$2),MONTH(B$2)+(D165-1),1),"Mmm")</f>
        <v>Sep</v>
      </c>
      <c r="B165" s="384" t="n">
        <f aca="false">B164+1</f>
        <v>44455</v>
      </c>
      <c r="C165" s="385" t="n">
        <v>24</v>
      </c>
      <c r="D165" s="385" t="n">
        <v>6</v>
      </c>
      <c r="E165" s="387"/>
      <c r="F165" s="388" t="n">
        <v>3</v>
      </c>
      <c r="G165" s="390"/>
      <c r="H165" s="390"/>
      <c r="I165" s="390"/>
      <c r="J165" s="390"/>
      <c r="K165" s="390"/>
      <c r="L165" s="390"/>
      <c r="M165" s="390"/>
      <c r="N165" s="390"/>
      <c r="O165" s="390"/>
      <c r="P165" s="390"/>
      <c r="Q165" s="390"/>
      <c r="R165" s="390"/>
      <c r="S165" s="390"/>
    </row>
    <row r="166" customFormat="false" ht="11.45" hidden="false" customHeight="false" outlineLevel="0" collapsed="false">
      <c r="A166" s="383" t="str">
        <f aca="false">TEXT(DATE(YEAR(B$2),MONTH(B$2)+(D166-1),1),"Mmm")</f>
        <v>Sep</v>
      </c>
      <c r="B166" s="384" t="n">
        <f aca="false">B165+1</f>
        <v>44456</v>
      </c>
      <c r="C166" s="385" t="n">
        <v>24</v>
      </c>
      <c r="D166" s="385" t="n">
        <v>6</v>
      </c>
      <c r="E166" s="387"/>
      <c r="F166" s="388" t="n">
        <v>3</v>
      </c>
      <c r="G166" s="390"/>
      <c r="H166" s="390"/>
      <c r="I166" s="390"/>
      <c r="J166" s="390"/>
      <c r="K166" s="390"/>
      <c r="L166" s="390"/>
      <c r="M166" s="390"/>
      <c r="N166" s="390"/>
      <c r="O166" s="390"/>
      <c r="P166" s="390"/>
      <c r="Q166" s="390"/>
      <c r="R166" s="390"/>
      <c r="S166" s="390"/>
    </row>
    <row r="167" customFormat="false" ht="11.45" hidden="false" customHeight="false" outlineLevel="0" collapsed="false">
      <c r="A167" s="383" t="str">
        <f aca="false">TEXT(DATE(YEAR(B$2),MONTH(B$2)+(D167-1),1),"Mmm")</f>
        <v>Sep</v>
      </c>
      <c r="B167" s="384" t="n">
        <f aca="false">B166+1</f>
        <v>44457</v>
      </c>
      <c r="C167" s="385" t="n">
        <v>24</v>
      </c>
      <c r="D167" s="385" t="n">
        <v>6</v>
      </c>
      <c r="E167" s="387"/>
      <c r="F167" s="388" t="n">
        <v>3</v>
      </c>
      <c r="G167" s="390"/>
      <c r="H167" s="390"/>
      <c r="I167" s="390"/>
      <c r="J167" s="390"/>
      <c r="K167" s="390"/>
      <c r="L167" s="390"/>
      <c r="M167" s="390"/>
      <c r="N167" s="390"/>
      <c r="O167" s="390"/>
      <c r="P167" s="390"/>
      <c r="Q167" s="390"/>
      <c r="R167" s="390"/>
      <c r="S167" s="390"/>
    </row>
    <row r="168" customFormat="false" ht="11.45" hidden="false" customHeight="false" outlineLevel="0" collapsed="false">
      <c r="A168" s="383" t="str">
        <f aca="false">TEXT(DATE(YEAR(B$2),MONTH(B$2)+(D168-1),1),"Mmm")</f>
        <v>Sep</v>
      </c>
      <c r="B168" s="384" t="n">
        <f aca="false">B167+1</f>
        <v>44458</v>
      </c>
      <c r="C168" s="385" t="n">
        <v>25</v>
      </c>
      <c r="D168" s="385" t="n">
        <v>6</v>
      </c>
      <c r="E168" s="387"/>
      <c r="F168" s="388" t="n">
        <v>4</v>
      </c>
      <c r="G168" s="390"/>
      <c r="H168" s="390"/>
      <c r="I168" s="390"/>
      <c r="J168" s="390"/>
      <c r="K168" s="390"/>
      <c r="L168" s="390"/>
      <c r="M168" s="390"/>
      <c r="N168" s="390"/>
      <c r="O168" s="390"/>
      <c r="P168" s="390"/>
      <c r="Q168" s="390"/>
      <c r="R168" s="390"/>
      <c r="S168" s="390"/>
    </row>
    <row r="169" customFormat="false" ht="11.45" hidden="false" customHeight="false" outlineLevel="0" collapsed="false">
      <c r="A169" s="383" t="str">
        <f aca="false">TEXT(DATE(YEAR(B$2),MONTH(B$2)+(D169-1),1),"Mmm")</f>
        <v>Sep</v>
      </c>
      <c r="B169" s="384" t="n">
        <f aca="false">B168+1</f>
        <v>44459</v>
      </c>
      <c r="C169" s="385" t="n">
        <v>25</v>
      </c>
      <c r="D169" s="385" t="n">
        <v>6</v>
      </c>
      <c r="E169" s="387"/>
      <c r="F169" s="388" t="n">
        <v>4</v>
      </c>
      <c r="G169" s="390"/>
      <c r="H169" s="390"/>
      <c r="I169" s="390"/>
      <c r="J169" s="390"/>
      <c r="K169" s="390"/>
      <c r="L169" s="390"/>
      <c r="M169" s="390"/>
      <c r="N169" s="390"/>
      <c r="O169" s="390"/>
      <c r="P169" s="390"/>
      <c r="Q169" s="390"/>
      <c r="R169" s="390"/>
      <c r="S169" s="390"/>
    </row>
    <row r="170" customFormat="false" ht="11.45" hidden="false" customHeight="false" outlineLevel="0" collapsed="false">
      <c r="A170" s="383" t="str">
        <f aca="false">TEXT(DATE(YEAR(B$2),MONTH(B$2)+(D170-1),1),"Mmm")</f>
        <v>Sep</v>
      </c>
      <c r="B170" s="384" t="n">
        <f aca="false">B169+1</f>
        <v>44460</v>
      </c>
      <c r="C170" s="385" t="n">
        <v>25</v>
      </c>
      <c r="D170" s="385" t="n">
        <v>6</v>
      </c>
      <c r="E170" s="387"/>
      <c r="F170" s="388" t="n">
        <v>4</v>
      </c>
      <c r="G170" s="390"/>
      <c r="H170" s="390"/>
      <c r="I170" s="390"/>
      <c r="J170" s="390"/>
      <c r="K170" s="390"/>
      <c r="L170" s="390"/>
      <c r="M170" s="390"/>
      <c r="N170" s="390"/>
      <c r="O170" s="390"/>
      <c r="P170" s="390"/>
      <c r="Q170" s="390"/>
      <c r="R170" s="390"/>
      <c r="S170" s="390"/>
    </row>
    <row r="171" customFormat="false" ht="11.45" hidden="false" customHeight="false" outlineLevel="0" collapsed="false">
      <c r="A171" s="383" t="str">
        <f aca="false">TEXT(DATE(YEAR(B$2),MONTH(B$2)+(D171-1),1),"Mmm")</f>
        <v>Sep</v>
      </c>
      <c r="B171" s="384" t="n">
        <f aca="false">B170+1</f>
        <v>44461</v>
      </c>
      <c r="C171" s="385" t="n">
        <v>25</v>
      </c>
      <c r="D171" s="385" t="n">
        <v>6</v>
      </c>
      <c r="E171" s="387"/>
      <c r="F171" s="388" t="n">
        <v>4</v>
      </c>
      <c r="G171" s="390"/>
      <c r="H171" s="390"/>
      <c r="I171" s="390"/>
      <c r="J171" s="390"/>
      <c r="K171" s="390"/>
      <c r="L171" s="390"/>
      <c r="M171" s="390"/>
      <c r="N171" s="390"/>
      <c r="O171" s="390"/>
      <c r="P171" s="390"/>
      <c r="Q171" s="390"/>
      <c r="R171" s="390"/>
      <c r="S171" s="390"/>
    </row>
    <row r="172" customFormat="false" ht="11.45" hidden="false" customHeight="false" outlineLevel="0" collapsed="false">
      <c r="A172" s="383" t="str">
        <f aca="false">TEXT(DATE(YEAR(B$2),MONTH(B$2)+(D172-1),1),"Mmm")</f>
        <v>Sep</v>
      </c>
      <c r="B172" s="384" t="n">
        <f aca="false">B171+1</f>
        <v>44462</v>
      </c>
      <c r="C172" s="385" t="n">
        <v>25</v>
      </c>
      <c r="D172" s="385" t="n">
        <v>6</v>
      </c>
      <c r="E172" s="387"/>
      <c r="F172" s="388" t="n">
        <v>4</v>
      </c>
      <c r="G172" s="390"/>
      <c r="H172" s="390"/>
      <c r="I172" s="390"/>
      <c r="J172" s="390"/>
      <c r="K172" s="390"/>
      <c r="L172" s="390"/>
      <c r="M172" s="390"/>
      <c r="N172" s="390"/>
      <c r="O172" s="390"/>
      <c r="P172" s="390"/>
      <c r="Q172" s="390"/>
      <c r="R172" s="390"/>
      <c r="S172" s="390"/>
    </row>
    <row r="173" customFormat="false" ht="11.45" hidden="false" customHeight="false" outlineLevel="0" collapsed="false">
      <c r="A173" s="383" t="str">
        <f aca="false">TEXT(DATE(YEAR(B$2),MONTH(B$2)+(D173-1),1),"Mmm")</f>
        <v>Sep</v>
      </c>
      <c r="B173" s="384" t="n">
        <f aca="false">B172+1</f>
        <v>44463</v>
      </c>
      <c r="C173" s="385" t="n">
        <v>25</v>
      </c>
      <c r="D173" s="385" t="n">
        <v>6</v>
      </c>
      <c r="E173" s="387"/>
      <c r="F173" s="388" t="n">
        <v>4</v>
      </c>
      <c r="G173" s="390"/>
      <c r="H173" s="390"/>
      <c r="I173" s="390"/>
      <c r="J173" s="390"/>
      <c r="K173" s="390"/>
      <c r="L173" s="390"/>
      <c r="M173" s="390"/>
      <c r="N173" s="390"/>
      <c r="O173" s="390"/>
      <c r="P173" s="390"/>
      <c r="Q173" s="390"/>
      <c r="R173" s="390"/>
      <c r="S173" s="390"/>
    </row>
    <row r="174" customFormat="false" ht="11.45" hidden="false" customHeight="false" outlineLevel="0" collapsed="false">
      <c r="A174" s="383" t="str">
        <f aca="false">TEXT(DATE(YEAR(B$2),MONTH(B$2)+(D174-1),1),"Mmm")</f>
        <v>Sep</v>
      </c>
      <c r="B174" s="384" t="n">
        <f aca="false">B173+1</f>
        <v>44464</v>
      </c>
      <c r="C174" s="385" t="n">
        <v>25</v>
      </c>
      <c r="D174" s="385" t="n">
        <v>6</v>
      </c>
      <c r="E174" s="387"/>
      <c r="F174" s="388" t="n">
        <v>4</v>
      </c>
      <c r="G174" s="390"/>
      <c r="H174" s="390"/>
      <c r="I174" s="390"/>
      <c r="J174" s="390"/>
      <c r="K174" s="390"/>
      <c r="L174" s="390"/>
      <c r="M174" s="390"/>
      <c r="N174" s="390"/>
      <c r="O174" s="390"/>
      <c r="P174" s="390"/>
      <c r="Q174" s="390"/>
      <c r="R174" s="390"/>
      <c r="S174" s="390"/>
    </row>
    <row r="175" customFormat="false" ht="11.45" hidden="false" customHeight="false" outlineLevel="0" collapsed="false">
      <c r="A175" s="383" t="str">
        <f aca="false">TEXT(DATE(YEAR(B$2),MONTH(B$2)+(D175-1),1),"Mmm")</f>
        <v>Sep</v>
      </c>
      <c r="B175" s="384" t="n">
        <f aca="false">B174+1</f>
        <v>44465</v>
      </c>
      <c r="C175" s="385" t="n">
        <v>26</v>
      </c>
      <c r="D175" s="385" t="n">
        <v>6</v>
      </c>
      <c r="E175" s="387"/>
      <c r="F175" s="388" t="n">
        <v>5</v>
      </c>
      <c r="G175" s="390"/>
      <c r="H175" s="390"/>
      <c r="I175" s="390"/>
      <c r="J175" s="390"/>
      <c r="K175" s="390"/>
      <c r="L175" s="390"/>
      <c r="M175" s="390"/>
      <c r="N175" s="390"/>
      <c r="O175" s="390"/>
      <c r="P175" s="390"/>
      <c r="Q175" s="390"/>
      <c r="R175" s="390"/>
      <c r="S175" s="390"/>
    </row>
    <row r="176" customFormat="false" ht="11.45" hidden="false" customHeight="false" outlineLevel="0" collapsed="false">
      <c r="A176" s="383" t="str">
        <f aca="false">TEXT(DATE(YEAR(B$2),MONTH(B$2)+(D176-1),1),"Mmm")</f>
        <v>Sep</v>
      </c>
      <c r="B176" s="384" t="n">
        <f aca="false">B175+1</f>
        <v>44466</v>
      </c>
      <c r="C176" s="385" t="n">
        <v>26</v>
      </c>
      <c r="D176" s="385" t="n">
        <v>6</v>
      </c>
      <c r="E176" s="387"/>
      <c r="F176" s="388" t="n">
        <v>5</v>
      </c>
      <c r="G176" s="390"/>
      <c r="H176" s="390"/>
      <c r="I176" s="390"/>
      <c r="J176" s="390"/>
      <c r="K176" s="390"/>
      <c r="L176" s="390"/>
      <c r="M176" s="390"/>
      <c r="N176" s="390"/>
      <c r="O176" s="390"/>
      <c r="P176" s="390"/>
      <c r="Q176" s="390"/>
      <c r="R176" s="390"/>
      <c r="S176" s="390"/>
    </row>
    <row r="177" customFormat="false" ht="11.45" hidden="false" customHeight="false" outlineLevel="0" collapsed="false">
      <c r="A177" s="383" t="str">
        <f aca="false">TEXT(DATE(YEAR(B$2),MONTH(B$2)+(D177-1),1),"Mmm")</f>
        <v>Sep</v>
      </c>
      <c r="B177" s="384" t="n">
        <f aca="false">B176+1</f>
        <v>44467</v>
      </c>
      <c r="C177" s="385" t="n">
        <v>26</v>
      </c>
      <c r="D177" s="385" t="n">
        <v>6</v>
      </c>
      <c r="E177" s="387"/>
      <c r="F177" s="388" t="n">
        <v>5</v>
      </c>
      <c r="G177" s="390"/>
      <c r="H177" s="390"/>
      <c r="I177" s="390"/>
      <c r="J177" s="390"/>
      <c r="K177" s="390"/>
      <c r="L177" s="390"/>
      <c r="M177" s="390"/>
      <c r="N177" s="390"/>
      <c r="O177" s="390"/>
      <c r="P177" s="390"/>
      <c r="Q177" s="390"/>
      <c r="R177" s="390"/>
      <c r="S177" s="390"/>
    </row>
    <row r="178" customFormat="false" ht="11.45" hidden="false" customHeight="false" outlineLevel="0" collapsed="false">
      <c r="A178" s="383" t="str">
        <f aca="false">TEXT(DATE(YEAR(B$2),MONTH(B$2)+(D178-1),1),"Mmm")</f>
        <v>Sep</v>
      </c>
      <c r="B178" s="384" t="n">
        <f aca="false">B177+1</f>
        <v>44468</v>
      </c>
      <c r="C178" s="385" t="n">
        <v>26</v>
      </c>
      <c r="D178" s="385" t="n">
        <v>6</v>
      </c>
      <c r="E178" s="387"/>
      <c r="F178" s="388" t="n">
        <v>5</v>
      </c>
      <c r="G178" s="390"/>
      <c r="H178" s="390"/>
      <c r="I178" s="390"/>
      <c r="J178" s="390"/>
      <c r="K178" s="390"/>
      <c r="L178" s="390"/>
      <c r="M178" s="390"/>
      <c r="N178" s="390"/>
      <c r="O178" s="390"/>
      <c r="P178" s="390"/>
      <c r="Q178" s="390"/>
      <c r="R178" s="390"/>
      <c r="S178" s="390"/>
    </row>
    <row r="179" customFormat="false" ht="11.45" hidden="false" customHeight="false" outlineLevel="0" collapsed="false">
      <c r="A179" s="383" t="str">
        <f aca="false">TEXT(DATE(YEAR(B$2),MONTH(B$2)+(D179-1),1),"Mmm")</f>
        <v>Sep</v>
      </c>
      <c r="B179" s="384" t="n">
        <f aca="false">B178+1</f>
        <v>44469</v>
      </c>
      <c r="C179" s="385" t="n">
        <v>26</v>
      </c>
      <c r="D179" s="385" t="n">
        <v>6</v>
      </c>
      <c r="E179" s="387"/>
      <c r="F179" s="388" t="n">
        <v>5</v>
      </c>
      <c r="G179" s="390"/>
      <c r="H179" s="390"/>
      <c r="I179" s="390"/>
      <c r="J179" s="390"/>
      <c r="K179" s="390"/>
      <c r="L179" s="390"/>
      <c r="M179" s="390"/>
      <c r="N179" s="390"/>
      <c r="O179" s="390"/>
      <c r="P179" s="390"/>
      <c r="Q179" s="390"/>
      <c r="R179" s="390"/>
      <c r="S179" s="390"/>
    </row>
    <row r="180" customFormat="false" ht="11.45" hidden="false" customHeight="false" outlineLevel="0" collapsed="false">
      <c r="A180" s="383" t="str">
        <f aca="false">TEXT(DATE(YEAR(B$2),MONTH(B$2)+(D180-1),1),"Mmm")</f>
        <v>Sep</v>
      </c>
      <c r="B180" s="384" t="n">
        <f aca="false">B179+1</f>
        <v>44470</v>
      </c>
      <c r="C180" s="385" t="n">
        <v>26</v>
      </c>
      <c r="D180" s="385" t="n">
        <v>6</v>
      </c>
      <c r="E180" s="387"/>
      <c r="F180" s="388" t="n">
        <v>5</v>
      </c>
      <c r="G180" s="390"/>
      <c r="H180" s="390"/>
      <c r="I180" s="390"/>
      <c r="J180" s="390"/>
      <c r="K180" s="390"/>
      <c r="L180" s="390"/>
      <c r="M180" s="390"/>
      <c r="N180" s="390"/>
      <c r="O180" s="390"/>
      <c r="P180" s="390"/>
      <c r="Q180" s="390"/>
      <c r="R180" s="390"/>
      <c r="S180" s="390"/>
    </row>
    <row r="181" customFormat="false" ht="11.45" hidden="false" customHeight="false" outlineLevel="0" collapsed="false">
      <c r="A181" s="383" t="str">
        <f aca="false">TEXT(DATE(YEAR(B$2),MONTH(B$2)+(D181-1),1),"Mmm")</f>
        <v>Sep</v>
      </c>
      <c r="B181" s="384" t="n">
        <f aca="false">B180+1</f>
        <v>44471</v>
      </c>
      <c r="C181" s="385" t="n">
        <v>26</v>
      </c>
      <c r="D181" s="385" t="n">
        <v>6</v>
      </c>
      <c r="E181" s="387"/>
      <c r="F181" s="388" t="n">
        <v>5</v>
      </c>
      <c r="G181" s="390"/>
      <c r="H181" s="390"/>
      <c r="I181" s="390"/>
      <c r="J181" s="390"/>
      <c r="K181" s="390"/>
      <c r="L181" s="390"/>
      <c r="M181" s="390"/>
      <c r="N181" s="390"/>
      <c r="O181" s="390"/>
      <c r="P181" s="390"/>
      <c r="Q181" s="390"/>
      <c r="R181" s="390"/>
      <c r="S181" s="390"/>
    </row>
    <row r="182" customFormat="false" ht="11.45" hidden="false" customHeight="false" outlineLevel="0" collapsed="false">
      <c r="A182" s="383" t="str">
        <f aca="false">TEXT(DATE(YEAR(B$2),MONTH(B$2)+(D182-1),1),"Mmm")</f>
        <v>Oct</v>
      </c>
      <c r="B182" s="384" t="n">
        <f aca="false">B181+1</f>
        <v>44472</v>
      </c>
      <c r="C182" s="385" t="n">
        <v>27</v>
      </c>
      <c r="D182" s="385" t="n">
        <v>7</v>
      </c>
      <c r="E182" s="387"/>
      <c r="F182" s="388" t="n">
        <v>1</v>
      </c>
      <c r="G182" s="390"/>
      <c r="H182" s="390"/>
      <c r="I182" s="390"/>
      <c r="J182" s="390"/>
      <c r="K182" s="390"/>
      <c r="L182" s="390"/>
      <c r="M182" s="390"/>
      <c r="N182" s="390"/>
      <c r="O182" s="390"/>
      <c r="P182" s="390"/>
      <c r="Q182" s="390"/>
      <c r="R182" s="390"/>
      <c r="S182" s="390"/>
    </row>
    <row r="183" customFormat="false" ht="11.45" hidden="false" customHeight="false" outlineLevel="0" collapsed="false">
      <c r="A183" s="383" t="str">
        <f aca="false">TEXT(DATE(YEAR(B$2),MONTH(B$2)+(D183-1),1),"Mmm")</f>
        <v>Oct</v>
      </c>
      <c r="B183" s="384" t="n">
        <f aca="false">B182+1</f>
        <v>44473</v>
      </c>
      <c r="C183" s="385" t="n">
        <v>27</v>
      </c>
      <c r="D183" s="385" t="n">
        <v>7</v>
      </c>
      <c r="E183" s="387"/>
      <c r="F183" s="388" t="n">
        <v>1</v>
      </c>
      <c r="G183" s="390"/>
      <c r="H183" s="390"/>
      <c r="I183" s="390"/>
      <c r="J183" s="390"/>
      <c r="K183" s="390"/>
      <c r="L183" s="390"/>
      <c r="M183" s="390"/>
      <c r="N183" s="390"/>
      <c r="O183" s="390"/>
      <c r="P183" s="390"/>
      <c r="Q183" s="390"/>
      <c r="R183" s="390"/>
      <c r="S183" s="390"/>
    </row>
    <row r="184" customFormat="false" ht="10.5" hidden="false" customHeight="false" outlineLevel="0" collapsed="false">
      <c r="A184" s="383" t="str">
        <f aca="false">TEXT(DATE(YEAR(B$2),MONTH(B$2)+(D184-1),1),"Mmm")</f>
        <v>Oct</v>
      </c>
      <c r="B184" s="384" t="n">
        <f aca="false">B183+1</f>
        <v>44474</v>
      </c>
      <c r="C184" s="385" t="n">
        <v>27</v>
      </c>
      <c r="D184" s="385" t="n">
        <v>7</v>
      </c>
      <c r="E184" s="387"/>
      <c r="F184" s="385" t="n">
        <v>1</v>
      </c>
      <c r="G184" s="390"/>
      <c r="H184" s="390"/>
      <c r="I184" s="390"/>
      <c r="J184" s="390"/>
      <c r="K184" s="390"/>
      <c r="L184" s="390"/>
      <c r="M184" s="390"/>
      <c r="N184" s="390"/>
      <c r="O184" s="390"/>
      <c r="P184" s="390"/>
      <c r="Q184" s="390"/>
      <c r="R184" s="390"/>
      <c r="S184" s="390"/>
    </row>
    <row r="185" customFormat="false" ht="11.45" hidden="false" customHeight="false" outlineLevel="0" collapsed="false">
      <c r="A185" s="383" t="str">
        <f aca="false">TEXT(DATE(YEAR(B$2),MONTH(B$2)+(D185-1),1),"Mmm")</f>
        <v>Oct</v>
      </c>
      <c r="B185" s="384" t="n">
        <f aca="false">B184+1</f>
        <v>44475</v>
      </c>
      <c r="C185" s="385" t="n">
        <v>27</v>
      </c>
      <c r="D185" s="385" t="n">
        <v>7</v>
      </c>
      <c r="E185" s="391"/>
      <c r="F185" s="388" t="n">
        <v>1</v>
      </c>
      <c r="G185" s="390"/>
      <c r="H185" s="390"/>
      <c r="I185" s="390"/>
      <c r="J185" s="390"/>
      <c r="K185" s="390"/>
      <c r="L185" s="390"/>
      <c r="M185" s="390"/>
      <c r="N185" s="390"/>
      <c r="O185" s="390"/>
      <c r="P185" s="390"/>
      <c r="Q185" s="390"/>
      <c r="R185" s="390"/>
      <c r="S185" s="390"/>
    </row>
    <row r="186" customFormat="false" ht="11.45" hidden="false" customHeight="false" outlineLevel="0" collapsed="false">
      <c r="A186" s="383" t="str">
        <f aca="false">TEXT(DATE(YEAR(B$2),MONTH(B$2)+(D186-1),1),"Mmm")</f>
        <v>Oct</v>
      </c>
      <c r="B186" s="384" t="n">
        <f aca="false">B185+1</f>
        <v>44476</v>
      </c>
      <c r="C186" s="385" t="n">
        <v>27</v>
      </c>
      <c r="D186" s="385" t="n">
        <v>7</v>
      </c>
      <c r="E186" s="387"/>
      <c r="F186" s="388" t="n">
        <v>1</v>
      </c>
      <c r="G186" s="390"/>
      <c r="H186" s="390"/>
      <c r="I186" s="390"/>
      <c r="J186" s="390"/>
      <c r="K186" s="390"/>
      <c r="L186" s="390"/>
      <c r="M186" s="390"/>
      <c r="N186" s="390"/>
      <c r="O186" s="390"/>
      <c r="P186" s="390"/>
      <c r="Q186" s="390"/>
      <c r="R186" s="390"/>
      <c r="S186" s="390"/>
    </row>
    <row r="187" customFormat="false" ht="11.45" hidden="false" customHeight="false" outlineLevel="0" collapsed="false">
      <c r="A187" s="383" t="str">
        <f aca="false">TEXT(DATE(YEAR(B$2),MONTH(B$2)+(D187-1),1),"Mmm")</f>
        <v>Oct</v>
      </c>
      <c r="B187" s="384" t="n">
        <f aca="false">B186+1</f>
        <v>44477</v>
      </c>
      <c r="C187" s="385" t="n">
        <v>27</v>
      </c>
      <c r="D187" s="385" t="n">
        <v>7</v>
      </c>
      <c r="E187" s="387"/>
      <c r="F187" s="388" t="n">
        <v>1</v>
      </c>
      <c r="G187" s="390"/>
      <c r="H187" s="390"/>
      <c r="I187" s="390"/>
      <c r="J187" s="390"/>
      <c r="K187" s="390"/>
      <c r="L187" s="390"/>
      <c r="M187" s="390"/>
      <c r="N187" s="390"/>
      <c r="O187" s="390"/>
      <c r="P187" s="390"/>
      <c r="Q187" s="390"/>
      <c r="R187" s="390"/>
      <c r="S187" s="390"/>
    </row>
    <row r="188" customFormat="false" ht="11.45" hidden="false" customHeight="false" outlineLevel="0" collapsed="false">
      <c r="A188" s="383" t="str">
        <f aca="false">TEXT(DATE(YEAR(B$2),MONTH(B$2)+(D188-1),1),"Mmm")</f>
        <v>Oct</v>
      </c>
      <c r="B188" s="384" t="n">
        <f aca="false">B187+1</f>
        <v>44478</v>
      </c>
      <c r="C188" s="385" t="n">
        <v>27</v>
      </c>
      <c r="D188" s="385" t="n">
        <v>7</v>
      </c>
      <c r="E188" s="387"/>
      <c r="F188" s="388" t="n">
        <v>1</v>
      </c>
      <c r="G188" s="390"/>
      <c r="H188" s="390"/>
      <c r="I188" s="390"/>
      <c r="J188" s="390"/>
      <c r="K188" s="390"/>
      <c r="L188" s="390"/>
      <c r="M188" s="390"/>
      <c r="N188" s="390"/>
      <c r="O188" s="390"/>
      <c r="P188" s="390"/>
      <c r="Q188" s="390"/>
      <c r="R188" s="390"/>
      <c r="S188" s="390"/>
    </row>
    <row r="189" customFormat="false" ht="11.45" hidden="false" customHeight="false" outlineLevel="0" collapsed="false">
      <c r="A189" s="383" t="str">
        <f aca="false">TEXT(DATE(YEAR(B$2),MONTH(B$2)+(D189-1),1),"Mmm")</f>
        <v>Oct</v>
      </c>
      <c r="B189" s="384" t="n">
        <f aca="false">B188+1</f>
        <v>44479</v>
      </c>
      <c r="C189" s="385" t="n">
        <v>28</v>
      </c>
      <c r="D189" s="385" t="n">
        <v>7</v>
      </c>
      <c r="E189" s="387"/>
      <c r="F189" s="388" t="n">
        <v>2</v>
      </c>
      <c r="G189" s="390"/>
      <c r="H189" s="390"/>
      <c r="I189" s="390"/>
      <c r="J189" s="390"/>
      <c r="K189" s="390"/>
      <c r="L189" s="390"/>
      <c r="M189" s="390"/>
      <c r="N189" s="390"/>
      <c r="O189" s="390"/>
      <c r="P189" s="390"/>
      <c r="Q189" s="390"/>
      <c r="R189" s="390"/>
      <c r="S189" s="390"/>
    </row>
    <row r="190" customFormat="false" ht="11.45" hidden="false" customHeight="false" outlineLevel="0" collapsed="false">
      <c r="A190" s="383" t="str">
        <f aca="false">TEXT(DATE(YEAR(B$2),MONTH(B$2)+(D190-1),1),"Mmm")</f>
        <v>Oct</v>
      </c>
      <c r="B190" s="384" t="n">
        <f aca="false">B189+1</f>
        <v>44480</v>
      </c>
      <c r="C190" s="385" t="n">
        <v>28</v>
      </c>
      <c r="D190" s="385" t="n">
        <v>7</v>
      </c>
      <c r="E190" s="387"/>
      <c r="F190" s="388" t="n">
        <v>2</v>
      </c>
      <c r="G190" s="390"/>
      <c r="H190" s="390"/>
      <c r="I190" s="390"/>
      <c r="J190" s="390"/>
      <c r="K190" s="390"/>
      <c r="L190" s="390"/>
      <c r="M190" s="390"/>
      <c r="N190" s="390"/>
      <c r="O190" s="390"/>
      <c r="P190" s="390"/>
      <c r="Q190" s="390"/>
      <c r="R190" s="390"/>
      <c r="S190" s="390"/>
    </row>
    <row r="191" customFormat="false" ht="11.45" hidden="false" customHeight="false" outlineLevel="0" collapsed="false">
      <c r="A191" s="383" t="str">
        <f aca="false">TEXT(DATE(YEAR(B$2),MONTH(B$2)+(D191-1),1),"Mmm")</f>
        <v>Oct</v>
      </c>
      <c r="B191" s="384" t="n">
        <f aca="false">B190+1</f>
        <v>44481</v>
      </c>
      <c r="C191" s="385" t="n">
        <v>28</v>
      </c>
      <c r="D191" s="385" t="n">
        <v>7</v>
      </c>
      <c r="E191" s="387"/>
      <c r="F191" s="388" t="n">
        <v>2</v>
      </c>
      <c r="G191" s="390"/>
      <c r="H191" s="390"/>
      <c r="I191" s="390"/>
      <c r="J191" s="390"/>
      <c r="K191" s="390"/>
      <c r="L191" s="390"/>
      <c r="M191" s="390"/>
      <c r="N191" s="390"/>
      <c r="O191" s="390"/>
      <c r="P191" s="390"/>
      <c r="Q191" s="390"/>
      <c r="R191" s="390"/>
      <c r="S191" s="390"/>
    </row>
    <row r="192" customFormat="false" ht="11.45" hidden="false" customHeight="false" outlineLevel="0" collapsed="false">
      <c r="A192" s="383" t="str">
        <f aca="false">TEXT(DATE(YEAR(B$2),MONTH(B$2)+(D192-1),1),"Mmm")</f>
        <v>Oct</v>
      </c>
      <c r="B192" s="384" t="n">
        <f aca="false">B191+1</f>
        <v>44482</v>
      </c>
      <c r="C192" s="385" t="n">
        <v>28</v>
      </c>
      <c r="D192" s="385" t="n">
        <v>7</v>
      </c>
      <c r="E192" s="387"/>
      <c r="F192" s="388" t="n">
        <v>2</v>
      </c>
      <c r="G192" s="390"/>
      <c r="H192" s="390"/>
      <c r="I192" s="390"/>
      <c r="J192" s="390"/>
      <c r="K192" s="390"/>
      <c r="L192" s="390"/>
      <c r="M192" s="390"/>
      <c r="N192" s="390"/>
      <c r="O192" s="390"/>
      <c r="P192" s="390"/>
      <c r="Q192" s="390"/>
      <c r="R192" s="390"/>
      <c r="S192" s="390"/>
    </row>
    <row r="193" customFormat="false" ht="11.45" hidden="false" customHeight="false" outlineLevel="0" collapsed="false">
      <c r="A193" s="383" t="str">
        <f aca="false">TEXT(DATE(YEAR(B$2),MONTH(B$2)+(D193-1),1),"Mmm")</f>
        <v>Oct</v>
      </c>
      <c r="B193" s="384" t="n">
        <f aca="false">B192+1</f>
        <v>44483</v>
      </c>
      <c r="C193" s="385" t="n">
        <v>28</v>
      </c>
      <c r="D193" s="385" t="n">
        <v>7</v>
      </c>
      <c r="E193" s="387"/>
      <c r="F193" s="388" t="n">
        <v>2</v>
      </c>
      <c r="G193" s="390"/>
      <c r="H193" s="390"/>
      <c r="I193" s="390"/>
      <c r="J193" s="390"/>
      <c r="K193" s="390"/>
      <c r="L193" s="390"/>
      <c r="M193" s="390"/>
      <c r="N193" s="390"/>
      <c r="O193" s="390"/>
      <c r="P193" s="390"/>
      <c r="Q193" s="390"/>
      <c r="R193" s="390"/>
      <c r="S193" s="390"/>
    </row>
    <row r="194" customFormat="false" ht="11.45" hidden="false" customHeight="false" outlineLevel="0" collapsed="false">
      <c r="A194" s="383" t="str">
        <f aca="false">TEXT(DATE(YEAR(B$2),MONTH(B$2)+(D194-1),1),"Mmm")</f>
        <v>Oct</v>
      </c>
      <c r="B194" s="384" t="n">
        <f aca="false">B193+1</f>
        <v>44484</v>
      </c>
      <c r="C194" s="385" t="n">
        <v>28</v>
      </c>
      <c r="D194" s="385" t="n">
        <v>7</v>
      </c>
      <c r="E194" s="387"/>
      <c r="F194" s="388" t="n">
        <v>2</v>
      </c>
      <c r="G194" s="390"/>
      <c r="H194" s="390"/>
      <c r="I194" s="390"/>
      <c r="J194" s="390"/>
      <c r="K194" s="390"/>
      <c r="L194" s="390"/>
      <c r="M194" s="390"/>
      <c r="N194" s="390"/>
      <c r="O194" s="390"/>
      <c r="P194" s="390"/>
      <c r="Q194" s="390"/>
      <c r="R194" s="390"/>
      <c r="S194" s="390"/>
    </row>
    <row r="195" customFormat="false" ht="11.45" hidden="false" customHeight="false" outlineLevel="0" collapsed="false">
      <c r="A195" s="383" t="str">
        <f aca="false">TEXT(DATE(YEAR(B$2),MONTH(B$2)+(D195-1),1),"Mmm")</f>
        <v>Oct</v>
      </c>
      <c r="B195" s="384" t="n">
        <f aca="false">B194+1</f>
        <v>44485</v>
      </c>
      <c r="C195" s="385" t="n">
        <v>28</v>
      </c>
      <c r="D195" s="385" t="n">
        <v>7</v>
      </c>
      <c r="E195" s="387"/>
      <c r="F195" s="388" t="n">
        <v>2</v>
      </c>
      <c r="G195" s="390"/>
      <c r="H195" s="390"/>
      <c r="I195" s="390"/>
      <c r="J195" s="390"/>
      <c r="K195" s="390"/>
      <c r="L195" s="390"/>
      <c r="M195" s="390"/>
      <c r="N195" s="390"/>
      <c r="O195" s="390"/>
      <c r="P195" s="390"/>
      <c r="Q195" s="390"/>
      <c r="R195" s="390"/>
      <c r="S195" s="390"/>
    </row>
    <row r="196" customFormat="false" ht="11.45" hidden="false" customHeight="false" outlineLevel="0" collapsed="false">
      <c r="A196" s="383" t="str">
        <f aca="false">TEXT(DATE(YEAR(B$2),MONTH(B$2)+(D196-1),1),"Mmm")</f>
        <v>Oct</v>
      </c>
      <c r="B196" s="384" t="n">
        <f aca="false">B195+1</f>
        <v>44486</v>
      </c>
      <c r="C196" s="385" t="n">
        <v>29</v>
      </c>
      <c r="D196" s="385" t="n">
        <v>7</v>
      </c>
      <c r="E196" s="387"/>
      <c r="F196" s="388" t="n">
        <v>3</v>
      </c>
      <c r="G196" s="390"/>
      <c r="H196" s="390"/>
      <c r="I196" s="390"/>
      <c r="J196" s="390"/>
      <c r="K196" s="390"/>
      <c r="L196" s="390"/>
      <c r="M196" s="390"/>
      <c r="N196" s="390"/>
      <c r="O196" s="390"/>
      <c r="P196" s="390"/>
      <c r="Q196" s="390"/>
      <c r="R196" s="390"/>
      <c r="S196" s="390"/>
    </row>
    <row r="197" customFormat="false" ht="11.45" hidden="false" customHeight="false" outlineLevel="0" collapsed="false">
      <c r="A197" s="383" t="str">
        <f aca="false">TEXT(DATE(YEAR(B$2),MONTH(B$2)+(D197-1),1),"Mmm")</f>
        <v>Oct</v>
      </c>
      <c r="B197" s="384" t="n">
        <f aca="false">B196+1</f>
        <v>44487</v>
      </c>
      <c r="C197" s="385" t="n">
        <v>29</v>
      </c>
      <c r="D197" s="385" t="n">
        <v>7</v>
      </c>
      <c r="E197" s="387"/>
      <c r="F197" s="388" t="n">
        <v>3</v>
      </c>
      <c r="G197" s="390"/>
      <c r="H197" s="390"/>
      <c r="I197" s="390"/>
      <c r="J197" s="390"/>
      <c r="K197" s="390"/>
      <c r="L197" s="390"/>
      <c r="M197" s="390"/>
      <c r="N197" s="390"/>
      <c r="O197" s="390"/>
      <c r="P197" s="390"/>
      <c r="Q197" s="390"/>
      <c r="R197" s="390"/>
      <c r="S197" s="390"/>
    </row>
    <row r="198" customFormat="false" ht="11.45" hidden="false" customHeight="false" outlineLevel="0" collapsed="false">
      <c r="A198" s="383" t="str">
        <f aca="false">TEXT(DATE(YEAR(B$2),MONTH(B$2)+(D198-1),1),"Mmm")</f>
        <v>Oct</v>
      </c>
      <c r="B198" s="384" t="n">
        <f aca="false">B197+1</f>
        <v>44488</v>
      </c>
      <c r="C198" s="385" t="n">
        <v>29</v>
      </c>
      <c r="D198" s="385" t="n">
        <v>7</v>
      </c>
      <c r="E198" s="387"/>
      <c r="F198" s="388" t="n">
        <v>3</v>
      </c>
      <c r="G198" s="390"/>
      <c r="H198" s="390"/>
      <c r="I198" s="390"/>
      <c r="J198" s="390"/>
      <c r="K198" s="390"/>
      <c r="L198" s="390"/>
      <c r="M198" s="390"/>
      <c r="N198" s="390"/>
      <c r="O198" s="390"/>
      <c r="P198" s="390"/>
      <c r="Q198" s="390"/>
      <c r="R198" s="390"/>
      <c r="S198" s="390"/>
    </row>
    <row r="199" customFormat="false" ht="11.45" hidden="false" customHeight="false" outlineLevel="0" collapsed="false">
      <c r="A199" s="383" t="str">
        <f aca="false">TEXT(DATE(YEAR(B$2),MONTH(B$2)+(D199-1),1),"Mmm")</f>
        <v>Oct</v>
      </c>
      <c r="B199" s="384" t="n">
        <f aca="false">B198+1</f>
        <v>44489</v>
      </c>
      <c r="C199" s="385" t="n">
        <v>29</v>
      </c>
      <c r="D199" s="385" t="n">
        <v>7</v>
      </c>
      <c r="E199" s="387"/>
      <c r="F199" s="388" t="n">
        <v>3</v>
      </c>
      <c r="G199" s="390"/>
      <c r="H199" s="390"/>
      <c r="I199" s="390"/>
      <c r="J199" s="390"/>
      <c r="K199" s="390"/>
      <c r="L199" s="390"/>
      <c r="M199" s="390"/>
      <c r="N199" s="390"/>
      <c r="O199" s="390"/>
      <c r="P199" s="390"/>
      <c r="Q199" s="390"/>
      <c r="R199" s="390"/>
      <c r="S199" s="390"/>
    </row>
    <row r="200" customFormat="false" ht="11.45" hidden="false" customHeight="false" outlineLevel="0" collapsed="false">
      <c r="A200" s="383" t="str">
        <f aca="false">TEXT(DATE(YEAR(B$2),MONTH(B$2)+(D200-1),1),"Mmm")</f>
        <v>Oct</v>
      </c>
      <c r="B200" s="384" t="n">
        <f aca="false">B199+1</f>
        <v>44490</v>
      </c>
      <c r="C200" s="385" t="n">
        <v>29</v>
      </c>
      <c r="D200" s="385" t="n">
        <v>7</v>
      </c>
      <c r="E200" s="387"/>
      <c r="F200" s="388" t="n">
        <v>3</v>
      </c>
      <c r="G200" s="390"/>
      <c r="H200" s="390"/>
      <c r="I200" s="390"/>
      <c r="J200" s="390"/>
      <c r="K200" s="390"/>
      <c r="L200" s="390"/>
      <c r="M200" s="390"/>
      <c r="N200" s="390"/>
      <c r="O200" s="390"/>
      <c r="P200" s="390"/>
      <c r="Q200" s="390"/>
      <c r="R200" s="390"/>
      <c r="S200" s="390"/>
    </row>
    <row r="201" customFormat="false" ht="11.45" hidden="false" customHeight="false" outlineLevel="0" collapsed="false">
      <c r="A201" s="383" t="str">
        <f aca="false">TEXT(DATE(YEAR(B$2),MONTH(B$2)+(D201-1),1),"Mmm")</f>
        <v>Oct</v>
      </c>
      <c r="B201" s="384" t="n">
        <f aca="false">B200+1</f>
        <v>44491</v>
      </c>
      <c r="C201" s="385" t="n">
        <v>29</v>
      </c>
      <c r="D201" s="385" t="n">
        <v>7</v>
      </c>
      <c r="E201" s="387"/>
      <c r="F201" s="388" t="n">
        <v>3</v>
      </c>
      <c r="G201" s="390"/>
      <c r="H201" s="390"/>
      <c r="I201" s="390"/>
      <c r="J201" s="390"/>
      <c r="K201" s="390"/>
      <c r="L201" s="390"/>
      <c r="M201" s="390"/>
      <c r="N201" s="390"/>
      <c r="O201" s="390"/>
      <c r="P201" s="390"/>
      <c r="Q201" s="390"/>
      <c r="R201" s="390"/>
      <c r="S201" s="390"/>
    </row>
    <row r="202" customFormat="false" ht="11.45" hidden="false" customHeight="false" outlineLevel="0" collapsed="false">
      <c r="A202" s="383" t="str">
        <f aca="false">TEXT(DATE(YEAR(B$2),MONTH(B$2)+(D202-1),1),"Mmm")</f>
        <v>Oct</v>
      </c>
      <c r="B202" s="384" t="n">
        <f aca="false">B201+1</f>
        <v>44492</v>
      </c>
      <c r="C202" s="385" t="n">
        <v>29</v>
      </c>
      <c r="D202" s="385" t="n">
        <v>7</v>
      </c>
      <c r="E202" s="387"/>
      <c r="F202" s="388" t="n">
        <v>3</v>
      </c>
      <c r="G202" s="390"/>
      <c r="H202" s="390"/>
      <c r="I202" s="390"/>
      <c r="J202" s="390"/>
      <c r="K202" s="390"/>
      <c r="L202" s="390"/>
      <c r="M202" s="390"/>
      <c r="N202" s="390"/>
      <c r="O202" s="390"/>
      <c r="P202" s="390"/>
      <c r="Q202" s="390"/>
      <c r="R202" s="390"/>
      <c r="S202" s="390"/>
    </row>
    <row r="203" customFormat="false" ht="11.45" hidden="false" customHeight="false" outlineLevel="0" collapsed="false">
      <c r="A203" s="383" t="str">
        <f aca="false">TEXT(DATE(YEAR(B$2),MONTH(B$2)+(D203-1),1),"Mmm")</f>
        <v>Oct</v>
      </c>
      <c r="B203" s="384" t="n">
        <f aca="false">B202+1</f>
        <v>44493</v>
      </c>
      <c r="C203" s="385" t="n">
        <v>30</v>
      </c>
      <c r="D203" s="385" t="n">
        <v>7</v>
      </c>
      <c r="E203" s="387"/>
      <c r="F203" s="388" t="n">
        <v>4</v>
      </c>
      <c r="G203" s="390"/>
      <c r="H203" s="390"/>
      <c r="I203" s="390"/>
      <c r="J203" s="390"/>
      <c r="K203" s="390"/>
      <c r="L203" s="390"/>
      <c r="M203" s="390"/>
      <c r="N203" s="390"/>
      <c r="O203" s="390"/>
      <c r="P203" s="390"/>
      <c r="Q203" s="390"/>
      <c r="R203" s="390"/>
      <c r="S203" s="390"/>
    </row>
    <row r="204" customFormat="false" ht="11.45" hidden="false" customHeight="false" outlineLevel="0" collapsed="false">
      <c r="A204" s="383" t="str">
        <f aca="false">TEXT(DATE(YEAR(B$2),MONTH(B$2)+(D204-1),1),"Mmm")</f>
        <v>Oct</v>
      </c>
      <c r="B204" s="384" t="n">
        <f aca="false">B203+1</f>
        <v>44494</v>
      </c>
      <c r="C204" s="385" t="n">
        <v>30</v>
      </c>
      <c r="D204" s="385" t="n">
        <v>7</v>
      </c>
      <c r="E204" s="387"/>
      <c r="F204" s="388" t="n">
        <v>4</v>
      </c>
      <c r="G204" s="390"/>
      <c r="H204" s="390"/>
      <c r="I204" s="390"/>
      <c r="J204" s="390"/>
      <c r="K204" s="390"/>
      <c r="L204" s="390"/>
      <c r="M204" s="390"/>
      <c r="N204" s="390"/>
      <c r="O204" s="390"/>
      <c r="P204" s="390"/>
      <c r="Q204" s="390"/>
      <c r="R204" s="390"/>
      <c r="S204" s="390"/>
    </row>
    <row r="205" customFormat="false" ht="11.45" hidden="false" customHeight="false" outlineLevel="0" collapsed="false">
      <c r="A205" s="383" t="str">
        <f aca="false">TEXT(DATE(YEAR(B$2),MONTH(B$2)+(D205-1),1),"Mmm")</f>
        <v>Oct</v>
      </c>
      <c r="B205" s="384" t="n">
        <f aca="false">B204+1</f>
        <v>44495</v>
      </c>
      <c r="C205" s="385" t="n">
        <v>30</v>
      </c>
      <c r="D205" s="385" t="n">
        <v>7</v>
      </c>
      <c r="E205" s="387"/>
      <c r="F205" s="388" t="n">
        <v>4</v>
      </c>
      <c r="G205" s="390"/>
      <c r="H205" s="390"/>
      <c r="I205" s="390"/>
      <c r="J205" s="390"/>
      <c r="K205" s="390"/>
      <c r="L205" s="390"/>
      <c r="M205" s="390"/>
      <c r="N205" s="390"/>
      <c r="O205" s="390"/>
      <c r="P205" s="390"/>
      <c r="Q205" s="390"/>
      <c r="R205" s="390"/>
      <c r="S205" s="390"/>
    </row>
    <row r="206" customFormat="false" ht="11.45" hidden="false" customHeight="false" outlineLevel="0" collapsed="false">
      <c r="A206" s="383" t="str">
        <f aca="false">TEXT(DATE(YEAR(B$2),MONTH(B$2)+(D206-1),1),"Mmm")</f>
        <v>Oct</v>
      </c>
      <c r="B206" s="384" t="n">
        <f aca="false">B205+1</f>
        <v>44496</v>
      </c>
      <c r="C206" s="385" t="n">
        <v>30</v>
      </c>
      <c r="D206" s="385" t="n">
        <v>7</v>
      </c>
      <c r="E206" s="387"/>
      <c r="F206" s="388" t="n">
        <v>4</v>
      </c>
      <c r="G206" s="390"/>
      <c r="H206" s="390"/>
      <c r="I206" s="390"/>
      <c r="J206" s="390"/>
      <c r="K206" s="390"/>
      <c r="L206" s="390"/>
      <c r="M206" s="390"/>
      <c r="N206" s="390"/>
      <c r="O206" s="390"/>
      <c r="P206" s="390"/>
      <c r="Q206" s="390"/>
      <c r="R206" s="390"/>
      <c r="S206" s="390"/>
    </row>
    <row r="207" customFormat="false" ht="11.45" hidden="false" customHeight="false" outlineLevel="0" collapsed="false">
      <c r="A207" s="383" t="str">
        <f aca="false">TEXT(DATE(YEAR(B$2),MONTH(B$2)+(D207-1),1),"Mmm")</f>
        <v>Oct</v>
      </c>
      <c r="B207" s="384" t="n">
        <f aca="false">B206+1</f>
        <v>44497</v>
      </c>
      <c r="C207" s="385" t="n">
        <v>30</v>
      </c>
      <c r="D207" s="385" t="n">
        <v>7</v>
      </c>
      <c r="E207" s="387"/>
      <c r="F207" s="388" t="n">
        <v>4</v>
      </c>
      <c r="G207" s="390"/>
      <c r="H207" s="390"/>
      <c r="I207" s="390"/>
      <c r="J207" s="390"/>
      <c r="K207" s="390"/>
      <c r="L207" s="390"/>
      <c r="M207" s="390"/>
      <c r="N207" s="390"/>
      <c r="O207" s="390"/>
      <c r="P207" s="390"/>
      <c r="Q207" s="390"/>
      <c r="R207" s="390"/>
      <c r="S207" s="390"/>
    </row>
    <row r="208" customFormat="false" ht="11.45" hidden="false" customHeight="false" outlineLevel="0" collapsed="false">
      <c r="A208" s="383" t="str">
        <f aca="false">TEXT(DATE(YEAR(B$2),MONTH(B$2)+(D208-1),1),"Mmm")</f>
        <v>Oct</v>
      </c>
      <c r="B208" s="384" t="n">
        <f aca="false">B207+1</f>
        <v>44498</v>
      </c>
      <c r="C208" s="385" t="n">
        <v>30</v>
      </c>
      <c r="D208" s="385" t="n">
        <v>7</v>
      </c>
      <c r="E208" s="387"/>
      <c r="F208" s="388" t="n">
        <v>4</v>
      </c>
      <c r="G208" s="390"/>
      <c r="H208" s="390"/>
      <c r="I208" s="390"/>
      <c r="J208" s="390"/>
      <c r="K208" s="390"/>
      <c r="L208" s="390"/>
      <c r="M208" s="390"/>
      <c r="N208" s="390"/>
      <c r="O208" s="390"/>
      <c r="P208" s="390"/>
      <c r="Q208" s="390"/>
      <c r="R208" s="390"/>
      <c r="S208" s="390"/>
    </row>
    <row r="209" customFormat="false" ht="11.45" hidden="false" customHeight="false" outlineLevel="0" collapsed="false">
      <c r="A209" s="383" t="str">
        <f aca="false">TEXT(DATE(YEAR(B$2),MONTH(B$2)+(D209-1),1),"Mmm")</f>
        <v>Oct</v>
      </c>
      <c r="B209" s="384" t="n">
        <f aca="false">B208+1</f>
        <v>44499</v>
      </c>
      <c r="C209" s="385" t="n">
        <v>30</v>
      </c>
      <c r="D209" s="385" t="n">
        <v>7</v>
      </c>
      <c r="E209" s="387"/>
      <c r="F209" s="388" t="n">
        <v>4</v>
      </c>
      <c r="G209" s="390"/>
      <c r="H209" s="390"/>
      <c r="I209" s="390"/>
      <c r="J209" s="390"/>
      <c r="K209" s="390"/>
      <c r="L209" s="390"/>
      <c r="M209" s="390"/>
      <c r="N209" s="390"/>
      <c r="O209" s="390"/>
      <c r="P209" s="390"/>
      <c r="Q209" s="390"/>
      <c r="R209" s="390"/>
      <c r="S209" s="390"/>
    </row>
    <row r="210" customFormat="false" ht="11.45" hidden="false" customHeight="false" outlineLevel="0" collapsed="false">
      <c r="A210" s="383" t="str">
        <f aca="false">TEXT(DATE(YEAR(B$2),MONTH(B$2)+(D210-1),1),"Mmm")</f>
        <v>Nov</v>
      </c>
      <c r="B210" s="384" t="n">
        <f aca="false">B209+1</f>
        <v>44500</v>
      </c>
      <c r="C210" s="385" t="n">
        <v>31</v>
      </c>
      <c r="D210" s="385" t="n">
        <v>8</v>
      </c>
      <c r="E210" s="387"/>
      <c r="F210" s="388" t="n">
        <v>1</v>
      </c>
      <c r="G210" s="390"/>
      <c r="H210" s="390"/>
      <c r="I210" s="390"/>
      <c r="J210" s="390"/>
      <c r="K210" s="390"/>
      <c r="L210" s="390"/>
      <c r="M210" s="390"/>
      <c r="N210" s="390"/>
      <c r="O210" s="390"/>
      <c r="P210" s="390"/>
      <c r="Q210" s="390"/>
      <c r="R210" s="390"/>
      <c r="S210" s="390"/>
    </row>
    <row r="211" customFormat="false" ht="11.45" hidden="false" customHeight="false" outlineLevel="0" collapsed="false">
      <c r="A211" s="383" t="str">
        <f aca="false">TEXT(DATE(YEAR(B$2),MONTH(B$2)+(D211-1),1),"Mmm")</f>
        <v>Nov</v>
      </c>
      <c r="B211" s="384" t="n">
        <f aca="false">B210+1</f>
        <v>44501</v>
      </c>
      <c r="C211" s="385" t="n">
        <v>31</v>
      </c>
      <c r="D211" s="385" t="n">
        <v>8</v>
      </c>
      <c r="E211" s="387"/>
      <c r="F211" s="388" t="n">
        <v>1</v>
      </c>
      <c r="G211" s="390"/>
      <c r="H211" s="390"/>
      <c r="I211" s="390"/>
      <c r="J211" s="390"/>
      <c r="K211" s="390"/>
      <c r="L211" s="390"/>
      <c r="M211" s="390"/>
      <c r="N211" s="390"/>
      <c r="O211" s="390"/>
      <c r="P211" s="390"/>
      <c r="Q211" s="390"/>
      <c r="R211" s="390"/>
      <c r="S211" s="390"/>
    </row>
    <row r="212" customFormat="false" ht="10.5" hidden="false" customHeight="false" outlineLevel="0" collapsed="false">
      <c r="A212" s="383" t="str">
        <f aca="false">TEXT(DATE(YEAR(B$2),MONTH(B$2)+(D212-1),1),"Mmm")</f>
        <v>Nov</v>
      </c>
      <c r="B212" s="384" t="n">
        <f aca="false">B211+1</f>
        <v>44502</v>
      </c>
      <c r="C212" s="385" t="n">
        <v>31</v>
      </c>
      <c r="D212" s="385" t="n">
        <v>8</v>
      </c>
      <c r="E212" s="387"/>
      <c r="F212" s="385" t="n">
        <v>1</v>
      </c>
      <c r="G212" s="390"/>
      <c r="H212" s="390"/>
      <c r="I212" s="390"/>
      <c r="J212" s="390"/>
      <c r="K212" s="390"/>
      <c r="L212" s="390"/>
      <c r="M212" s="390"/>
      <c r="N212" s="390"/>
      <c r="O212" s="390"/>
      <c r="P212" s="390"/>
      <c r="Q212" s="390"/>
      <c r="R212" s="390"/>
      <c r="S212" s="390"/>
    </row>
    <row r="213" customFormat="false" ht="11.45" hidden="false" customHeight="false" outlineLevel="0" collapsed="false">
      <c r="A213" s="383" t="str">
        <f aca="false">TEXT(DATE(YEAR(B$2),MONTH(B$2)+(D213-1),1),"Mmm")</f>
        <v>Nov</v>
      </c>
      <c r="B213" s="384" t="n">
        <f aca="false">B212+1</f>
        <v>44503</v>
      </c>
      <c r="C213" s="385" t="n">
        <v>31</v>
      </c>
      <c r="D213" s="385" t="n">
        <v>8</v>
      </c>
      <c r="E213" s="387"/>
      <c r="F213" s="388" t="n">
        <v>1</v>
      </c>
      <c r="G213" s="390"/>
      <c r="H213" s="390"/>
      <c r="I213" s="390"/>
      <c r="J213" s="390"/>
      <c r="K213" s="390"/>
      <c r="L213" s="390"/>
      <c r="M213" s="390"/>
      <c r="N213" s="390"/>
      <c r="O213" s="390"/>
      <c r="P213" s="390"/>
      <c r="Q213" s="390"/>
      <c r="R213" s="390"/>
      <c r="S213" s="390"/>
    </row>
    <row r="214" customFormat="false" ht="11.45" hidden="false" customHeight="false" outlineLevel="0" collapsed="false">
      <c r="A214" s="383" t="str">
        <f aca="false">TEXT(DATE(YEAR(B$2),MONTH(B$2)+(D214-1),1),"Mmm")</f>
        <v>Nov</v>
      </c>
      <c r="B214" s="384" t="n">
        <f aca="false">B213+1</f>
        <v>44504</v>
      </c>
      <c r="C214" s="385" t="n">
        <v>31</v>
      </c>
      <c r="D214" s="385" t="n">
        <v>8</v>
      </c>
      <c r="E214" s="387"/>
      <c r="F214" s="388" t="n">
        <v>1</v>
      </c>
      <c r="G214" s="390"/>
      <c r="H214" s="390"/>
      <c r="I214" s="390"/>
      <c r="J214" s="390"/>
      <c r="K214" s="390"/>
      <c r="L214" s="390"/>
      <c r="M214" s="390"/>
      <c r="N214" s="390"/>
      <c r="O214" s="390"/>
      <c r="P214" s="390"/>
      <c r="Q214" s="390"/>
      <c r="R214" s="390"/>
      <c r="S214" s="390"/>
    </row>
    <row r="215" customFormat="false" ht="11.45" hidden="false" customHeight="false" outlineLevel="0" collapsed="false">
      <c r="A215" s="383" t="str">
        <f aca="false">TEXT(DATE(YEAR(B$2),MONTH(B$2)+(D215-1),1),"Mmm")</f>
        <v>Nov</v>
      </c>
      <c r="B215" s="384" t="n">
        <f aca="false">B214+1</f>
        <v>44505</v>
      </c>
      <c r="C215" s="385" t="n">
        <v>31</v>
      </c>
      <c r="D215" s="385" t="n">
        <v>8</v>
      </c>
      <c r="E215" s="387"/>
      <c r="F215" s="388" t="n">
        <v>1</v>
      </c>
      <c r="G215" s="390"/>
      <c r="H215" s="390"/>
      <c r="I215" s="390"/>
      <c r="J215" s="390"/>
      <c r="K215" s="390"/>
      <c r="L215" s="390"/>
      <c r="M215" s="390"/>
      <c r="N215" s="390"/>
      <c r="O215" s="390"/>
      <c r="P215" s="390"/>
      <c r="Q215" s="390"/>
      <c r="R215" s="390"/>
      <c r="S215" s="390"/>
    </row>
    <row r="216" customFormat="false" ht="11.45" hidden="false" customHeight="false" outlineLevel="0" collapsed="false">
      <c r="A216" s="383" t="str">
        <f aca="false">TEXT(DATE(YEAR(B$2),MONTH(B$2)+(D216-1),1),"Mmm")</f>
        <v>Nov</v>
      </c>
      <c r="B216" s="384" t="n">
        <f aca="false">B215+1</f>
        <v>44506</v>
      </c>
      <c r="C216" s="385" t="n">
        <v>31</v>
      </c>
      <c r="D216" s="385" t="n">
        <v>8</v>
      </c>
      <c r="E216" s="391"/>
      <c r="F216" s="388" t="n">
        <v>1</v>
      </c>
      <c r="G216" s="390"/>
      <c r="H216" s="390"/>
      <c r="I216" s="390"/>
      <c r="J216" s="390"/>
      <c r="K216" s="390"/>
      <c r="L216" s="390"/>
      <c r="M216" s="390"/>
      <c r="N216" s="390"/>
      <c r="O216" s="390"/>
      <c r="P216" s="390"/>
      <c r="Q216" s="390"/>
      <c r="R216" s="390"/>
      <c r="S216" s="390"/>
    </row>
    <row r="217" customFormat="false" ht="11.45" hidden="false" customHeight="false" outlineLevel="0" collapsed="false">
      <c r="A217" s="383" t="str">
        <f aca="false">TEXT(DATE(YEAR(B$2),MONTH(B$2)+(D217-1),1),"Mmm")</f>
        <v>Nov</v>
      </c>
      <c r="B217" s="384" t="n">
        <f aca="false">B216+1</f>
        <v>44507</v>
      </c>
      <c r="C217" s="385" t="n">
        <v>32</v>
      </c>
      <c r="D217" s="385" t="n">
        <v>8</v>
      </c>
      <c r="E217" s="387"/>
      <c r="F217" s="388" t="n">
        <v>2</v>
      </c>
      <c r="G217" s="390"/>
      <c r="H217" s="390"/>
      <c r="I217" s="390"/>
      <c r="J217" s="390"/>
      <c r="K217" s="390"/>
      <c r="L217" s="390"/>
      <c r="M217" s="390"/>
      <c r="N217" s="390"/>
      <c r="O217" s="390"/>
      <c r="P217" s="390"/>
      <c r="Q217" s="390"/>
      <c r="R217" s="390"/>
      <c r="S217" s="390"/>
    </row>
    <row r="218" customFormat="false" ht="11.45" hidden="false" customHeight="false" outlineLevel="0" collapsed="false">
      <c r="A218" s="383" t="str">
        <f aca="false">TEXT(DATE(YEAR(B$2),MONTH(B$2)+(D218-1),1),"Mmm")</f>
        <v>Nov</v>
      </c>
      <c r="B218" s="384" t="n">
        <f aca="false">B217+1</f>
        <v>44508</v>
      </c>
      <c r="C218" s="385" t="n">
        <v>32</v>
      </c>
      <c r="D218" s="385" t="n">
        <v>8</v>
      </c>
      <c r="E218" s="387"/>
      <c r="F218" s="388" t="n">
        <v>2</v>
      </c>
      <c r="G218" s="390"/>
      <c r="H218" s="390"/>
      <c r="I218" s="390"/>
      <c r="J218" s="390"/>
      <c r="K218" s="390"/>
      <c r="L218" s="390"/>
      <c r="M218" s="390"/>
      <c r="N218" s="390"/>
      <c r="O218" s="390"/>
      <c r="P218" s="390"/>
      <c r="Q218" s="390"/>
      <c r="R218" s="390"/>
      <c r="S218" s="390"/>
    </row>
    <row r="219" customFormat="false" ht="11.45" hidden="false" customHeight="false" outlineLevel="0" collapsed="false">
      <c r="A219" s="383" t="str">
        <f aca="false">TEXT(DATE(YEAR(B$2),MONTH(B$2)+(D219-1),1),"Mmm")</f>
        <v>Nov</v>
      </c>
      <c r="B219" s="384" t="n">
        <f aca="false">B218+1</f>
        <v>44509</v>
      </c>
      <c r="C219" s="385" t="n">
        <v>32</v>
      </c>
      <c r="D219" s="385" t="n">
        <v>8</v>
      </c>
      <c r="E219" s="387"/>
      <c r="F219" s="388" t="n">
        <v>2</v>
      </c>
      <c r="G219" s="390"/>
      <c r="H219" s="390"/>
      <c r="I219" s="390"/>
      <c r="J219" s="390"/>
      <c r="K219" s="390"/>
      <c r="L219" s="390"/>
      <c r="M219" s="390"/>
      <c r="N219" s="390"/>
      <c r="O219" s="390"/>
      <c r="P219" s="390"/>
      <c r="Q219" s="390"/>
      <c r="R219" s="390"/>
      <c r="S219" s="390"/>
    </row>
    <row r="220" customFormat="false" ht="11.45" hidden="false" customHeight="false" outlineLevel="0" collapsed="false">
      <c r="A220" s="383" t="str">
        <f aca="false">TEXT(DATE(YEAR(B$2),MONTH(B$2)+(D220-1),1),"Mmm")</f>
        <v>Nov</v>
      </c>
      <c r="B220" s="384" t="n">
        <f aca="false">B219+1</f>
        <v>44510</v>
      </c>
      <c r="C220" s="385" t="n">
        <v>32</v>
      </c>
      <c r="D220" s="385" t="n">
        <v>8</v>
      </c>
      <c r="E220" s="387"/>
      <c r="F220" s="388" t="n">
        <v>2</v>
      </c>
      <c r="G220" s="390"/>
      <c r="H220" s="390"/>
      <c r="I220" s="390"/>
      <c r="J220" s="390"/>
      <c r="K220" s="390"/>
      <c r="L220" s="390"/>
      <c r="M220" s="390"/>
      <c r="N220" s="390"/>
      <c r="O220" s="390"/>
      <c r="P220" s="390"/>
      <c r="Q220" s="390"/>
      <c r="R220" s="390"/>
      <c r="S220" s="390"/>
    </row>
    <row r="221" customFormat="false" ht="11.45" hidden="false" customHeight="false" outlineLevel="0" collapsed="false">
      <c r="A221" s="383" t="str">
        <f aca="false">TEXT(DATE(YEAR(B$2),MONTH(B$2)+(D221-1),1),"Mmm")</f>
        <v>Nov</v>
      </c>
      <c r="B221" s="384" t="n">
        <f aca="false">B220+1</f>
        <v>44511</v>
      </c>
      <c r="C221" s="385" t="n">
        <v>32</v>
      </c>
      <c r="D221" s="385" t="n">
        <v>8</v>
      </c>
      <c r="E221" s="387"/>
      <c r="F221" s="388" t="n">
        <v>2</v>
      </c>
      <c r="G221" s="390"/>
      <c r="H221" s="390"/>
      <c r="I221" s="390"/>
      <c r="J221" s="390"/>
      <c r="K221" s="390"/>
      <c r="L221" s="390"/>
      <c r="M221" s="390"/>
      <c r="N221" s="390"/>
      <c r="O221" s="390"/>
      <c r="P221" s="390"/>
      <c r="Q221" s="390"/>
      <c r="R221" s="390"/>
      <c r="S221" s="390"/>
    </row>
    <row r="222" customFormat="false" ht="11.45" hidden="false" customHeight="false" outlineLevel="0" collapsed="false">
      <c r="A222" s="383" t="str">
        <f aca="false">TEXT(DATE(YEAR(B$2),MONTH(B$2)+(D222-1),1),"Mmm")</f>
        <v>Nov</v>
      </c>
      <c r="B222" s="384" t="n">
        <f aca="false">B221+1</f>
        <v>44512</v>
      </c>
      <c r="C222" s="385" t="n">
        <v>32</v>
      </c>
      <c r="D222" s="385" t="n">
        <v>8</v>
      </c>
      <c r="E222" s="387"/>
      <c r="F222" s="388" t="n">
        <v>2</v>
      </c>
      <c r="G222" s="390"/>
      <c r="H222" s="390"/>
      <c r="I222" s="390"/>
      <c r="J222" s="390"/>
      <c r="K222" s="390"/>
      <c r="L222" s="390"/>
      <c r="M222" s="390"/>
      <c r="N222" s="390"/>
      <c r="O222" s="390"/>
      <c r="P222" s="390"/>
      <c r="Q222" s="390"/>
      <c r="R222" s="390"/>
      <c r="S222" s="390"/>
    </row>
    <row r="223" customFormat="false" ht="11.45" hidden="false" customHeight="false" outlineLevel="0" collapsed="false">
      <c r="A223" s="383" t="str">
        <f aca="false">TEXT(DATE(YEAR(B$2),MONTH(B$2)+(D223-1),1),"Mmm")</f>
        <v>Nov</v>
      </c>
      <c r="B223" s="384" t="n">
        <f aca="false">B222+1</f>
        <v>44513</v>
      </c>
      <c r="C223" s="385" t="n">
        <v>32</v>
      </c>
      <c r="D223" s="385" t="n">
        <v>8</v>
      </c>
      <c r="E223" s="387"/>
      <c r="F223" s="388" t="n">
        <v>2</v>
      </c>
      <c r="G223" s="390"/>
      <c r="H223" s="390"/>
      <c r="I223" s="390"/>
      <c r="J223" s="390"/>
      <c r="K223" s="390"/>
      <c r="L223" s="390"/>
      <c r="M223" s="390"/>
      <c r="N223" s="390"/>
      <c r="O223" s="390"/>
      <c r="P223" s="390"/>
      <c r="Q223" s="390"/>
      <c r="R223" s="390"/>
      <c r="S223" s="390"/>
    </row>
    <row r="224" customFormat="false" ht="11.45" hidden="false" customHeight="false" outlineLevel="0" collapsed="false">
      <c r="A224" s="383" t="str">
        <f aca="false">TEXT(DATE(YEAR(B$2),MONTH(B$2)+(D224-1),1),"Mmm")</f>
        <v>Nov</v>
      </c>
      <c r="B224" s="384" t="n">
        <f aca="false">B223+1</f>
        <v>44514</v>
      </c>
      <c r="C224" s="385" t="n">
        <v>33</v>
      </c>
      <c r="D224" s="385" t="n">
        <v>8</v>
      </c>
      <c r="E224" s="387"/>
      <c r="F224" s="388" t="n">
        <v>3</v>
      </c>
      <c r="G224" s="390"/>
      <c r="H224" s="390"/>
      <c r="I224" s="390"/>
      <c r="J224" s="390"/>
      <c r="K224" s="390"/>
      <c r="L224" s="390"/>
      <c r="M224" s="390"/>
      <c r="N224" s="390"/>
      <c r="O224" s="390"/>
      <c r="P224" s="390"/>
      <c r="Q224" s="390"/>
      <c r="R224" s="390"/>
      <c r="S224" s="390"/>
    </row>
    <row r="225" customFormat="false" ht="11.45" hidden="false" customHeight="false" outlineLevel="0" collapsed="false">
      <c r="A225" s="383" t="str">
        <f aca="false">TEXT(DATE(YEAR(B$2),MONTH(B$2)+(D225-1),1),"Mmm")</f>
        <v>Nov</v>
      </c>
      <c r="B225" s="384" t="n">
        <f aca="false">B224+1</f>
        <v>44515</v>
      </c>
      <c r="C225" s="385" t="n">
        <v>33</v>
      </c>
      <c r="D225" s="385" t="n">
        <v>8</v>
      </c>
      <c r="E225" s="387"/>
      <c r="F225" s="388" t="n">
        <v>3</v>
      </c>
      <c r="G225" s="390"/>
      <c r="H225" s="390"/>
      <c r="I225" s="390"/>
      <c r="J225" s="390"/>
      <c r="K225" s="390"/>
      <c r="L225" s="390"/>
      <c r="M225" s="390"/>
      <c r="N225" s="390"/>
      <c r="O225" s="390"/>
      <c r="P225" s="390"/>
      <c r="Q225" s="390"/>
      <c r="R225" s="390"/>
      <c r="S225" s="390"/>
    </row>
    <row r="226" customFormat="false" ht="11.45" hidden="false" customHeight="false" outlineLevel="0" collapsed="false">
      <c r="A226" s="383" t="str">
        <f aca="false">TEXT(DATE(YEAR(B$2),MONTH(B$2)+(D226-1),1),"Mmm")</f>
        <v>Nov</v>
      </c>
      <c r="B226" s="384" t="n">
        <f aca="false">B225+1</f>
        <v>44516</v>
      </c>
      <c r="C226" s="385" t="n">
        <v>33</v>
      </c>
      <c r="D226" s="385" t="n">
        <v>8</v>
      </c>
      <c r="E226" s="387"/>
      <c r="F226" s="388" t="n">
        <v>3</v>
      </c>
      <c r="G226" s="390"/>
      <c r="H226" s="390"/>
      <c r="I226" s="390"/>
      <c r="J226" s="390"/>
      <c r="K226" s="390"/>
      <c r="L226" s="390"/>
      <c r="M226" s="390"/>
      <c r="N226" s="390"/>
      <c r="O226" s="390"/>
      <c r="P226" s="390"/>
      <c r="Q226" s="390"/>
      <c r="R226" s="390"/>
      <c r="S226" s="390"/>
    </row>
    <row r="227" customFormat="false" ht="11.45" hidden="false" customHeight="false" outlineLevel="0" collapsed="false">
      <c r="A227" s="383" t="str">
        <f aca="false">TEXT(DATE(YEAR(B$2),MONTH(B$2)+(D227-1),1),"Mmm")</f>
        <v>Nov</v>
      </c>
      <c r="B227" s="384" t="n">
        <f aca="false">B226+1</f>
        <v>44517</v>
      </c>
      <c r="C227" s="385" t="n">
        <v>33</v>
      </c>
      <c r="D227" s="385" t="n">
        <v>8</v>
      </c>
      <c r="E227" s="387"/>
      <c r="F227" s="388" t="n">
        <v>3</v>
      </c>
      <c r="G227" s="390"/>
      <c r="H227" s="390"/>
      <c r="I227" s="390"/>
      <c r="J227" s="390"/>
      <c r="K227" s="390"/>
      <c r="L227" s="390"/>
      <c r="M227" s="390"/>
      <c r="N227" s="390"/>
      <c r="O227" s="390"/>
      <c r="P227" s="390"/>
      <c r="Q227" s="390"/>
      <c r="R227" s="390"/>
      <c r="S227" s="390"/>
    </row>
    <row r="228" customFormat="false" ht="11.45" hidden="false" customHeight="false" outlineLevel="0" collapsed="false">
      <c r="A228" s="383" t="str">
        <f aca="false">TEXT(DATE(YEAR(B$2),MONTH(B$2)+(D228-1),1),"Mmm")</f>
        <v>Nov</v>
      </c>
      <c r="B228" s="384" t="n">
        <f aca="false">B227+1</f>
        <v>44518</v>
      </c>
      <c r="C228" s="385" t="n">
        <v>33</v>
      </c>
      <c r="D228" s="385" t="n">
        <v>8</v>
      </c>
      <c r="E228" s="387"/>
      <c r="F228" s="388" t="n">
        <v>3</v>
      </c>
      <c r="G228" s="390"/>
      <c r="H228" s="390"/>
      <c r="I228" s="390"/>
      <c r="J228" s="390"/>
      <c r="K228" s="390"/>
      <c r="L228" s="390"/>
      <c r="M228" s="390"/>
      <c r="N228" s="390"/>
      <c r="O228" s="390"/>
      <c r="P228" s="390"/>
      <c r="Q228" s="390"/>
      <c r="R228" s="390"/>
      <c r="S228" s="390"/>
    </row>
    <row r="229" customFormat="false" ht="11.45" hidden="false" customHeight="false" outlineLevel="0" collapsed="false">
      <c r="A229" s="383" t="str">
        <f aca="false">TEXT(DATE(YEAR(B$2),MONTH(B$2)+(D229-1),1),"Mmm")</f>
        <v>Nov</v>
      </c>
      <c r="B229" s="384" t="n">
        <f aca="false">B228+1</f>
        <v>44519</v>
      </c>
      <c r="C229" s="385" t="n">
        <v>33</v>
      </c>
      <c r="D229" s="385" t="n">
        <v>8</v>
      </c>
      <c r="E229" s="387"/>
      <c r="F229" s="388" t="n">
        <v>3</v>
      </c>
      <c r="G229" s="390"/>
      <c r="H229" s="390"/>
      <c r="I229" s="390"/>
      <c r="J229" s="390"/>
      <c r="K229" s="390"/>
      <c r="L229" s="390"/>
      <c r="M229" s="390"/>
      <c r="N229" s="390"/>
      <c r="O229" s="390"/>
      <c r="P229" s="390"/>
      <c r="Q229" s="390"/>
      <c r="R229" s="390"/>
      <c r="S229" s="390"/>
    </row>
    <row r="230" customFormat="false" ht="11.45" hidden="false" customHeight="false" outlineLevel="0" collapsed="false">
      <c r="A230" s="383" t="str">
        <f aca="false">TEXT(DATE(YEAR(B$2),MONTH(B$2)+(D230-1),1),"Mmm")</f>
        <v>Nov</v>
      </c>
      <c r="B230" s="384" t="n">
        <f aca="false">B229+1</f>
        <v>44520</v>
      </c>
      <c r="C230" s="385" t="n">
        <v>33</v>
      </c>
      <c r="D230" s="385" t="n">
        <v>8</v>
      </c>
      <c r="E230" s="387"/>
      <c r="F230" s="388" t="n">
        <v>3</v>
      </c>
      <c r="G230" s="390"/>
      <c r="H230" s="390"/>
      <c r="I230" s="390"/>
      <c r="J230" s="390"/>
      <c r="K230" s="390"/>
      <c r="L230" s="390"/>
      <c r="M230" s="390"/>
      <c r="N230" s="390"/>
      <c r="O230" s="390"/>
      <c r="P230" s="390"/>
      <c r="Q230" s="390"/>
      <c r="R230" s="390"/>
      <c r="S230" s="390"/>
    </row>
    <row r="231" customFormat="false" ht="11.45" hidden="false" customHeight="false" outlineLevel="0" collapsed="false">
      <c r="A231" s="383" t="str">
        <f aca="false">TEXT(DATE(YEAR(B$2),MONTH(B$2)+(D231-1),1),"Mmm")</f>
        <v>Nov</v>
      </c>
      <c r="B231" s="384" t="n">
        <f aca="false">B230+1</f>
        <v>44521</v>
      </c>
      <c r="C231" s="385" t="n">
        <v>34</v>
      </c>
      <c r="D231" s="385" t="n">
        <v>8</v>
      </c>
      <c r="E231" s="387"/>
      <c r="F231" s="388" t="n">
        <v>4</v>
      </c>
      <c r="G231" s="390"/>
      <c r="H231" s="390"/>
      <c r="I231" s="390"/>
      <c r="J231" s="390"/>
      <c r="K231" s="390"/>
      <c r="L231" s="390"/>
      <c r="M231" s="390"/>
      <c r="N231" s="390"/>
      <c r="O231" s="390"/>
      <c r="P231" s="390"/>
      <c r="Q231" s="390"/>
      <c r="R231" s="390"/>
      <c r="S231" s="390"/>
    </row>
    <row r="232" customFormat="false" ht="11.45" hidden="false" customHeight="false" outlineLevel="0" collapsed="false">
      <c r="A232" s="383" t="str">
        <f aca="false">TEXT(DATE(YEAR(B$2),MONTH(B$2)+(D232-1),1),"Mmm")</f>
        <v>Nov</v>
      </c>
      <c r="B232" s="384" t="n">
        <f aca="false">B231+1</f>
        <v>44522</v>
      </c>
      <c r="C232" s="385" t="n">
        <v>34</v>
      </c>
      <c r="D232" s="385" t="n">
        <v>8</v>
      </c>
      <c r="E232" s="387"/>
      <c r="F232" s="388" t="n">
        <v>4</v>
      </c>
      <c r="G232" s="390"/>
      <c r="H232" s="390"/>
      <c r="I232" s="390"/>
      <c r="J232" s="390"/>
      <c r="K232" s="390"/>
      <c r="L232" s="390"/>
      <c r="M232" s="390"/>
      <c r="N232" s="390"/>
      <c r="O232" s="390"/>
      <c r="P232" s="390"/>
      <c r="Q232" s="390"/>
      <c r="R232" s="390"/>
      <c r="S232" s="390"/>
    </row>
    <row r="233" customFormat="false" ht="11.45" hidden="false" customHeight="false" outlineLevel="0" collapsed="false">
      <c r="A233" s="383" t="str">
        <f aca="false">TEXT(DATE(YEAR(B$2),MONTH(B$2)+(D233-1),1),"Mmm")</f>
        <v>Nov</v>
      </c>
      <c r="B233" s="384" t="n">
        <f aca="false">B232+1</f>
        <v>44523</v>
      </c>
      <c r="C233" s="385" t="n">
        <v>34</v>
      </c>
      <c r="D233" s="385" t="n">
        <v>8</v>
      </c>
      <c r="E233" s="387"/>
      <c r="F233" s="388" t="n">
        <v>4</v>
      </c>
      <c r="G233" s="390"/>
      <c r="H233" s="390"/>
      <c r="I233" s="390"/>
      <c r="J233" s="390"/>
      <c r="K233" s="390"/>
      <c r="L233" s="390"/>
      <c r="M233" s="390"/>
      <c r="N233" s="390"/>
      <c r="O233" s="390"/>
      <c r="P233" s="390"/>
      <c r="Q233" s="390"/>
      <c r="R233" s="390"/>
      <c r="S233" s="390"/>
    </row>
    <row r="234" customFormat="false" ht="11.45" hidden="false" customHeight="false" outlineLevel="0" collapsed="false">
      <c r="A234" s="383" t="str">
        <f aca="false">TEXT(DATE(YEAR(B$2),MONTH(B$2)+(D234-1),1),"Mmm")</f>
        <v>Nov</v>
      </c>
      <c r="B234" s="384" t="n">
        <f aca="false">B233+1</f>
        <v>44524</v>
      </c>
      <c r="C234" s="385" t="n">
        <v>34</v>
      </c>
      <c r="D234" s="385" t="n">
        <v>8</v>
      </c>
      <c r="E234" s="387"/>
      <c r="F234" s="388" t="n">
        <v>4</v>
      </c>
      <c r="G234" s="390"/>
      <c r="H234" s="390"/>
      <c r="I234" s="390"/>
      <c r="J234" s="390"/>
      <c r="K234" s="390"/>
      <c r="L234" s="390"/>
      <c r="M234" s="390"/>
      <c r="N234" s="390"/>
      <c r="O234" s="390"/>
      <c r="P234" s="390"/>
      <c r="Q234" s="390"/>
      <c r="R234" s="390"/>
      <c r="S234" s="390"/>
    </row>
    <row r="235" customFormat="false" ht="11.45" hidden="false" customHeight="false" outlineLevel="0" collapsed="false">
      <c r="A235" s="383" t="str">
        <f aca="false">TEXT(DATE(YEAR(B$2),MONTH(B$2)+(D235-1),1),"Mmm")</f>
        <v>Nov</v>
      </c>
      <c r="B235" s="384" t="n">
        <f aca="false">B234+1</f>
        <v>44525</v>
      </c>
      <c r="C235" s="385" t="n">
        <v>34</v>
      </c>
      <c r="D235" s="385" t="n">
        <v>8</v>
      </c>
      <c r="E235" s="387"/>
      <c r="F235" s="388" t="n">
        <v>4</v>
      </c>
      <c r="G235" s="390"/>
      <c r="H235" s="390"/>
      <c r="I235" s="390"/>
      <c r="J235" s="390"/>
      <c r="K235" s="390"/>
      <c r="L235" s="390"/>
      <c r="M235" s="390"/>
      <c r="N235" s="390"/>
      <c r="O235" s="390"/>
      <c r="P235" s="390"/>
      <c r="Q235" s="390"/>
      <c r="R235" s="390"/>
      <c r="S235" s="390"/>
    </row>
    <row r="236" customFormat="false" ht="11.45" hidden="false" customHeight="false" outlineLevel="0" collapsed="false">
      <c r="A236" s="383" t="str">
        <f aca="false">TEXT(DATE(YEAR(B$2),MONTH(B$2)+(D236-1),1),"Mmm")</f>
        <v>Nov</v>
      </c>
      <c r="B236" s="384" t="n">
        <f aca="false">B235+1</f>
        <v>44526</v>
      </c>
      <c r="C236" s="385" t="n">
        <v>34</v>
      </c>
      <c r="D236" s="385" t="n">
        <v>8</v>
      </c>
      <c r="E236" s="387"/>
      <c r="F236" s="388" t="n">
        <v>4</v>
      </c>
      <c r="G236" s="390"/>
      <c r="H236" s="390"/>
      <c r="I236" s="390"/>
      <c r="J236" s="390"/>
      <c r="K236" s="390"/>
      <c r="L236" s="390"/>
      <c r="M236" s="390"/>
      <c r="N236" s="390"/>
      <c r="O236" s="390"/>
      <c r="P236" s="390"/>
      <c r="Q236" s="390"/>
      <c r="R236" s="390"/>
      <c r="S236" s="390"/>
    </row>
    <row r="237" customFormat="false" ht="11.45" hidden="false" customHeight="false" outlineLevel="0" collapsed="false">
      <c r="A237" s="383" t="str">
        <f aca="false">TEXT(DATE(YEAR(B$2),MONTH(B$2)+(D237-1),1),"Mmm")</f>
        <v>Nov</v>
      </c>
      <c r="B237" s="384" t="n">
        <f aca="false">B236+1</f>
        <v>44527</v>
      </c>
      <c r="C237" s="385" t="n">
        <v>34</v>
      </c>
      <c r="D237" s="385" t="n">
        <v>8</v>
      </c>
      <c r="E237" s="387"/>
      <c r="F237" s="388" t="n">
        <v>4</v>
      </c>
      <c r="G237" s="390"/>
      <c r="H237" s="390"/>
      <c r="I237" s="390"/>
      <c r="J237" s="390"/>
      <c r="K237" s="390"/>
      <c r="L237" s="390"/>
      <c r="M237" s="390"/>
      <c r="N237" s="390"/>
      <c r="O237" s="390"/>
      <c r="P237" s="390"/>
      <c r="Q237" s="390"/>
      <c r="R237" s="390"/>
      <c r="S237" s="390"/>
    </row>
    <row r="238" customFormat="false" ht="11.45" hidden="false" customHeight="false" outlineLevel="0" collapsed="false">
      <c r="A238" s="383" t="str">
        <f aca="false">TEXT(DATE(YEAR(B$2),MONTH(B$2)+(D238-1),1),"Mmm")</f>
        <v>Dec</v>
      </c>
      <c r="B238" s="384" t="n">
        <f aca="false">B237+1</f>
        <v>44528</v>
      </c>
      <c r="C238" s="385" t="n">
        <v>35</v>
      </c>
      <c r="D238" s="385" t="n">
        <v>9</v>
      </c>
      <c r="E238" s="387"/>
      <c r="F238" s="388" t="n">
        <v>1</v>
      </c>
      <c r="G238" s="390"/>
      <c r="H238" s="390"/>
      <c r="I238" s="390"/>
      <c r="J238" s="390"/>
      <c r="K238" s="390"/>
      <c r="L238" s="390"/>
      <c r="M238" s="390"/>
      <c r="N238" s="390"/>
      <c r="O238" s="390"/>
      <c r="P238" s="390"/>
      <c r="Q238" s="390"/>
      <c r="R238" s="390"/>
      <c r="S238" s="390"/>
    </row>
    <row r="239" customFormat="false" ht="11.45" hidden="false" customHeight="false" outlineLevel="0" collapsed="false">
      <c r="A239" s="383" t="str">
        <f aca="false">TEXT(DATE(YEAR(B$2),MONTH(B$2)+(D239-1),1),"Mmm")</f>
        <v>Dec</v>
      </c>
      <c r="B239" s="384" t="n">
        <f aca="false">B238+1</f>
        <v>44529</v>
      </c>
      <c r="C239" s="385" t="n">
        <v>35</v>
      </c>
      <c r="D239" s="385" t="n">
        <v>9</v>
      </c>
      <c r="E239" s="387"/>
      <c r="F239" s="388" t="n">
        <v>1</v>
      </c>
      <c r="G239" s="390"/>
      <c r="H239" s="390"/>
      <c r="I239" s="390"/>
      <c r="J239" s="390"/>
      <c r="K239" s="390"/>
      <c r="L239" s="390"/>
      <c r="M239" s="390"/>
      <c r="N239" s="390"/>
      <c r="O239" s="390"/>
      <c r="P239" s="390"/>
      <c r="Q239" s="390"/>
      <c r="R239" s="390"/>
      <c r="S239" s="390"/>
    </row>
    <row r="240" customFormat="false" ht="10.5" hidden="false" customHeight="false" outlineLevel="0" collapsed="false">
      <c r="A240" s="383" t="str">
        <f aca="false">TEXT(DATE(YEAR(B$2),MONTH(B$2)+(D240-1),1),"Mmm")</f>
        <v>Dec</v>
      </c>
      <c r="B240" s="384" t="n">
        <f aca="false">B239+1</f>
        <v>44530</v>
      </c>
      <c r="C240" s="385" t="n">
        <v>35</v>
      </c>
      <c r="D240" s="385" t="n">
        <v>9</v>
      </c>
      <c r="E240" s="387"/>
      <c r="F240" s="385" t="n">
        <v>1</v>
      </c>
      <c r="G240" s="390"/>
      <c r="H240" s="390"/>
      <c r="I240" s="390"/>
      <c r="J240" s="390"/>
      <c r="K240" s="390"/>
      <c r="L240" s="390"/>
      <c r="M240" s="390"/>
      <c r="N240" s="390"/>
      <c r="O240" s="390"/>
      <c r="P240" s="390"/>
      <c r="Q240" s="390"/>
      <c r="R240" s="390"/>
      <c r="S240" s="390"/>
    </row>
    <row r="241" customFormat="false" ht="11.45" hidden="false" customHeight="false" outlineLevel="0" collapsed="false">
      <c r="A241" s="383" t="str">
        <f aca="false">TEXT(DATE(YEAR(B$2),MONTH(B$2)+(D241-1),1),"Mmm")</f>
        <v>Dec</v>
      </c>
      <c r="B241" s="384" t="n">
        <f aca="false">B240+1</f>
        <v>44531</v>
      </c>
      <c r="C241" s="385" t="n">
        <v>35</v>
      </c>
      <c r="D241" s="385" t="n">
        <v>9</v>
      </c>
      <c r="E241" s="387"/>
      <c r="F241" s="388" t="n">
        <v>1</v>
      </c>
      <c r="G241" s="390"/>
      <c r="H241" s="390"/>
      <c r="I241" s="390"/>
      <c r="J241" s="390"/>
      <c r="K241" s="390"/>
      <c r="L241" s="390"/>
      <c r="M241" s="390"/>
      <c r="N241" s="390"/>
      <c r="O241" s="390"/>
      <c r="P241" s="390"/>
      <c r="Q241" s="390"/>
      <c r="R241" s="390"/>
      <c r="S241" s="390"/>
    </row>
    <row r="242" customFormat="false" ht="11.45" hidden="false" customHeight="false" outlineLevel="0" collapsed="false">
      <c r="A242" s="383" t="str">
        <f aca="false">TEXT(DATE(YEAR(B$2),MONTH(B$2)+(D242-1),1),"Mmm")</f>
        <v>Dec</v>
      </c>
      <c r="B242" s="384" t="n">
        <f aca="false">B241+1</f>
        <v>44532</v>
      </c>
      <c r="C242" s="385" t="n">
        <v>35</v>
      </c>
      <c r="D242" s="385" t="n">
        <v>9</v>
      </c>
      <c r="E242" s="387"/>
      <c r="F242" s="388" t="n">
        <v>1</v>
      </c>
      <c r="G242" s="390"/>
      <c r="H242" s="390"/>
      <c r="I242" s="390"/>
      <c r="J242" s="390"/>
      <c r="K242" s="390"/>
      <c r="L242" s="390"/>
      <c r="M242" s="390"/>
      <c r="N242" s="390"/>
      <c r="O242" s="390"/>
      <c r="P242" s="390"/>
      <c r="Q242" s="390"/>
      <c r="R242" s="390"/>
      <c r="S242" s="390"/>
    </row>
    <row r="243" customFormat="false" ht="11.45" hidden="false" customHeight="false" outlineLevel="0" collapsed="false">
      <c r="A243" s="383" t="str">
        <f aca="false">TEXT(DATE(YEAR(B$2),MONTH(B$2)+(D243-1),1),"Mmm")</f>
        <v>Dec</v>
      </c>
      <c r="B243" s="384" t="n">
        <f aca="false">B242+1</f>
        <v>44533</v>
      </c>
      <c r="C243" s="385" t="n">
        <v>35</v>
      </c>
      <c r="D243" s="385" t="n">
        <v>9</v>
      </c>
      <c r="E243" s="387"/>
      <c r="F243" s="388" t="n">
        <v>1</v>
      </c>
      <c r="G243" s="390"/>
      <c r="H243" s="390"/>
      <c r="I243" s="390"/>
      <c r="J243" s="390"/>
      <c r="K243" s="390"/>
      <c r="L243" s="390"/>
      <c r="M243" s="390"/>
      <c r="N243" s="390"/>
      <c r="O243" s="390"/>
      <c r="P243" s="390"/>
      <c r="Q243" s="390"/>
      <c r="R243" s="390"/>
      <c r="S243" s="390"/>
    </row>
    <row r="244" customFormat="false" ht="11.45" hidden="false" customHeight="false" outlineLevel="0" collapsed="false">
      <c r="A244" s="383" t="str">
        <f aca="false">TEXT(DATE(YEAR(B$2),MONTH(B$2)+(D244-1),1),"Mmm")</f>
        <v>Dec</v>
      </c>
      <c r="B244" s="384" t="n">
        <f aca="false">B243+1</f>
        <v>44534</v>
      </c>
      <c r="C244" s="385" t="n">
        <v>35</v>
      </c>
      <c r="D244" s="385" t="n">
        <v>9</v>
      </c>
      <c r="E244" s="387"/>
      <c r="F244" s="388" t="n">
        <v>1</v>
      </c>
      <c r="G244" s="390"/>
      <c r="H244" s="390"/>
      <c r="I244" s="390"/>
      <c r="J244" s="390"/>
      <c r="K244" s="390"/>
      <c r="L244" s="390"/>
      <c r="M244" s="390"/>
      <c r="N244" s="390"/>
      <c r="O244" s="390"/>
      <c r="P244" s="390"/>
      <c r="Q244" s="390"/>
      <c r="R244" s="390"/>
      <c r="S244" s="390"/>
    </row>
    <row r="245" customFormat="false" ht="11.45" hidden="false" customHeight="false" outlineLevel="0" collapsed="false">
      <c r="A245" s="383" t="str">
        <f aca="false">TEXT(DATE(YEAR(B$2),MONTH(B$2)+(D245-1),1),"Mmm")</f>
        <v>Dec</v>
      </c>
      <c r="B245" s="384" t="n">
        <f aca="false">B244+1</f>
        <v>44535</v>
      </c>
      <c r="C245" s="385" t="n">
        <v>36</v>
      </c>
      <c r="D245" s="385" t="n">
        <v>9</v>
      </c>
      <c r="E245" s="387"/>
      <c r="F245" s="388" t="n">
        <v>2</v>
      </c>
      <c r="G245" s="390"/>
      <c r="H245" s="390"/>
      <c r="I245" s="390"/>
      <c r="J245" s="390"/>
      <c r="K245" s="390"/>
      <c r="L245" s="390"/>
      <c r="M245" s="390"/>
      <c r="N245" s="390"/>
      <c r="O245" s="390"/>
      <c r="P245" s="390"/>
      <c r="Q245" s="390"/>
      <c r="R245" s="390"/>
      <c r="S245" s="390"/>
    </row>
    <row r="246" customFormat="false" ht="11.45" hidden="false" customHeight="false" outlineLevel="0" collapsed="false">
      <c r="A246" s="383" t="str">
        <f aca="false">TEXT(DATE(YEAR(B$2),MONTH(B$2)+(D246-1),1),"Mmm")</f>
        <v>Dec</v>
      </c>
      <c r="B246" s="384" t="n">
        <f aca="false">B245+1</f>
        <v>44536</v>
      </c>
      <c r="C246" s="385" t="n">
        <v>36</v>
      </c>
      <c r="D246" s="385" t="n">
        <v>9</v>
      </c>
      <c r="E246" s="391"/>
      <c r="F246" s="388" t="n">
        <v>2</v>
      </c>
      <c r="G246" s="390"/>
      <c r="H246" s="390"/>
      <c r="I246" s="390"/>
      <c r="J246" s="390"/>
      <c r="K246" s="390"/>
      <c r="L246" s="390"/>
      <c r="M246" s="390"/>
      <c r="N246" s="390"/>
      <c r="O246" s="390"/>
      <c r="P246" s="390"/>
      <c r="Q246" s="390"/>
      <c r="R246" s="390"/>
      <c r="S246" s="390"/>
    </row>
    <row r="247" customFormat="false" ht="11.45" hidden="false" customHeight="false" outlineLevel="0" collapsed="false">
      <c r="A247" s="383" t="str">
        <f aca="false">TEXT(DATE(YEAR(B$2),MONTH(B$2)+(D247-1),1),"Mmm")</f>
        <v>Dec</v>
      </c>
      <c r="B247" s="384" t="n">
        <f aca="false">B246+1</f>
        <v>44537</v>
      </c>
      <c r="C247" s="385" t="n">
        <v>36</v>
      </c>
      <c r="D247" s="385" t="n">
        <v>9</v>
      </c>
      <c r="E247" s="387"/>
      <c r="F247" s="388" t="n">
        <v>2</v>
      </c>
      <c r="G247" s="390"/>
      <c r="H247" s="390"/>
      <c r="I247" s="390"/>
      <c r="J247" s="390"/>
      <c r="K247" s="390"/>
      <c r="L247" s="390"/>
      <c r="M247" s="390"/>
      <c r="N247" s="390"/>
      <c r="O247" s="390"/>
      <c r="P247" s="390"/>
      <c r="Q247" s="390"/>
      <c r="R247" s="390"/>
      <c r="S247" s="390"/>
    </row>
    <row r="248" customFormat="false" ht="11.45" hidden="false" customHeight="false" outlineLevel="0" collapsed="false">
      <c r="A248" s="383" t="str">
        <f aca="false">TEXT(DATE(YEAR(B$2),MONTH(B$2)+(D248-1),1),"Mmm")</f>
        <v>Dec</v>
      </c>
      <c r="B248" s="384" t="n">
        <f aca="false">B247+1</f>
        <v>44538</v>
      </c>
      <c r="C248" s="385" t="n">
        <v>36</v>
      </c>
      <c r="D248" s="385" t="n">
        <v>9</v>
      </c>
      <c r="E248" s="387"/>
      <c r="F248" s="388" t="n">
        <v>2</v>
      </c>
      <c r="G248" s="390"/>
      <c r="H248" s="390"/>
      <c r="I248" s="390"/>
      <c r="J248" s="390"/>
      <c r="K248" s="390"/>
      <c r="L248" s="390"/>
      <c r="M248" s="390"/>
      <c r="N248" s="390"/>
      <c r="O248" s="390"/>
      <c r="P248" s="390"/>
      <c r="Q248" s="390"/>
      <c r="R248" s="390"/>
      <c r="S248" s="390"/>
    </row>
    <row r="249" customFormat="false" ht="11.45" hidden="false" customHeight="false" outlineLevel="0" collapsed="false">
      <c r="A249" s="383" t="str">
        <f aca="false">TEXT(DATE(YEAR(B$2),MONTH(B$2)+(D249-1),1),"Mmm")</f>
        <v>Dec</v>
      </c>
      <c r="B249" s="384" t="n">
        <f aca="false">B248+1</f>
        <v>44539</v>
      </c>
      <c r="C249" s="385" t="n">
        <v>36</v>
      </c>
      <c r="D249" s="385" t="n">
        <v>9</v>
      </c>
      <c r="E249" s="387"/>
      <c r="F249" s="388" t="n">
        <v>2</v>
      </c>
      <c r="G249" s="390"/>
      <c r="H249" s="390"/>
      <c r="I249" s="390"/>
      <c r="J249" s="390"/>
      <c r="K249" s="390"/>
      <c r="L249" s="390"/>
      <c r="M249" s="390"/>
      <c r="N249" s="390"/>
      <c r="O249" s="390"/>
      <c r="P249" s="390"/>
      <c r="Q249" s="390"/>
      <c r="R249" s="390"/>
      <c r="S249" s="390"/>
    </row>
    <row r="250" customFormat="false" ht="11.45" hidden="false" customHeight="false" outlineLevel="0" collapsed="false">
      <c r="A250" s="383" t="str">
        <f aca="false">TEXT(DATE(YEAR(B$2),MONTH(B$2)+(D250-1),1),"Mmm")</f>
        <v>Dec</v>
      </c>
      <c r="B250" s="384" t="n">
        <f aca="false">B249+1</f>
        <v>44540</v>
      </c>
      <c r="C250" s="385" t="n">
        <v>36</v>
      </c>
      <c r="D250" s="385" t="n">
        <v>9</v>
      </c>
      <c r="E250" s="387"/>
      <c r="F250" s="388" t="n">
        <v>2</v>
      </c>
      <c r="G250" s="390"/>
      <c r="H250" s="390"/>
      <c r="I250" s="390"/>
      <c r="J250" s="390"/>
      <c r="K250" s="390"/>
      <c r="L250" s="390"/>
      <c r="M250" s="390"/>
      <c r="N250" s="390"/>
      <c r="O250" s="390"/>
      <c r="P250" s="390"/>
      <c r="Q250" s="390"/>
      <c r="R250" s="390"/>
      <c r="S250" s="390"/>
    </row>
    <row r="251" customFormat="false" ht="11.45" hidden="false" customHeight="false" outlineLevel="0" collapsed="false">
      <c r="A251" s="383" t="str">
        <f aca="false">TEXT(DATE(YEAR(B$2),MONTH(B$2)+(D251-1),1),"Mmm")</f>
        <v>Dec</v>
      </c>
      <c r="B251" s="384" t="n">
        <f aca="false">B250+1</f>
        <v>44541</v>
      </c>
      <c r="C251" s="385" t="n">
        <v>36</v>
      </c>
      <c r="D251" s="385" t="n">
        <v>9</v>
      </c>
      <c r="E251" s="387"/>
      <c r="F251" s="388" t="n">
        <v>2</v>
      </c>
      <c r="G251" s="390"/>
      <c r="H251" s="390"/>
      <c r="I251" s="390"/>
      <c r="J251" s="390"/>
      <c r="K251" s="390"/>
      <c r="L251" s="390"/>
      <c r="M251" s="390"/>
      <c r="N251" s="390"/>
      <c r="O251" s="390"/>
      <c r="P251" s="390"/>
      <c r="Q251" s="390"/>
      <c r="R251" s="390"/>
      <c r="S251" s="390"/>
    </row>
    <row r="252" customFormat="false" ht="11.45" hidden="false" customHeight="false" outlineLevel="0" collapsed="false">
      <c r="A252" s="383" t="str">
        <f aca="false">TEXT(DATE(YEAR(B$2),MONTH(B$2)+(D252-1),1),"Mmm")</f>
        <v>Dec</v>
      </c>
      <c r="B252" s="384" t="n">
        <f aca="false">B251+1</f>
        <v>44542</v>
      </c>
      <c r="C252" s="385" t="n">
        <v>37</v>
      </c>
      <c r="D252" s="385" t="n">
        <v>9</v>
      </c>
      <c r="E252" s="387"/>
      <c r="F252" s="388" t="n">
        <v>3</v>
      </c>
      <c r="G252" s="390"/>
      <c r="H252" s="390"/>
      <c r="I252" s="390"/>
      <c r="J252" s="390"/>
      <c r="K252" s="390"/>
      <c r="L252" s="390"/>
      <c r="M252" s="390"/>
      <c r="N252" s="390"/>
      <c r="O252" s="390"/>
      <c r="P252" s="390"/>
      <c r="Q252" s="390"/>
      <c r="R252" s="390"/>
      <c r="S252" s="390"/>
    </row>
    <row r="253" customFormat="false" ht="11.45" hidden="false" customHeight="false" outlineLevel="0" collapsed="false">
      <c r="A253" s="383" t="str">
        <f aca="false">TEXT(DATE(YEAR(B$2),MONTH(B$2)+(D253-1),1),"Mmm")</f>
        <v>Dec</v>
      </c>
      <c r="B253" s="384" t="n">
        <f aca="false">B252+1</f>
        <v>44543</v>
      </c>
      <c r="C253" s="385" t="n">
        <v>37</v>
      </c>
      <c r="D253" s="385" t="n">
        <v>9</v>
      </c>
      <c r="E253" s="387"/>
      <c r="F253" s="388" t="n">
        <v>3</v>
      </c>
      <c r="G253" s="390"/>
      <c r="H253" s="390"/>
      <c r="I253" s="390"/>
      <c r="J253" s="390"/>
      <c r="K253" s="390"/>
      <c r="L253" s="390"/>
      <c r="M253" s="390"/>
      <c r="N253" s="390"/>
      <c r="O253" s="390"/>
      <c r="P253" s="390"/>
      <c r="Q253" s="390"/>
      <c r="R253" s="390"/>
      <c r="S253" s="390"/>
    </row>
    <row r="254" customFormat="false" ht="11.45" hidden="false" customHeight="false" outlineLevel="0" collapsed="false">
      <c r="A254" s="383" t="str">
        <f aca="false">TEXT(DATE(YEAR(B$2),MONTH(B$2)+(D254-1),1),"Mmm")</f>
        <v>Dec</v>
      </c>
      <c r="B254" s="384" t="n">
        <f aca="false">B253+1</f>
        <v>44544</v>
      </c>
      <c r="C254" s="385" t="n">
        <v>37</v>
      </c>
      <c r="D254" s="385" t="n">
        <v>9</v>
      </c>
      <c r="E254" s="387"/>
      <c r="F254" s="388" t="n">
        <v>3</v>
      </c>
      <c r="G254" s="390"/>
      <c r="H254" s="390"/>
      <c r="I254" s="390"/>
      <c r="J254" s="390"/>
      <c r="K254" s="390"/>
      <c r="L254" s="390"/>
      <c r="M254" s="390"/>
      <c r="N254" s="390"/>
      <c r="O254" s="390"/>
      <c r="P254" s="390"/>
      <c r="Q254" s="390"/>
      <c r="R254" s="390"/>
      <c r="S254" s="390"/>
    </row>
    <row r="255" customFormat="false" ht="11.45" hidden="false" customHeight="false" outlineLevel="0" collapsed="false">
      <c r="A255" s="383" t="str">
        <f aca="false">TEXT(DATE(YEAR(B$2),MONTH(B$2)+(D255-1),1),"Mmm")</f>
        <v>Dec</v>
      </c>
      <c r="B255" s="384" t="n">
        <f aca="false">B254+1</f>
        <v>44545</v>
      </c>
      <c r="C255" s="385" t="n">
        <v>37</v>
      </c>
      <c r="D255" s="385" t="n">
        <v>9</v>
      </c>
      <c r="E255" s="387"/>
      <c r="F255" s="388" t="n">
        <v>3</v>
      </c>
      <c r="G255" s="390"/>
      <c r="H255" s="390"/>
      <c r="I255" s="390"/>
      <c r="J255" s="390"/>
      <c r="K255" s="390"/>
      <c r="L255" s="390"/>
      <c r="M255" s="390"/>
      <c r="N255" s="390"/>
      <c r="O255" s="390"/>
      <c r="P255" s="390"/>
      <c r="Q255" s="390"/>
      <c r="R255" s="390"/>
      <c r="S255" s="390"/>
    </row>
    <row r="256" customFormat="false" ht="11.45" hidden="false" customHeight="false" outlineLevel="0" collapsed="false">
      <c r="A256" s="383" t="str">
        <f aca="false">TEXT(DATE(YEAR(B$2),MONTH(B$2)+(D256-1),1),"Mmm")</f>
        <v>Dec</v>
      </c>
      <c r="B256" s="384" t="n">
        <f aca="false">B255+1</f>
        <v>44546</v>
      </c>
      <c r="C256" s="385" t="n">
        <v>37</v>
      </c>
      <c r="D256" s="385" t="n">
        <v>9</v>
      </c>
      <c r="E256" s="387"/>
      <c r="F256" s="388" t="n">
        <v>3</v>
      </c>
      <c r="G256" s="390"/>
      <c r="H256" s="390"/>
      <c r="I256" s="390"/>
      <c r="J256" s="390"/>
      <c r="K256" s="390"/>
      <c r="L256" s="390"/>
      <c r="M256" s="390"/>
      <c r="N256" s="390"/>
      <c r="O256" s="390"/>
      <c r="P256" s="390"/>
      <c r="Q256" s="390"/>
      <c r="R256" s="390"/>
      <c r="S256" s="390"/>
    </row>
    <row r="257" customFormat="false" ht="11.45" hidden="false" customHeight="false" outlineLevel="0" collapsed="false">
      <c r="A257" s="383" t="str">
        <f aca="false">TEXT(DATE(YEAR(B$2),MONTH(B$2)+(D257-1),1),"Mmm")</f>
        <v>Dec</v>
      </c>
      <c r="B257" s="384" t="n">
        <f aca="false">B256+1</f>
        <v>44547</v>
      </c>
      <c r="C257" s="385" t="n">
        <v>37</v>
      </c>
      <c r="D257" s="385" t="n">
        <v>9</v>
      </c>
      <c r="E257" s="387"/>
      <c r="F257" s="388" t="n">
        <v>3</v>
      </c>
      <c r="G257" s="390"/>
      <c r="H257" s="390"/>
      <c r="I257" s="390"/>
      <c r="J257" s="390"/>
      <c r="K257" s="390"/>
      <c r="L257" s="390"/>
      <c r="M257" s="390"/>
      <c r="N257" s="390"/>
      <c r="O257" s="390"/>
      <c r="P257" s="390"/>
      <c r="Q257" s="390"/>
      <c r="R257" s="390"/>
      <c r="S257" s="390"/>
    </row>
    <row r="258" customFormat="false" ht="11.45" hidden="false" customHeight="false" outlineLevel="0" collapsed="false">
      <c r="A258" s="383" t="str">
        <f aca="false">TEXT(DATE(YEAR(B$2),MONTH(B$2)+(D258-1),1),"Mmm")</f>
        <v>Dec</v>
      </c>
      <c r="B258" s="384" t="n">
        <f aca="false">B257+1</f>
        <v>44548</v>
      </c>
      <c r="C258" s="385" t="n">
        <v>37</v>
      </c>
      <c r="D258" s="385" t="n">
        <v>9</v>
      </c>
      <c r="E258" s="387"/>
      <c r="F258" s="388" t="n">
        <v>3</v>
      </c>
      <c r="G258" s="390"/>
      <c r="H258" s="390"/>
      <c r="I258" s="390"/>
      <c r="J258" s="390"/>
      <c r="K258" s="390"/>
      <c r="L258" s="390"/>
      <c r="M258" s="390"/>
      <c r="N258" s="390"/>
      <c r="O258" s="390"/>
      <c r="P258" s="390"/>
      <c r="Q258" s="390"/>
      <c r="R258" s="390"/>
      <c r="S258" s="390"/>
    </row>
    <row r="259" customFormat="false" ht="11.45" hidden="false" customHeight="false" outlineLevel="0" collapsed="false">
      <c r="A259" s="383" t="str">
        <f aca="false">TEXT(DATE(YEAR(B$2),MONTH(B$2)+(D259-1),1),"Mmm")</f>
        <v>Dec</v>
      </c>
      <c r="B259" s="384" t="n">
        <f aca="false">B258+1</f>
        <v>44549</v>
      </c>
      <c r="C259" s="385" t="n">
        <v>38</v>
      </c>
      <c r="D259" s="385" t="n">
        <v>9</v>
      </c>
      <c r="E259" s="387"/>
      <c r="F259" s="388" t="n">
        <v>4</v>
      </c>
      <c r="G259" s="390"/>
      <c r="H259" s="390"/>
      <c r="I259" s="390"/>
      <c r="J259" s="390"/>
      <c r="K259" s="390"/>
      <c r="L259" s="390"/>
      <c r="M259" s="390"/>
      <c r="N259" s="390"/>
      <c r="O259" s="390"/>
      <c r="P259" s="390"/>
      <c r="Q259" s="390"/>
      <c r="R259" s="390"/>
      <c r="S259" s="390"/>
    </row>
    <row r="260" customFormat="false" ht="11.45" hidden="false" customHeight="false" outlineLevel="0" collapsed="false">
      <c r="A260" s="383" t="str">
        <f aca="false">TEXT(DATE(YEAR(B$2),MONTH(B$2)+(D260-1),1),"Mmm")</f>
        <v>Dec</v>
      </c>
      <c r="B260" s="384" t="n">
        <f aca="false">B259+1</f>
        <v>44550</v>
      </c>
      <c r="C260" s="385" t="n">
        <v>38</v>
      </c>
      <c r="D260" s="385" t="n">
        <v>9</v>
      </c>
      <c r="E260" s="387"/>
      <c r="F260" s="388" t="n">
        <v>4</v>
      </c>
      <c r="G260" s="390"/>
      <c r="H260" s="390"/>
      <c r="I260" s="390"/>
      <c r="J260" s="390"/>
      <c r="K260" s="390"/>
      <c r="L260" s="390"/>
      <c r="M260" s="390"/>
      <c r="N260" s="390"/>
      <c r="O260" s="390"/>
      <c r="P260" s="390"/>
      <c r="Q260" s="390"/>
      <c r="R260" s="390"/>
      <c r="S260" s="390"/>
    </row>
    <row r="261" customFormat="false" ht="11.45" hidden="false" customHeight="false" outlineLevel="0" collapsed="false">
      <c r="A261" s="383" t="str">
        <f aca="false">TEXT(DATE(YEAR(B$2),MONTH(B$2)+(D261-1),1),"Mmm")</f>
        <v>Dec</v>
      </c>
      <c r="B261" s="384" t="n">
        <f aca="false">B260+1</f>
        <v>44551</v>
      </c>
      <c r="C261" s="385" t="n">
        <v>38</v>
      </c>
      <c r="D261" s="385" t="n">
        <v>9</v>
      </c>
      <c r="E261" s="387"/>
      <c r="F261" s="388" t="n">
        <v>4</v>
      </c>
      <c r="G261" s="390"/>
      <c r="H261" s="390"/>
      <c r="I261" s="390"/>
      <c r="J261" s="390"/>
      <c r="K261" s="390"/>
      <c r="L261" s="390"/>
      <c r="M261" s="390"/>
      <c r="N261" s="390"/>
      <c r="O261" s="390"/>
      <c r="P261" s="390"/>
      <c r="Q261" s="390"/>
      <c r="R261" s="390"/>
      <c r="S261" s="390"/>
    </row>
    <row r="262" customFormat="false" ht="11.45" hidden="false" customHeight="false" outlineLevel="0" collapsed="false">
      <c r="A262" s="383" t="str">
        <f aca="false">TEXT(DATE(YEAR(B$2),MONTH(B$2)+(D262-1),1),"Mmm")</f>
        <v>Dec</v>
      </c>
      <c r="B262" s="384" t="n">
        <f aca="false">B261+1</f>
        <v>44552</v>
      </c>
      <c r="C262" s="385" t="n">
        <v>38</v>
      </c>
      <c r="D262" s="385" t="n">
        <v>9</v>
      </c>
      <c r="E262" s="387"/>
      <c r="F262" s="388" t="n">
        <v>4</v>
      </c>
      <c r="G262" s="390"/>
      <c r="H262" s="390"/>
      <c r="I262" s="390"/>
      <c r="J262" s="390"/>
      <c r="K262" s="390"/>
      <c r="L262" s="390"/>
      <c r="M262" s="390"/>
      <c r="N262" s="390"/>
      <c r="O262" s="390"/>
      <c r="P262" s="390"/>
      <c r="Q262" s="390"/>
      <c r="R262" s="390"/>
      <c r="S262" s="390"/>
    </row>
    <row r="263" customFormat="false" ht="11.45" hidden="false" customHeight="false" outlineLevel="0" collapsed="false">
      <c r="A263" s="383" t="str">
        <f aca="false">TEXT(DATE(YEAR(B$2),MONTH(B$2)+(D263-1),1),"Mmm")</f>
        <v>Dec</v>
      </c>
      <c r="B263" s="384" t="n">
        <f aca="false">B262+1</f>
        <v>44553</v>
      </c>
      <c r="C263" s="385" t="n">
        <v>38</v>
      </c>
      <c r="D263" s="385" t="n">
        <v>9</v>
      </c>
      <c r="E263" s="387"/>
      <c r="F263" s="388" t="n">
        <v>4</v>
      </c>
      <c r="G263" s="390"/>
      <c r="H263" s="390"/>
      <c r="I263" s="390"/>
      <c r="J263" s="390"/>
      <c r="K263" s="390"/>
      <c r="L263" s="390"/>
      <c r="M263" s="390"/>
      <c r="N263" s="390"/>
      <c r="O263" s="390"/>
      <c r="P263" s="390"/>
      <c r="Q263" s="390"/>
      <c r="R263" s="390"/>
      <c r="S263" s="390"/>
    </row>
    <row r="264" customFormat="false" ht="11.45" hidden="false" customHeight="false" outlineLevel="0" collapsed="false">
      <c r="A264" s="383" t="str">
        <f aca="false">TEXT(DATE(YEAR(B$2),MONTH(B$2)+(D264-1),1),"Mmm")</f>
        <v>Dec</v>
      </c>
      <c r="B264" s="384" t="n">
        <f aca="false">B263+1</f>
        <v>44554</v>
      </c>
      <c r="C264" s="385" t="n">
        <v>38</v>
      </c>
      <c r="D264" s="385" t="n">
        <v>9</v>
      </c>
      <c r="E264" s="387"/>
      <c r="F264" s="388" t="n">
        <v>4</v>
      </c>
      <c r="G264" s="390"/>
      <c r="H264" s="390"/>
      <c r="I264" s="390"/>
      <c r="J264" s="390"/>
      <c r="K264" s="390"/>
      <c r="L264" s="390"/>
      <c r="M264" s="390"/>
      <c r="N264" s="390"/>
      <c r="O264" s="390"/>
      <c r="P264" s="390"/>
      <c r="Q264" s="390"/>
      <c r="R264" s="390"/>
      <c r="S264" s="390"/>
    </row>
    <row r="265" customFormat="false" ht="11.45" hidden="false" customHeight="false" outlineLevel="0" collapsed="false">
      <c r="A265" s="383" t="str">
        <f aca="false">TEXT(DATE(YEAR(B$2),MONTH(B$2)+(D265-1),1),"Mmm")</f>
        <v>Dec</v>
      </c>
      <c r="B265" s="384" t="n">
        <f aca="false">B264+1</f>
        <v>44555</v>
      </c>
      <c r="C265" s="385" t="n">
        <v>38</v>
      </c>
      <c r="D265" s="385" t="n">
        <v>9</v>
      </c>
      <c r="E265" s="387"/>
      <c r="F265" s="388" t="n">
        <v>4</v>
      </c>
      <c r="G265" s="390"/>
      <c r="H265" s="390"/>
      <c r="I265" s="390"/>
      <c r="J265" s="390"/>
      <c r="K265" s="390"/>
      <c r="L265" s="390"/>
      <c r="M265" s="390"/>
      <c r="N265" s="390"/>
      <c r="O265" s="390"/>
      <c r="P265" s="390"/>
      <c r="Q265" s="390"/>
      <c r="R265" s="390"/>
      <c r="S265" s="390"/>
    </row>
    <row r="266" customFormat="false" ht="11.45" hidden="false" customHeight="false" outlineLevel="0" collapsed="false">
      <c r="A266" s="383" t="str">
        <f aca="false">TEXT(DATE(YEAR(B$2),MONTH(B$2)+(D266-1),1),"Mmm")</f>
        <v>Dec</v>
      </c>
      <c r="B266" s="384" t="n">
        <f aca="false">B265+1</f>
        <v>44556</v>
      </c>
      <c r="C266" s="385" t="n">
        <v>39</v>
      </c>
      <c r="D266" s="385" t="n">
        <v>9</v>
      </c>
      <c r="E266" s="387"/>
      <c r="F266" s="388" t="n">
        <v>5</v>
      </c>
      <c r="G266" s="390"/>
      <c r="H266" s="390"/>
      <c r="I266" s="390"/>
      <c r="J266" s="390"/>
      <c r="K266" s="390"/>
      <c r="L266" s="390"/>
      <c r="M266" s="390"/>
      <c r="N266" s="390"/>
      <c r="O266" s="390"/>
      <c r="P266" s="390"/>
      <c r="Q266" s="390"/>
      <c r="R266" s="390"/>
      <c r="S266" s="390"/>
    </row>
    <row r="267" customFormat="false" ht="11.45" hidden="false" customHeight="false" outlineLevel="0" collapsed="false">
      <c r="A267" s="383" t="str">
        <f aca="false">TEXT(DATE(YEAR(B$2),MONTH(B$2)+(D267-1),1),"Mmm")</f>
        <v>Dec</v>
      </c>
      <c r="B267" s="384" t="n">
        <f aca="false">B266+1</f>
        <v>44557</v>
      </c>
      <c r="C267" s="385" t="n">
        <v>39</v>
      </c>
      <c r="D267" s="385" t="n">
        <v>9</v>
      </c>
      <c r="E267" s="387"/>
      <c r="F267" s="388" t="n">
        <v>5</v>
      </c>
      <c r="G267" s="390"/>
      <c r="H267" s="390"/>
      <c r="I267" s="390"/>
      <c r="J267" s="390"/>
      <c r="K267" s="390"/>
      <c r="L267" s="390"/>
      <c r="M267" s="390"/>
      <c r="N267" s="390"/>
      <c r="O267" s="390"/>
      <c r="P267" s="390"/>
      <c r="Q267" s="390"/>
      <c r="R267" s="390"/>
      <c r="S267" s="390"/>
    </row>
    <row r="268" customFormat="false" ht="11.45" hidden="false" customHeight="false" outlineLevel="0" collapsed="false">
      <c r="A268" s="383" t="str">
        <f aca="false">TEXT(DATE(YEAR(B$2),MONTH(B$2)+(D268-1),1),"Mmm")</f>
        <v>Dec</v>
      </c>
      <c r="B268" s="384" t="n">
        <f aca="false">B267+1</f>
        <v>44558</v>
      </c>
      <c r="C268" s="385" t="n">
        <v>39</v>
      </c>
      <c r="D268" s="385" t="n">
        <v>9</v>
      </c>
      <c r="E268" s="387"/>
      <c r="F268" s="388" t="n">
        <v>5</v>
      </c>
      <c r="G268" s="390"/>
      <c r="H268" s="390"/>
      <c r="I268" s="390"/>
      <c r="J268" s="390"/>
      <c r="K268" s="390"/>
      <c r="L268" s="390"/>
      <c r="M268" s="390"/>
      <c r="N268" s="390"/>
      <c r="O268" s="390"/>
      <c r="P268" s="390"/>
      <c r="Q268" s="390"/>
      <c r="R268" s="390"/>
      <c r="S268" s="390"/>
    </row>
    <row r="269" customFormat="false" ht="11.45" hidden="false" customHeight="false" outlineLevel="0" collapsed="false">
      <c r="A269" s="383" t="str">
        <f aca="false">TEXT(DATE(YEAR(B$2),MONTH(B$2)+(D269-1),1),"Mmm")</f>
        <v>Dec</v>
      </c>
      <c r="B269" s="384" t="n">
        <f aca="false">B268+1</f>
        <v>44559</v>
      </c>
      <c r="C269" s="385" t="n">
        <v>39</v>
      </c>
      <c r="D269" s="385" t="n">
        <v>9</v>
      </c>
      <c r="E269" s="387"/>
      <c r="F269" s="388" t="n">
        <v>5</v>
      </c>
      <c r="G269" s="390"/>
      <c r="H269" s="390"/>
      <c r="I269" s="390"/>
      <c r="J269" s="390"/>
      <c r="K269" s="390"/>
      <c r="L269" s="390"/>
      <c r="M269" s="390"/>
      <c r="N269" s="390"/>
      <c r="O269" s="390"/>
      <c r="P269" s="390"/>
      <c r="Q269" s="390"/>
      <c r="R269" s="390"/>
      <c r="S269" s="390"/>
    </row>
    <row r="270" customFormat="false" ht="11.45" hidden="false" customHeight="false" outlineLevel="0" collapsed="false">
      <c r="A270" s="383" t="str">
        <f aca="false">TEXT(DATE(YEAR(B$2),MONTH(B$2)+(D270-1),1),"Mmm")</f>
        <v>Dec</v>
      </c>
      <c r="B270" s="384" t="n">
        <f aca="false">B269+1</f>
        <v>44560</v>
      </c>
      <c r="C270" s="385" t="n">
        <v>39</v>
      </c>
      <c r="D270" s="385" t="n">
        <v>9</v>
      </c>
      <c r="E270" s="387"/>
      <c r="F270" s="388" t="n">
        <v>5</v>
      </c>
      <c r="G270" s="390"/>
      <c r="H270" s="390"/>
      <c r="I270" s="390"/>
      <c r="J270" s="390"/>
      <c r="K270" s="390"/>
      <c r="L270" s="390"/>
      <c r="M270" s="390"/>
      <c r="N270" s="390"/>
      <c r="O270" s="390"/>
      <c r="P270" s="390"/>
      <c r="Q270" s="390"/>
      <c r="R270" s="390"/>
      <c r="S270" s="390"/>
    </row>
    <row r="271" customFormat="false" ht="11.45" hidden="false" customHeight="false" outlineLevel="0" collapsed="false">
      <c r="A271" s="383" t="str">
        <f aca="false">TEXT(DATE(YEAR(B$2),MONTH(B$2)+(D271-1),1),"Mmm")</f>
        <v>Dec</v>
      </c>
      <c r="B271" s="384" t="n">
        <f aca="false">B270+1</f>
        <v>44561</v>
      </c>
      <c r="C271" s="385" t="n">
        <v>39</v>
      </c>
      <c r="D271" s="385" t="n">
        <v>9</v>
      </c>
      <c r="E271" s="387"/>
      <c r="F271" s="388" t="n">
        <v>5</v>
      </c>
      <c r="G271" s="390"/>
      <c r="H271" s="390"/>
      <c r="I271" s="390"/>
      <c r="J271" s="390"/>
      <c r="K271" s="390"/>
      <c r="L271" s="390"/>
      <c r="M271" s="390"/>
      <c r="N271" s="390"/>
      <c r="O271" s="390"/>
      <c r="P271" s="390"/>
      <c r="Q271" s="390"/>
      <c r="R271" s="390"/>
      <c r="S271" s="390"/>
    </row>
    <row r="272" customFormat="false" ht="11.45" hidden="false" customHeight="false" outlineLevel="0" collapsed="false">
      <c r="A272" s="383" t="str">
        <f aca="false">TEXT(DATE(YEAR(B$2),MONTH(B$2)+(D272-1),1),"Mmm")</f>
        <v>Dec</v>
      </c>
      <c r="B272" s="384" t="n">
        <f aca="false">B271+1</f>
        <v>44562</v>
      </c>
      <c r="C272" s="385" t="n">
        <v>39</v>
      </c>
      <c r="D272" s="385" t="n">
        <v>9</v>
      </c>
      <c r="E272" s="387"/>
      <c r="F272" s="388" t="n">
        <v>5</v>
      </c>
      <c r="G272" s="390"/>
      <c r="H272" s="390"/>
      <c r="I272" s="390"/>
      <c r="J272" s="390"/>
      <c r="K272" s="390"/>
      <c r="L272" s="390"/>
      <c r="M272" s="390"/>
      <c r="N272" s="390"/>
      <c r="O272" s="390"/>
      <c r="P272" s="390"/>
      <c r="Q272" s="390"/>
      <c r="R272" s="390"/>
      <c r="S272" s="390"/>
    </row>
    <row r="273" customFormat="false" ht="11.45" hidden="false" customHeight="false" outlineLevel="0" collapsed="false">
      <c r="A273" s="383" t="str">
        <f aca="false">TEXT(DATE(YEAR(B$2),MONTH(B$2)+(D273-1),1),"Mmm")</f>
        <v>Jan</v>
      </c>
      <c r="B273" s="384" t="n">
        <f aca="false">B272+1</f>
        <v>44563</v>
      </c>
      <c r="C273" s="385" t="n">
        <v>40</v>
      </c>
      <c r="D273" s="385" t="n">
        <v>10</v>
      </c>
      <c r="E273" s="387"/>
      <c r="F273" s="388" t="n">
        <v>1</v>
      </c>
      <c r="G273" s="390"/>
      <c r="H273" s="390"/>
      <c r="I273" s="390"/>
      <c r="J273" s="390"/>
      <c r="K273" s="390"/>
      <c r="L273" s="390"/>
      <c r="M273" s="390"/>
      <c r="N273" s="390"/>
      <c r="O273" s="390"/>
      <c r="P273" s="390"/>
      <c r="Q273" s="390"/>
      <c r="R273" s="390"/>
      <c r="S273" s="390"/>
    </row>
    <row r="274" customFormat="false" ht="11.45" hidden="false" customHeight="false" outlineLevel="0" collapsed="false">
      <c r="A274" s="383" t="str">
        <f aca="false">TEXT(DATE(YEAR(B$2),MONTH(B$2)+(D274-1),1),"Mmm")</f>
        <v>Jan</v>
      </c>
      <c r="B274" s="384" t="n">
        <f aca="false">B273+1</f>
        <v>44564</v>
      </c>
      <c r="C274" s="385" t="n">
        <v>40</v>
      </c>
      <c r="D274" s="385" t="n">
        <v>10</v>
      </c>
      <c r="E274" s="387"/>
      <c r="F274" s="388" t="n">
        <v>1</v>
      </c>
      <c r="G274" s="390"/>
      <c r="H274" s="390"/>
      <c r="I274" s="390"/>
      <c r="J274" s="390"/>
      <c r="K274" s="390"/>
      <c r="L274" s="390"/>
      <c r="M274" s="390"/>
      <c r="N274" s="390"/>
      <c r="O274" s="390"/>
      <c r="P274" s="390"/>
      <c r="Q274" s="390"/>
      <c r="R274" s="390"/>
      <c r="S274" s="390"/>
    </row>
    <row r="275" customFormat="false" ht="11.45" hidden="false" customHeight="false" outlineLevel="0" collapsed="false">
      <c r="A275" s="383" t="str">
        <f aca="false">TEXT(DATE(YEAR(B$2),MONTH(B$2)+(D275-1),1),"Mmm")</f>
        <v>Jan</v>
      </c>
      <c r="B275" s="384" t="n">
        <f aca="false">B274+1</f>
        <v>44565</v>
      </c>
      <c r="C275" s="385" t="n">
        <v>40</v>
      </c>
      <c r="D275" s="385" t="n">
        <v>10</v>
      </c>
      <c r="E275" s="387"/>
      <c r="F275" s="388" t="n">
        <v>1</v>
      </c>
      <c r="G275" s="390"/>
      <c r="H275" s="390"/>
      <c r="I275" s="390"/>
      <c r="J275" s="390"/>
      <c r="K275" s="390"/>
      <c r="L275" s="390"/>
      <c r="M275" s="390"/>
      <c r="N275" s="390"/>
      <c r="O275" s="390"/>
      <c r="P275" s="390"/>
      <c r="Q275" s="390"/>
      <c r="R275" s="390"/>
      <c r="S275" s="390"/>
    </row>
    <row r="276" customFormat="false" ht="11.45" hidden="false" customHeight="false" outlineLevel="0" collapsed="false">
      <c r="A276" s="383" t="str">
        <f aca="false">TEXT(DATE(YEAR(B$2),MONTH(B$2)+(D276-1),1),"Mmm")</f>
        <v>Jan</v>
      </c>
      <c r="B276" s="384" t="n">
        <f aca="false">B275+1</f>
        <v>44566</v>
      </c>
      <c r="C276" s="385" t="n">
        <v>40</v>
      </c>
      <c r="D276" s="385" t="n">
        <v>10</v>
      </c>
      <c r="E276" s="387"/>
      <c r="F276" s="388" t="n">
        <v>1</v>
      </c>
      <c r="G276" s="390"/>
      <c r="H276" s="390"/>
      <c r="I276" s="390"/>
      <c r="J276" s="390"/>
      <c r="K276" s="390"/>
      <c r="L276" s="390"/>
      <c r="M276" s="390"/>
      <c r="N276" s="390"/>
      <c r="O276" s="390"/>
      <c r="P276" s="390"/>
      <c r="Q276" s="390"/>
      <c r="R276" s="390"/>
      <c r="S276" s="390"/>
    </row>
    <row r="277" customFormat="false" ht="11.45" hidden="false" customHeight="false" outlineLevel="0" collapsed="false">
      <c r="A277" s="383" t="str">
        <f aca="false">TEXT(DATE(YEAR(B$2),MONTH(B$2)+(D277-1),1),"Mmm")</f>
        <v>Jan</v>
      </c>
      <c r="B277" s="384" t="n">
        <f aca="false">B276+1</f>
        <v>44567</v>
      </c>
      <c r="C277" s="385" t="n">
        <v>40</v>
      </c>
      <c r="D277" s="385" t="n">
        <v>10</v>
      </c>
      <c r="E277" s="391"/>
      <c r="F277" s="388" t="n">
        <v>1</v>
      </c>
      <c r="G277" s="390"/>
      <c r="H277" s="390"/>
      <c r="I277" s="390"/>
      <c r="J277" s="390"/>
      <c r="K277" s="390"/>
      <c r="L277" s="390"/>
      <c r="M277" s="390"/>
      <c r="N277" s="390"/>
      <c r="O277" s="390"/>
      <c r="P277" s="390"/>
      <c r="Q277" s="390"/>
      <c r="R277" s="390"/>
      <c r="S277" s="390"/>
    </row>
    <row r="278" customFormat="false" ht="11.45" hidden="false" customHeight="false" outlineLevel="0" collapsed="false">
      <c r="A278" s="383" t="str">
        <f aca="false">TEXT(DATE(YEAR(B$2),MONTH(B$2)+(D278-1),1),"Mmm")</f>
        <v>Jan</v>
      </c>
      <c r="B278" s="384" t="n">
        <f aca="false">B277+1</f>
        <v>44568</v>
      </c>
      <c r="C278" s="385" t="n">
        <v>40</v>
      </c>
      <c r="D278" s="385" t="n">
        <v>10</v>
      </c>
      <c r="E278" s="387"/>
      <c r="F278" s="388" t="n">
        <v>1</v>
      </c>
      <c r="G278" s="390"/>
      <c r="H278" s="390"/>
      <c r="I278" s="390"/>
      <c r="J278" s="390"/>
      <c r="K278" s="390"/>
      <c r="L278" s="390"/>
      <c r="M278" s="390"/>
      <c r="N278" s="390"/>
      <c r="O278" s="390"/>
      <c r="P278" s="390"/>
      <c r="Q278" s="390"/>
      <c r="R278" s="390"/>
      <c r="S278" s="390"/>
    </row>
    <row r="279" customFormat="false" ht="11.45" hidden="false" customHeight="false" outlineLevel="0" collapsed="false">
      <c r="A279" s="383" t="str">
        <f aca="false">TEXT(DATE(YEAR(B$2),MONTH(B$2)+(D279-1),1),"Mmm")</f>
        <v>Jan</v>
      </c>
      <c r="B279" s="384" t="n">
        <f aca="false">B278+1</f>
        <v>44569</v>
      </c>
      <c r="C279" s="385" t="n">
        <v>40</v>
      </c>
      <c r="D279" s="385" t="n">
        <v>10</v>
      </c>
      <c r="E279" s="387"/>
      <c r="F279" s="388" t="n">
        <v>1</v>
      </c>
      <c r="G279" s="390"/>
      <c r="H279" s="390"/>
      <c r="I279" s="390"/>
      <c r="J279" s="390"/>
      <c r="K279" s="390"/>
      <c r="L279" s="390"/>
      <c r="M279" s="390"/>
      <c r="N279" s="390"/>
      <c r="O279" s="390"/>
      <c r="P279" s="390"/>
      <c r="Q279" s="390"/>
      <c r="R279" s="390"/>
      <c r="S279" s="390"/>
    </row>
    <row r="280" customFormat="false" ht="11.45" hidden="false" customHeight="false" outlineLevel="0" collapsed="false">
      <c r="A280" s="383" t="str">
        <f aca="false">TEXT(DATE(YEAR(B$2),MONTH(B$2)+(D280-1),1),"Mmm")</f>
        <v>Jan</v>
      </c>
      <c r="B280" s="384" t="n">
        <f aca="false">B279+1</f>
        <v>44570</v>
      </c>
      <c r="C280" s="385" t="n">
        <v>41</v>
      </c>
      <c r="D280" s="385" t="n">
        <v>10</v>
      </c>
      <c r="E280" s="387"/>
      <c r="F280" s="388" t="n">
        <v>2</v>
      </c>
      <c r="G280" s="390"/>
      <c r="H280" s="390"/>
      <c r="I280" s="390"/>
      <c r="J280" s="390"/>
      <c r="K280" s="390"/>
      <c r="L280" s="390"/>
      <c r="M280" s="390"/>
      <c r="N280" s="390"/>
      <c r="O280" s="390"/>
      <c r="P280" s="390"/>
      <c r="Q280" s="390"/>
      <c r="R280" s="390"/>
      <c r="S280" s="390"/>
    </row>
    <row r="281" customFormat="false" ht="11.45" hidden="false" customHeight="false" outlineLevel="0" collapsed="false">
      <c r="A281" s="383" t="str">
        <f aca="false">TEXT(DATE(YEAR(B$2),MONTH(B$2)+(D281-1),1),"Mmm")</f>
        <v>Jan</v>
      </c>
      <c r="B281" s="384" t="n">
        <f aca="false">B280+1</f>
        <v>44571</v>
      </c>
      <c r="C281" s="385" t="n">
        <v>41</v>
      </c>
      <c r="D281" s="385" t="n">
        <v>10</v>
      </c>
      <c r="E281" s="387"/>
      <c r="F281" s="388" t="n">
        <v>2</v>
      </c>
      <c r="G281" s="390"/>
      <c r="H281" s="390"/>
      <c r="I281" s="390"/>
      <c r="J281" s="390"/>
      <c r="K281" s="390"/>
      <c r="L281" s="390"/>
      <c r="M281" s="390"/>
      <c r="N281" s="390"/>
      <c r="O281" s="390"/>
      <c r="P281" s="390"/>
      <c r="Q281" s="390"/>
      <c r="R281" s="390"/>
      <c r="S281" s="390"/>
    </row>
    <row r="282" customFormat="false" ht="11.45" hidden="false" customHeight="false" outlineLevel="0" collapsed="false">
      <c r="A282" s="383" t="str">
        <f aca="false">TEXT(DATE(YEAR(B$2),MONTH(B$2)+(D282-1),1),"Mmm")</f>
        <v>Jan</v>
      </c>
      <c r="B282" s="384" t="n">
        <f aca="false">B281+1</f>
        <v>44572</v>
      </c>
      <c r="C282" s="385" t="n">
        <v>41</v>
      </c>
      <c r="D282" s="385" t="n">
        <v>10</v>
      </c>
      <c r="E282" s="387"/>
      <c r="F282" s="388" t="n">
        <v>2</v>
      </c>
      <c r="G282" s="390"/>
      <c r="H282" s="390"/>
      <c r="I282" s="390"/>
      <c r="J282" s="390"/>
      <c r="K282" s="390"/>
      <c r="L282" s="390"/>
      <c r="M282" s="390"/>
      <c r="N282" s="390"/>
      <c r="O282" s="390"/>
      <c r="P282" s="390"/>
      <c r="Q282" s="390"/>
      <c r="R282" s="390"/>
      <c r="S282" s="390"/>
    </row>
    <row r="283" customFormat="false" ht="11.45" hidden="false" customHeight="false" outlineLevel="0" collapsed="false">
      <c r="A283" s="383" t="str">
        <f aca="false">TEXT(DATE(YEAR(B$2),MONTH(B$2)+(D283-1),1),"Mmm")</f>
        <v>Jan</v>
      </c>
      <c r="B283" s="384" t="n">
        <f aca="false">B282+1</f>
        <v>44573</v>
      </c>
      <c r="C283" s="385" t="n">
        <v>41</v>
      </c>
      <c r="D283" s="385" t="n">
        <v>10</v>
      </c>
      <c r="E283" s="387"/>
      <c r="F283" s="388" t="n">
        <v>2</v>
      </c>
      <c r="G283" s="390"/>
      <c r="H283" s="390"/>
      <c r="I283" s="390"/>
      <c r="J283" s="390"/>
      <c r="K283" s="390"/>
      <c r="L283" s="390"/>
      <c r="M283" s="390"/>
      <c r="N283" s="390"/>
      <c r="O283" s="390"/>
      <c r="P283" s="390"/>
      <c r="Q283" s="390"/>
      <c r="R283" s="390"/>
      <c r="S283" s="390"/>
    </row>
    <row r="284" customFormat="false" ht="11.45" hidden="false" customHeight="false" outlineLevel="0" collapsed="false">
      <c r="A284" s="383" t="str">
        <f aca="false">TEXT(DATE(YEAR(B$2),MONTH(B$2)+(D284-1),1),"Mmm")</f>
        <v>Jan</v>
      </c>
      <c r="B284" s="384" t="n">
        <f aca="false">B283+1</f>
        <v>44574</v>
      </c>
      <c r="C284" s="385" t="n">
        <v>41</v>
      </c>
      <c r="D284" s="385" t="n">
        <v>10</v>
      </c>
      <c r="E284" s="387"/>
      <c r="F284" s="388" t="n">
        <v>2</v>
      </c>
      <c r="G284" s="390"/>
      <c r="H284" s="390"/>
      <c r="I284" s="390"/>
      <c r="J284" s="390"/>
      <c r="K284" s="390"/>
      <c r="L284" s="390"/>
      <c r="M284" s="390"/>
      <c r="N284" s="390"/>
      <c r="O284" s="390"/>
      <c r="P284" s="390"/>
      <c r="Q284" s="390"/>
      <c r="R284" s="390"/>
      <c r="S284" s="390"/>
    </row>
    <row r="285" customFormat="false" ht="11.45" hidden="false" customHeight="false" outlineLevel="0" collapsed="false">
      <c r="A285" s="383" t="str">
        <f aca="false">TEXT(DATE(YEAR(B$2),MONTH(B$2)+(D285-1),1),"Mmm")</f>
        <v>Jan</v>
      </c>
      <c r="B285" s="384" t="n">
        <f aca="false">B284+1</f>
        <v>44575</v>
      </c>
      <c r="C285" s="385" t="n">
        <v>41</v>
      </c>
      <c r="D285" s="385" t="n">
        <v>10</v>
      </c>
      <c r="E285" s="387"/>
      <c r="F285" s="388" t="n">
        <v>2</v>
      </c>
      <c r="G285" s="390"/>
      <c r="H285" s="390"/>
      <c r="I285" s="390"/>
      <c r="J285" s="390"/>
      <c r="K285" s="390"/>
      <c r="L285" s="390"/>
      <c r="M285" s="390"/>
      <c r="N285" s="390"/>
      <c r="O285" s="390"/>
      <c r="P285" s="390"/>
      <c r="Q285" s="390"/>
      <c r="R285" s="390"/>
      <c r="S285" s="390"/>
    </row>
    <row r="286" customFormat="false" ht="11.45" hidden="false" customHeight="false" outlineLevel="0" collapsed="false">
      <c r="A286" s="383" t="str">
        <f aca="false">TEXT(DATE(YEAR(B$2),MONTH(B$2)+(D286-1),1),"Mmm")</f>
        <v>Jan</v>
      </c>
      <c r="B286" s="384" t="n">
        <f aca="false">B285+1</f>
        <v>44576</v>
      </c>
      <c r="C286" s="385" t="n">
        <v>41</v>
      </c>
      <c r="D286" s="385" t="n">
        <v>10</v>
      </c>
      <c r="E286" s="387"/>
      <c r="F286" s="388" t="n">
        <v>2</v>
      </c>
      <c r="G286" s="390"/>
      <c r="H286" s="390"/>
      <c r="I286" s="390"/>
      <c r="J286" s="390"/>
      <c r="K286" s="390"/>
      <c r="L286" s="390"/>
      <c r="M286" s="390"/>
      <c r="N286" s="390"/>
      <c r="O286" s="390"/>
      <c r="P286" s="390"/>
      <c r="Q286" s="390"/>
      <c r="R286" s="390"/>
      <c r="S286" s="390"/>
    </row>
    <row r="287" customFormat="false" ht="11.45" hidden="false" customHeight="false" outlineLevel="0" collapsed="false">
      <c r="A287" s="383" t="str">
        <f aca="false">TEXT(DATE(YEAR(B$2),MONTH(B$2)+(D287-1),1),"Mmm")</f>
        <v>Jan</v>
      </c>
      <c r="B287" s="384" t="n">
        <f aca="false">B286+1</f>
        <v>44577</v>
      </c>
      <c r="C287" s="385" t="n">
        <v>42</v>
      </c>
      <c r="D287" s="385" t="n">
        <v>10</v>
      </c>
      <c r="E287" s="387"/>
      <c r="F287" s="388" t="n">
        <v>3</v>
      </c>
      <c r="G287" s="390"/>
      <c r="H287" s="390"/>
      <c r="I287" s="390"/>
      <c r="J287" s="390"/>
      <c r="K287" s="390"/>
      <c r="L287" s="390"/>
      <c r="M287" s="390"/>
      <c r="N287" s="390"/>
      <c r="O287" s="390"/>
      <c r="P287" s="390"/>
      <c r="Q287" s="390"/>
      <c r="R287" s="390"/>
      <c r="S287" s="390"/>
    </row>
    <row r="288" customFormat="false" ht="11.45" hidden="false" customHeight="false" outlineLevel="0" collapsed="false">
      <c r="A288" s="383" t="str">
        <f aca="false">TEXT(DATE(YEAR(B$2),MONTH(B$2)+(D288-1),1),"Mmm")</f>
        <v>Jan</v>
      </c>
      <c r="B288" s="384" t="n">
        <f aca="false">B287+1</f>
        <v>44578</v>
      </c>
      <c r="C288" s="385" t="n">
        <v>42</v>
      </c>
      <c r="D288" s="385" t="n">
        <v>10</v>
      </c>
      <c r="E288" s="387"/>
      <c r="F288" s="388" t="n">
        <v>3</v>
      </c>
      <c r="G288" s="390"/>
      <c r="H288" s="390"/>
      <c r="I288" s="390"/>
      <c r="J288" s="390"/>
      <c r="K288" s="390"/>
      <c r="L288" s="390"/>
      <c r="M288" s="390"/>
      <c r="N288" s="390"/>
      <c r="O288" s="390"/>
      <c r="P288" s="390"/>
      <c r="Q288" s="390"/>
      <c r="R288" s="390"/>
      <c r="S288" s="390"/>
    </row>
    <row r="289" customFormat="false" ht="11.45" hidden="false" customHeight="false" outlineLevel="0" collapsed="false">
      <c r="A289" s="383" t="str">
        <f aca="false">TEXT(DATE(YEAR(B$2),MONTH(B$2)+(D289-1),1),"Mmm")</f>
        <v>Jan</v>
      </c>
      <c r="B289" s="384" t="n">
        <f aca="false">B288+1</f>
        <v>44579</v>
      </c>
      <c r="C289" s="385" t="n">
        <v>42</v>
      </c>
      <c r="D289" s="385" t="n">
        <v>10</v>
      </c>
      <c r="E289" s="387"/>
      <c r="F289" s="388" t="n">
        <v>3</v>
      </c>
      <c r="G289" s="390"/>
      <c r="H289" s="390"/>
      <c r="I289" s="390"/>
      <c r="J289" s="390"/>
      <c r="K289" s="390"/>
      <c r="L289" s="390"/>
      <c r="M289" s="390"/>
      <c r="N289" s="390"/>
      <c r="O289" s="390"/>
      <c r="P289" s="390"/>
      <c r="Q289" s="390"/>
      <c r="R289" s="390"/>
      <c r="S289" s="390"/>
    </row>
    <row r="290" customFormat="false" ht="11.45" hidden="false" customHeight="false" outlineLevel="0" collapsed="false">
      <c r="A290" s="383" t="str">
        <f aca="false">TEXT(DATE(YEAR(B$2),MONTH(B$2)+(D290-1),1),"Mmm")</f>
        <v>Jan</v>
      </c>
      <c r="B290" s="384" t="n">
        <f aca="false">B289+1</f>
        <v>44580</v>
      </c>
      <c r="C290" s="385" t="n">
        <v>42</v>
      </c>
      <c r="D290" s="385" t="n">
        <v>10</v>
      </c>
      <c r="E290" s="387"/>
      <c r="F290" s="388" t="n">
        <v>3</v>
      </c>
      <c r="G290" s="390"/>
      <c r="H290" s="390"/>
      <c r="I290" s="390"/>
      <c r="J290" s="390"/>
      <c r="K290" s="390"/>
      <c r="L290" s="390"/>
      <c r="M290" s="390"/>
      <c r="N290" s="390"/>
      <c r="O290" s="390"/>
      <c r="P290" s="390"/>
      <c r="Q290" s="390"/>
      <c r="R290" s="390"/>
      <c r="S290" s="390"/>
    </row>
    <row r="291" customFormat="false" ht="11.45" hidden="false" customHeight="false" outlineLevel="0" collapsed="false">
      <c r="A291" s="383" t="str">
        <f aca="false">TEXT(DATE(YEAR(B$2),MONTH(B$2)+(D291-1),1),"Mmm")</f>
        <v>Jan</v>
      </c>
      <c r="B291" s="384" t="n">
        <f aca="false">B290+1</f>
        <v>44581</v>
      </c>
      <c r="C291" s="385" t="n">
        <v>42</v>
      </c>
      <c r="D291" s="385" t="n">
        <v>10</v>
      </c>
      <c r="E291" s="387"/>
      <c r="F291" s="388" t="n">
        <v>3</v>
      </c>
      <c r="G291" s="390"/>
      <c r="H291" s="390"/>
      <c r="I291" s="390"/>
      <c r="J291" s="390"/>
      <c r="K291" s="390"/>
      <c r="L291" s="390"/>
      <c r="M291" s="390"/>
      <c r="N291" s="390"/>
      <c r="O291" s="390"/>
      <c r="P291" s="390"/>
      <c r="Q291" s="390"/>
      <c r="R291" s="390"/>
      <c r="S291" s="390"/>
    </row>
    <row r="292" customFormat="false" ht="11.45" hidden="false" customHeight="false" outlineLevel="0" collapsed="false">
      <c r="A292" s="383" t="str">
        <f aca="false">TEXT(DATE(YEAR(B$2),MONTH(B$2)+(D292-1),1),"Mmm")</f>
        <v>Jan</v>
      </c>
      <c r="B292" s="384" t="n">
        <f aca="false">B291+1</f>
        <v>44582</v>
      </c>
      <c r="C292" s="385" t="n">
        <v>42</v>
      </c>
      <c r="D292" s="385" t="n">
        <v>10</v>
      </c>
      <c r="E292" s="387"/>
      <c r="F292" s="388" t="n">
        <v>3</v>
      </c>
      <c r="G292" s="390"/>
      <c r="H292" s="390"/>
      <c r="I292" s="390"/>
      <c r="J292" s="390"/>
      <c r="K292" s="390"/>
      <c r="L292" s="390"/>
      <c r="M292" s="390"/>
      <c r="N292" s="390"/>
      <c r="O292" s="390"/>
      <c r="P292" s="390"/>
      <c r="Q292" s="390"/>
      <c r="R292" s="390"/>
      <c r="S292" s="390"/>
    </row>
    <row r="293" customFormat="false" ht="11.45" hidden="false" customHeight="false" outlineLevel="0" collapsed="false">
      <c r="A293" s="383" t="str">
        <f aca="false">TEXT(DATE(YEAR(B$2),MONTH(B$2)+(D293-1),1),"Mmm")</f>
        <v>Jan</v>
      </c>
      <c r="B293" s="384" t="n">
        <f aca="false">B292+1</f>
        <v>44583</v>
      </c>
      <c r="C293" s="385" t="n">
        <v>42</v>
      </c>
      <c r="D293" s="385" t="n">
        <v>10</v>
      </c>
      <c r="E293" s="387"/>
      <c r="F293" s="388" t="n">
        <v>3</v>
      </c>
      <c r="G293" s="390"/>
      <c r="H293" s="390"/>
      <c r="I293" s="390"/>
      <c r="J293" s="390"/>
      <c r="K293" s="390"/>
      <c r="L293" s="390"/>
      <c r="M293" s="390"/>
      <c r="N293" s="390"/>
      <c r="O293" s="390"/>
      <c r="P293" s="390"/>
      <c r="Q293" s="390"/>
      <c r="R293" s="390"/>
      <c r="S293" s="390"/>
    </row>
    <row r="294" customFormat="false" ht="11.45" hidden="false" customHeight="false" outlineLevel="0" collapsed="false">
      <c r="A294" s="383" t="str">
        <f aca="false">TEXT(DATE(YEAR(B$2),MONTH(B$2)+(D294-1),1),"Mmm")</f>
        <v>Jan</v>
      </c>
      <c r="B294" s="384" t="n">
        <f aca="false">B293+1</f>
        <v>44584</v>
      </c>
      <c r="C294" s="385" t="n">
        <v>43</v>
      </c>
      <c r="D294" s="385" t="n">
        <v>10</v>
      </c>
      <c r="E294" s="387"/>
      <c r="F294" s="388" t="n">
        <v>4</v>
      </c>
      <c r="G294" s="390"/>
      <c r="H294" s="390"/>
      <c r="I294" s="390"/>
      <c r="J294" s="390"/>
      <c r="K294" s="390"/>
      <c r="L294" s="390"/>
      <c r="M294" s="390"/>
      <c r="N294" s="390"/>
      <c r="O294" s="390"/>
      <c r="P294" s="390"/>
      <c r="Q294" s="390"/>
      <c r="R294" s="390"/>
      <c r="S294" s="390"/>
    </row>
    <row r="295" customFormat="false" ht="11.45" hidden="false" customHeight="false" outlineLevel="0" collapsed="false">
      <c r="A295" s="383" t="str">
        <f aca="false">TEXT(DATE(YEAR(B$2),MONTH(B$2)+(D295-1),1),"Mmm")</f>
        <v>Jan</v>
      </c>
      <c r="B295" s="384" t="n">
        <f aca="false">B294+1</f>
        <v>44585</v>
      </c>
      <c r="C295" s="385" t="n">
        <v>43</v>
      </c>
      <c r="D295" s="385" t="n">
        <v>10</v>
      </c>
      <c r="E295" s="387"/>
      <c r="F295" s="388" t="n">
        <v>4</v>
      </c>
      <c r="G295" s="390"/>
      <c r="H295" s="390"/>
      <c r="I295" s="390"/>
      <c r="J295" s="390"/>
      <c r="K295" s="390"/>
      <c r="L295" s="390"/>
      <c r="M295" s="390"/>
      <c r="N295" s="390"/>
      <c r="O295" s="390"/>
      <c r="P295" s="390"/>
      <c r="Q295" s="390"/>
      <c r="R295" s="390"/>
      <c r="S295" s="390"/>
    </row>
    <row r="296" customFormat="false" ht="11.45" hidden="false" customHeight="false" outlineLevel="0" collapsed="false">
      <c r="A296" s="383" t="str">
        <f aca="false">TEXT(DATE(YEAR(B$2),MONTH(B$2)+(D296-1),1),"Mmm")</f>
        <v>Jan</v>
      </c>
      <c r="B296" s="384" t="n">
        <f aca="false">B295+1</f>
        <v>44586</v>
      </c>
      <c r="C296" s="385" t="n">
        <v>43</v>
      </c>
      <c r="D296" s="385" t="n">
        <v>10</v>
      </c>
      <c r="E296" s="387"/>
      <c r="F296" s="388" t="n">
        <v>4</v>
      </c>
      <c r="G296" s="390"/>
      <c r="H296" s="390"/>
      <c r="I296" s="390"/>
      <c r="J296" s="390"/>
      <c r="K296" s="390"/>
      <c r="L296" s="390"/>
      <c r="M296" s="390"/>
      <c r="N296" s="390"/>
      <c r="O296" s="390"/>
      <c r="P296" s="390"/>
      <c r="Q296" s="390"/>
      <c r="R296" s="390"/>
      <c r="S296" s="390"/>
    </row>
    <row r="297" customFormat="false" ht="11.45" hidden="false" customHeight="false" outlineLevel="0" collapsed="false">
      <c r="A297" s="383" t="str">
        <f aca="false">TEXT(DATE(YEAR(B$2),MONTH(B$2)+(D297-1),1),"Mmm")</f>
        <v>Jan</v>
      </c>
      <c r="B297" s="384" t="n">
        <f aca="false">B296+1</f>
        <v>44587</v>
      </c>
      <c r="C297" s="385" t="n">
        <v>43</v>
      </c>
      <c r="D297" s="385" t="n">
        <v>10</v>
      </c>
      <c r="E297" s="387"/>
      <c r="F297" s="388" t="n">
        <v>4</v>
      </c>
      <c r="G297" s="390"/>
      <c r="H297" s="390"/>
      <c r="I297" s="390"/>
      <c r="J297" s="390"/>
      <c r="K297" s="390"/>
      <c r="L297" s="390"/>
      <c r="M297" s="390"/>
      <c r="N297" s="390"/>
      <c r="O297" s="390"/>
      <c r="P297" s="390"/>
      <c r="Q297" s="390"/>
      <c r="R297" s="390"/>
      <c r="S297" s="390"/>
    </row>
    <row r="298" customFormat="false" ht="11.45" hidden="false" customHeight="false" outlineLevel="0" collapsed="false">
      <c r="A298" s="383" t="str">
        <f aca="false">TEXT(DATE(YEAR(B$2),MONTH(B$2)+(D298-1),1),"Mmm")</f>
        <v>Jan</v>
      </c>
      <c r="B298" s="384" t="n">
        <f aca="false">B297+1</f>
        <v>44588</v>
      </c>
      <c r="C298" s="385" t="n">
        <v>43</v>
      </c>
      <c r="D298" s="385" t="n">
        <v>10</v>
      </c>
      <c r="E298" s="387"/>
      <c r="F298" s="388" t="n">
        <v>4</v>
      </c>
      <c r="G298" s="390"/>
      <c r="H298" s="390"/>
      <c r="I298" s="390"/>
      <c r="J298" s="390"/>
      <c r="K298" s="390"/>
      <c r="L298" s="390"/>
      <c r="M298" s="390"/>
      <c r="N298" s="390"/>
      <c r="O298" s="390"/>
      <c r="P298" s="390"/>
      <c r="Q298" s="390"/>
      <c r="R298" s="390"/>
      <c r="S298" s="390"/>
    </row>
    <row r="299" customFormat="false" ht="11.45" hidden="false" customHeight="false" outlineLevel="0" collapsed="false">
      <c r="A299" s="383" t="str">
        <f aca="false">TEXT(DATE(YEAR(B$2),MONTH(B$2)+(D299-1),1),"Mmm")</f>
        <v>Jan</v>
      </c>
      <c r="B299" s="384" t="n">
        <f aca="false">B298+1</f>
        <v>44589</v>
      </c>
      <c r="C299" s="385" t="n">
        <v>43</v>
      </c>
      <c r="D299" s="385" t="n">
        <v>10</v>
      </c>
      <c r="E299" s="387"/>
      <c r="F299" s="388" t="n">
        <v>4</v>
      </c>
      <c r="G299" s="390"/>
      <c r="H299" s="390"/>
      <c r="I299" s="390"/>
      <c r="J299" s="390"/>
      <c r="K299" s="390"/>
      <c r="L299" s="390"/>
      <c r="M299" s="390"/>
      <c r="N299" s="390"/>
      <c r="O299" s="390"/>
      <c r="P299" s="390"/>
      <c r="Q299" s="390"/>
      <c r="R299" s="390"/>
      <c r="S299" s="390"/>
    </row>
    <row r="300" customFormat="false" ht="11.45" hidden="false" customHeight="false" outlineLevel="0" collapsed="false">
      <c r="A300" s="383" t="str">
        <f aca="false">TEXT(DATE(YEAR(B$2),MONTH(B$2)+(D300-1),1),"Mmm")</f>
        <v>Jan</v>
      </c>
      <c r="B300" s="384" t="n">
        <f aca="false">B299+1</f>
        <v>44590</v>
      </c>
      <c r="C300" s="385" t="n">
        <v>43</v>
      </c>
      <c r="D300" s="385" t="n">
        <v>10</v>
      </c>
      <c r="E300" s="387"/>
      <c r="F300" s="388" t="n">
        <v>4</v>
      </c>
      <c r="G300" s="390"/>
      <c r="H300" s="390"/>
      <c r="I300" s="390"/>
      <c r="J300" s="390"/>
      <c r="K300" s="390"/>
      <c r="L300" s="390"/>
      <c r="M300" s="390"/>
      <c r="N300" s="390"/>
      <c r="O300" s="390"/>
      <c r="P300" s="390"/>
      <c r="Q300" s="390"/>
      <c r="R300" s="390"/>
      <c r="S300" s="390"/>
    </row>
    <row r="301" customFormat="false" ht="11.45" hidden="false" customHeight="false" outlineLevel="0" collapsed="false">
      <c r="A301" s="383" t="str">
        <f aca="false">TEXT(DATE(YEAR(B$2),MONTH(B$2)+(D301-1),1),"Mmm")</f>
        <v>Feb</v>
      </c>
      <c r="B301" s="384" t="n">
        <f aca="false">B300+1</f>
        <v>44591</v>
      </c>
      <c r="C301" s="385" t="n">
        <v>44</v>
      </c>
      <c r="D301" s="385" t="n">
        <v>11</v>
      </c>
      <c r="E301" s="387"/>
      <c r="F301" s="388" t="n">
        <v>1</v>
      </c>
      <c r="G301" s="390"/>
      <c r="H301" s="390"/>
      <c r="I301" s="390"/>
      <c r="J301" s="390"/>
      <c r="K301" s="390"/>
      <c r="L301" s="390"/>
      <c r="M301" s="390"/>
      <c r="N301" s="390"/>
      <c r="O301" s="390"/>
      <c r="P301" s="390"/>
      <c r="Q301" s="390"/>
      <c r="R301" s="390"/>
      <c r="S301" s="390"/>
    </row>
    <row r="302" customFormat="false" ht="11.45" hidden="false" customHeight="false" outlineLevel="0" collapsed="false">
      <c r="A302" s="383" t="str">
        <f aca="false">TEXT(DATE(YEAR(B$2),MONTH(B$2)+(D302-1),1),"Mmm")</f>
        <v>Feb</v>
      </c>
      <c r="B302" s="384" t="n">
        <f aca="false">B301+1</f>
        <v>44592</v>
      </c>
      <c r="C302" s="385" t="n">
        <v>44</v>
      </c>
      <c r="D302" s="385" t="n">
        <v>11</v>
      </c>
      <c r="E302" s="387"/>
      <c r="F302" s="388" t="n">
        <v>1</v>
      </c>
      <c r="G302" s="390"/>
      <c r="H302" s="390"/>
      <c r="I302" s="390"/>
      <c r="J302" s="390"/>
      <c r="K302" s="390"/>
      <c r="L302" s="390"/>
      <c r="M302" s="390"/>
      <c r="N302" s="390"/>
      <c r="O302" s="390"/>
      <c r="P302" s="390"/>
      <c r="Q302" s="390"/>
      <c r="R302" s="390"/>
      <c r="S302" s="390"/>
    </row>
    <row r="303" customFormat="false" ht="11.45" hidden="false" customHeight="false" outlineLevel="0" collapsed="false">
      <c r="A303" s="383" t="str">
        <f aca="false">TEXT(DATE(YEAR(B$2),MONTH(B$2)+(D303-1),1),"Mmm")</f>
        <v>Feb</v>
      </c>
      <c r="B303" s="384" t="n">
        <f aca="false">B302+1</f>
        <v>44593</v>
      </c>
      <c r="C303" s="385" t="n">
        <v>44</v>
      </c>
      <c r="D303" s="385" t="n">
        <v>11</v>
      </c>
      <c r="E303" s="387"/>
      <c r="F303" s="388" t="n">
        <v>1</v>
      </c>
      <c r="G303" s="390"/>
      <c r="H303" s="390"/>
      <c r="I303" s="390"/>
      <c r="J303" s="390"/>
      <c r="K303" s="390"/>
      <c r="L303" s="390"/>
      <c r="M303" s="390"/>
      <c r="N303" s="390"/>
      <c r="O303" s="390"/>
      <c r="P303" s="390"/>
      <c r="Q303" s="390"/>
      <c r="R303" s="390"/>
      <c r="S303" s="390"/>
    </row>
    <row r="304" customFormat="false" ht="11.45" hidden="false" customHeight="false" outlineLevel="0" collapsed="false">
      <c r="A304" s="383" t="str">
        <f aca="false">TEXT(DATE(YEAR(B$2),MONTH(B$2)+(D304-1),1),"Mmm")</f>
        <v>Feb</v>
      </c>
      <c r="B304" s="384" t="n">
        <f aca="false">B303+1</f>
        <v>44594</v>
      </c>
      <c r="C304" s="385" t="n">
        <v>44</v>
      </c>
      <c r="D304" s="385" t="n">
        <v>11</v>
      </c>
      <c r="E304" s="387"/>
      <c r="F304" s="388" t="n">
        <v>1</v>
      </c>
      <c r="G304" s="390"/>
      <c r="H304" s="390"/>
      <c r="I304" s="390"/>
      <c r="J304" s="390"/>
      <c r="K304" s="390"/>
      <c r="L304" s="390"/>
      <c r="M304" s="390"/>
      <c r="N304" s="390"/>
      <c r="O304" s="390"/>
      <c r="P304" s="390"/>
      <c r="Q304" s="390"/>
      <c r="R304" s="390"/>
      <c r="S304" s="390"/>
    </row>
    <row r="305" customFormat="false" ht="11.45" hidden="false" customHeight="false" outlineLevel="0" collapsed="false">
      <c r="A305" s="383" t="str">
        <f aca="false">TEXT(DATE(YEAR(B$2),MONTH(B$2)+(D305-1),1),"Mmm")</f>
        <v>Feb</v>
      </c>
      <c r="B305" s="384" t="n">
        <f aca="false">B304+1</f>
        <v>44595</v>
      </c>
      <c r="C305" s="385" t="n">
        <v>44</v>
      </c>
      <c r="D305" s="385" t="n">
        <v>11</v>
      </c>
      <c r="E305" s="387"/>
      <c r="F305" s="388" t="n">
        <v>1</v>
      </c>
      <c r="G305" s="390"/>
      <c r="H305" s="390"/>
      <c r="I305" s="390"/>
      <c r="J305" s="390"/>
      <c r="K305" s="390"/>
      <c r="L305" s="390"/>
      <c r="M305" s="390"/>
      <c r="N305" s="390"/>
      <c r="O305" s="390"/>
      <c r="P305" s="390"/>
      <c r="Q305" s="390"/>
      <c r="R305" s="390"/>
      <c r="S305" s="390"/>
    </row>
    <row r="306" customFormat="false" ht="11.45" hidden="false" customHeight="false" outlineLevel="0" collapsed="false">
      <c r="A306" s="383" t="str">
        <f aca="false">TEXT(DATE(YEAR(B$2),MONTH(B$2)+(D306-1),1),"Mmm")</f>
        <v>Feb</v>
      </c>
      <c r="B306" s="384" t="n">
        <f aca="false">B305+1</f>
        <v>44596</v>
      </c>
      <c r="C306" s="385" t="n">
        <v>44</v>
      </c>
      <c r="D306" s="385" t="n">
        <v>11</v>
      </c>
      <c r="E306" s="387"/>
      <c r="F306" s="388" t="n">
        <v>1</v>
      </c>
      <c r="G306" s="390"/>
      <c r="H306" s="390"/>
      <c r="I306" s="390"/>
      <c r="J306" s="390"/>
      <c r="K306" s="390"/>
      <c r="L306" s="390"/>
      <c r="M306" s="390"/>
      <c r="N306" s="390"/>
      <c r="O306" s="390"/>
      <c r="P306" s="390"/>
      <c r="Q306" s="390"/>
      <c r="R306" s="390"/>
      <c r="S306" s="390"/>
    </row>
    <row r="307" customFormat="false" ht="11.45" hidden="false" customHeight="false" outlineLevel="0" collapsed="false">
      <c r="A307" s="383" t="str">
        <f aca="false">TEXT(DATE(YEAR(B$2),MONTH(B$2)+(D307-1),1),"Mmm")</f>
        <v>Feb</v>
      </c>
      <c r="B307" s="384" t="n">
        <f aca="false">B306+1</f>
        <v>44597</v>
      </c>
      <c r="C307" s="385" t="n">
        <v>44</v>
      </c>
      <c r="D307" s="385" t="n">
        <v>11</v>
      </c>
      <c r="E307" s="387"/>
      <c r="F307" s="388" t="n">
        <v>1</v>
      </c>
      <c r="G307" s="390"/>
      <c r="H307" s="390"/>
      <c r="I307" s="390"/>
      <c r="J307" s="390"/>
      <c r="K307" s="390"/>
      <c r="L307" s="390"/>
      <c r="M307" s="390"/>
      <c r="N307" s="390"/>
      <c r="O307" s="390"/>
      <c r="P307" s="390"/>
      <c r="Q307" s="390"/>
      <c r="R307" s="390"/>
      <c r="S307" s="390"/>
    </row>
    <row r="308" customFormat="false" ht="11.45" hidden="false" customHeight="false" outlineLevel="0" collapsed="false">
      <c r="A308" s="383" t="str">
        <f aca="false">TEXT(DATE(YEAR(B$2),MONTH(B$2)+(D308-1),1),"Mmm")</f>
        <v>Feb</v>
      </c>
      <c r="B308" s="384" t="n">
        <f aca="false">B307+1</f>
        <v>44598</v>
      </c>
      <c r="C308" s="385" t="n">
        <v>45</v>
      </c>
      <c r="D308" s="385" t="n">
        <v>11</v>
      </c>
      <c r="E308" s="391"/>
      <c r="F308" s="388" t="n">
        <v>2</v>
      </c>
      <c r="G308" s="390"/>
      <c r="H308" s="390"/>
      <c r="I308" s="390"/>
      <c r="J308" s="390"/>
      <c r="K308" s="390"/>
      <c r="L308" s="390"/>
      <c r="M308" s="390"/>
      <c r="N308" s="390"/>
      <c r="O308" s="390"/>
      <c r="P308" s="390"/>
      <c r="Q308" s="390"/>
      <c r="R308" s="390"/>
      <c r="S308" s="390"/>
    </row>
    <row r="309" customFormat="false" ht="11.45" hidden="false" customHeight="false" outlineLevel="0" collapsed="false">
      <c r="A309" s="383" t="str">
        <f aca="false">TEXT(DATE(YEAR(B$2),MONTH(B$2)+(D309-1),1),"Mmm")</f>
        <v>Feb</v>
      </c>
      <c r="B309" s="384" t="n">
        <f aca="false">B308+1</f>
        <v>44599</v>
      </c>
      <c r="C309" s="385" t="n">
        <v>45</v>
      </c>
      <c r="D309" s="385" t="n">
        <v>11</v>
      </c>
      <c r="E309" s="387"/>
      <c r="F309" s="388" t="n">
        <v>2</v>
      </c>
      <c r="G309" s="390"/>
      <c r="H309" s="390"/>
      <c r="I309" s="390"/>
      <c r="J309" s="390"/>
      <c r="K309" s="390"/>
      <c r="L309" s="390"/>
      <c r="M309" s="390"/>
      <c r="N309" s="390"/>
      <c r="O309" s="390"/>
      <c r="P309" s="390"/>
      <c r="Q309" s="390"/>
      <c r="R309" s="390"/>
      <c r="S309" s="390"/>
    </row>
    <row r="310" customFormat="false" ht="11.45" hidden="false" customHeight="false" outlineLevel="0" collapsed="false">
      <c r="A310" s="383" t="str">
        <f aca="false">TEXT(DATE(YEAR(B$2),MONTH(B$2)+(D310-1),1),"Mmm")</f>
        <v>Feb</v>
      </c>
      <c r="B310" s="384" t="n">
        <f aca="false">B309+1</f>
        <v>44600</v>
      </c>
      <c r="C310" s="385" t="n">
        <v>45</v>
      </c>
      <c r="D310" s="385" t="n">
        <v>11</v>
      </c>
      <c r="E310" s="387"/>
      <c r="F310" s="388" t="n">
        <v>2</v>
      </c>
      <c r="G310" s="390"/>
      <c r="H310" s="390"/>
      <c r="I310" s="390"/>
      <c r="J310" s="390"/>
      <c r="K310" s="390"/>
      <c r="L310" s="390"/>
      <c r="M310" s="390"/>
      <c r="N310" s="390"/>
      <c r="O310" s="390"/>
      <c r="P310" s="390"/>
      <c r="Q310" s="390"/>
      <c r="R310" s="390"/>
      <c r="S310" s="390"/>
    </row>
    <row r="311" customFormat="false" ht="11.45" hidden="false" customHeight="false" outlineLevel="0" collapsed="false">
      <c r="A311" s="383" t="str">
        <f aca="false">TEXT(DATE(YEAR(B$2),MONTH(B$2)+(D311-1),1),"Mmm")</f>
        <v>Feb</v>
      </c>
      <c r="B311" s="384" t="n">
        <f aca="false">B310+1</f>
        <v>44601</v>
      </c>
      <c r="C311" s="385" t="n">
        <v>45</v>
      </c>
      <c r="D311" s="385" t="n">
        <v>11</v>
      </c>
      <c r="E311" s="387"/>
      <c r="F311" s="388" t="n">
        <v>2</v>
      </c>
      <c r="G311" s="390"/>
      <c r="H311" s="390"/>
      <c r="I311" s="390"/>
      <c r="J311" s="390"/>
      <c r="K311" s="390"/>
      <c r="L311" s="390"/>
      <c r="M311" s="390"/>
      <c r="N311" s="390"/>
      <c r="O311" s="390"/>
      <c r="P311" s="390"/>
      <c r="Q311" s="390"/>
      <c r="R311" s="390"/>
      <c r="S311" s="390"/>
    </row>
    <row r="312" customFormat="false" ht="11.45" hidden="false" customHeight="false" outlineLevel="0" collapsed="false">
      <c r="A312" s="383" t="str">
        <f aca="false">TEXT(DATE(YEAR(B$2),MONTH(B$2)+(D312-1),1),"Mmm")</f>
        <v>Feb</v>
      </c>
      <c r="B312" s="384" t="n">
        <f aca="false">B311+1</f>
        <v>44602</v>
      </c>
      <c r="C312" s="385" t="n">
        <v>45</v>
      </c>
      <c r="D312" s="385" t="n">
        <v>11</v>
      </c>
      <c r="E312" s="387"/>
      <c r="F312" s="388" t="n">
        <v>2</v>
      </c>
      <c r="G312" s="390"/>
      <c r="H312" s="390"/>
      <c r="I312" s="390"/>
      <c r="J312" s="390"/>
      <c r="K312" s="390"/>
      <c r="L312" s="390"/>
      <c r="M312" s="390"/>
      <c r="N312" s="390"/>
      <c r="O312" s="390"/>
      <c r="P312" s="390"/>
      <c r="Q312" s="390"/>
      <c r="R312" s="390"/>
      <c r="S312" s="390"/>
    </row>
    <row r="313" customFormat="false" ht="11.45" hidden="false" customHeight="false" outlineLevel="0" collapsed="false">
      <c r="A313" s="383" t="str">
        <f aca="false">TEXT(DATE(YEAR(B$2),MONTH(B$2)+(D313-1),1),"Mmm")</f>
        <v>Feb</v>
      </c>
      <c r="B313" s="384" t="n">
        <f aca="false">B312+1</f>
        <v>44603</v>
      </c>
      <c r="C313" s="385" t="n">
        <v>45</v>
      </c>
      <c r="D313" s="385" t="n">
        <v>11</v>
      </c>
      <c r="E313" s="387"/>
      <c r="F313" s="388" t="n">
        <v>2</v>
      </c>
      <c r="G313" s="390"/>
      <c r="H313" s="390"/>
      <c r="I313" s="390"/>
      <c r="J313" s="390"/>
      <c r="K313" s="390"/>
      <c r="L313" s="390"/>
      <c r="M313" s="390"/>
      <c r="N313" s="390"/>
      <c r="O313" s="390"/>
      <c r="P313" s="390"/>
      <c r="Q313" s="390"/>
      <c r="R313" s="390"/>
      <c r="S313" s="390"/>
    </row>
    <row r="314" customFormat="false" ht="11.45" hidden="false" customHeight="false" outlineLevel="0" collapsed="false">
      <c r="A314" s="383" t="str">
        <f aca="false">TEXT(DATE(YEAR(B$2),MONTH(B$2)+(D314-1),1),"Mmm")</f>
        <v>Feb</v>
      </c>
      <c r="B314" s="384" t="n">
        <f aca="false">B313+1</f>
        <v>44604</v>
      </c>
      <c r="C314" s="385" t="n">
        <v>45</v>
      </c>
      <c r="D314" s="385" t="n">
        <v>11</v>
      </c>
      <c r="E314" s="387"/>
      <c r="F314" s="388" t="n">
        <v>2</v>
      </c>
      <c r="G314" s="390"/>
      <c r="H314" s="390"/>
      <c r="I314" s="390"/>
      <c r="J314" s="390"/>
      <c r="K314" s="390"/>
      <c r="L314" s="390"/>
      <c r="M314" s="390"/>
      <c r="N314" s="390"/>
      <c r="O314" s="390"/>
      <c r="P314" s="390"/>
      <c r="Q314" s="390"/>
      <c r="R314" s="390"/>
      <c r="S314" s="390"/>
    </row>
    <row r="315" customFormat="false" ht="11.45" hidden="false" customHeight="false" outlineLevel="0" collapsed="false">
      <c r="A315" s="383" t="str">
        <f aca="false">TEXT(DATE(YEAR(B$2),MONTH(B$2)+(D315-1),1),"Mmm")</f>
        <v>Feb</v>
      </c>
      <c r="B315" s="384" t="n">
        <f aca="false">B314+1</f>
        <v>44605</v>
      </c>
      <c r="C315" s="385" t="n">
        <v>46</v>
      </c>
      <c r="D315" s="385" t="n">
        <v>11</v>
      </c>
      <c r="E315" s="387"/>
      <c r="F315" s="388" t="n">
        <v>3</v>
      </c>
      <c r="G315" s="390"/>
      <c r="H315" s="390"/>
      <c r="I315" s="390"/>
      <c r="J315" s="390"/>
      <c r="K315" s="390"/>
      <c r="L315" s="390"/>
      <c r="M315" s="390"/>
      <c r="N315" s="390"/>
      <c r="O315" s="390"/>
      <c r="P315" s="390"/>
      <c r="Q315" s="390"/>
      <c r="R315" s="390"/>
      <c r="S315" s="390"/>
    </row>
    <row r="316" customFormat="false" ht="11.45" hidden="false" customHeight="false" outlineLevel="0" collapsed="false">
      <c r="A316" s="383" t="str">
        <f aca="false">TEXT(DATE(YEAR(B$2),MONTH(B$2)+(D316-1),1),"Mmm")</f>
        <v>Feb</v>
      </c>
      <c r="B316" s="384" t="n">
        <f aca="false">B315+1</f>
        <v>44606</v>
      </c>
      <c r="C316" s="385" t="n">
        <v>46</v>
      </c>
      <c r="D316" s="385" t="n">
        <v>11</v>
      </c>
      <c r="E316" s="387"/>
      <c r="F316" s="388" t="n">
        <v>3</v>
      </c>
      <c r="G316" s="390"/>
      <c r="H316" s="390"/>
      <c r="I316" s="390"/>
      <c r="J316" s="390"/>
      <c r="K316" s="390"/>
      <c r="L316" s="390"/>
      <c r="M316" s="390"/>
      <c r="N316" s="390"/>
      <c r="O316" s="390"/>
      <c r="P316" s="390"/>
      <c r="Q316" s="390"/>
      <c r="R316" s="390"/>
      <c r="S316" s="390"/>
    </row>
    <row r="317" customFormat="false" ht="11.45" hidden="false" customHeight="false" outlineLevel="0" collapsed="false">
      <c r="A317" s="383" t="str">
        <f aca="false">TEXT(DATE(YEAR(B$2),MONTH(B$2)+(D317-1),1),"Mmm")</f>
        <v>Feb</v>
      </c>
      <c r="B317" s="384" t="n">
        <f aca="false">B316+1</f>
        <v>44607</v>
      </c>
      <c r="C317" s="385" t="n">
        <v>46</v>
      </c>
      <c r="D317" s="385" t="n">
        <v>11</v>
      </c>
      <c r="E317" s="387"/>
      <c r="F317" s="388" t="n">
        <v>3</v>
      </c>
      <c r="G317" s="390"/>
      <c r="H317" s="390"/>
      <c r="I317" s="390"/>
      <c r="J317" s="390"/>
      <c r="K317" s="390"/>
      <c r="L317" s="390"/>
      <c r="M317" s="390"/>
      <c r="N317" s="390"/>
      <c r="O317" s="390"/>
      <c r="P317" s="390"/>
      <c r="Q317" s="390"/>
      <c r="R317" s="390"/>
      <c r="S317" s="390"/>
    </row>
    <row r="318" customFormat="false" ht="11.45" hidden="false" customHeight="false" outlineLevel="0" collapsed="false">
      <c r="A318" s="383" t="str">
        <f aca="false">TEXT(DATE(YEAR(B$2),MONTH(B$2)+(D318-1),1),"Mmm")</f>
        <v>Feb</v>
      </c>
      <c r="B318" s="384" t="n">
        <f aca="false">B317+1</f>
        <v>44608</v>
      </c>
      <c r="C318" s="385" t="n">
        <v>46</v>
      </c>
      <c r="D318" s="385" t="n">
        <v>11</v>
      </c>
      <c r="E318" s="387"/>
      <c r="F318" s="388" t="n">
        <v>3</v>
      </c>
      <c r="G318" s="390"/>
      <c r="H318" s="390"/>
      <c r="I318" s="390"/>
      <c r="J318" s="390"/>
      <c r="K318" s="390"/>
      <c r="L318" s="390"/>
      <c r="M318" s="390"/>
      <c r="N318" s="390"/>
      <c r="O318" s="390"/>
      <c r="P318" s="390"/>
      <c r="Q318" s="390"/>
      <c r="R318" s="390"/>
      <c r="S318" s="390"/>
    </row>
    <row r="319" customFormat="false" ht="11.45" hidden="false" customHeight="false" outlineLevel="0" collapsed="false">
      <c r="A319" s="383" t="str">
        <f aca="false">TEXT(DATE(YEAR(B$2),MONTH(B$2)+(D319-1),1),"Mmm")</f>
        <v>Feb</v>
      </c>
      <c r="B319" s="384" t="n">
        <f aca="false">B318+1</f>
        <v>44609</v>
      </c>
      <c r="C319" s="385" t="n">
        <v>46</v>
      </c>
      <c r="D319" s="385" t="n">
        <v>11</v>
      </c>
      <c r="E319" s="387"/>
      <c r="F319" s="388" t="n">
        <v>3</v>
      </c>
      <c r="G319" s="390"/>
      <c r="H319" s="390"/>
      <c r="I319" s="390"/>
      <c r="J319" s="390"/>
      <c r="K319" s="390"/>
      <c r="L319" s="390"/>
      <c r="M319" s="390"/>
      <c r="N319" s="390"/>
      <c r="O319" s="390"/>
      <c r="P319" s="390"/>
      <c r="Q319" s="390"/>
      <c r="R319" s="390"/>
      <c r="S319" s="390"/>
    </row>
    <row r="320" customFormat="false" ht="11.45" hidden="false" customHeight="false" outlineLevel="0" collapsed="false">
      <c r="A320" s="383" t="str">
        <f aca="false">TEXT(DATE(YEAR(B$2),MONTH(B$2)+(D320-1),1),"Mmm")</f>
        <v>Feb</v>
      </c>
      <c r="B320" s="384" t="n">
        <f aca="false">B319+1</f>
        <v>44610</v>
      </c>
      <c r="C320" s="385" t="n">
        <v>46</v>
      </c>
      <c r="D320" s="385" t="n">
        <v>11</v>
      </c>
      <c r="E320" s="387"/>
      <c r="F320" s="388" t="n">
        <v>3</v>
      </c>
      <c r="G320" s="390"/>
      <c r="H320" s="390"/>
      <c r="I320" s="390"/>
      <c r="J320" s="390"/>
      <c r="K320" s="390"/>
      <c r="L320" s="390"/>
      <c r="M320" s="390"/>
      <c r="N320" s="390"/>
      <c r="O320" s="390"/>
      <c r="P320" s="390"/>
      <c r="Q320" s="390"/>
      <c r="R320" s="390"/>
      <c r="S320" s="390"/>
    </row>
    <row r="321" customFormat="false" ht="11.45" hidden="false" customHeight="false" outlineLevel="0" collapsed="false">
      <c r="A321" s="383" t="str">
        <f aca="false">TEXT(DATE(YEAR(B$2),MONTH(B$2)+(D321-1),1),"Mmm")</f>
        <v>Feb</v>
      </c>
      <c r="B321" s="384" t="n">
        <f aca="false">B320+1</f>
        <v>44611</v>
      </c>
      <c r="C321" s="385" t="n">
        <v>46</v>
      </c>
      <c r="D321" s="385" t="n">
        <v>11</v>
      </c>
      <c r="E321" s="387"/>
      <c r="F321" s="388" t="n">
        <v>3</v>
      </c>
      <c r="G321" s="390"/>
      <c r="H321" s="390"/>
      <c r="I321" s="390"/>
      <c r="J321" s="390"/>
      <c r="K321" s="390"/>
      <c r="L321" s="390"/>
      <c r="M321" s="390"/>
      <c r="N321" s="390"/>
      <c r="O321" s="390"/>
      <c r="P321" s="390"/>
      <c r="Q321" s="390"/>
      <c r="R321" s="390"/>
      <c r="S321" s="390"/>
    </row>
    <row r="322" customFormat="false" ht="11.45" hidden="false" customHeight="false" outlineLevel="0" collapsed="false">
      <c r="A322" s="383" t="str">
        <f aca="false">TEXT(DATE(YEAR(B$2),MONTH(B$2)+(D322-1),1),"Mmm")</f>
        <v>Feb</v>
      </c>
      <c r="B322" s="384" t="n">
        <f aca="false">B321+1</f>
        <v>44612</v>
      </c>
      <c r="C322" s="385" t="n">
        <v>47</v>
      </c>
      <c r="D322" s="385" t="n">
        <v>11</v>
      </c>
      <c r="E322" s="387"/>
      <c r="F322" s="388" t="n">
        <v>4</v>
      </c>
      <c r="G322" s="390"/>
      <c r="H322" s="390"/>
      <c r="I322" s="390"/>
      <c r="J322" s="390"/>
      <c r="K322" s="390"/>
      <c r="L322" s="390"/>
      <c r="M322" s="390"/>
      <c r="N322" s="390"/>
      <c r="O322" s="390"/>
      <c r="P322" s="390"/>
      <c r="Q322" s="390"/>
      <c r="R322" s="390"/>
      <c r="S322" s="390"/>
    </row>
    <row r="323" customFormat="false" ht="11.45" hidden="false" customHeight="false" outlineLevel="0" collapsed="false">
      <c r="A323" s="383" t="str">
        <f aca="false">TEXT(DATE(YEAR(B$2),MONTH(B$2)+(D323-1),1),"Mmm")</f>
        <v>Feb</v>
      </c>
      <c r="B323" s="384" t="n">
        <f aca="false">B322+1</f>
        <v>44613</v>
      </c>
      <c r="C323" s="385" t="n">
        <v>47</v>
      </c>
      <c r="D323" s="385" t="n">
        <v>11</v>
      </c>
      <c r="E323" s="387"/>
      <c r="F323" s="388" t="n">
        <v>4</v>
      </c>
      <c r="G323" s="390"/>
      <c r="H323" s="390"/>
      <c r="I323" s="390"/>
      <c r="J323" s="390"/>
      <c r="K323" s="390"/>
      <c r="L323" s="390"/>
      <c r="M323" s="390"/>
      <c r="N323" s="390"/>
      <c r="O323" s="390"/>
      <c r="P323" s="390"/>
      <c r="Q323" s="390"/>
      <c r="R323" s="390"/>
      <c r="S323" s="390"/>
    </row>
    <row r="324" customFormat="false" ht="11.45" hidden="false" customHeight="false" outlineLevel="0" collapsed="false">
      <c r="A324" s="383" t="str">
        <f aca="false">TEXT(DATE(YEAR(B$2),MONTH(B$2)+(D324-1),1),"Mmm")</f>
        <v>Feb</v>
      </c>
      <c r="B324" s="384" t="n">
        <f aca="false">B323+1</f>
        <v>44614</v>
      </c>
      <c r="C324" s="385" t="n">
        <v>47</v>
      </c>
      <c r="D324" s="385" t="n">
        <v>11</v>
      </c>
      <c r="E324" s="387"/>
      <c r="F324" s="388" t="n">
        <v>4</v>
      </c>
      <c r="G324" s="390"/>
      <c r="H324" s="390"/>
      <c r="I324" s="390"/>
      <c r="J324" s="390"/>
      <c r="K324" s="390"/>
      <c r="L324" s="390"/>
      <c r="M324" s="390"/>
      <c r="N324" s="390"/>
      <c r="O324" s="390"/>
      <c r="P324" s="390"/>
      <c r="Q324" s="390"/>
      <c r="R324" s="390"/>
      <c r="S324" s="390"/>
    </row>
    <row r="325" customFormat="false" ht="11.45" hidden="false" customHeight="false" outlineLevel="0" collapsed="false">
      <c r="A325" s="383" t="str">
        <f aca="false">TEXT(DATE(YEAR(B$2),MONTH(B$2)+(D325-1),1),"Mmm")</f>
        <v>Feb</v>
      </c>
      <c r="B325" s="384" t="n">
        <f aca="false">B324+1</f>
        <v>44615</v>
      </c>
      <c r="C325" s="385" t="n">
        <v>47</v>
      </c>
      <c r="D325" s="385" t="n">
        <v>11</v>
      </c>
      <c r="E325" s="387"/>
      <c r="F325" s="388" t="n">
        <v>4</v>
      </c>
      <c r="G325" s="390"/>
      <c r="H325" s="390"/>
      <c r="I325" s="390"/>
      <c r="J325" s="390"/>
      <c r="K325" s="390"/>
      <c r="L325" s="390"/>
      <c r="M325" s="390"/>
      <c r="N325" s="390"/>
      <c r="O325" s="390"/>
      <c r="P325" s="390"/>
      <c r="Q325" s="390"/>
      <c r="R325" s="390"/>
      <c r="S325" s="390"/>
    </row>
    <row r="326" customFormat="false" ht="11.45" hidden="false" customHeight="false" outlineLevel="0" collapsed="false">
      <c r="A326" s="383" t="str">
        <f aca="false">TEXT(DATE(YEAR(B$2),MONTH(B$2)+(D326-1),1),"Mmm")</f>
        <v>Feb</v>
      </c>
      <c r="B326" s="384" t="n">
        <f aca="false">B325+1</f>
        <v>44616</v>
      </c>
      <c r="C326" s="385" t="n">
        <v>47</v>
      </c>
      <c r="D326" s="385" t="n">
        <v>11</v>
      </c>
      <c r="E326" s="387"/>
      <c r="F326" s="388" t="n">
        <v>4</v>
      </c>
      <c r="G326" s="390"/>
      <c r="H326" s="390"/>
      <c r="I326" s="390"/>
      <c r="J326" s="390"/>
      <c r="K326" s="390"/>
      <c r="L326" s="390"/>
      <c r="M326" s="390"/>
      <c r="N326" s="390"/>
      <c r="O326" s="390"/>
      <c r="P326" s="390"/>
      <c r="Q326" s="390"/>
      <c r="R326" s="390"/>
      <c r="S326" s="390"/>
    </row>
    <row r="327" customFormat="false" ht="11.45" hidden="false" customHeight="false" outlineLevel="0" collapsed="false">
      <c r="A327" s="383" t="str">
        <f aca="false">TEXT(DATE(YEAR(B$2),MONTH(B$2)+(D327-1),1),"Mmm")</f>
        <v>Feb</v>
      </c>
      <c r="B327" s="384" t="n">
        <f aca="false">B326+1</f>
        <v>44617</v>
      </c>
      <c r="C327" s="385" t="n">
        <v>47</v>
      </c>
      <c r="D327" s="385" t="n">
        <v>11</v>
      </c>
      <c r="E327" s="387"/>
      <c r="F327" s="388" t="n">
        <v>4</v>
      </c>
      <c r="G327" s="390"/>
      <c r="H327" s="390"/>
      <c r="I327" s="390"/>
      <c r="J327" s="390"/>
      <c r="K327" s="390"/>
      <c r="L327" s="390"/>
      <c r="M327" s="390"/>
      <c r="N327" s="390"/>
      <c r="O327" s="390"/>
      <c r="P327" s="390"/>
      <c r="Q327" s="390"/>
      <c r="R327" s="390"/>
      <c r="S327" s="390"/>
    </row>
    <row r="328" customFormat="false" ht="11.45" hidden="false" customHeight="false" outlineLevel="0" collapsed="false">
      <c r="A328" s="383" t="str">
        <f aca="false">TEXT(DATE(YEAR(B$2),MONTH(B$2)+(D328-1),1),"Mmm")</f>
        <v>Feb</v>
      </c>
      <c r="B328" s="384" t="n">
        <f aca="false">B327+1</f>
        <v>44618</v>
      </c>
      <c r="C328" s="385" t="n">
        <v>47</v>
      </c>
      <c r="D328" s="385" t="n">
        <v>11</v>
      </c>
      <c r="E328" s="387"/>
      <c r="F328" s="388" t="n">
        <v>4</v>
      </c>
      <c r="G328" s="390"/>
      <c r="H328" s="390"/>
      <c r="I328" s="390"/>
      <c r="J328" s="390"/>
      <c r="K328" s="390"/>
      <c r="L328" s="390"/>
      <c r="M328" s="390"/>
      <c r="N328" s="390"/>
      <c r="O328" s="390"/>
      <c r="P328" s="390"/>
      <c r="Q328" s="390"/>
      <c r="R328" s="390"/>
      <c r="S328" s="390"/>
    </row>
    <row r="329" customFormat="false" ht="11.45" hidden="false" customHeight="false" outlineLevel="0" collapsed="false">
      <c r="A329" s="383" t="str">
        <f aca="false">TEXT(DATE(YEAR(B$2),MONTH(B$2)+(D329-1),1),"Mmm")</f>
        <v>Mar</v>
      </c>
      <c r="B329" s="384" t="n">
        <f aca="false">B328+1</f>
        <v>44619</v>
      </c>
      <c r="C329" s="385" t="n">
        <v>48</v>
      </c>
      <c r="D329" s="385" t="n">
        <v>12</v>
      </c>
      <c r="E329" s="387"/>
      <c r="F329" s="388" t="n">
        <v>1</v>
      </c>
      <c r="G329" s="390"/>
      <c r="H329" s="390"/>
      <c r="I329" s="390"/>
      <c r="J329" s="390"/>
      <c r="K329" s="390"/>
      <c r="L329" s="390"/>
      <c r="M329" s="390"/>
      <c r="N329" s="390"/>
      <c r="O329" s="390"/>
      <c r="P329" s="390"/>
      <c r="Q329" s="390"/>
      <c r="R329" s="390"/>
      <c r="S329" s="390"/>
    </row>
    <row r="330" customFormat="false" ht="11.45" hidden="false" customHeight="false" outlineLevel="0" collapsed="false">
      <c r="A330" s="383" t="str">
        <f aca="false">TEXT(DATE(YEAR(B$2),MONTH(B$2)+(D330-1),1),"Mmm")</f>
        <v>Mar</v>
      </c>
      <c r="B330" s="384" t="n">
        <f aca="false">B329+1</f>
        <v>44620</v>
      </c>
      <c r="C330" s="385" t="n">
        <v>48</v>
      </c>
      <c r="D330" s="385" t="n">
        <v>12</v>
      </c>
      <c r="E330" s="387"/>
      <c r="F330" s="388" t="n">
        <v>1</v>
      </c>
      <c r="G330" s="390"/>
      <c r="H330" s="390"/>
      <c r="I330" s="390"/>
      <c r="J330" s="390"/>
      <c r="K330" s="390"/>
      <c r="L330" s="390"/>
      <c r="M330" s="390"/>
      <c r="N330" s="390"/>
      <c r="O330" s="390"/>
      <c r="P330" s="390"/>
      <c r="Q330" s="390"/>
      <c r="R330" s="390"/>
      <c r="S330" s="390"/>
    </row>
    <row r="331" customFormat="false" ht="11.45" hidden="false" customHeight="false" outlineLevel="0" collapsed="false">
      <c r="A331" s="383" t="str">
        <f aca="false">TEXT(DATE(YEAR(B$2),MONTH(B$2)+(D331-1),1),"Mmm")</f>
        <v>Mar</v>
      </c>
      <c r="B331" s="384" t="n">
        <f aca="false">B330+1</f>
        <v>44621</v>
      </c>
      <c r="C331" s="385" t="n">
        <v>48</v>
      </c>
      <c r="D331" s="385" t="n">
        <v>12</v>
      </c>
      <c r="E331" s="387"/>
      <c r="F331" s="388" t="n">
        <v>1</v>
      </c>
      <c r="G331" s="390"/>
      <c r="H331" s="390"/>
      <c r="I331" s="390"/>
      <c r="J331" s="390"/>
      <c r="K331" s="390"/>
      <c r="L331" s="390"/>
      <c r="M331" s="390"/>
      <c r="N331" s="390"/>
      <c r="O331" s="390"/>
      <c r="P331" s="390"/>
      <c r="Q331" s="390"/>
      <c r="R331" s="390"/>
      <c r="S331" s="390"/>
    </row>
    <row r="332" customFormat="false" ht="11.45" hidden="false" customHeight="false" outlineLevel="0" collapsed="false">
      <c r="A332" s="383" t="str">
        <f aca="false">TEXT(DATE(YEAR(B$2),MONTH(B$2)+(D332-1),1),"Mmm")</f>
        <v>Mar</v>
      </c>
      <c r="B332" s="384" t="n">
        <f aca="false">B331+1</f>
        <v>44622</v>
      </c>
      <c r="C332" s="385" t="n">
        <v>48</v>
      </c>
      <c r="D332" s="385" t="n">
        <v>12</v>
      </c>
      <c r="E332" s="387"/>
      <c r="F332" s="388" t="n">
        <v>1</v>
      </c>
      <c r="G332" s="390"/>
      <c r="H332" s="390"/>
      <c r="I332" s="390"/>
      <c r="J332" s="390"/>
      <c r="K332" s="390"/>
      <c r="L332" s="390"/>
      <c r="M332" s="390"/>
      <c r="N332" s="390"/>
      <c r="O332" s="390"/>
      <c r="P332" s="390"/>
      <c r="Q332" s="390"/>
      <c r="R332" s="390"/>
      <c r="S332" s="390"/>
    </row>
    <row r="333" customFormat="false" ht="11.45" hidden="false" customHeight="false" outlineLevel="0" collapsed="false">
      <c r="A333" s="383" t="str">
        <f aca="false">TEXT(DATE(YEAR(B$2),MONTH(B$2)+(D333-1),1),"Mmm")</f>
        <v>Mar</v>
      </c>
      <c r="B333" s="384" t="n">
        <f aca="false">B332+1</f>
        <v>44623</v>
      </c>
      <c r="C333" s="385" t="n">
        <v>48</v>
      </c>
      <c r="D333" s="385" t="n">
        <v>12</v>
      </c>
      <c r="E333" s="387"/>
      <c r="F333" s="388" t="n">
        <v>1</v>
      </c>
      <c r="G333" s="390"/>
      <c r="H333" s="390"/>
      <c r="I333" s="390"/>
      <c r="J333" s="390"/>
      <c r="K333" s="390"/>
      <c r="L333" s="390"/>
      <c r="M333" s="390"/>
      <c r="N333" s="390"/>
      <c r="O333" s="390"/>
      <c r="P333" s="390"/>
      <c r="Q333" s="390"/>
      <c r="R333" s="390"/>
      <c r="S333" s="390"/>
    </row>
    <row r="334" customFormat="false" ht="11.45" hidden="false" customHeight="false" outlineLevel="0" collapsed="false">
      <c r="A334" s="383" t="str">
        <f aca="false">TEXT(DATE(YEAR(B$2),MONTH(B$2)+(D334-1),1),"Mmm")</f>
        <v>Mar</v>
      </c>
      <c r="B334" s="384" t="n">
        <f aca="false">B333+1</f>
        <v>44624</v>
      </c>
      <c r="C334" s="385" t="n">
        <v>48</v>
      </c>
      <c r="D334" s="385" t="n">
        <v>12</v>
      </c>
      <c r="E334" s="387"/>
      <c r="F334" s="388" t="n">
        <v>1</v>
      </c>
      <c r="G334" s="390"/>
      <c r="H334" s="390"/>
      <c r="I334" s="390"/>
      <c r="J334" s="390"/>
      <c r="K334" s="390"/>
      <c r="L334" s="390"/>
      <c r="M334" s="390"/>
      <c r="N334" s="390"/>
      <c r="O334" s="390"/>
      <c r="P334" s="390"/>
      <c r="Q334" s="390"/>
      <c r="R334" s="390"/>
      <c r="S334" s="390"/>
    </row>
    <row r="335" customFormat="false" ht="11.45" hidden="false" customHeight="false" outlineLevel="0" collapsed="false">
      <c r="A335" s="383" t="str">
        <f aca="false">TEXT(DATE(YEAR(B$2),MONTH(B$2)+(D335-1),1),"Mmm")</f>
        <v>Mar</v>
      </c>
      <c r="B335" s="384" t="n">
        <f aca="false">B334+1</f>
        <v>44625</v>
      </c>
      <c r="C335" s="385" t="n">
        <v>48</v>
      </c>
      <c r="D335" s="385" t="n">
        <v>12</v>
      </c>
      <c r="E335" s="387"/>
      <c r="F335" s="388" t="n">
        <v>1</v>
      </c>
      <c r="G335" s="390"/>
      <c r="H335" s="390"/>
      <c r="I335" s="390"/>
      <c r="J335" s="390"/>
      <c r="K335" s="390"/>
      <c r="L335" s="390"/>
      <c r="M335" s="390"/>
      <c r="N335" s="390"/>
      <c r="O335" s="390"/>
      <c r="P335" s="390"/>
      <c r="Q335" s="390"/>
      <c r="R335" s="390"/>
      <c r="S335" s="390"/>
    </row>
    <row r="336" customFormat="false" ht="11.45" hidden="false" customHeight="false" outlineLevel="0" collapsed="false">
      <c r="A336" s="383" t="str">
        <f aca="false">TEXT(DATE(YEAR(B$2),MONTH(B$2)+(D336-1),1),"Mmm")</f>
        <v>Mar</v>
      </c>
      <c r="B336" s="384" t="n">
        <f aca="false">B335+1</f>
        <v>44626</v>
      </c>
      <c r="C336" s="385" t="n">
        <v>49</v>
      </c>
      <c r="D336" s="385" t="n">
        <v>12</v>
      </c>
      <c r="E336" s="391"/>
      <c r="F336" s="388" t="n">
        <v>2</v>
      </c>
      <c r="G336" s="390"/>
      <c r="H336" s="390"/>
      <c r="I336" s="390"/>
      <c r="J336" s="390"/>
      <c r="K336" s="390"/>
      <c r="L336" s="390"/>
      <c r="M336" s="390"/>
      <c r="N336" s="390"/>
      <c r="O336" s="390"/>
      <c r="P336" s="390"/>
      <c r="Q336" s="390"/>
      <c r="R336" s="390"/>
      <c r="S336" s="390"/>
    </row>
    <row r="337" customFormat="false" ht="11.45" hidden="false" customHeight="false" outlineLevel="0" collapsed="false">
      <c r="A337" s="383" t="str">
        <f aca="false">TEXT(DATE(YEAR(B$2),MONTH(B$2)+(D337-1),1),"Mmm")</f>
        <v>Mar</v>
      </c>
      <c r="B337" s="384" t="n">
        <f aca="false">B336+1</f>
        <v>44627</v>
      </c>
      <c r="C337" s="385" t="n">
        <v>49</v>
      </c>
      <c r="D337" s="385" t="n">
        <v>12</v>
      </c>
      <c r="E337" s="387"/>
      <c r="F337" s="388" t="n">
        <v>2</v>
      </c>
      <c r="G337" s="390"/>
      <c r="H337" s="390"/>
      <c r="I337" s="390"/>
      <c r="J337" s="390"/>
      <c r="K337" s="390"/>
      <c r="L337" s="390"/>
      <c r="M337" s="390"/>
      <c r="N337" s="390"/>
      <c r="O337" s="390"/>
      <c r="P337" s="390"/>
      <c r="Q337" s="390"/>
      <c r="R337" s="390"/>
      <c r="S337" s="390"/>
    </row>
    <row r="338" customFormat="false" ht="11.45" hidden="false" customHeight="false" outlineLevel="0" collapsed="false">
      <c r="A338" s="383" t="str">
        <f aca="false">TEXT(DATE(YEAR(B$2),MONTH(B$2)+(D338-1),1),"Mmm")</f>
        <v>Mar</v>
      </c>
      <c r="B338" s="384" t="n">
        <f aca="false">B337+1</f>
        <v>44628</v>
      </c>
      <c r="C338" s="385" t="n">
        <v>49</v>
      </c>
      <c r="D338" s="385" t="n">
        <v>12</v>
      </c>
      <c r="E338" s="387"/>
      <c r="F338" s="388" t="n">
        <v>2</v>
      </c>
      <c r="G338" s="390"/>
      <c r="H338" s="390"/>
      <c r="I338" s="390"/>
      <c r="J338" s="390"/>
      <c r="K338" s="390"/>
      <c r="L338" s="390"/>
      <c r="M338" s="390"/>
      <c r="N338" s="390"/>
      <c r="O338" s="390"/>
      <c r="P338" s="390"/>
      <c r="Q338" s="390"/>
      <c r="R338" s="390"/>
      <c r="S338" s="390"/>
    </row>
    <row r="339" customFormat="false" ht="11.45" hidden="false" customHeight="false" outlineLevel="0" collapsed="false">
      <c r="A339" s="383" t="str">
        <f aca="false">TEXT(DATE(YEAR(B$2),MONTH(B$2)+(D339-1),1),"Mmm")</f>
        <v>Mar</v>
      </c>
      <c r="B339" s="384" t="n">
        <f aca="false">B338+1</f>
        <v>44629</v>
      </c>
      <c r="C339" s="385" t="n">
        <v>49</v>
      </c>
      <c r="D339" s="385" t="n">
        <v>12</v>
      </c>
      <c r="E339" s="387"/>
      <c r="F339" s="388" t="n">
        <v>2</v>
      </c>
      <c r="G339" s="390"/>
      <c r="H339" s="390"/>
      <c r="I339" s="390"/>
      <c r="J339" s="390"/>
      <c r="K339" s="390"/>
      <c r="L339" s="390"/>
      <c r="M339" s="390"/>
      <c r="N339" s="390"/>
      <c r="O339" s="390"/>
      <c r="P339" s="390"/>
      <c r="Q339" s="390"/>
      <c r="R339" s="390"/>
      <c r="S339" s="390"/>
    </row>
    <row r="340" customFormat="false" ht="11.45" hidden="false" customHeight="false" outlineLevel="0" collapsed="false">
      <c r="A340" s="383" t="str">
        <f aca="false">TEXT(DATE(YEAR(B$2),MONTH(B$2)+(D340-1),1),"Mmm")</f>
        <v>Mar</v>
      </c>
      <c r="B340" s="384" t="n">
        <f aca="false">B339+1</f>
        <v>44630</v>
      </c>
      <c r="C340" s="385" t="n">
        <v>49</v>
      </c>
      <c r="D340" s="385" t="n">
        <v>12</v>
      </c>
      <c r="E340" s="387"/>
      <c r="F340" s="388" t="n">
        <v>2</v>
      </c>
      <c r="G340" s="390"/>
      <c r="H340" s="390"/>
      <c r="I340" s="390"/>
      <c r="J340" s="390"/>
      <c r="K340" s="390"/>
      <c r="L340" s="390"/>
      <c r="M340" s="390"/>
      <c r="N340" s="390"/>
      <c r="O340" s="390"/>
      <c r="P340" s="390"/>
      <c r="Q340" s="390"/>
      <c r="R340" s="390"/>
      <c r="S340" s="390"/>
    </row>
    <row r="341" customFormat="false" ht="11.45" hidden="false" customHeight="false" outlineLevel="0" collapsed="false">
      <c r="A341" s="383" t="str">
        <f aca="false">TEXT(DATE(YEAR(B$2),MONTH(B$2)+(D341-1),1),"Mmm")</f>
        <v>Mar</v>
      </c>
      <c r="B341" s="384" t="n">
        <f aca="false">B340+1</f>
        <v>44631</v>
      </c>
      <c r="C341" s="385" t="n">
        <v>49</v>
      </c>
      <c r="D341" s="385" t="n">
        <v>12</v>
      </c>
      <c r="E341" s="387"/>
      <c r="F341" s="388" t="n">
        <v>2</v>
      </c>
      <c r="G341" s="390"/>
      <c r="H341" s="390"/>
      <c r="I341" s="390"/>
      <c r="J341" s="390"/>
      <c r="K341" s="390"/>
      <c r="L341" s="390"/>
      <c r="M341" s="390"/>
      <c r="N341" s="390"/>
      <c r="O341" s="390"/>
      <c r="P341" s="390"/>
      <c r="Q341" s="390"/>
      <c r="R341" s="390"/>
      <c r="S341" s="390"/>
    </row>
    <row r="342" customFormat="false" ht="11.45" hidden="false" customHeight="false" outlineLevel="0" collapsed="false">
      <c r="A342" s="383" t="str">
        <f aca="false">TEXT(DATE(YEAR(B$2),MONTH(B$2)+(D342-1),1),"Mmm")</f>
        <v>Mar</v>
      </c>
      <c r="B342" s="384" t="n">
        <f aca="false">B341+1</f>
        <v>44632</v>
      </c>
      <c r="C342" s="385" t="n">
        <v>49</v>
      </c>
      <c r="D342" s="385" t="n">
        <v>12</v>
      </c>
      <c r="E342" s="387"/>
      <c r="F342" s="388" t="n">
        <v>2</v>
      </c>
      <c r="G342" s="390"/>
      <c r="H342" s="390"/>
      <c r="I342" s="390"/>
      <c r="J342" s="390"/>
      <c r="K342" s="390"/>
      <c r="L342" s="390"/>
      <c r="M342" s="390"/>
      <c r="N342" s="390"/>
      <c r="O342" s="390"/>
      <c r="P342" s="390"/>
      <c r="Q342" s="390"/>
      <c r="R342" s="390"/>
      <c r="S342" s="390"/>
    </row>
    <row r="343" customFormat="false" ht="11.45" hidden="false" customHeight="false" outlineLevel="0" collapsed="false">
      <c r="A343" s="383" t="str">
        <f aca="false">TEXT(DATE(YEAR(B$2),MONTH(B$2)+(D343-1),1),"Mmm")</f>
        <v>Mar</v>
      </c>
      <c r="B343" s="384" t="n">
        <f aca="false">B342+1</f>
        <v>44633</v>
      </c>
      <c r="C343" s="385" t="n">
        <v>50</v>
      </c>
      <c r="D343" s="385" t="n">
        <v>12</v>
      </c>
      <c r="E343" s="387"/>
      <c r="F343" s="388" t="n">
        <v>3</v>
      </c>
      <c r="G343" s="390"/>
      <c r="H343" s="390"/>
      <c r="I343" s="390"/>
      <c r="J343" s="390"/>
      <c r="K343" s="390"/>
      <c r="L343" s="390"/>
      <c r="M343" s="390"/>
      <c r="N343" s="390"/>
      <c r="O343" s="390"/>
      <c r="P343" s="390"/>
      <c r="Q343" s="390"/>
      <c r="R343" s="390"/>
      <c r="S343" s="390"/>
    </row>
    <row r="344" customFormat="false" ht="11.45" hidden="false" customHeight="false" outlineLevel="0" collapsed="false">
      <c r="A344" s="383" t="str">
        <f aca="false">TEXT(DATE(YEAR(B$2),MONTH(B$2)+(D344-1),1),"Mmm")</f>
        <v>Mar</v>
      </c>
      <c r="B344" s="384" t="n">
        <f aca="false">B343+1</f>
        <v>44634</v>
      </c>
      <c r="C344" s="385" t="n">
        <v>50</v>
      </c>
      <c r="D344" s="385" t="n">
        <v>12</v>
      </c>
      <c r="E344" s="387"/>
      <c r="F344" s="388" t="n">
        <v>3</v>
      </c>
      <c r="G344" s="390"/>
      <c r="H344" s="390"/>
      <c r="I344" s="390"/>
      <c r="J344" s="390"/>
      <c r="K344" s="390"/>
      <c r="L344" s="390"/>
      <c r="M344" s="390"/>
      <c r="N344" s="390"/>
      <c r="O344" s="390"/>
      <c r="P344" s="390"/>
      <c r="Q344" s="390"/>
      <c r="R344" s="390"/>
      <c r="S344" s="390"/>
    </row>
    <row r="345" customFormat="false" ht="11.45" hidden="false" customHeight="false" outlineLevel="0" collapsed="false">
      <c r="A345" s="383" t="str">
        <f aca="false">TEXT(DATE(YEAR(B$2),MONTH(B$2)+(D345-1),1),"Mmm")</f>
        <v>Mar</v>
      </c>
      <c r="B345" s="384" t="n">
        <f aca="false">B344+1</f>
        <v>44635</v>
      </c>
      <c r="C345" s="385" t="n">
        <v>50</v>
      </c>
      <c r="D345" s="385" t="n">
        <v>12</v>
      </c>
      <c r="E345" s="387"/>
      <c r="F345" s="388" t="n">
        <v>3</v>
      </c>
      <c r="G345" s="390"/>
      <c r="H345" s="390"/>
      <c r="I345" s="390"/>
      <c r="J345" s="390"/>
      <c r="K345" s="390"/>
      <c r="L345" s="390"/>
      <c r="M345" s="390"/>
      <c r="N345" s="390"/>
      <c r="O345" s="390"/>
      <c r="P345" s="390"/>
      <c r="Q345" s="390"/>
      <c r="R345" s="390"/>
      <c r="S345" s="390"/>
    </row>
    <row r="346" customFormat="false" ht="11.45" hidden="false" customHeight="false" outlineLevel="0" collapsed="false">
      <c r="A346" s="383" t="str">
        <f aca="false">TEXT(DATE(YEAR(B$2),MONTH(B$2)+(D346-1),1),"Mmm")</f>
        <v>Mar</v>
      </c>
      <c r="B346" s="384" t="n">
        <f aca="false">B345+1</f>
        <v>44636</v>
      </c>
      <c r="C346" s="385" t="n">
        <v>50</v>
      </c>
      <c r="D346" s="385" t="n">
        <v>12</v>
      </c>
      <c r="E346" s="387"/>
      <c r="F346" s="388" t="n">
        <v>3</v>
      </c>
      <c r="G346" s="390"/>
      <c r="H346" s="390"/>
      <c r="I346" s="390"/>
      <c r="J346" s="390"/>
      <c r="K346" s="390"/>
      <c r="L346" s="390"/>
      <c r="M346" s="390"/>
      <c r="N346" s="390"/>
      <c r="O346" s="390"/>
      <c r="P346" s="390"/>
      <c r="Q346" s="390"/>
      <c r="R346" s="390"/>
      <c r="S346" s="390"/>
    </row>
    <row r="347" customFormat="false" ht="11.45" hidden="false" customHeight="false" outlineLevel="0" collapsed="false">
      <c r="A347" s="383" t="str">
        <f aca="false">TEXT(DATE(YEAR(B$2),MONTH(B$2)+(D347-1),1),"Mmm")</f>
        <v>Mar</v>
      </c>
      <c r="B347" s="384" t="n">
        <f aca="false">B346+1</f>
        <v>44637</v>
      </c>
      <c r="C347" s="385" t="n">
        <v>50</v>
      </c>
      <c r="D347" s="385" t="n">
        <v>12</v>
      </c>
      <c r="E347" s="387"/>
      <c r="F347" s="388" t="n">
        <v>3</v>
      </c>
      <c r="G347" s="390"/>
      <c r="H347" s="390"/>
      <c r="I347" s="390"/>
      <c r="J347" s="390"/>
      <c r="K347" s="390"/>
      <c r="L347" s="390"/>
      <c r="M347" s="390"/>
      <c r="N347" s="390"/>
      <c r="O347" s="390"/>
      <c r="P347" s="390"/>
      <c r="Q347" s="390"/>
      <c r="R347" s="390"/>
      <c r="S347" s="390"/>
    </row>
    <row r="348" customFormat="false" ht="11.45" hidden="false" customHeight="false" outlineLevel="0" collapsed="false">
      <c r="A348" s="383" t="str">
        <f aca="false">TEXT(DATE(YEAR(B$2),MONTH(B$2)+(D348-1),1),"Mmm")</f>
        <v>Mar</v>
      </c>
      <c r="B348" s="384" t="n">
        <f aca="false">B347+1</f>
        <v>44638</v>
      </c>
      <c r="C348" s="385" t="n">
        <v>50</v>
      </c>
      <c r="D348" s="385" t="n">
        <v>12</v>
      </c>
      <c r="E348" s="387"/>
      <c r="F348" s="388" t="n">
        <v>3</v>
      </c>
      <c r="G348" s="390"/>
      <c r="H348" s="390"/>
      <c r="I348" s="390"/>
      <c r="J348" s="390"/>
      <c r="K348" s="390"/>
      <c r="L348" s="390"/>
      <c r="M348" s="390"/>
      <c r="N348" s="390"/>
      <c r="O348" s="390"/>
      <c r="P348" s="390"/>
      <c r="Q348" s="390"/>
      <c r="R348" s="390"/>
      <c r="S348" s="390"/>
    </row>
    <row r="349" customFormat="false" ht="11.45" hidden="false" customHeight="false" outlineLevel="0" collapsed="false">
      <c r="A349" s="383" t="str">
        <f aca="false">TEXT(DATE(YEAR(B$2),MONTH(B$2)+(D349-1),1),"Mmm")</f>
        <v>Mar</v>
      </c>
      <c r="B349" s="384" t="n">
        <f aca="false">B348+1</f>
        <v>44639</v>
      </c>
      <c r="C349" s="385" t="n">
        <v>50</v>
      </c>
      <c r="D349" s="385" t="n">
        <v>12</v>
      </c>
      <c r="E349" s="387"/>
      <c r="F349" s="388" t="n">
        <v>3</v>
      </c>
      <c r="G349" s="390"/>
      <c r="H349" s="390"/>
      <c r="I349" s="390"/>
      <c r="J349" s="390"/>
      <c r="K349" s="390"/>
      <c r="L349" s="390"/>
      <c r="M349" s="390"/>
      <c r="N349" s="390"/>
      <c r="O349" s="390"/>
      <c r="P349" s="390"/>
      <c r="Q349" s="390"/>
      <c r="R349" s="390"/>
      <c r="S349" s="390"/>
    </row>
    <row r="350" customFormat="false" ht="11.45" hidden="false" customHeight="false" outlineLevel="0" collapsed="false">
      <c r="A350" s="383" t="str">
        <f aca="false">TEXT(DATE(YEAR(B$2),MONTH(B$2)+(D350-1),1),"Mmm")</f>
        <v>Mar</v>
      </c>
      <c r="B350" s="384" t="n">
        <f aca="false">B349+1</f>
        <v>44640</v>
      </c>
      <c r="C350" s="385" t="n">
        <v>51</v>
      </c>
      <c r="D350" s="385" t="n">
        <v>12</v>
      </c>
      <c r="E350" s="387"/>
      <c r="F350" s="388" t="n">
        <v>4</v>
      </c>
      <c r="G350" s="390"/>
      <c r="H350" s="390"/>
      <c r="I350" s="390"/>
      <c r="J350" s="390"/>
      <c r="K350" s="390"/>
      <c r="L350" s="390"/>
      <c r="M350" s="390"/>
      <c r="N350" s="390"/>
      <c r="O350" s="390"/>
      <c r="P350" s="390"/>
      <c r="Q350" s="390"/>
      <c r="R350" s="390"/>
      <c r="S350" s="390"/>
    </row>
    <row r="351" customFormat="false" ht="11.45" hidden="false" customHeight="false" outlineLevel="0" collapsed="false">
      <c r="A351" s="383" t="str">
        <f aca="false">TEXT(DATE(YEAR(B$2),MONTH(B$2)+(D351-1),1),"Mmm")</f>
        <v>Mar</v>
      </c>
      <c r="B351" s="384" t="n">
        <f aca="false">B350+1</f>
        <v>44641</v>
      </c>
      <c r="C351" s="385" t="n">
        <v>51</v>
      </c>
      <c r="D351" s="385" t="n">
        <v>12</v>
      </c>
      <c r="E351" s="387"/>
      <c r="F351" s="388" t="n">
        <v>4</v>
      </c>
      <c r="G351" s="390"/>
      <c r="H351" s="390"/>
      <c r="I351" s="390"/>
      <c r="J351" s="390"/>
      <c r="K351" s="390"/>
      <c r="L351" s="390"/>
      <c r="M351" s="390"/>
      <c r="N351" s="390"/>
      <c r="O351" s="390"/>
      <c r="P351" s="390"/>
      <c r="Q351" s="390"/>
      <c r="R351" s="390"/>
      <c r="S351" s="390"/>
    </row>
    <row r="352" customFormat="false" ht="11.45" hidden="false" customHeight="false" outlineLevel="0" collapsed="false">
      <c r="A352" s="383" t="str">
        <f aca="false">TEXT(DATE(YEAR(B$2),MONTH(B$2)+(D352-1),1),"Mmm")</f>
        <v>Mar</v>
      </c>
      <c r="B352" s="384" t="n">
        <f aca="false">B351+1</f>
        <v>44642</v>
      </c>
      <c r="C352" s="385" t="n">
        <v>51</v>
      </c>
      <c r="D352" s="385" t="n">
        <v>12</v>
      </c>
      <c r="E352" s="387"/>
      <c r="F352" s="388" t="n">
        <v>4</v>
      </c>
      <c r="G352" s="390"/>
      <c r="H352" s="390"/>
      <c r="I352" s="390"/>
      <c r="J352" s="390"/>
      <c r="K352" s="390"/>
      <c r="L352" s="390"/>
      <c r="M352" s="390"/>
      <c r="N352" s="390"/>
      <c r="O352" s="390"/>
      <c r="P352" s="390"/>
      <c r="Q352" s="390"/>
      <c r="R352" s="390"/>
      <c r="S352" s="390"/>
    </row>
    <row r="353" customFormat="false" ht="11.45" hidden="false" customHeight="false" outlineLevel="0" collapsed="false">
      <c r="A353" s="383" t="str">
        <f aca="false">TEXT(DATE(YEAR(B$2),MONTH(B$2)+(D353-1),1),"Mmm")</f>
        <v>Mar</v>
      </c>
      <c r="B353" s="384" t="n">
        <f aca="false">B352+1</f>
        <v>44643</v>
      </c>
      <c r="C353" s="385" t="n">
        <v>51</v>
      </c>
      <c r="D353" s="385" t="n">
        <v>12</v>
      </c>
      <c r="E353" s="387"/>
      <c r="F353" s="388" t="n">
        <v>4</v>
      </c>
      <c r="G353" s="390"/>
      <c r="H353" s="390"/>
      <c r="I353" s="390"/>
      <c r="J353" s="390"/>
      <c r="K353" s="390"/>
      <c r="L353" s="390"/>
      <c r="M353" s="390"/>
      <c r="N353" s="390"/>
      <c r="O353" s="390"/>
      <c r="P353" s="390"/>
      <c r="Q353" s="390"/>
      <c r="R353" s="390"/>
      <c r="S353" s="390"/>
    </row>
    <row r="354" customFormat="false" ht="11.45" hidden="false" customHeight="false" outlineLevel="0" collapsed="false">
      <c r="A354" s="383" t="str">
        <f aca="false">TEXT(DATE(YEAR(B$2),MONTH(B$2)+(D354-1),1),"Mmm")</f>
        <v>Mar</v>
      </c>
      <c r="B354" s="384" t="n">
        <f aca="false">B353+1</f>
        <v>44644</v>
      </c>
      <c r="C354" s="385" t="n">
        <v>51</v>
      </c>
      <c r="D354" s="385" t="n">
        <v>12</v>
      </c>
      <c r="E354" s="387"/>
      <c r="F354" s="388" t="n">
        <v>4</v>
      </c>
      <c r="G354" s="390"/>
      <c r="H354" s="390"/>
      <c r="I354" s="390"/>
      <c r="J354" s="390"/>
      <c r="K354" s="390"/>
      <c r="L354" s="390"/>
      <c r="M354" s="390"/>
      <c r="N354" s="390"/>
      <c r="O354" s="390"/>
      <c r="P354" s="390"/>
      <c r="Q354" s="390"/>
      <c r="R354" s="390"/>
      <c r="S354" s="390"/>
    </row>
    <row r="355" customFormat="false" ht="11.45" hidden="false" customHeight="false" outlineLevel="0" collapsed="false">
      <c r="A355" s="383" t="str">
        <f aca="false">TEXT(DATE(YEAR(B$2),MONTH(B$2)+(D355-1),1),"Mmm")</f>
        <v>Mar</v>
      </c>
      <c r="B355" s="384" t="n">
        <f aca="false">B354+1</f>
        <v>44645</v>
      </c>
      <c r="C355" s="385" t="n">
        <v>51</v>
      </c>
      <c r="D355" s="385" t="n">
        <v>12</v>
      </c>
      <c r="E355" s="387"/>
      <c r="F355" s="388" t="n">
        <v>4</v>
      </c>
      <c r="G355" s="390"/>
      <c r="H355" s="390"/>
      <c r="I355" s="390"/>
      <c r="J355" s="390"/>
      <c r="K355" s="390"/>
      <c r="L355" s="390"/>
      <c r="M355" s="390"/>
      <c r="N355" s="390"/>
      <c r="O355" s="390"/>
      <c r="P355" s="390"/>
      <c r="Q355" s="390"/>
      <c r="R355" s="390"/>
      <c r="S355" s="390"/>
    </row>
    <row r="356" customFormat="false" ht="11.45" hidden="false" customHeight="false" outlineLevel="0" collapsed="false">
      <c r="A356" s="383" t="str">
        <f aca="false">TEXT(DATE(YEAR(B$2),MONTH(B$2)+(D356-1),1),"Mmm")</f>
        <v>Mar</v>
      </c>
      <c r="B356" s="384" t="n">
        <f aca="false">B355+1</f>
        <v>44646</v>
      </c>
      <c r="C356" s="385" t="n">
        <v>51</v>
      </c>
      <c r="D356" s="385" t="n">
        <v>12</v>
      </c>
      <c r="E356" s="387"/>
      <c r="F356" s="388" t="n">
        <v>4</v>
      </c>
      <c r="G356" s="390"/>
      <c r="H356" s="390"/>
      <c r="I356" s="390"/>
      <c r="J356" s="390"/>
      <c r="K356" s="390"/>
      <c r="L356" s="390"/>
      <c r="M356" s="390"/>
      <c r="N356" s="390"/>
      <c r="O356" s="390"/>
      <c r="P356" s="390"/>
      <c r="Q356" s="390"/>
      <c r="R356" s="390"/>
      <c r="S356" s="390"/>
    </row>
    <row r="357" customFormat="false" ht="11.45" hidden="false" customHeight="false" outlineLevel="0" collapsed="false">
      <c r="A357" s="383" t="str">
        <f aca="false">TEXT(DATE(YEAR(B$2),MONTH(B$2)+(D357-1),1),"Mmm")</f>
        <v>Mar</v>
      </c>
      <c r="B357" s="384" t="n">
        <f aca="false">B356+1</f>
        <v>44647</v>
      </c>
      <c r="C357" s="385" t="n">
        <v>52</v>
      </c>
      <c r="D357" s="385" t="n">
        <v>12</v>
      </c>
      <c r="E357" s="387"/>
      <c r="F357" s="388" t="n">
        <v>5</v>
      </c>
      <c r="G357" s="390"/>
      <c r="H357" s="390"/>
      <c r="I357" s="390"/>
      <c r="J357" s="390"/>
      <c r="K357" s="390"/>
      <c r="L357" s="390"/>
      <c r="M357" s="390"/>
      <c r="N357" s="390"/>
      <c r="O357" s="390"/>
      <c r="P357" s="390"/>
      <c r="Q357" s="390"/>
      <c r="R357" s="390"/>
      <c r="S357" s="390"/>
    </row>
    <row r="358" customFormat="false" ht="11.45" hidden="false" customHeight="false" outlineLevel="0" collapsed="false">
      <c r="A358" s="383" t="str">
        <f aca="false">TEXT(DATE(YEAR(B$2),MONTH(B$2)+(D358-1),1),"Mmm")</f>
        <v>Mar</v>
      </c>
      <c r="B358" s="384" t="n">
        <f aca="false">B357+1</f>
        <v>44648</v>
      </c>
      <c r="C358" s="385" t="n">
        <v>52</v>
      </c>
      <c r="D358" s="385" t="n">
        <v>12</v>
      </c>
      <c r="E358" s="387"/>
      <c r="F358" s="388" t="n">
        <v>5</v>
      </c>
      <c r="G358" s="390"/>
      <c r="H358" s="390"/>
      <c r="I358" s="390"/>
      <c r="J358" s="390"/>
      <c r="K358" s="390"/>
      <c r="L358" s="390"/>
      <c r="M358" s="390"/>
      <c r="N358" s="390"/>
      <c r="O358" s="390"/>
      <c r="P358" s="390"/>
      <c r="Q358" s="390"/>
      <c r="R358" s="390"/>
      <c r="S358" s="390"/>
    </row>
    <row r="359" customFormat="false" ht="11.45" hidden="false" customHeight="false" outlineLevel="0" collapsed="false">
      <c r="A359" s="383" t="str">
        <f aca="false">TEXT(DATE(YEAR(B$2),MONTH(B$2)+(D359-1),1),"Mmm")</f>
        <v>Mar</v>
      </c>
      <c r="B359" s="384" t="n">
        <f aca="false">B358+1</f>
        <v>44649</v>
      </c>
      <c r="C359" s="385" t="n">
        <v>52</v>
      </c>
      <c r="D359" s="385" t="n">
        <v>12</v>
      </c>
      <c r="E359" s="387"/>
      <c r="F359" s="388" t="n">
        <v>5</v>
      </c>
      <c r="G359" s="390"/>
      <c r="H359" s="390"/>
      <c r="I359" s="390"/>
      <c r="J359" s="390"/>
      <c r="K359" s="390"/>
      <c r="L359" s="390"/>
      <c r="M359" s="390"/>
      <c r="N359" s="390"/>
      <c r="O359" s="390"/>
      <c r="P359" s="390"/>
      <c r="Q359" s="390"/>
      <c r="R359" s="390"/>
      <c r="S359" s="390"/>
    </row>
    <row r="360" customFormat="false" ht="11.45" hidden="false" customHeight="false" outlineLevel="0" collapsed="false">
      <c r="A360" s="383" t="str">
        <f aca="false">TEXT(DATE(YEAR(B$2),MONTH(B$2)+(D360-1),1),"Mmm")</f>
        <v>Mar</v>
      </c>
      <c r="B360" s="384" t="n">
        <f aca="false">B359+1</f>
        <v>44650</v>
      </c>
      <c r="C360" s="385" t="n">
        <v>52</v>
      </c>
      <c r="D360" s="385" t="n">
        <v>12</v>
      </c>
      <c r="E360" s="387"/>
      <c r="F360" s="388" t="n">
        <v>5</v>
      </c>
      <c r="G360" s="390"/>
      <c r="H360" s="390"/>
      <c r="I360" s="390"/>
      <c r="J360" s="390"/>
      <c r="K360" s="390"/>
      <c r="L360" s="390"/>
      <c r="M360" s="390"/>
      <c r="N360" s="390"/>
      <c r="O360" s="390"/>
      <c r="P360" s="390"/>
      <c r="Q360" s="390"/>
      <c r="R360" s="390"/>
      <c r="S360" s="390"/>
    </row>
    <row r="361" customFormat="false" ht="11.45" hidden="false" customHeight="false" outlineLevel="0" collapsed="false">
      <c r="A361" s="383" t="str">
        <f aca="false">TEXT(DATE(YEAR(B$2),MONTH(B$2)+(D361-1),1),"Mmm")</f>
        <v>Mar</v>
      </c>
      <c r="B361" s="384" t="n">
        <f aca="false">B360+1</f>
        <v>44651</v>
      </c>
      <c r="C361" s="385" t="n">
        <v>52</v>
      </c>
      <c r="D361" s="385" t="n">
        <v>12</v>
      </c>
      <c r="E361" s="387"/>
      <c r="F361" s="388" t="n">
        <v>5</v>
      </c>
      <c r="G361" s="390"/>
      <c r="H361" s="390"/>
      <c r="I361" s="390"/>
      <c r="J361" s="390"/>
      <c r="K361" s="390"/>
      <c r="L361" s="390"/>
      <c r="M361" s="390"/>
      <c r="N361" s="390"/>
      <c r="O361" s="390"/>
      <c r="P361" s="390"/>
      <c r="Q361" s="390"/>
      <c r="R361" s="390"/>
      <c r="S361" s="390"/>
    </row>
    <row r="362" customFormat="false" ht="11.45" hidden="false" customHeight="false" outlineLevel="0" collapsed="false">
      <c r="A362" s="383" t="str">
        <f aca="false">TEXT(DATE(YEAR(B$2),MONTH(B$2)+(D362-1),1),"Mmm")</f>
        <v>Mar</v>
      </c>
      <c r="B362" s="384" t="n">
        <f aca="false">B361+1</f>
        <v>44652</v>
      </c>
      <c r="C362" s="385" t="n">
        <v>52</v>
      </c>
      <c r="D362" s="385" t="n">
        <v>12</v>
      </c>
      <c r="E362" s="387"/>
      <c r="F362" s="388" t="n">
        <v>5</v>
      </c>
      <c r="G362" s="390"/>
      <c r="H362" s="390"/>
      <c r="I362" s="390"/>
      <c r="J362" s="390"/>
      <c r="K362" s="390"/>
      <c r="L362" s="390"/>
      <c r="M362" s="390"/>
      <c r="N362" s="390"/>
      <c r="O362" s="390"/>
      <c r="P362" s="390"/>
      <c r="Q362" s="390"/>
      <c r="R362" s="390"/>
      <c r="S362" s="390"/>
    </row>
    <row r="363" customFormat="false" ht="11.45" hidden="false" customHeight="false" outlineLevel="0" collapsed="false">
      <c r="A363" s="383" t="str">
        <f aca="false">TEXT(DATE(YEAR(B$2),MONTH(B$2)+(D363-1),1),"Mmm")</f>
        <v>Mar</v>
      </c>
      <c r="B363" s="384" t="n">
        <f aca="false">B362+1</f>
        <v>44653</v>
      </c>
      <c r="C363" s="385" t="n">
        <v>52</v>
      </c>
      <c r="D363" s="385" t="n">
        <v>12</v>
      </c>
      <c r="E363" s="387"/>
      <c r="F363" s="388" t="n">
        <v>5</v>
      </c>
      <c r="G363" s="390"/>
      <c r="H363" s="390"/>
      <c r="I363" s="390"/>
      <c r="J363" s="390"/>
      <c r="K363" s="390"/>
      <c r="L363" s="390"/>
      <c r="M363" s="390"/>
      <c r="N363" s="390"/>
      <c r="O363" s="390"/>
      <c r="P363" s="390"/>
      <c r="Q363" s="390"/>
      <c r="R363" s="390"/>
      <c r="S363" s="390"/>
    </row>
    <row r="364" customFormat="false" ht="11.45" hidden="false" customHeight="false" outlineLevel="0" collapsed="false">
      <c r="A364" s="383" t="str">
        <f aca="false">TEXT(DATE(YEAR(B$2),MONTH(B$2)+(D364-1),1),"Mmm")</f>
        <v>Mar</v>
      </c>
      <c r="B364" s="384" t="n">
        <f aca="false">B363+1</f>
        <v>44654</v>
      </c>
      <c r="C364" s="385" t="n">
        <v>53</v>
      </c>
      <c r="D364" s="385" t="n">
        <v>12</v>
      </c>
      <c r="E364" s="387"/>
      <c r="F364" s="388" t="n">
        <v>6</v>
      </c>
      <c r="G364" s="390"/>
      <c r="H364" s="390"/>
      <c r="I364" s="390"/>
      <c r="J364" s="390"/>
      <c r="K364" s="390"/>
      <c r="L364" s="390"/>
      <c r="M364" s="390"/>
      <c r="N364" s="390"/>
      <c r="O364" s="390"/>
      <c r="P364" s="390"/>
      <c r="Q364" s="390"/>
      <c r="R364" s="390"/>
      <c r="S364" s="390"/>
    </row>
    <row r="365" customFormat="false" ht="11.45" hidden="false" customHeight="false" outlineLevel="0" collapsed="false">
      <c r="A365" s="383" t="str">
        <f aca="false">TEXT(DATE(YEAR(B$2),MONTH(B$2)+(D365-1),1),"Mmm")</f>
        <v>Mar</v>
      </c>
      <c r="B365" s="384" t="n">
        <f aca="false">B364+1</f>
        <v>44655</v>
      </c>
      <c r="C365" s="385" t="n">
        <v>53</v>
      </c>
      <c r="D365" s="385" t="n">
        <v>12</v>
      </c>
      <c r="E365" s="387"/>
      <c r="F365" s="388" t="n">
        <v>6</v>
      </c>
      <c r="G365" s="390"/>
      <c r="H365" s="390"/>
      <c r="I365" s="390"/>
      <c r="J365" s="390"/>
      <c r="K365" s="390"/>
      <c r="L365" s="390"/>
      <c r="M365" s="390"/>
      <c r="N365" s="390"/>
      <c r="O365" s="390"/>
      <c r="P365" s="390"/>
      <c r="Q365" s="390"/>
      <c r="R365" s="390"/>
      <c r="S365" s="390"/>
    </row>
    <row r="366" customFormat="false" ht="11.45" hidden="false" customHeight="false" outlineLevel="0" collapsed="false">
      <c r="A366" s="383" t="str">
        <f aca="false">TEXT(DATE(YEAR(B$2),MONTH(B$2)+(D366-1),1),"Mmm")</f>
        <v>Mar</v>
      </c>
      <c r="B366" s="384" t="n">
        <f aca="false">B365+1</f>
        <v>44656</v>
      </c>
      <c r="C366" s="385" t="n">
        <v>53</v>
      </c>
      <c r="D366" s="385" t="n">
        <v>12</v>
      </c>
      <c r="E366" s="386" t="n">
        <f aca="false">B366</f>
        <v>44656</v>
      </c>
      <c r="F366" s="388" t="n">
        <v>6</v>
      </c>
      <c r="G366" s="390"/>
      <c r="H366" s="390"/>
      <c r="I366" s="390"/>
      <c r="J366" s="390"/>
      <c r="K366" s="390"/>
      <c r="L366" s="390"/>
      <c r="M366" s="390"/>
      <c r="N366" s="390"/>
      <c r="O366" s="390"/>
      <c r="P366" s="390"/>
      <c r="Q366" s="390"/>
      <c r="R366" s="390"/>
      <c r="S366" s="390"/>
    </row>
    <row r="367" customFormat="false" ht="11.45" hidden="false" customHeight="false" outlineLevel="0" collapsed="false">
      <c r="A367" s="383" t="str">
        <f aca="false">TEXT(DATE(YEAR(B$2),MONTH(B$2)+(D367-1),1),"Mmm")</f>
        <v>Mar</v>
      </c>
      <c r="B367" s="384" t="n">
        <f aca="false">B366+1</f>
        <v>44657</v>
      </c>
      <c r="C367" s="385" t="n">
        <v>53</v>
      </c>
      <c r="D367" s="385" t="n">
        <v>12</v>
      </c>
      <c r="E367" s="387"/>
      <c r="F367" s="388" t="n">
        <v>6</v>
      </c>
      <c r="G367" s="390"/>
      <c r="H367" s="390"/>
      <c r="I367" s="390"/>
      <c r="J367" s="390"/>
      <c r="K367" s="390"/>
      <c r="L367" s="390"/>
      <c r="M367" s="390"/>
      <c r="N367" s="390"/>
      <c r="O367" s="390"/>
      <c r="P367" s="390"/>
      <c r="Q367" s="390"/>
      <c r="R367" s="390"/>
      <c r="S367" s="390"/>
    </row>
    <row r="368" customFormat="false" ht="11.45" hidden="false" customHeight="false" outlineLevel="0" collapsed="false">
      <c r="A368" s="383" t="str">
        <f aca="false">TEXT(DATE(YEAR(B$2),MONTH(B$2)+(D368-1),1),"Mmm")</f>
        <v>Mar</v>
      </c>
      <c r="B368" s="384" t="n">
        <f aca="false">B367+1</f>
        <v>44658</v>
      </c>
      <c r="C368" s="385" t="n">
        <v>53</v>
      </c>
      <c r="D368" s="385" t="n">
        <v>12</v>
      </c>
      <c r="E368" s="387"/>
      <c r="F368" s="388" t="n">
        <v>6</v>
      </c>
      <c r="G368" s="390"/>
      <c r="H368" s="390"/>
      <c r="I368" s="390"/>
      <c r="J368" s="390"/>
      <c r="K368" s="390"/>
      <c r="L368" s="390"/>
      <c r="M368" s="390"/>
      <c r="N368" s="390"/>
      <c r="O368" s="390"/>
      <c r="P368" s="390"/>
      <c r="Q368" s="390"/>
      <c r="R368" s="390"/>
      <c r="S368" s="390"/>
    </row>
    <row r="369" customFormat="false" ht="11.45" hidden="false" customHeight="false" outlineLevel="0" collapsed="false">
      <c r="A369" s="383" t="str">
        <f aca="false">TEXT(DATE(YEAR(B$2),MONTH(B$2)+(D369-1),1),"Mmm")</f>
        <v>Mar</v>
      </c>
      <c r="B369" s="384" t="n">
        <f aca="false">B368+1</f>
        <v>44659</v>
      </c>
      <c r="C369" s="385" t="n">
        <v>53</v>
      </c>
      <c r="D369" s="385" t="n">
        <v>12</v>
      </c>
      <c r="E369" s="387"/>
      <c r="F369" s="388" t="n">
        <v>6</v>
      </c>
      <c r="G369" s="390"/>
      <c r="H369" s="390"/>
      <c r="I369" s="390"/>
      <c r="J369" s="390"/>
      <c r="K369" s="390"/>
      <c r="L369" s="390"/>
      <c r="M369" s="390"/>
      <c r="N369" s="390"/>
      <c r="O369" s="390"/>
      <c r="P369" s="390"/>
      <c r="Q369" s="390"/>
      <c r="R369" s="390"/>
      <c r="S369" s="390"/>
    </row>
    <row r="370" customFormat="false" ht="11.45" hidden="false" customHeight="false" outlineLevel="0" collapsed="false">
      <c r="A370" s="383" t="str">
        <f aca="false">TEXT(DATE(YEAR(B$2),MONTH(B$2)+(D370-1),1),"Mmm")</f>
        <v>Mar</v>
      </c>
      <c r="B370" s="384" t="n">
        <f aca="false">B369+1</f>
        <v>44660</v>
      </c>
      <c r="C370" s="385" t="n">
        <v>53</v>
      </c>
      <c r="D370" s="385" t="n">
        <v>12</v>
      </c>
      <c r="E370" s="387"/>
      <c r="F370" s="388" t="n">
        <v>6</v>
      </c>
      <c r="G370" s="390"/>
      <c r="H370" s="390"/>
      <c r="I370" s="390"/>
      <c r="J370" s="390"/>
      <c r="K370" s="390"/>
      <c r="L370" s="390"/>
      <c r="M370" s="390"/>
      <c r="N370" s="390"/>
      <c r="O370" s="390"/>
      <c r="P370" s="390"/>
      <c r="Q370" s="390"/>
      <c r="R370" s="390"/>
      <c r="S370" s="390"/>
    </row>
    <row r="371" customFormat="false" ht="11.45" hidden="false" customHeight="false" outlineLevel="0" collapsed="false">
      <c r="A371" s="383" t="str">
        <f aca="false">TEXT(DATE(YEAR(B$2),MONTH(B$2)+(D371-1),1),"Mmm")</f>
        <v>Mar</v>
      </c>
      <c r="B371" s="384" t="n">
        <f aca="false">B370+1</f>
        <v>44661</v>
      </c>
      <c r="C371" s="385" t="n">
        <v>53</v>
      </c>
      <c r="D371" s="385" t="n">
        <v>12</v>
      </c>
      <c r="E371" s="387"/>
      <c r="F371" s="388" t="n">
        <v>6</v>
      </c>
      <c r="G371" s="390"/>
      <c r="H371" s="390"/>
      <c r="I371" s="390"/>
      <c r="J371" s="390"/>
      <c r="K371" s="390"/>
      <c r="L371" s="390"/>
      <c r="M371" s="390"/>
      <c r="N371" s="390"/>
      <c r="O371" s="390"/>
      <c r="P371" s="390"/>
      <c r="Q371" s="390"/>
      <c r="R371" s="390"/>
      <c r="S371" s="390"/>
    </row>
    <row r="372" customFormat="false" ht="11.45" hidden="false" customHeight="false" outlineLevel="0" collapsed="false">
      <c r="A372" s="383" t="str">
        <f aca="false">TEXT(DATE(YEAR(B$2),MONTH(B$2)+(D372-1),1),"Mmm")</f>
        <v>Mar</v>
      </c>
      <c r="B372" s="384" t="n">
        <f aca="false">B371+1</f>
        <v>44662</v>
      </c>
      <c r="C372" s="385" t="n">
        <v>53</v>
      </c>
      <c r="D372" s="385" t="n">
        <v>12</v>
      </c>
      <c r="E372" s="387"/>
      <c r="F372" s="388" t="n">
        <v>6</v>
      </c>
      <c r="G372" s="390"/>
      <c r="H372" s="390"/>
      <c r="I372" s="390"/>
      <c r="J372" s="390"/>
      <c r="K372" s="390"/>
      <c r="L372" s="390"/>
      <c r="M372" s="390"/>
      <c r="N372" s="390"/>
      <c r="O372" s="390"/>
      <c r="P372" s="390"/>
      <c r="Q372" s="390"/>
      <c r="R372" s="390"/>
      <c r="S372" s="390"/>
    </row>
    <row r="373" customFormat="false" ht="11.45" hidden="false" customHeight="false" outlineLevel="0" collapsed="false">
      <c r="A373" s="383" t="str">
        <f aca="false">TEXT(DATE(YEAR(B$2),MONTH(B$2)+(D373-1),1),"Mmm")</f>
        <v>Mar</v>
      </c>
      <c r="B373" s="384" t="n">
        <f aca="false">B372+1</f>
        <v>44663</v>
      </c>
      <c r="C373" s="385" t="n">
        <v>53</v>
      </c>
      <c r="D373" s="385" t="n">
        <v>12</v>
      </c>
      <c r="E373" s="387"/>
      <c r="F373" s="388" t="n">
        <v>6</v>
      </c>
      <c r="G373" s="390"/>
      <c r="H373" s="390"/>
      <c r="I373" s="390"/>
      <c r="J373" s="390"/>
      <c r="K373" s="390"/>
      <c r="L373" s="390"/>
      <c r="M373" s="390"/>
      <c r="N373" s="390"/>
      <c r="O373" s="390"/>
      <c r="P373" s="390"/>
      <c r="Q373" s="390"/>
      <c r="R373" s="390"/>
      <c r="S373" s="390"/>
    </row>
    <row r="374" customFormat="false" ht="11.45" hidden="false" customHeight="false" outlineLevel="0" collapsed="false">
      <c r="A374" s="383" t="str">
        <f aca="false">TEXT(DATE(YEAR(B$2),MONTH(B$2)+(D374-1),1),"Mmm")</f>
        <v>Mar</v>
      </c>
      <c r="B374" s="384" t="n">
        <f aca="false">B373+1</f>
        <v>44664</v>
      </c>
      <c r="C374" s="385" t="n">
        <v>53</v>
      </c>
      <c r="D374" s="385" t="n">
        <v>12</v>
      </c>
      <c r="E374" s="387"/>
      <c r="F374" s="388" t="n">
        <v>6</v>
      </c>
      <c r="G374" s="390"/>
      <c r="H374" s="390"/>
      <c r="I374" s="390"/>
      <c r="J374" s="390"/>
      <c r="K374" s="390"/>
      <c r="L374" s="390"/>
      <c r="M374" s="390"/>
      <c r="N374" s="390"/>
      <c r="O374" s="390"/>
      <c r="P374" s="390"/>
      <c r="Q374" s="390"/>
      <c r="R374" s="390"/>
      <c r="S374" s="390"/>
    </row>
    <row r="375" customFormat="false" ht="11.45" hidden="false" customHeight="false" outlineLevel="0" collapsed="false">
      <c r="A375" s="383" t="str">
        <f aca="false">TEXT(DATE(YEAR(B$2),MONTH(B$2)+(D375-1),1),"Mmm")</f>
        <v>Mar</v>
      </c>
      <c r="B375" s="384" t="n">
        <f aca="false">B374+1</f>
        <v>44665</v>
      </c>
      <c r="C375" s="385" t="n">
        <v>53</v>
      </c>
      <c r="D375" s="385" t="n">
        <v>12</v>
      </c>
      <c r="E375" s="387"/>
      <c r="F375" s="388" t="n">
        <v>6</v>
      </c>
      <c r="G375" s="390"/>
      <c r="H375" s="390"/>
      <c r="I375" s="390"/>
      <c r="J375" s="390"/>
      <c r="K375" s="390"/>
      <c r="L375" s="390"/>
      <c r="M375" s="390"/>
      <c r="N375" s="390"/>
      <c r="O375" s="390"/>
      <c r="P375" s="390"/>
      <c r="Q375" s="390"/>
      <c r="R375" s="390"/>
      <c r="S375" s="390"/>
    </row>
    <row r="376" customFormat="false" ht="11.45" hidden="false" customHeight="false" outlineLevel="0" collapsed="false">
      <c r="A376" s="383" t="str">
        <f aca="false">TEXT(DATE(YEAR(B$2),MONTH(B$2)+(D376-1),1),"Mmm")</f>
        <v>Mar</v>
      </c>
      <c r="B376" s="384" t="n">
        <f aca="false">B375+1</f>
        <v>44666</v>
      </c>
      <c r="C376" s="385" t="n">
        <v>53</v>
      </c>
      <c r="D376" s="385" t="n">
        <v>12</v>
      </c>
      <c r="E376" s="387"/>
      <c r="F376" s="388" t="n">
        <v>6</v>
      </c>
      <c r="G376" s="390"/>
      <c r="H376" s="390"/>
      <c r="I376" s="390"/>
      <c r="J376" s="390"/>
      <c r="K376" s="390"/>
      <c r="L376" s="390"/>
      <c r="M376" s="390"/>
      <c r="N376" s="390"/>
      <c r="O376" s="390"/>
      <c r="P376" s="390"/>
      <c r="Q376" s="390"/>
      <c r="R376" s="390"/>
      <c r="S376" s="390"/>
    </row>
    <row r="377" customFormat="false" ht="11.45" hidden="false" customHeight="false" outlineLevel="0" collapsed="false">
      <c r="A377" s="383" t="str">
        <f aca="false">TEXT(DATE(YEAR(B$2),MONTH(B$2)+(D377-1),1),"Mmm")</f>
        <v>Mar</v>
      </c>
      <c r="B377" s="384" t="n">
        <f aca="false">B376+1</f>
        <v>44667</v>
      </c>
      <c r="C377" s="385" t="n">
        <v>53</v>
      </c>
      <c r="D377" s="385" t="n">
        <v>12</v>
      </c>
      <c r="E377" s="387"/>
      <c r="F377" s="388" t="n">
        <v>6</v>
      </c>
      <c r="G377" s="390"/>
      <c r="H377" s="390"/>
      <c r="I377" s="390"/>
      <c r="J377" s="390"/>
      <c r="K377" s="390"/>
      <c r="L377" s="390"/>
      <c r="M377" s="390"/>
      <c r="N377" s="390"/>
      <c r="O377" s="390"/>
      <c r="P377" s="390"/>
      <c r="Q377" s="390"/>
      <c r="R377" s="390"/>
      <c r="S377" s="390"/>
    </row>
    <row r="378" customFormat="false" ht="11.45" hidden="false" customHeight="false" outlineLevel="0" collapsed="false">
      <c r="A378" s="383" t="str">
        <f aca="false">TEXT(DATE(YEAR(B$2),MONTH(B$2)+(D378-1),1),"Mmm")</f>
        <v>Mar</v>
      </c>
      <c r="B378" s="384" t="n">
        <f aca="false">B377+1</f>
        <v>44668</v>
      </c>
      <c r="C378" s="385" t="n">
        <v>53</v>
      </c>
      <c r="D378" s="385" t="n">
        <v>12</v>
      </c>
      <c r="E378" s="387"/>
      <c r="F378" s="388" t="n">
        <v>6</v>
      </c>
      <c r="G378" s="390"/>
      <c r="H378" s="390"/>
      <c r="I378" s="390"/>
      <c r="J378" s="390"/>
      <c r="K378" s="390"/>
      <c r="L378" s="390"/>
      <c r="M378" s="390"/>
      <c r="N378" s="390"/>
      <c r="O378" s="390"/>
      <c r="P378" s="390"/>
      <c r="Q378" s="390"/>
      <c r="R378" s="390"/>
      <c r="S378" s="390"/>
    </row>
    <row r="379" customFormat="false" ht="11.45" hidden="false" customHeight="false" outlineLevel="0" collapsed="false">
      <c r="A379" s="383" t="str">
        <f aca="false">TEXT(DATE(YEAR(B$2),MONTH(B$2)+(D379-1),1),"Mmm")</f>
        <v>Mar</v>
      </c>
      <c r="B379" s="384" t="n">
        <f aca="false">B378+1</f>
        <v>44669</v>
      </c>
      <c r="C379" s="385" t="n">
        <v>53</v>
      </c>
      <c r="D379" s="385" t="n">
        <v>12</v>
      </c>
      <c r="E379" s="387"/>
      <c r="F379" s="388" t="n">
        <v>6</v>
      </c>
      <c r="G379" s="390"/>
      <c r="H379" s="390"/>
      <c r="I379" s="390"/>
      <c r="J379" s="390"/>
      <c r="K379" s="390"/>
      <c r="L379" s="390"/>
      <c r="M379" s="390"/>
      <c r="N379" s="390"/>
      <c r="O379" s="390"/>
      <c r="P379" s="390"/>
      <c r="Q379" s="390"/>
      <c r="R379" s="390"/>
      <c r="S379" s="390"/>
    </row>
    <row r="380" customFormat="false" ht="11.45" hidden="false" customHeight="false" outlineLevel="0" collapsed="false">
      <c r="A380" s="383" t="str">
        <f aca="false">TEXT(DATE(YEAR(B$2),MONTH(B$2)+(D380-1),1),"Mmm")</f>
        <v>Mar</v>
      </c>
      <c r="B380" s="384" t="n">
        <f aca="false">B379+1</f>
        <v>44670</v>
      </c>
      <c r="C380" s="385" t="n">
        <v>53</v>
      </c>
      <c r="D380" s="385" t="n">
        <v>12</v>
      </c>
      <c r="E380" s="387"/>
      <c r="F380" s="388" t="n">
        <v>6</v>
      </c>
      <c r="G380" s="390"/>
      <c r="H380" s="390"/>
      <c r="I380" s="390"/>
      <c r="J380" s="390"/>
      <c r="K380" s="390"/>
      <c r="L380" s="390"/>
      <c r="M380" s="390"/>
      <c r="N380" s="390"/>
      <c r="O380" s="390"/>
      <c r="P380" s="390"/>
      <c r="Q380" s="390"/>
      <c r="R380" s="390"/>
      <c r="S380" s="390"/>
    </row>
    <row r="381" customFormat="false" ht="11.45" hidden="false" customHeight="false" outlineLevel="0" collapsed="false">
      <c r="A381" s="383" t="str">
        <f aca="false">TEXT(DATE(YEAR(B$2),MONTH(B$2)+(D381-1),1),"Mmm")</f>
        <v>Mar</v>
      </c>
      <c r="B381" s="384" t="n">
        <f aca="false">B380+1</f>
        <v>44671</v>
      </c>
      <c r="C381" s="385" t="n">
        <v>53</v>
      </c>
      <c r="D381" s="385" t="n">
        <v>12</v>
      </c>
      <c r="E381" s="387"/>
      <c r="F381" s="388" t="n">
        <v>6</v>
      </c>
      <c r="G381" s="390"/>
      <c r="H381" s="390"/>
      <c r="I381" s="390"/>
      <c r="J381" s="390"/>
      <c r="K381" s="390"/>
      <c r="L381" s="390"/>
      <c r="M381" s="390"/>
      <c r="N381" s="390"/>
      <c r="O381" s="390"/>
      <c r="P381" s="390"/>
      <c r="Q381" s="390"/>
      <c r="R381" s="390"/>
      <c r="S381" s="390"/>
    </row>
    <row r="382" customFormat="false" ht="10.5" hidden="false" customHeight="false" outlineLevel="0" collapsed="false">
      <c r="A382" s="386"/>
      <c r="B382" s="386"/>
      <c r="C382" s="386"/>
      <c r="D382" s="386"/>
      <c r="E382" s="386"/>
      <c r="F382" s="386"/>
      <c r="G382" s="386"/>
      <c r="H382" s="386"/>
      <c r="I382" s="386"/>
      <c r="J382" s="386"/>
      <c r="K382" s="386"/>
      <c r="L382" s="386"/>
      <c r="M382" s="386"/>
      <c r="N382" s="386"/>
      <c r="O382" s="386"/>
      <c r="P382" s="386"/>
      <c r="Q382" s="386"/>
      <c r="R382" s="386"/>
      <c r="S382" s="386"/>
    </row>
  </sheetData>
  <mergeCells count="3">
    <mergeCell ref="G1:H1"/>
    <mergeCell ref="I1:J1"/>
    <mergeCell ref="H3: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2006-03-29T22:56:21Z</dcterms:created>
  <dc:creator>Terry Cartwright</dc:creator>
  <dc:description/>
  <dc:language>en-US</dc:language>
  <cp:lastModifiedBy>Cartwright, Antony</cp:lastModifiedBy>
  <cp:lastPrinted>2006-09-19T02:28:04Z</cp:lastPrinted>
  <dcterms:modified xsi:type="dcterms:W3CDTF">2025-04-03T22:50:03Z</dcterms:modified>
  <cp:revision>0</cp:revision>
  <dc:subject/>
  <dc:title>0910 Payroll 5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