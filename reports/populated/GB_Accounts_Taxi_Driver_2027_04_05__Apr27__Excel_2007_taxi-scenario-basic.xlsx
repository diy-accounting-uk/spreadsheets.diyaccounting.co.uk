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<sst xmlns="http://schemas.openxmlformats.org/spreadsheetml/2006/main" count="1090" uniqueCount="327">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</sst>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46482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46118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2026-27</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2026-27</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2026-27</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2027-28</v>
      </c>
      <c r="D24" s="312" t="s">
        <v>212</v>
      </c>
      <c r="E24" s="301" t="n">
        <f aca="false">E17</f>
        <v>4438.2</v>
      </c>
      <c r="F24" s="276"/>
      <c r="G24" s="280"/>
    </row>
    <row r="25" customFormat="false" ht="12.75" hidden="false" customHeight="false" outlineLevel="0" collapsed="false">
      <c r="A25" s="135"/>
      <c r="B25" s="144" t="s">
        <v>213</v>
      </c>
      <c r="C25" s="144"/>
      <c r="D25" s="313" t="n">
        <f aca="false">Admin!B$21</f>
        <v>46783</v>
      </c>
      <c r="E25" s="284" t="n">
        <f aca="false">E24/2</f>
        <v>2219.1</v>
      </c>
      <c r="F25" s="276"/>
      <c r="G25" s="280"/>
    </row>
    <row r="26" customFormat="false" ht="12.75" hidden="false" customHeight="false" outlineLevel="0" collapsed="false">
      <c r="A26" s="135"/>
      <c r="B26" s="144" t="s">
        <v>213</v>
      </c>
      <c r="C26" s="144"/>
      <c r="D26" s="313" t="n">
        <f aca="false">Admin!B$22</f>
        <v>46965</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SUM(D4:D36)</f>
        <v>0</v>
      </c>
      <c r="E1" s="352" t="n">
        <f aca="false">SUM(E4:E36)/2</f>
        <v>3000</v>
      </c>
      <c r="F1" s="352" t="n">
        <f aca="false">SUM(F4:F36)/2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242</v>
      </c>
      <c r="F12" s="365"/>
    </row>
    <row r="13" customFormat="false" ht="12.75" hidden="false" customHeight="false" outlineLevel="0" collapsed="false">
      <c r="A13" s="364" t="n">
        <v>46124</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242</v>
      </c>
      <c r="F23" s="365"/>
    </row>
    <row r="24" customFormat="false" ht="12.75" hidden="false" customHeight="false" outlineLevel="0" collapsed="false">
      <c r="A24" s="364" t="n">
        <v>46131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242</v>
      </c>
      <c r="F34" s="365"/>
    </row>
    <row r="35" customFormat="false" ht="12.75" hidden="false" customHeight="false" outlineLevel="0" collapsed="false">
      <c r="A35" s="364" t="n">
        <v>46138</v>
      </c>
      <c r="B35" s="347" t="s">
        <v>243</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242</v>
      </c>
      <c r="F12" s="365"/>
    </row>
    <row r="13" customFormat="false" ht="12.75" hidden="false" customHeight="false" outlineLevel="0" collapsed="false">
      <c r="A13" s="364" t="n">
        <v>46145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242</v>
      </c>
      <c r="F23" s="365"/>
    </row>
    <row r="24" customFormat="false" ht="12.75" hidden="false" customHeight="false" outlineLevel="0" collapsed="false">
      <c r="A24" s="364" t="n">
        <v>46152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242</v>
      </c>
      <c r="F34" s="365"/>
    </row>
    <row r="35" customFormat="false" ht="12.75" hidden="false" customHeight="false" outlineLevel="0" collapsed="false">
      <c r="A35" s="364" t="n">
        <v>46159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242</v>
      </c>
      <c r="F45" s="365"/>
    </row>
    <row r="46" customFormat="false" ht="12.75" hidden="false" customHeight="false" outlineLevel="0" collapsed="false">
      <c r="A46" s="364" t="n">
        <v>46166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242</v>
      </c>
      <c r="F56" s="365"/>
    </row>
    <row r="57" customFormat="false" ht="12.75" hidden="false" customHeight="false" outlineLevel="0" collapsed="false">
      <c r="A57" s="364" t="n">
        <v>46173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242</v>
      </c>
      <c r="F12" s="365"/>
    </row>
    <row r="13" customFormat="false" ht="12.75" hidden="false" customHeight="false" outlineLevel="0" collapsed="false">
      <c r="A13" s="364" t="n">
        <v>46180</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242</v>
      </c>
      <c r="F23" s="365"/>
    </row>
    <row r="24" customFormat="false" ht="12.75" hidden="false" customHeight="false" outlineLevel="0" collapsed="false">
      <c r="A24" s="364" t="n">
        <v>46187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242</v>
      </c>
      <c r="F34" s="365"/>
    </row>
    <row r="35" customFormat="false" ht="12.75" hidden="false" customHeight="false" outlineLevel="0" collapsed="false">
      <c r="A35" s="364" t="n">
        <v>46194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242</v>
      </c>
      <c r="F45" s="365"/>
    </row>
    <row r="46" customFormat="false" ht="12.75" hidden="false" customHeight="false" outlineLevel="0" collapsed="false">
      <c r="A46" s="364" t="n">
        <v>46201</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242</v>
      </c>
      <c r="F12" s="365"/>
    </row>
    <row r="13" customFormat="false" ht="12.75" hidden="false" customHeight="false" outlineLevel="0" collapsed="false">
      <c r="A13" s="364" t="n">
        <v>46208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242</v>
      </c>
      <c r="F23" s="365"/>
    </row>
    <row r="24" customFormat="false" ht="12.75" hidden="false" customHeight="false" outlineLevel="0" collapsed="false">
      <c r="A24" s="364" t="n">
        <v>46215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242</v>
      </c>
      <c r="F34" s="365"/>
    </row>
    <row r="35" customFormat="false" ht="12.75" hidden="false" customHeight="false" outlineLevel="0" collapsed="false">
      <c r="A35" s="364" t="n">
        <v>46222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242</v>
      </c>
      <c r="F45" s="365"/>
    </row>
    <row r="46" customFormat="false" ht="12.75" hidden="false" customHeight="false" outlineLevel="0" collapsed="false">
      <c r="A46" s="364" t="n">
        <v>46229</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242</v>
      </c>
      <c r="F12" s="365"/>
    </row>
    <row r="13" customFormat="false" ht="12.75" hidden="false" customHeight="false" outlineLevel="0" collapsed="false">
      <c r="A13" s="364" t="n">
        <v>46236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242</v>
      </c>
      <c r="F23" s="365"/>
    </row>
    <row r="24" customFormat="false" ht="12.75" hidden="false" customHeight="false" outlineLevel="0" collapsed="false">
      <c r="A24" s="364" t="n">
        <v>46243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242</v>
      </c>
      <c r="F34" s="365"/>
    </row>
    <row r="35" customFormat="false" ht="12.75" hidden="false" customHeight="false" outlineLevel="0" collapsed="false">
      <c r="A35" s="364" t="n">
        <v>46250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242</v>
      </c>
      <c r="F45" s="365"/>
    </row>
    <row r="46" customFormat="false" ht="12.75" hidden="false" customHeight="false" outlineLevel="0" collapsed="false">
      <c r="A46" s="364" t="n">
        <v>46257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242</v>
      </c>
      <c r="F56" s="365"/>
    </row>
    <row r="57" customFormat="false" ht="12.75" hidden="false" customHeight="false" outlineLevel="0" collapsed="false">
      <c r="A57" s="364" t="n">
        <v>46264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242</v>
      </c>
      <c r="F12" s="365"/>
    </row>
    <row r="13" customFormat="false" ht="12.75" hidden="false" customHeight="false" outlineLevel="0" collapsed="false">
      <c r="A13" s="364" t="n">
        <v>46271</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242</v>
      </c>
      <c r="F23" s="365"/>
    </row>
    <row r="24" customFormat="false" ht="12.75" hidden="false" customHeight="false" outlineLevel="0" collapsed="false">
      <c r="A24" s="364" t="n">
        <v>46278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242</v>
      </c>
      <c r="F34" s="365"/>
    </row>
    <row r="35" customFormat="false" ht="12.75" hidden="false" customHeight="false" outlineLevel="0" collapsed="false">
      <c r="A35" s="364" t="n">
        <v>46285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242</v>
      </c>
      <c r="F45" s="365"/>
    </row>
    <row r="46" customFormat="false" ht="12.75" hidden="false" customHeight="false" outlineLevel="0" collapsed="false">
      <c r="A46" s="364" t="n">
        <v>46292</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242</v>
      </c>
      <c r="F12" s="365"/>
    </row>
    <row r="13" customFormat="false" ht="12.75" hidden="false" customHeight="false" outlineLevel="0" collapsed="false">
      <c r="A13" s="364" t="n">
        <v>46299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242</v>
      </c>
      <c r="F23" s="365"/>
    </row>
    <row r="24" customFormat="false" ht="12.75" hidden="false" customHeight="false" outlineLevel="0" collapsed="false">
      <c r="A24" s="364" t="n">
        <v>46306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242</v>
      </c>
      <c r="F34" s="365"/>
    </row>
    <row r="35" customFormat="false" ht="12.75" hidden="false" customHeight="false" outlineLevel="0" collapsed="false">
      <c r="A35" s="364" t="n">
        <v>46313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242</v>
      </c>
      <c r="F45" s="365"/>
    </row>
    <row r="46" customFormat="false" ht="12.75" hidden="false" customHeight="false" outlineLevel="0" collapsed="false">
      <c r="A46" s="364" t="n">
        <v>46320</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242</v>
      </c>
      <c r="F12" s="365"/>
    </row>
    <row r="13" customFormat="false" ht="12.75" hidden="false" customHeight="false" outlineLevel="0" collapsed="false">
      <c r="A13" s="364" t="n">
        <v>46327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242</v>
      </c>
      <c r="F23" s="365"/>
    </row>
    <row r="24" customFormat="false" ht="12.75" hidden="false" customHeight="false" outlineLevel="0" collapsed="false">
      <c r="A24" s="364" t="n">
        <v>46334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242</v>
      </c>
      <c r="F34" s="365"/>
    </row>
    <row r="35" customFormat="false" ht="12.75" hidden="false" customHeight="false" outlineLevel="0" collapsed="false">
      <c r="A35" s="364" t="n">
        <v>46341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242</v>
      </c>
      <c r="F45" s="365"/>
    </row>
    <row r="46" customFormat="false" ht="12.75" hidden="false" customHeight="false" outlineLevel="0" collapsed="false">
      <c r="A46" s="364" t="n">
        <v>46348</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242</v>
      </c>
      <c r="F56" s="365"/>
    </row>
    <row r="57" customFormat="false" ht="12.75" hidden="false" customHeight="false" outlineLevel="0" collapsed="false">
      <c r="A57" s="364" t="n">
        <v>46355</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242</v>
      </c>
      <c r="F12" s="365"/>
    </row>
    <row r="13" customFormat="false" ht="12.75" hidden="false" customHeight="false" outlineLevel="0" collapsed="false">
      <c r="A13" s="364" t="n">
        <v>46362</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242</v>
      </c>
      <c r="F23" s="365"/>
    </row>
    <row r="24" customFormat="false" ht="12.75" hidden="false" customHeight="false" outlineLevel="0" collapsed="false">
      <c r="A24" s="364" t="n">
        <v>46369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242</v>
      </c>
      <c r="F34" s="365"/>
    </row>
    <row r="35" customFormat="false" ht="12.75" hidden="false" customHeight="false" outlineLevel="0" collapsed="false">
      <c r="A35" s="364" t="n">
        <v>46376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242</v>
      </c>
      <c r="F45" s="365"/>
    </row>
    <row r="46" customFormat="false" ht="12.75" hidden="false" customHeight="false" outlineLevel="0" collapsed="false">
      <c r="A46" s="364" t="n">
        <v>46383</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242</v>
      </c>
      <c r="F12" s="365"/>
    </row>
    <row r="13" customFormat="false" ht="12.75" hidden="false" customHeight="false" outlineLevel="0" collapsed="false">
      <c r="A13" s="364" t="n">
        <v>46390</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242</v>
      </c>
      <c r="F23" s="365"/>
    </row>
    <row r="24" customFormat="false" ht="12.75" hidden="false" customHeight="false" outlineLevel="0" collapsed="false">
      <c r="A24" s="364" t="n">
        <v>46397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242</v>
      </c>
      <c r="F34" s="365"/>
    </row>
    <row r="35" customFormat="false" ht="12.75" hidden="false" customHeight="false" outlineLevel="0" collapsed="false">
      <c r="A35" s="364" t="n">
        <v>46404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242</v>
      </c>
      <c r="F45" s="365"/>
    </row>
    <row r="46" customFormat="false" ht="12.75" hidden="false" customHeight="false" outlineLevel="0" collapsed="false">
      <c r="A46" s="364" t="n">
        <v>46411</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242</v>
      </c>
      <c r="F56" s="365"/>
    </row>
    <row r="57" customFormat="false" ht="12.75" hidden="false" customHeight="false" outlineLevel="0" collapsed="false">
      <c r="A57" s="364" t="n">
        <v>46418</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242</v>
      </c>
      <c r="F12" s="365"/>
    </row>
    <row r="13" customFormat="false" ht="12.75" hidden="false" customHeight="false" outlineLevel="0" collapsed="false">
      <c r="A13" s="364" t="n">
        <v>46425</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242</v>
      </c>
      <c r="F23" s="365"/>
    </row>
    <row r="24" customFormat="false" ht="12.75" hidden="false" customHeight="false" outlineLevel="0" collapsed="false">
      <c r="A24" s="364" t="n">
        <v>46432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242</v>
      </c>
      <c r="F34" s="365"/>
    </row>
    <row r="35" customFormat="false" ht="12.75" hidden="false" customHeight="false" outlineLevel="0" collapsed="false">
      <c r="A35" s="364" t="n">
        <v>46439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242</v>
      </c>
      <c r="F45" s="365"/>
    </row>
    <row r="46" customFormat="false" ht="12.75" hidden="false" customHeight="false" outlineLevel="0" collapsed="false">
      <c r="A46" s="364" t="n">
        <v>46446</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SUM(D4:D63)</f>
        <v>0</v>
      </c>
      <c r="E1" s="352" t="n">
        <f aca="false">SUM(E4:E63)/2</f>
        <v>3000</v>
      </c>
      <c r="F1" s="352" t="n">
        <f aca="false">SUM(F4:F63)/2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242</v>
      </c>
      <c r="F12" s="365"/>
    </row>
    <row r="13" customFormat="false" ht="12.75" hidden="false" customHeight="false" outlineLevel="0" collapsed="false">
      <c r="A13" s="364" t="n">
        <v>46453</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242</v>
      </c>
      <c r="F23" s="365"/>
    </row>
    <row r="24" customFormat="false" ht="12.75" hidden="false" customHeight="false" outlineLevel="0" collapsed="false">
      <c r="A24" s="364" t="n">
        <v>46460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242</v>
      </c>
      <c r="F34" s="365"/>
    </row>
    <row r="35" customFormat="false" ht="12.75" hidden="false" customHeight="false" outlineLevel="0" collapsed="false">
      <c r="A35" s="364" t="n">
        <v>46467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242</v>
      </c>
      <c r="F45" s="365"/>
    </row>
    <row r="46" customFormat="false" ht="12.75" hidden="false" customHeight="false" outlineLevel="0" collapsed="false">
      <c r="A46" s="364" t="n">
        <v>46474</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242</v>
      </c>
      <c r="F56" s="365"/>
    </row>
    <row r="57" customFormat="false" ht="12.75" hidden="false" customHeight="false" outlineLevel="0" collapsed="false">
      <c r="A57" s="364" t="n">
        <v>46481</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242</v>
      </c>
      <c r="F61" s="365"/>
    </row>
    <row r="62" customFormat="false" ht="12.75" hidden="false" customHeight="false" outlineLevel="0" collapsed="false">
      <c r="A62" s="364" t="n">
        <v>46482</v>
      </c>
      <c r="B62" s="347" t="s">
        <v>243</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290</v>
      </c>
      <c r="E2" s="403"/>
      <c r="F2" s="403"/>
      <c r="G2" s="404" t="str">
        <f aca="false">B23</f>
        <v>2026-27</v>
      </c>
      <c r="H2" s="68"/>
      <c r="I2" s="405" t="s">
        <v>291</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46142</v>
      </c>
      <c r="C5" s="68"/>
      <c r="D5" s="410" t="s">
        <v>293</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46203</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46234</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46265</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46387</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46418</v>
      </c>
      <c r="C14" s="68"/>
      <c r="D14" s="410" t="s">
        <v>308</v>
      </c>
      <c r="E14" s="410"/>
      <c r="F14" s="410"/>
      <c r="G14" s="411" t="n">
        <v>0.1</v>
      </c>
      <c r="H14" s="68"/>
      <c r="I14" s="403" t="s">
        <v>309</v>
      </c>
      <c r="J14" s="403"/>
      <c r="K14" s="403"/>
      <c r="L14" s="406" t="str">
        <f aca="false">G2</f>
        <v>2026-27</v>
      </c>
      <c r="M14" s="68"/>
      <c r="N14" s="68"/>
      <c r="O14" s="68"/>
    </row>
    <row r="15" customFormat="false" ht="12" hidden="false" customHeight="true" outlineLevel="0" collapsed="false">
      <c r="A15" s="68"/>
      <c r="B15" s="402" t="n">
        <v>46446</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46482</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