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<sst xmlns="http://schemas.openxmlformats.org/spreadsheetml/2006/main" count="1163" uniqueCount="341">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</sst>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9" fillId="2" borderId="0" xfId="20" applyFont="true" applyBorder="true" applyAlignment="true" applyProtection="tru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7"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8"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69"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0"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9" fontId="14" fillId="3" borderId="0" xfId="0" applyFont="true" applyBorder="false" applyAlignment="true" applyProtection="false">
      <alignment horizontal="general" vertical="center" textRotation="0" wrapText="false" indent="0" shrinkToFit="false"/>
      <protection locked="true" hidden="false"/>
    </xf>
    <xf numFmtId="170"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69"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7"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4" fontId="10" fillId="0" borderId="7" xfId="0" applyFont="true" applyBorder="true" applyAlignment="true" applyProtection="true">
      <alignment horizontal="general" vertical="center" textRotation="0" wrapText="false" indent="0" shrinkToFit="false"/>
      <protection locked="true" hidden="true"/>
    </xf>
    <xf numFmtId="164"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7"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4" fontId="10" fillId="0" borderId="7" xfId="0" applyFont="true" applyBorder="true" applyAlignment="true" applyProtection="true">
      <alignment horizontal="left" vertical="bottom" textRotation="0" wrapText="false" indent="0" shrinkToFit="false"/>
      <protection locked="true" hidden="true"/>
    </xf>
    <xf numFmtId="167"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8" fontId="14" fillId="0" borderId="7" xfId="0" applyFont="true" applyBorder="true" applyAlignment="true" applyProtection="true">
      <alignment horizontal="center" vertical="center" textRotation="0" wrapText="false" indent="0" shrinkToFit="false"/>
      <protection locked="true" hidden="true"/>
    </xf>
    <xf numFmtId="164"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69"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0" fontId="18" fillId="3" borderId="7" xfId="0" applyFont="true" applyBorder="true" applyAlignment="true" applyProtection="true">
      <alignment horizontal="center" vertical="center" textRotation="0" wrapText="false" indent="0" shrinkToFit="false"/>
      <protection locked="true" hidden="true"/>
    </xf>
    <xf numFmtId="170" fontId="26" fillId="3" borderId="9" xfId="0" applyFont="true" applyBorder="true" applyAlignment="true" applyProtection="true">
      <alignment horizontal="center" vertical="center" textRotation="0" wrapText="false" indent="0" shrinkToFit="false"/>
      <protection locked="true" hidden="true"/>
    </xf>
    <xf numFmtId="170"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69"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1"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0"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6" fontId="28" fillId="3" borderId="19" xfId="0" applyFont="true" applyBorder="true" applyAlignment="true" applyProtection="true">
      <alignment horizontal="center" vertical="bottom" textRotation="0" wrapText="false" indent="0" shrinkToFit="false"/>
      <protection locked="true" hidden="true"/>
    </xf>
    <xf numFmtId="166" fontId="28" fillId="3" borderId="20"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center" textRotation="0" wrapText="true" indent="0" shrinkToFit="false"/>
      <protection locked="true" hidden="true"/>
    </xf>
    <xf numFmtId="166" fontId="27" fillId="3" borderId="0" xfId="0" applyFont="true" applyBorder="false" applyAlignment="true" applyProtection="true">
      <alignment horizontal="center" vertical="bottom" textRotation="0" wrapText="false" indent="0" shrinkToFit="false"/>
      <protection locked="true" hidden="true"/>
    </xf>
    <xf numFmtId="166"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2" fontId="28" fillId="3" borderId="19" xfId="0" applyFont="true" applyBorder="true" applyAlignment="true" applyProtection="true">
      <alignment horizontal="center" vertical="bottom" textRotation="0" wrapText="false" indent="0" shrinkToFit="false"/>
      <protection locked="true" hidden="true"/>
    </xf>
    <xf numFmtId="164" fontId="28" fillId="3" borderId="21" xfId="0" applyFont="true" applyBorder="true" applyAlignment="true" applyProtection="true">
      <alignment horizontal="center" vertical="center" textRotation="0" wrapText="true" indent="0" shrinkToFit="false"/>
      <protection locked="true" hidden="true"/>
    </xf>
    <xf numFmtId="172" fontId="29" fillId="3" borderId="0" xfId="0" applyFont="true" applyBorder="false" applyAlignment="true" applyProtection="true">
      <alignment horizontal="center" vertical="bottom" textRotation="0" wrapText="fals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2" fontId="28" fillId="0" borderId="0" xfId="0" applyFont="true" applyBorder="false" applyAlignment="true" applyProtection="true">
      <alignment horizontal="center" vertical="bottom" textRotation="0" wrapText="true" indent="0" shrinkToFit="false"/>
      <protection locked="true" hidden="true"/>
    </xf>
    <xf numFmtId="173" fontId="28" fillId="0" borderId="19" xfId="0" applyFont="true" applyBorder="true" applyAlignment="true" applyProtection="true">
      <alignment horizontal="right" vertical="bottom" textRotation="0" wrapText="false" indent="1" shrinkToFit="false"/>
      <protection locked="true" hidden="true"/>
    </xf>
    <xf numFmtId="173" fontId="27" fillId="0" borderId="0" xfId="0" applyFont="true" applyBorder="false" applyAlignment="false" applyProtection="true">
      <alignment horizontal="general" vertical="bottom" textRotation="0" wrapText="false" indent="0"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3" borderId="0" xfId="0" applyFont="true" applyBorder="fals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5" fontId="27" fillId="3"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2" fontId="28" fillId="0"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8" fillId="0" borderId="22" xfId="0" applyFont="true" applyBorder="true" applyAlignment="true" applyProtection="true">
      <alignment horizontal="right" vertical="bottom" textRotation="0" wrapText="false" indent="1" shrinkToFit="false"/>
      <protection locked="true" hidden="true"/>
    </xf>
    <xf numFmtId="173" fontId="27" fillId="0" borderId="23" xfId="0" applyFont="true" applyBorder="true" applyAlignment="true" applyProtection="true">
      <alignment horizontal="right" vertical="bottom" textRotation="0" wrapText="false" indent="1" shrinkToFit="false"/>
      <protection locked="true" hidden="true"/>
    </xf>
    <xf numFmtId="173" fontId="27" fillId="3" borderId="24" xfId="0" applyFont="true" applyBorder="true" applyAlignment="true" applyProtection="true">
      <alignment horizontal="right" vertical="bottom" textRotation="0" wrapText="false" indent="1" shrinkToFit="false"/>
      <protection locked="true" hidden="true"/>
    </xf>
    <xf numFmtId="173" fontId="27" fillId="0" borderId="25" xfId="0" applyFont="true" applyBorder="true" applyAlignment="true" applyProtection="true">
      <alignment horizontal="righ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3" fontId="28" fillId="0" borderId="26" xfId="0" applyFont="true" applyBorder="true" applyAlignment="true" applyProtection="true">
      <alignment horizontal="right" vertical="bottom" textRotation="0" wrapText="false" indent="1" shrinkToFit="false"/>
      <protection locked="true" hidden="true"/>
    </xf>
    <xf numFmtId="173"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true" applyProtection="true">
      <alignment horizontal="center"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0" fontId="27" fillId="0" borderId="0" xfId="0" applyFont="true" applyBorder="false" applyAlignment="false" applyProtection="true">
      <alignment horizontal="general" vertical="bottom" textRotation="0" wrapText="false" indent="0" shrinkToFit="false"/>
      <protection locked="true" hidden="true"/>
    </xf>
    <xf numFmtId="175" fontId="27"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0"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6" fontId="27" fillId="0" borderId="19" xfId="0" applyFont="true" applyBorder="tru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0" fontId="27" fillId="3" borderId="0" xfId="0" applyFont="true" applyBorder="fals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8" fillId="0" borderId="26" xfId="0" applyFont="true" applyBorder="true" applyAlignment="true" applyProtection="true">
      <alignment horizontal="center" vertical="bottom" textRotation="0" wrapText="false" indent="0"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0" fontId="32"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7" fontId="33" fillId="3" borderId="0" xfId="0" applyFont="true" applyBorder="true" applyAlignment="true" applyProtection="true">
      <alignment horizontal="left"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6"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8"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3" fontId="27" fillId="3" borderId="26" xfId="0" applyFont="true" applyBorder="true" applyAlignment="true" applyProtection="true">
      <alignment horizontal="center" vertical="center" textRotation="0" wrapText="true" indent="0" shrinkToFit="false"/>
      <protection locked="true" hidden="true"/>
    </xf>
    <xf numFmtId="175" fontId="27" fillId="3" borderId="19" xfId="0" applyFont="true" applyBorder="true" applyAlignment="true" applyProtection="true">
      <alignment horizontal="center" vertical="bottom"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left" vertical="bottom" textRotation="0" wrapText="false" indent="1" shrinkToFit="false"/>
      <protection locked="true" hidden="true"/>
    </xf>
    <xf numFmtId="175" fontId="27" fillId="3" borderId="19" xfId="0" applyFont="true" applyBorder="true" applyAlignment="true" applyProtection="true">
      <alignment horizontal="center" vertical="bottom" textRotation="0" wrapText="false" indent="0" shrinkToFit="false"/>
      <protection locked="true" hidden="true"/>
    </xf>
    <xf numFmtId="171"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6" fontId="28" fillId="3" borderId="0" xfId="0" applyFont="true" applyBorder="false" applyAlignment="false" applyProtection="true">
      <alignment horizontal="general"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0" fillId="3" borderId="0" xfId="0" applyFont="true" applyBorder="false" applyAlignment="true" applyProtection="true">
      <alignment horizontal="left" vertical="bottom" textRotation="0" wrapText="false" indent="1"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0" fontId="30" fillId="0" borderId="0" xfId="0" applyFont="true" applyBorder="false" applyAlignment="false" applyProtection="false">
      <alignment horizontal="general" vertical="bottom" textRotation="0" wrapText="false" indent="0" shrinkToFit="false"/>
      <protection locked="true" hidden="false"/>
    </xf>
    <xf numFmtId="176" fontId="30" fillId="0" borderId="0" xfId="0" applyFont="true" applyBorder="false" applyAlignment="false" applyProtection="false">
      <alignment horizontal="general" vertical="bottom" textRotation="0" wrapText="false" indent="0" shrinkToFit="false"/>
      <protection locked="true" hidden="false"/>
    </xf>
    <xf numFmtId="178" fontId="30" fillId="0" borderId="0" xfId="0" applyFont="true" applyBorder="false" applyAlignment="true" applyProtection="false">
      <alignment horizontal="center" vertical="bottom" textRotation="0" wrapText="false" indent="0" shrinkToFit="false"/>
      <protection locked="true" hidden="false"/>
    </xf>
    <xf numFmtId="176" fontId="30" fillId="0" borderId="0" xfId="0" applyFont="true" applyBorder="false" applyAlignment="true" applyProtection="false">
      <alignment horizontal="center" vertical="bottom" textRotation="0" wrapText="false" indent="0" shrinkToFit="false"/>
      <protection locked="true" hidden="false"/>
    </xf>
    <xf numFmtId="170"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6" fontId="34" fillId="3" borderId="19" xfId="0" applyFont="true" applyBorder="true" applyAlignment="true" applyProtection="false">
      <alignment horizontal="center" vertical="bottom" textRotation="0" wrapText="false" indent="0" shrinkToFit="false"/>
      <protection locked="true" hidden="false"/>
    </xf>
    <xf numFmtId="176" fontId="34" fillId="3" borderId="31" xfId="0" applyFont="true" applyBorder="true" applyAlignment="true" applyProtection="false">
      <alignment horizontal="center" vertical="bottom" textRotation="0" wrapText="false" indent="0" shrinkToFit="false"/>
      <protection locked="true" hidden="false"/>
    </xf>
    <xf numFmtId="178" fontId="35" fillId="3" borderId="31" xfId="0" applyFont="true" applyBorder="true" applyAlignment="true" applyProtection="false">
      <alignment horizontal="center" vertical="center" textRotation="0" wrapText="true" indent="0" shrinkToFit="false"/>
      <protection locked="true" hidden="false"/>
    </xf>
    <xf numFmtId="170" fontId="30" fillId="3" borderId="32" xfId="0" applyFont="true" applyBorder="true" applyAlignment="true" applyProtection="false">
      <alignment horizontal="center" vertical="center" textRotation="0" wrapText="true" indent="0" shrinkToFit="false"/>
      <protection locked="true" hidden="false"/>
    </xf>
    <xf numFmtId="176" fontId="34" fillId="3" borderId="32" xfId="0" applyFont="true" applyBorder="true" applyAlignment="true" applyProtection="false">
      <alignment horizontal="center" vertical="bottom" textRotation="0" wrapText="false" indent="0" shrinkToFit="false"/>
      <protection locked="true" hidden="false"/>
    </xf>
    <xf numFmtId="171"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0" fontId="30" fillId="3" borderId="19" xfId="0" applyFont="true" applyBorder="true" applyAlignment="true" applyProtection="false">
      <alignment horizontal="center" vertical="center" textRotation="0" wrapText="true" indent="0" shrinkToFit="false"/>
      <protection locked="true" hidden="false"/>
    </xf>
    <xf numFmtId="176" fontId="30" fillId="3" borderId="19" xfId="0" applyFont="true" applyBorder="true" applyAlignment="true" applyProtection="false">
      <alignment horizontal="center" vertical="center" textRotation="0" wrapText="true" indent="0" shrinkToFit="false"/>
      <protection locked="true" hidden="false"/>
    </xf>
    <xf numFmtId="176"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1" fontId="35" fillId="3" borderId="19" xfId="0" applyFont="true" applyBorder="true" applyAlignment="true" applyProtection="false">
      <alignment horizontal="center" vertical="center" textRotation="0" wrapText="true" indent="0" shrinkToFit="false"/>
      <protection locked="true" hidden="false"/>
    </xf>
    <xf numFmtId="178" fontId="36" fillId="3" borderId="21" xfId="0" applyFont="true" applyBorder="true" applyAlignment="true" applyProtection="false">
      <alignment horizontal="center" vertical="bottom" textRotation="0" wrapText="true" indent="0" shrinkToFit="false"/>
      <protection locked="true" hidden="false"/>
    </xf>
    <xf numFmtId="178"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0" fontId="30" fillId="3" borderId="0" xfId="0" applyFont="true" applyBorder="fals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30" fillId="3" borderId="0" xfId="0" applyFont="true" applyBorder="fals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center" vertical="center" textRotation="0" wrapText="false" indent="0" shrinkToFit="false"/>
      <protection locked="true" hidden="false"/>
    </xf>
    <xf numFmtId="178"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7" fontId="36" fillId="3" borderId="29" xfId="0" applyFont="true" applyBorder="tru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left" vertical="center" textRotation="0" wrapText="false" indent="2" shrinkToFit="false"/>
      <protection locked="true" hidden="false"/>
    </xf>
    <xf numFmtId="178" fontId="30" fillId="3" borderId="0" xfId="0" applyFont="true" applyBorder="false" applyAlignment="true" applyProtection="false">
      <alignment horizontal="center" vertical="center" textRotation="0" wrapText="false" indent="0" shrinkToFit="false"/>
      <protection locked="true" hidden="false"/>
    </xf>
    <xf numFmtId="176" fontId="30" fillId="3" borderId="0" xfId="0" applyFont="true" applyBorder="false" applyAlignment="true" applyProtection="false">
      <alignment horizontal="center" vertical="bottom" textRotation="0" wrapText="false" indent="0" shrinkToFit="false"/>
      <protection locked="true" hidden="false"/>
    </xf>
    <xf numFmtId="170"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6"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0" fontId="30" fillId="3" borderId="0" xfId="0" applyFont="true" applyBorder="false" applyAlignment="true" applyProtection="false">
      <alignment horizontal="general" vertical="center"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0" fontId="30" fillId="0" borderId="19" xfId="0" applyFont="true" applyBorder="true" applyAlignment="false" applyProtection="false">
      <alignment horizontal="general" vertical="bottom" textRotation="0" wrapText="false" indent="0" shrinkToFit="false"/>
      <protection locked="true" hidden="false"/>
    </xf>
    <xf numFmtId="176" fontId="30" fillId="0" borderId="19" xfId="0" applyFont="true" applyBorder="true" applyAlignment="false" applyProtection="false">
      <alignment horizontal="general" vertical="bottom" textRotation="0" wrapText="false" indent="0" shrinkToFit="false"/>
      <protection locked="true" hidden="false"/>
    </xf>
    <xf numFmtId="178" fontId="30" fillId="3" borderId="0" xfId="0" applyFont="true" applyBorder="false" applyAlignment="true" applyProtection="false">
      <alignment horizontal="center" vertical="bottom" textRotation="0" wrapText="false" indent="0" shrinkToFit="false"/>
      <protection locked="true" hidden="false"/>
    </xf>
    <xf numFmtId="171" fontId="30" fillId="3" borderId="36" xfId="0" applyFont="true" applyBorder="true" applyAlignment="true" applyProtection="false">
      <alignment horizontal="left" vertical="bottom" textRotation="0" wrapText="true" indent="7" shrinkToFit="false"/>
      <protection locked="true" hidden="false"/>
    </xf>
    <xf numFmtId="176" fontId="30" fillId="3" borderId="21" xfId="0" applyFont="true" applyBorder="true" applyAlignment="false" applyProtection="false">
      <alignment horizontal="general" vertical="bottom" textRotation="0" wrapText="false" indent="0" shrinkToFit="false"/>
      <protection locked="true" hidden="false"/>
    </xf>
    <xf numFmtId="176" fontId="30" fillId="3" borderId="19" xfId="0" applyFont="true" applyBorder="true" applyAlignment="false" applyProtection="false">
      <alignment horizontal="general" vertical="bottom" textRotation="0" wrapText="false" indent="0" shrinkToFit="false"/>
      <protection locked="true" hidden="false"/>
    </xf>
    <xf numFmtId="170" fontId="30" fillId="3" borderId="0" xfId="0" applyFont="true" applyBorder="false" applyAlignment="false" applyProtection="false">
      <alignment horizontal="general" vertical="bottom" textRotation="0" wrapText="false" indent="0" shrinkToFit="false"/>
      <protection locked="true" hidden="false"/>
    </xf>
    <xf numFmtId="171"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6" fontId="30" fillId="0" borderId="19" xfId="0" applyFont="true" applyBorder="true" applyAlignment="true" applyProtection="false">
      <alignment horizontal="center" vertical="bottom" textRotation="0" wrapText="false" indent="0" shrinkToFit="false"/>
      <protection locked="true" hidden="false"/>
    </xf>
    <xf numFmtId="170"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69" fontId="34" fillId="3" borderId="0" xfId="0" applyFont="true" applyBorder="false" applyAlignment="true" applyProtection="false">
      <alignment horizontal="left" vertical="bottom" textRotation="0" wrapText="false" indent="0" shrinkToFit="false"/>
      <protection locked="true" hidden="false"/>
    </xf>
    <xf numFmtId="178"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8"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6" fontId="30" fillId="3" borderId="26" xfId="0" applyFont="true" applyBorder="true" applyAlignment="false" applyProtection="false">
      <alignment horizontal="general" vertical="bottom" textRotation="0" wrapText="fals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0" fontId="34" fillId="3" borderId="0" xfId="0" applyFont="true" applyBorder="false" applyAlignment="true" applyProtection="false">
      <alignment horizontal="general" vertical="bottom" textRotation="0" wrapText="true" indent="0" shrinkToFit="false"/>
      <protection locked="true" hidden="false"/>
    </xf>
    <xf numFmtId="170" fontId="34" fillId="0" borderId="19" xfId="0" applyFont="true" applyBorder="true" applyAlignment="false" applyProtection="false">
      <alignment horizontal="general" vertical="bottom" textRotation="0" wrapText="false" indent="0" shrinkToFit="false"/>
      <protection locked="true" hidden="false"/>
    </xf>
    <xf numFmtId="170" fontId="30" fillId="3" borderId="19" xfId="0" applyFont="true" applyBorder="true" applyAlignment="false" applyProtection="false">
      <alignment horizontal="general" vertical="bottom" textRotation="0" wrapText="false" indent="0" shrinkToFit="false"/>
      <protection locked="true" hidden="false"/>
    </xf>
    <xf numFmtId="164" fontId="34" fillId="3" borderId="27" xfId="0" applyFont="true" applyBorder="true" applyAlignment="true" applyProtection="false">
      <alignment horizontal="right" vertical="center" textRotation="0" wrapText="true" indent="0" shrinkToFit="false"/>
      <protection locked="true" hidden="false"/>
    </xf>
    <xf numFmtId="176"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0" fontId="30" fillId="3" borderId="38" xfId="0" applyFont="true" applyBorder="true" applyAlignment="false" applyProtection="false">
      <alignment horizontal="general" vertical="bottom" textRotation="0" wrapText="false" indent="0" shrinkToFit="false"/>
      <protection locked="true" hidden="false"/>
    </xf>
    <xf numFmtId="176" fontId="30" fillId="3" borderId="38" xfId="0" applyFont="true" applyBorder="true" applyAlignment="false" applyProtection="false">
      <alignment horizontal="general" vertical="bottom" textRotation="0" wrapText="false" indent="0" shrinkToFit="false"/>
      <protection locked="true" hidden="false"/>
    </xf>
    <xf numFmtId="178" fontId="30" fillId="3" borderId="38" xfId="0" applyFont="true" applyBorder="true" applyAlignment="true" applyProtection="false">
      <alignment horizontal="center" vertical="bottom" textRotation="0" wrapText="false" indent="0" shrinkToFit="false"/>
      <protection locked="true" hidden="false"/>
    </xf>
    <xf numFmtId="176" fontId="30" fillId="3" borderId="38" xfId="0" applyFont="true" applyBorder="true" applyAlignment="true" applyProtection="false">
      <alignment horizontal="center" vertical="bottom" textRotation="0" wrapText="false" indent="0" shrinkToFit="false"/>
      <protection locked="true" hidden="false"/>
    </xf>
    <xf numFmtId="170"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1" fontId="10" fillId="0" borderId="0" xfId="21" applyFont="true" applyBorder="false" applyAlignment="false" applyProtection="false">
      <alignment horizontal="general" vertical="bottom" textRotation="0" wrapText="false" indent="0" shrinkToFit="false"/>
      <protection locked="true" hidden="false"/>
    </xf>
    <xf numFmtId="173"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1" fontId="10" fillId="3" borderId="0" xfId="21" applyFont="true" applyBorder="false" applyAlignment="false" applyProtection="false">
      <alignment horizontal="general" vertical="bottom" textRotation="0" wrapText="false" indent="0" shrinkToFit="false"/>
      <protection locked="true" hidden="false"/>
    </xf>
    <xf numFmtId="173" fontId="10" fillId="3" borderId="0" xfId="21" applyFont="true" applyBorder="false" applyAlignment="false" applyProtection="false">
      <alignment horizontal="general" vertical="bottom" textRotation="0" wrapText="false" indent="0" shrinkToFit="false"/>
      <protection locked="true" hidden="false"/>
    </xf>
    <xf numFmtId="171" fontId="11" fillId="3" borderId="19" xfId="21" applyFont="true" applyBorder="true" applyAlignment="true" applyProtection="false">
      <alignment horizontal="center" vertical="bottom" textRotation="0" wrapText="true" indent="0" shrinkToFit="false"/>
      <protection locked="true" hidden="false"/>
    </xf>
    <xf numFmtId="171" fontId="10" fillId="3" borderId="0" xfId="21" applyFont="true" applyBorder="false" applyAlignment="true" applyProtection="false">
      <alignment horizontal="center" vertical="bottom" textRotation="0" wrapText="true" indent="0" shrinkToFit="false"/>
      <protection locked="true" hidden="false"/>
    </xf>
    <xf numFmtId="173" fontId="11" fillId="3" borderId="19" xfId="21" applyFont="true" applyBorder="true" applyAlignment="true" applyProtection="false">
      <alignment horizontal="center" vertical="bottom" textRotation="0" wrapText="true" indent="0" shrinkToFit="false"/>
      <protection locked="true" hidden="false"/>
    </xf>
    <xf numFmtId="173" fontId="10" fillId="3" borderId="0" xfId="21" applyFont="true" applyBorder="false" applyAlignment="true" applyProtection="false">
      <alignment horizontal="center" vertical="bottom" textRotation="0" wrapText="true" indent="0" shrinkToFit="false"/>
      <protection locked="true" hidden="false"/>
    </xf>
    <xf numFmtId="171" fontId="11" fillId="3" borderId="40" xfId="21" applyFont="true" applyBorder="true" applyAlignment="true" applyProtection="false">
      <alignment horizontal="center" vertical="bottom" textRotation="0" wrapText="false" indent="0" shrinkToFit="false"/>
      <protection locked="true" hidden="false"/>
    </xf>
    <xf numFmtId="171" fontId="11" fillId="3" borderId="41" xfId="21" applyFont="true" applyBorder="true" applyAlignment="true" applyProtection="false">
      <alignment horizontal="left" vertical="bottom" textRotation="0" wrapText="false" indent="1" shrinkToFit="false"/>
      <protection locked="true" hidden="false"/>
    </xf>
    <xf numFmtId="171" fontId="10" fillId="3" borderId="0" xfId="21" applyFont="true" applyBorder="false" applyAlignment="true" applyProtection="false">
      <alignment horizontal="left" vertical="bottom" textRotation="0" wrapText="false" indent="1" shrinkToFit="false"/>
      <protection locked="true" hidden="false"/>
    </xf>
    <xf numFmtId="173" fontId="10" fillId="0" borderId="26" xfId="21" applyFont="true" applyBorder="tru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6"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6"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6"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6" fontId="27" fillId="0" borderId="19" xfId="0" applyFont="true" applyBorder="true" applyAlignment="false" applyProtection="false">
      <alignment horizontal="general" vertical="bottom" textRotation="0" wrapText="false" indent="0" shrinkToFit="false"/>
      <protection locked="true" hidden="false"/>
    </xf>
    <xf numFmtId="166" fontId="27" fillId="0" borderId="19" xfId="0" applyFont="true" applyBorder="true" applyAlignment="true" applyProtection="false">
      <alignment horizontal="center" vertical="bottom" textRotation="0" wrapText="false" indent="0" shrinkToFit="false"/>
      <protection locked="true" hidden="false"/>
    </xf>
    <xf numFmtId="176"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6" fontId="27" fillId="0" borderId="26" xfId="0" applyFont="true" applyBorder="true" applyAlignment="true" applyProtection="false">
      <alignment horizontal="center" vertical="center" textRotation="0" wrapText="tru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3" fontId="27"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true" applyProtection="false">
      <alignment horizontal="center" vertical="bottom" textRotation="0" wrapText="false" indent="0" shrinkToFit="false"/>
      <protection locked="true" hidden="false"/>
    </xf>
    <xf numFmtId="170" fontId="29" fillId="0" borderId="0" xfId="21" applyFont="true" applyBorder="false" applyAlignment="true" applyProtection="false">
      <alignment horizontal="center" vertical="bottom" textRotation="0" wrapText="false" indent="0" shrinkToFit="false"/>
      <protection locked="true" hidden="false"/>
    </xf>
    <xf numFmtId="171" fontId="27"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70" fontId="28" fillId="3" borderId="0" xfId="21" applyFont="true" applyBorder="false" applyAlignment="false" applyProtection="false">
      <alignment horizontal="general" vertical="bottom"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3" fontId="28" fillId="3" borderId="19" xfId="21" applyFont="true" applyBorder="true" applyAlignment="true" applyProtection="false">
      <alignment horizontal="center" vertical="bottom" textRotation="0" wrapText="false" indent="0" shrinkToFit="false"/>
      <protection locked="true" hidden="false"/>
    </xf>
    <xf numFmtId="176" fontId="28" fillId="5" borderId="19" xfId="21" applyFont="true" applyBorder="true" applyAlignment="true" applyProtection="false">
      <alignment horizontal="center" vertical="bottom" textRotation="0" wrapText="false" indent="0" shrinkToFit="false"/>
      <protection locked="true" hidden="false"/>
    </xf>
    <xf numFmtId="171" fontId="28" fillId="5" borderId="19" xfId="21" applyFont="true" applyBorder="true" applyAlignment="true" applyProtection="false">
      <alignment horizontal="center" vertical="bottom" textRotation="0" wrapText="false" indent="0" shrinkToFit="false"/>
      <protection locked="true" hidden="false"/>
    </xf>
    <xf numFmtId="176" fontId="28" fillId="3" borderId="30" xfId="21" applyFont="true" applyBorder="true" applyAlignment="true" applyProtection="false">
      <alignment horizontal="center" vertical="bottom" textRotation="0" wrapText="false" indent="0" shrinkToFit="false"/>
      <protection locked="true" hidden="false"/>
    </xf>
    <xf numFmtId="176" fontId="28" fillId="0" borderId="0" xfId="21" applyFont="true" applyBorder="false" applyAlignment="false" applyProtection="false">
      <alignment horizontal="general" vertical="bottom" textRotation="0" wrapText="false" indent="0" shrinkToFit="false"/>
      <protection locked="true" hidden="false"/>
    </xf>
    <xf numFmtId="170" fontId="27" fillId="3" borderId="21" xfId="21" applyFont="true" applyBorder="true" applyAlignment="true" applyProtection="false">
      <alignment horizontal="center" vertical="center" textRotation="0" wrapText="true" indent="0" shrinkToFit="false"/>
      <protection locked="true" hidden="false"/>
    </xf>
    <xf numFmtId="177" fontId="30" fillId="3" borderId="30" xfId="21" applyFont="true" applyBorder="true" applyAlignment="true" applyProtection="false">
      <alignment horizontal="center" vertical="center" textRotation="0" wrapText="true" indent="0" shrinkToFit="false"/>
      <protection locked="true" hidden="false"/>
    </xf>
    <xf numFmtId="173" fontId="27" fillId="3" borderId="19" xfId="21" applyFont="true" applyBorder="true" applyAlignment="true" applyProtection="false">
      <alignment horizontal="center" vertical="center" textRotation="0" wrapText="true" indent="0" shrinkToFit="false"/>
      <protection locked="true" hidden="false"/>
    </xf>
    <xf numFmtId="176" fontId="27" fillId="5" borderId="19" xfId="21" applyFont="true" applyBorder="true" applyAlignment="true" applyProtection="false">
      <alignment horizontal="center" vertical="center" textRotation="0" wrapText="true" indent="0" shrinkToFit="false"/>
      <protection locked="true" hidden="false"/>
    </xf>
    <xf numFmtId="170" fontId="27"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center" vertical="center" textRotation="0" wrapText="true" indent="0" shrinkToFit="false"/>
      <protection locked="true" hidden="false"/>
    </xf>
    <xf numFmtId="171" fontId="30" fillId="0" borderId="0" xfId="21" applyFont="true" applyBorder="false" applyAlignment="false" applyProtection="false">
      <alignment horizontal="general" vertical="bottom" textRotation="0" wrapText="false" indent="0" shrinkToFit="false"/>
      <protection locked="true" hidden="false"/>
    </xf>
    <xf numFmtId="176" fontId="27" fillId="0" borderId="38" xfId="21" applyFont="true" applyBorder="true" applyAlignment="false" applyProtection="false">
      <alignment horizontal="general" vertical="bottom" textRotation="0" wrapText="false" indent="0" shrinkToFit="false"/>
      <protection locked="true" hidden="false"/>
    </xf>
    <xf numFmtId="170" fontId="27" fillId="0" borderId="38" xfId="21" applyFont="true" applyBorder="tru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3" fontId="27"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true" applyProtection="false">
      <alignment horizontal="center" vertical="bottom" textRotation="0" wrapText="false" indent="0" shrinkToFit="false"/>
      <protection locked="true" hidden="false"/>
    </xf>
    <xf numFmtId="170" fontId="29" fillId="0" borderId="38" xfId="21" applyFont="true" applyBorder="true" applyAlignment="true" applyProtection="false">
      <alignment horizontal="center" vertical="bottom" textRotation="0" wrapText="false" indent="0" shrinkToFit="false"/>
      <protection locked="true" hidden="false"/>
    </xf>
    <xf numFmtId="171"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6" fontId="27" fillId="0" borderId="0" xfId="21" applyFont="true" applyBorder="false" applyAlignment="true" applyProtection="false">
      <alignment horizontal="right"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6" fontId="30" fillId="0"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6" fontId="28" fillId="3" borderId="19" xfId="21" applyFont="true" applyBorder="true" applyAlignment="true" applyProtection="false">
      <alignment horizontal="center" vertical="center" textRotation="0" wrapText="false" indent="0" shrinkToFit="false"/>
      <protection locked="true" hidden="false"/>
    </xf>
    <xf numFmtId="176" fontId="29"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false" applyProtection="false">
      <alignment horizontal="general" vertical="bottom" textRotation="0" wrapText="false" indent="0" shrinkToFit="false"/>
      <protection locked="true" hidden="false"/>
    </xf>
    <xf numFmtId="176" fontId="34" fillId="3" borderId="19" xfId="21" applyFont="true" applyBorder="true" applyAlignment="true" applyProtection="false">
      <alignment horizontal="center" vertical="bottom" textRotation="0" wrapText="false" indent="0" shrinkToFit="false"/>
      <protection locked="true" hidden="false"/>
    </xf>
    <xf numFmtId="176" fontId="34" fillId="3" borderId="30" xfId="21" applyFont="true" applyBorder="true" applyAlignment="true" applyProtection="false">
      <alignment horizontal="center" vertical="bottom" textRotation="0" wrapText="false" indent="0" shrinkToFit="false"/>
      <protection locked="true" hidden="false"/>
    </xf>
    <xf numFmtId="171" fontId="30" fillId="3" borderId="19" xfId="21" applyFont="true" applyBorder="true" applyAlignment="true" applyProtection="false">
      <alignment horizontal="center" vertical="center" textRotation="0" wrapText="true" indent="0" shrinkToFit="false"/>
      <protection locked="true" hidden="false"/>
    </xf>
    <xf numFmtId="176"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6" fontId="30" fillId="3" borderId="19" xfId="21" applyFont="true" applyBorder="true" applyAlignment="true" applyProtection="false">
      <alignment horizontal="center" vertical="center" textRotation="0" wrapText="true" indent="0" shrinkToFit="false"/>
      <protection locked="true" hidden="false"/>
    </xf>
    <xf numFmtId="176" fontId="30" fillId="5"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64"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6"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right" vertical="bottom" textRotation="0" wrapText="false" indent="0" shrinkToFit="false"/>
      <protection locked="true" hidden="false"/>
    </xf>
    <xf numFmtId="176" fontId="34" fillId="3" borderId="30" xfId="21" applyFont="true" applyBorder="true" applyAlignment="true" applyProtection="false">
      <alignment horizontal="center" vertical="center" textRotation="0" wrapText="true" indent="0" shrinkToFit="false"/>
      <protection locked="true" hidden="false"/>
    </xf>
    <xf numFmtId="176"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6" fontId="34" fillId="5" borderId="19" xfId="21" applyFont="true" applyBorder="true" applyAlignment="true" applyProtection="false">
      <alignment horizontal="center" vertical="center" textRotation="0" wrapText="true" indent="0" shrinkToFit="false"/>
      <protection locked="true" hidden="false"/>
    </xf>
    <xf numFmtId="175"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6" fontId="27" fillId="0" borderId="38" xfId="21" applyFont="true" applyBorder="true" applyAlignment="true" applyProtection="false">
      <alignment horizontal="right"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6" fontId="30" fillId="0" borderId="38" xfId="21" applyFont="true" applyBorder="true" applyAlignment="false" applyProtection="false">
      <alignment horizontal="general" vertical="bottom" textRotation="0" wrapText="false" indent="0" shrinkToFit="false"/>
      <protection locked="true" hidden="false"/>
    </xf>
    <xf numFmtId="175" fontId="13" fillId="3" borderId="0" xfId="21" applyFont="true" applyBorder="false" applyAlignment="false" applyProtection="false">
      <alignment horizontal="general"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1" fontId="30" fillId="0" borderId="38" xfId="21" applyFont="true" applyBorder="true" applyAlignment="false" applyProtection="false">
      <alignment horizontal="general" vertical="bottom" textRotation="0" wrapText="false" indent="0" shrinkToFit="false"/>
      <protection locked="true" hidden="false"/>
    </xf>
    <xf numFmtId="171"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1"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1"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1"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1"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8" fontId="10" fillId="0" borderId="19" xfId="0" applyFont="true" applyBorder="true" applyAlignment="true" applyProtection="true">
      <alignment horizontal="center" vertical="bottom" textRotation="0" wrapText="false" indent="0" shrinkToFit="false"/>
      <protection locked="true" hidden="true"/>
    </xf>
    <xf numFmtId="170"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8" fontId="10" fillId="3" borderId="0" xfId="0" applyFont="true" applyBorder="false" applyAlignment="true" applyProtection="true">
      <alignment horizontal="center" vertical="bottom" textRotation="0" wrapText="false" indent="0" shrinkToFit="false"/>
      <protection locked="true" hidden="true"/>
    </xf>
    <xf numFmtId="175"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5" fontId="10" fillId="3" borderId="0" xfId="0" applyFont="true" applyBorder="false" applyAlignment="true" applyProtection="true">
      <alignment horizontal="center" vertical="bottom" textRotation="0" wrapText="false" indent="0" shrinkToFit="false"/>
      <protection locked="true" hidden="true"/>
    </xf>
    <xf numFmtId="171"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45388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45752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45752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2026</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45388</v>
      </c>
      <c r="R2" s="60"/>
      <c r="S2" s="60"/>
      <c r="T2" s="60"/>
      <c r="U2" s="61" t="s">
        <v>34</v>
      </c>
      <c r="V2" s="60" t="n">
        <f aca="false">Admin!B17</f>
        <v>45752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45388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45388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45752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2024-25</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102</v>
      </c>
      <c r="B1" s="127" t="s">
        <v>103</v>
      </c>
      <c r="C1" s="128" t="s">
        <v>104</v>
      </c>
      <c r="D1" s="129" t="n">
        <f aca="false">Admin!B5</f>
        <v>45412</v>
      </c>
      <c r="E1" s="129" t="n">
        <f aca="false">Admin!B6</f>
        <v>45443</v>
      </c>
      <c r="F1" s="129" t="n">
        <f aca="false">Admin!B7</f>
        <v>45473</v>
      </c>
      <c r="G1" s="129" t="n">
        <f aca="false">Admin!B8</f>
        <v>45504</v>
      </c>
      <c r="H1" s="129" t="n">
        <f aca="false">Admin!B9</f>
        <v>45535</v>
      </c>
      <c r="I1" s="129" t="n">
        <f aca="false">Admin!B10</f>
        <v>45565</v>
      </c>
      <c r="J1" s="129" t="n">
        <f aca="false">Admin!B11</f>
        <v>45596</v>
      </c>
      <c r="K1" s="129" t="n">
        <f aca="false">Admin!B12</f>
        <v>45626</v>
      </c>
      <c r="L1" s="129" t="n">
        <f aca="false">Admin!B13</f>
        <v>45657</v>
      </c>
      <c r="M1" s="129" t="n">
        <f aca="false">Admin!B14</f>
        <v>45688</v>
      </c>
      <c r="N1" s="129" t="n">
        <f aca="false">Admin!B15</f>
        <v>45716</v>
      </c>
      <c r="O1" s="129" t="n">
        <f aca="false">Admin!B16</f>
        <v>45747</v>
      </c>
      <c r="P1" s="130"/>
      <c r="Q1" s="131"/>
      <c r="R1" s="132"/>
      <c r="S1" s="133" t="s">
        <v>105</v>
      </c>
      <c r="T1" s="133" t="s">
        <v>106</v>
      </c>
      <c r="U1" s="133" t="s">
        <v>107</v>
      </c>
      <c r="V1" s="133" t="s">
        <v>108</v>
      </c>
      <c r="W1" s="133" t="s">
        <v>109</v>
      </c>
      <c r="X1" s="133" t="s">
        <v>110</v>
      </c>
      <c r="Y1" s="133" t="s">
        <v>111</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2024-25</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customFormat="fals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2024-25</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2024-25</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46053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customFormat="false" ht="12.75" hidden="false" customHeight="true" outlineLevel="0" collapsed="false">
      <c r="A23" s="156"/>
      <c r="B23" s="178"/>
      <c r="C23" s="178"/>
      <c r="D23" s="202" t="s">
        <v>175</v>
      </c>
      <c r="E23" s="203" t="s">
        <v>176</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177</v>
      </c>
      <c r="C25" s="205" t="str">
        <f aca="false">Admin!B24</f>
        <v>2025-26</v>
      </c>
      <c r="D25" s="206" t="s">
        <v>178</v>
      </c>
      <c r="E25" s="197" t="n">
        <f aca="false">E18</f>
        <v>4498</v>
      </c>
      <c r="F25" s="173"/>
      <c r="G25" s="148"/>
    </row>
    <row r="26" customFormat="false" ht="12.75" hidden="false" customHeight="false" outlineLevel="0" collapsed="false">
      <c r="A26" s="132"/>
      <c r="B26" s="178" t="s">
        <v>179</v>
      </c>
      <c r="C26" s="178"/>
      <c r="D26" s="207" t="n">
        <f aca="false">Admin!B21</f>
        <v>46053</v>
      </c>
      <c r="E26" s="180" t="n">
        <f aca="false">E25/2</f>
        <v>2249</v>
      </c>
      <c r="F26" s="173"/>
      <c r="G26" s="148"/>
    </row>
    <row r="27" customFormat="false" ht="12.75" hidden="false" customHeight="false" outlineLevel="0" collapsed="false">
      <c r="A27" s="132"/>
      <c r="B27" s="178" t="s">
        <v>179</v>
      </c>
      <c r="C27" s="178"/>
      <c r="D27" s="207" t="n">
        <f aca="false">Admin!B22</f>
        <v>46234</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45388</v>
      </c>
      <c r="J4" s="242" t="n">
        <f aca="false">Admin!G4</f>
        <v>1</v>
      </c>
      <c r="K4" s="238"/>
      <c r="L4" s="243" t="n">
        <f aca="false">Admin!G5</f>
        <v>0.18</v>
      </c>
      <c r="M4" s="241" t="n">
        <f aca="false">Admin!B17</f>
        <v>45752</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202</v>
      </c>
      <c r="C6" s="256"/>
      <c r="D6" s="257" t="n">
        <f aca="false">Admin!B$4</f>
        <v>45388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45388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45388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45388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45388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45412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45443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45473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45504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45535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45565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45596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45626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45657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45688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45716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45752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225</v>
      </c>
      <c r="C1" s="323" t="s">
        <v>226</v>
      </c>
      <c r="D1" s="324"/>
      <c r="E1" s="322" t="s">
        <v>227</v>
      </c>
      <c r="F1" s="323" t="s">
        <v>228</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45412</v>
      </c>
      <c r="C5" s="332" t="str">
        <f aca="false">IF((SalesApr!$H$1&gt;0),SalesApr!$H$1," ")</f>
        <v> </v>
      </c>
      <c r="D5" s="326"/>
      <c r="E5" s="331" t="n">
        <f aca="false">B5</f>
        <v>45412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45443</v>
      </c>
      <c r="C7" s="330" t="str">
        <f aca="false">IF((SalesMay!$H$1&gt;0),SalesMay!$H$1," ")</f>
        <v> </v>
      </c>
      <c r="D7" s="326"/>
      <c r="E7" s="331" t="n">
        <f aca="false">B7</f>
        <v>45443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45473</v>
      </c>
      <c r="C9" s="330" t="str">
        <f aca="false">IF((SalesJun!$H$1&gt;0),SalesJun!$H$1," ")</f>
        <v> </v>
      </c>
      <c r="D9" s="326"/>
      <c r="E9" s="331" t="n">
        <f aca="false">B9</f>
        <v>45473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45504</v>
      </c>
      <c r="C11" s="330" t="str">
        <f aca="false">IF((SalesJul!$H$1&gt;0),SalesJul!$H$1," ")</f>
        <v> </v>
      </c>
      <c r="D11" s="326"/>
      <c r="E11" s="331" t="n">
        <f aca="false">B11</f>
        <v>45504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45535</v>
      </c>
      <c r="C13" s="330" t="str">
        <f aca="false">IF((SalesAug!$H$1&gt;0),SalesAug!$H$1," ")</f>
        <v> </v>
      </c>
      <c r="D13" s="326"/>
      <c r="E13" s="331" t="n">
        <f aca="false">B13</f>
        <v>45535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45565</v>
      </c>
      <c r="C15" s="330" t="str">
        <f aca="false">IF((SalesSep!$H$1&gt;0),SalesSep!$H$1," ")</f>
        <v> </v>
      </c>
      <c r="D15" s="326"/>
      <c r="E15" s="331" t="n">
        <f aca="false">B15</f>
        <v>45565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45596</v>
      </c>
      <c r="C17" s="330" t="str">
        <f aca="false">IF((SalesOct!$H$1&gt;0),SalesOct!$H$1," ")</f>
        <v> </v>
      </c>
      <c r="D17" s="326"/>
      <c r="E17" s="331" t="n">
        <f aca="false">B17</f>
        <v>45596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45626</v>
      </c>
      <c r="C19" s="330" t="str">
        <f aca="false">IF((SalesNov!$H$1&gt;0),SalesNov!$H$1," ")</f>
        <v> </v>
      </c>
      <c r="D19" s="326"/>
      <c r="E19" s="331" t="n">
        <f aca="false">B19</f>
        <v>45626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45657</v>
      </c>
      <c r="C21" s="330" t="str">
        <f aca="false">IF((SalesDec!$H$1&gt;0),SalesDec!$H$1," ")</f>
        <v> </v>
      </c>
      <c r="D21" s="326"/>
      <c r="E21" s="331" t="n">
        <f aca="false">B21</f>
        <v>45657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45688</v>
      </c>
      <c r="C23" s="330" t="str">
        <f aca="false">IF((SalesJan!$H$1&gt;0),SalesJan!$H$1," ")</f>
        <v> </v>
      </c>
      <c r="D23" s="326"/>
      <c r="E23" s="331" t="n">
        <f aca="false">B23</f>
        <v>45688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45716</v>
      </c>
      <c r="C25" s="330" t="str">
        <f aca="false">IF((SalesFeb!$H$1&gt;0),SalesFeb!$H$1," ")</f>
        <v> </v>
      </c>
      <c r="D25" s="326"/>
      <c r="E25" s="331" t="n">
        <f aca="false">B25</f>
        <v>45716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45747</v>
      </c>
      <c r="C27" s="330" t="str">
        <f aca="false">IF((SalesMar!$H$1&gt;0),SalesMar!$H$1," ")</f>
        <v> </v>
      </c>
      <c r="D27" s="326"/>
      <c r="E27" s="331" t="n">
        <f aca="false">B27</f>
        <v>45747</v>
      </c>
      <c r="F27" s="330" t="str">
        <f aca="false">IF((PurchasesMar!$H$1&gt;0),PurchasesMar!$H$1," ")</f>
        <v> </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230</v>
      </c>
      <c r="C29" s="334" t="n">
        <f aca="false">SUM(C3:C28)</f>
        <v>0</v>
      </c>
      <c r="D29" s="321"/>
      <c r="E29" s="333" t="s">
        <v>231</v>
      </c>
      <c r="F29" s="334" t="n">
        <f aca="false">SUM(F3:F28)</f>
        <v>0</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303</v>
      </c>
      <c r="C1" s="68"/>
      <c r="D1" s="408"/>
      <c r="E1" s="408"/>
      <c r="F1" s="408"/>
      <c r="G1" s="162"/>
      <c r="H1" s="68"/>
      <c r="I1" s="68"/>
      <c r="J1" s="68"/>
      <c r="K1" s="68"/>
      <c r="L1" s="68"/>
      <c r="M1" s="68"/>
      <c r="N1" s="68"/>
      <c r="O1" s="68"/>
    </row>
    <row r="2" customFormat="false" ht="12" hidden="false" customHeight="true" outlineLevel="0" collapsed="false">
      <c r="A2" s="68"/>
      <c r="B2" s="409" t="n">
        <v>45351</v>
      </c>
      <c r="C2" s="68"/>
      <c r="D2" s="410" t="s">
        <v>304</v>
      </c>
      <c r="E2" s="410"/>
      <c r="F2" s="410"/>
      <c r="G2" s="411" t="str">
        <f aca="false">B23</f>
        <v>2024-25</v>
      </c>
      <c r="H2" s="68"/>
      <c r="I2" s="68"/>
      <c r="J2" s="412" t="s">
        <v>305</v>
      </c>
      <c r="K2" s="412"/>
      <c r="L2" s="410" t="str">
        <f aca="false">G2</f>
        <v>2024-25</v>
      </c>
      <c r="M2" s="68"/>
      <c r="N2" s="68"/>
      <c r="O2" s="68"/>
    </row>
    <row r="3" customFormat="false" ht="12" hidden="false" customHeight="true" outlineLevel="0" collapsed="false">
      <c r="A3" s="68"/>
      <c r="B3" s="409" t="n">
        <v>45382</v>
      </c>
      <c r="C3" s="68"/>
      <c r="D3" s="68"/>
      <c r="E3" s="68"/>
      <c r="F3" s="68"/>
      <c r="G3" s="413"/>
      <c r="H3" s="68"/>
      <c r="I3" s="68"/>
      <c r="J3" s="414"/>
      <c r="K3" s="414"/>
      <c r="L3" s="162"/>
      <c r="M3" s="68"/>
      <c r="N3" s="68"/>
      <c r="O3" s="68"/>
    </row>
    <row r="4" customFormat="false" ht="12" hidden="false" customHeight="true" outlineLevel="0" collapsed="false">
      <c r="A4" s="68"/>
      <c r="B4" s="415" t="n">
        <v>45388</v>
      </c>
      <c r="C4" s="68"/>
      <c r="D4" s="416" t="s">
        <v>65</v>
      </c>
      <c r="E4" s="416"/>
      <c r="F4" s="416"/>
      <c r="G4" s="417" t="n">
        <v>1</v>
      </c>
      <c r="H4" s="68"/>
      <c r="I4" s="416" t="s">
        <v>306</v>
      </c>
      <c r="J4" s="416"/>
      <c r="K4" s="416"/>
      <c r="L4" s="416"/>
      <c r="M4" s="416"/>
      <c r="N4" s="418" t="n">
        <v>12570</v>
      </c>
      <c r="O4" s="413" t="s">
        <v>26</v>
      </c>
    </row>
    <row r="5" customFormat="false" ht="12" hidden="false" customHeight="true" outlineLevel="0" collapsed="false">
      <c r="A5" s="68"/>
      <c r="B5" s="409" t="n">
        <v>45412</v>
      </c>
      <c r="C5" s="68"/>
      <c r="D5" s="416" t="s">
        <v>307</v>
      </c>
      <c r="E5" s="416"/>
      <c r="F5" s="416"/>
      <c r="G5" s="417" t="n">
        <v>0.18</v>
      </c>
      <c r="H5" s="68"/>
      <c r="I5" s="68"/>
      <c r="J5" s="68"/>
      <c r="K5" s="68"/>
      <c r="L5" s="68"/>
      <c r="M5" s="68"/>
      <c r="N5" s="413"/>
      <c r="O5" s="413"/>
    </row>
    <row r="6" customFormat="false" ht="12" hidden="false" customHeight="true" outlineLevel="0" collapsed="false">
      <c r="A6" s="68"/>
      <c r="B6" s="409" t="n">
        <v>45443</v>
      </c>
      <c r="C6" s="68"/>
      <c r="D6" s="68"/>
      <c r="E6" s="68"/>
      <c r="F6" s="68"/>
      <c r="G6" s="413"/>
      <c r="H6" s="68"/>
      <c r="I6" s="68" t="s">
        <v>308</v>
      </c>
      <c r="J6" s="68"/>
      <c r="K6" s="68"/>
      <c r="L6" s="68"/>
      <c r="M6" s="68"/>
      <c r="N6" s="417" t="n">
        <v>0</v>
      </c>
      <c r="O6" s="413" t="s">
        <v>309</v>
      </c>
    </row>
    <row r="7" customFormat="false" ht="12" hidden="false" customHeight="true" outlineLevel="0" collapsed="false">
      <c r="A7" s="68"/>
      <c r="B7" s="409" t="n">
        <v>45473</v>
      </c>
      <c r="C7" s="68"/>
      <c r="D7" s="416" t="s">
        <v>310</v>
      </c>
      <c r="E7" s="416"/>
      <c r="F7" s="416"/>
      <c r="G7" s="413"/>
      <c r="H7" s="68"/>
      <c r="I7" s="416" t="s">
        <v>311</v>
      </c>
      <c r="J7" s="416"/>
      <c r="K7" s="416"/>
      <c r="L7" s="416"/>
      <c r="M7" s="416"/>
      <c r="N7" s="417" t="n">
        <v>0.2</v>
      </c>
      <c r="O7" s="413" t="s">
        <v>309</v>
      </c>
    </row>
    <row r="8" customFormat="false" ht="12" hidden="false" customHeight="true" outlineLevel="0" collapsed="false">
      <c r="A8" s="68"/>
      <c r="B8" s="409" t="n">
        <v>45504</v>
      </c>
      <c r="C8" s="68"/>
      <c r="D8" s="68" t="s">
        <v>312</v>
      </c>
      <c r="E8" s="419" t="n">
        <v>12000</v>
      </c>
      <c r="F8" s="68" t="s">
        <v>313</v>
      </c>
      <c r="G8" s="419" t="n">
        <v>3000</v>
      </c>
      <c r="H8" s="68"/>
      <c r="I8" s="416" t="s">
        <v>314</v>
      </c>
      <c r="J8" s="416"/>
      <c r="K8" s="416"/>
      <c r="L8" s="416"/>
      <c r="M8" s="416"/>
      <c r="N8" s="417" t="n">
        <v>0.4</v>
      </c>
      <c r="O8" s="413" t="s">
        <v>309</v>
      </c>
    </row>
    <row r="9" customFormat="false" ht="12" hidden="false" customHeight="true" outlineLevel="0" collapsed="false">
      <c r="A9" s="68"/>
      <c r="B9" s="409" t="n">
        <v>45535</v>
      </c>
      <c r="C9" s="68"/>
      <c r="D9" s="68"/>
      <c r="E9" s="413"/>
      <c r="F9" s="68"/>
      <c r="G9" s="413"/>
      <c r="H9" s="68"/>
      <c r="I9" s="68"/>
      <c r="J9" s="68"/>
      <c r="K9" s="68"/>
      <c r="L9" s="68"/>
      <c r="M9" s="68"/>
      <c r="N9" s="413"/>
      <c r="O9" s="413"/>
    </row>
    <row r="10" customFormat="false" ht="12" hidden="false" customHeight="true" outlineLevel="0" collapsed="false">
      <c r="A10" s="68"/>
      <c r="B10" s="409" t="n">
        <v>45565</v>
      </c>
      <c r="C10" s="68"/>
      <c r="D10" s="68"/>
      <c r="E10" s="413"/>
      <c r="F10" s="68"/>
      <c r="G10" s="413"/>
      <c r="H10" s="68"/>
      <c r="I10" s="416" t="s">
        <v>315</v>
      </c>
      <c r="J10" s="416"/>
      <c r="K10" s="416"/>
      <c r="L10" s="420" t="s">
        <v>316</v>
      </c>
      <c r="M10" s="420" t="s">
        <v>317</v>
      </c>
      <c r="N10" s="421" t="s">
        <v>318</v>
      </c>
      <c r="O10" s="413"/>
    </row>
    <row r="11" customFormat="false" ht="12" hidden="false" customHeight="true" outlineLevel="0" collapsed="false">
      <c r="A11" s="68"/>
      <c r="B11" s="409" t="n">
        <v>45596</v>
      </c>
      <c r="C11" s="68"/>
      <c r="D11" s="410" t="s">
        <v>319</v>
      </c>
      <c r="E11" s="410"/>
      <c r="F11" s="410"/>
      <c r="G11" s="413" t="s">
        <v>309</v>
      </c>
      <c r="H11" s="68"/>
      <c r="I11" s="68" t="s">
        <v>320</v>
      </c>
      <c r="J11" s="68"/>
      <c r="K11" s="422" t="n">
        <f aca="false">N6</f>
        <v>0</v>
      </c>
      <c r="L11" s="413" t="n">
        <f aca="false">N11</f>
        <v>0</v>
      </c>
      <c r="M11" s="413" t="n">
        <v>0</v>
      </c>
      <c r="N11" s="419" t="n">
        <v>0</v>
      </c>
      <c r="O11" s="413"/>
    </row>
    <row r="12" customFormat="false" ht="12" hidden="false" customHeight="true" outlineLevel="0" collapsed="false">
      <c r="A12" s="68"/>
      <c r="B12" s="409" t="n">
        <v>45626</v>
      </c>
      <c r="C12" s="68"/>
      <c r="D12" s="68"/>
      <c r="E12" s="68"/>
      <c r="F12" s="68"/>
      <c r="G12" s="413"/>
      <c r="H12" s="68"/>
      <c r="I12" s="68" t="s">
        <v>321</v>
      </c>
      <c r="J12" s="68"/>
      <c r="K12" s="422" t="n">
        <f aca="false">N7</f>
        <v>0.2</v>
      </c>
      <c r="L12" s="413" t="n">
        <v>0</v>
      </c>
      <c r="M12" s="413" t="n">
        <v>37700</v>
      </c>
      <c r="N12" s="419" t="n">
        <v>0</v>
      </c>
      <c r="O12" s="413"/>
    </row>
    <row r="13" customFormat="false" ht="12" hidden="false" customHeight="true" outlineLevel="0" collapsed="false">
      <c r="A13" s="68"/>
      <c r="B13" s="409" t="n">
        <v>45657</v>
      </c>
      <c r="C13" s="68"/>
      <c r="D13" s="416" t="s">
        <v>203</v>
      </c>
      <c r="E13" s="416"/>
      <c r="F13" s="416"/>
      <c r="G13" s="417" t="n">
        <v>0</v>
      </c>
      <c r="H13" s="68"/>
      <c r="I13" s="68" t="s">
        <v>322</v>
      </c>
      <c r="J13" s="68"/>
      <c r="K13" s="422" t="n">
        <f aca="false">N8</f>
        <v>0.4</v>
      </c>
      <c r="L13" s="413" t="n">
        <v>37701</v>
      </c>
      <c r="M13" s="68"/>
      <c r="N13" s="419" t="n">
        <v>37701</v>
      </c>
      <c r="O13" s="413"/>
    </row>
    <row r="14" customFormat="false" ht="12" hidden="false" customHeight="true" outlineLevel="0" collapsed="false">
      <c r="A14" s="68"/>
      <c r="B14" s="409" t="n">
        <v>45688</v>
      </c>
      <c r="C14" s="68"/>
      <c r="D14" s="416" t="s">
        <v>205</v>
      </c>
      <c r="E14" s="416"/>
      <c r="F14" s="416"/>
      <c r="G14" s="417" t="n">
        <v>0.1</v>
      </c>
      <c r="H14" s="68"/>
      <c r="I14" s="68"/>
      <c r="J14" s="68"/>
      <c r="K14" s="68"/>
      <c r="L14" s="68"/>
      <c r="M14" s="68"/>
      <c r="N14" s="68"/>
      <c r="O14" s="68"/>
    </row>
    <row r="15" customFormat="false" ht="12" hidden="false" customHeight="true" outlineLevel="0" collapsed="false">
      <c r="A15" s="68"/>
      <c r="B15" s="409" t="n">
        <v>45716</v>
      </c>
      <c r="C15" s="68"/>
      <c r="D15" s="416" t="s">
        <v>207</v>
      </c>
      <c r="E15" s="416"/>
      <c r="F15" s="416"/>
      <c r="G15" s="417" t="n">
        <v>0.2</v>
      </c>
      <c r="H15" s="68"/>
      <c r="I15" s="410" t="s">
        <v>323</v>
      </c>
      <c r="J15" s="410"/>
      <c r="K15" s="410"/>
      <c r="L15" s="410" t="str">
        <f aca="false">G2</f>
        <v>2024-25</v>
      </c>
      <c r="M15" s="68"/>
      <c r="N15" s="68"/>
      <c r="O15" s="68"/>
    </row>
    <row r="16" customFormat="false" ht="12" hidden="false" customHeight="true" outlineLevel="0" collapsed="false">
      <c r="A16" s="68"/>
      <c r="B16" s="409" t="n">
        <v>45747</v>
      </c>
      <c r="C16" s="68"/>
      <c r="D16" s="416" t="s">
        <v>324</v>
      </c>
      <c r="E16" s="416"/>
      <c r="F16" s="416"/>
      <c r="G16" s="417" t="n">
        <v>0.33</v>
      </c>
      <c r="H16" s="68"/>
      <c r="I16" s="68"/>
      <c r="J16" s="68"/>
      <c r="K16" s="68"/>
      <c r="L16" s="68"/>
      <c r="M16" s="68"/>
      <c r="N16" s="68"/>
      <c r="O16" s="68"/>
    </row>
    <row r="17" customFormat="false" ht="12" hidden="false" customHeight="true" outlineLevel="0" collapsed="false">
      <c r="A17" s="68"/>
      <c r="B17" s="415" t="n">
        <v>45752</v>
      </c>
      <c r="C17" s="68"/>
      <c r="D17" s="416" t="s">
        <v>325</v>
      </c>
      <c r="E17" s="416"/>
      <c r="F17" s="416"/>
      <c r="G17" s="417" t="n">
        <v>0.25</v>
      </c>
      <c r="H17" s="68"/>
      <c r="I17" s="416" t="s">
        <v>326</v>
      </c>
      <c r="J17" s="416"/>
      <c r="K17" s="416"/>
      <c r="L17" s="423" t="n">
        <v>0</v>
      </c>
      <c r="M17" s="68" t="s">
        <v>327</v>
      </c>
      <c r="N17" s="68"/>
      <c r="O17" s="68"/>
    </row>
    <row r="18" customFormat="false" ht="12" hidden="false" customHeight="true" outlineLevel="0" collapsed="false">
      <c r="A18" s="68"/>
      <c r="B18" s="409" t="n">
        <v>45777</v>
      </c>
      <c r="C18" s="68"/>
      <c r="D18" s="68"/>
      <c r="E18" s="68"/>
      <c r="F18" s="68"/>
      <c r="G18" s="413"/>
      <c r="H18" s="68"/>
      <c r="I18" s="68"/>
      <c r="J18" s="68"/>
      <c r="K18" s="68"/>
      <c r="L18" s="68"/>
      <c r="M18" s="68"/>
      <c r="N18" s="68"/>
      <c r="O18" s="68"/>
    </row>
    <row r="19" customFormat="false" ht="12" hidden="false" customHeight="true" outlineLevel="0" collapsed="false">
      <c r="A19" s="68"/>
      <c r="B19" s="409" t="n">
        <v>45808</v>
      </c>
      <c r="C19" s="68"/>
      <c r="D19" s="410" t="s">
        <v>328</v>
      </c>
      <c r="E19" s="410"/>
      <c r="F19" s="413" t="s">
        <v>329</v>
      </c>
      <c r="G19" s="413" t="s">
        <v>330</v>
      </c>
      <c r="H19" s="68"/>
      <c r="I19" s="424" t="s">
        <v>331</v>
      </c>
      <c r="J19" s="424"/>
      <c r="K19" s="424"/>
      <c r="L19" s="68"/>
      <c r="M19" s="425" t="s">
        <v>332</v>
      </c>
      <c r="N19" s="68"/>
      <c r="O19" s="68"/>
    </row>
    <row r="20" customFormat="false" ht="12" hidden="false" customHeight="true" outlineLevel="0" collapsed="false">
      <c r="A20" s="68"/>
      <c r="B20" s="409" t="n">
        <v>45838</v>
      </c>
      <c r="C20" s="68"/>
      <c r="D20" s="162"/>
      <c r="E20" s="162"/>
      <c r="F20" s="413"/>
      <c r="G20" s="413"/>
      <c r="H20" s="68"/>
      <c r="I20" s="424"/>
      <c r="J20" s="424"/>
      <c r="K20" s="424"/>
      <c r="L20" s="426" t="n">
        <v>0.06</v>
      </c>
      <c r="M20" s="425"/>
      <c r="N20" s="419" t="n">
        <v>12570</v>
      </c>
      <c r="O20" s="413" t="s">
        <v>26</v>
      </c>
    </row>
    <row r="21" customFormat="false" ht="12" hidden="false" customHeight="true" outlineLevel="0" collapsed="false">
      <c r="A21" s="68"/>
      <c r="B21" s="409" t="n">
        <v>46053</v>
      </c>
      <c r="C21" s="68"/>
      <c r="D21" s="416" t="s">
        <v>333</v>
      </c>
      <c r="E21" s="416"/>
      <c r="F21" s="419" t="n">
        <v>10000</v>
      </c>
      <c r="G21" s="423" t="n">
        <v>0.45</v>
      </c>
      <c r="H21" s="68"/>
      <c r="I21" s="427"/>
      <c r="J21" s="427"/>
      <c r="K21" s="427"/>
      <c r="L21" s="422"/>
      <c r="M21" s="68"/>
      <c r="N21" s="68"/>
      <c r="O21" s="68"/>
    </row>
    <row r="22" customFormat="false" ht="12" hidden="false" customHeight="true" outlineLevel="0" collapsed="false">
      <c r="A22" s="68"/>
      <c r="B22" s="409" t="n">
        <v>46234</v>
      </c>
      <c r="C22" s="68"/>
      <c r="D22" s="68" t="s">
        <v>334</v>
      </c>
      <c r="E22" s="68"/>
      <c r="F22" s="419" t="n">
        <v>10001</v>
      </c>
      <c r="G22" s="423" t="n">
        <v>0.25</v>
      </c>
      <c r="H22" s="68"/>
      <c r="I22" s="424" t="s">
        <v>335</v>
      </c>
      <c r="J22" s="424"/>
      <c r="K22" s="424"/>
      <c r="L22" s="68"/>
      <c r="M22" s="425" t="s">
        <v>336</v>
      </c>
      <c r="N22" s="68"/>
      <c r="O22" s="68"/>
    </row>
    <row r="23" customFormat="false" ht="12" hidden="false" customHeight="true" outlineLevel="0" collapsed="false">
      <c r="A23" s="68"/>
      <c r="B23" s="415" t="s">
        <v>337</v>
      </c>
      <c r="C23" s="68"/>
      <c r="D23" s="68"/>
      <c r="E23" s="68"/>
      <c r="F23" s="413"/>
      <c r="G23" s="428"/>
      <c r="H23" s="68"/>
      <c r="I23" s="424"/>
      <c r="J23" s="424"/>
      <c r="K23" s="424"/>
      <c r="L23" s="426" t="n">
        <v>0.02</v>
      </c>
      <c r="M23" s="425"/>
      <c r="N23" s="419" t="n">
        <v>50270</v>
      </c>
      <c r="O23" s="413" t="s">
        <v>26</v>
      </c>
    </row>
    <row r="24" customFormat="false" ht="12" hidden="false" customHeight="true" outlineLevel="0" collapsed="false">
      <c r="A24" s="68"/>
      <c r="B24" s="415" t="s">
        <v>338</v>
      </c>
      <c r="C24" s="68"/>
      <c r="D24" s="410" t="s">
        <v>339</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340</v>
      </c>
      <c r="E26" s="68"/>
      <c r="F26" s="419" t="n">
        <v>90000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