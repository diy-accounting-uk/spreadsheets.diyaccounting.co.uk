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<sst xmlns="http://schemas.openxmlformats.org/spreadsheetml/2006/main" count="1089" uniqueCount="326">
  <si>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</si>
  <si>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</si>
  <si>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</si>
  <si>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</si>
  <si>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</si>
  <si>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</si>
  <si>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</si>
  <si>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</si>
  <si>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</si>
  <si>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</si>
  <si>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</si>
  <si>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</si>
  <si>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</si>
  <si>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</si>
  <si>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</si>
  <si>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</si>
  <si>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</si>
  <si>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</si>
  <si>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</si>
  <si>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</si>
  <si>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</si>
  <si>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</si>
  <si>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</si>
  <si>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</si>
  <si>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</si>
  <si>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</si>
  <si>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</si>
  <si>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</si>
  <si>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</si>
  <si>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</si>
  <si>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</si>
  <si>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</si>
  <si>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</si>
  <si>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</si>
  <si>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</si>
  <si>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</si>
  <si>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</si>
  <si>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</si>
  <si>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</si>
  <si>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</si>
  <si>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</si>
  <si>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</si>
  <si>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</si>
  <si>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</si>
  <si>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</si>
  <si>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</si>
  <si>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</si>
  <si>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</si>
  <si>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</si>
  <si>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</si>
  <si>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</si>
  <si>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</si>
  <si>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</si>
  <si>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</si>
  <si>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</si>
  <si>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</si>
  <si>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</si>
  <si>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</si>
  <si>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</si>
  <si>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</si>
  <si>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</si>
  <si>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</si>
  <si>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</si>
  <si>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</si>
  <si>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</si>
  <si>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</si>
  <si>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</si>
  <si>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</si>
  <si>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</si>
  <si>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</si>
  <si>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</si>
  <si>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</si>
  <si>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</si>
  <si>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</si>
  <si>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</si>
  <si>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</si>
  <si>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</si>
  <si>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</si>
  <si>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</si>
  <si>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</si>
  <si>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</si>
  <si>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</si>
  <si>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</si>
  <si>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</si>
  <si>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</si>
  <si>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</si>
  <si>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</si>
  <si>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</si>
  <si>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</si>
  <si>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</si>
  <si>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</si>
  <si>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</si>
  <si>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</si>
  <si>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</si>
  <si>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</si>
  <si>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</si>
  <si>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</si>
  <si>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</si>
  <si>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</si>
  <si>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</si>
  <si>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</si>
  <si>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</si>
  <si>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</si>
  <si>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</si>
  <si>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</si>
  <si>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</si>
  <si>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</si>
  <si>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</si>
  <si>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</si>
  <si>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</si>
  <si>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</si>
  <si>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</si>
  <si>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</si>
  <si>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</si>
  <si>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</si>
  <si>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</si>
  <si>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</si>
  <si>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</si>
  <si>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</si>
  <si>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</si>
  <si>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</si>
  <si>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</si>
  <si>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</si>
  <si>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</si>
  <si>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</si>
  <si>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</si>
  <si>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</si>
  <si>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</si>
  <si>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</si>
  <si>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</si>
  <si>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</si>
  <si>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</si>
  <si>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</si>
  <si>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</si>
  <si>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</si>
  <si>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</si>
  <si>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</si>
  <si>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</si>
  <si>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</si>
  <si>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</si>
  <si>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</si>
  <si>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</si>
  <si>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</si>
  <si>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</si>
  <si>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</si>
  <si>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</si>
  <si>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</si>
  <si>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</si>
  <si>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</si>
  <si>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</si>
  <si>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</si>
  <si>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</si>
  <si>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</si>
  <si>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</si>
  <si>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</si>
  <si>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</si>
  <si>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</si>
  <si>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</si>
  <si>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</si>
  <si>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</si>
  <si>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</si>
  <si>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</si>
  <si>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</si>
  <si>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</si>
  <si>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</si>
  <si>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</si>
  <si>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</si>
  <si>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</si>
  <si>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</si>
  <si>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</si>
  <si>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</si>
  <si>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</si>
  <si>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</si>
  <si>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</si>
  <si>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</si>
  <si>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</si>
  <si>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</si>
  <si>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</si>
  <si>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</si>
  <si>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</si>
  <si>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</si>
  <si>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</si>
  <si>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</si>
  <si>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</si>
  <si>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</si>
  <si>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</si>
  <si>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</si>
  <si>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</si>
  <si>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</si>
  <si>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</si>
  <si>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</si>
  <si>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</si>
  <si>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</si>
  <si>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</si>
  <si>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</si>
  <si>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</si>
  <si>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</si>
  <si>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</si>
  <si>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</si>
  <si>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</si>
  <si>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</si>
  <si>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</si>
  <si>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</si>
  <si>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</si>
  <si>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</si>
  <si>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</si>
  <si>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</si>
  <si>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</si>
  <si>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</si>
  <si>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</si>
  <si>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</si>
  <si>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</si>
  <si>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</si>
  <si>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</si>
  <si>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</si>
  <si>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</si>
  <si>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</si>
  <si>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</si>
  <si>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</si>
  <si>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</si>
  <si>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</si>
  <si>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</si>
  <si>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</si>
  <si>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</si>
  <si>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</si>
  <si>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</si>
  <si>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</si>
  <si>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</si>
  <si>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</si>
  <si>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</si>
  <si>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</si>
  <si>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</si>
  <si>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</si>
  <si>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</si>
  <si>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</si>
  <si>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</si>
  <si>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</si>
  <si>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</si>
  <si>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</si>
  <si>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</si>
  <si>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</si>
  <si>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</si>
  <si>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</si>
  <si>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</si>
  <si>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</si>
  <si>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</si>
  <si>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</si>
  <si>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</si>
  <si>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</si>
  <si>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</si>
  <si>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</si>
  <si>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</si>
  <si>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</si>
  <si>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</si>
  <si>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</si>
  <si>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</si>
  <si>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</si>
  <si>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</si>
  <si>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</si>
  <si>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</si>
  <si>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</si>
  <si>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</si>
  <si>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</si>
  <si>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</si>
  <si>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</si>
  <si>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</si>
  <si>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</si>
  <si>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</si>
  <si>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</si>
  <si>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</si>
  <si>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</si>
  <si>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</si>
  <si>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</si>
  <si>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</si>
  <si>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</si>
  <si>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</si>
  <si>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</si>
  <si>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</si>
  <si>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</si>
  <si>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</si>
  <si>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</si>
  <si>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</si>
  <si>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</si>
  <si>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</si>
  <si>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</si>
  <si>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</si>
  <si>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</si>
  <si>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</si>
  <si>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</si>
  <si>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</si>
  <si>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</si>
  <si>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</si>
  <si>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</si>
  <si>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</si>
  <si>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</si>
  <si>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</si>
  <si>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</si>
  <si>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</si>
  <si>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</si>
  <si>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</si>
  <si>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</si>
  <si>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</si>
  <si>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</si>
  <si>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</si>
  <si>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</si>
  <si>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</si>
  <si>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</si>
  <si>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</si>
  <si>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</si>
  <si>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</si>
  <si>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</si>
  <si>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</si>
  <si>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</si>
  <si>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</si>
  <si>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</si>
  <si>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</si>
  <si>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</si>
  <si>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</si>
  <si>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</si>
  <si>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</si>
  <si>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</si>
  <si>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</si>
  <si>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</si>
  <si>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2021-22</t>
  </si>
  <si>
    <t xml:space="preserve">2022-23</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</si>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</sst>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44292</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44656</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44656</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44292</v>
      </c>
      <c r="R2" s="60"/>
      <c r="S2" s="60"/>
      <c r="T2" s="60"/>
      <c r="U2" s="61" t="s">
        <v>37</v>
      </c>
      <c r="V2" s="60" t="n">
        <f aca="false">Admin!B17</f>
        <v>44656</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44292</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44656</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44656</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£85000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2021-22</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2021-22</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44316</v>
      </c>
      <c r="D2" s="139" t="n">
        <f aca="false">Admin!B$6</f>
        <v>44347</v>
      </c>
      <c r="E2" s="139" t="n">
        <f aca="false">Admin!B$7</f>
        <v>44377</v>
      </c>
      <c r="F2" s="139" t="n">
        <f aca="false">Admin!B$8</f>
        <v>44408</v>
      </c>
      <c r="G2" s="139" t="n">
        <f aca="false">Admin!B$9</f>
        <v>44439</v>
      </c>
      <c r="H2" s="139" t="n">
        <f aca="false">Admin!B$10</f>
        <v>44469</v>
      </c>
      <c r="I2" s="139" t="n">
        <f aca="false">Admin!B$11</f>
        <v>44500</v>
      </c>
      <c r="J2" s="139" t="n">
        <f aca="false">Admin!B$12</f>
        <v>44530</v>
      </c>
      <c r="K2" s="139" t="n">
        <f aca="false">Admin!B$13</f>
        <v>44561</v>
      </c>
      <c r="L2" s="139" t="n">
        <f aca="false">Admin!B$14</f>
        <v>44592</v>
      </c>
      <c r="M2" s="139" t="n">
        <f aca="false">Admin!B$15</f>
        <v>44620</v>
      </c>
      <c r="N2" s="139" t="n">
        <f aca="false">Admin!B$16</f>
        <v>44651</v>
      </c>
      <c r="O2" s="140"/>
      <c r="Q2" s="128"/>
      <c r="AA2" s="128"/>
    </row>
    <row r="3" s="55" customFormat="true" ht="12.75" hidden="false" customHeight="false" outlineLevel="0" collapsed="false">
      <c r="A3" s="137"/>
      <c r="B3" s="142" t="str">
        <f aca="false">Admin!G$2</f>
        <v>2021-22</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4950.3</v>
      </c>
      <c r="C32" s="172" t="n">
        <f aca="false">'Wages Forecast'!C$41/12</f>
        <v>412.525</v>
      </c>
      <c r="D32" s="172" t="n">
        <f aca="false">'Wages Forecast'!C$41/12</f>
        <v>412.525</v>
      </c>
      <c r="E32" s="172" t="n">
        <f aca="false">'Wages Forecast'!C$41/12</f>
        <v>412.525</v>
      </c>
      <c r="F32" s="172" t="n">
        <f aca="false">'Wages Forecast'!C$41/12</f>
        <v>412.525</v>
      </c>
      <c r="G32" s="172" t="n">
        <f aca="false">'Wages Forecast'!C$41/12</f>
        <v>412.525</v>
      </c>
      <c r="H32" s="172" t="n">
        <f aca="false">'Wages Forecast'!C$41/12</f>
        <v>412.525</v>
      </c>
      <c r="I32" s="172" t="n">
        <f aca="false">'Wages Forecast'!C$41/12</f>
        <v>412.525</v>
      </c>
      <c r="J32" s="172" t="n">
        <f aca="false">'Wages Forecast'!C$41/12</f>
        <v>412.525</v>
      </c>
      <c r="K32" s="172" t="n">
        <f aca="false">'Wages Forecast'!C$41/12</f>
        <v>412.525</v>
      </c>
      <c r="L32" s="172" t="n">
        <f aca="false">'Wages Forecast'!C$41/12</f>
        <v>412.525</v>
      </c>
      <c r="M32" s="172" t="n">
        <f aca="false">'Wages Forecast'!C$41/12</f>
        <v>412.525</v>
      </c>
      <c r="N32" s="172" t="n">
        <f aca="false">'Wages Forecast'!C$41/12</f>
        <v>412.525</v>
      </c>
      <c r="O32" s="173"/>
      <c r="Q32" s="128"/>
      <c r="AA32" s="128"/>
    </row>
    <row r="33" s="165" customFormat="true" ht="12.75" hidden="false" customHeight="false" outlineLevel="0" collapsed="false">
      <c r="A33" s="170" t="s">
        <v>137</v>
      </c>
      <c r="B33" s="171" t="n">
        <f aca="false">SUM(C33:N33)</f>
        <v>24689.7</v>
      </c>
      <c r="C33" s="177" t="n">
        <f aca="false">C27-SUM(C28:C31)-C32</f>
        <v>387.475</v>
      </c>
      <c r="D33" s="177" t="n">
        <f aca="false">D27-SUM(D28:D31)-D32</f>
        <v>2287.475</v>
      </c>
      <c r="E33" s="177" t="n">
        <f aca="false">E27-SUM(E28:E31)-E32</f>
        <v>2287.475</v>
      </c>
      <c r="F33" s="177" t="n">
        <f aca="false">F27-SUM(F28:F31)-F32</f>
        <v>2167.475</v>
      </c>
      <c r="G33" s="177" t="n">
        <f aca="false">G27-SUM(G28:G31)-G32</f>
        <v>2287.475</v>
      </c>
      <c r="H33" s="177" t="n">
        <f aca="false">H27-SUM(H28:H31)-H32</f>
        <v>2287.475</v>
      </c>
      <c r="I33" s="177" t="n">
        <f aca="false">I27-SUM(I28:I31)-I32</f>
        <v>2167.475</v>
      </c>
      <c r="J33" s="177" t="n">
        <f aca="false">J27-SUM(J28:J31)-J32</f>
        <v>2287.475</v>
      </c>
      <c r="K33" s="177" t="n">
        <f aca="false">K27-SUM(K28:K31)-K32</f>
        <v>2287.475</v>
      </c>
      <c r="L33" s="177" t="n">
        <f aca="false">L27-SUM(L28:L31)-L32</f>
        <v>1667.475</v>
      </c>
      <c r="M33" s="177" t="n">
        <f aca="false">M27-SUM(M28:M31)-M32</f>
        <v>2287.475</v>
      </c>
      <c r="N33" s="177" t="n">
        <f aca="false">N27-SUM(N28:N31)-N32</f>
        <v>2287.475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44656</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44292</v>
      </c>
      <c r="I4" s="209" t="n">
        <f aca="false">Admin!G$4</f>
        <v>1</v>
      </c>
      <c r="J4" s="209" t="n">
        <f aca="false">Admin!G$5</f>
        <v>0.18</v>
      </c>
      <c r="K4" s="208" t="n">
        <f aca="false">Admin!B$17</f>
        <v>44656</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44292</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44292</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44292</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44292</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44292</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44292</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44292</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44292</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44292</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44292</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44292</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44292</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44292</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2021-22</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2021-22</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2021-22</v>
      </c>
      <c r="D6" s="286"/>
      <c r="E6" s="280" t="n">
        <f aca="false">IF((E5&gt;0),Admin!N$4,0)</f>
        <v>12570</v>
      </c>
      <c r="F6" s="276"/>
      <c r="G6" s="280"/>
      <c r="K6" s="285"/>
    </row>
    <row r="7" customFormat="false" ht="12.75" hidden="false" customHeight="false" outlineLevel="0" collapsed="false">
      <c r="A7" s="135"/>
      <c r="B7" s="283" t="s">
        <v>198</v>
      </c>
      <c r="C7" s="283"/>
      <c r="D7" s="283"/>
      <c r="E7" s="284" t="n">
        <f aca="false">IF((E5&gt;E6),(E5-E6),0)</f>
        <v>17070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201</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44957</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0.09</v>
      </c>
      <c r="E14" s="301" t="n">
        <f aca="false">IF(E5&gt;Admin!N20,IF(E5&lt;Admin!N$23,(E5-Admin!N20)*D14,(Admin!N$23-Admin!N20)*D14),0)</f>
        <v>1806.48</v>
      </c>
      <c r="F14" s="276"/>
      <c r="G14" s="295"/>
      <c r="K14" s="285"/>
    </row>
    <row r="15" customFormat="false" ht="12.75" hidden="false" customHeight="false" outlineLevel="0" collapsed="false">
      <c r="A15" s="135"/>
      <c r="B15" s="300" t="s">
        <v>204</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5220.48</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2022-23</v>
      </c>
      <c r="D24" s="312" t="s">
        <v>211</v>
      </c>
      <c r="E24" s="301" t="n">
        <f aca="false">E17</f>
        <v>5220.48</v>
      </c>
      <c r="F24" s="276"/>
      <c r="G24" s="280"/>
    </row>
    <row r="25" customFormat="false" ht="12.75" hidden="false" customHeight="false" outlineLevel="0" collapsed="false">
      <c r="A25" s="135"/>
      <c r="B25" s="144" t="s">
        <v>212</v>
      </c>
      <c r="C25" s="144"/>
      <c r="D25" s="313" t="n">
        <f aca="false">Admin!B$21</f>
        <v>44957</v>
      </c>
      <c r="E25" s="284" t="n">
        <f aca="false">E24/2</f>
        <v>2610.24</v>
      </c>
      <c r="F25" s="276"/>
      <c r="G25" s="280"/>
    </row>
    <row r="26" customFormat="false" ht="12.75" hidden="false" customHeight="false" outlineLevel="0" collapsed="false">
      <c r="A26" s="135"/>
      <c r="B26" s="144" t="s">
        <v>212</v>
      </c>
      <c r="C26" s="144"/>
      <c r="D26" s="313" t="n">
        <f aca="false">Admin!B$22</f>
        <v>45138</v>
      </c>
      <c r="E26" s="284" t="n">
        <f aca="false">E24/2</f>
        <v>2610.24</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44316</v>
      </c>
      <c r="E2" s="326" t="n">
        <f aca="false">Admin!B$6</f>
        <v>44347</v>
      </c>
      <c r="F2" s="326" t="n">
        <f aca="false">Admin!B$7</f>
        <v>44377</v>
      </c>
      <c r="G2" s="326" t="n">
        <f aca="false">Admin!B$8</f>
        <v>44408</v>
      </c>
      <c r="H2" s="326" t="n">
        <f aca="false">Admin!B$9</f>
        <v>44439</v>
      </c>
      <c r="I2" s="326" t="n">
        <f aca="false">Admin!B$10</f>
        <v>44469</v>
      </c>
      <c r="J2" s="326" t="n">
        <f aca="false">Admin!B$11</f>
        <v>44500</v>
      </c>
      <c r="K2" s="326" t="n">
        <f aca="false">Admin!B$12</f>
        <v>44530</v>
      </c>
      <c r="L2" s="326" t="n">
        <f aca="false">Admin!B$13</f>
        <v>44561</v>
      </c>
      <c r="M2" s="326" t="n">
        <f aca="false">Admin!B$14</f>
        <v>44592</v>
      </c>
      <c r="N2" s="326" t="n">
        <f aca="false">Admin!B$15</f>
        <v>44620</v>
      </c>
      <c r="O2" s="326" t="n">
        <f aca="false">Admin!B$16</f>
        <v>44651</v>
      </c>
      <c r="P2" s="241"/>
    </row>
    <row r="3" customFormat="false" ht="12" hidden="false" customHeight="true" outlineLevel="0" collapsed="false">
      <c r="A3" s="241"/>
      <c r="B3" s="323"/>
      <c r="C3" s="327" t="n">
        <f aca="false">Admin!B$17</f>
        <v>44656</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44316</v>
      </c>
      <c r="E17" s="338" t="n">
        <f aca="false">E2</f>
        <v>44347</v>
      </c>
      <c r="F17" s="338" t="n">
        <f aca="false">F2</f>
        <v>44377</v>
      </c>
      <c r="G17" s="338" t="n">
        <f aca="false">G2</f>
        <v>44408</v>
      </c>
      <c r="H17" s="338" t="n">
        <f aca="false">H2</f>
        <v>44439</v>
      </c>
      <c r="I17" s="338" t="n">
        <f aca="false">I2</f>
        <v>44469</v>
      </c>
      <c r="J17" s="338" t="n">
        <f aca="false">J2</f>
        <v>44500</v>
      </c>
      <c r="K17" s="338" t="n">
        <f aca="false">K2</f>
        <v>44530</v>
      </c>
      <c r="L17" s="338" t="n">
        <f aca="false">L2</f>
        <v>44561</v>
      </c>
      <c r="M17" s="338" t="n">
        <f aca="false">M2</f>
        <v>44592</v>
      </c>
      <c r="N17" s="338" t="n">
        <f aca="false">N2</f>
        <v>44620</v>
      </c>
      <c r="O17" s="338" t="n">
        <f aca="false">O2</f>
        <v>44651</v>
      </c>
      <c r="P17" s="241"/>
    </row>
    <row r="18" customFormat="false" ht="12" hidden="false" customHeight="true" outlineLevel="0" collapsed="false">
      <c r="A18" s="241"/>
      <c r="B18" s="337"/>
      <c r="C18" s="327" t="n">
        <f aca="false">C3</f>
        <v>44656</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1536.3</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4950.3</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SUM(D4:D35)</f>
        <v>0</v>
      </c>
      <c r="E1" s="352" t="n">
        <f aca="false">SUM(E4:E35)/2</f>
        <v>3000</v>
      </c>
      <c r="F1" s="352" t="n">
        <f aca="false">SUM(F4:F35)/2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44292</v>
      </c>
      <c r="B5" s="359" t="n">
        <v>44292</v>
      </c>
      <c r="C5" s="360"/>
      <c r="D5" s="361"/>
      <c r="E5" s="362"/>
      <c r="F5" s="363"/>
    </row>
    <row r="6" customFormat="false" ht="12.75" hidden="false" customHeight="false" outlineLevel="0" collapsed="false">
      <c r="A6" s="364" t="n">
        <v>44293</v>
      </c>
      <c r="B6" s="347" t="n">
        <v>44293</v>
      </c>
      <c r="E6" s="349" t="n">
        <v>200</v>
      </c>
      <c r="F6" s="365"/>
    </row>
    <row r="7" customFormat="false" ht="12.75" hidden="false" customHeight="false" outlineLevel="0" collapsed="false">
      <c r="A7" s="364" t="n">
        <v>44294</v>
      </c>
      <c r="B7" s="347" t="n">
        <v>44294</v>
      </c>
      <c r="E7" s="349" t="n">
        <v>220</v>
      </c>
      <c r="F7" s="365"/>
    </row>
    <row r="8" customFormat="false" ht="12.75" hidden="false" customHeight="false" outlineLevel="0" collapsed="false">
      <c r="A8" s="364" t="n">
        <v>44295</v>
      </c>
      <c r="B8" s="347" t="n">
        <v>44295</v>
      </c>
      <c r="E8" s="349" t="n">
        <v>180</v>
      </c>
      <c r="F8" s="365"/>
    </row>
    <row r="9" customFormat="false" ht="12.75" hidden="false" customHeight="false" outlineLevel="0" collapsed="false">
      <c r="A9" s="364" t="n">
        <v>44296</v>
      </c>
      <c r="B9" s="347" t="n">
        <v>44296</v>
      </c>
      <c r="E9" s="349" t="n">
        <v>210</v>
      </c>
      <c r="F9" s="365"/>
    </row>
    <row r="10" customFormat="false" ht="12.75" hidden="false" customHeight="false" outlineLevel="0" collapsed="false">
      <c r="A10" s="364" t="n">
        <v>44297</v>
      </c>
      <c r="B10" s="347" t="n">
        <v>44297</v>
      </c>
      <c r="E10" s="349" t="n">
        <v>190</v>
      </c>
      <c r="F10" s="365"/>
    </row>
    <row r="11" customFormat="false" ht="12.75" hidden="false" customHeight="false" outlineLevel="0" collapsed="false">
      <c r="A11" s="364" t="n">
        <v>44297</v>
      </c>
      <c r="B11" s="347" t="s">
        <v>241</v>
      </c>
      <c r="F11" s="365"/>
    </row>
    <row r="12" customFormat="false" ht="12.75" hidden="false" customHeight="false" outlineLevel="0" collapsed="false">
      <c r="A12" s="364" t="n">
        <v>44297</v>
      </c>
      <c r="B12" s="347" t="s">
        <v>242</v>
      </c>
      <c r="F12" s="365"/>
    </row>
    <row r="13" customFormat="false" ht="12.75" hidden="false" customHeight="false" outlineLevel="0" collapsed="false">
      <c r="A13" s="366"/>
      <c r="B13" s="367"/>
      <c r="C13" s="368"/>
      <c r="D13" s="369"/>
      <c r="E13" s="370" t="n">
        <f aca="false">SUM(E5:E12)</f>
        <v>1000</v>
      </c>
      <c r="F13" s="371" t="n">
        <f aca="false">SUM(F5:F12)</f>
        <v>0</v>
      </c>
    </row>
    <row r="15" customFormat="false" ht="12.75" hidden="false" customHeight="false" outlineLevel="0" collapsed="false">
      <c r="A15" s="358" t="n">
        <v>44298</v>
      </c>
      <c r="B15" s="359" t="n">
        <v>44298</v>
      </c>
      <c r="C15" s="360"/>
      <c r="D15" s="361"/>
      <c r="E15" s="362"/>
      <c r="F15" s="363"/>
    </row>
    <row r="16" customFormat="false" ht="12.75" hidden="false" customHeight="false" outlineLevel="0" collapsed="false">
      <c r="A16" s="364" t="n">
        <v>44299</v>
      </c>
      <c r="B16" s="347" t="n">
        <v>44299</v>
      </c>
      <c r="F16" s="365"/>
    </row>
    <row r="17" customFormat="false" ht="12.75" hidden="false" customHeight="false" outlineLevel="0" collapsed="false">
      <c r="A17" s="364" t="n">
        <v>44300</v>
      </c>
      <c r="B17" s="347" t="n">
        <v>44300</v>
      </c>
      <c r="E17" s="349" t="n">
        <v>200</v>
      </c>
      <c r="F17" s="365"/>
    </row>
    <row r="18" customFormat="false" ht="12.75" hidden="false" customHeight="false" outlineLevel="0" collapsed="false">
      <c r="A18" s="364" t="n">
        <v>44301</v>
      </c>
      <c r="B18" s="347" t="n">
        <v>44301</v>
      </c>
      <c r="E18" s="349" t="n">
        <v>220</v>
      </c>
      <c r="F18" s="365"/>
    </row>
    <row r="19" customFormat="false" ht="12.75" hidden="false" customHeight="false" outlineLevel="0" collapsed="false">
      <c r="A19" s="364" t="n">
        <v>44302</v>
      </c>
      <c r="B19" s="347" t="n">
        <v>44302</v>
      </c>
      <c r="E19" s="349" t="n">
        <v>180</v>
      </c>
      <c r="F19" s="365"/>
    </row>
    <row r="20" customFormat="false" ht="12.75" hidden="false" customHeight="false" outlineLevel="0" collapsed="false">
      <c r="A20" s="364" t="n">
        <v>44303</v>
      </c>
      <c r="B20" s="347" t="n">
        <v>44303</v>
      </c>
      <c r="E20" s="349" t="n">
        <v>200</v>
      </c>
      <c r="F20" s="365"/>
    </row>
    <row r="21" customFormat="false" ht="12.75" hidden="false" customHeight="false" outlineLevel="0" collapsed="false">
      <c r="A21" s="364" t="n">
        <v>44304</v>
      </c>
      <c r="B21" s="347" t="n">
        <v>44304</v>
      </c>
      <c r="E21" s="349" t="n">
        <v>200</v>
      </c>
      <c r="F21" s="365"/>
    </row>
    <row r="22" customFormat="false" ht="12.75" hidden="false" customHeight="false" outlineLevel="0" collapsed="false">
      <c r="A22" s="364" t="n">
        <v>44304</v>
      </c>
      <c r="B22" s="347" t="s">
        <v>241</v>
      </c>
      <c r="F22" s="365"/>
    </row>
    <row r="23" customFormat="false" ht="12.75" hidden="false" customHeight="false" outlineLevel="0" collapsed="false">
      <c r="A23" s="364" t="n">
        <v>44304</v>
      </c>
      <c r="B23" s="347" t="s">
        <v>242</v>
      </c>
      <c r="F23" s="365"/>
    </row>
    <row r="24" customFormat="false" ht="12.75" hidden="false" customHeight="false" outlineLevel="0" collapsed="false">
      <c r="A24" s="366"/>
      <c r="B24" s="367"/>
      <c r="C24" s="368"/>
      <c r="D24" s="369"/>
      <c r="E24" s="370" t="n">
        <f aca="false">SUM(E15:E23)</f>
        <v>1000</v>
      </c>
      <c r="F24" s="371" t="n">
        <f aca="false">SUM(F15:F23)</f>
        <v>0</v>
      </c>
    </row>
    <row r="26" customFormat="false" ht="12.75" hidden="false" customHeight="false" outlineLevel="0" collapsed="false">
      <c r="A26" s="358" t="n">
        <v>44305</v>
      </c>
      <c r="B26" s="359" t="n">
        <v>44305</v>
      </c>
      <c r="C26" s="360"/>
      <c r="D26" s="361"/>
      <c r="E26" s="362"/>
      <c r="F26" s="363"/>
    </row>
    <row r="27" customFormat="false" ht="12.75" hidden="false" customHeight="false" outlineLevel="0" collapsed="false">
      <c r="A27" s="364" t="n">
        <v>44306</v>
      </c>
      <c r="B27" s="347" t="n">
        <v>44306</v>
      </c>
      <c r="F27" s="365"/>
    </row>
    <row r="28" customFormat="false" ht="12.75" hidden="false" customHeight="false" outlineLevel="0" collapsed="false">
      <c r="A28" s="364" t="n">
        <v>44307</v>
      </c>
      <c r="B28" s="347" t="n">
        <v>44307</v>
      </c>
      <c r="E28" s="349" t="n">
        <v>200</v>
      </c>
      <c r="F28" s="365"/>
    </row>
    <row r="29" customFormat="false" ht="12.75" hidden="false" customHeight="false" outlineLevel="0" collapsed="false">
      <c r="A29" s="364" t="n">
        <v>44308</v>
      </c>
      <c r="B29" s="347" t="n">
        <v>44308</v>
      </c>
      <c r="E29" s="349" t="n">
        <v>200</v>
      </c>
      <c r="F29" s="365"/>
    </row>
    <row r="30" customFormat="false" ht="12.75" hidden="false" customHeight="false" outlineLevel="0" collapsed="false">
      <c r="A30" s="364" t="n">
        <v>44309</v>
      </c>
      <c r="B30" s="347" t="n">
        <v>44309</v>
      </c>
      <c r="E30" s="349" t="n">
        <v>200</v>
      </c>
      <c r="F30" s="365"/>
    </row>
    <row r="31" customFormat="false" ht="12.75" hidden="false" customHeight="false" outlineLevel="0" collapsed="false">
      <c r="A31" s="364" t="n">
        <v>44310</v>
      </c>
      <c r="B31" s="347" t="n">
        <v>44310</v>
      </c>
      <c r="E31" s="349" t="n">
        <v>200</v>
      </c>
      <c r="F31" s="365"/>
    </row>
    <row r="32" customFormat="false" ht="12.75" hidden="false" customHeight="false" outlineLevel="0" collapsed="false">
      <c r="A32" s="364" t="n">
        <v>44311</v>
      </c>
      <c r="B32" s="347" t="n">
        <v>44311</v>
      </c>
      <c r="E32" s="349" t="n">
        <v>200</v>
      </c>
      <c r="F32" s="365"/>
    </row>
    <row r="33" customFormat="false" ht="12.75" hidden="false" customHeight="false" outlineLevel="0" collapsed="false">
      <c r="A33" s="364" t="n">
        <v>44311</v>
      </c>
      <c r="B33" s="347" t="s">
        <v>241</v>
      </c>
      <c r="F33" s="365"/>
    </row>
    <row r="34" customFormat="false" ht="12.75" hidden="false" customHeight="false" outlineLevel="0" collapsed="false">
      <c r="A34" s="364" t="n">
        <v>44311</v>
      </c>
      <c r="B34" s="347" t="s">
        <v>242</v>
      </c>
      <c r="F34" s="365"/>
    </row>
    <row r="35" customFormat="false" ht="12.75" hidden="false" customHeight="false" outlineLevel="0" collapsed="false">
      <c r="A35" s="366"/>
      <c r="B35" s="367"/>
      <c r="C35" s="368"/>
      <c r="D35" s="369"/>
      <c r="E35" s="370" t="n">
        <f aca="false">SUM(E26:E34)</f>
        <v>1000</v>
      </c>
      <c r="F35" s="371" t="n">
        <f aca="false">SUM(F26:F34)</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44312</v>
      </c>
      <c r="B5" s="359" t="n">
        <v>44312</v>
      </c>
      <c r="C5" s="360"/>
      <c r="D5" s="361"/>
      <c r="E5" s="362"/>
      <c r="F5" s="363"/>
    </row>
    <row r="6" customFormat="false" ht="12.75" hidden="false" customHeight="false" outlineLevel="0" collapsed="false">
      <c r="A6" s="364" t="n">
        <v>44313</v>
      </c>
      <c r="B6" s="347" t="n">
        <v>44313</v>
      </c>
      <c r="F6" s="365"/>
    </row>
    <row r="7" customFormat="false" ht="12.75" hidden="false" customHeight="false" outlineLevel="0" collapsed="false">
      <c r="A7" s="364" t="n">
        <v>44314</v>
      </c>
      <c r="B7" s="347" t="n">
        <v>44314</v>
      </c>
      <c r="F7" s="365"/>
    </row>
    <row r="8" customFormat="false" ht="12.75" hidden="false" customHeight="false" outlineLevel="0" collapsed="false">
      <c r="A8" s="364" t="n">
        <v>44315</v>
      </c>
      <c r="B8" s="347" t="n">
        <v>44315</v>
      </c>
      <c r="F8" s="365"/>
    </row>
    <row r="9" customFormat="false" ht="12.75" hidden="false" customHeight="false" outlineLevel="0" collapsed="false">
      <c r="A9" s="364" t="n">
        <v>44316</v>
      </c>
      <c r="B9" s="347" t="n">
        <v>44316</v>
      </c>
      <c r="F9" s="365"/>
    </row>
    <row r="10" customFormat="false" ht="12.75" hidden="false" customHeight="false" outlineLevel="0" collapsed="false">
      <c r="A10" s="364" t="n">
        <v>44317</v>
      </c>
      <c r="B10" s="347" t="n">
        <v>44317</v>
      </c>
      <c r="F10" s="365"/>
    </row>
    <row r="11" customFormat="false" ht="12.75" hidden="false" customHeight="false" outlineLevel="0" collapsed="false">
      <c r="A11" s="364" t="n">
        <v>44318</v>
      </c>
      <c r="B11" s="347" t="n">
        <v>44318</v>
      </c>
      <c r="F11" s="365"/>
    </row>
    <row r="12" customFormat="false" ht="12.75" hidden="false" customHeight="false" outlineLevel="0" collapsed="false">
      <c r="A12" s="364" t="n">
        <v>44318</v>
      </c>
      <c r="B12" s="347" t="s">
        <v>241</v>
      </c>
      <c r="F12" s="365"/>
    </row>
    <row r="13" customFormat="false" ht="12.75" hidden="false" customHeight="false" outlineLevel="0" collapsed="false">
      <c r="A13" s="364" t="n">
        <v>44318</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44319</v>
      </c>
      <c r="B16" s="359" t="n">
        <v>44319</v>
      </c>
      <c r="C16" s="360"/>
      <c r="D16" s="361"/>
      <c r="E16" s="362"/>
      <c r="F16" s="363"/>
    </row>
    <row r="17" customFormat="false" ht="12.75" hidden="false" customHeight="false" outlineLevel="0" collapsed="false">
      <c r="A17" s="364" t="n">
        <v>44320</v>
      </c>
      <c r="B17" s="347" t="n">
        <v>44320</v>
      </c>
      <c r="F17" s="365"/>
    </row>
    <row r="18" customFormat="false" ht="12.75" hidden="false" customHeight="false" outlineLevel="0" collapsed="false">
      <c r="A18" s="364" t="n">
        <v>44321</v>
      </c>
      <c r="B18" s="347" t="n">
        <v>44321</v>
      </c>
      <c r="E18" s="349" t="n">
        <v>200</v>
      </c>
      <c r="F18" s="365"/>
    </row>
    <row r="19" customFormat="false" ht="12.75" hidden="false" customHeight="false" outlineLevel="0" collapsed="false">
      <c r="A19" s="364" t="n">
        <v>44322</v>
      </c>
      <c r="B19" s="347" t="n">
        <v>44322</v>
      </c>
      <c r="E19" s="349" t="n">
        <v>200</v>
      </c>
      <c r="F19" s="365"/>
    </row>
    <row r="20" customFormat="false" ht="12.75" hidden="false" customHeight="false" outlineLevel="0" collapsed="false">
      <c r="A20" s="364" t="n">
        <v>44323</v>
      </c>
      <c r="B20" s="347" t="n">
        <v>44323</v>
      </c>
      <c r="E20" s="349" t="n">
        <v>200</v>
      </c>
      <c r="F20" s="365"/>
    </row>
    <row r="21" customFormat="false" ht="12.75" hidden="false" customHeight="false" outlineLevel="0" collapsed="false">
      <c r="A21" s="364" t="n">
        <v>44324</v>
      </c>
      <c r="B21" s="347" t="n">
        <v>44324</v>
      </c>
      <c r="E21" s="349" t="n">
        <v>200</v>
      </c>
      <c r="F21" s="365"/>
    </row>
    <row r="22" customFormat="false" ht="12.75" hidden="false" customHeight="false" outlineLevel="0" collapsed="false">
      <c r="A22" s="364" t="n">
        <v>44325</v>
      </c>
      <c r="B22" s="347" t="n">
        <v>44325</v>
      </c>
      <c r="E22" s="349" t="n">
        <v>200</v>
      </c>
      <c r="F22" s="365"/>
    </row>
    <row r="23" customFormat="false" ht="12.75" hidden="false" customHeight="false" outlineLevel="0" collapsed="false">
      <c r="A23" s="364" t="n">
        <v>44325</v>
      </c>
      <c r="B23" s="347" t="s">
        <v>241</v>
      </c>
      <c r="F23" s="365"/>
    </row>
    <row r="24" customFormat="false" ht="12.75" hidden="false" customHeight="false" outlineLevel="0" collapsed="false">
      <c r="A24" s="364" t="n">
        <v>44325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44326</v>
      </c>
      <c r="B27" s="359" t="n">
        <v>44326</v>
      </c>
      <c r="C27" s="360"/>
      <c r="D27" s="361"/>
      <c r="E27" s="362"/>
      <c r="F27" s="363"/>
    </row>
    <row r="28" customFormat="false" ht="12.75" hidden="false" customHeight="false" outlineLevel="0" collapsed="false">
      <c r="A28" s="364" t="n">
        <v>44327</v>
      </c>
      <c r="B28" s="347" t="n">
        <v>44327</v>
      </c>
      <c r="F28" s="365"/>
    </row>
    <row r="29" customFormat="false" ht="12.75" hidden="false" customHeight="false" outlineLevel="0" collapsed="false">
      <c r="A29" s="364" t="n">
        <v>44328</v>
      </c>
      <c r="B29" s="347" t="n">
        <v>44328</v>
      </c>
      <c r="E29" s="349" t="n">
        <v>200</v>
      </c>
      <c r="F29" s="365"/>
    </row>
    <row r="30" customFormat="false" ht="12.75" hidden="false" customHeight="false" outlineLevel="0" collapsed="false">
      <c r="A30" s="364" t="n">
        <v>44329</v>
      </c>
      <c r="B30" s="347" t="n">
        <v>44329</v>
      </c>
      <c r="E30" s="349" t="n">
        <v>200</v>
      </c>
      <c r="F30" s="365"/>
    </row>
    <row r="31" customFormat="false" ht="12.75" hidden="false" customHeight="false" outlineLevel="0" collapsed="false">
      <c r="A31" s="364" t="n">
        <v>44330</v>
      </c>
      <c r="B31" s="347" t="n">
        <v>44330</v>
      </c>
      <c r="E31" s="349" t="n">
        <v>200</v>
      </c>
      <c r="F31" s="365"/>
    </row>
    <row r="32" customFormat="false" ht="12.75" hidden="false" customHeight="false" outlineLevel="0" collapsed="false">
      <c r="A32" s="364" t="n">
        <v>44331</v>
      </c>
      <c r="B32" s="347" t="n">
        <v>44331</v>
      </c>
      <c r="E32" s="349" t="n">
        <v>200</v>
      </c>
      <c r="F32" s="365"/>
    </row>
    <row r="33" customFormat="false" ht="12.75" hidden="false" customHeight="false" outlineLevel="0" collapsed="false">
      <c r="A33" s="364" t="n">
        <v>44332</v>
      </c>
      <c r="B33" s="347" t="n">
        <v>44332</v>
      </c>
      <c r="E33" s="349" t="n">
        <v>200</v>
      </c>
      <c r="F33" s="365"/>
    </row>
    <row r="34" customFormat="false" ht="12.75" hidden="false" customHeight="false" outlineLevel="0" collapsed="false">
      <c r="A34" s="364" t="n">
        <v>44332</v>
      </c>
      <c r="B34" s="347" t="s">
        <v>241</v>
      </c>
      <c r="F34" s="365"/>
    </row>
    <row r="35" customFormat="false" ht="12.75" hidden="false" customHeight="false" outlineLevel="0" collapsed="false">
      <c r="A35" s="364" t="n">
        <v>44332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44333</v>
      </c>
      <c r="B38" s="359" t="n">
        <v>44333</v>
      </c>
      <c r="C38" s="360"/>
      <c r="D38" s="361"/>
      <c r="E38" s="362"/>
      <c r="F38" s="363"/>
    </row>
    <row r="39" customFormat="false" ht="12.75" hidden="false" customHeight="false" outlineLevel="0" collapsed="false">
      <c r="A39" s="364" t="n">
        <v>44334</v>
      </c>
      <c r="B39" s="347" t="n">
        <v>44334</v>
      </c>
      <c r="F39" s="365"/>
    </row>
    <row r="40" customFormat="false" ht="12.75" hidden="false" customHeight="false" outlineLevel="0" collapsed="false">
      <c r="A40" s="364" t="n">
        <v>44335</v>
      </c>
      <c r="B40" s="347" t="n">
        <v>44335</v>
      </c>
      <c r="E40" s="349" t="n">
        <v>200</v>
      </c>
      <c r="F40" s="365"/>
    </row>
    <row r="41" customFormat="false" ht="12.75" hidden="false" customHeight="false" outlineLevel="0" collapsed="false">
      <c r="A41" s="364" t="n">
        <v>44336</v>
      </c>
      <c r="B41" s="347" t="n">
        <v>44336</v>
      </c>
      <c r="E41" s="349" t="n">
        <v>200</v>
      </c>
      <c r="F41" s="365"/>
    </row>
    <row r="42" customFormat="false" ht="12.75" hidden="false" customHeight="false" outlineLevel="0" collapsed="false">
      <c r="A42" s="364" t="n">
        <v>44337</v>
      </c>
      <c r="B42" s="347" t="n">
        <v>44337</v>
      </c>
      <c r="E42" s="349" t="n">
        <v>200</v>
      </c>
      <c r="F42" s="365"/>
    </row>
    <row r="43" customFormat="false" ht="12.75" hidden="false" customHeight="false" outlineLevel="0" collapsed="false">
      <c r="A43" s="364" t="n">
        <v>44338</v>
      </c>
      <c r="B43" s="347" t="n">
        <v>44338</v>
      </c>
      <c r="E43" s="349" t="n">
        <v>200</v>
      </c>
      <c r="F43" s="365"/>
    </row>
    <row r="44" customFormat="false" ht="12.75" hidden="false" customHeight="false" outlineLevel="0" collapsed="false">
      <c r="A44" s="364" t="n">
        <v>44339</v>
      </c>
      <c r="B44" s="347" t="n">
        <v>44339</v>
      </c>
      <c r="E44" s="349" t="n">
        <v>200</v>
      </c>
      <c r="F44" s="365"/>
    </row>
    <row r="45" customFormat="false" ht="12.75" hidden="false" customHeight="false" outlineLevel="0" collapsed="false">
      <c r="A45" s="364" t="n">
        <v>44339</v>
      </c>
      <c r="B45" s="347" t="s">
        <v>241</v>
      </c>
      <c r="F45" s="365"/>
    </row>
    <row r="46" customFormat="false" ht="12.75" hidden="false" customHeight="false" outlineLevel="0" collapsed="false">
      <c r="A46" s="364" t="n">
        <v>44339</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44340</v>
      </c>
      <c r="B49" s="359" t="n">
        <v>44340</v>
      </c>
      <c r="C49" s="360"/>
      <c r="D49" s="361"/>
      <c r="E49" s="362"/>
      <c r="F49" s="363"/>
    </row>
    <row r="50" customFormat="false" ht="12.75" hidden="false" customHeight="false" outlineLevel="0" collapsed="false">
      <c r="A50" s="364" t="n">
        <v>44341</v>
      </c>
      <c r="B50" s="347" t="n">
        <v>44341</v>
      </c>
      <c r="F50" s="365"/>
    </row>
    <row r="51" customFormat="false" ht="12.75" hidden="false" customHeight="false" outlineLevel="0" collapsed="false">
      <c r="A51" s="364" t="n">
        <v>44342</v>
      </c>
      <c r="B51" s="347" t="n">
        <v>44342</v>
      </c>
      <c r="F51" s="365"/>
    </row>
    <row r="52" customFormat="false" ht="12.75" hidden="false" customHeight="false" outlineLevel="0" collapsed="false">
      <c r="A52" s="364" t="n">
        <v>44343</v>
      </c>
      <c r="B52" s="347" t="n">
        <v>44343</v>
      </c>
      <c r="F52" s="365"/>
    </row>
    <row r="53" customFormat="false" ht="12.75" hidden="false" customHeight="false" outlineLevel="0" collapsed="false">
      <c r="A53" s="364" t="n">
        <v>44344</v>
      </c>
      <c r="B53" s="347" t="n">
        <v>44344</v>
      </c>
      <c r="F53" s="365"/>
    </row>
    <row r="54" customFormat="false" ht="12.75" hidden="false" customHeight="false" outlineLevel="0" collapsed="false">
      <c r="A54" s="364" t="n">
        <v>44345</v>
      </c>
      <c r="B54" s="347" t="n">
        <v>44345</v>
      </c>
      <c r="F54" s="365"/>
    </row>
    <row r="55" customFormat="false" ht="12.75" hidden="false" customHeight="false" outlineLevel="0" collapsed="false">
      <c r="A55" s="364" t="n">
        <v>44346</v>
      </c>
      <c r="B55" s="347" t="n">
        <v>44346</v>
      </c>
      <c r="F55" s="365"/>
    </row>
    <row r="56" customFormat="false" ht="12.75" hidden="false" customHeight="false" outlineLevel="0" collapsed="false">
      <c r="A56" s="364" t="n">
        <v>44346</v>
      </c>
      <c r="B56" s="347" t="s">
        <v>241</v>
      </c>
      <c r="F56" s="365"/>
    </row>
    <row r="57" customFormat="false" ht="12.75" hidden="false" customHeight="false" outlineLevel="0" collapsed="false">
      <c r="A57" s="364" t="n">
        <v>44346</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44347</v>
      </c>
      <c r="B5" s="359" t="n">
        <v>44347</v>
      </c>
      <c r="C5" s="360"/>
      <c r="D5" s="361"/>
      <c r="E5" s="362"/>
      <c r="F5" s="363"/>
    </row>
    <row r="6" customFormat="false" ht="12.75" hidden="false" customHeight="false" outlineLevel="0" collapsed="false">
      <c r="A6" s="364" t="n">
        <v>44348</v>
      </c>
      <c r="B6" s="347" t="n">
        <v>44348</v>
      </c>
      <c r="F6" s="365"/>
    </row>
    <row r="7" customFormat="false" ht="12.75" hidden="false" customHeight="false" outlineLevel="0" collapsed="false">
      <c r="A7" s="364" t="n">
        <v>44349</v>
      </c>
      <c r="B7" s="347" t="n">
        <v>44349</v>
      </c>
      <c r="E7" s="349" t="n">
        <v>200</v>
      </c>
      <c r="F7" s="365"/>
    </row>
    <row r="8" customFormat="false" ht="12.75" hidden="false" customHeight="false" outlineLevel="0" collapsed="false">
      <c r="A8" s="364" t="n">
        <v>44350</v>
      </c>
      <c r="B8" s="347" t="n">
        <v>44350</v>
      </c>
      <c r="E8" s="349" t="n">
        <v>200</v>
      </c>
      <c r="F8" s="365"/>
    </row>
    <row r="9" customFormat="false" ht="12.75" hidden="false" customHeight="false" outlineLevel="0" collapsed="false">
      <c r="A9" s="364" t="n">
        <v>44351</v>
      </c>
      <c r="B9" s="347" t="n">
        <v>44351</v>
      </c>
      <c r="E9" s="349" t="n">
        <v>200</v>
      </c>
      <c r="F9" s="365"/>
    </row>
    <row r="10" customFormat="false" ht="12.75" hidden="false" customHeight="false" outlineLevel="0" collapsed="false">
      <c r="A10" s="364" t="n">
        <v>44352</v>
      </c>
      <c r="B10" s="347" t="n">
        <v>44352</v>
      </c>
      <c r="E10" s="349" t="n">
        <v>200</v>
      </c>
      <c r="F10" s="365"/>
    </row>
    <row r="11" customFormat="false" ht="12.75" hidden="false" customHeight="false" outlineLevel="0" collapsed="false">
      <c r="A11" s="364" t="n">
        <v>44353</v>
      </c>
      <c r="B11" s="347" t="n">
        <v>44353</v>
      </c>
      <c r="E11" s="349" t="n">
        <v>200</v>
      </c>
      <c r="F11" s="365"/>
    </row>
    <row r="12" customFormat="false" ht="12.75" hidden="false" customHeight="false" outlineLevel="0" collapsed="false">
      <c r="A12" s="364" t="n">
        <v>44353</v>
      </c>
      <c r="B12" s="347" t="s">
        <v>241</v>
      </c>
      <c r="F12" s="365"/>
    </row>
    <row r="13" customFormat="false" ht="12.75" hidden="false" customHeight="false" outlineLevel="0" collapsed="false">
      <c r="A13" s="364" t="n">
        <v>44353</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44354</v>
      </c>
      <c r="B16" s="359" t="n">
        <v>44354</v>
      </c>
      <c r="C16" s="360"/>
      <c r="D16" s="361"/>
      <c r="E16" s="362"/>
      <c r="F16" s="363"/>
    </row>
    <row r="17" customFormat="false" ht="12.75" hidden="false" customHeight="false" outlineLevel="0" collapsed="false">
      <c r="A17" s="364" t="n">
        <v>44355</v>
      </c>
      <c r="B17" s="347" t="n">
        <v>44355</v>
      </c>
      <c r="F17" s="365"/>
    </row>
    <row r="18" customFormat="false" ht="12.75" hidden="false" customHeight="false" outlineLevel="0" collapsed="false">
      <c r="A18" s="364" t="n">
        <v>44356</v>
      </c>
      <c r="B18" s="347" t="n">
        <v>44356</v>
      </c>
      <c r="E18" s="349" t="n">
        <v>200</v>
      </c>
      <c r="F18" s="365"/>
    </row>
    <row r="19" customFormat="false" ht="12.75" hidden="false" customHeight="false" outlineLevel="0" collapsed="false">
      <c r="A19" s="364" t="n">
        <v>44357</v>
      </c>
      <c r="B19" s="347" t="n">
        <v>44357</v>
      </c>
      <c r="E19" s="349" t="n">
        <v>200</v>
      </c>
      <c r="F19" s="365"/>
    </row>
    <row r="20" customFormat="false" ht="12.75" hidden="false" customHeight="false" outlineLevel="0" collapsed="false">
      <c r="A20" s="364" t="n">
        <v>44358</v>
      </c>
      <c r="B20" s="347" t="n">
        <v>44358</v>
      </c>
      <c r="E20" s="349" t="n">
        <v>200</v>
      </c>
      <c r="F20" s="365"/>
    </row>
    <row r="21" customFormat="false" ht="12.75" hidden="false" customHeight="false" outlineLevel="0" collapsed="false">
      <c r="A21" s="364" t="n">
        <v>44359</v>
      </c>
      <c r="B21" s="347" t="n">
        <v>44359</v>
      </c>
      <c r="E21" s="349" t="n">
        <v>200</v>
      </c>
      <c r="F21" s="365"/>
    </row>
    <row r="22" customFormat="false" ht="12.75" hidden="false" customHeight="false" outlineLevel="0" collapsed="false">
      <c r="A22" s="364" t="n">
        <v>44360</v>
      </c>
      <c r="B22" s="347" t="n">
        <v>44360</v>
      </c>
      <c r="E22" s="349" t="n">
        <v>200</v>
      </c>
      <c r="F22" s="365"/>
    </row>
    <row r="23" customFormat="false" ht="12.75" hidden="false" customHeight="false" outlineLevel="0" collapsed="false">
      <c r="A23" s="364" t="n">
        <v>44360</v>
      </c>
      <c r="B23" s="347" t="s">
        <v>241</v>
      </c>
      <c r="F23" s="365"/>
    </row>
    <row r="24" customFormat="false" ht="12.75" hidden="false" customHeight="false" outlineLevel="0" collapsed="false">
      <c r="A24" s="364" t="n">
        <v>44360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44361</v>
      </c>
      <c r="B27" s="359" t="n">
        <v>44361</v>
      </c>
      <c r="C27" s="360"/>
      <c r="D27" s="361"/>
      <c r="E27" s="362"/>
      <c r="F27" s="363"/>
    </row>
    <row r="28" customFormat="false" ht="12.75" hidden="false" customHeight="false" outlineLevel="0" collapsed="false">
      <c r="A28" s="364" t="n">
        <v>44362</v>
      </c>
      <c r="B28" s="347" t="n">
        <v>44362</v>
      </c>
      <c r="F28" s="365"/>
    </row>
    <row r="29" customFormat="false" ht="12.75" hidden="false" customHeight="false" outlineLevel="0" collapsed="false">
      <c r="A29" s="364" t="n">
        <v>44363</v>
      </c>
      <c r="B29" s="347" t="n">
        <v>44363</v>
      </c>
      <c r="E29" s="349" t="n">
        <v>200</v>
      </c>
      <c r="F29" s="365"/>
    </row>
    <row r="30" customFormat="false" ht="12.75" hidden="false" customHeight="false" outlineLevel="0" collapsed="false">
      <c r="A30" s="364" t="n">
        <v>44364</v>
      </c>
      <c r="B30" s="347" t="n">
        <v>44364</v>
      </c>
      <c r="E30" s="349" t="n">
        <v>200</v>
      </c>
      <c r="F30" s="365"/>
    </row>
    <row r="31" customFormat="false" ht="12.75" hidden="false" customHeight="false" outlineLevel="0" collapsed="false">
      <c r="A31" s="364" t="n">
        <v>44365</v>
      </c>
      <c r="B31" s="347" t="n">
        <v>44365</v>
      </c>
      <c r="E31" s="349" t="n">
        <v>200</v>
      </c>
      <c r="F31" s="365"/>
    </row>
    <row r="32" customFormat="false" ht="12.75" hidden="false" customHeight="false" outlineLevel="0" collapsed="false">
      <c r="A32" s="364" t="n">
        <v>44366</v>
      </c>
      <c r="B32" s="347" t="n">
        <v>44366</v>
      </c>
      <c r="E32" s="349" t="n">
        <v>200</v>
      </c>
      <c r="F32" s="365"/>
    </row>
    <row r="33" customFormat="false" ht="12.75" hidden="false" customHeight="false" outlineLevel="0" collapsed="false">
      <c r="A33" s="364" t="n">
        <v>44367</v>
      </c>
      <c r="B33" s="347" t="n">
        <v>44367</v>
      </c>
      <c r="E33" s="349" t="n">
        <v>200</v>
      </c>
      <c r="F33" s="365"/>
    </row>
    <row r="34" customFormat="false" ht="12.75" hidden="false" customHeight="false" outlineLevel="0" collapsed="false">
      <c r="A34" s="364" t="n">
        <v>44367</v>
      </c>
      <c r="B34" s="347" t="s">
        <v>241</v>
      </c>
      <c r="F34" s="365"/>
    </row>
    <row r="35" customFormat="false" ht="12.75" hidden="false" customHeight="false" outlineLevel="0" collapsed="false">
      <c r="A35" s="364" t="n">
        <v>44367</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44368</v>
      </c>
      <c r="B38" s="359" t="n">
        <v>44368</v>
      </c>
      <c r="C38" s="360"/>
      <c r="D38" s="361"/>
      <c r="E38" s="362"/>
      <c r="F38" s="363"/>
    </row>
    <row r="39" customFormat="false" ht="12.75" hidden="false" customHeight="false" outlineLevel="0" collapsed="false">
      <c r="A39" s="364" t="n">
        <v>44369</v>
      </c>
      <c r="B39" s="347" t="n">
        <v>44369</v>
      </c>
      <c r="F39" s="365"/>
    </row>
    <row r="40" customFormat="false" ht="12.75" hidden="false" customHeight="false" outlineLevel="0" collapsed="false">
      <c r="A40" s="364" t="n">
        <v>44370</v>
      </c>
      <c r="B40" s="347" t="n">
        <v>44370</v>
      </c>
      <c r="F40" s="365"/>
    </row>
    <row r="41" customFormat="false" ht="12.75" hidden="false" customHeight="false" outlineLevel="0" collapsed="false">
      <c r="A41" s="364" t="n">
        <v>44371</v>
      </c>
      <c r="B41" s="347" t="n">
        <v>44371</v>
      </c>
      <c r="F41" s="365"/>
    </row>
    <row r="42" customFormat="false" ht="12.75" hidden="false" customHeight="false" outlineLevel="0" collapsed="false">
      <c r="A42" s="364" t="n">
        <v>44372</v>
      </c>
      <c r="B42" s="347" t="n">
        <v>44372</v>
      </c>
      <c r="F42" s="365"/>
    </row>
    <row r="43" customFormat="false" ht="12.75" hidden="false" customHeight="false" outlineLevel="0" collapsed="false">
      <c r="A43" s="364" t="n">
        <v>44373</v>
      </c>
      <c r="B43" s="347" t="n">
        <v>44373</v>
      </c>
      <c r="F43" s="365"/>
    </row>
    <row r="44" customFormat="false" ht="12.75" hidden="false" customHeight="false" outlineLevel="0" collapsed="false">
      <c r="A44" s="364" t="n">
        <v>44374</v>
      </c>
      <c r="B44" s="347" t="n">
        <v>44374</v>
      </c>
      <c r="F44" s="365"/>
    </row>
    <row r="45" customFormat="false" ht="12.75" hidden="false" customHeight="false" outlineLevel="0" collapsed="false">
      <c r="A45" s="364" t="n">
        <v>44374</v>
      </c>
      <c r="B45" s="347" t="s">
        <v>241</v>
      </c>
      <c r="F45" s="365"/>
    </row>
    <row r="46" customFormat="false" ht="12.75" hidden="false" customHeight="false" outlineLevel="0" collapsed="false">
      <c r="A46" s="364" t="n">
        <v>44374</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44375</v>
      </c>
      <c r="B5" s="359" t="n">
        <v>44375</v>
      </c>
      <c r="C5" s="360"/>
      <c r="D5" s="361"/>
      <c r="E5" s="362"/>
      <c r="F5" s="363"/>
    </row>
    <row r="6" customFormat="false" ht="12.75" hidden="false" customHeight="false" outlineLevel="0" collapsed="false">
      <c r="A6" s="364" t="n">
        <v>44376</v>
      </c>
      <c r="B6" s="347" t="n">
        <v>44376</v>
      </c>
      <c r="F6" s="365"/>
    </row>
    <row r="7" customFormat="false" ht="12.75" hidden="false" customHeight="false" outlineLevel="0" collapsed="false">
      <c r="A7" s="364" t="n">
        <v>44377</v>
      </c>
      <c r="B7" s="347" t="n">
        <v>44377</v>
      </c>
      <c r="F7" s="365"/>
    </row>
    <row r="8" customFormat="false" ht="12.75" hidden="false" customHeight="false" outlineLevel="0" collapsed="false">
      <c r="A8" s="364" t="n">
        <v>44378</v>
      </c>
      <c r="B8" s="347" t="n">
        <v>44378</v>
      </c>
      <c r="F8" s="365"/>
    </row>
    <row r="9" customFormat="false" ht="12.75" hidden="false" customHeight="false" outlineLevel="0" collapsed="false">
      <c r="A9" s="364" t="n">
        <v>44379</v>
      </c>
      <c r="B9" s="347" t="n">
        <v>44379</v>
      </c>
      <c r="F9" s="365"/>
    </row>
    <row r="10" customFormat="false" ht="12.75" hidden="false" customHeight="false" outlineLevel="0" collapsed="false">
      <c r="A10" s="364" t="n">
        <v>44380</v>
      </c>
      <c r="B10" s="347" t="n">
        <v>44380</v>
      </c>
      <c r="F10" s="365"/>
    </row>
    <row r="11" customFormat="false" ht="12.75" hidden="false" customHeight="false" outlineLevel="0" collapsed="false">
      <c r="A11" s="364" t="n">
        <v>44381</v>
      </c>
      <c r="B11" s="347" t="n">
        <v>44381</v>
      </c>
      <c r="F11" s="365"/>
    </row>
    <row r="12" customFormat="false" ht="12.75" hidden="false" customHeight="false" outlineLevel="0" collapsed="false">
      <c r="A12" s="364" t="n">
        <v>44381</v>
      </c>
      <c r="B12" s="347" t="s">
        <v>241</v>
      </c>
      <c r="F12" s="365"/>
    </row>
    <row r="13" customFormat="false" ht="12.75" hidden="false" customHeight="false" outlineLevel="0" collapsed="false">
      <c r="A13" s="364" t="n">
        <v>44381</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44382</v>
      </c>
      <c r="B16" s="359" t="n">
        <v>44382</v>
      </c>
      <c r="C16" s="360"/>
      <c r="D16" s="361"/>
      <c r="E16" s="362"/>
      <c r="F16" s="363"/>
    </row>
    <row r="17" customFormat="false" ht="12.75" hidden="false" customHeight="false" outlineLevel="0" collapsed="false">
      <c r="A17" s="364" t="n">
        <v>44383</v>
      </c>
      <c r="B17" s="347" t="n">
        <v>44383</v>
      </c>
      <c r="F17" s="365"/>
    </row>
    <row r="18" customFormat="false" ht="12.75" hidden="false" customHeight="false" outlineLevel="0" collapsed="false">
      <c r="A18" s="364" t="n">
        <v>44384</v>
      </c>
      <c r="B18" s="347" t="n">
        <v>44384</v>
      </c>
      <c r="E18" s="349" t="n">
        <v>200</v>
      </c>
      <c r="F18" s="365"/>
    </row>
    <row r="19" customFormat="false" ht="12.75" hidden="false" customHeight="false" outlineLevel="0" collapsed="false">
      <c r="A19" s="364" t="n">
        <v>44385</v>
      </c>
      <c r="B19" s="347" t="n">
        <v>44385</v>
      </c>
      <c r="E19" s="349" t="n">
        <v>200</v>
      </c>
      <c r="F19" s="365"/>
    </row>
    <row r="20" customFormat="false" ht="12.75" hidden="false" customHeight="false" outlineLevel="0" collapsed="false">
      <c r="A20" s="364" t="n">
        <v>44386</v>
      </c>
      <c r="B20" s="347" t="n">
        <v>44386</v>
      </c>
      <c r="E20" s="349" t="n">
        <v>200</v>
      </c>
      <c r="F20" s="365"/>
    </row>
    <row r="21" customFormat="false" ht="12.75" hidden="false" customHeight="false" outlineLevel="0" collapsed="false">
      <c r="A21" s="364" t="n">
        <v>44387</v>
      </c>
      <c r="B21" s="347" t="n">
        <v>44387</v>
      </c>
      <c r="E21" s="349" t="n">
        <v>200</v>
      </c>
      <c r="F21" s="365"/>
    </row>
    <row r="22" customFormat="false" ht="12.75" hidden="false" customHeight="false" outlineLevel="0" collapsed="false">
      <c r="A22" s="364" t="n">
        <v>44388</v>
      </c>
      <c r="B22" s="347" t="n">
        <v>44388</v>
      </c>
      <c r="E22" s="349" t="n">
        <v>200</v>
      </c>
      <c r="F22" s="365"/>
    </row>
    <row r="23" customFormat="false" ht="12.75" hidden="false" customHeight="false" outlineLevel="0" collapsed="false">
      <c r="A23" s="364" t="n">
        <v>44388</v>
      </c>
      <c r="B23" s="347" t="s">
        <v>241</v>
      </c>
      <c r="F23" s="365"/>
    </row>
    <row r="24" customFormat="false" ht="12.75" hidden="false" customHeight="false" outlineLevel="0" collapsed="false">
      <c r="A24" s="364" t="n">
        <v>44388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44389</v>
      </c>
      <c r="B27" s="359" t="n">
        <v>44389</v>
      </c>
      <c r="C27" s="360"/>
      <c r="D27" s="361"/>
      <c r="E27" s="362"/>
      <c r="F27" s="363"/>
    </row>
    <row r="28" customFormat="false" ht="12.75" hidden="false" customHeight="false" outlineLevel="0" collapsed="false">
      <c r="A28" s="364" t="n">
        <v>44390</v>
      </c>
      <c r="B28" s="347" t="n">
        <v>44390</v>
      </c>
      <c r="F28" s="365"/>
    </row>
    <row r="29" customFormat="false" ht="12.75" hidden="false" customHeight="false" outlineLevel="0" collapsed="false">
      <c r="A29" s="364" t="n">
        <v>44391</v>
      </c>
      <c r="B29" s="347" t="n">
        <v>44391</v>
      </c>
      <c r="E29" s="349" t="n">
        <v>200</v>
      </c>
      <c r="F29" s="365"/>
    </row>
    <row r="30" customFormat="false" ht="12.75" hidden="false" customHeight="false" outlineLevel="0" collapsed="false">
      <c r="A30" s="364" t="n">
        <v>44392</v>
      </c>
      <c r="B30" s="347" t="n">
        <v>44392</v>
      </c>
      <c r="E30" s="349" t="n">
        <v>200</v>
      </c>
      <c r="F30" s="365"/>
    </row>
    <row r="31" customFormat="false" ht="12.75" hidden="false" customHeight="false" outlineLevel="0" collapsed="false">
      <c r="A31" s="364" t="n">
        <v>44393</v>
      </c>
      <c r="B31" s="347" t="n">
        <v>44393</v>
      </c>
      <c r="E31" s="349" t="n">
        <v>200</v>
      </c>
      <c r="F31" s="365"/>
    </row>
    <row r="32" customFormat="false" ht="12.75" hidden="false" customHeight="false" outlineLevel="0" collapsed="false">
      <c r="A32" s="364" t="n">
        <v>44394</v>
      </c>
      <c r="B32" s="347" t="n">
        <v>44394</v>
      </c>
      <c r="E32" s="349" t="n">
        <v>200</v>
      </c>
      <c r="F32" s="365"/>
    </row>
    <row r="33" customFormat="false" ht="12.75" hidden="false" customHeight="false" outlineLevel="0" collapsed="false">
      <c r="A33" s="364" t="n">
        <v>44395</v>
      </c>
      <c r="B33" s="347" t="n">
        <v>44395</v>
      </c>
      <c r="E33" s="349" t="n">
        <v>200</v>
      </c>
      <c r="F33" s="365"/>
    </row>
    <row r="34" customFormat="false" ht="12.75" hidden="false" customHeight="false" outlineLevel="0" collapsed="false">
      <c r="A34" s="364" t="n">
        <v>44395</v>
      </c>
      <c r="B34" s="347" t="s">
        <v>241</v>
      </c>
      <c r="F34" s="365"/>
    </row>
    <row r="35" customFormat="false" ht="12.75" hidden="false" customHeight="false" outlineLevel="0" collapsed="false">
      <c r="A35" s="364" t="n">
        <v>44395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44396</v>
      </c>
      <c r="B38" s="359" t="n">
        <v>44396</v>
      </c>
      <c r="C38" s="360"/>
      <c r="D38" s="361"/>
      <c r="E38" s="362"/>
      <c r="F38" s="363"/>
    </row>
    <row r="39" customFormat="false" ht="12.75" hidden="false" customHeight="false" outlineLevel="0" collapsed="false">
      <c r="A39" s="364" t="n">
        <v>44397</v>
      </c>
      <c r="B39" s="347" t="n">
        <v>44397</v>
      </c>
      <c r="F39" s="365"/>
    </row>
    <row r="40" customFormat="false" ht="12.75" hidden="false" customHeight="false" outlineLevel="0" collapsed="false">
      <c r="A40" s="364" t="n">
        <v>44398</v>
      </c>
      <c r="B40" s="347" t="n">
        <v>44398</v>
      </c>
      <c r="E40" s="349" t="n">
        <v>200</v>
      </c>
      <c r="F40" s="365"/>
    </row>
    <row r="41" customFormat="false" ht="12.75" hidden="false" customHeight="false" outlineLevel="0" collapsed="false">
      <c r="A41" s="364" t="n">
        <v>44399</v>
      </c>
      <c r="B41" s="347" t="n">
        <v>44399</v>
      </c>
      <c r="E41" s="349" t="n">
        <v>200</v>
      </c>
      <c r="F41" s="365"/>
    </row>
    <row r="42" customFormat="false" ht="12.75" hidden="false" customHeight="false" outlineLevel="0" collapsed="false">
      <c r="A42" s="364" t="n">
        <v>44400</v>
      </c>
      <c r="B42" s="347" t="n">
        <v>44400</v>
      </c>
      <c r="E42" s="349" t="n">
        <v>200</v>
      </c>
      <c r="F42" s="365"/>
    </row>
    <row r="43" customFormat="false" ht="12.75" hidden="false" customHeight="false" outlineLevel="0" collapsed="false">
      <c r="A43" s="364" t="n">
        <v>44401</v>
      </c>
      <c r="B43" s="347" t="n">
        <v>44401</v>
      </c>
      <c r="E43" s="349" t="n">
        <v>200</v>
      </c>
      <c r="F43" s="365"/>
    </row>
    <row r="44" customFormat="false" ht="12.75" hidden="false" customHeight="false" outlineLevel="0" collapsed="false">
      <c r="A44" s="364" t="n">
        <v>44402</v>
      </c>
      <c r="B44" s="347" t="n">
        <v>44402</v>
      </c>
      <c r="E44" s="349" t="n">
        <v>200</v>
      </c>
      <c r="F44" s="365"/>
    </row>
    <row r="45" customFormat="false" ht="12.75" hidden="false" customHeight="false" outlineLevel="0" collapsed="false">
      <c r="A45" s="364" t="n">
        <v>44402</v>
      </c>
      <c r="B45" s="347" t="s">
        <v>241</v>
      </c>
      <c r="F45" s="365"/>
    </row>
    <row r="46" customFormat="false" ht="12.75" hidden="false" customHeight="false" outlineLevel="0" collapsed="false">
      <c r="A46" s="364" t="n">
        <v>44402</v>
      </c>
      <c r="B46" s="347" t="s">
        <v>242</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44403</v>
      </c>
      <c r="B5" s="359" t="n">
        <v>44403</v>
      </c>
      <c r="C5" s="360"/>
      <c r="D5" s="361"/>
      <c r="E5" s="362"/>
      <c r="F5" s="363"/>
    </row>
    <row r="6" customFormat="false" ht="12.75" hidden="false" customHeight="false" outlineLevel="0" collapsed="false">
      <c r="A6" s="364" t="n">
        <v>44404</v>
      </c>
      <c r="B6" s="347" t="n">
        <v>44404</v>
      </c>
      <c r="F6" s="365"/>
    </row>
    <row r="7" customFormat="false" ht="12.75" hidden="false" customHeight="false" outlineLevel="0" collapsed="false">
      <c r="A7" s="364" t="n">
        <v>44405</v>
      </c>
      <c r="B7" s="347" t="n">
        <v>44405</v>
      </c>
      <c r="F7" s="365"/>
    </row>
    <row r="8" customFormat="false" ht="12.75" hidden="false" customHeight="false" outlineLevel="0" collapsed="false">
      <c r="A8" s="364" t="n">
        <v>44406</v>
      </c>
      <c r="B8" s="347" t="n">
        <v>44406</v>
      </c>
      <c r="F8" s="365"/>
    </row>
    <row r="9" customFormat="false" ht="12.75" hidden="false" customHeight="false" outlineLevel="0" collapsed="false">
      <c r="A9" s="364" t="n">
        <v>44407</v>
      </c>
      <c r="B9" s="347" t="n">
        <v>44407</v>
      </c>
      <c r="F9" s="365"/>
    </row>
    <row r="10" customFormat="false" ht="12.75" hidden="false" customHeight="false" outlineLevel="0" collapsed="false">
      <c r="A10" s="364" t="n">
        <v>44408</v>
      </c>
      <c r="B10" s="347" t="n">
        <v>44408</v>
      </c>
      <c r="F10" s="365"/>
    </row>
    <row r="11" customFormat="false" ht="12.75" hidden="false" customHeight="false" outlineLevel="0" collapsed="false">
      <c r="A11" s="364" t="n">
        <v>44409</v>
      </c>
      <c r="B11" s="347" t="n">
        <v>44409</v>
      </c>
      <c r="F11" s="365"/>
    </row>
    <row r="12" customFormat="false" ht="12.75" hidden="false" customHeight="false" outlineLevel="0" collapsed="false">
      <c r="A12" s="364" t="n">
        <v>44409</v>
      </c>
      <c r="B12" s="347" t="s">
        <v>241</v>
      </c>
      <c r="F12" s="365"/>
    </row>
    <row r="13" customFormat="false" ht="12.75" hidden="false" customHeight="false" outlineLevel="0" collapsed="false">
      <c r="A13" s="364" t="n">
        <v>44409</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44410</v>
      </c>
      <c r="B16" s="359" t="n">
        <v>44410</v>
      </c>
      <c r="C16" s="360"/>
      <c r="D16" s="361"/>
      <c r="E16" s="362"/>
      <c r="F16" s="363"/>
    </row>
    <row r="17" customFormat="false" ht="12.75" hidden="false" customHeight="false" outlineLevel="0" collapsed="false">
      <c r="A17" s="364" t="n">
        <v>44411</v>
      </c>
      <c r="B17" s="347" t="n">
        <v>44411</v>
      </c>
      <c r="F17" s="365"/>
    </row>
    <row r="18" customFormat="false" ht="12.75" hidden="false" customHeight="false" outlineLevel="0" collapsed="false">
      <c r="A18" s="364" t="n">
        <v>44412</v>
      </c>
      <c r="B18" s="347" t="n">
        <v>44412</v>
      </c>
      <c r="E18" s="349" t="n">
        <v>200</v>
      </c>
      <c r="F18" s="365"/>
    </row>
    <row r="19" customFormat="false" ht="12.75" hidden="false" customHeight="false" outlineLevel="0" collapsed="false">
      <c r="A19" s="364" t="n">
        <v>44413</v>
      </c>
      <c r="B19" s="347" t="n">
        <v>44413</v>
      </c>
      <c r="E19" s="349" t="n">
        <v>200</v>
      </c>
      <c r="F19" s="365"/>
    </row>
    <row r="20" customFormat="false" ht="12.75" hidden="false" customHeight="false" outlineLevel="0" collapsed="false">
      <c r="A20" s="364" t="n">
        <v>44414</v>
      </c>
      <c r="B20" s="347" t="n">
        <v>44414</v>
      </c>
      <c r="E20" s="349" t="n">
        <v>200</v>
      </c>
      <c r="F20" s="365"/>
    </row>
    <row r="21" customFormat="false" ht="12.75" hidden="false" customHeight="false" outlineLevel="0" collapsed="false">
      <c r="A21" s="364" t="n">
        <v>44415</v>
      </c>
      <c r="B21" s="347" t="n">
        <v>44415</v>
      </c>
      <c r="E21" s="349" t="n">
        <v>200</v>
      </c>
      <c r="F21" s="365"/>
    </row>
    <row r="22" customFormat="false" ht="12.75" hidden="false" customHeight="false" outlineLevel="0" collapsed="false">
      <c r="A22" s="364" t="n">
        <v>44416</v>
      </c>
      <c r="B22" s="347" t="n">
        <v>44416</v>
      </c>
      <c r="E22" s="349" t="n">
        <v>200</v>
      </c>
      <c r="F22" s="365"/>
    </row>
    <row r="23" customFormat="false" ht="12.75" hidden="false" customHeight="false" outlineLevel="0" collapsed="false">
      <c r="A23" s="364" t="n">
        <v>44416</v>
      </c>
      <c r="B23" s="347" t="s">
        <v>241</v>
      </c>
      <c r="F23" s="365"/>
    </row>
    <row r="24" customFormat="false" ht="12.75" hidden="false" customHeight="false" outlineLevel="0" collapsed="false">
      <c r="A24" s="364" t="n">
        <v>44416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44417</v>
      </c>
      <c r="B27" s="359" t="n">
        <v>44417</v>
      </c>
      <c r="C27" s="360"/>
      <c r="D27" s="361"/>
      <c r="E27" s="362"/>
      <c r="F27" s="363"/>
    </row>
    <row r="28" customFormat="false" ht="12.75" hidden="false" customHeight="false" outlineLevel="0" collapsed="false">
      <c r="A28" s="364" t="n">
        <v>44418</v>
      </c>
      <c r="B28" s="347" t="n">
        <v>44418</v>
      </c>
      <c r="F28" s="365"/>
    </row>
    <row r="29" customFormat="false" ht="12.75" hidden="false" customHeight="false" outlineLevel="0" collapsed="false">
      <c r="A29" s="364" t="n">
        <v>44419</v>
      </c>
      <c r="B29" s="347" t="n">
        <v>44419</v>
      </c>
      <c r="E29" s="349" t="n">
        <v>200</v>
      </c>
      <c r="F29" s="365"/>
    </row>
    <row r="30" customFormat="false" ht="12.75" hidden="false" customHeight="false" outlineLevel="0" collapsed="false">
      <c r="A30" s="364" t="n">
        <v>44420</v>
      </c>
      <c r="B30" s="347" t="n">
        <v>44420</v>
      </c>
      <c r="E30" s="349" t="n">
        <v>200</v>
      </c>
      <c r="F30" s="365"/>
    </row>
    <row r="31" customFormat="false" ht="12.75" hidden="false" customHeight="false" outlineLevel="0" collapsed="false">
      <c r="A31" s="364" t="n">
        <v>44421</v>
      </c>
      <c r="B31" s="347" t="n">
        <v>44421</v>
      </c>
      <c r="E31" s="349" t="n">
        <v>200</v>
      </c>
      <c r="F31" s="365"/>
    </row>
    <row r="32" customFormat="false" ht="12.75" hidden="false" customHeight="false" outlineLevel="0" collapsed="false">
      <c r="A32" s="364" t="n">
        <v>44422</v>
      </c>
      <c r="B32" s="347" t="n">
        <v>44422</v>
      </c>
      <c r="E32" s="349" t="n">
        <v>200</v>
      </c>
      <c r="F32" s="365"/>
    </row>
    <row r="33" customFormat="false" ht="12.75" hidden="false" customHeight="false" outlineLevel="0" collapsed="false">
      <c r="A33" s="364" t="n">
        <v>44423</v>
      </c>
      <c r="B33" s="347" t="n">
        <v>44423</v>
      </c>
      <c r="E33" s="349" t="n">
        <v>200</v>
      </c>
      <c r="F33" s="365"/>
    </row>
    <row r="34" customFormat="false" ht="12.75" hidden="false" customHeight="false" outlineLevel="0" collapsed="false">
      <c r="A34" s="364" t="n">
        <v>44423</v>
      </c>
      <c r="B34" s="347" t="s">
        <v>241</v>
      </c>
      <c r="F34" s="365"/>
    </row>
    <row r="35" customFormat="false" ht="12.75" hidden="false" customHeight="false" outlineLevel="0" collapsed="false">
      <c r="A35" s="364" t="n">
        <v>44423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44424</v>
      </c>
      <c r="B38" s="359" t="n">
        <v>44424</v>
      </c>
      <c r="C38" s="360"/>
      <c r="D38" s="361"/>
      <c r="E38" s="362"/>
      <c r="F38" s="363"/>
    </row>
    <row r="39" customFormat="false" ht="12.75" hidden="false" customHeight="false" outlineLevel="0" collapsed="false">
      <c r="A39" s="364" t="n">
        <v>44425</v>
      </c>
      <c r="B39" s="347" t="n">
        <v>44425</v>
      </c>
      <c r="F39" s="365"/>
    </row>
    <row r="40" customFormat="false" ht="12.75" hidden="false" customHeight="false" outlineLevel="0" collapsed="false">
      <c r="A40" s="364" t="n">
        <v>44426</v>
      </c>
      <c r="B40" s="347" t="n">
        <v>44426</v>
      </c>
      <c r="E40" s="349" t="n">
        <v>200</v>
      </c>
      <c r="F40" s="365"/>
    </row>
    <row r="41" customFormat="false" ht="12.75" hidden="false" customHeight="false" outlineLevel="0" collapsed="false">
      <c r="A41" s="364" t="n">
        <v>44427</v>
      </c>
      <c r="B41" s="347" t="n">
        <v>44427</v>
      </c>
      <c r="E41" s="349" t="n">
        <v>200</v>
      </c>
      <c r="F41" s="365"/>
    </row>
    <row r="42" customFormat="false" ht="12.75" hidden="false" customHeight="false" outlineLevel="0" collapsed="false">
      <c r="A42" s="364" t="n">
        <v>44428</v>
      </c>
      <c r="B42" s="347" t="n">
        <v>44428</v>
      </c>
      <c r="E42" s="349" t="n">
        <v>200</v>
      </c>
      <c r="F42" s="365"/>
    </row>
    <row r="43" customFormat="false" ht="12.75" hidden="false" customHeight="false" outlineLevel="0" collapsed="false">
      <c r="A43" s="364" t="n">
        <v>44429</v>
      </c>
      <c r="B43" s="347" t="n">
        <v>44429</v>
      </c>
      <c r="E43" s="349" t="n">
        <v>200</v>
      </c>
      <c r="F43" s="365"/>
    </row>
    <row r="44" customFormat="false" ht="12.75" hidden="false" customHeight="false" outlineLevel="0" collapsed="false">
      <c r="A44" s="364" t="n">
        <v>44430</v>
      </c>
      <c r="B44" s="347" t="n">
        <v>44430</v>
      </c>
      <c r="E44" s="349" t="n">
        <v>200</v>
      </c>
      <c r="F44" s="365"/>
    </row>
    <row r="45" customFormat="false" ht="12.75" hidden="false" customHeight="false" outlineLevel="0" collapsed="false">
      <c r="A45" s="364" t="n">
        <v>44430</v>
      </c>
      <c r="B45" s="347" t="s">
        <v>241</v>
      </c>
      <c r="F45" s="365"/>
    </row>
    <row r="46" customFormat="false" ht="12.75" hidden="false" customHeight="false" outlineLevel="0" collapsed="false">
      <c r="A46" s="364" t="n">
        <v>44430</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44431</v>
      </c>
      <c r="B49" s="359" t="n">
        <v>44431</v>
      </c>
      <c r="C49" s="360"/>
      <c r="D49" s="361"/>
      <c r="E49" s="362"/>
      <c r="F49" s="363"/>
    </row>
    <row r="50" customFormat="false" ht="12.75" hidden="false" customHeight="false" outlineLevel="0" collapsed="false">
      <c r="A50" s="364" t="n">
        <v>44432</v>
      </c>
      <c r="B50" s="347" t="n">
        <v>44432</v>
      </c>
      <c r="F50" s="365"/>
    </row>
    <row r="51" customFormat="false" ht="12.75" hidden="false" customHeight="false" outlineLevel="0" collapsed="false">
      <c r="A51" s="364" t="n">
        <v>44433</v>
      </c>
      <c r="B51" s="347" t="n">
        <v>44433</v>
      </c>
      <c r="F51" s="365"/>
    </row>
    <row r="52" customFormat="false" ht="12.75" hidden="false" customHeight="false" outlineLevel="0" collapsed="false">
      <c r="A52" s="364" t="n">
        <v>44434</v>
      </c>
      <c r="B52" s="347" t="n">
        <v>44434</v>
      </c>
      <c r="F52" s="365"/>
    </row>
    <row r="53" customFormat="false" ht="12.75" hidden="false" customHeight="false" outlineLevel="0" collapsed="false">
      <c r="A53" s="364" t="n">
        <v>44435</v>
      </c>
      <c r="B53" s="347" t="n">
        <v>44435</v>
      </c>
      <c r="F53" s="365"/>
    </row>
    <row r="54" customFormat="false" ht="12.75" hidden="false" customHeight="false" outlineLevel="0" collapsed="false">
      <c r="A54" s="364" t="n">
        <v>44436</v>
      </c>
      <c r="B54" s="347" t="n">
        <v>44436</v>
      </c>
      <c r="F54" s="365"/>
    </row>
    <row r="55" customFormat="false" ht="12.75" hidden="false" customHeight="false" outlineLevel="0" collapsed="false">
      <c r="A55" s="364" t="n">
        <v>44437</v>
      </c>
      <c r="B55" s="347" t="n">
        <v>44437</v>
      </c>
      <c r="F55" s="365"/>
    </row>
    <row r="56" customFormat="false" ht="12.75" hidden="false" customHeight="false" outlineLevel="0" collapsed="false">
      <c r="A56" s="364" t="n">
        <v>44437</v>
      </c>
      <c r="B56" s="347" t="s">
        <v>241</v>
      </c>
      <c r="F56" s="365"/>
    </row>
    <row r="57" customFormat="false" ht="12.75" hidden="false" customHeight="false" outlineLevel="0" collapsed="false">
      <c r="A57" s="364" t="n">
        <v>44437</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44438</v>
      </c>
      <c r="B5" s="359" t="n">
        <v>44438</v>
      </c>
      <c r="C5" s="360"/>
      <c r="D5" s="361"/>
      <c r="E5" s="362"/>
      <c r="F5" s="363"/>
    </row>
    <row r="6" customFormat="false" ht="12.75" hidden="false" customHeight="false" outlineLevel="0" collapsed="false">
      <c r="A6" s="364" t="n">
        <v>44439</v>
      </c>
      <c r="B6" s="347" t="n">
        <v>44439</v>
      </c>
      <c r="F6" s="365"/>
    </row>
    <row r="7" customFormat="false" ht="12.75" hidden="false" customHeight="false" outlineLevel="0" collapsed="false">
      <c r="A7" s="364" t="n">
        <v>44440</v>
      </c>
      <c r="B7" s="347" t="n">
        <v>44440</v>
      </c>
      <c r="E7" s="349" t="n">
        <v>200</v>
      </c>
      <c r="F7" s="365"/>
    </row>
    <row r="8" customFormat="false" ht="12.75" hidden="false" customHeight="false" outlineLevel="0" collapsed="false">
      <c r="A8" s="364" t="n">
        <v>44441</v>
      </c>
      <c r="B8" s="347" t="n">
        <v>44441</v>
      </c>
      <c r="E8" s="349" t="n">
        <v>200</v>
      </c>
      <c r="F8" s="365"/>
    </row>
    <row r="9" customFormat="false" ht="12.75" hidden="false" customHeight="false" outlineLevel="0" collapsed="false">
      <c r="A9" s="364" t="n">
        <v>44442</v>
      </c>
      <c r="B9" s="347" t="n">
        <v>44442</v>
      </c>
      <c r="E9" s="349" t="n">
        <v>200</v>
      </c>
      <c r="F9" s="365"/>
    </row>
    <row r="10" customFormat="false" ht="12.75" hidden="false" customHeight="false" outlineLevel="0" collapsed="false">
      <c r="A10" s="364" t="n">
        <v>44443</v>
      </c>
      <c r="B10" s="347" t="n">
        <v>44443</v>
      </c>
      <c r="E10" s="349" t="n">
        <v>200</v>
      </c>
      <c r="F10" s="365"/>
    </row>
    <row r="11" customFormat="false" ht="12.75" hidden="false" customHeight="false" outlineLevel="0" collapsed="false">
      <c r="A11" s="364" t="n">
        <v>44444</v>
      </c>
      <c r="B11" s="347" t="n">
        <v>44444</v>
      </c>
      <c r="E11" s="349" t="n">
        <v>200</v>
      </c>
      <c r="F11" s="365"/>
    </row>
    <row r="12" customFormat="false" ht="12.75" hidden="false" customHeight="false" outlineLevel="0" collapsed="false">
      <c r="A12" s="364" t="n">
        <v>44444</v>
      </c>
      <c r="B12" s="347" t="s">
        <v>241</v>
      </c>
      <c r="F12" s="365"/>
    </row>
    <row r="13" customFormat="false" ht="12.75" hidden="false" customHeight="false" outlineLevel="0" collapsed="false">
      <c r="A13" s="364" t="n">
        <v>44444</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44445</v>
      </c>
      <c r="B16" s="359" t="n">
        <v>44445</v>
      </c>
      <c r="C16" s="360"/>
      <c r="D16" s="361"/>
      <c r="E16" s="362"/>
      <c r="F16" s="363"/>
    </row>
    <row r="17" customFormat="false" ht="12.75" hidden="false" customHeight="false" outlineLevel="0" collapsed="false">
      <c r="A17" s="364" t="n">
        <v>44446</v>
      </c>
      <c r="B17" s="347" t="n">
        <v>44446</v>
      </c>
      <c r="F17" s="365"/>
    </row>
    <row r="18" customFormat="false" ht="12.75" hidden="false" customHeight="false" outlineLevel="0" collapsed="false">
      <c r="A18" s="364" t="n">
        <v>44447</v>
      </c>
      <c r="B18" s="347" t="n">
        <v>44447</v>
      </c>
      <c r="E18" s="349" t="n">
        <v>200</v>
      </c>
      <c r="F18" s="365"/>
    </row>
    <row r="19" customFormat="false" ht="12.75" hidden="false" customHeight="false" outlineLevel="0" collapsed="false">
      <c r="A19" s="364" t="n">
        <v>44448</v>
      </c>
      <c r="B19" s="347" t="n">
        <v>44448</v>
      </c>
      <c r="E19" s="349" t="n">
        <v>200</v>
      </c>
      <c r="F19" s="365"/>
    </row>
    <row r="20" customFormat="false" ht="12.75" hidden="false" customHeight="false" outlineLevel="0" collapsed="false">
      <c r="A20" s="364" t="n">
        <v>44449</v>
      </c>
      <c r="B20" s="347" t="n">
        <v>44449</v>
      </c>
      <c r="E20" s="349" t="n">
        <v>200</v>
      </c>
      <c r="F20" s="365"/>
    </row>
    <row r="21" customFormat="false" ht="12.75" hidden="false" customHeight="false" outlineLevel="0" collapsed="false">
      <c r="A21" s="364" t="n">
        <v>44450</v>
      </c>
      <c r="B21" s="347" t="n">
        <v>44450</v>
      </c>
      <c r="E21" s="349" t="n">
        <v>200</v>
      </c>
      <c r="F21" s="365"/>
    </row>
    <row r="22" customFormat="false" ht="12.75" hidden="false" customHeight="false" outlineLevel="0" collapsed="false">
      <c r="A22" s="364" t="n">
        <v>44451</v>
      </c>
      <c r="B22" s="347" t="n">
        <v>44451</v>
      </c>
      <c r="E22" s="349" t="n">
        <v>200</v>
      </c>
      <c r="F22" s="365"/>
    </row>
    <row r="23" customFormat="false" ht="12.75" hidden="false" customHeight="false" outlineLevel="0" collapsed="false">
      <c r="A23" s="364" t="n">
        <v>44451</v>
      </c>
      <c r="B23" s="347" t="s">
        <v>241</v>
      </c>
      <c r="F23" s="365"/>
    </row>
    <row r="24" customFormat="false" ht="12.75" hidden="false" customHeight="false" outlineLevel="0" collapsed="false">
      <c r="A24" s="364" t="n">
        <v>44451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44452</v>
      </c>
      <c r="B27" s="359" t="n">
        <v>44452</v>
      </c>
      <c r="C27" s="360"/>
      <c r="D27" s="361"/>
      <c r="E27" s="362"/>
      <c r="F27" s="363"/>
    </row>
    <row r="28" customFormat="false" ht="12.75" hidden="false" customHeight="false" outlineLevel="0" collapsed="false">
      <c r="A28" s="364" t="n">
        <v>44453</v>
      </c>
      <c r="B28" s="347" t="n">
        <v>44453</v>
      </c>
      <c r="F28" s="365"/>
    </row>
    <row r="29" customFormat="false" ht="12.75" hidden="false" customHeight="false" outlineLevel="0" collapsed="false">
      <c r="A29" s="364" t="n">
        <v>44454</v>
      </c>
      <c r="B29" s="347" t="n">
        <v>44454</v>
      </c>
      <c r="E29" s="349" t="n">
        <v>200</v>
      </c>
      <c r="F29" s="365"/>
    </row>
    <row r="30" customFormat="false" ht="12.75" hidden="false" customHeight="false" outlineLevel="0" collapsed="false">
      <c r="A30" s="364" t="n">
        <v>44455</v>
      </c>
      <c r="B30" s="347" t="n">
        <v>44455</v>
      </c>
      <c r="E30" s="349" t="n">
        <v>200</v>
      </c>
      <c r="F30" s="365"/>
    </row>
    <row r="31" customFormat="false" ht="12.75" hidden="false" customHeight="false" outlineLevel="0" collapsed="false">
      <c r="A31" s="364" t="n">
        <v>44456</v>
      </c>
      <c r="B31" s="347" t="n">
        <v>44456</v>
      </c>
      <c r="E31" s="349" t="n">
        <v>200</v>
      </c>
      <c r="F31" s="365"/>
    </row>
    <row r="32" customFormat="false" ht="12.75" hidden="false" customHeight="false" outlineLevel="0" collapsed="false">
      <c r="A32" s="364" t="n">
        <v>44457</v>
      </c>
      <c r="B32" s="347" t="n">
        <v>44457</v>
      </c>
      <c r="E32" s="349" t="n">
        <v>200</v>
      </c>
      <c r="F32" s="365"/>
    </row>
    <row r="33" customFormat="false" ht="12.75" hidden="false" customHeight="false" outlineLevel="0" collapsed="false">
      <c r="A33" s="364" t="n">
        <v>44458</v>
      </c>
      <c r="B33" s="347" t="n">
        <v>44458</v>
      </c>
      <c r="E33" s="349" t="n">
        <v>200</v>
      </c>
      <c r="F33" s="365"/>
    </row>
    <row r="34" customFormat="false" ht="12.75" hidden="false" customHeight="false" outlineLevel="0" collapsed="false">
      <c r="A34" s="364" t="n">
        <v>44458</v>
      </c>
      <c r="B34" s="347" t="s">
        <v>241</v>
      </c>
      <c r="F34" s="365"/>
    </row>
    <row r="35" customFormat="false" ht="12.75" hidden="false" customHeight="false" outlineLevel="0" collapsed="false">
      <c r="A35" s="364" t="n">
        <v>44458</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44459</v>
      </c>
      <c r="B38" s="359" t="n">
        <v>44459</v>
      </c>
      <c r="C38" s="360"/>
      <c r="D38" s="361"/>
      <c r="E38" s="362"/>
      <c r="F38" s="363"/>
    </row>
    <row r="39" customFormat="false" ht="12.75" hidden="false" customHeight="false" outlineLevel="0" collapsed="false">
      <c r="A39" s="364" t="n">
        <v>44460</v>
      </c>
      <c r="B39" s="347" t="n">
        <v>44460</v>
      </c>
      <c r="F39" s="365"/>
    </row>
    <row r="40" customFormat="false" ht="12.75" hidden="false" customHeight="false" outlineLevel="0" collapsed="false">
      <c r="A40" s="364" t="n">
        <v>44461</v>
      </c>
      <c r="B40" s="347" t="n">
        <v>44461</v>
      </c>
      <c r="F40" s="365"/>
    </row>
    <row r="41" customFormat="false" ht="12.75" hidden="false" customHeight="false" outlineLevel="0" collapsed="false">
      <c r="A41" s="364" t="n">
        <v>44462</v>
      </c>
      <c r="B41" s="347" t="n">
        <v>44462</v>
      </c>
      <c r="F41" s="365"/>
    </row>
    <row r="42" customFormat="false" ht="12.75" hidden="false" customHeight="false" outlineLevel="0" collapsed="false">
      <c r="A42" s="364" t="n">
        <v>44463</v>
      </c>
      <c r="B42" s="347" t="n">
        <v>44463</v>
      </c>
      <c r="F42" s="365"/>
    </row>
    <row r="43" customFormat="false" ht="12.75" hidden="false" customHeight="false" outlineLevel="0" collapsed="false">
      <c r="A43" s="364" t="n">
        <v>44464</v>
      </c>
      <c r="B43" s="347" t="n">
        <v>44464</v>
      </c>
      <c r="F43" s="365"/>
    </row>
    <row r="44" customFormat="false" ht="12.75" hidden="false" customHeight="false" outlineLevel="0" collapsed="false">
      <c r="A44" s="364" t="n">
        <v>44465</v>
      </c>
      <c r="B44" s="347" t="n">
        <v>44465</v>
      </c>
      <c r="F44" s="365"/>
    </row>
    <row r="45" customFormat="false" ht="12.75" hidden="false" customHeight="false" outlineLevel="0" collapsed="false">
      <c r="A45" s="364" t="n">
        <v>44465</v>
      </c>
      <c r="B45" s="347" t="s">
        <v>241</v>
      </c>
      <c r="F45" s="365"/>
    </row>
    <row r="46" customFormat="false" ht="12.75" hidden="false" customHeight="false" outlineLevel="0" collapsed="false">
      <c r="A46" s="364" t="n">
        <v>44465</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44466</v>
      </c>
      <c r="B5" s="359" t="n">
        <v>44466</v>
      </c>
      <c r="C5" s="360"/>
      <c r="D5" s="361"/>
      <c r="E5" s="362"/>
      <c r="F5" s="363"/>
    </row>
    <row r="6" customFormat="false" ht="12.75" hidden="false" customHeight="false" outlineLevel="0" collapsed="false">
      <c r="A6" s="364" t="n">
        <v>44467</v>
      </c>
      <c r="B6" s="347" t="n">
        <v>44467</v>
      </c>
      <c r="F6" s="365"/>
    </row>
    <row r="7" customFormat="false" ht="12.75" hidden="false" customHeight="false" outlineLevel="0" collapsed="false">
      <c r="A7" s="364" t="n">
        <v>44468</v>
      </c>
      <c r="B7" s="347" t="n">
        <v>44468</v>
      </c>
      <c r="F7" s="365"/>
    </row>
    <row r="8" customFormat="false" ht="12.75" hidden="false" customHeight="false" outlineLevel="0" collapsed="false">
      <c r="A8" s="364" t="n">
        <v>44469</v>
      </c>
      <c r="B8" s="347" t="n">
        <v>44469</v>
      </c>
      <c r="F8" s="365"/>
    </row>
    <row r="9" customFormat="false" ht="12.75" hidden="false" customHeight="false" outlineLevel="0" collapsed="false">
      <c r="A9" s="364" t="n">
        <v>44470</v>
      </c>
      <c r="B9" s="347" t="n">
        <v>44470</v>
      </c>
      <c r="F9" s="365"/>
    </row>
    <row r="10" customFormat="false" ht="12.75" hidden="false" customHeight="false" outlineLevel="0" collapsed="false">
      <c r="A10" s="364" t="n">
        <v>44471</v>
      </c>
      <c r="B10" s="347" t="n">
        <v>44471</v>
      </c>
      <c r="F10" s="365"/>
    </row>
    <row r="11" customFormat="false" ht="12.75" hidden="false" customHeight="false" outlineLevel="0" collapsed="false">
      <c r="A11" s="364" t="n">
        <v>44472</v>
      </c>
      <c r="B11" s="347" t="n">
        <v>44472</v>
      </c>
      <c r="F11" s="365"/>
    </row>
    <row r="12" customFormat="false" ht="12.75" hidden="false" customHeight="false" outlineLevel="0" collapsed="false">
      <c r="A12" s="364" t="n">
        <v>44472</v>
      </c>
      <c r="B12" s="347" t="s">
        <v>241</v>
      </c>
      <c r="F12" s="365"/>
    </row>
    <row r="13" customFormat="false" ht="12.75" hidden="false" customHeight="false" outlineLevel="0" collapsed="false">
      <c r="A13" s="364" t="n">
        <v>44472</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44473</v>
      </c>
      <c r="B16" s="359" t="n">
        <v>44473</v>
      </c>
      <c r="C16" s="360"/>
      <c r="D16" s="361"/>
      <c r="E16" s="362"/>
      <c r="F16" s="363"/>
    </row>
    <row r="17" customFormat="false" ht="12.75" hidden="false" customHeight="false" outlineLevel="0" collapsed="false">
      <c r="A17" s="364" t="n">
        <v>44474</v>
      </c>
      <c r="B17" s="347" t="n">
        <v>44474</v>
      </c>
      <c r="F17" s="365"/>
    </row>
    <row r="18" customFormat="false" ht="12.75" hidden="false" customHeight="false" outlineLevel="0" collapsed="false">
      <c r="A18" s="364" t="n">
        <v>44475</v>
      </c>
      <c r="B18" s="347" t="n">
        <v>44475</v>
      </c>
      <c r="E18" s="349" t="n">
        <v>200</v>
      </c>
      <c r="F18" s="365"/>
    </row>
    <row r="19" customFormat="false" ht="12.75" hidden="false" customHeight="false" outlineLevel="0" collapsed="false">
      <c r="A19" s="364" t="n">
        <v>44476</v>
      </c>
      <c r="B19" s="347" t="n">
        <v>44476</v>
      </c>
      <c r="E19" s="349" t="n">
        <v>200</v>
      </c>
      <c r="F19" s="365"/>
    </row>
    <row r="20" customFormat="false" ht="12.75" hidden="false" customHeight="false" outlineLevel="0" collapsed="false">
      <c r="A20" s="364" t="n">
        <v>44477</v>
      </c>
      <c r="B20" s="347" t="n">
        <v>44477</v>
      </c>
      <c r="E20" s="349" t="n">
        <v>200</v>
      </c>
      <c r="F20" s="365"/>
    </row>
    <row r="21" customFormat="false" ht="12.75" hidden="false" customHeight="false" outlineLevel="0" collapsed="false">
      <c r="A21" s="364" t="n">
        <v>44478</v>
      </c>
      <c r="B21" s="347" t="n">
        <v>44478</v>
      </c>
      <c r="E21" s="349" t="n">
        <v>200</v>
      </c>
      <c r="F21" s="365"/>
    </row>
    <row r="22" customFormat="false" ht="12.75" hidden="false" customHeight="false" outlineLevel="0" collapsed="false">
      <c r="A22" s="364" t="n">
        <v>44479</v>
      </c>
      <c r="B22" s="347" t="n">
        <v>44479</v>
      </c>
      <c r="E22" s="349" t="n">
        <v>200</v>
      </c>
      <c r="F22" s="365"/>
    </row>
    <row r="23" customFormat="false" ht="12.75" hidden="false" customHeight="false" outlineLevel="0" collapsed="false">
      <c r="A23" s="364" t="n">
        <v>44479</v>
      </c>
      <c r="B23" s="347" t="s">
        <v>241</v>
      </c>
      <c r="F23" s="365"/>
    </row>
    <row r="24" customFormat="false" ht="12.75" hidden="false" customHeight="false" outlineLevel="0" collapsed="false">
      <c r="A24" s="364" t="n">
        <v>44479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44480</v>
      </c>
      <c r="B27" s="359" t="n">
        <v>44480</v>
      </c>
      <c r="C27" s="360"/>
      <c r="D27" s="361"/>
      <c r="E27" s="362"/>
      <c r="F27" s="363"/>
    </row>
    <row r="28" customFormat="false" ht="12.75" hidden="false" customHeight="false" outlineLevel="0" collapsed="false">
      <c r="A28" s="364" t="n">
        <v>44481</v>
      </c>
      <c r="B28" s="347" t="n">
        <v>44481</v>
      </c>
      <c r="F28" s="365"/>
    </row>
    <row r="29" customFormat="false" ht="12.75" hidden="false" customHeight="false" outlineLevel="0" collapsed="false">
      <c r="A29" s="364" t="n">
        <v>44482</v>
      </c>
      <c r="B29" s="347" t="n">
        <v>44482</v>
      </c>
      <c r="E29" s="349" t="n">
        <v>200</v>
      </c>
      <c r="F29" s="365"/>
    </row>
    <row r="30" customFormat="false" ht="12.75" hidden="false" customHeight="false" outlineLevel="0" collapsed="false">
      <c r="A30" s="364" t="n">
        <v>44483</v>
      </c>
      <c r="B30" s="347" t="n">
        <v>44483</v>
      </c>
      <c r="E30" s="349" t="n">
        <v>200</v>
      </c>
      <c r="F30" s="365"/>
    </row>
    <row r="31" customFormat="false" ht="12.75" hidden="false" customHeight="false" outlineLevel="0" collapsed="false">
      <c r="A31" s="364" t="n">
        <v>44484</v>
      </c>
      <c r="B31" s="347" t="n">
        <v>44484</v>
      </c>
      <c r="E31" s="349" t="n">
        <v>200</v>
      </c>
      <c r="F31" s="365"/>
    </row>
    <row r="32" customFormat="false" ht="12.75" hidden="false" customHeight="false" outlineLevel="0" collapsed="false">
      <c r="A32" s="364" t="n">
        <v>44485</v>
      </c>
      <c r="B32" s="347" t="n">
        <v>44485</v>
      </c>
      <c r="E32" s="349" t="n">
        <v>200</v>
      </c>
      <c r="F32" s="365"/>
    </row>
    <row r="33" customFormat="false" ht="12.75" hidden="false" customHeight="false" outlineLevel="0" collapsed="false">
      <c r="A33" s="364" t="n">
        <v>44486</v>
      </c>
      <c r="B33" s="347" t="n">
        <v>44486</v>
      </c>
      <c r="E33" s="349" t="n">
        <v>200</v>
      </c>
      <c r="F33" s="365"/>
    </row>
    <row r="34" customFormat="false" ht="12.75" hidden="false" customHeight="false" outlineLevel="0" collapsed="false">
      <c r="A34" s="364" t="n">
        <v>44486</v>
      </c>
      <c r="B34" s="347" t="s">
        <v>241</v>
      </c>
      <c r="F34" s="365"/>
    </row>
    <row r="35" customFormat="false" ht="12.75" hidden="false" customHeight="false" outlineLevel="0" collapsed="false">
      <c r="A35" s="364" t="n">
        <v>44486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44487</v>
      </c>
      <c r="B38" s="359" t="n">
        <v>44487</v>
      </c>
      <c r="C38" s="360"/>
      <c r="D38" s="361"/>
      <c r="E38" s="362"/>
      <c r="F38" s="363"/>
    </row>
    <row r="39" customFormat="false" ht="12.75" hidden="false" customHeight="false" outlineLevel="0" collapsed="false">
      <c r="A39" s="364" t="n">
        <v>44488</v>
      </c>
      <c r="B39" s="347" t="n">
        <v>44488</v>
      </c>
      <c r="F39" s="365"/>
    </row>
    <row r="40" customFormat="false" ht="12.75" hidden="false" customHeight="false" outlineLevel="0" collapsed="false">
      <c r="A40" s="364" t="n">
        <v>44489</v>
      </c>
      <c r="B40" s="347" t="n">
        <v>44489</v>
      </c>
      <c r="E40" s="349" t="n">
        <v>200</v>
      </c>
      <c r="F40" s="365"/>
    </row>
    <row r="41" customFormat="false" ht="12.75" hidden="false" customHeight="false" outlineLevel="0" collapsed="false">
      <c r="A41" s="364" t="n">
        <v>44490</v>
      </c>
      <c r="B41" s="347" t="n">
        <v>44490</v>
      </c>
      <c r="E41" s="349" t="n">
        <v>200</v>
      </c>
      <c r="F41" s="365"/>
    </row>
    <row r="42" customFormat="false" ht="12.75" hidden="false" customHeight="false" outlineLevel="0" collapsed="false">
      <c r="A42" s="364" t="n">
        <v>44491</v>
      </c>
      <c r="B42" s="347" t="n">
        <v>44491</v>
      </c>
      <c r="E42" s="349" t="n">
        <v>200</v>
      </c>
      <c r="F42" s="365"/>
    </row>
    <row r="43" customFormat="false" ht="12.75" hidden="false" customHeight="false" outlineLevel="0" collapsed="false">
      <c r="A43" s="364" t="n">
        <v>44492</v>
      </c>
      <c r="B43" s="347" t="n">
        <v>44492</v>
      </c>
      <c r="E43" s="349" t="n">
        <v>200</v>
      </c>
      <c r="F43" s="365"/>
    </row>
    <row r="44" customFormat="false" ht="12.75" hidden="false" customHeight="false" outlineLevel="0" collapsed="false">
      <c r="A44" s="364" t="n">
        <v>44493</v>
      </c>
      <c r="B44" s="347" t="n">
        <v>44493</v>
      </c>
      <c r="E44" s="349" t="n">
        <v>200</v>
      </c>
      <c r="F44" s="365"/>
    </row>
    <row r="45" customFormat="false" ht="12.75" hidden="false" customHeight="false" outlineLevel="0" collapsed="false">
      <c r="A45" s="364" t="n">
        <v>44493</v>
      </c>
      <c r="B45" s="347" t="s">
        <v>241</v>
      </c>
      <c r="F45" s="365"/>
    </row>
    <row r="46" customFormat="false" ht="12.75" hidden="false" customHeight="false" outlineLevel="0" collapsed="false">
      <c r="A46" s="364" t="n">
        <v>44493</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44494</v>
      </c>
      <c r="B49" s="359" t="n">
        <v>44494</v>
      </c>
      <c r="C49" s="360"/>
      <c r="D49" s="361"/>
      <c r="E49" s="362"/>
      <c r="F49" s="363"/>
    </row>
    <row r="50" customFormat="false" ht="12.75" hidden="false" customHeight="false" outlineLevel="0" collapsed="false">
      <c r="A50" s="364" t="n">
        <v>44495</v>
      </c>
      <c r="B50" s="347" t="n">
        <v>44495</v>
      </c>
      <c r="F50" s="365"/>
    </row>
    <row r="51" customFormat="false" ht="12.75" hidden="false" customHeight="false" outlineLevel="0" collapsed="false">
      <c r="A51" s="364" t="n">
        <v>44496</v>
      </c>
      <c r="B51" s="347" t="n">
        <v>44496</v>
      </c>
      <c r="F51" s="365"/>
    </row>
    <row r="52" customFormat="false" ht="12.75" hidden="false" customHeight="false" outlineLevel="0" collapsed="false">
      <c r="A52" s="364" t="n">
        <v>44497</v>
      </c>
      <c r="B52" s="347" t="n">
        <v>44497</v>
      </c>
      <c r="F52" s="365"/>
    </row>
    <row r="53" customFormat="false" ht="12.75" hidden="false" customHeight="false" outlineLevel="0" collapsed="false">
      <c r="A53" s="364" t="n">
        <v>44498</v>
      </c>
      <c r="B53" s="347" t="n">
        <v>44498</v>
      </c>
      <c r="F53" s="365"/>
    </row>
    <row r="54" customFormat="false" ht="12.75" hidden="false" customHeight="false" outlineLevel="0" collapsed="false">
      <c r="A54" s="364" t="n">
        <v>44499</v>
      </c>
      <c r="B54" s="347" t="n">
        <v>44499</v>
      </c>
      <c r="F54" s="365"/>
    </row>
    <row r="55" customFormat="false" ht="12.75" hidden="false" customHeight="false" outlineLevel="0" collapsed="false">
      <c r="A55" s="364" t="n">
        <v>44500</v>
      </c>
      <c r="B55" s="347" t="n">
        <v>44500</v>
      </c>
      <c r="F55" s="365"/>
    </row>
    <row r="56" customFormat="false" ht="12.75" hidden="false" customHeight="false" outlineLevel="0" collapsed="false">
      <c r="A56" s="364" t="n">
        <v>44500</v>
      </c>
      <c r="B56" s="347" t="s">
        <v>241</v>
      </c>
      <c r="F56" s="365"/>
    </row>
    <row r="57" customFormat="false" ht="12.75" hidden="false" customHeight="false" outlineLevel="0" collapsed="false">
      <c r="A57" s="364" t="n">
        <v>44500</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44501</v>
      </c>
      <c r="B5" s="359" t="n">
        <v>44501</v>
      </c>
      <c r="C5" s="360"/>
      <c r="D5" s="361"/>
      <c r="E5" s="362"/>
      <c r="F5" s="363"/>
    </row>
    <row r="6" customFormat="false" ht="12.75" hidden="false" customHeight="false" outlineLevel="0" collapsed="false">
      <c r="A6" s="364" t="n">
        <v>44502</v>
      </c>
      <c r="B6" s="347" t="n">
        <v>44502</v>
      </c>
      <c r="F6" s="365"/>
    </row>
    <row r="7" customFormat="false" ht="12.75" hidden="false" customHeight="false" outlineLevel="0" collapsed="false">
      <c r="A7" s="364" t="n">
        <v>44503</v>
      </c>
      <c r="B7" s="347" t="n">
        <v>44503</v>
      </c>
      <c r="E7" s="349" t="n">
        <v>200</v>
      </c>
      <c r="F7" s="365"/>
    </row>
    <row r="8" customFormat="false" ht="12.75" hidden="false" customHeight="false" outlineLevel="0" collapsed="false">
      <c r="A8" s="364" t="n">
        <v>44504</v>
      </c>
      <c r="B8" s="347" t="n">
        <v>44504</v>
      </c>
      <c r="E8" s="349" t="n">
        <v>200</v>
      </c>
      <c r="F8" s="365"/>
    </row>
    <row r="9" customFormat="false" ht="12.75" hidden="false" customHeight="false" outlineLevel="0" collapsed="false">
      <c r="A9" s="364" t="n">
        <v>44505</v>
      </c>
      <c r="B9" s="347" t="n">
        <v>44505</v>
      </c>
      <c r="E9" s="349" t="n">
        <v>200</v>
      </c>
      <c r="F9" s="365"/>
    </row>
    <row r="10" customFormat="false" ht="12.75" hidden="false" customHeight="false" outlineLevel="0" collapsed="false">
      <c r="A10" s="364" t="n">
        <v>44506</v>
      </c>
      <c r="B10" s="347" t="n">
        <v>44506</v>
      </c>
      <c r="E10" s="349" t="n">
        <v>200</v>
      </c>
      <c r="F10" s="365"/>
    </row>
    <row r="11" customFormat="false" ht="12.75" hidden="false" customHeight="false" outlineLevel="0" collapsed="false">
      <c r="A11" s="364" t="n">
        <v>44507</v>
      </c>
      <c r="B11" s="347" t="n">
        <v>44507</v>
      </c>
      <c r="E11" s="349" t="n">
        <v>200</v>
      </c>
      <c r="F11" s="365"/>
    </row>
    <row r="12" customFormat="false" ht="12.75" hidden="false" customHeight="false" outlineLevel="0" collapsed="false">
      <c r="A12" s="364" t="n">
        <v>44507</v>
      </c>
      <c r="B12" s="347" t="s">
        <v>241</v>
      </c>
      <c r="F12" s="365"/>
    </row>
    <row r="13" customFormat="false" ht="12.75" hidden="false" customHeight="false" outlineLevel="0" collapsed="false">
      <c r="A13" s="364" t="n">
        <v>44507</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44508</v>
      </c>
      <c r="B16" s="359" t="n">
        <v>44508</v>
      </c>
      <c r="C16" s="360"/>
      <c r="D16" s="361"/>
      <c r="E16" s="362"/>
      <c r="F16" s="363"/>
    </row>
    <row r="17" customFormat="false" ht="12.75" hidden="false" customHeight="false" outlineLevel="0" collapsed="false">
      <c r="A17" s="364" t="n">
        <v>44509</v>
      </c>
      <c r="B17" s="347" t="n">
        <v>44509</v>
      </c>
      <c r="F17" s="365"/>
    </row>
    <row r="18" customFormat="false" ht="12.75" hidden="false" customHeight="false" outlineLevel="0" collapsed="false">
      <c r="A18" s="364" t="n">
        <v>44510</v>
      </c>
      <c r="B18" s="347" t="n">
        <v>44510</v>
      </c>
      <c r="E18" s="349" t="n">
        <v>200</v>
      </c>
      <c r="F18" s="365"/>
    </row>
    <row r="19" customFormat="false" ht="12.75" hidden="false" customHeight="false" outlineLevel="0" collapsed="false">
      <c r="A19" s="364" t="n">
        <v>44511</v>
      </c>
      <c r="B19" s="347" t="n">
        <v>44511</v>
      </c>
      <c r="E19" s="349" t="n">
        <v>200</v>
      </c>
      <c r="F19" s="365"/>
    </row>
    <row r="20" customFormat="false" ht="12.75" hidden="false" customHeight="false" outlineLevel="0" collapsed="false">
      <c r="A20" s="364" t="n">
        <v>44512</v>
      </c>
      <c r="B20" s="347" t="n">
        <v>44512</v>
      </c>
      <c r="E20" s="349" t="n">
        <v>200</v>
      </c>
      <c r="F20" s="365"/>
    </row>
    <row r="21" customFormat="false" ht="12.75" hidden="false" customHeight="false" outlineLevel="0" collapsed="false">
      <c r="A21" s="364" t="n">
        <v>44513</v>
      </c>
      <c r="B21" s="347" t="n">
        <v>44513</v>
      </c>
      <c r="E21" s="349" t="n">
        <v>200</v>
      </c>
      <c r="F21" s="365"/>
    </row>
    <row r="22" customFormat="false" ht="12.75" hidden="false" customHeight="false" outlineLevel="0" collapsed="false">
      <c r="A22" s="364" t="n">
        <v>44514</v>
      </c>
      <c r="B22" s="347" t="n">
        <v>44514</v>
      </c>
      <c r="E22" s="349" t="n">
        <v>200</v>
      </c>
      <c r="F22" s="365"/>
    </row>
    <row r="23" customFormat="false" ht="12.75" hidden="false" customHeight="false" outlineLevel="0" collapsed="false">
      <c r="A23" s="364" t="n">
        <v>44514</v>
      </c>
      <c r="B23" s="347" t="s">
        <v>241</v>
      </c>
      <c r="F23" s="365"/>
    </row>
    <row r="24" customFormat="false" ht="12.75" hidden="false" customHeight="false" outlineLevel="0" collapsed="false">
      <c r="A24" s="364" t="n">
        <v>44514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44515</v>
      </c>
      <c r="B27" s="359" t="n">
        <v>44515</v>
      </c>
      <c r="C27" s="360"/>
      <c r="D27" s="361"/>
      <c r="E27" s="362"/>
      <c r="F27" s="363"/>
    </row>
    <row r="28" customFormat="false" ht="12.75" hidden="false" customHeight="false" outlineLevel="0" collapsed="false">
      <c r="A28" s="364" t="n">
        <v>44516</v>
      </c>
      <c r="B28" s="347" t="n">
        <v>44516</v>
      </c>
      <c r="F28" s="365"/>
    </row>
    <row r="29" customFormat="false" ht="12.75" hidden="false" customHeight="false" outlineLevel="0" collapsed="false">
      <c r="A29" s="364" t="n">
        <v>44517</v>
      </c>
      <c r="B29" s="347" t="n">
        <v>44517</v>
      </c>
      <c r="E29" s="349" t="n">
        <v>200</v>
      </c>
      <c r="F29" s="365"/>
    </row>
    <row r="30" customFormat="false" ht="12.75" hidden="false" customHeight="false" outlineLevel="0" collapsed="false">
      <c r="A30" s="364" t="n">
        <v>44518</v>
      </c>
      <c r="B30" s="347" t="n">
        <v>44518</v>
      </c>
      <c r="E30" s="349" t="n">
        <v>200</v>
      </c>
      <c r="F30" s="365"/>
    </row>
    <row r="31" customFormat="false" ht="12.75" hidden="false" customHeight="false" outlineLevel="0" collapsed="false">
      <c r="A31" s="364" t="n">
        <v>44519</v>
      </c>
      <c r="B31" s="347" t="n">
        <v>44519</v>
      </c>
      <c r="E31" s="349" t="n">
        <v>200</v>
      </c>
      <c r="F31" s="365"/>
    </row>
    <row r="32" customFormat="false" ht="12.75" hidden="false" customHeight="false" outlineLevel="0" collapsed="false">
      <c r="A32" s="364" t="n">
        <v>44520</v>
      </c>
      <c r="B32" s="347" t="n">
        <v>44520</v>
      </c>
      <c r="E32" s="349" t="n">
        <v>200</v>
      </c>
      <c r="F32" s="365"/>
    </row>
    <row r="33" customFormat="false" ht="12.75" hidden="false" customHeight="false" outlineLevel="0" collapsed="false">
      <c r="A33" s="364" t="n">
        <v>44521</v>
      </c>
      <c r="B33" s="347" t="n">
        <v>44521</v>
      </c>
      <c r="E33" s="349" t="n">
        <v>200</v>
      </c>
      <c r="F33" s="365"/>
    </row>
    <row r="34" customFormat="false" ht="12.75" hidden="false" customHeight="false" outlineLevel="0" collapsed="false">
      <c r="A34" s="364" t="n">
        <v>44521</v>
      </c>
      <c r="B34" s="347" t="s">
        <v>241</v>
      </c>
      <c r="F34" s="365"/>
    </row>
    <row r="35" customFormat="false" ht="12.75" hidden="false" customHeight="false" outlineLevel="0" collapsed="false">
      <c r="A35" s="364" t="n">
        <v>44521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44522</v>
      </c>
      <c r="B38" s="359" t="n">
        <v>44522</v>
      </c>
      <c r="C38" s="360"/>
      <c r="D38" s="361"/>
      <c r="E38" s="362"/>
      <c r="F38" s="363"/>
    </row>
    <row r="39" customFormat="false" ht="12.75" hidden="false" customHeight="false" outlineLevel="0" collapsed="false">
      <c r="A39" s="364" t="n">
        <v>44523</v>
      </c>
      <c r="B39" s="347" t="n">
        <v>44523</v>
      </c>
      <c r="F39" s="365"/>
    </row>
    <row r="40" customFormat="false" ht="12.75" hidden="false" customHeight="false" outlineLevel="0" collapsed="false">
      <c r="A40" s="364" t="n">
        <v>44524</v>
      </c>
      <c r="B40" s="347" t="n">
        <v>44524</v>
      </c>
      <c r="F40" s="365"/>
    </row>
    <row r="41" customFormat="false" ht="12.75" hidden="false" customHeight="false" outlineLevel="0" collapsed="false">
      <c r="A41" s="364" t="n">
        <v>44525</v>
      </c>
      <c r="B41" s="347" t="n">
        <v>44525</v>
      </c>
      <c r="F41" s="365"/>
    </row>
    <row r="42" customFormat="false" ht="12.75" hidden="false" customHeight="false" outlineLevel="0" collapsed="false">
      <c r="A42" s="364" t="n">
        <v>44526</v>
      </c>
      <c r="B42" s="347" t="n">
        <v>44526</v>
      </c>
      <c r="F42" s="365"/>
    </row>
    <row r="43" customFormat="false" ht="12.75" hidden="false" customHeight="false" outlineLevel="0" collapsed="false">
      <c r="A43" s="364" t="n">
        <v>44527</v>
      </c>
      <c r="B43" s="347" t="n">
        <v>44527</v>
      </c>
      <c r="F43" s="365"/>
    </row>
    <row r="44" customFormat="false" ht="12.75" hidden="false" customHeight="false" outlineLevel="0" collapsed="false">
      <c r="A44" s="364" t="n">
        <v>44528</v>
      </c>
      <c r="B44" s="347" t="n">
        <v>44528</v>
      </c>
      <c r="F44" s="365"/>
    </row>
    <row r="45" customFormat="false" ht="12.75" hidden="false" customHeight="false" outlineLevel="0" collapsed="false">
      <c r="A45" s="364" t="n">
        <v>44528</v>
      </c>
      <c r="B45" s="347" t="s">
        <v>241</v>
      </c>
      <c r="F45" s="365"/>
    </row>
    <row r="46" customFormat="false" ht="12.75" hidden="false" customHeight="false" outlineLevel="0" collapsed="false">
      <c r="A46" s="364" t="n">
        <v>44528</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44529</v>
      </c>
      <c r="B5" s="359" t="n">
        <v>44529</v>
      </c>
      <c r="C5" s="360"/>
      <c r="D5" s="361"/>
      <c r="E5" s="362"/>
      <c r="F5" s="363"/>
    </row>
    <row r="6" customFormat="false" ht="12.75" hidden="false" customHeight="false" outlineLevel="0" collapsed="false">
      <c r="A6" s="364" t="n">
        <v>44530</v>
      </c>
      <c r="B6" s="347" t="n">
        <v>44530</v>
      </c>
      <c r="F6" s="365"/>
    </row>
    <row r="7" customFormat="false" ht="12.75" hidden="false" customHeight="false" outlineLevel="0" collapsed="false">
      <c r="A7" s="364" t="n">
        <v>44531</v>
      </c>
      <c r="B7" s="347" t="n">
        <v>44531</v>
      </c>
      <c r="E7" s="349" t="n">
        <v>200</v>
      </c>
      <c r="F7" s="365"/>
    </row>
    <row r="8" customFormat="false" ht="12.75" hidden="false" customHeight="false" outlineLevel="0" collapsed="false">
      <c r="A8" s="364" t="n">
        <v>44532</v>
      </c>
      <c r="B8" s="347" t="n">
        <v>44532</v>
      </c>
      <c r="E8" s="349" t="n">
        <v>200</v>
      </c>
      <c r="F8" s="365"/>
    </row>
    <row r="9" customFormat="false" ht="12.75" hidden="false" customHeight="false" outlineLevel="0" collapsed="false">
      <c r="A9" s="364" t="n">
        <v>44533</v>
      </c>
      <c r="B9" s="347" t="n">
        <v>44533</v>
      </c>
      <c r="E9" s="349" t="n">
        <v>200</v>
      </c>
      <c r="F9" s="365"/>
    </row>
    <row r="10" customFormat="false" ht="12.75" hidden="false" customHeight="false" outlineLevel="0" collapsed="false">
      <c r="A10" s="364" t="n">
        <v>44534</v>
      </c>
      <c r="B10" s="347" t="n">
        <v>44534</v>
      </c>
      <c r="E10" s="349" t="n">
        <v>200</v>
      </c>
      <c r="F10" s="365"/>
    </row>
    <row r="11" customFormat="false" ht="12.75" hidden="false" customHeight="false" outlineLevel="0" collapsed="false">
      <c r="A11" s="364" t="n">
        <v>44535</v>
      </c>
      <c r="B11" s="347" t="n">
        <v>44535</v>
      </c>
      <c r="E11" s="349" t="n">
        <v>200</v>
      </c>
      <c r="F11" s="365"/>
    </row>
    <row r="12" customFormat="false" ht="12.75" hidden="false" customHeight="false" outlineLevel="0" collapsed="false">
      <c r="A12" s="364" t="n">
        <v>44535</v>
      </c>
      <c r="B12" s="347" t="s">
        <v>241</v>
      </c>
      <c r="F12" s="365"/>
    </row>
    <row r="13" customFormat="false" ht="12.75" hidden="false" customHeight="false" outlineLevel="0" collapsed="false">
      <c r="A13" s="364" t="n">
        <v>44535</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44536</v>
      </c>
      <c r="B16" s="359" t="n">
        <v>44536</v>
      </c>
      <c r="C16" s="360"/>
      <c r="D16" s="361"/>
      <c r="E16" s="362"/>
      <c r="F16" s="363"/>
    </row>
    <row r="17" customFormat="false" ht="12.75" hidden="false" customHeight="false" outlineLevel="0" collapsed="false">
      <c r="A17" s="364" t="n">
        <v>44537</v>
      </c>
      <c r="B17" s="347" t="n">
        <v>44537</v>
      </c>
      <c r="F17" s="365"/>
    </row>
    <row r="18" customFormat="false" ht="12.75" hidden="false" customHeight="false" outlineLevel="0" collapsed="false">
      <c r="A18" s="364" t="n">
        <v>44538</v>
      </c>
      <c r="B18" s="347" t="n">
        <v>44538</v>
      </c>
      <c r="E18" s="349" t="n">
        <v>200</v>
      </c>
      <c r="F18" s="365"/>
    </row>
    <row r="19" customFormat="false" ht="12.75" hidden="false" customHeight="false" outlineLevel="0" collapsed="false">
      <c r="A19" s="364" t="n">
        <v>44539</v>
      </c>
      <c r="B19" s="347" t="n">
        <v>44539</v>
      </c>
      <c r="E19" s="349" t="n">
        <v>200</v>
      </c>
      <c r="F19" s="365"/>
    </row>
    <row r="20" customFormat="false" ht="12.75" hidden="false" customHeight="false" outlineLevel="0" collapsed="false">
      <c r="A20" s="364" t="n">
        <v>44540</v>
      </c>
      <c r="B20" s="347" t="n">
        <v>44540</v>
      </c>
      <c r="E20" s="349" t="n">
        <v>200</v>
      </c>
      <c r="F20" s="365"/>
    </row>
    <row r="21" customFormat="false" ht="12.75" hidden="false" customHeight="false" outlineLevel="0" collapsed="false">
      <c r="A21" s="364" t="n">
        <v>44541</v>
      </c>
      <c r="B21" s="347" t="n">
        <v>44541</v>
      </c>
      <c r="E21" s="349" t="n">
        <v>200</v>
      </c>
      <c r="F21" s="365"/>
    </row>
    <row r="22" customFormat="false" ht="12.75" hidden="false" customHeight="false" outlineLevel="0" collapsed="false">
      <c r="A22" s="364" t="n">
        <v>44542</v>
      </c>
      <c r="B22" s="347" t="n">
        <v>44542</v>
      </c>
      <c r="E22" s="349" t="n">
        <v>200</v>
      </c>
      <c r="F22" s="365"/>
    </row>
    <row r="23" customFormat="false" ht="12.75" hidden="false" customHeight="false" outlineLevel="0" collapsed="false">
      <c r="A23" s="364" t="n">
        <v>44542</v>
      </c>
      <c r="B23" s="347" t="s">
        <v>241</v>
      </c>
      <c r="F23" s="365"/>
    </row>
    <row r="24" customFormat="false" ht="12.75" hidden="false" customHeight="false" outlineLevel="0" collapsed="false">
      <c r="A24" s="364" t="n">
        <v>44542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44543</v>
      </c>
      <c r="B27" s="359" t="n">
        <v>44543</v>
      </c>
      <c r="C27" s="360"/>
      <c r="D27" s="361"/>
      <c r="E27" s="362"/>
      <c r="F27" s="363"/>
    </row>
    <row r="28" customFormat="false" ht="12.75" hidden="false" customHeight="false" outlineLevel="0" collapsed="false">
      <c r="A28" s="364" t="n">
        <v>44544</v>
      </c>
      <c r="B28" s="347" t="n">
        <v>44544</v>
      </c>
      <c r="F28" s="365"/>
    </row>
    <row r="29" customFormat="false" ht="12.75" hidden="false" customHeight="false" outlineLevel="0" collapsed="false">
      <c r="A29" s="364" t="n">
        <v>44545</v>
      </c>
      <c r="B29" s="347" t="n">
        <v>44545</v>
      </c>
      <c r="E29" s="349" t="n">
        <v>200</v>
      </c>
      <c r="F29" s="365"/>
    </row>
    <row r="30" customFormat="false" ht="12.75" hidden="false" customHeight="false" outlineLevel="0" collapsed="false">
      <c r="A30" s="364" t="n">
        <v>44546</v>
      </c>
      <c r="B30" s="347" t="n">
        <v>44546</v>
      </c>
      <c r="E30" s="349" t="n">
        <v>200</v>
      </c>
      <c r="F30" s="365"/>
    </row>
    <row r="31" customFormat="false" ht="12.75" hidden="false" customHeight="false" outlineLevel="0" collapsed="false">
      <c r="A31" s="364" t="n">
        <v>44547</v>
      </c>
      <c r="B31" s="347" t="n">
        <v>44547</v>
      </c>
      <c r="E31" s="349" t="n">
        <v>200</v>
      </c>
      <c r="F31" s="365"/>
    </row>
    <row r="32" customFormat="false" ht="12.75" hidden="false" customHeight="false" outlineLevel="0" collapsed="false">
      <c r="A32" s="364" t="n">
        <v>44548</v>
      </c>
      <c r="B32" s="347" t="n">
        <v>44548</v>
      </c>
      <c r="E32" s="349" t="n">
        <v>200</v>
      </c>
      <c r="F32" s="365"/>
    </row>
    <row r="33" customFormat="false" ht="12.75" hidden="false" customHeight="false" outlineLevel="0" collapsed="false">
      <c r="A33" s="364" t="n">
        <v>44549</v>
      </c>
      <c r="B33" s="347" t="n">
        <v>44549</v>
      </c>
      <c r="E33" s="349" t="n">
        <v>200</v>
      </c>
      <c r="F33" s="365"/>
    </row>
    <row r="34" customFormat="false" ht="12.75" hidden="false" customHeight="false" outlineLevel="0" collapsed="false">
      <c r="A34" s="364" t="n">
        <v>44549</v>
      </c>
      <c r="B34" s="347" t="s">
        <v>241</v>
      </c>
      <c r="F34" s="365"/>
    </row>
    <row r="35" customFormat="false" ht="12.75" hidden="false" customHeight="false" outlineLevel="0" collapsed="false">
      <c r="A35" s="364" t="n">
        <v>44549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44550</v>
      </c>
      <c r="B38" s="359" t="n">
        <v>44550</v>
      </c>
      <c r="C38" s="360"/>
      <c r="D38" s="361"/>
      <c r="E38" s="362"/>
      <c r="F38" s="363"/>
    </row>
    <row r="39" customFormat="false" ht="12.75" hidden="false" customHeight="false" outlineLevel="0" collapsed="false">
      <c r="A39" s="364" t="n">
        <v>44551</v>
      </c>
      <c r="B39" s="347" t="n">
        <v>44551</v>
      </c>
      <c r="F39" s="365"/>
    </row>
    <row r="40" customFormat="false" ht="12.75" hidden="false" customHeight="false" outlineLevel="0" collapsed="false">
      <c r="A40" s="364" t="n">
        <v>44552</v>
      </c>
      <c r="B40" s="347" t="n">
        <v>44552</v>
      </c>
      <c r="F40" s="365"/>
    </row>
    <row r="41" customFormat="false" ht="12.75" hidden="false" customHeight="false" outlineLevel="0" collapsed="false">
      <c r="A41" s="364" t="n">
        <v>44553</v>
      </c>
      <c r="B41" s="347" t="n">
        <v>44553</v>
      </c>
      <c r="F41" s="365"/>
    </row>
    <row r="42" customFormat="false" ht="12.75" hidden="false" customHeight="false" outlineLevel="0" collapsed="false">
      <c r="A42" s="364" t="n">
        <v>44554</v>
      </c>
      <c r="B42" s="347" t="n">
        <v>44554</v>
      </c>
      <c r="F42" s="365"/>
    </row>
    <row r="43" customFormat="false" ht="12.75" hidden="false" customHeight="false" outlineLevel="0" collapsed="false">
      <c r="A43" s="364" t="n">
        <v>44555</v>
      </c>
      <c r="B43" s="347" t="n">
        <v>44555</v>
      </c>
      <c r="F43" s="365"/>
    </row>
    <row r="44" customFormat="false" ht="12.75" hidden="false" customHeight="false" outlineLevel="0" collapsed="false">
      <c r="A44" s="364" t="n">
        <v>44556</v>
      </c>
      <c r="B44" s="347" t="n">
        <v>44556</v>
      </c>
      <c r="F44" s="365"/>
    </row>
    <row r="45" customFormat="false" ht="12.75" hidden="false" customHeight="false" outlineLevel="0" collapsed="false">
      <c r="A45" s="364" t="n">
        <v>44556</v>
      </c>
      <c r="B45" s="347" t="s">
        <v>241</v>
      </c>
      <c r="F45" s="365"/>
    </row>
    <row r="46" customFormat="false" ht="12.75" hidden="false" customHeight="false" outlineLevel="0" collapsed="false">
      <c r="A46" s="364" t="n">
        <v>44556</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44557</v>
      </c>
      <c r="B5" s="359" t="n">
        <v>44557</v>
      </c>
      <c r="C5" s="360"/>
      <c r="D5" s="361"/>
      <c r="E5" s="362"/>
      <c r="F5" s="363"/>
    </row>
    <row r="6" customFormat="false" ht="12.75" hidden="false" customHeight="false" outlineLevel="0" collapsed="false">
      <c r="A6" s="364" t="n">
        <v>44558</v>
      </c>
      <c r="B6" s="347" t="n">
        <v>44558</v>
      </c>
      <c r="F6" s="365"/>
    </row>
    <row r="7" customFormat="false" ht="12.75" hidden="false" customHeight="false" outlineLevel="0" collapsed="false">
      <c r="A7" s="364" t="n">
        <v>44559</v>
      </c>
      <c r="B7" s="347" t="n">
        <v>44559</v>
      </c>
      <c r="F7" s="365"/>
    </row>
    <row r="8" customFormat="false" ht="12.75" hidden="false" customHeight="false" outlineLevel="0" collapsed="false">
      <c r="A8" s="364" t="n">
        <v>44560</v>
      </c>
      <c r="B8" s="347" t="n">
        <v>44560</v>
      </c>
      <c r="F8" s="365"/>
    </row>
    <row r="9" customFormat="false" ht="12.75" hidden="false" customHeight="false" outlineLevel="0" collapsed="false">
      <c r="A9" s="364" t="n">
        <v>44561</v>
      </c>
      <c r="B9" s="347" t="n">
        <v>44561</v>
      </c>
      <c r="F9" s="365"/>
    </row>
    <row r="10" customFormat="false" ht="12.75" hidden="false" customHeight="false" outlineLevel="0" collapsed="false">
      <c r="A10" s="364" t="n">
        <v>44562</v>
      </c>
      <c r="B10" s="347" t="n">
        <v>44562</v>
      </c>
      <c r="F10" s="365"/>
    </row>
    <row r="11" customFormat="false" ht="12.75" hidden="false" customHeight="false" outlineLevel="0" collapsed="false">
      <c r="A11" s="364" t="n">
        <v>44563</v>
      </c>
      <c r="B11" s="347" t="n">
        <v>44563</v>
      </c>
      <c r="F11" s="365"/>
    </row>
    <row r="12" customFormat="false" ht="12.75" hidden="false" customHeight="false" outlineLevel="0" collapsed="false">
      <c r="A12" s="364" t="n">
        <v>44563</v>
      </c>
      <c r="B12" s="347" t="s">
        <v>241</v>
      </c>
      <c r="F12" s="365"/>
    </row>
    <row r="13" customFormat="false" ht="12.75" hidden="false" customHeight="false" outlineLevel="0" collapsed="false">
      <c r="A13" s="364" t="n">
        <v>44563</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44564</v>
      </c>
      <c r="B16" s="359" t="n">
        <v>44564</v>
      </c>
      <c r="C16" s="360"/>
      <c r="D16" s="361"/>
      <c r="E16" s="362"/>
      <c r="F16" s="363"/>
    </row>
    <row r="17" customFormat="false" ht="12.75" hidden="false" customHeight="false" outlineLevel="0" collapsed="false">
      <c r="A17" s="364" t="n">
        <v>44565</v>
      </c>
      <c r="B17" s="347" t="n">
        <v>44565</v>
      </c>
      <c r="F17" s="365"/>
    </row>
    <row r="18" customFormat="false" ht="12.75" hidden="false" customHeight="false" outlineLevel="0" collapsed="false">
      <c r="A18" s="364" t="n">
        <v>44566</v>
      </c>
      <c r="B18" s="347" t="n">
        <v>44566</v>
      </c>
      <c r="E18" s="349" t="n">
        <v>200</v>
      </c>
      <c r="F18" s="365"/>
    </row>
    <row r="19" customFormat="false" ht="12.75" hidden="false" customHeight="false" outlineLevel="0" collapsed="false">
      <c r="A19" s="364" t="n">
        <v>44567</v>
      </c>
      <c r="B19" s="347" t="n">
        <v>44567</v>
      </c>
      <c r="E19" s="349" t="n">
        <v>200</v>
      </c>
      <c r="F19" s="365"/>
    </row>
    <row r="20" customFormat="false" ht="12.75" hidden="false" customHeight="false" outlineLevel="0" collapsed="false">
      <c r="A20" s="364" t="n">
        <v>44568</v>
      </c>
      <c r="B20" s="347" t="n">
        <v>44568</v>
      </c>
      <c r="E20" s="349" t="n">
        <v>200</v>
      </c>
      <c r="F20" s="365"/>
    </row>
    <row r="21" customFormat="false" ht="12.75" hidden="false" customHeight="false" outlineLevel="0" collapsed="false">
      <c r="A21" s="364" t="n">
        <v>44569</v>
      </c>
      <c r="B21" s="347" t="n">
        <v>44569</v>
      </c>
      <c r="E21" s="349" t="n">
        <v>200</v>
      </c>
      <c r="F21" s="365"/>
    </row>
    <row r="22" customFormat="false" ht="12.75" hidden="false" customHeight="false" outlineLevel="0" collapsed="false">
      <c r="A22" s="364" t="n">
        <v>44570</v>
      </c>
      <c r="B22" s="347" t="n">
        <v>44570</v>
      </c>
      <c r="E22" s="349" t="n">
        <v>200</v>
      </c>
      <c r="F22" s="365"/>
    </row>
    <row r="23" customFormat="false" ht="12.75" hidden="false" customHeight="false" outlineLevel="0" collapsed="false">
      <c r="A23" s="364" t="n">
        <v>44570</v>
      </c>
      <c r="B23" s="347" t="s">
        <v>241</v>
      </c>
      <c r="F23" s="365"/>
    </row>
    <row r="24" customFormat="false" ht="12.75" hidden="false" customHeight="false" outlineLevel="0" collapsed="false">
      <c r="A24" s="364" t="n">
        <v>44570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44571</v>
      </c>
      <c r="B27" s="359" t="n">
        <v>44571</v>
      </c>
      <c r="C27" s="360"/>
      <c r="D27" s="361"/>
      <c r="E27" s="362"/>
      <c r="F27" s="363"/>
    </row>
    <row r="28" customFormat="false" ht="12.75" hidden="false" customHeight="false" outlineLevel="0" collapsed="false">
      <c r="A28" s="364" t="n">
        <v>44572</v>
      </c>
      <c r="B28" s="347" t="n">
        <v>44572</v>
      </c>
      <c r="F28" s="365"/>
    </row>
    <row r="29" customFormat="false" ht="12.75" hidden="false" customHeight="false" outlineLevel="0" collapsed="false">
      <c r="A29" s="364" t="n">
        <v>44573</v>
      </c>
      <c r="B29" s="347" t="n">
        <v>44573</v>
      </c>
      <c r="E29" s="349" t="n">
        <v>200</v>
      </c>
      <c r="F29" s="365"/>
    </row>
    <row r="30" customFormat="false" ht="12.75" hidden="false" customHeight="false" outlineLevel="0" collapsed="false">
      <c r="A30" s="364" t="n">
        <v>44574</v>
      </c>
      <c r="B30" s="347" t="n">
        <v>44574</v>
      </c>
      <c r="E30" s="349" t="n">
        <v>200</v>
      </c>
      <c r="F30" s="365"/>
    </row>
    <row r="31" customFormat="false" ht="12.75" hidden="false" customHeight="false" outlineLevel="0" collapsed="false">
      <c r="A31" s="364" t="n">
        <v>44575</v>
      </c>
      <c r="B31" s="347" t="n">
        <v>44575</v>
      </c>
      <c r="E31" s="349" t="n">
        <v>200</v>
      </c>
      <c r="F31" s="365"/>
    </row>
    <row r="32" customFormat="false" ht="12.75" hidden="false" customHeight="false" outlineLevel="0" collapsed="false">
      <c r="A32" s="364" t="n">
        <v>44576</v>
      </c>
      <c r="B32" s="347" t="n">
        <v>44576</v>
      </c>
      <c r="E32" s="349" t="n">
        <v>200</v>
      </c>
      <c r="F32" s="365"/>
    </row>
    <row r="33" customFormat="false" ht="12.75" hidden="false" customHeight="false" outlineLevel="0" collapsed="false">
      <c r="A33" s="364" t="n">
        <v>44577</v>
      </c>
      <c r="B33" s="347" t="n">
        <v>44577</v>
      </c>
      <c r="E33" s="349" t="n">
        <v>200</v>
      </c>
      <c r="F33" s="365"/>
    </row>
    <row r="34" customFormat="false" ht="12.75" hidden="false" customHeight="false" outlineLevel="0" collapsed="false">
      <c r="A34" s="364" t="n">
        <v>44577</v>
      </c>
      <c r="B34" s="347" t="s">
        <v>241</v>
      </c>
      <c r="F34" s="365"/>
    </row>
    <row r="35" customFormat="false" ht="12.75" hidden="false" customHeight="false" outlineLevel="0" collapsed="false">
      <c r="A35" s="364" t="n">
        <v>44577</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44578</v>
      </c>
      <c r="B38" s="359" t="n">
        <v>44578</v>
      </c>
      <c r="C38" s="360"/>
      <c r="D38" s="361"/>
      <c r="E38" s="362"/>
      <c r="F38" s="363"/>
    </row>
    <row r="39" customFormat="false" ht="12.75" hidden="false" customHeight="false" outlineLevel="0" collapsed="false">
      <c r="A39" s="364" t="n">
        <v>44579</v>
      </c>
      <c r="B39" s="347" t="n">
        <v>44579</v>
      </c>
      <c r="F39" s="365"/>
    </row>
    <row r="40" customFormat="false" ht="12.75" hidden="false" customHeight="false" outlineLevel="0" collapsed="false">
      <c r="A40" s="364" t="n">
        <v>44580</v>
      </c>
      <c r="B40" s="347" t="n">
        <v>44580</v>
      </c>
      <c r="E40" s="349" t="n">
        <v>200</v>
      </c>
      <c r="F40" s="365"/>
    </row>
    <row r="41" customFormat="false" ht="12.75" hidden="false" customHeight="false" outlineLevel="0" collapsed="false">
      <c r="A41" s="364" t="n">
        <v>44581</v>
      </c>
      <c r="B41" s="347" t="n">
        <v>44581</v>
      </c>
      <c r="E41" s="349" t="n">
        <v>200</v>
      </c>
      <c r="F41" s="365"/>
    </row>
    <row r="42" customFormat="false" ht="12.75" hidden="false" customHeight="false" outlineLevel="0" collapsed="false">
      <c r="A42" s="364" t="n">
        <v>44582</v>
      </c>
      <c r="B42" s="347" t="n">
        <v>44582</v>
      </c>
      <c r="E42" s="349" t="n">
        <v>200</v>
      </c>
      <c r="F42" s="365"/>
    </row>
    <row r="43" customFormat="false" ht="12.75" hidden="false" customHeight="false" outlineLevel="0" collapsed="false">
      <c r="A43" s="364" t="n">
        <v>44583</v>
      </c>
      <c r="B43" s="347" t="n">
        <v>44583</v>
      </c>
      <c r="E43" s="349" t="n">
        <v>200</v>
      </c>
      <c r="F43" s="365"/>
    </row>
    <row r="44" customFormat="false" ht="12.75" hidden="false" customHeight="false" outlineLevel="0" collapsed="false">
      <c r="A44" s="364" t="n">
        <v>44584</v>
      </c>
      <c r="B44" s="347" t="n">
        <v>44584</v>
      </c>
      <c r="E44" s="349" t="n">
        <v>200</v>
      </c>
      <c r="F44" s="365"/>
    </row>
    <row r="45" customFormat="false" ht="12.75" hidden="false" customHeight="false" outlineLevel="0" collapsed="false">
      <c r="A45" s="364" t="n">
        <v>44584</v>
      </c>
      <c r="B45" s="347" t="s">
        <v>241</v>
      </c>
      <c r="F45" s="365"/>
    </row>
    <row r="46" customFormat="false" ht="12.75" hidden="false" customHeight="false" outlineLevel="0" collapsed="false">
      <c r="A46" s="364" t="n">
        <v>44584</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44585</v>
      </c>
      <c r="B49" s="359" t="n">
        <v>44585</v>
      </c>
      <c r="C49" s="360"/>
      <c r="D49" s="361"/>
      <c r="E49" s="362"/>
      <c r="F49" s="363"/>
    </row>
    <row r="50" customFormat="false" ht="12.75" hidden="false" customHeight="false" outlineLevel="0" collapsed="false">
      <c r="A50" s="364" t="n">
        <v>44586</v>
      </c>
      <c r="B50" s="347" t="n">
        <v>44586</v>
      </c>
      <c r="F50" s="365"/>
    </row>
    <row r="51" customFormat="false" ht="12.75" hidden="false" customHeight="false" outlineLevel="0" collapsed="false">
      <c r="A51" s="364" t="n">
        <v>44587</v>
      </c>
      <c r="B51" s="347" t="n">
        <v>44587</v>
      </c>
      <c r="F51" s="365"/>
    </row>
    <row r="52" customFormat="false" ht="12.75" hidden="false" customHeight="false" outlineLevel="0" collapsed="false">
      <c r="A52" s="364" t="n">
        <v>44588</v>
      </c>
      <c r="B52" s="347" t="n">
        <v>44588</v>
      </c>
      <c r="F52" s="365"/>
    </row>
    <row r="53" customFormat="false" ht="12.75" hidden="false" customHeight="false" outlineLevel="0" collapsed="false">
      <c r="A53" s="364" t="n">
        <v>44589</v>
      </c>
      <c r="B53" s="347" t="n">
        <v>44589</v>
      </c>
      <c r="F53" s="365"/>
    </row>
    <row r="54" customFormat="false" ht="12.75" hidden="false" customHeight="false" outlineLevel="0" collapsed="false">
      <c r="A54" s="364" t="n">
        <v>44590</v>
      </c>
      <c r="B54" s="347" t="n">
        <v>44590</v>
      </c>
      <c r="F54" s="365"/>
    </row>
    <row r="55" customFormat="false" ht="12.75" hidden="false" customHeight="false" outlineLevel="0" collapsed="false">
      <c r="A55" s="364" t="n">
        <v>44591</v>
      </c>
      <c r="B55" s="347" t="n">
        <v>44591</v>
      </c>
      <c r="F55" s="365"/>
    </row>
    <row r="56" customFormat="false" ht="12.75" hidden="false" customHeight="false" outlineLevel="0" collapsed="false">
      <c r="A56" s="364" t="n">
        <v>44591</v>
      </c>
      <c r="B56" s="347" t="s">
        <v>241</v>
      </c>
      <c r="F56" s="365"/>
    </row>
    <row r="57" customFormat="false" ht="12.75" hidden="false" customHeight="false" outlineLevel="0" collapsed="false">
      <c r="A57" s="364" t="n">
        <v>44591</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44592</v>
      </c>
      <c r="B5" s="359" t="n">
        <v>44592</v>
      </c>
      <c r="C5" s="360"/>
      <c r="D5" s="361"/>
      <c r="E5" s="362"/>
      <c r="F5" s="363"/>
    </row>
    <row r="6" customFormat="false" ht="12.75" hidden="false" customHeight="false" outlineLevel="0" collapsed="false">
      <c r="A6" s="364" t="n">
        <v>44593</v>
      </c>
      <c r="B6" s="347" t="n">
        <v>44593</v>
      </c>
      <c r="F6" s="365"/>
    </row>
    <row r="7" customFormat="false" ht="12.75" hidden="false" customHeight="false" outlineLevel="0" collapsed="false">
      <c r="A7" s="364" t="n">
        <v>44594</v>
      </c>
      <c r="B7" s="347" t="n">
        <v>44594</v>
      </c>
      <c r="E7" s="349" t="n">
        <v>200</v>
      </c>
      <c r="F7" s="365"/>
    </row>
    <row r="8" customFormat="false" ht="12.75" hidden="false" customHeight="false" outlineLevel="0" collapsed="false">
      <c r="A8" s="364" t="n">
        <v>44595</v>
      </c>
      <c r="B8" s="347" t="n">
        <v>44595</v>
      </c>
      <c r="E8" s="349" t="n">
        <v>200</v>
      </c>
      <c r="F8" s="365"/>
    </row>
    <row r="9" customFormat="false" ht="12.75" hidden="false" customHeight="false" outlineLevel="0" collapsed="false">
      <c r="A9" s="364" t="n">
        <v>44596</v>
      </c>
      <c r="B9" s="347" t="n">
        <v>44596</v>
      </c>
      <c r="E9" s="349" t="n">
        <v>200</v>
      </c>
      <c r="F9" s="365"/>
    </row>
    <row r="10" customFormat="false" ht="12.75" hidden="false" customHeight="false" outlineLevel="0" collapsed="false">
      <c r="A10" s="364" t="n">
        <v>44597</v>
      </c>
      <c r="B10" s="347" t="n">
        <v>44597</v>
      </c>
      <c r="E10" s="349" t="n">
        <v>200</v>
      </c>
      <c r="F10" s="365"/>
    </row>
    <row r="11" customFormat="false" ht="12.75" hidden="false" customHeight="false" outlineLevel="0" collapsed="false">
      <c r="A11" s="364" t="n">
        <v>44598</v>
      </c>
      <c r="B11" s="347" t="n">
        <v>44598</v>
      </c>
      <c r="E11" s="349" t="n">
        <v>200</v>
      </c>
      <c r="F11" s="365"/>
    </row>
    <row r="12" customFormat="false" ht="12.75" hidden="false" customHeight="false" outlineLevel="0" collapsed="false">
      <c r="A12" s="364" t="n">
        <v>44598</v>
      </c>
      <c r="B12" s="347" t="s">
        <v>241</v>
      </c>
      <c r="F12" s="365"/>
    </row>
    <row r="13" customFormat="false" ht="12.75" hidden="false" customHeight="false" outlineLevel="0" collapsed="false">
      <c r="A13" s="364" t="n">
        <v>44598</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44599</v>
      </c>
      <c r="B16" s="359" t="n">
        <v>44599</v>
      </c>
      <c r="C16" s="360"/>
      <c r="D16" s="361"/>
      <c r="E16" s="362"/>
      <c r="F16" s="363"/>
    </row>
    <row r="17" customFormat="false" ht="12.75" hidden="false" customHeight="false" outlineLevel="0" collapsed="false">
      <c r="A17" s="364" t="n">
        <v>44600</v>
      </c>
      <c r="B17" s="347" t="n">
        <v>44600</v>
      </c>
      <c r="F17" s="365"/>
    </row>
    <row r="18" customFormat="false" ht="12.75" hidden="false" customHeight="false" outlineLevel="0" collapsed="false">
      <c r="A18" s="364" t="n">
        <v>44601</v>
      </c>
      <c r="B18" s="347" t="n">
        <v>44601</v>
      </c>
      <c r="E18" s="349" t="n">
        <v>200</v>
      </c>
      <c r="F18" s="365"/>
    </row>
    <row r="19" customFormat="false" ht="12.75" hidden="false" customHeight="false" outlineLevel="0" collapsed="false">
      <c r="A19" s="364" t="n">
        <v>44602</v>
      </c>
      <c r="B19" s="347" t="n">
        <v>44602</v>
      </c>
      <c r="E19" s="349" t="n">
        <v>200</v>
      </c>
      <c r="F19" s="365"/>
    </row>
    <row r="20" customFormat="false" ht="12.75" hidden="false" customHeight="false" outlineLevel="0" collapsed="false">
      <c r="A20" s="364" t="n">
        <v>44603</v>
      </c>
      <c r="B20" s="347" t="n">
        <v>44603</v>
      </c>
      <c r="E20" s="349" t="n">
        <v>200</v>
      </c>
      <c r="F20" s="365"/>
    </row>
    <row r="21" customFormat="false" ht="12.75" hidden="false" customHeight="false" outlineLevel="0" collapsed="false">
      <c r="A21" s="364" t="n">
        <v>44604</v>
      </c>
      <c r="B21" s="347" t="n">
        <v>44604</v>
      </c>
      <c r="E21" s="349" t="n">
        <v>200</v>
      </c>
      <c r="F21" s="365"/>
    </row>
    <row r="22" customFormat="false" ht="12.75" hidden="false" customHeight="false" outlineLevel="0" collapsed="false">
      <c r="A22" s="364" t="n">
        <v>44605</v>
      </c>
      <c r="B22" s="347" t="n">
        <v>44605</v>
      </c>
      <c r="E22" s="349" t="n">
        <v>200</v>
      </c>
      <c r="F22" s="365"/>
    </row>
    <row r="23" customFormat="false" ht="12.75" hidden="false" customHeight="false" outlineLevel="0" collapsed="false">
      <c r="A23" s="364" t="n">
        <v>44605</v>
      </c>
      <c r="B23" s="347" t="s">
        <v>241</v>
      </c>
      <c r="F23" s="365"/>
    </row>
    <row r="24" customFormat="false" ht="12.75" hidden="false" customHeight="false" outlineLevel="0" collapsed="false">
      <c r="A24" s="364" t="n">
        <v>44605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44606</v>
      </c>
      <c r="B27" s="359" t="n">
        <v>44606</v>
      </c>
      <c r="C27" s="360"/>
      <c r="D27" s="361"/>
      <c r="E27" s="362"/>
      <c r="F27" s="363"/>
    </row>
    <row r="28" customFormat="false" ht="12.75" hidden="false" customHeight="false" outlineLevel="0" collapsed="false">
      <c r="A28" s="364" t="n">
        <v>44607</v>
      </c>
      <c r="B28" s="347" t="n">
        <v>44607</v>
      </c>
      <c r="F28" s="365"/>
    </row>
    <row r="29" customFormat="false" ht="12.75" hidden="false" customHeight="false" outlineLevel="0" collapsed="false">
      <c r="A29" s="364" t="n">
        <v>44608</v>
      </c>
      <c r="B29" s="347" t="n">
        <v>44608</v>
      </c>
      <c r="E29" s="349" t="n">
        <v>200</v>
      </c>
      <c r="F29" s="365"/>
    </row>
    <row r="30" customFormat="false" ht="12.75" hidden="false" customHeight="false" outlineLevel="0" collapsed="false">
      <c r="A30" s="364" t="n">
        <v>44609</v>
      </c>
      <c r="B30" s="347" t="n">
        <v>44609</v>
      </c>
      <c r="E30" s="349" t="n">
        <v>200</v>
      </c>
      <c r="F30" s="365"/>
    </row>
    <row r="31" customFormat="false" ht="12.75" hidden="false" customHeight="false" outlineLevel="0" collapsed="false">
      <c r="A31" s="364" t="n">
        <v>44610</v>
      </c>
      <c r="B31" s="347" t="n">
        <v>44610</v>
      </c>
      <c r="E31" s="349" t="n">
        <v>200</v>
      </c>
      <c r="F31" s="365"/>
    </row>
    <row r="32" customFormat="false" ht="12.75" hidden="false" customHeight="false" outlineLevel="0" collapsed="false">
      <c r="A32" s="364" t="n">
        <v>44611</v>
      </c>
      <c r="B32" s="347" t="n">
        <v>44611</v>
      </c>
      <c r="E32" s="349" t="n">
        <v>200</v>
      </c>
      <c r="F32" s="365"/>
    </row>
    <row r="33" customFormat="false" ht="12.75" hidden="false" customHeight="false" outlineLevel="0" collapsed="false">
      <c r="A33" s="364" t="n">
        <v>44612</v>
      </c>
      <c r="B33" s="347" t="n">
        <v>44612</v>
      </c>
      <c r="E33" s="349" t="n">
        <v>200</v>
      </c>
      <c r="F33" s="365"/>
    </row>
    <row r="34" customFormat="false" ht="12.75" hidden="false" customHeight="false" outlineLevel="0" collapsed="false">
      <c r="A34" s="364" t="n">
        <v>44612</v>
      </c>
      <c r="B34" s="347" t="s">
        <v>241</v>
      </c>
      <c r="F34" s="365"/>
    </row>
    <row r="35" customFormat="false" ht="12.75" hidden="false" customHeight="false" outlineLevel="0" collapsed="false">
      <c r="A35" s="364" t="n">
        <v>44612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44613</v>
      </c>
      <c r="B38" s="359" t="n">
        <v>44613</v>
      </c>
      <c r="C38" s="360"/>
      <c r="D38" s="361"/>
      <c r="E38" s="362"/>
      <c r="F38" s="363"/>
    </row>
    <row r="39" customFormat="false" ht="12.75" hidden="false" customHeight="false" outlineLevel="0" collapsed="false">
      <c r="A39" s="364" t="n">
        <v>44614</v>
      </c>
      <c r="B39" s="347" t="n">
        <v>44614</v>
      </c>
      <c r="F39" s="365"/>
    </row>
    <row r="40" customFormat="false" ht="12.75" hidden="false" customHeight="false" outlineLevel="0" collapsed="false">
      <c r="A40" s="364" t="n">
        <v>44615</v>
      </c>
      <c r="B40" s="347" t="n">
        <v>44615</v>
      </c>
      <c r="F40" s="365"/>
    </row>
    <row r="41" customFormat="false" ht="12.75" hidden="false" customHeight="false" outlineLevel="0" collapsed="false">
      <c r="A41" s="364" t="n">
        <v>44616</v>
      </c>
      <c r="B41" s="347" t="n">
        <v>44616</v>
      </c>
      <c r="F41" s="365"/>
    </row>
    <row r="42" customFormat="false" ht="12.75" hidden="false" customHeight="false" outlineLevel="0" collapsed="false">
      <c r="A42" s="364" t="n">
        <v>44617</v>
      </c>
      <c r="B42" s="347" t="n">
        <v>44617</v>
      </c>
      <c r="F42" s="365"/>
    </row>
    <row r="43" customFormat="false" ht="12.75" hidden="false" customHeight="false" outlineLevel="0" collapsed="false">
      <c r="A43" s="364" t="n">
        <v>44618</v>
      </c>
      <c r="B43" s="347" t="n">
        <v>44618</v>
      </c>
      <c r="F43" s="365"/>
    </row>
    <row r="44" customFormat="false" ht="12.75" hidden="false" customHeight="false" outlineLevel="0" collapsed="false">
      <c r="A44" s="364" t="n">
        <v>44619</v>
      </c>
      <c r="B44" s="347" t="n">
        <v>44619</v>
      </c>
      <c r="F44" s="365"/>
    </row>
    <row r="45" customFormat="false" ht="12.75" hidden="false" customHeight="false" outlineLevel="0" collapsed="false">
      <c r="A45" s="364" t="n">
        <v>44619</v>
      </c>
      <c r="B45" s="347" t="s">
        <v>241</v>
      </c>
      <c r="F45" s="365"/>
    </row>
    <row r="46" customFormat="false" ht="12.75" hidden="false" customHeight="false" outlineLevel="0" collapsed="false">
      <c r="A46" s="364" t="n">
        <v>44619</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SUM(D4:D64)</f>
        <v>0</v>
      </c>
      <c r="E1" s="352" t="n">
        <f aca="false">SUM(E4:E64)/2</f>
        <v>3000</v>
      </c>
      <c r="F1" s="352" t="n">
        <f aca="false">SUM(F4:F64)/2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44620</v>
      </c>
      <c r="B5" s="359" t="n">
        <v>44620</v>
      </c>
      <c r="C5" s="360"/>
      <c r="D5" s="361"/>
      <c r="E5" s="362"/>
      <c r="F5" s="363"/>
    </row>
    <row r="6" customFormat="false" ht="12.75" hidden="false" customHeight="false" outlineLevel="0" collapsed="false">
      <c r="A6" s="364" t="n">
        <v>44621</v>
      </c>
      <c r="B6" s="347" t="n">
        <v>44621</v>
      </c>
      <c r="F6" s="365"/>
    </row>
    <row r="7" customFormat="false" ht="12.75" hidden="false" customHeight="false" outlineLevel="0" collapsed="false">
      <c r="A7" s="364" t="n">
        <v>44622</v>
      </c>
      <c r="B7" s="347" t="n">
        <v>44622</v>
      </c>
      <c r="E7" s="181" t="n">
        <v>200</v>
      </c>
      <c r="F7" s="365"/>
    </row>
    <row r="8" customFormat="false" ht="12.75" hidden="false" customHeight="false" outlineLevel="0" collapsed="false">
      <c r="A8" s="364" t="n">
        <v>44623</v>
      </c>
      <c r="B8" s="347" t="n">
        <v>44623</v>
      </c>
      <c r="E8" s="181" t="n">
        <v>200</v>
      </c>
      <c r="F8" s="365"/>
    </row>
    <row r="9" customFormat="false" ht="12.75" hidden="false" customHeight="false" outlineLevel="0" collapsed="false">
      <c r="A9" s="364" t="n">
        <v>44624</v>
      </c>
      <c r="B9" s="347" t="n">
        <v>44624</v>
      </c>
      <c r="E9" s="181" t="n">
        <v>200</v>
      </c>
      <c r="F9" s="365"/>
    </row>
    <row r="10" customFormat="false" ht="12.75" hidden="false" customHeight="false" outlineLevel="0" collapsed="false">
      <c r="A10" s="364" t="n">
        <v>44625</v>
      </c>
      <c r="B10" s="347" t="n">
        <v>44625</v>
      </c>
      <c r="E10" s="181" t="n">
        <v>200</v>
      </c>
      <c r="F10" s="365"/>
    </row>
    <row r="11" customFormat="false" ht="12.75" hidden="false" customHeight="false" outlineLevel="0" collapsed="false">
      <c r="A11" s="364" t="n">
        <v>44626</v>
      </c>
      <c r="B11" s="347" t="n">
        <v>44626</v>
      </c>
      <c r="E11" s="181" t="n">
        <v>200</v>
      </c>
      <c r="F11" s="365"/>
    </row>
    <row r="12" customFormat="false" ht="12.75" hidden="false" customHeight="false" outlineLevel="0" collapsed="false">
      <c r="A12" s="364" t="n">
        <v>44626</v>
      </c>
      <c r="B12" s="347" t="s">
        <v>241</v>
      </c>
      <c r="F12" s="365"/>
    </row>
    <row r="13" customFormat="false" ht="12.75" hidden="false" customHeight="false" outlineLevel="0" collapsed="false">
      <c r="A13" s="364" t="n">
        <v>44626</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44627</v>
      </c>
      <c r="B16" s="359" t="n">
        <v>44627</v>
      </c>
      <c r="C16" s="360"/>
      <c r="D16" s="361"/>
      <c r="E16" s="362"/>
      <c r="F16" s="363"/>
    </row>
    <row r="17" customFormat="false" ht="12.75" hidden="false" customHeight="false" outlineLevel="0" collapsed="false">
      <c r="A17" s="364" t="n">
        <v>44628</v>
      </c>
      <c r="B17" s="347" t="n">
        <v>44628</v>
      </c>
      <c r="F17" s="365"/>
    </row>
    <row r="18" customFormat="false" ht="12.75" hidden="false" customHeight="false" outlineLevel="0" collapsed="false">
      <c r="A18" s="364" t="n">
        <v>44629</v>
      </c>
      <c r="B18" s="347" t="n">
        <v>44629</v>
      </c>
      <c r="E18" s="181" t="n">
        <v>200</v>
      </c>
      <c r="F18" s="365"/>
    </row>
    <row r="19" customFormat="false" ht="12.75" hidden="false" customHeight="false" outlineLevel="0" collapsed="false">
      <c r="A19" s="364" t="n">
        <v>44630</v>
      </c>
      <c r="B19" s="347" t="n">
        <v>44630</v>
      </c>
      <c r="E19" s="181" t="n">
        <v>200</v>
      </c>
      <c r="F19" s="365"/>
    </row>
    <row r="20" customFormat="false" ht="12.75" hidden="false" customHeight="false" outlineLevel="0" collapsed="false">
      <c r="A20" s="364" t="n">
        <v>44631</v>
      </c>
      <c r="B20" s="347" t="n">
        <v>44631</v>
      </c>
      <c r="E20" s="181" t="n">
        <v>200</v>
      </c>
      <c r="F20" s="365"/>
    </row>
    <row r="21" customFormat="false" ht="12.75" hidden="false" customHeight="false" outlineLevel="0" collapsed="false">
      <c r="A21" s="364" t="n">
        <v>44632</v>
      </c>
      <c r="B21" s="347" t="n">
        <v>44632</v>
      </c>
      <c r="E21" s="181" t="n">
        <v>200</v>
      </c>
      <c r="F21" s="365"/>
    </row>
    <row r="22" customFormat="false" ht="12.75" hidden="false" customHeight="false" outlineLevel="0" collapsed="false">
      <c r="A22" s="364" t="n">
        <v>44633</v>
      </c>
      <c r="B22" s="347" t="n">
        <v>44633</v>
      </c>
      <c r="E22" s="181" t="n">
        <v>200</v>
      </c>
      <c r="F22" s="365"/>
    </row>
    <row r="23" customFormat="false" ht="12.75" hidden="false" customHeight="false" outlineLevel="0" collapsed="false">
      <c r="A23" s="364" t="n">
        <v>44633</v>
      </c>
      <c r="B23" s="347" t="s">
        <v>241</v>
      </c>
      <c r="F23" s="365"/>
    </row>
    <row r="24" customFormat="false" ht="12.75" hidden="false" customHeight="false" outlineLevel="0" collapsed="false">
      <c r="A24" s="364" t="n">
        <v>44633</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44634</v>
      </c>
      <c r="B27" s="359" t="n">
        <v>44634</v>
      </c>
      <c r="C27" s="360"/>
      <c r="D27" s="361"/>
      <c r="E27" s="362"/>
      <c r="F27" s="363"/>
    </row>
    <row r="28" customFormat="false" ht="12.75" hidden="false" customHeight="false" outlineLevel="0" collapsed="false">
      <c r="A28" s="364" t="n">
        <v>44635</v>
      </c>
      <c r="B28" s="347" t="n">
        <v>44635</v>
      </c>
      <c r="F28" s="365"/>
    </row>
    <row r="29" customFormat="false" ht="12.75" hidden="false" customHeight="false" outlineLevel="0" collapsed="false">
      <c r="A29" s="364" t="n">
        <v>44636</v>
      </c>
      <c r="B29" s="347" t="n">
        <v>44636</v>
      </c>
      <c r="E29" s="181" t="n">
        <v>200</v>
      </c>
      <c r="F29" s="365"/>
    </row>
    <row r="30" customFormat="false" ht="12.75" hidden="false" customHeight="false" outlineLevel="0" collapsed="false">
      <c r="A30" s="364" t="n">
        <v>44637</v>
      </c>
      <c r="B30" s="347" t="n">
        <v>44637</v>
      </c>
      <c r="E30" s="181" t="n">
        <v>200</v>
      </c>
      <c r="F30" s="365"/>
    </row>
    <row r="31" customFormat="false" ht="12.75" hidden="false" customHeight="false" outlineLevel="0" collapsed="false">
      <c r="A31" s="364" t="n">
        <v>44638</v>
      </c>
      <c r="B31" s="347" t="n">
        <v>44638</v>
      </c>
      <c r="E31" s="181" t="n">
        <v>200</v>
      </c>
      <c r="F31" s="365"/>
    </row>
    <row r="32" customFormat="false" ht="12.75" hidden="false" customHeight="false" outlineLevel="0" collapsed="false">
      <c r="A32" s="364" t="n">
        <v>44639</v>
      </c>
      <c r="B32" s="347" t="n">
        <v>44639</v>
      </c>
      <c r="E32" s="181" t="n">
        <v>200</v>
      </c>
      <c r="F32" s="365"/>
    </row>
    <row r="33" customFormat="false" ht="12.75" hidden="false" customHeight="false" outlineLevel="0" collapsed="false">
      <c r="A33" s="364" t="n">
        <v>44640</v>
      </c>
      <c r="B33" s="347" t="n">
        <v>44640</v>
      </c>
      <c r="E33" s="181" t="n">
        <v>200</v>
      </c>
      <c r="F33" s="365"/>
    </row>
    <row r="34" customFormat="false" ht="12.75" hidden="false" customHeight="false" outlineLevel="0" collapsed="false">
      <c r="A34" s="364" t="n">
        <v>44640</v>
      </c>
      <c r="B34" s="347" t="s">
        <v>241</v>
      </c>
      <c r="F34" s="365"/>
    </row>
    <row r="35" customFormat="false" ht="12.75" hidden="false" customHeight="false" outlineLevel="0" collapsed="false">
      <c r="A35" s="364" t="n">
        <v>44640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44641</v>
      </c>
      <c r="B38" s="359" t="n">
        <v>44641</v>
      </c>
      <c r="C38" s="360"/>
      <c r="D38" s="361"/>
      <c r="E38" s="362"/>
      <c r="F38" s="363"/>
    </row>
    <row r="39" customFormat="false" ht="12.75" hidden="false" customHeight="false" outlineLevel="0" collapsed="false">
      <c r="A39" s="364" t="n">
        <v>44642</v>
      </c>
      <c r="B39" s="347" t="n">
        <v>44642</v>
      </c>
      <c r="F39" s="365"/>
    </row>
    <row r="40" customFormat="false" ht="12.75" hidden="false" customHeight="false" outlineLevel="0" collapsed="false">
      <c r="A40" s="364" t="n">
        <v>44643</v>
      </c>
      <c r="B40" s="347" t="n">
        <v>44643</v>
      </c>
      <c r="F40" s="365"/>
    </row>
    <row r="41" customFormat="false" ht="12.75" hidden="false" customHeight="false" outlineLevel="0" collapsed="false">
      <c r="A41" s="364" t="n">
        <v>44644</v>
      </c>
      <c r="B41" s="347" t="n">
        <v>44644</v>
      </c>
      <c r="F41" s="365"/>
    </row>
    <row r="42" customFormat="false" ht="12.75" hidden="false" customHeight="false" outlineLevel="0" collapsed="false">
      <c r="A42" s="364" t="n">
        <v>44645</v>
      </c>
      <c r="B42" s="347" t="n">
        <v>44645</v>
      </c>
      <c r="F42" s="365"/>
    </row>
    <row r="43" customFormat="false" ht="12.75" hidden="false" customHeight="false" outlineLevel="0" collapsed="false">
      <c r="A43" s="364" t="n">
        <v>44646</v>
      </c>
      <c r="B43" s="347" t="n">
        <v>44646</v>
      </c>
      <c r="F43" s="365"/>
    </row>
    <row r="44" customFormat="false" ht="12.75" hidden="false" customHeight="false" outlineLevel="0" collapsed="false">
      <c r="A44" s="364" t="n">
        <v>44647</v>
      </c>
      <c r="B44" s="347" t="n">
        <v>44647</v>
      </c>
      <c r="F44" s="365"/>
    </row>
    <row r="45" customFormat="false" ht="12.75" hidden="false" customHeight="false" outlineLevel="0" collapsed="false">
      <c r="A45" s="364" t="n">
        <v>44647</v>
      </c>
      <c r="B45" s="347" t="s">
        <v>241</v>
      </c>
      <c r="F45" s="365"/>
    </row>
    <row r="46" customFormat="false" ht="12.75" hidden="false" customHeight="false" outlineLevel="0" collapsed="false">
      <c r="A46" s="364" t="n">
        <v>44647</v>
      </c>
      <c r="B46" s="347" t="s">
        <v>242</v>
      </c>
      <c r="F46" s="365"/>
    </row>
    <row r="47" customFormat="false" ht="12.75" hidden="false" customHeight="false" outlineLevel="0" collapsed="false">
      <c r="A47" s="366"/>
      <c r="B47" s="367"/>
      <c r="C47" s="368"/>
      <c r="D47" s="369"/>
      <c r="E47" s="370" t="n">
        <f aca="false">SUM(E38:E46)</f>
        <v>0</v>
      </c>
      <c r="F47" s="371" t="n">
        <f aca="false">SUM(F38:F46)</f>
        <v>0</v>
      </c>
    </row>
    <row r="49" customFormat="false" ht="12.75" hidden="false" customHeight="false" outlineLevel="0" collapsed="false">
      <c r="A49" s="358" t="n">
        <v>44648</v>
      </c>
      <c r="B49" s="359" t="n">
        <v>44648</v>
      </c>
      <c r="C49" s="360"/>
      <c r="D49" s="361"/>
      <c r="E49" s="362"/>
      <c r="F49" s="363"/>
    </row>
    <row r="50" customFormat="false" ht="12.75" hidden="false" customHeight="false" outlineLevel="0" collapsed="false">
      <c r="A50" s="364" t="n">
        <v>44649</v>
      </c>
      <c r="B50" s="347" t="n">
        <v>44649</v>
      </c>
      <c r="F50" s="365"/>
    </row>
    <row r="51" customFormat="false" ht="12.75" hidden="false" customHeight="false" outlineLevel="0" collapsed="false">
      <c r="A51" s="364" t="n">
        <v>44650</v>
      </c>
      <c r="B51" s="347" t="n">
        <v>44650</v>
      </c>
      <c r="F51" s="365"/>
    </row>
    <row r="52" customFormat="false" ht="12.75" hidden="false" customHeight="false" outlineLevel="0" collapsed="false">
      <c r="A52" s="364" t="n">
        <v>44651</v>
      </c>
      <c r="B52" s="347" t="n">
        <v>44651</v>
      </c>
      <c r="F52" s="365"/>
    </row>
    <row r="53" customFormat="false" ht="12.75" hidden="false" customHeight="false" outlineLevel="0" collapsed="false">
      <c r="A53" s="364" t="n">
        <v>44652</v>
      </c>
      <c r="B53" s="347" t="n">
        <v>44652</v>
      </c>
      <c r="F53" s="365"/>
    </row>
    <row r="54" customFormat="false" ht="12.75" hidden="false" customHeight="false" outlineLevel="0" collapsed="false">
      <c r="A54" s="364" t="n">
        <v>44653</v>
      </c>
      <c r="B54" s="347" t="n">
        <v>44653</v>
      </c>
      <c r="F54" s="365"/>
    </row>
    <row r="55" customFormat="false" ht="12.75" hidden="false" customHeight="false" outlineLevel="0" collapsed="false">
      <c r="A55" s="364" t="n">
        <v>44654</v>
      </c>
      <c r="B55" s="347" t="n">
        <v>44654</v>
      </c>
      <c r="F55" s="365"/>
    </row>
    <row r="56" customFormat="false" ht="12.75" hidden="false" customHeight="false" outlineLevel="0" collapsed="false">
      <c r="A56" s="364" t="n">
        <v>44654</v>
      </c>
      <c r="B56" s="347" t="s">
        <v>241</v>
      </c>
      <c r="F56" s="365"/>
    </row>
    <row r="57" customFormat="false" ht="12.75" hidden="false" customHeight="false" outlineLevel="0" collapsed="false">
      <c r="A57" s="364" t="n">
        <v>44654</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44655</v>
      </c>
      <c r="B60" s="359" t="n">
        <v>44655</v>
      </c>
      <c r="C60" s="360"/>
      <c r="D60" s="361"/>
      <c r="E60" s="362"/>
      <c r="F60" s="363"/>
    </row>
    <row r="61" customFormat="false" ht="12.75" hidden="false" customHeight="false" outlineLevel="0" collapsed="false">
      <c r="A61" s="364" t="n">
        <v>44656</v>
      </c>
      <c r="B61" s="347" t="n">
        <v>44656</v>
      </c>
      <c r="F61" s="365"/>
    </row>
    <row r="62" customFormat="false" ht="12.75" hidden="false" customHeight="false" outlineLevel="0" collapsed="false">
      <c r="A62" s="364" t="n">
        <v>44656</v>
      </c>
      <c r="B62" s="347" t="s">
        <v>241</v>
      </c>
      <c r="F62" s="365"/>
    </row>
    <row r="63" customFormat="false" ht="12.75" hidden="false" customHeight="false" outlineLevel="0" collapsed="false">
      <c r="A63" s="364" t="n">
        <v>44656</v>
      </c>
      <c r="B63" s="347" t="s">
        <v>242</v>
      </c>
      <c r="F63" s="365"/>
    </row>
    <row r="64" customFormat="false" ht="12.75" hidden="false" customHeight="false" outlineLevel="0" collapsed="false">
      <c r="A64" s="366"/>
      <c r="B64" s="367"/>
      <c r="C64" s="368"/>
      <c r="D64" s="369"/>
      <c r="E64" s="370" t="n">
        <f aca="false">SUM(E60:E63)</f>
        <v>0</v>
      </c>
      <c r="F64" s="371" t="n">
        <f aca="false">SUM(F60:F63)</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44255</v>
      </c>
      <c r="C2" s="68"/>
      <c r="D2" s="403" t="s">
        <v>289</v>
      </c>
      <c r="E2" s="403"/>
      <c r="F2" s="403"/>
      <c r="G2" s="404" t="str">
        <f aca="false">B23</f>
        <v>2021-22</v>
      </c>
      <c r="H2" s="68"/>
      <c r="I2" s="405" t="s">
        <v>290</v>
      </c>
      <c r="J2" s="405"/>
      <c r="K2" s="406" t="str">
        <f aca="false">G2</f>
        <v>2021-22</v>
      </c>
      <c r="L2" s="68"/>
      <c r="M2" s="68"/>
      <c r="N2" s="68"/>
      <c r="O2" s="68"/>
    </row>
    <row r="3" customFormat="false" ht="12" hidden="false" customHeight="true" outlineLevel="0" collapsed="false">
      <c r="A3" s="68"/>
      <c r="B3" s="402" t="n">
        <v>44286</v>
      </c>
      <c r="C3" s="68"/>
      <c r="D3" s="68"/>
      <c r="E3" s="68"/>
      <c r="F3" s="68"/>
      <c r="G3" s="407"/>
      <c r="H3" s="68"/>
      <c r="I3" s="68"/>
      <c r="J3" s="408"/>
      <c r="K3" s="408"/>
      <c r="L3" s="401"/>
      <c r="M3" s="68"/>
      <c r="N3" s="68"/>
      <c r="O3" s="68"/>
    </row>
    <row r="4" customFormat="false" ht="12" hidden="false" customHeight="true" outlineLevel="0" collapsed="false">
      <c r="A4" s="68"/>
      <c r="B4" s="409" t="n">
        <v>44292</v>
      </c>
      <c r="C4" s="68"/>
      <c r="D4" s="410" t="s">
        <v>68</v>
      </c>
      <c r="E4" s="410"/>
      <c r="F4" s="410"/>
      <c r="G4" s="411" t="n">
        <v>1</v>
      </c>
      <c r="H4" s="68"/>
      <c r="I4" s="410" t="s">
        <v>291</v>
      </c>
      <c r="J4" s="410"/>
      <c r="K4" s="410"/>
      <c r="L4" s="410"/>
      <c r="M4" s="410"/>
      <c r="N4" s="412" t="n">
        <v>12570</v>
      </c>
      <c r="O4" s="407" t="s">
        <v>28</v>
      </c>
    </row>
    <row r="5" customFormat="false" ht="12" hidden="false" customHeight="true" outlineLevel="0" collapsed="false">
      <c r="A5" s="68"/>
      <c r="B5" s="402" t="n">
        <v>44316</v>
      </c>
      <c r="C5" s="68"/>
      <c r="D5" s="410" t="s">
        <v>292</v>
      </c>
      <c r="E5" s="410"/>
      <c r="F5" s="410"/>
      <c r="G5" s="411" t="n">
        <v>0.18</v>
      </c>
      <c r="H5" s="68"/>
      <c r="I5" s="68"/>
      <c r="J5" s="68"/>
      <c r="K5" s="68"/>
      <c r="L5" s="68"/>
      <c r="M5" s="68"/>
      <c r="N5" s="407"/>
      <c r="O5" s="407"/>
    </row>
    <row r="6" customFormat="false" ht="12" hidden="false" customHeight="true" outlineLevel="0" collapsed="false">
      <c r="A6" s="68"/>
      <c r="B6" s="402" t="n">
        <v>44347</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44377</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44408</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44439</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44469</v>
      </c>
      <c r="C10" s="68"/>
      <c r="D10" s="68"/>
      <c r="E10" s="407"/>
      <c r="F10" s="68"/>
      <c r="G10" s="407"/>
      <c r="H10" s="68"/>
      <c r="I10" s="68"/>
      <c r="J10" s="68"/>
      <c r="K10" s="68"/>
      <c r="L10" s="68"/>
      <c r="M10" s="68"/>
      <c r="N10" s="407"/>
      <c r="O10" s="407"/>
    </row>
    <row r="11" customFormat="false" ht="12" hidden="false" customHeight="true" outlineLevel="0" collapsed="false">
      <c r="A11" s="68"/>
      <c r="B11" s="402" t="n">
        <v>44500</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44530</v>
      </c>
      <c r="C12" s="68"/>
      <c r="D12" s="68"/>
      <c r="E12" s="68"/>
      <c r="F12" s="68"/>
      <c r="G12" s="407"/>
      <c r="H12" s="68"/>
      <c r="I12" s="68" t="s">
        <v>305</v>
      </c>
      <c r="J12" s="68"/>
      <c r="K12" s="416" t="n">
        <v>0.4</v>
      </c>
      <c r="L12" s="407" t="n">
        <v>37701</v>
      </c>
      <c r="M12" s="68" t="n">
        <v>37700</v>
      </c>
      <c r="N12" s="413" t="n">
        <v>0</v>
      </c>
      <c r="O12" s="407"/>
    </row>
    <row r="13" customFormat="false" ht="12" hidden="false" customHeight="true" outlineLevel="0" collapsed="false">
      <c r="A13" s="68"/>
      <c r="B13" s="402" t="n">
        <v>44561</v>
      </c>
      <c r="C13" s="68"/>
      <c r="D13" s="410" t="s">
        <v>306</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44592</v>
      </c>
      <c r="C14" s="68"/>
      <c r="D14" s="410" t="s">
        <v>307</v>
      </c>
      <c r="E14" s="410"/>
      <c r="F14" s="410"/>
      <c r="G14" s="411" t="n">
        <v>0.1</v>
      </c>
      <c r="H14" s="68"/>
      <c r="I14" s="403" t="s">
        <v>308</v>
      </c>
      <c r="J14" s="403"/>
      <c r="K14" s="403"/>
      <c r="L14" s="406" t="str">
        <f aca="false">G2</f>
        <v>2021-22</v>
      </c>
      <c r="M14" s="68"/>
      <c r="N14" s="68"/>
      <c r="O14" s="68"/>
    </row>
    <row r="15" customFormat="false" ht="12" hidden="false" customHeight="true" outlineLevel="0" collapsed="false">
      <c r="A15" s="68"/>
      <c r="B15" s="402" t="n">
        <v>44620</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44651</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44656</v>
      </c>
      <c r="C17" s="68"/>
      <c r="D17" s="410" t="s">
        <v>313</v>
      </c>
      <c r="E17" s="410"/>
      <c r="F17" s="410"/>
      <c r="G17" s="411" t="n">
        <v>0.25</v>
      </c>
      <c r="H17" s="68"/>
      <c r="I17" s="68"/>
      <c r="J17" s="68"/>
      <c r="K17" s="68"/>
      <c r="L17" s="418" t="n">
        <v>3.05</v>
      </c>
      <c r="M17" s="68"/>
      <c r="N17" s="68"/>
      <c r="O17" s="68"/>
    </row>
    <row r="18" customFormat="false" ht="12" hidden="false" customHeight="true" outlineLevel="0" collapsed="false">
      <c r="A18" s="68"/>
      <c r="B18" s="402" t="n">
        <v>44681</v>
      </c>
      <c r="C18" s="68"/>
      <c r="D18" s="68"/>
      <c r="E18" s="68"/>
      <c r="F18" s="68"/>
      <c r="G18" s="407"/>
      <c r="H18" s="68"/>
      <c r="I18" s="68"/>
      <c r="J18" s="68"/>
      <c r="K18" s="68"/>
      <c r="L18" s="68"/>
      <c r="M18" s="68"/>
      <c r="N18" s="68"/>
      <c r="O18" s="68"/>
    </row>
    <row r="19" customFormat="false" ht="12" hidden="false" customHeight="true" outlineLevel="0" collapsed="false">
      <c r="A19" s="68"/>
      <c r="B19" s="402" t="n">
        <v>44712</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44742</v>
      </c>
      <c r="C20" s="68"/>
      <c r="D20" s="401"/>
      <c r="E20" s="401"/>
      <c r="F20" s="407"/>
      <c r="G20" s="407"/>
      <c r="H20" s="68"/>
      <c r="I20" s="419"/>
      <c r="J20" s="419"/>
      <c r="K20" s="419"/>
      <c r="L20" s="421" t="n">
        <v>0.09</v>
      </c>
      <c r="M20" s="420"/>
      <c r="N20" s="413" t="n">
        <v>9568</v>
      </c>
      <c r="O20" s="407" t="s">
        <v>28</v>
      </c>
    </row>
    <row r="21" customFormat="false" ht="12" hidden="false" customHeight="true" outlineLevel="0" collapsed="false">
      <c r="A21" s="68"/>
      <c r="B21" s="402" t="n">
        <v>44957</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45138</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v>
      </c>
      <c r="M23" s="420"/>
      <c r="N23" s="413" t="n">
        <v>50270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85000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