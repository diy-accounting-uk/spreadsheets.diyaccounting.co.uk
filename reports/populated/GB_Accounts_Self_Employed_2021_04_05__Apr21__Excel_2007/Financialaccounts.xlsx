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<sst xmlns="http://schemas.openxmlformats.org/spreadsheetml/2006/main" count="819" uniqueCount="439">
  <si>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</si>
  <si>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</si>
  <si>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</si>
  <si>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</si>
  <si>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</si>
  <si>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</si>
  <si>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</si>
  <si>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</si>
  <si>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</si>
  <si>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</si>
  <si>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</si>
  <si>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</si>
  <si>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</si>
  <si>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</si>
  <si>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</si>
  <si>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</si>
  <si>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</si>
  <si>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</si>
  <si>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</si>
  <si>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</si>
  <si>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</si>
  <si>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</si>
  <si>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</si>
  <si>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</si>
  <si>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</si>
  <si>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</si>
  <si>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</si>
  <si>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</si>
  <si>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</si>
  <si>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</si>
  <si>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</si>
  <si>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</si>
  <si>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</si>
  <si>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</si>
  <si>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</si>
  <si>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</si>
  <si>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</si>
  <si>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</si>
  <si>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</si>
  <si>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</si>
  <si>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</si>
  <si>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</si>
  <si>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</si>
  <si>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</si>
  <si>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</si>
  <si>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</si>
  <si>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</si>
  <si>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</si>
  <si>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</si>
  <si>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</si>
  <si>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</si>
  <si>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</si>
  <si>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</si>
  <si>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</si>
  <si>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</si>
  <si>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</si>
  <si>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</si>
  <si>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</si>
  <si>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</si>
  <si>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</si>
  <si>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</si>
  <si>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</si>
  <si>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</si>
  <si>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</si>
  <si>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</si>
  <si>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</si>
  <si>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</si>
  <si>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</si>
  <si>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</si>
  <si>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</si>
  <si>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</si>
  <si>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</si>
  <si>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</si>
  <si>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</si>
  <si>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</si>
  <si>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</si>
  <si>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</si>
  <si>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</si>
  <si>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</si>
  <si>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</si>
  <si>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</si>
  <si>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</si>
  <si>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</si>
  <si>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</si>
  <si>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</si>
  <si>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</si>
  <si>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</si>
  <si>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</si>
  <si>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</si>
  <si>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</si>
  <si>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</si>
  <si>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</si>
  <si>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</si>
  <si>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</si>
  <si>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</si>
  <si>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</si>
  <si>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</si>
  <si>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</si>
  <si>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</si>
  <si>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</si>
  <si>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</si>
  <si>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</si>
  <si>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</si>
  <si>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</si>
  <si>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</si>
  <si>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</si>
  <si>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</si>
  <si>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</si>
  <si>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</si>
  <si>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</si>
  <si>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</si>
  <si>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</si>
  <si>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</si>
  <si>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</si>
  <si>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</si>
  <si>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</si>
  <si>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</si>
  <si>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</si>
  <si>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</si>
  <si>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</si>
  <si>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</si>
  <si>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</si>
  <si>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</si>
  <si>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</si>
  <si>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</si>
  <si>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</si>
  <si>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</si>
  <si>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</si>
  <si>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</si>
  <si>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</si>
  <si>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</si>
  <si>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</si>
  <si>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</si>
  <si>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</si>
  <si>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</si>
  <si>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</si>
  <si>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</si>
  <si>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</si>
  <si>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</si>
  <si>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</si>
  <si>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</si>
  <si>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</si>
  <si>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</si>
  <si>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</si>
  <si>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</si>
  <si>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</si>
  <si>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</si>
  <si>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</si>
  <si>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</si>
  <si>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</si>
  <si>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</si>
  <si>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</si>
  <si>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</si>
  <si>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</si>
  <si>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</si>
  <si>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</si>
  <si>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</si>
  <si>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</si>
  <si>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</si>
  <si>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</si>
  <si>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</si>
  <si>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</si>
  <si>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</si>
  <si>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</si>
  <si>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</si>
  <si>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</si>
  <si>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</si>
  <si>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</si>
  <si>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</si>
  <si>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</si>
  <si>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</si>
  <si>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</si>
  <si>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</si>
  <si>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</si>
  <si>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</si>
  <si>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</si>
  <si>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</si>
  <si>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</si>
  <si>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</si>
  <si>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</si>
  <si>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</si>
  <si>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</si>
  <si>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</si>
  <si>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</si>
  <si>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</si>
  <si>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</si>
  <si>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</si>
  <si>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</si>
  <si>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</si>
  <si>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</si>
  <si>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</si>
  <si>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</si>
  <si>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</si>
  <si>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</si>
  <si>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</si>
  <si>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</si>
  <si>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</si>
  <si>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</si>
  <si>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</si>
  <si>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</si>
  <si>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</si>
  <si>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</si>
  <si>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</si>
  <si>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</si>
  <si>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</si>
  <si>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</si>
  <si>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</si>
  <si>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</si>
  <si>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</si>
  <si>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</si>
  <si>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</si>
  <si>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</si>
  <si>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</si>
  <si>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</si>
  <si>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</si>
  <si>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</si>
  <si>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</si>
  <si>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</si>
  <si>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</si>
  <si>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</si>
  <si>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</si>
  <si>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</si>
  <si>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</si>
  <si>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</si>
  <si>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</si>
  <si>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</si>
  <si>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</si>
  <si>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</si>
  <si>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</si>
  <si>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</si>
  <si>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</si>
  <si>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</si>
  <si>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</si>
  <si>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</si>
  <si>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</si>
  <si>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</si>
  <si>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</si>
  <si>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</si>
  <si>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</si>
  <si>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</si>
  <si>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</si>
  <si>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</si>
  <si>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</si>
  <si>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</si>
  <si>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</si>
  <si>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</si>
  <si>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</si>
  <si>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</si>
  <si>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</si>
  <si>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</si>
  <si>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</si>
  <si>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</si>
  <si>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</si>
  <si>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</si>
  <si>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</si>
  <si>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</si>
  <si>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</si>
  <si>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</si>
  <si>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</si>
  <si>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</si>
  <si>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</si>
  <si>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</si>
  <si>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</si>
  <si>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</si>
  <si>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</si>
  <si>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</si>
  <si>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</si>
  <si>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</si>
  <si>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</si>
  <si>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</si>
  <si>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</si>
  <si>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</si>
  <si>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</si>
  <si>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</si>
  <si>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</si>
  <si>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</si>
  <si>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</si>
  <si>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</si>
  <si>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</si>
  <si>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</si>
  <si>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</si>
  <si>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</si>
  <si>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</si>
  <si>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</si>
  <si>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</si>
  <si>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</si>
  <si>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</si>
  <si>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</si>
  <si>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</si>
  <si>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</si>
  <si>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</si>
  <si>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</si>
  <si>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</si>
  <si>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</si>
  <si>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</si>
  <si>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</si>
  <si>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</si>
  <si>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</si>
  <si>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</si>
  <si>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</si>
  <si>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</si>
  <si>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</si>
  <si>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</si>
  <si>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</si>
  <si>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</si>
  <si>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</si>
  <si>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</si>
  <si>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</si>
  <si>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</si>
  <si>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</si>
  <si>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</si>
  <si>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</si>
  <si>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</si>
  <si>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</si>
  <si>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</si>
  <si>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</si>
  <si>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</si>
  <si>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</si>
  <si>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</si>
  <si>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</si>
  <si>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</si>
  <si>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</si>
  <si>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</si>
  <si>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</si>
  <si>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</si>
  <si>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</si>
  <si>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</si>
  <si>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</si>
  <si>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</si>
  <si>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</si>
  <si>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</si>
  <si>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</si>
  <si>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</si>
  <si>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</si>
  <si>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</si>
  <si>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</si>
  <si>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</si>
  <si>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</si>
  <si>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</si>
  <si>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</si>
  <si>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</si>
  <si>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</si>
  <si>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</si>
  <si>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</si>
  <si>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</si>
  <si>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</si>
  <si>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</si>
  <si>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</si>
  <si>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</si>
  <si>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</si>
  <si>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</si>
  <si>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</si>
  <si>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</si>
  <si>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</si>
  <si>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</si>
  <si>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</si>
  <si>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</si>
  <si>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</si>
  <si>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</si>
  <si>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</si>
  <si>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</si>
  <si>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</si>
  <si>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</si>
  <si>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</si>
  <si>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</si>
  <si>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</si>
  <si>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</si>
  <si>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</si>
  <si>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</si>
  <si>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</si>
  <si>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</si>
  <si>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</si>
  <si>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</si>
  <si>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</si>
  <si>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</si>
  <si>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</si>
  <si>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</si>
  <si>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</si>
  <si>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</si>
  <si>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</si>
  <si>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</si>
  <si>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</si>
  <si>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</si>
  <si>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</si>
  <si>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</si>
  <si>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</si>
  <si>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</si>
  <si>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</si>
  <si>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</si>
  <si>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</si>
  <si>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</si>
  <si>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</si>
  <si>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</si>
  <si>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</si>
  <si>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</si>
  <si>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</si>
  <si>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</si>
  <si>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</si>
  <si>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</si>
  <si>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</si>
  <si>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</si>
  <si>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</si>
  <si>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</si>
  <si>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</si>
  <si>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</si>
  <si>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</si>
  <si>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</si>
  <si>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</si>
  <si>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</si>
  <si>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</si>
  <si>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</si>
  <si>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</si>
  <si>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</si>
  <si>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</si>
  <si>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</si>
  <si>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</si>
  <si>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</si>
  <si>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</si>
  <si>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</si>
  <si>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</si>
  <si>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</si>
  <si>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</si>
  <si>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</si>
  <si>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</si>
  <si>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</si>
  <si>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</si>
  <si>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</si>
  <si>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</si>
  <si>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</si>
  <si>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</si>
  <si>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</si>
  <si>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</si>
  <si>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</si>
  <si>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</si>
  <si>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</si>
  <si>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2020-21</t>
  </si>
  <si>
    <t xml:space="preserve">2021-22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</si>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</sst>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300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480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420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/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6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9</v>
      </c>
      <c r="O16" s="8"/>
      <c r="P16" s="8"/>
      <c r="Q16" s="8"/>
      <c r="R16" s="7"/>
      <c r="S16" s="25" t="n">
        <f aca="false">Admin!B4</f>
        <v>43927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11</v>
      </c>
      <c r="O21" s="8"/>
      <c r="P21" s="8"/>
      <c r="Q21" s="8"/>
      <c r="R21" s="7"/>
      <c r="S21" s="25" t="n">
        <f aca="false">Admin!B17</f>
        <v>44291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12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14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3"/>
    </row>
    <row r="26" s="33" customFormat="tru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16</v>
      </c>
      <c r="O26" s="22"/>
      <c r="P26" s="22"/>
      <c r="Q26" s="22"/>
      <c r="R26" s="22"/>
      <c r="S26" s="22"/>
      <c r="T26" s="22"/>
      <c r="U26" s="22"/>
      <c r="V26" s="22"/>
      <c r="W26" s="29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17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20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 t="n">
        <f aca="false">Admin!B17</f>
        <v>44291</v>
      </c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21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21" t="n">
        <v>13</v>
      </c>
      <c r="M41" s="7"/>
      <c r="N41" s="8" t="str">
        <f aca="false">"If you have provided the information about your "&amp;Admin!G2</f>
        <v>If you have provided the information about your 2020-21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29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30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31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32</v>
      </c>
      <c r="D50" s="41" t="n">
        <v>0</v>
      </c>
      <c r="E50" s="41"/>
      <c r="F50" s="41"/>
      <c r="G50" s="42" t="s">
        <v>33</v>
      </c>
      <c r="H50" s="43" t="n">
        <v>0</v>
      </c>
      <c r="I50" s="43" t="n">
        <v>0</v>
      </c>
      <c r="J50" s="7"/>
      <c r="K50" s="7"/>
      <c r="L50" s="8"/>
      <c r="M50" s="7"/>
      <c r="N50" s="40" t="s">
        <v>32</v>
      </c>
      <c r="O50" s="41"/>
      <c r="P50" s="41"/>
      <c r="Q50" s="41"/>
      <c r="R50" s="42" t="s">
        <v>33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s="33" customFormat="true" ht="12" hidden="false" customHeight="true" outlineLevel="0" collapsed="false">
      <c r="A52" s="26"/>
      <c r="B52" s="26"/>
      <c r="C52" s="22" t="s">
        <v>34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35</v>
      </c>
      <c r="O52" s="26"/>
      <c r="P52" s="26"/>
      <c r="Q52" s="26"/>
      <c r="R52" s="26"/>
      <c r="S52" s="26"/>
      <c r="T52" s="26"/>
      <c r="U52" s="26"/>
      <c r="V52" s="26"/>
      <c r="W52" s="47"/>
    </row>
    <row r="53" s="33" customFormat="true" ht="12" hidden="false" customHeight="true" outlineLevel="0" collapsed="false">
      <c r="A53" s="26"/>
      <c r="B53" s="26"/>
      <c r="C53" s="48" t="s">
        <v>36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36</v>
      </c>
      <c r="O53" s="45"/>
      <c r="P53" s="45"/>
      <c r="Q53" s="45"/>
      <c r="R53" s="42"/>
      <c r="S53" s="46"/>
      <c r="T53" s="46"/>
      <c r="U53" s="26"/>
      <c r="V53" s="26"/>
      <c r="W53" s="47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32</v>
      </c>
      <c r="D55" s="49" t="n">
        <f aca="false">'SE Short'!O94</f>
        <v>0</v>
      </c>
      <c r="E55" s="49"/>
      <c r="F55" s="49"/>
      <c r="G55" s="42" t="s">
        <v>33</v>
      </c>
      <c r="H55" s="43" t="n">
        <v>0</v>
      </c>
      <c r="I55" s="43" t="n">
        <v>0</v>
      </c>
      <c r="J55" s="7"/>
      <c r="K55" s="7"/>
      <c r="L55" s="7"/>
      <c r="M55" s="7"/>
      <c r="N55" s="40" t="s">
        <v>32</v>
      </c>
      <c r="O55" s="49" t="n">
        <f aca="false">D50-D55+'SE Short'!O106</f>
        <v>0</v>
      </c>
      <c r="P55" s="49"/>
      <c r="Q55" s="49"/>
      <c r="R55" s="42" t="s">
        <v>33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37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52"/>
      <c r="O1" s="53" t="s">
        <v>39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40</v>
      </c>
      <c r="P2" s="54"/>
      <c r="Q2" s="55" t="n">
        <f aca="false">Admin!B4</f>
        <v>43927</v>
      </c>
      <c r="R2" s="55"/>
      <c r="S2" s="55"/>
      <c r="T2" s="55"/>
      <c r="U2" s="56" t="s">
        <v>41</v>
      </c>
      <c r="V2" s="55" t="n">
        <f aca="false">Admin!B17</f>
        <v>44291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 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8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42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 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43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44</v>
      </c>
      <c r="O17" s="64"/>
      <c r="P17" s="64"/>
      <c r="Q17" s="64"/>
      <c r="R17" s="76"/>
      <c r="S17" s="84" t="n">
        <f aca="false">Q2</f>
        <v>43927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45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17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46</v>
      </c>
      <c r="O23" s="90"/>
      <c r="P23" s="64"/>
      <c r="Q23" s="64"/>
      <c r="R23" s="64"/>
      <c r="S23" s="84" t="n">
        <f aca="false">V2</f>
        <v>44291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47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12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48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49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50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51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52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44291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IF(D38&gt;67000,"SELF-EMPLOYMENT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8</v>
      </c>
      <c r="B35" s="63"/>
      <c r="C35" s="64" t="s">
        <v>53</v>
      </c>
      <c r="D35" s="64"/>
      <c r="E35" s="64"/>
      <c r="F35" s="64"/>
      <c r="G35" s="64"/>
      <c r="H35" s="64"/>
      <c r="I35" s="64"/>
      <c r="J35" s="64"/>
      <c r="K35" s="64"/>
      <c r="L35" s="75" t="n">
        <v>9</v>
      </c>
      <c r="M35" s="63"/>
      <c r="N35" s="64" t="s">
        <v>54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55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56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32</v>
      </c>
      <c r="D38" s="98" t="n">
        <f aca="false">'Profit &amp; Loss Account'!B9</f>
        <v>30000</v>
      </c>
      <c r="E38" s="98"/>
      <c r="F38" s="98"/>
      <c r="G38" s="99" t="s">
        <v>33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32</v>
      </c>
      <c r="O38" s="98" t="n">
        <f aca="false">'Profit &amp; Loss Account'!B38</f>
        <v>0</v>
      </c>
      <c r="P38" s="98"/>
      <c r="Q38" s="98"/>
      <c r="R38" s="99" t="s">
        <v>33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57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s="105" customFormat="true" ht="13.5" hidden="false" customHeight="true" outlineLevel="0" collapsed="false">
      <c r="A41" s="104" t="s">
        <v>58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="105" customFormat="true" ht="13.5" hidden="false" customHeight="true" outlineLevel="0" collapsed="false">
      <c r="A42" s="104" t="s">
        <v>59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10</v>
      </c>
      <c r="B44" s="63"/>
      <c r="C44" s="64" t="s">
        <v>60</v>
      </c>
      <c r="D44" s="64"/>
      <c r="E44" s="64"/>
      <c r="F44" s="64"/>
      <c r="G44" s="64"/>
      <c r="H44" s="64"/>
      <c r="I44" s="64"/>
      <c r="J44" s="64"/>
      <c r="K44" s="64"/>
      <c r="L44" s="75" t="n">
        <v>15</v>
      </c>
      <c r="M44" s="63"/>
      <c r="N44" s="64" t="s">
        <v>61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32</v>
      </c>
      <c r="D46" s="98" t="str">
        <f aca="false">IF('Profit &amp; Loss Account'!B9&gt;30000,'Profit &amp; Loss Account'!B17," ")</f>
        <v> </v>
      </c>
      <c r="E46" s="98"/>
      <c r="F46" s="98"/>
      <c r="G46" s="99" t="s">
        <v>33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32</v>
      </c>
      <c r="O46" s="98" t="str">
        <f aca="false">IF('Profit &amp; Loss Account'!B9&gt;30000,'Profit &amp; Loss Account'!B28," ")</f>
        <v> </v>
      </c>
      <c r="P46" s="98"/>
      <c r="Q46" s="98"/>
      <c r="R46" s="99" t="s">
        <v>33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11</v>
      </c>
      <c r="B48" s="63"/>
      <c r="C48" s="64" t="s">
        <v>62</v>
      </c>
      <c r="D48" s="64"/>
      <c r="E48" s="64"/>
      <c r="F48" s="64"/>
      <c r="G48" s="64"/>
      <c r="H48" s="64"/>
      <c r="I48" s="64"/>
      <c r="J48" s="64"/>
      <c r="K48" s="64"/>
      <c r="L48" s="75" t="n">
        <v>16</v>
      </c>
      <c r="M48" s="63"/>
      <c r="N48" s="64" t="s">
        <v>63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64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32</v>
      </c>
      <c r="D51" s="98" t="str">
        <f aca="false">IF('Profit &amp; Loss Account'!B9&gt;30000,'Profit &amp; Loss Account'!B25+'Profit &amp; Loss Account'!B26," ")</f>
        <v> </v>
      </c>
      <c r="E51" s="98"/>
      <c r="F51" s="98"/>
      <c r="G51" s="99" t="s">
        <v>33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32</v>
      </c>
      <c r="O51" s="98" t="str">
        <f aca="false">IF('Profit &amp; Loss Account'!B9&gt;30000,'Profit &amp; Loss Account'!B30+'Profit &amp; Loss Account'!B31," ")</f>
        <v> </v>
      </c>
      <c r="P51" s="98"/>
      <c r="Q51" s="98"/>
      <c r="R51" s="99" t="s">
        <v>33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12</v>
      </c>
      <c r="B53" s="63"/>
      <c r="C53" s="64" t="s">
        <v>65</v>
      </c>
      <c r="D53" s="64"/>
      <c r="E53" s="64"/>
      <c r="F53" s="64"/>
      <c r="G53" s="64"/>
      <c r="H53" s="64"/>
      <c r="I53" s="64"/>
      <c r="J53" s="64"/>
      <c r="K53" s="64"/>
      <c r="L53" s="75" t="n">
        <v>17</v>
      </c>
      <c r="M53" s="63"/>
      <c r="N53" s="64" t="s">
        <v>66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str">
        <f aca="false">IF('Profit &amp; Loss Account'!B9&gt;30000,'Profit &amp; Loss Account'!B21," ")</f>
        <v> 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str">
        <f aca="false">IF('Profit &amp; Loss Account'!B9&gt;30000,'Profit &amp; Loss Account'!B24," ")</f>
        <v> </v>
      </c>
      <c r="P55" s="98"/>
      <c r="Q55" s="98"/>
      <c r="R55" s="99" t="s">
        <v>33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13</v>
      </c>
      <c r="B57" s="63"/>
      <c r="C57" s="64" t="s">
        <v>67</v>
      </c>
      <c r="D57" s="64"/>
      <c r="E57" s="64"/>
      <c r="F57" s="64"/>
      <c r="G57" s="64"/>
      <c r="H57" s="64"/>
      <c r="I57" s="64"/>
      <c r="J57" s="64"/>
      <c r="K57" s="64"/>
      <c r="L57" s="75" t="n">
        <v>18</v>
      </c>
      <c r="M57" s="63"/>
      <c r="N57" s="64" t="s">
        <v>68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69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32</v>
      </c>
      <c r="D60" s="98" t="str">
        <f aca="false">IF('Profit &amp; Loss Account'!B9&gt;30000,'Profit &amp; Loss Account'!B22," ")</f>
        <v> </v>
      </c>
      <c r="E60" s="98"/>
      <c r="F60" s="98"/>
      <c r="G60" s="99" t="s">
        <v>33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32</v>
      </c>
      <c r="O60" s="98" t="str">
        <f aca="false">IF('Profit &amp; Loss Account'!B9&gt;30000,'Profit &amp; Loss Account'!B27+'Profit &amp; Loss Account'!B29+'Profit &amp; Loss Account'!B32+'Profit &amp; Loss Account'!B33," ")</f>
        <v> </v>
      </c>
      <c r="P60" s="98"/>
      <c r="Q60" s="98"/>
      <c r="R60" s="99" t="s">
        <v>33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14</v>
      </c>
      <c r="B62" s="63"/>
      <c r="C62" s="64" t="s">
        <v>70</v>
      </c>
      <c r="D62" s="64"/>
      <c r="E62" s="64"/>
      <c r="F62" s="64"/>
      <c r="G62" s="64"/>
      <c r="H62" s="64"/>
      <c r="I62" s="64"/>
      <c r="J62" s="64"/>
      <c r="K62" s="64"/>
      <c r="L62" s="75" t="n">
        <v>19</v>
      </c>
      <c r="M62" s="63"/>
      <c r="N62" s="64" t="s">
        <v>71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32</v>
      </c>
      <c r="D64" s="98" t="str">
        <f aca="false">IF('Profit &amp; Loss Account'!B9&gt;30000,'Profit &amp; Loss Account'!B23," ")</f>
        <v> </v>
      </c>
      <c r="E64" s="98"/>
      <c r="F64" s="98"/>
      <c r="G64" s="99" t="s">
        <v>33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32</v>
      </c>
      <c r="O64" s="98" t="n">
        <f aca="false">'Profit &amp; Loss Account'!B17+'Profit &amp; Loss Account'!B35-'Profit &amp; Loss Account'!B34</f>
        <v>4200</v>
      </c>
      <c r="P64" s="98"/>
      <c r="Q64" s="98"/>
      <c r="R64" s="99" t="s">
        <v>33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72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20</v>
      </c>
      <c r="B68" s="63"/>
      <c r="C68" s="64" t="s">
        <v>73</v>
      </c>
      <c r="D68" s="64"/>
      <c r="E68" s="64"/>
      <c r="F68" s="64"/>
      <c r="G68" s="64"/>
      <c r="H68" s="64"/>
      <c r="I68" s="64"/>
      <c r="J68" s="64"/>
      <c r="K68" s="64"/>
      <c r="L68" s="75" t="n">
        <v>21</v>
      </c>
      <c r="M68" s="63"/>
      <c r="N68" s="64" t="s">
        <v>74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75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76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32</v>
      </c>
      <c r="D71" s="98" t="n">
        <f aca="false">IF((D38+O38-O64)&gt;=0,D38+O38-O64,0)</f>
        <v>25800</v>
      </c>
      <c r="E71" s="98"/>
      <c r="F71" s="98"/>
      <c r="G71" s="99" t="s">
        <v>33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32</v>
      </c>
      <c r="O71" s="98" t="n">
        <f aca="false">IF((D38+O38-O64)&lt;0,O64-D38-O38,0)</f>
        <v>0</v>
      </c>
      <c r="P71" s="98"/>
      <c r="Q71" s="98"/>
      <c r="R71" s="99" t="s">
        <v>33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77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78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79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80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22</v>
      </c>
      <c r="B78" s="63"/>
      <c r="C78" s="64" t="s">
        <v>81</v>
      </c>
      <c r="D78" s="64"/>
      <c r="E78" s="64"/>
      <c r="F78" s="64"/>
      <c r="G78" s="64"/>
      <c r="H78" s="64"/>
      <c r="I78" s="64"/>
      <c r="J78" s="64"/>
      <c r="K78" s="64"/>
      <c r="L78" s="75" t="n">
        <v>24</v>
      </c>
      <c r="M78" s="63"/>
      <c r="N78" s="64" t="s">
        <v>82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32</v>
      </c>
      <c r="D80" s="98" t="n">
        <f aca="false">IF(([1]Schedule!$Q$1)&gt;0,[1]Schedule!$Q$1,0)</f>
        <v>0</v>
      </c>
      <c r="E80" s="98"/>
      <c r="F80" s="98"/>
      <c r="G80" s="99" t="s">
        <v>33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32</v>
      </c>
      <c r="O80" s="98" t="n">
        <f aca="false">IF(([1]Schedule!$R$1+[1]Schedule!$Y$1)&gt;0,[1]Schedule!$R$1+[1]Schedule!$Y$1,0)</f>
        <v>0</v>
      </c>
      <c r="P80" s="98"/>
      <c r="Q80" s="98"/>
      <c r="R80" s="99" t="s">
        <v>33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23</v>
      </c>
      <c r="B82" s="63"/>
      <c r="C82" s="64" t="s">
        <v>83</v>
      </c>
      <c r="D82" s="63"/>
      <c r="E82" s="63"/>
      <c r="F82" s="63"/>
      <c r="G82" s="63"/>
      <c r="H82" s="63"/>
      <c r="I82" s="63"/>
      <c r="J82" s="63"/>
      <c r="K82" s="63"/>
      <c r="L82" s="75" t="n">
        <v>25</v>
      </c>
      <c r="M82" s="63"/>
      <c r="N82" s="64" t="s">
        <v>84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85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86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32</v>
      </c>
      <c r="D85" s="98" t="n">
        <f aca="false">IF(([1]Schedule!$R$1+[1]Schedule!$S$1)&lt;1000,[1]Schedule!$S$1,0)</f>
        <v>0</v>
      </c>
      <c r="E85" s="98"/>
      <c r="F85" s="98"/>
      <c r="G85" s="99" t="s">
        <v>33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32</v>
      </c>
      <c r="O85" s="98" t="n">
        <f aca="false">IF([1]Schedule!$Z$1&gt;0,[1]Schedule!$Z$1,0)</f>
        <v>0</v>
      </c>
      <c r="P85" s="98"/>
      <c r="Q85" s="98"/>
      <c r="R85" s="99" t="s">
        <v>33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87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88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89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26</v>
      </c>
      <c r="B91" s="63"/>
      <c r="C91" s="64" t="s">
        <v>90</v>
      </c>
      <c r="D91" s="64"/>
      <c r="E91" s="64"/>
      <c r="F91" s="64"/>
      <c r="G91" s="64"/>
      <c r="H91" s="64"/>
      <c r="I91" s="64"/>
      <c r="J91" s="64"/>
      <c r="K91" s="64"/>
      <c r="L91" s="75" t="n">
        <v>28</v>
      </c>
      <c r="M91" s="63"/>
      <c r="N91" s="64" t="s">
        <v>91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92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93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32</v>
      </c>
      <c r="D94" s="98" t="n">
        <f aca="false">'Business Details'!O50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27</v>
      </c>
      <c r="B96" s="63"/>
      <c r="C96" s="64" t="s">
        <v>94</v>
      </c>
      <c r="D96" s="64"/>
      <c r="E96" s="64"/>
      <c r="F96" s="64"/>
      <c r="G96" s="64"/>
      <c r="H96" s="64"/>
      <c r="I96" s="64"/>
      <c r="J96" s="64"/>
      <c r="K96" s="64"/>
      <c r="L96" s="75" t="n">
        <v>29</v>
      </c>
      <c r="M96" s="63"/>
      <c r="N96" s="64" t="s">
        <v>95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96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97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32</v>
      </c>
      <c r="D99" s="98" t="n">
        <f aca="false">IF((D71+O85+D94-O71-D80-D85-O80)&gt;0,D71+O85+D94-O71-D80-D85-O80,0)</f>
        <v>25800</v>
      </c>
      <c r="E99" s="98"/>
      <c r="F99" s="98"/>
      <c r="G99" s="99" t="s">
        <v>33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32</v>
      </c>
      <c r="O99" s="98" t="n">
        <f aca="false">'Profit &amp; Loss Account'!B11</f>
        <v>0</v>
      </c>
      <c r="P99" s="98"/>
      <c r="Q99" s="98"/>
      <c r="R99" s="99" t="s">
        <v>33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98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30</v>
      </c>
      <c r="B103" s="63"/>
      <c r="C103" s="64" t="s">
        <v>99</v>
      </c>
      <c r="D103" s="64"/>
      <c r="E103" s="64"/>
      <c r="F103" s="64"/>
      <c r="G103" s="64"/>
      <c r="H103" s="64"/>
      <c r="I103" s="64"/>
      <c r="J103" s="64"/>
      <c r="K103" s="64"/>
      <c r="L103" s="75" t="n">
        <v>31</v>
      </c>
      <c r="M103" s="63"/>
      <c r="N103" s="64" t="s">
        <v>100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101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102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32</v>
      </c>
      <c r="D106" s="98" t="n">
        <f aca="false">IF((D99+O99-O94)&gt;0,D99+O99-O94,0)</f>
        <v>25800</v>
      </c>
      <c r="E106" s="98"/>
      <c r="F106" s="98"/>
      <c r="G106" s="99" t="s">
        <v>33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32</v>
      </c>
      <c r="O106" s="98" t="n">
        <f aca="false">IF((O71+D80+D85+O80-D71-O85-D94)&gt;=0,O71+D80+D85+O80-D71-O85-D94,0)</f>
        <v>0</v>
      </c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103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104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32</v>
      </c>
      <c r="B111" s="63"/>
      <c r="C111" s="64" t="s">
        <v>105</v>
      </c>
      <c r="D111" s="64"/>
      <c r="E111" s="64"/>
      <c r="F111" s="64"/>
      <c r="G111" s="64"/>
      <c r="H111" s="64"/>
      <c r="I111" s="64"/>
      <c r="J111" s="64"/>
      <c r="K111" s="64"/>
      <c r="L111" s="75" t="n">
        <v>35</v>
      </c>
      <c r="M111" s="63"/>
      <c r="N111" s="64" t="s">
        <v>106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107</v>
      </c>
      <c r="D112" s="114" t="str">
        <f aca="false">Admin!G2</f>
        <v>2020-21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108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/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33</v>
      </c>
      <c r="B116" s="63"/>
      <c r="C116" s="64" t="s">
        <v>109</v>
      </c>
      <c r="D116" s="64"/>
      <c r="E116" s="64"/>
      <c r="F116" s="64"/>
      <c r="G116" s="64"/>
      <c r="H116" s="64"/>
      <c r="I116" s="64"/>
      <c r="J116" s="64"/>
      <c r="K116" s="64"/>
      <c r="L116" s="75" t="n">
        <v>36</v>
      </c>
      <c r="M116" s="63"/>
      <c r="N116" s="64" t="s">
        <v>110</v>
      </c>
      <c r="O116" s="63"/>
      <c r="P116" s="63"/>
      <c r="Q116" s="63"/>
      <c r="R116" s="115" t="str">
        <f aca="false">Admin!G2</f>
        <v>2020-21</v>
      </c>
      <c r="S116" s="115"/>
      <c r="T116" s="115"/>
      <c r="U116" s="64" t="s">
        <v>111</v>
      </c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112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113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 t="s">
        <v>114</v>
      </c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32</v>
      </c>
      <c r="D119" s="98"/>
      <c r="E119" s="98"/>
      <c r="F119" s="98"/>
      <c r="G119" s="99" t="s">
        <v>33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34</v>
      </c>
      <c r="B121" s="63"/>
      <c r="C121" s="64" t="s">
        <v>115</v>
      </c>
      <c r="D121" s="64"/>
      <c r="E121" s="64"/>
      <c r="F121" s="64"/>
      <c r="G121" s="64"/>
      <c r="H121" s="64"/>
      <c r="I121" s="64"/>
      <c r="J121" s="64"/>
      <c r="K121" s="64"/>
      <c r="L121" s="75" t="n">
        <v>37</v>
      </c>
      <c r="M121" s="63"/>
      <c r="N121" s="64" t="s">
        <v>116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117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118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32</v>
      </c>
      <c r="D124" s="98" t="n">
        <f aca="false">'Business Details'!O55</f>
        <v>0</v>
      </c>
      <c r="E124" s="98"/>
      <c r="F124" s="98"/>
      <c r="G124" s="99" t="s">
        <v>33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32</v>
      </c>
      <c r="O124" s="98" t="n">
        <f aca="false">[2]Mar!$X$1</f>
        <v>0</v>
      </c>
      <c r="P124" s="98"/>
      <c r="Q124" s="98"/>
      <c r="R124" s="99" t="s">
        <v>33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119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121" t="s">
        <v>120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40</v>
      </c>
      <c r="O2" s="54"/>
      <c r="P2" s="54"/>
      <c r="Q2" s="55" t="n">
        <f aca="false">Admin!B4</f>
        <v>43927</v>
      </c>
      <c r="R2" s="55"/>
      <c r="S2" s="55"/>
      <c r="T2" s="55"/>
      <c r="U2" s="56" t="s">
        <v>41</v>
      </c>
      <c r="V2" s="55" t="n">
        <f aca="false">Admin!B17</f>
        <v>44291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 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4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5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6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7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8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9</v>
      </c>
      <c r="O19" s="64"/>
      <c r="P19" s="64"/>
      <c r="Q19" s="64"/>
      <c r="R19" s="63"/>
      <c r="S19" s="84" t="n">
        <f aca="false">Admin!B4</f>
        <v>43927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 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10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11</v>
      </c>
      <c r="O24" s="64"/>
      <c r="P24" s="64"/>
      <c r="Q24" s="64"/>
      <c r="R24" s="63"/>
      <c r="S24" s="84" t="n">
        <f aca="false">Admin!B17</f>
        <v>44291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12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13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14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15</v>
      </c>
      <c r="O28" s="64"/>
      <c r="P28" s="64"/>
      <c r="Q28" s="64"/>
      <c r="R28" s="64"/>
      <c r="S28" s="64"/>
      <c r="T28" s="64"/>
      <c r="U28" s="64"/>
      <c r="V28" s="64"/>
      <c r="W28" s="78"/>
    </row>
    <row r="29" s="127" customFormat="tru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16</v>
      </c>
      <c r="O29" s="80"/>
      <c r="P29" s="80"/>
      <c r="Q29" s="80"/>
      <c r="R29" s="80"/>
      <c r="S29" s="80"/>
      <c r="T29" s="80"/>
      <c r="U29" s="80"/>
      <c r="V29" s="80"/>
      <c r="W29" s="86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17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18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19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20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44291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21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22</v>
      </c>
      <c r="D39" s="64"/>
      <c r="E39" s="64"/>
      <c r="F39" s="64"/>
      <c r="G39" s="64"/>
      <c r="H39" s="64"/>
      <c r="I39" s="64"/>
      <c r="J39" s="64"/>
      <c r="K39" s="64"/>
      <c r="L39" s="75" t="n">
        <v>12</v>
      </c>
      <c r="M39" s="63"/>
      <c r="N39" s="64" t="s">
        <v>23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24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25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 t="n">
        <v>11</v>
      </c>
      <c r="B44" s="63"/>
      <c r="C44" s="64" t="s">
        <v>26</v>
      </c>
      <c r="D44" s="64"/>
      <c r="E44" s="64"/>
      <c r="F44" s="64"/>
      <c r="G44" s="64"/>
      <c r="H44" s="64"/>
      <c r="I44" s="64"/>
      <c r="J44" s="64"/>
      <c r="K44" s="64"/>
      <c r="L44" s="75" t="n">
        <v>13</v>
      </c>
      <c r="M44" s="63"/>
      <c r="N44" s="64" t="s">
        <v>121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 t="s">
        <v>27</v>
      </c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28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 t="s">
        <v>25</v>
      </c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128" t="str">
        <f aca="false">IF('Business Details'!C45="x","x"," ")</f>
        <v> 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14</v>
      </c>
      <c r="B52" s="63"/>
      <c r="C52" s="64" t="s">
        <v>53</v>
      </c>
      <c r="D52" s="64"/>
      <c r="E52" s="64"/>
      <c r="F52" s="64"/>
      <c r="G52" s="64"/>
      <c r="H52" s="64"/>
      <c r="I52" s="64"/>
      <c r="J52" s="64"/>
      <c r="K52" s="64"/>
      <c r="L52" s="75" t="n">
        <v>15</v>
      </c>
      <c r="M52" s="63"/>
      <c r="N52" s="64" t="s">
        <v>123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55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 t="s">
        <v>56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n">
        <f aca="false">'Profit &amp; Loss Account'!B9</f>
        <v>30000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n">
        <f aca="false">'Profit &amp; Loss Account'!B38</f>
        <v>0</v>
      </c>
      <c r="P55" s="98"/>
      <c r="Q55" s="98"/>
      <c r="R55" s="99" t="s">
        <v>33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124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s="105" customFormat="true" ht="15.75" hidden="false" customHeight="true" outlineLevel="0" collapsed="false">
      <c r="A58" s="104" t="s">
        <v>125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126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127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128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129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130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131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16</v>
      </c>
      <c r="B64" s="63"/>
      <c r="C64" s="64" t="s">
        <v>60</v>
      </c>
      <c r="D64" s="64"/>
      <c r="E64" s="64"/>
      <c r="F64" s="64"/>
      <c r="G64" s="64"/>
      <c r="H64" s="64"/>
      <c r="I64" s="64"/>
      <c r="J64" s="64"/>
      <c r="K64" s="64"/>
      <c r="L64" s="75" t="n">
        <v>31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32</v>
      </c>
      <c r="D66" s="98" t="n">
        <f aca="false">'Profit &amp; Loss Account'!B14+'Profit &amp; Loss Account'!B16</f>
        <v>0</v>
      </c>
      <c r="E66" s="98"/>
      <c r="F66" s="98"/>
      <c r="G66" s="99" t="s">
        <v>33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32</v>
      </c>
      <c r="O66" s="98"/>
      <c r="P66" s="98"/>
      <c r="Q66" s="98"/>
      <c r="R66" s="99" t="s">
        <v>33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17</v>
      </c>
      <c r="B68" s="63"/>
      <c r="C68" s="64" t="s">
        <v>132</v>
      </c>
      <c r="D68" s="64"/>
      <c r="E68" s="64"/>
      <c r="F68" s="64"/>
      <c r="G68" s="64"/>
      <c r="H68" s="64"/>
      <c r="I68" s="64"/>
      <c r="J68" s="64"/>
      <c r="K68" s="64"/>
      <c r="L68" s="75" t="n">
        <v>32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32</v>
      </c>
      <c r="D70" s="98" t="n">
        <f aca="false">'Profit &amp; Loss Account'!B15</f>
        <v>0</v>
      </c>
      <c r="E70" s="98"/>
      <c r="F70" s="98"/>
      <c r="G70" s="99" t="s">
        <v>33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32</v>
      </c>
      <c r="O70" s="98"/>
      <c r="P70" s="98"/>
      <c r="Q70" s="98"/>
      <c r="R70" s="99" t="s">
        <v>33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18</v>
      </c>
      <c r="B72" s="63"/>
      <c r="C72" s="64" t="s">
        <v>65</v>
      </c>
      <c r="D72" s="64"/>
      <c r="E72" s="64"/>
      <c r="F72" s="64"/>
      <c r="G72" s="64"/>
      <c r="H72" s="64"/>
      <c r="I72" s="64"/>
      <c r="J72" s="64"/>
      <c r="K72" s="64"/>
      <c r="L72" s="75" t="n">
        <v>33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32</v>
      </c>
      <c r="D74" s="98" t="n">
        <f aca="false">'Profit &amp; Loss Account'!B21</f>
        <v>0</v>
      </c>
      <c r="E74" s="98"/>
      <c r="F74" s="98"/>
      <c r="G74" s="99" t="s">
        <v>33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32</v>
      </c>
      <c r="O74" s="98"/>
      <c r="P74" s="98"/>
      <c r="Q74" s="98"/>
      <c r="R74" s="99" t="s">
        <v>33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19</v>
      </c>
      <c r="B76" s="63"/>
      <c r="C76" s="64" t="s">
        <v>133</v>
      </c>
      <c r="D76" s="64"/>
      <c r="E76" s="64"/>
      <c r="F76" s="64"/>
      <c r="G76" s="64"/>
      <c r="H76" s="64"/>
      <c r="I76" s="64"/>
      <c r="J76" s="64"/>
      <c r="K76" s="64"/>
      <c r="L76" s="75" t="n">
        <v>34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32</v>
      </c>
      <c r="D78" s="98" t="n">
        <f aca="false">'Profit &amp; Loss Account'!B25+'Profit &amp; Loss Account'!B26</f>
        <v>300</v>
      </c>
      <c r="E78" s="98"/>
      <c r="F78" s="98"/>
      <c r="G78" s="99" t="s">
        <v>33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32</v>
      </c>
      <c r="O78" s="98"/>
      <c r="P78" s="98"/>
      <c r="Q78" s="98"/>
      <c r="R78" s="99" t="s">
        <v>33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20</v>
      </c>
      <c r="B80" s="63"/>
      <c r="C80" s="64" t="s">
        <v>67</v>
      </c>
      <c r="D80" s="64"/>
      <c r="E80" s="64"/>
      <c r="F80" s="64"/>
      <c r="G80" s="64"/>
      <c r="H80" s="64"/>
      <c r="I80" s="64"/>
      <c r="J80" s="64"/>
      <c r="K80" s="64"/>
      <c r="L80" s="75" t="n">
        <v>35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32</v>
      </c>
      <c r="D82" s="98" t="n">
        <f aca="false">'Profit &amp; Loss Account'!B22</f>
        <v>1800</v>
      </c>
      <c r="E82" s="98"/>
      <c r="F82" s="98"/>
      <c r="G82" s="99" t="s">
        <v>33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32</v>
      </c>
      <c r="O82" s="98"/>
      <c r="P82" s="98"/>
      <c r="Q82" s="98"/>
      <c r="R82" s="99" t="s">
        <v>33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21</v>
      </c>
      <c r="B84" s="63"/>
      <c r="C84" s="64" t="s">
        <v>134</v>
      </c>
      <c r="D84" s="64"/>
      <c r="E84" s="64"/>
      <c r="F84" s="64"/>
      <c r="G84" s="64"/>
      <c r="H84" s="64"/>
      <c r="I84" s="64"/>
      <c r="J84" s="64"/>
      <c r="K84" s="64"/>
      <c r="L84" s="75" t="n">
        <v>36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32</v>
      </c>
      <c r="D86" s="98" t="n">
        <f aca="false">'Profit &amp; Loss Account'!B23</f>
        <v>480</v>
      </c>
      <c r="E86" s="98"/>
      <c r="F86" s="98"/>
      <c r="G86" s="99" t="s">
        <v>33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32</v>
      </c>
      <c r="O86" s="98"/>
      <c r="P86" s="98"/>
      <c r="Q86" s="98"/>
      <c r="R86" s="99" t="s">
        <v>33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22</v>
      </c>
      <c r="B88" s="63"/>
      <c r="C88" s="64" t="s">
        <v>66</v>
      </c>
      <c r="D88" s="64"/>
      <c r="E88" s="64"/>
      <c r="F88" s="64"/>
      <c r="G88" s="64"/>
      <c r="H88" s="64"/>
      <c r="I88" s="64"/>
      <c r="J88" s="64"/>
      <c r="K88" s="64"/>
      <c r="L88" s="75" t="n">
        <v>37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32</v>
      </c>
      <c r="D90" s="98" t="n">
        <f aca="false">'Profit &amp; Loss Account'!B24</f>
        <v>660</v>
      </c>
      <c r="E90" s="98"/>
      <c r="F90" s="98"/>
      <c r="G90" s="99" t="s">
        <v>33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32</v>
      </c>
      <c r="O90" s="98"/>
      <c r="P90" s="98"/>
      <c r="Q90" s="98"/>
      <c r="R90" s="99" t="s">
        <v>33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23</v>
      </c>
      <c r="B92" s="63"/>
      <c r="C92" s="64" t="s">
        <v>135</v>
      </c>
      <c r="D92" s="64"/>
      <c r="E92" s="64"/>
      <c r="F92" s="64"/>
      <c r="G92" s="64"/>
      <c r="H92" s="64"/>
      <c r="I92" s="64"/>
      <c r="J92" s="64"/>
      <c r="K92" s="64"/>
      <c r="L92" s="75" t="n">
        <v>38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32</v>
      </c>
      <c r="D94" s="98" t="n">
        <f aca="false">'Profit &amp; Loss Account'!B27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/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24</v>
      </c>
      <c r="B96" s="63"/>
      <c r="C96" s="64" t="s">
        <v>136</v>
      </c>
      <c r="D96" s="64"/>
      <c r="E96" s="64"/>
      <c r="F96" s="64"/>
      <c r="G96" s="64"/>
      <c r="H96" s="64"/>
      <c r="I96" s="64"/>
      <c r="J96" s="64"/>
      <c r="K96" s="64"/>
      <c r="L96" s="75" t="n">
        <v>39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32</v>
      </c>
      <c r="D98" s="98" t="n">
        <f aca="false">'Profit &amp; Loss Account'!B30</f>
        <v>0</v>
      </c>
      <c r="E98" s="98"/>
      <c r="F98" s="98"/>
      <c r="G98" s="99" t="s">
        <v>33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32</v>
      </c>
      <c r="O98" s="98"/>
      <c r="P98" s="98"/>
      <c r="Q98" s="98"/>
      <c r="R98" s="99" t="s">
        <v>33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25</v>
      </c>
      <c r="B100" s="63"/>
      <c r="C100" s="64" t="s">
        <v>137</v>
      </c>
      <c r="D100" s="64"/>
      <c r="E100" s="64"/>
      <c r="F100" s="64"/>
      <c r="G100" s="64"/>
      <c r="H100" s="64"/>
      <c r="I100" s="64"/>
      <c r="J100" s="64"/>
      <c r="K100" s="64"/>
      <c r="L100" s="75" t="n">
        <v>40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32</v>
      </c>
      <c r="D102" s="98" t="n">
        <f aca="false">'Profit &amp; Loss Account'!B31</f>
        <v>0</v>
      </c>
      <c r="E102" s="98"/>
      <c r="F102" s="98"/>
      <c r="G102" s="99" t="s">
        <v>33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32</v>
      </c>
      <c r="O102" s="98"/>
      <c r="P102" s="98"/>
      <c r="Q102" s="98"/>
      <c r="R102" s="99" t="s">
        <v>33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26</v>
      </c>
      <c r="B104" s="63"/>
      <c r="C104" s="64" t="s">
        <v>138</v>
      </c>
      <c r="D104" s="64"/>
      <c r="E104" s="64"/>
      <c r="F104" s="64"/>
      <c r="G104" s="64"/>
      <c r="H104" s="64"/>
      <c r="I104" s="64"/>
      <c r="J104" s="64"/>
      <c r="K104" s="64"/>
      <c r="L104" s="75" t="n">
        <v>41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32</v>
      </c>
      <c r="D106" s="98" t="n">
        <f aca="false">'Profit &amp; Loss Account'!B29</f>
        <v>0</v>
      </c>
      <c r="E106" s="98"/>
      <c r="F106" s="98"/>
      <c r="G106" s="99" t="s">
        <v>33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32</v>
      </c>
      <c r="O106" s="98"/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27</v>
      </c>
      <c r="B108" s="63"/>
      <c r="C108" s="64" t="s">
        <v>61</v>
      </c>
      <c r="D108" s="64"/>
      <c r="E108" s="64"/>
      <c r="F108" s="64"/>
      <c r="G108" s="64"/>
      <c r="H108" s="64"/>
      <c r="I108" s="64"/>
      <c r="J108" s="64"/>
      <c r="K108" s="64"/>
      <c r="L108" s="75" t="n">
        <v>42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32</v>
      </c>
      <c r="D110" s="98" t="n">
        <f aca="false">'Profit &amp; Loss Account'!B28</f>
        <v>960</v>
      </c>
      <c r="E110" s="98"/>
      <c r="F110" s="98"/>
      <c r="G110" s="99" t="s">
        <v>33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32</v>
      </c>
      <c r="O110" s="98"/>
      <c r="P110" s="98"/>
      <c r="Q110" s="98"/>
      <c r="R110" s="99" t="s">
        <v>33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28</v>
      </c>
      <c r="B112" s="63"/>
      <c r="C112" s="64" t="s">
        <v>139</v>
      </c>
      <c r="D112" s="64"/>
      <c r="E112" s="64"/>
      <c r="F112" s="64"/>
      <c r="G112" s="64"/>
      <c r="H112" s="64"/>
      <c r="I112" s="64"/>
      <c r="J112" s="64"/>
      <c r="K112" s="64"/>
      <c r="L112" s="75" t="n">
        <v>43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 t="n">
        <f aca="false">'Profit &amp; Loss Account'!B33+'Profit &amp; Loss Account'!B34</f>
        <v>0</v>
      </c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32</v>
      </c>
      <c r="O114" s="98" t="n">
        <f aca="false">'Profit &amp; Loss Account'!B34</f>
        <v>0</v>
      </c>
      <c r="P114" s="98"/>
      <c r="Q114" s="98"/>
      <c r="R114" s="99" t="s">
        <v>33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29</v>
      </c>
      <c r="B116" s="63"/>
      <c r="C116" s="64" t="s">
        <v>140</v>
      </c>
      <c r="D116" s="64"/>
      <c r="E116" s="64"/>
      <c r="F116" s="64"/>
      <c r="G116" s="64"/>
      <c r="H116" s="64"/>
      <c r="I116" s="64"/>
      <c r="J116" s="64"/>
      <c r="K116" s="64"/>
      <c r="L116" s="75" t="n">
        <v>44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32</v>
      </c>
      <c r="D118" s="98" t="n">
        <f aca="false">'Profit &amp; Loss Account'!B32</f>
        <v>0</v>
      </c>
      <c r="E118" s="98"/>
      <c r="F118" s="98"/>
      <c r="G118" s="99" t="s">
        <v>33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32</v>
      </c>
      <c r="O118" s="98"/>
      <c r="P118" s="98"/>
      <c r="Q118" s="98"/>
      <c r="R118" s="99" t="s">
        <v>33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30</v>
      </c>
      <c r="B120" s="63"/>
      <c r="C120" s="64" t="s">
        <v>141</v>
      </c>
      <c r="D120" s="64"/>
      <c r="E120" s="64"/>
      <c r="F120" s="64"/>
      <c r="G120" s="64"/>
      <c r="H120" s="64"/>
      <c r="I120" s="64"/>
      <c r="J120" s="64"/>
      <c r="K120" s="64"/>
      <c r="L120" s="75" t="n">
        <v>45</v>
      </c>
      <c r="M120" s="63"/>
      <c r="N120" s="64" t="s">
        <v>142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32</v>
      </c>
      <c r="D122" s="98" t="n">
        <f aca="false">'Profit &amp; Loss Account'!B17+'Profit &amp; Loss Account'!B35</f>
        <v>4200</v>
      </c>
      <c r="E122" s="98"/>
      <c r="F122" s="98"/>
      <c r="G122" s="99" t="s">
        <v>33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32</v>
      </c>
      <c r="O122" s="98" t="n">
        <f aca="false">'Profit &amp; Loss Account'!B34</f>
        <v>0</v>
      </c>
      <c r="P122" s="98"/>
      <c r="Q122" s="98"/>
      <c r="R122" s="99" t="s">
        <v>33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72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46</v>
      </c>
      <c r="B126" s="63"/>
      <c r="C126" s="64" t="s">
        <v>73</v>
      </c>
      <c r="D126" s="64"/>
      <c r="E126" s="64"/>
      <c r="F126" s="64"/>
      <c r="G126" s="64"/>
      <c r="H126" s="64"/>
      <c r="I126" s="64"/>
      <c r="J126" s="64"/>
      <c r="K126" s="64"/>
      <c r="L126" s="75" t="n">
        <v>47</v>
      </c>
      <c r="M126" s="63"/>
      <c r="N126" s="64" t="s">
        <v>74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143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144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32</v>
      </c>
      <c r="D129" s="98" t="n">
        <f aca="false">IF((D55+O55-D122)&gt;=0,D55+O55-D122,0)</f>
        <v>25800</v>
      </c>
      <c r="E129" s="98"/>
      <c r="F129" s="98"/>
      <c r="G129" s="99" t="s">
        <v>33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32</v>
      </c>
      <c r="O129" s="98" t="n">
        <f aca="false">IF((D55+O55-D122)&lt;0,D122-D55-O55,0)</f>
        <v>0</v>
      </c>
      <c r="P129" s="98"/>
      <c r="Q129" s="98"/>
      <c r="R129" s="99" t="s">
        <v>33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77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145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146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147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48</v>
      </c>
      <c r="B136" s="63"/>
      <c r="C136" s="130" t="s">
        <v>148</v>
      </c>
      <c r="D136" s="64"/>
      <c r="E136" s="64"/>
      <c r="F136" s="64"/>
      <c r="G136" s="64"/>
      <c r="H136" s="131" t="n">
        <f aca="false">Admin!G4</f>
        <v>1</v>
      </c>
      <c r="I136" s="131"/>
      <c r="J136" s="64"/>
      <c r="K136" s="64"/>
      <c r="L136" s="75" t="n">
        <v>54</v>
      </c>
      <c r="M136" s="63"/>
      <c r="N136" s="64" t="s">
        <v>149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 t="s">
        <v>150</v>
      </c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32</v>
      </c>
      <c r="D139" s="98" t="n">
        <f aca="false">IF([1]Schedule!$Q$1&gt;0,[1]Schedule!$Q$1,0)</f>
        <v>0</v>
      </c>
      <c r="E139" s="98"/>
      <c r="F139" s="98"/>
      <c r="G139" s="99" t="s">
        <v>33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32</v>
      </c>
      <c r="O139" s="98" t="n">
        <f aca="false">IF(([1]Schedule!$R$1+[1]Schedule!$S$1)&lt;1000,[1]Schedule!$S$1,0)</f>
        <v>0</v>
      </c>
      <c r="P139" s="98"/>
      <c r="Q139" s="98"/>
      <c r="R139" s="99" t="s">
        <v>33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49</v>
      </c>
      <c r="B141" s="63"/>
      <c r="C141" s="64" t="s">
        <v>151</v>
      </c>
      <c r="D141" s="64"/>
      <c r="E141" s="64"/>
      <c r="F141" s="64"/>
      <c r="G141" s="131" t="n">
        <f aca="false">Admin!G5</f>
        <v>0.18</v>
      </c>
      <c r="H141" s="131"/>
      <c r="I141" s="64" t="s">
        <v>152</v>
      </c>
      <c r="J141" s="64"/>
      <c r="K141" s="64"/>
      <c r="L141" s="75" t="n">
        <v>55</v>
      </c>
      <c r="M141" s="63"/>
      <c r="N141" s="64" t="s">
        <v>153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154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 t="s">
        <v>155</v>
      </c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32</v>
      </c>
      <c r="D144" s="98" t="n">
        <f aca="false">[1]Schedule!$R$1-D152</f>
        <v>0</v>
      </c>
      <c r="E144" s="98"/>
      <c r="F144" s="98"/>
      <c r="G144" s="99" t="s">
        <v>33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32</v>
      </c>
      <c r="O144" s="98" t="n">
        <f aca="false">[1]Schedule!$Y$1</f>
        <v>0</v>
      </c>
      <c r="P144" s="98"/>
      <c r="Q144" s="98"/>
      <c r="R144" s="99" t="s">
        <v>33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50</v>
      </c>
      <c r="B146" s="63"/>
      <c r="C146" s="130" t="s">
        <v>156</v>
      </c>
      <c r="D146" s="64"/>
      <c r="E146" s="64"/>
      <c r="F146" s="64"/>
      <c r="G146" s="64"/>
      <c r="H146" s="131" t="n">
        <v>0.1</v>
      </c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32</v>
      </c>
      <c r="D147" s="98"/>
      <c r="E147" s="98"/>
      <c r="F147" s="98"/>
      <c r="G147" s="99" t="s">
        <v>33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157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51</v>
      </c>
      <c r="B149" s="63"/>
      <c r="C149" s="64" t="s">
        <v>158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32</v>
      </c>
      <c r="O149" s="98" t="n">
        <f aca="false">D139+D144+D147+D152+D156+D160+O139+O144</f>
        <v>0</v>
      </c>
      <c r="P149" s="98"/>
      <c r="Q149" s="98"/>
      <c r="R149" s="99" t="s">
        <v>33</v>
      </c>
      <c r="S149" s="100" t="n">
        <v>0</v>
      </c>
      <c r="T149" s="100" t="n">
        <v>0</v>
      </c>
      <c r="U149" s="63"/>
      <c r="V149" s="63"/>
      <c r="W149" s="82"/>
    </row>
    <row r="150" customFormat="false" ht="12" hidden="false" customHeight="true" outlineLevel="0" collapsed="false">
      <c r="A150" s="79"/>
      <c r="B150" s="63"/>
      <c r="C150" s="64" t="s">
        <v>159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106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160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32</v>
      </c>
      <c r="D152" s="98" t="n">
        <f aca="false">SUM([1]Schedule!$R$38:$R$42)+SUM([1]Schedule!$R$91:$R$95)</f>
        <v>0</v>
      </c>
      <c r="E152" s="98"/>
      <c r="F152" s="98"/>
      <c r="G152" s="99" t="s">
        <v>33</v>
      </c>
      <c r="H152" s="100" t="n">
        <v>0</v>
      </c>
      <c r="I152" s="100" t="n">
        <v>0</v>
      </c>
      <c r="J152" s="63"/>
      <c r="K152" s="63"/>
      <c r="L152" s="63"/>
      <c r="M152" s="63"/>
      <c r="N152" s="64" t="s">
        <v>161</v>
      </c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52</v>
      </c>
      <c r="B154" s="63"/>
      <c r="C154" s="64" t="s">
        <v>162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32</v>
      </c>
      <c r="O154" s="98"/>
      <c r="P154" s="98"/>
      <c r="Q154" s="98"/>
      <c r="R154" s="99" t="s">
        <v>33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32</v>
      </c>
      <c r="D156" s="98"/>
      <c r="E156" s="98"/>
      <c r="F156" s="98"/>
      <c r="G156" s="99" t="s">
        <v>33</v>
      </c>
      <c r="H156" s="100" t="n">
        <v>0</v>
      </c>
      <c r="I156" s="100" t="n">
        <v>0</v>
      </c>
      <c r="J156" s="63"/>
      <c r="K156" s="63"/>
      <c r="L156" s="75" t="n">
        <v>58</v>
      </c>
      <c r="M156" s="63"/>
      <c r="N156" s="64" t="s">
        <v>163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</v>
      </c>
      <c r="B157" s="63"/>
      <c r="C157" s="64" t="s">
        <v>164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165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 t="s">
        <v>166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167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32</v>
      </c>
      <c r="D160" s="98"/>
      <c r="E160" s="98"/>
      <c r="F160" s="98"/>
      <c r="G160" s="99" t="s">
        <v>33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32</v>
      </c>
      <c r="O160" s="98" t="n">
        <f aca="false">[1]Schedule!$Z$1</f>
        <v>0</v>
      </c>
      <c r="P160" s="98"/>
      <c r="Q160" s="98"/>
      <c r="R160" s="99" t="s">
        <v>33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168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169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170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59</v>
      </c>
      <c r="B166" s="63"/>
      <c r="C166" s="64" t="s">
        <v>171</v>
      </c>
      <c r="D166" s="64"/>
      <c r="E166" s="64"/>
      <c r="F166" s="64"/>
      <c r="G166" s="64"/>
      <c r="H166" s="64"/>
      <c r="I166" s="64"/>
      <c r="J166" s="64"/>
      <c r="K166" s="64"/>
      <c r="L166" s="75" t="n">
        <v>62</v>
      </c>
      <c r="M166" s="63"/>
      <c r="N166" s="64" t="s">
        <v>172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 t="s">
        <v>114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173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32</v>
      </c>
      <c r="D169" s="98" t="n">
        <f aca="false">'Business Details'!O50</f>
        <v>0</v>
      </c>
      <c r="E169" s="98"/>
      <c r="F169" s="98"/>
      <c r="G169" s="99" t="s">
        <v>33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32</v>
      </c>
      <c r="O169" s="98" t="n">
        <f aca="false">O149+D179</f>
        <v>0</v>
      </c>
      <c r="P169" s="98"/>
      <c r="Q169" s="98"/>
      <c r="R169" s="99" t="s">
        <v>33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60</v>
      </c>
      <c r="B171" s="63"/>
      <c r="C171" s="64" t="s">
        <v>174</v>
      </c>
      <c r="D171" s="64"/>
      <c r="E171" s="64"/>
      <c r="F171" s="64"/>
      <c r="G171" s="64"/>
      <c r="H171" s="64"/>
      <c r="I171" s="64"/>
      <c r="J171" s="64"/>
      <c r="K171" s="64"/>
      <c r="L171" s="75" t="n">
        <v>63</v>
      </c>
      <c r="M171" s="63"/>
      <c r="N171" s="64" t="s">
        <v>175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176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177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32</v>
      </c>
      <c r="D174" s="98" t="n">
        <f aca="false">O122+O154+O160+D169</f>
        <v>0</v>
      </c>
      <c r="E174" s="98"/>
      <c r="F174" s="98"/>
      <c r="G174" s="99" t="s">
        <v>33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32</v>
      </c>
      <c r="O174" s="98" t="n">
        <f aca="false">IF((D129+D174-O169)&gt;0,(D129+D174-O169),IF((-O129+D174-O169)&gt;0,(-O129+D174-O169),0))</f>
        <v>25800</v>
      </c>
      <c r="P174" s="98"/>
      <c r="Q174" s="98"/>
      <c r="R174" s="99" t="s">
        <v>33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61</v>
      </c>
      <c r="B176" s="63"/>
      <c r="C176" s="64" t="s">
        <v>178</v>
      </c>
      <c r="D176" s="64"/>
      <c r="E176" s="64"/>
      <c r="F176" s="64"/>
      <c r="G176" s="64"/>
      <c r="H176" s="64"/>
      <c r="I176" s="64"/>
      <c r="J176" s="64"/>
      <c r="K176" s="64"/>
      <c r="L176" s="75" t="n">
        <v>64</v>
      </c>
      <c r="M176" s="63"/>
      <c r="N176" s="64" t="s">
        <v>179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180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181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32</v>
      </c>
      <c r="D179" s="98"/>
      <c r="E179" s="98"/>
      <c r="F179" s="98"/>
      <c r="G179" s="99" t="s">
        <v>33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32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33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182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183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184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185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 t="n">
        <v>65</v>
      </c>
      <c r="B186" s="63"/>
      <c r="C186" s="64" t="s">
        <v>186</v>
      </c>
      <c r="D186" s="64"/>
      <c r="E186" s="64"/>
      <c r="F186" s="64"/>
      <c r="G186" s="64"/>
      <c r="H186" s="64"/>
      <c r="I186" s="64"/>
      <c r="J186" s="64"/>
      <c r="K186" s="64"/>
      <c r="L186" s="75" t="n">
        <v>71</v>
      </c>
      <c r="M186" s="63"/>
      <c r="N186" s="64" t="s">
        <v>187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3.5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188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116"/>
      <c r="D188" s="135"/>
      <c r="E188" s="135"/>
      <c r="F188" s="135"/>
      <c r="G188" s="99"/>
      <c r="H188" s="102"/>
      <c r="I188" s="102"/>
      <c r="J188" s="63"/>
      <c r="K188" s="63"/>
      <c r="L188" s="64"/>
      <c r="M188" s="63"/>
      <c r="N188" s="92" t="s">
        <v>189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 t="n">
        <v>66</v>
      </c>
      <c r="B189" s="63"/>
      <c r="C189" s="64" t="s">
        <v>190</v>
      </c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191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32</v>
      </c>
      <c r="O190" s="136" t="s">
        <v>192</v>
      </c>
      <c r="P190" s="137"/>
      <c r="Q190" s="137"/>
      <c r="R190" s="99" t="s">
        <v>33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67</v>
      </c>
      <c r="B192" s="63"/>
      <c r="C192" s="64" t="s">
        <v>193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72</v>
      </c>
      <c r="M192" s="63"/>
      <c r="N192" s="64" t="s">
        <v>194</v>
      </c>
      <c r="O192" s="63"/>
      <c r="P192" s="63"/>
      <c r="Q192" s="138" t="str">
        <f aca="false">Admin!G2</f>
        <v>2020-21</v>
      </c>
      <c r="R192" s="64" t="s">
        <v>195</v>
      </c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196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197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198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32</v>
      </c>
      <c r="O194" s="98" t="n">
        <f aca="false">O174</f>
        <v>25800</v>
      </c>
      <c r="P194" s="98"/>
      <c r="Q194" s="98"/>
      <c r="R194" s="99" t="s">
        <v>33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 t="s">
        <v>199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 t="s">
        <v>200</v>
      </c>
      <c r="D196" s="64"/>
      <c r="E196" s="64"/>
      <c r="F196" s="64"/>
      <c r="G196" s="64"/>
      <c r="H196" s="64"/>
      <c r="I196" s="64"/>
      <c r="J196" s="64"/>
      <c r="K196" s="64"/>
      <c r="L196" s="75" t="n">
        <v>73</v>
      </c>
      <c r="M196" s="63"/>
      <c r="N196" s="64" t="s">
        <v>91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32</v>
      </c>
      <c r="D197" s="136" t="s">
        <v>192</v>
      </c>
      <c r="E197" s="137"/>
      <c r="F197" s="137"/>
      <c r="G197" s="99" t="s">
        <v>33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201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 t="s">
        <v>202</v>
      </c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68</v>
      </c>
      <c r="B199" s="63"/>
      <c r="C199" s="64" t="s">
        <v>203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32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33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32</v>
      </c>
      <c r="D201" s="98"/>
      <c r="E201" s="98"/>
      <c r="F201" s="98"/>
      <c r="G201" s="99" t="s">
        <v>33</v>
      </c>
      <c r="H201" s="100" t="n">
        <v>0</v>
      </c>
      <c r="I201" s="100" t="n">
        <v>0</v>
      </c>
      <c r="J201" s="63"/>
      <c r="K201" s="63"/>
      <c r="L201" s="75" t="n">
        <v>74</v>
      </c>
      <c r="M201" s="63"/>
      <c r="N201" s="64" t="s">
        <v>204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205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 t="n">
        <v>69</v>
      </c>
      <c r="B203" s="63"/>
      <c r="C203" s="64" t="s">
        <v>206</v>
      </c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80"/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32</v>
      </c>
      <c r="O204" s="98" t="n">
        <f aca="false">'Profit &amp; Loss Account'!B11</f>
        <v>0</v>
      </c>
      <c r="P204" s="98"/>
      <c r="Q204" s="98"/>
      <c r="R204" s="99" t="s">
        <v>33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97" t="s">
        <v>32</v>
      </c>
      <c r="D206" s="98"/>
      <c r="E206" s="98"/>
      <c r="F206" s="98"/>
      <c r="G206" s="99" t="s">
        <v>33</v>
      </c>
      <c r="H206" s="100" t="n">
        <v>0</v>
      </c>
      <c r="I206" s="100" t="n">
        <v>0</v>
      </c>
      <c r="J206" s="63"/>
      <c r="K206" s="63"/>
      <c r="L206" s="75" t="n">
        <v>75</v>
      </c>
      <c r="M206" s="63"/>
      <c r="N206" s="64" t="s">
        <v>207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208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70</v>
      </c>
      <c r="B208" s="63"/>
      <c r="C208" s="64" t="s">
        <v>209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 t="s">
        <v>210</v>
      </c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 t="s">
        <v>211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32</v>
      </c>
      <c r="D210" s="98"/>
      <c r="E210" s="98"/>
      <c r="F210" s="98"/>
      <c r="G210" s="99" t="s">
        <v>33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32</v>
      </c>
      <c r="O210" s="98" t="n">
        <f aca="false">O194-O199+O204</f>
        <v>25800</v>
      </c>
      <c r="P210" s="98"/>
      <c r="Q210" s="98"/>
      <c r="R210" s="99" t="s">
        <v>33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212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213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214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76</v>
      </c>
      <c r="B216" s="63"/>
      <c r="C216" s="64" t="s">
        <v>215</v>
      </c>
      <c r="D216" s="64"/>
      <c r="E216" s="64"/>
      <c r="F216" s="146" t="str">
        <f aca="false">Admin!G2</f>
        <v>2020-21</v>
      </c>
      <c r="G216" s="64" t="s">
        <v>216</v>
      </c>
      <c r="H216" s="64"/>
      <c r="I216" s="64"/>
      <c r="J216" s="63"/>
      <c r="K216" s="64"/>
      <c r="L216" s="75" t="n">
        <v>78</v>
      </c>
      <c r="M216" s="63"/>
      <c r="N216" s="64" t="s">
        <v>217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 t="s">
        <v>218</v>
      </c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112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32</v>
      </c>
      <c r="D219" s="98" t="n">
        <f aca="false">O179+E197-D201+D210+P190</f>
        <v>0</v>
      </c>
      <c r="E219" s="98"/>
      <c r="F219" s="98"/>
      <c r="G219" s="99" t="s">
        <v>33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32</v>
      </c>
      <c r="O219" s="98"/>
      <c r="P219" s="98"/>
      <c r="Q219" s="98"/>
      <c r="R219" s="99" t="s">
        <v>33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77</v>
      </c>
      <c r="B221" s="63"/>
      <c r="C221" s="64" t="s">
        <v>219</v>
      </c>
      <c r="D221" s="64"/>
      <c r="E221" s="64"/>
      <c r="F221" s="64"/>
      <c r="G221" s="64"/>
      <c r="H221" s="64"/>
      <c r="I221" s="64"/>
      <c r="J221" s="64"/>
      <c r="K221" s="64"/>
      <c r="L221" s="75" t="n">
        <v>79</v>
      </c>
      <c r="M221" s="63"/>
      <c r="N221" s="64" t="s">
        <v>115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107</v>
      </c>
      <c r="D222" s="114" t="str">
        <f aca="false">Admin!G2</f>
        <v>2020-21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117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32</v>
      </c>
      <c r="D224" s="98"/>
      <c r="E224" s="98"/>
      <c r="F224" s="98"/>
      <c r="G224" s="99" t="s">
        <v>33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32</v>
      </c>
      <c r="O224" s="98" t="n">
        <f aca="false">D219</f>
        <v>0</v>
      </c>
      <c r="P224" s="98"/>
      <c r="Q224" s="98"/>
      <c r="R224" s="99" t="s">
        <v>33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220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80</v>
      </c>
      <c r="B228" s="63"/>
      <c r="C228" s="64" t="s">
        <v>116</v>
      </c>
      <c r="D228" s="64"/>
      <c r="E228" s="64"/>
      <c r="F228" s="64"/>
      <c r="G228" s="64"/>
      <c r="H228" s="64"/>
      <c r="I228" s="64"/>
      <c r="J228" s="64"/>
      <c r="K228" s="64"/>
      <c r="L228" s="75" t="n">
        <v>81</v>
      </c>
      <c r="M228" s="63"/>
      <c r="N228" s="64" t="s">
        <v>221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222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32</v>
      </c>
      <c r="D231" s="98" t="n">
        <f aca="false">[2]Mar!$X$1</f>
        <v>0</v>
      </c>
      <c r="E231" s="98"/>
      <c r="F231" s="98"/>
      <c r="G231" s="99" t="s">
        <v>33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32</v>
      </c>
      <c r="O231" s="98"/>
      <c r="P231" s="98"/>
      <c r="Q231" s="98"/>
      <c r="R231" s="99" t="s">
        <v>33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223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224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225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226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227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82</v>
      </c>
      <c r="B239" s="63"/>
      <c r="C239" s="64" t="s">
        <v>228</v>
      </c>
      <c r="D239" s="64"/>
      <c r="E239" s="64"/>
      <c r="F239" s="64"/>
      <c r="G239" s="64"/>
      <c r="H239" s="64"/>
      <c r="I239" s="64"/>
      <c r="J239" s="64"/>
      <c r="K239" s="64"/>
      <c r="L239" s="75" t="n">
        <v>90</v>
      </c>
      <c r="M239" s="63"/>
      <c r="N239" s="64" t="s">
        <v>229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32</v>
      </c>
      <c r="D241" s="98"/>
      <c r="E241" s="98"/>
      <c r="F241" s="98"/>
      <c r="G241" s="99" t="s">
        <v>33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32</v>
      </c>
      <c r="O241" s="98"/>
      <c r="P241" s="98"/>
      <c r="Q241" s="98"/>
      <c r="R241" s="99" t="s">
        <v>33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83</v>
      </c>
      <c r="B243" s="63"/>
      <c r="C243" s="64" t="s">
        <v>230</v>
      </c>
      <c r="D243" s="64"/>
      <c r="E243" s="64"/>
      <c r="F243" s="64"/>
      <c r="G243" s="64"/>
      <c r="H243" s="64"/>
      <c r="I243" s="64"/>
      <c r="J243" s="64"/>
      <c r="K243" s="64"/>
      <c r="L243" s="75" t="n">
        <v>91</v>
      </c>
      <c r="M243" s="63"/>
      <c r="N243" s="64" t="s">
        <v>231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32</v>
      </c>
      <c r="D245" s="98"/>
      <c r="E245" s="98"/>
      <c r="F245" s="98"/>
      <c r="G245" s="99" t="s">
        <v>33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32</v>
      </c>
      <c r="O245" s="98"/>
      <c r="P245" s="98"/>
      <c r="Q245" s="98"/>
      <c r="R245" s="99" t="s">
        <v>33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84</v>
      </c>
      <c r="B247" s="63"/>
      <c r="C247" s="64" t="s">
        <v>232</v>
      </c>
      <c r="D247" s="64"/>
      <c r="E247" s="64"/>
      <c r="F247" s="64"/>
      <c r="G247" s="64"/>
      <c r="H247" s="64"/>
      <c r="I247" s="64"/>
      <c r="J247" s="64"/>
      <c r="K247" s="64"/>
      <c r="L247" s="75" t="n">
        <v>92</v>
      </c>
      <c r="M247" s="63"/>
      <c r="N247" s="64" t="s">
        <v>233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32</v>
      </c>
      <c r="D249" s="98"/>
      <c r="E249" s="98"/>
      <c r="F249" s="98"/>
      <c r="G249" s="99" t="s">
        <v>33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32</v>
      </c>
      <c r="O249" s="98"/>
      <c r="P249" s="98"/>
      <c r="Q249" s="98"/>
      <c r="R249" s="99" t="s">
        <v>33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85</v>
      </c>
      <c r="B251" s="63"/>
      <c r="C251" s="64" t="s">
        <v>234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235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32</v>
      </c>
      <c r="D253" s="98"/>
      <c r="E253" s="98"/>
      <c r="F253" s="98"/>
      <c r="G253" s="99" t="s">
        <v>33</v>
      </c>
      <c r="H253" s="100" t="n">
        <v>0</v>
      </c>
      <c r="I253" s="100" t="n">
        <v>0</v>
      </c>
      <c r="J253" s="63"/>
      <c r="K253" s="63"/>
      <c r="L253" s="75" t="n">
        <v>93</v>
      </c>
      <c r="M253" s="63"/>
      <c r="N253" s="64" t="s">
        <v>236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86</v>
      </c>
      <c r="B255" s="63"/>
      <c r="C255" s="64" t="s">
        <v>237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32</v>
      </c>
      <c r="O255" s="149" t="s">
        <v>192</v>
      </c>
      <c r="P255" s="98"/>
      <c r="Q255" s="98"/>
      <c r="R255" s="98"/>
      <c r="S255" s="99" t="s">
        <v>33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32</v>
      </c>
      <c r="D257" s="98"/>
      <c r="E257" s="98"/>
      <c r="F257" s="98"/>
      <c r="G257" s="99" t="s">
        <v>33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238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87</v>
      </c>
      <c r="B259" s="63"/>
      <c r="C259" s="64" t="s">
        <v>239</v>
      </c>
      <c r="D259" s="64"/>
      <c r="E259" s="64"/>
      <c r="F259" s="64"/>
      <c r="G259" s="64"/>
      <c r="H259" s="64"/>
      <c r="I259" s="64"/>
      <c r="J259" s="64"/>
      <c r="K259" s="64"/>
      <c r="L259" s="75" t="n">
        <v>94</v>
      </c>
      <c r="M259" s="63"/>
      <c r="N259" s="64" t="s">
        <v>240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32</v>
      </c>
      <c r="D261" s="98"/>
      <c r="E261" s="98"/>
      <c r="F261" s="98"/>
      <c r="G261" s="99" t="s">
        <v>33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32</v>
      </c>
      <c r="O261" s="136" t="s">
        <v>192</v>
      </c>
      <c r="P261" s="98"/>
      <c r="Q261" s="98"/>
      <c r="R261" s="98"/>
      <c r="S261" s="99" t="s">
        <v>33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88</v>
      </c>
      <c r="B263" s="63"/>
      <c r="C263" s="64" t="s">
        <v>241</v>
      </c>
      <c r="D263" s="64"/>
      <c r="E263" s="64"/>
      <c r="F263" s="64"/>
      <c r="G263" s="64"/>
      <c r="H263" s="64"/>
      <c r="I263" s="64"/>
      <c r="J263" s="64"/>
      <c r="K263" s="64"/>
      <c r="L263" s="75" t="n">
        <v>95</v>
      </c>
      <c r="M263" s="63"/>
      <c r="N263" s="64" t="s">
        <v>242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32</v>
      </c>
      <c r="D265" s="98"/>
      <c r="E265" s="98"/>
      <c r="F265" s="98"/>
      <c r="G265" s="99" t="s">
        <v>33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32</v>
      </c>
      <c r="O265" s="136" t="s">
        <v>192</v>
      </c>
      <c r="P265" s="98"/>
      <c r="Q265" s="98"/>
      <c r="R265" s="98"/>
      <c r="S265" s="99" t="s">
        <v>33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89</v>
      </c>
      <c r="B267" s="63"/>
      <c r="C267" s="64" t="s">
        <v>243</v>
      </c>
      <c r="D267" s="64"/>
      <c r="E267" s="64"/>
      <c r="F267" s="64"/>
      <c r="G267" s="64"/>
      <c r="H267" s="64"/>
      <c r="I267" s="64"/>
      <c r="J267" s="64"/>
      <c r="K267" s="64"/>
      <c r="L267" s="75" t="n">
        <v>96</v>
      </c>
      <c r="M267" s="63"/>
      <c r="N267" s="64" t="s">
        <v>244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32</v>
      </c>
      <c r="D269" s="98"/>
      <c r="E269" s="98"/>
      <c r="F269" s="98"/>
      <c r="G269" s="99" t="s">
        <v>33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32</v>
      </c>
      <c r="O269" s="98"/>
      <c r="P269" s="98"/>
      <c r="Q269" s="98"/>
      <c r="R269" s="99" t="s">
        <v>33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97</v>
      </c>
      <c r="M271" s="63"/>
      <c r="N271" s="64" t="s">
        <v>245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32</v>
      </c>
      <c r="O273" s="98"/>
      <c r="P273" s="98"/>
      <c r="Q273" s="98"/>
      <c r="R273" s="99" t="s">
        <v>33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98</v>
      </c>
      <c r="M275" s="63"/>
      <c r="N275" s="64" t="s">
        <v>246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32</v>
      </c>
      <c r="O277" s="136" t="s">
        <v>192</v>
      </c>
      <c r="P277" s="98"/>
      <c r="Q277" s="98"/>
      <c r="R277" s="98"/>
      <c r="S277" s="99" t="s">
        <v>33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247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248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Admin!N4</f>
        <v>12500</v>
      </c>
      <c r="K280" s="104" t="s">
        <v>249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250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99</v>
      </c>
      <c r="B283" s="63"/>
      <c r="C283" s="64" t="s">
        <v>251</v>
      </c>
      <c r="D283" s="63"/>
      <c r="E283" s="63"/>
      <c r="F283" s="63"/>
      <c r="G283" s="63"/>
      <c r="H283" s="63"/>
      <c r="I283" s="63"/>
      <c r="J283" s="63"/>
      <c r="K283" s="63"/>
      <c r="L283" s="75" t="n">
        <v>101</v>
      </c>
      <c r="M283" s="63"/>
      <c r="N283" s="64" t="s">
        <v>252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253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254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32</v>
      </c>
      <c r="O286" s="98"/>
      <c r="P286" s="98"/>
      <c r="Q286" s="98"/>
      <c r="R286" s="99" t="s">
        <v>33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100</v>
      </c>
      <c r="B288" s="63"/>
      <c r="C288" s="64" t="s">
        <v>110</v>
      </c>
      <c r="D288" s="63"/>
      <c r="E288" s="63"/>
      <c r="F288" s="63"/>
      <c r="G288" s="115" t="str">
        <f aca="false">Admin!G2</f>
        <v>2020-21</v>
      </c>
      <c r="H288" s="115"/>
      <c r="I288" s="115"/>
      <c r="J288" s="63" t="s">
        <v>255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256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 t="s">
        <v>257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258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102</v>
      </c>
      <c r="B296" s="63"/>
      <c r="C296" s="64" t="s">
        <v>259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260</v>
      </c>
      <c r="B2" s="161" t="s">
        <v>261</v>
      </c>
      <c r="C2" s="162" t="n">
        <f aca="false">Admin!B5</f>
        <v>43951</v>
      </c>
      <c r="D2" s="163" t="n">
        <f aca="false">Admin!B6</f>
        <v>43982</v>
      </c>
      <c r="E2" s="163" t="n">
        <f aca="false">Admin!B7</f>
        <v>44012</v>
      </c>
      <c r="F2" s="162" t="n">
        <f aca="false">Admin!B8</f>
        <v>44043</v>
      </c>
      <c r="G2" s="163" t="n">
        <f aca="false">Admin!B9</f>
        <v>44074</v>
      </c>
      <c r="H2" s="163" t="n">
        <f aca="false">Admin!B10</f>
        <v>44104</v>
      </c>
      <c r="I2" s="162" t="n">
        <f aca="false">Admin!B11</f>
        <v>44135</v>
      </c>
      <c r="J2" s="163" t="n">
        <f aca="false">Admin!B12</f>
        <v>44165</v>
      </c>
      <c r="K2" s="163" t="n">
        <f aca="false">Admin!B13</f>
        <v>44196</v>
      </c>
      <c r="L2" s="162" t="n">
        <f aca="false">Admin!B14</f>
        <v>44227</v>
      </c>
      <c r="M2" s="163" t="n">
        <f aca="false">Admin!B15</f>
        <v>44255</v>
      </c>
      <c r="N2" s="163" t="n">
        <f aca="false">Admin!B16</f>
        <v>44286</v>
      </c>
      <c r="O2" s="164"/>
    </row>
    <row r="3" customFormat="false" ht="12" hidden="false" customHeight="true" outlineLevel="0" collapsed="false">
      <c r="A3" s="160"/>
      <c r="B3" s="165" t="n">
        <f aca="false">Admin!B$17</f>
        <v>44291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32</v>
      </c>
      <c r="C4" s="166" t="s">
        <v>32</v>
      </c>
      <c r="D4" s="166" t="s">
        <v>32</v>
      </c>
      <c r="E4" s="166" t="s">
        <v>32</v>
      </c>
      <c r="F4" s="167" t="s">
        <v>32</v>
      </c>
      <c r="G4" s="166" t="s">
        <v>32</v>
      </c>
      <c r="H4" s="166" t="s">
        <v>32</v>
      </c>
      <c r="I4" s="167" t="s">
        <v>32</v>
      </c>
      <c r="J4" s="166" t="s">
        <v>32</v>
      </c>
      <c r="K4" s="166" t="s">
        <v>32</v>
      </c>
      <c r="L4" s="167" t="s">
        <v>32</v>
      </c>
      <c r="M4" s="168" t="s">
        <v>32</v>
      </c>
      <c r="N4" s="166" t="s">
        <v>32</v>
      </c>
      <c r="O4" s="164"/>
    </row>
    <row r="5" customFormat="false" ht="12" hidden="false" customHeight="false" outlineLevel="0" collapsed="false">
      <c r="A5" s="169" t="s">
        <v>262</v>
      </c>
      <c r="B5" s="170" t="n">
        <f aca="false">SUM(C5:N5)</f>
        <v>30000</v>
      </c>
      <c r="C5" s="171" t="n">
        <f aca="false">[2]Apr!$P$1</f>
        <v>2500</v>
      </c>
      <c r="D5" s="171" t="n">
        <f aca="false">[2]May!$P$1</f>
        <v>2500</v>
      </c>
      <c r="E5" s="172" t="n">
        <f aca="false">[2]Jun!$P$1</f>
        <v>2500</v>
      </c>
      <c r="F5" s="171" t="n">
        <f aca="false">[2]Jul!$P$1</f>
        <v>2500</v>
      </c>
      <c r="G5" s="171" t="n">
        <f aca="false">[2]Aug!$P$1</f>
        <v>2500</v>
      </c>
      <c r="H5" s="172" t="n">
        <f aca="false">[2]Sep!$P$1</f>
        <v>2500</v>
      </c>
      <c r="I5" s="171" t="n">
        <f aca="false">[2]Oct!$P$1</f>
        <v>2500</v>
      </c>
      <c r="J5" s="171" t="n">
        <f aca="false">[2]Nov!$P$1</f>
        <v>2500</v>
      </c>
      <c r="K5" s="172" t="n">
        <f aca="false">[2]Dec!$P$1</f>
        <v>2500</v>
      </c>
      <c r="L5" s="171" t="n">
        <f aca="false">[2]Jan!$P$1</f>
        <v>2500</v>
      </c>
      <c r="M5" s="171" t="n">
        <f aca="false">[2]Feb!$P$1</f>
        <v>2500</v>
      </c>
      <c r="N5" s="171" t="n">
        <f aca="false">[2]Mar!$P$1</f>
        <v>2500</v>
      </c>
      <c r="O5" s="164"/>
    </row>
    <row r="6" customFormat="false" ht="12" hidden="false" customHeight="false" outlineLevel="0" collapsed="false">
      <c r="A6" s="169" t="s">
        <v>263</v>
      </c>
      <c r="B6" s="170" t="n">
        <f aca="false">SUM(C6:N6)</f>
        <v>0</v>
      </c>
      <c r="C6" s="171" t="n">
        <f aca="false">[2]Apr!$Q$1</f>
        <v>0</v>
      </c>
      <c r="D6" s="171" t="n">
        <f aca="false">[2]May!$Q$1</f>
        <v>0</v>
      </c>
      <c r="E6" s="172" t="n">
        <f aca="false">[2]Jun!$Q$1</f>
        <v>0</v>
      </c>
      <c r="F6" s="171" t="n">
        <f aca="false">[2]Jul!$Q$1</f>
        <v>0</v>
      </c>
      <c r="G6" s="171" t="n">
        <f aca="false">[2]Aug!$Q$1</f>
        <v>0</v>
      </c>
      <c r="H6" s="172" t="n">
        <f aca="false">[2]Sep!$Q$1</f>
        <v>0</v>
      </c>
      <c r="I6" s="171" t="n">
        <f aca="false">[2]Oct!$Q$1</f>
        <v>0</v>
      </c>
      <c r="J6" s="171" t="n">
        <f aca="false">[2]Nov!$Q$1</f>
        <v>0</v>
      </c>
      <c r="K6" s="172" t="n">
        <f aca="false">[2]Dec!$Q$1</f>
        <v>0</v>
      </c>
      <c r="L6" s="171" t="n">
        <f aca="false">[2]Jan!$Q$1</f>
        <v>0</v>
      </c>
      <c r="M6" s="171" t="n">
        <f aca="false">[2]Feb!$Q$1</f>
        <v>0</v>
      </c>
      <c r="N6" s="171" t="n">
        <f aca="false">[2]Mar!$Q$1</f>
        <v>0</v>
      </c>
      <c r="O6" s="164"/>
    </row>
    <row r="7" customFormat="false" ht="12" hidden="false" customHeight="false" outlineLevel="0" collapsed="false">
      <c r="A7" s="169" t="s">
        <v>264</v>
      </c>
      <c r="B7" s="170" t="n">
        <f aca="false">SUM(C7:N7)</f>
        <v>0</v>
      </c>
      <c r="C7" s="171" t="n">
        <f aca="false">[2]Apr!$R$1</f>
        <v>0</v>
      </c>
      <c r="D7" s="171" t="n">
        <f aca="false">[2]May!$R$1</f>
        <v>0</v>
      </c>
      <c r="E7" s="172" t="n">
        <f aca="false">[2]Jun!$R$1</f>
        <v>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0</v>
      </c>
      <c r="I7" s="171" t="n">
        <f aca="false">[2]Oct!$R$1</f>
        <v>0</v>
      </c>
      <c r="J7" s="171" t="n">
        <f aca="false">[2]Nov!$R$1</f>
        <v>0</v>
      </c>
      <c r="K7" s="172" t="n">
        <f aca="false">[2]Dec!$R$1</f>
        <v>0</v>
      </c>
      <c r="L7" s="171" t="n">
        <f aca="false">[2]Jan!$R$1</f>
        <v>0</v>
      </c>
      <c r="M7" s="171" t="n">
        <f aca="false">[2]Feb!$R$1</f>
        <v>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265</v>
      </c>
      <c r="B8" s="170" t="n">
        <f aca="false">SUM(C8:N8)</f>
        <v>0</v>
      </c>
      <c r="C8" s="171" t="n">
        <f aca="false">[2]Apr!$S$1</f>
        <v>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0</v>
      </c>
      <c r="G8" s="171" t="n">
        <f aca="false">[2]Aug!$S$1</f>
        <v>0</v>
      </c>
      <c r="H8" s="172" t="n">
        <f aca="false">[2]Sep!$S$1</f>
        <v>0</v>
      </c>
      <c r="I8" s="171" t="n">
        <f aca="false">[2]Oct!$S$1</f>
        <v>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0</v>
      </c>
      <c r="M8" s="171" t="n">
        <f aca="false">[2]Feb!$S$1</f>
        <v>0</v>
      </c>
      <c r="N8" s="171" t="n">
        <f aca="false">[2]Mar!$S$1</f>
        <v>0</v>
      </c>
      <c r="O8" s="164"/>
    </row>
    <row r="9" s="176" customFormat="true" ht="12" hidden="false" customHeight="false" outlineLevel="0" collapsed="false">
      <c r="A9" s="173" t="s">
        <v>266</v>
      </c>
      <c r="B9" s="170" t="n">
        <f aca="false">SUM(B5:B8)</f>
        <v>30000</v>
      </c>
      <c r="C9" s="170" t="n">
        <f aca="false">SUM(C5:C8)</f>
        <v>2500</v>
      </c>
      <c r="D9" s="170" t="n">
        <f aca="false">SUM(D5:D8)</f>
        <v>2500</v>
      </c>
      <c r="E9" s="170" t="n">
        <f aca="false">SUM(E5:E8)</f>
        <v>2500</v>
      </c>
      <c r="F9" s="174" t="n">
        <f aca="false">SUM(F5:F8)</f>
        <v>2500</v>
      </c>
      <c r="G9" s="170" t="n">
        <f aca="false">SUM(G5:G8)</f>
        <v>2500</v>
      </c>
      <c r="H9" s="170" t="n">
        <f aca="false">SUM(H5:H8)</f>
        <v>2500</v>
      </c>
      <c r="I9" s="174" t="n">
        <f aca="false">SUM(I5:I8)</f>
        <v>2500</v>
      </c>
      <c r="J9" s="170" t="n">
        <f aca="false">SUM(J5:J8)</f>
        <v>2500</v>
      </c>
      <c r="K9" s="170" t="n">
        <f aca="false">SUM(K5:K8)</f>
        <v>2500</v>
      </c>
      <c r="L9" s="174" t="n">
        <f aca="false">SUM(L5:L8)</f>
        <v>2500</v>
      </c>
      <c r="M9" s="170" t="n">
        <f aca="false">SUM(M5:M8)</f>
        <v>2500</v>
      </c>
      <c r="N9" s="170" t="n">
        <f aca="false">SUM(N5:N8)</f>
        <v>2500</v>
      </c>
      <c r="O9" s="175"/>
    </row>
    <row r="10" s="178" customFormat="tru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</row>
    <row r="11" customFormat="false" ht="12" hidden="false" customHeight="false" outlineLevel="0" collapsed="false">
      <c r="A11" s="169" t="s">
        <v>267</v>
      </c>
      <c r="B11" s="170" t="n">
        <f aca="false">SUM(C11:N11)</f>
        <v>0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0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s="158" customFormat="tru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</row>
    <row r="13" s="176" customFormat="true" ht="10.5" hidden="false" customHeight="true" outlineLevel="0" collapsed="false">
      <c r="A13" s="180" t="s">
        <v>268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</row>
    <row r="14" customFormat="false" ht="12" hidden="false" customHeight="false" outlineLevel="0" collapsed="false">
      <c r="A14" s="169" t="s">
        <v>269</v>
      </c>
      <c r="B14" s="170" t="n">
        <f aca="false">SUM(C14:N14)</f>
        <v>0</v>
      </c>
      <c r="C14" s="171" t="n">
        <f aca="false">[3]Apr!$P$1+StockControl!AB6-StockControl!AB8</f>
        <v>0</v>
      </c>
      <c r="D14" s="171" t="n">
        <f aca="false">[3]May!$P$1+StockControl!AB8-StockControl!AB10</f>
        <v>0</v>
      </c>
      <c r="E14" s="172" t="n">
        <f aca="false">[3]Jun!$P$1+StockControl!AB10-StockControl!AB12</f>
        <v>0</v>
      </c>
      <c r="F14" s="171" t="n">
        <f aca="false">[3]Jul!$P$1+StockControl!AB12-StockControl!AB14</f>
        <v>0</v>
      </c>
      <c r="G14" s="171" t="n">
        <f aca="false">[3]Aug!$P$1+StockControl!AB14-StockControl!AB16</f>
        <v>0</v>
      </c>
      <c r="H14" s="172" t="n">
        <f aca="false">[3]Sep!$P$1+StockControl!AB16-StockControl!AB18</f>
        <v>0</v>
      </c>
      <c r="I14" s="171" t="n">
        <f aca="false">[3]Oct!$P$1+StockControl!AB18-StockControl!AB20</f>
        <v>0</v>
      </c>
      <c r="J14" s="171" t="n">
        <f aca="false">[3]Nov!$P$1+StockControl!AB20-StockControl!AB22</f>
        <v>0</v>
      </c>
      <c r="K14" s="172" t="n">
        <f aca="false">[3]Dec!$P$1+StockControl!AB22-StockControl!AB24</f>
        <v>0</v>
      </c>
      <c r="L14" s="171" t="n">
        <f aca="false">[3]Jan!$P$1+StockControl!AB24-StockControl!AB26</f>
        <v>0</v>
      </c>
      <c r="M14" s="171" t="n">
        <f aca="false">[3]Feb!$P$1+StockControl!AB26-StockControl!AB28</f>
        <v>0</v>
      </c>
      <c r="N14" s="171" t="n">
        <f aca="false">[3]Mar!$P$1+StockControl!AB28-StockControl!AB30</f>
        <v>0</v>
      </c>
      <c r="O14" s="164"/>
    </row>
    <row r="15" customFormat="false" ht="12" hidden="false" customHeight="false" outlineLevel="0" collapsed="false">
      <c r="A15" s="169" t="s">
        <v>270</v>
      </c>
      <c r="B15" s="170" t="n">
        <f aca="false">SUM(C15:N15)</f>
        <v>0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0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271</v>
      </c>
      <c r="B16" s="170" t="n">
        <f aca="false">SUM(C16:N16)</f>
        <v>0</v>
      </c>
      <c r="C16" s="171" t="n">
        <f aca="false">[3]Apr!$R$1</f>
        <v>0</v>
      </c>
      <c r="D16" s="171" t="n">
        <f aca="false">[3]May!$R$1</f>
        <v>0</v>
      </c>
      <c r="E16" s="172" t="n">
        <f aca="false">[3]Jun!$R$1</f>
        <v>0</v>
      </c>
      <c r="F16" s="171" t="n">
        <f aca="false">[3]Jul!$R$1</f>
        <v>0</v>
      </c>
      <c r="G16" s="171" t="n">
        <f aca="false">[3]Aug!$R$1</f>
        <v>0</v>
      </c>
      <c r="H16" s="172" t="n">
        <f aca="false">[3]Sep!$R$1</f>
        <v>0</v>
      </c>
      <c r="I16" s="171" t="n">
        <f aca="false">[3]Oct!$R$1</f>
        <v>0</v>
      </c>
      <c r="J16" s="171" t="n">
        <f aca="false">[3]Nov!$R$1</f>
        <v>0</v>
      </c>
      <c r="K16" s="172" t="n">
        <f aca="false">[3]Dec!$R$1</f>
        <v>0</v>
      </c>
      <c r="L16" s="171" t="n">
        <f aca="false">[3]Jan!$R$1</f>
        <v>0</v>
      </c>
      <c r="M16" s="171" t="n">
        <f aca="false">[3]Feb!$R$1</f>
        <v>0</v>
      </c>
      <c r="N16" s="171" t="n">
        <f aca="false">[3]Mar!$R$1</f>
        <v>0</v>
      </c>
      <c r="O16" s="164"/>
    </row>
    <row r="17" s="176" customFormat="true" ht="12" hidden="false" customHeight="false" outlineLevel="0" collapsed="false">
      <c r="A17" s="173" t="s">
        <v>272</v>
      </c>
      <c r="B17" s="170" t="n">
        <f aca="false">SUM(B14:B16)</f>
        <v>0</v>
      </c>
      <c r="C17" s="170" t="n">
        <f aca="false">SUM(C14:C16)</f>
        <v>0</v>
      </c>
      <c r="D17" s="170" t="n">
        <f aca="false">SUM(D14:D16)</f>
        <v>0</v>
      </c>
      <c r="E17" s="170" t="n">
        <f aca="false">SUM(E14:E16)</f>
        <v>0</v>
      </c>
      <c r="F17" s="174" t="n">
        <f aca="false">SUM(F14:F16)</f>
        <v>0</v>
      </c>
      <c r="G17" s="170" t="n">
        <f aca="false">SUM(G14:G16)</f>
        <v>0</v>
      </c>
      <c r="H17" s="170" t="n">
        <f aca="false">SUM(H14:H16)</f>
        <v>0</v>
      </c>
      <c r="I17" s="174" t="n">
        <f aca="false">SUM(I14:I16)</f>
        <v>0</v>
      </c>
      <c r="J17" s="170" t="n">
        <f aca="false">SUM(J14:J16)</f>
        <v>0</v>
      </c>
      <c r="K17" s="170" t="n">
        <f aca="false">SUM(K14:K16)</f>
        <v>0</v>
      </c>
      <c r="L17" s="174" t="n">
        <f aca="false">SUM(L14:L16)</f>
        <v>0</v>
      </c>
      <c r="M17" s="170" t="n">
        <f aca="false">SUM(M14:M16)</f>
        <v>0</v>
      </c>
      <c r="N17" s="170" t="n">
        <f aca="false">SUM(N14:N16)</f>
        <v>0</v>
      </c>
      <c r="O17" s="175"/>
    </row>
    <row r="18" s="176" customFormat="tru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</row>
    <row r="19" s="176" customFormat="true" ht="12" hidden="false" customHeight="false" outlineLevel="0" collapsed="false">
      <c r="A19" s="173" t="s">
        <v>273</v>
      </c>
      <c r="B19" s="170" t="n">
        <f aca="false">B9+B11-B17</f>
        <v>30000</v>
      </c>
      <c r="C19" s="170" t="n">
        <f aca="false">C9+C11-C17</f>
        <v>2500</v>
      </c>
      <c r="D19" s="170" t="n">
        <f aca="false">D9+D11-D17</f>
        <v>2500</v>
      </c>
      <c r="E19" s="170" t="n">
        <f aca="false">E9+E11-E17</f>
        <v>2500</v>
      </c>
      <c r="F19" s="174" t="n">
        <f aca="false">F9+F11-F17</f>
        <v>2500</v>
      </c>
      <c r="G19" s="170" t="n">
        <f aca="false">G9+G11-G17</f>
        <v>2500</v>
      </c>
      <c r="H19" s="170" t="n">
        <f aca="false">H9+H11-H17</f>
        <v>2500</v>
      </c>
      <c r="I19" s="174" t="n">
        <f aca="false">I9+I11-I17</f>
        <v>2500</v>
      </c>
      <c r="J19" s="170" t="n">
        <f aca="false">J9+J11-J17</f>
        <v>2500</v>
      </c>
      <c r="K19" s="170" t="n">
        <f aca="false">K9+K11-K17</f>
        <v>2500</v>
      </c>
      <c r="L19" s="174" t="n">
        <f aca="false">L9+L11-L17</f>
        <v>2500</v>
      </c>
      <c r="M19" s="170" t="n">
        <f aca="false">M9+M11-M17</f>
        <v>2500</v>
      </c>
      <c r="N19" s="170" t="n">
        <f aca="false">N9+N11-N17</f>
        <v>2500</v>
      </c>
      <c r="O19" s="175"/>
    </row>
    <row r="20" s="176" customFormat="true" ht="10.5" hidden="false" customHeight="true" outlineLevel="0" collapsed="false">
      <c r="A20" s="180" t="s">
        <v>274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</row>
    <row r="21" customFormat="false" ht="12" hidden="false" customHeight="false" outlineLevel="0" collapsed="false">
      <c r="A21" s="169" t="s">
        <v>275</v>
      </c>
      <c r="B21" s="170" t="n">
        <f aca="false">SUM(C21:N21)</f>
        <v>0</v>
      </c>
      <c r="C21" s="171" t="n">
        <f aca="false">[3]Apr!$S$1+Wagesinterface!C4+Wagesinterface!H4-Wagesinterface!I4</f>
        <v>0</v>
      </c>
      <c r="D21" s="171" t="n">
        <f aca="false">[3]May!$S$1+Wagesinterface!C5+Wagesinterface!H5-Wagesinterface!I5</f>
        <v>0</v>
      </c>
      <c r="E21" s="172" t="n">
        <f aca="false">[3]Jun!$S$1+Wagesinterface!C6+Wagesinterface!H6-Wagesinterface!I6</f>
        <v>0</v>
      </c>
      <c r="F21" s="171" t="n">
        <f aca="false">[3]Jul!$S$1+Wagesinterface!C7+Wagesinterface!H7-Wagesinterface!I7</f>
        <v>0</v>
      </c>
      <c r="G21" s="171" t="n">
        <f aca="false">[3]Aug!$S$1+Wagesinterface!C8+Wagesinterface!H8-Wagesinterface!I8</f>
        <v>0</v>
      </c>
      <c r="H21" s="172" t="n">
        <f aca="false">[3]Sep!$S$1+Wagesinterface!C9+Wagesinterface!H9-Wagesinterface!I9</f>
        <v>0</v>
      </c>
      <c r="I21" s="171" t="n">
        <f aca="false">[3]Oct!$S$1+Wagesinterface!C10+Wagesinterface!H10-Wagesinterface!I10</f>
        <v>0</v>
      </c>
      <c r="J21" s="171" t="n">
        <f aca="false">[3]Nov!$S$1+Wagesinterface!C11+Wagesinterface!H11-Wagesinterface!I11</f>
        <v>0</v>
      </c>
      <c r="K21" s="172" t="n">
        <f aca="false">[3]Dec!$S$1+Wagesinterface!C12+Wagesinterface!H12-Wagesinterface!I12</f>
        <v>0</v>
      </c>
      <c r="L21" s="171" t="n">
        <f aca="false">[3]Jan!$S$1+Wagesinterface!C13+Wagesinterface!H13-Wagesinterface!I13</f>
        <v>0</v>
      </c>
      <c r="M21" s="171" t="n">
        <f aca="false">[3]Feb!$S$1+Wagesinterface!C14+Wagesinterface!H14-Wagesinterface!I14</f>
        <v>0</v>
      </c>
      <c r="N21" s="171" t="n">
        <f aca="false">[3]Mar!$S$1+Wagesinterface!C15+Wagesinterface!H15-Wagesinterface!I15</f>
        <v>0</v>
      </c>
      <c r="O21" s="164"/>
    </row>
    <row r="22" customFormat="false" ht="12" hidden="false" customHeight="false" outlineLevel="0" collapsed="false">
      <c r="A22" s="182" t="s">
        <v>276</v>
      </c>
      <c r="B22" s="170" t="n">
        <f aca="false">SUM(C22:N22)</f>
        <v>1800</v>
      </c>
      <c r="C22" s="171" t="n">
        <f aca="false">[3]Apr!$T$1</f>
        <v>0</v>
      </c>
      <c r="D22" s="171" t="n">
        <f aca="false">[3]May!$T$1</f>
        <v>600</v>
      </c>
      <c r="E22" s="172" t="n">
        <f aca="false">[3]Jun!$T$1</f>
        <v>0</v>
      </c>
      <c r="F22" s="171" t="n">
        <f aca="false">[3]Jul!$T$1</f>
        <v>0</v>
      </c>
      <c r="G22" s="171" t="n">
        <f aca="false">[3]Aug!$T$1</f>
        <v>0</v>
      </c>
      <c r="H22" s="172" t="n">
        <f aca="false">[3]Sep!$T$1</f>
        <v>0</v>
      </c>
      <c r="I22" s="171" t="n">
        <f aca="false">[3]Oct!$T$1</f>
        <v>600</v>
      </c>
      <c r="J22" s="171" t="n">
        <f aca="false">[3]Nov!$T$1</f>
        <v>0</v>
      </c>
      <c r="K22" s="172" t="n">
        <f aca="false">[3]Dec!$T$1</f>
        <v>0</v>
      </c>
      <c r="L22" s="171" t="n">
        <f aca="false">[3]Jan!$T$1</f>
        <v>0</v>
      </c>
      <c r="M22" s="171" t="n">
        <f aca="false">[3]Feb!$T$1</f>
        <v>600</v>
      </c>
      <c r="N22" s="171" t="n">
        <f aca="false">[3]Mar!$T$1</f>
        <v>0</v>
      </c>
      <c r="O22" s="164"/>
    </row>
    <row r="23" customFormat="false" ht="12" hidden="false" customHeight="false" outlineLevel="0" collapsed="false">
      <c r="A23" s="182" t="s">
        <v>277</v>
      </c>
      <c r="B23" s="170" t="n">
        <f aca="false">SUM(C23:N23)</f>
        <v>480</v>
      </c>
      <c r="C23" s="171" t="n">
        <f aca="false">[3]Apr!$U$1</f>
        <v>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0</v>
      </c>
      <c r="G23" s="171" t="n">
        <f aca="false">[3]Aug!$U$1</f>
        <v>0</v>
      </c>
      <c r="H23" s="172" t="n">
        <f aca="false">[3]Sep!$U$1</f>
        <v>0</v>
      </c>
      <c r="I23" s="171" t="n">
        <f aca="false">[3]Oct!$U$1</f>
        <v>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480</v>
      </c>
      <c r="M23" s="171" t="n">
        <f aca="false">[3]Feb!$U$1</f>
        <v>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278</v>
      </c>
      <c r="B24" s="170" t="n">
        <f aca="false">SUM(C24:N24)</f>
        <v>660</v>
      </c>
      <c r="C24" s="171" t="n">
        <f aca="false">[3]Apr!$V$1</f>
        <v>120</v>
      </c>
      <c r="D24" s="171" t="n">
        <f aca="false">[3]May!$V$1</f>
        <v>0</v>
      </c>
      <c r="E24" s="172" t="n">
        <f aca="false">[3]Jun!$V$1</f>
        <v>0</v>
      </c>
      <c r="F24" s="171" t="n">
        <f aca="false">[3]Jul!$V$1</f>
        <v>0</v>
      </c>
      <c r="G24" s="171" t="n">
        <f aca="false">[3]Aug!$V$1</f>
        <v>0</v>
      </c>
      <c r="H24" s="172" t="n">
        <f aca="false">[3]Sep!$V$1</f>
        <v>0</v>
      </c>
      <c r="I24" s="171" t="n">
        <f aca="false">[3]Oct!$V$1</f>
        <v>0</v>
      </c>
      <c r="J24" s="171" t="n">
        <f aca="false">[3]Nov!$V$1</f>
        <v>120</v>
      </c>
      <c r="K24" s="172" t="n">
        <f aca="false">[3]Dec!$V$1</f>
        <v>0</v>
      </c>
      <c r="L24" s="171" t="n">
        <f aca="false">[3]Jan!$V$1</f>
        <v>0</v>
      </c>
      <c r="M24" s="171" t="n">
        <f aca="false">[3]Feb!$V$1</f>
        <v>0</v>
      </c>
      <c r="N24" s="171" t="n">
        <f aca="false">[3]Mar!$V$1</f>
        <v>420</v>
      </c>
      <c r="O24" s="164"/>
    </row>
    <row r="25" customFormat="false" ht="12" hidden="false" customHeight="false" outlineLevel="0" collapsed="false">
      <c r="A25" s="182" t="s">
        <v>279</v>
      </c>
      <c r="B25" s="170" t="n">
        <f aca="false">SUM(C25:N25)</f>
        <v>300</v>
      </c>
      <c r="C25" s="171" t="n">
        <f aca="false">[3]Apr!$W$1</f>
        <v>0</v>
      </c>
      <c r="D25" s="171" t="n">
        <f aca="false">[3]May!$W$1</f>
        <v>0</v>
      </c>
      <c r="E25" s="172" t="n">
        <f aca="false">[3]Jun!$W$1</f>
        <v>0</v>
      </c>
      <c r="F25" s="171" t="n">
        <f aca="false">[3]Jul!$W$1</f>
        <v>0</v>
      </c>
      <c r="G25" s="171" t="n">
        <f aca="false">[3]Aug!$W$1</f>
        <v>300</v>
      </c>
      <c r="H25" s="172" t="n">
        <f aca="false">[3]Sep!$W$1</f>
        <v>0</v>
      </c>
      <c r="I25" s="171" t="n">
        <f aca="false">[3]Oct!$W$1</f>
        <v>0</v>
      </c>
      <c r="J25" s="171" t="n">
        <f aca="false">[3]Nov!$W$1</f>
        <v>0</v>
      </c>
      <c r="K25" s="172" t="n">
        <f aca="false">[3]Dec!$W$1</f>
        <v>0</v>
      </c>
      <c r="L25" s="171" t="n">
        <f aca="false">[3]Jan!$W$1</f>
        <v>0</v>
      </c>
      <c r="M25" s="171" t="n">
        <f aca="false">[3]Feb!$W$1</f>
        <v>0</v>
      </c>
      <c r="N25" s="171" t="n">
        <f aca="false">[3]Mar!$W$1</f>
        <v>0</v>
      </c>
      <c r="O25" s="164"/>
    </row>
    <row r="26" customFormat="false" ht="12" hidden="false" customHeight="false" outlineLevel="0" collapsed="false">
      <c r="A26" s="182" t="s">
        <v>280</v>
      </c>
      <c r="B26" s="170" t="n">
        <f aca="false">SUM(C26:N26)</f>
        <v>0</v>
      </c>
      <c r="C26" s="171" t="n">
        <f aca="false">[3]Apr!$X$1</f>
        <v>0</v>
      </c>
      <c r="D26" s="171" t="n">
        <f aca="false">[3]May!$X$1</f>
        <v>0</v>
      </c>
      <c r="E26" s="172" t="n">
        <f aca="false">[3]Jun!$X$1</f>
        <v>0</v>
      </c>
      <c r="F26" s="171" t="n">
        <f aca="false">[3]Jul!$X$1</f>
        <v>0</v>
      </c>
      <c r="G26" s="171" t="n">
        <f aca="false">[3]Aug!$X$1</f>
        <v>0</v>
      </c>
      <c r="H26" s="172" t="n">
        <f aca="false">[3]Sep!$X$1</f>
        <v>0</v>
      </c>
      <c r="I26" s="171" t="n">
        <f aca="false">[3]Oct!$X$1</f>
        <v>0</v>
      </c>
      <c r="J26" s="171" t="n">
        <f aca="false">[3]Nov!$X$1</f>
        <v>0</v>
      </c>
      <c r="K26" s="172" t="n">
        <f aca="false">[3]Dec!$X$1</f>
        <v>0</v>
      </c>
      <c r="L26" s="171" t="n">
        <f aca="false">[3]Jan!$X$1</f>
        <v>0</v>
      </c>
      <c r="M26" s="171" t="n">
        <f aca="false">[3]Feb!$X$1</f>
        <v>0</v>
      </c>
      <c r="N26" s="171" t="n">
        <f aca="false">[3]Mar!$X$1</f>
        <v>0</v>
      </c>
      <c r="O26" s="164"/>
    </row>
    <row r="27" customFormat="false" ht="12" hidden="false" customHeight="false" outlineLevel="0" collapsed="false">
      <c r="A27" s="182" t="s">
        <v>281</v>
      </c>
      <c r="B27" s="170" t="n">
        <f aca="false">SUM(C27:N27)</f>
        <v>0</v>
      </c>
      <c r="C27" s="171" t="n">
        <f aca="false">[3]Apr!$Y$1</f>
        <v>0</v>
      </c>
      <c r="D27" s="171" t="n">
        <f aca="false">[3]May!$Y$1</f>
        <v>0</v>
      </c>
      <c r="E27" s="172" t="n">
        <f aca="false">[3]Jun!$Y$1</f>
        <v>0</v>
      </c>
      <c r="F27" s="171" t="n">
        <f aca="false">[3]Jul!$Y$1</f>
        <v>0</v>
      </c>
      <c r="G27" s="171" t="n">
        <f aca="false">[3]Aug!$Y$1</f>
        <v>0</v>
      </c>
      <c r="H27" s="172" t="n">
        <f aca="false">[3]Sep!$Y$1</f>
        <v>0</v>
      </c>
      <c r="I27" s="171" t="n">
        <f aca="false">[3]Oct!$Y$1</f>
        <v>0</v>
      </c>
      <c r="J27" s="171" t="n">
        <f aca="false">[3]Nov!$Y$1</f>
        <v>0</v>
      </c>
      <c r="K27" s="172" t="n">
        <f aca="false">[3]Dec!$Y$1</f>
        <v>0</v>
      </c>
      <c r="L27" s="171" t="n">
        <f aca="false">[3]Jan!$Y$1</f>
        <v>0</v>
      </c>
      <c r="M27" s="171" t="n">
        <f aca="false">[3]Feb!$Y$1</f>
        <v>0</v>
      </c>
      <c r="N27" s="171" t="n">
        <f aca="false">[3]Mar!$Y$1</f>
        <v>0</v>
      </c>
      <c r="O27" s="164"/>
    </row>
    <row r="28" customFormat="false" ht="12" hidden="false" customHeight="false" outlineLevel="0" collapsed="false">
      <c r="A28" s="182" t="s">
        <v>282</v>
      </c>
      <c r="B28" s="170" t="n">
        <f aca="false">SUM(C28:N28)</f>
        <v>960</v>
      </c>
      <c r="C28" s="171" t="n">
        <f aca="false">[3]Apr!$Z$1</f>
        <v>0</v>
      </c>
      <c r="D28" s="171" t="n">
        <f aca="false">[3]May!$Z$1</f>
        <v>0</v>
      </c>
      <c r="E28" s="172" t="n">
        <f aca="false">[3]Jun!$Z$1</f>
        <v>0</v>
      </c>
      <c r="F28" s="171" t="n">
        <f aca="false">[3]Jul!$Z$1</f>
        <v>480</v>
      </c>
      <c r="G28" s="171" t="n">
        <f aca="false">[3]Aug!$Z$1</f>
        <v>0</v>
      </c>
      <c r="H28" s="172" t="n">
        <f aca="false">[3]Sep!$Z$1</f>
        <v>0</v>
      </c>
      <c r="I28" s="171" t="n">
        <f aca="false">[3]Oct!$Z$1</f>
        <v>0</v>
      </c>
      <c r="J28" s="171" t="n">
        <f aca="false">[3]Nov!$Z$1</f>
        <v>0</v>
      </c>
      <c r="K28" s="172" t="n">
        <f aca="false">[3]Dec!$Z$1</f>
        <v>0</v>
      </c>
      <c r="L28" s="171" t="n">
        <f aca="false">[3]Jan!$Z$1</f>
        <v>0</v>
      </c>
      <c r="M28" s="171" t="n">
        <f aca="false">[3]Feb!$Z$1</f>
        <v>0</v>
      </c>
      <c r="N28" s="171" t="n">
        <f aca="false">[3]Mar!$Z$1</f>
        <v>480</v>
      </c>
      <c r="O28" s="164"/>
    </row>
    <row r="29" customFormat="false" ht="12" hidden="false" customHeight="false" outlineLevel="0" collapsed="false">
      <c r="A29" s="182" t="s">
        <v>283</v>
      </c>
      <c r="B29" s="170" t="n">
        <f aca="false">SUM(C29:N29)</f>
        <v>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-0</v>
      </c>
      <c r="O29" s="164"/>
    </row>
    <row r="30" customFormat="false" ht="12" hidden="false" customHeight="false" outlineLevel="0" collapsed="false">
      <c r="A30" s="182" t="s">
        <v>284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285</v>
      </c>
      <c r="B31" s="170" t="n">
        <f aca="false">SUM(C31:N31)</f>
        <v>0</v>
      </c>
      <c r="C31" s="171" t="n">
        <f aca="false">[5]Apr!$V$1+[4]Apr!$Y$1</f>
        <v>0</v>
      </c>
      <c r="D31" s="171" t="n">
        <f aca="false">[5]May!$V$1+[4]May!$Y$1</f>
        <v>0</v>
      </c>
      <c r="E31" s="172" t="n">
        <f aca="false">[5]Jun!$V$1+[4]Jun!$Y$1</f>
        <v>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0</v>
      </c>
      <c r="I31" s="171" t="n">
        <f aca="false">[5]Oct!$V$1+[4]Oct!$Y$1</f>
        <v>0</v>
      </c>
      <c r="J31" s="171" t="n">
        <f aca="false">[5]Nov!$V$1+[4]Nov!$Y$1</f>
        <v>0</v>
      </c>
      <c r="K31" s="172" t="n">
        <f aca="false">[5]Dec!$V$1+[4]Dec!$Y$1</f>
        <v>0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0</v>
      </c>
      <c r="O31" s="164"/>
    </row>
    <row r="32" customFormat="false" ht="12" hidden="false" customHeight="false" outlineLevel="0" collapsed="false">
      <c r="A32" s="182" t="s">
        <v>286</v>
      </c>
      <c r="B32" s="170" t="n">
        <f aca="false">SUM(C32:N32)</f>
        <v>0</v>
      </c>
      <c r="C32" s="171" t="n">
        <f aca="false">[3]Apr!$AA$1</f>
        <v>0</v>
      </c>
      <c r="D32" s="171" t="n">
        <f aca="false">[3]May!$AA$1</f>
        <v>0</v>
      </c>
      <c r="E32" s="172" t="n">
        <f aca="false">[3]Jun!$AA$1</f>
        <v>0</v>
      </c>
      <c r="F32" s="171" t="n">
        <f aca="false">[3]Jul!$AA$1</f>
        <v>0</v>
      </c>
      <c r="G32" s="171" t="n">
        <f aca="false">[3]Aug!$AA$1</f>
        <v>0</v>
      </c>
      <c r="H32" s="172" t="n">
        <f aca="false">[3]Sep!$AA$1</f>
        <v>0</v>
      </c>
      <c r="I32" s="171" t="n">
        <f aca="false">[3]Oct!$AA$1</f>
        <v>0</v>
      </c>
      <c r="J32" s="171" t="n">
        <f aca="false">[3]Nov!$AA$1</f>
        <v>0</v>
      </c>
      <c r="K32" s="172" t="n">
        <f aca="false">[3]Dec!$AA$1</f>
        <v>0</v>
      </c>
      <c r="L32" s="171" t="n">
        <f aca="false">[3]Jan!$AA$1</f>
        <v>0</v>
      </c>
      <c r="M32" s="171" t="n">
        <f aca="false">[3]Feb!$AA$1</f>
        <v>0</v>
      </c>
      <c r="N32" s="171" t="n">
        <f aca="false">[3]Mar!$AA$1</f>
        <v>0</v>
      </c>
      <c r="O32" s="164"/>
    </row>
    <row r="33" customFormat="false" ht="12" hidden="false" customHeight="false" outlineLevel="0" collapsed="false">
      <c r="A33" s="169" t="s">
        <v>287</v>
      </c>
      <c r="B33" s="170" t="n">
        <f aca="false">SUM(C33:N33)</f>
        <v>0</v>
      </c>
      <c r="C33" s="171" t="n">
        <f aca="false">-([1]Schedule!$V$1-[1]Schedule!$W$1+[1]Schedule!$X$1)/12</f>
        <v>-0</v>
      </c>
      <c r="D33" s="171" t="n">
        <f aca="false">-([1]Schedule!$V$1-[1]Schedule!$W$1+[1]Schedule!$X$1)/12</f>
        <v>-0</v>
      </c>
      <c r="E33" s="172" t="n">
        <f aca="false">-([1]Schedule!$V$1-[1]Schedule!$W$1+[1]Schedule!$X$1)/12</f>
        <v>-0</v>
      </c>
      <c r="F33" s="171" t="n">
        <f aca="false">-([1]Schedule!$V$1-[1]Schedule!$W$1+[1]Schedule!$X$1)/12</f>
        <v>-0</v>
      </c>
      <c r="G33" s="171" t="n">
        <f aca="false">-([1]Schedule!$V$1-[1]Schedule!$W$1+[1]Schedule!$X$1)/12</f>
        <v>-0</v>
      </c>
      <c r="H33" s="172" t="n">
        <f aca="false">-([1]Schedule!$V$1-[1]Schedule!$W$1+[1]Schedule!$X$1)/12</f>
        <v>-0</v>
      </c>
      <c r="I33" s="171" t="n">
        <f aca="false">-([1]Schedule!$V$1-[1]Schedule!$W$1+[1]Schedule!$X$1)/12</f>
        <v>-0</v>
      </c>
      <c r="J33" s="171" t="n">
        <f aca="false">-([1]Schedule!$V$1-[1]Schedule!$W$1+[1]Schedule!$X$1)/12</f>
        <v>-0</v>
      </c>
      <c r="K33" s="172" t="n">
        <f aca="false">-([1]Schedule!$V$1-[1]Schedule!$W$1+[1]Schedule!$X$1)/12</f>
        <v>-0</v>
      </c>
      <c r="L33" s="171" t="n">
        <f aca="false">-([1]Schedule!$V$1-[1]Schedule!$W$1+[1]Schedule!$X$1)/12</f>
        <v>-0</v>
      </c>
      <c r="M33" s="171" t="n">
        <f aca="false">-([1]Schedule!$V$1-[1]Schedule!$W$1+[1]Schedule!$X$1)/12</f>
        <v>-0</v>
      </c>
      <c r="N33" s="171" t="n">
        <f aca="false">-([1]Schedule!$V$1-[1]Schedule!$W$1+[1]Schedule!$X$1)/12</f>
        <v>-0</v>
      </c>
      <c r="O33" s="164"/>
    </row>
    <row r="34" customFormat="false" ht="12" hidden="false" customHeight="false" outlineLevel="0" collapsed="false">
      <c r="A34" s="169" t="s">
        <v>288</v>
      </c>
      <c r="B34" s="170" t="n">
        <f aca="false">SUM(C34:N34)</f>
        <v>0</v>
      </c>
      <c r="C34" s="171" t="n">
        <f aca="false">([1]Schedule!$I$1)/12</f>
        <v>0</v>
      </c>
      <c r="D34" s="171" t="n">
        <f aca="false">([1]Schedule!$I$1)/12</f>
        <v>0</v>
      </c>
      <c r="E34" s="172" t="n">
        <f aca="false">([1]Schedule!$I$1)/12</f>
        <v>0</v>
      </c>
      <c r="F34" s="171" t="n">
        <f aca="false">([1]Schedule!$I$1)/12</f>
        <v>0</v>
      </c>
      <c r="G34" s="171" t="n">
        <f aca="false">([1]Schedule!$I$1)/12</f>
        <v>0</v>
      </c>
      <c r="H34" s="172" t="n">
        <f aca="false">([1]Schedule!$I$1)/12</f>
        <v>0</v>
      </c>
      <c r="I34" s="171" t="n">
        <f aca="false">([1]Schedule!$I$1)/12</f>
        <v>0</v>
      </c>
      <c r="J34" s="171" t="n">
        <f aca="false">([1]Schedule!$I$1)/12</f>
        <v>0</v>
      </c>
      <c r="K34" s="172" t="n">
        <f aca="false">([1]Schedule!$I$1)/12</f>
        <v>0</v>
      </c>
      <c r="L34" s="171" t="n">
        <f aca="false">([1]Schedule!$I$1)/12</f>
        <v>0</v>
      </c>
      <c r="M34" s="171" t="n">
        <f aca="false">([1]Schedule!$I$1)/12</f>
        <v>0</v>
      </c>
      <c r="N34" s="171" t="n">
        <f aca="false">([1]Schedule!$I$1)/12</f>
        <v>0</v>
      </c>
      <c r="O34" s="164"/>
    </row>
    <row r="35" customFormat="false" ht="12" hidden="false" customHeight="false" outlineLevel="0" collapsed="false">
      <c r="A35" s="173" t="s">
        <v>274</v>
      </c>
      <c r="B35" s="170" t="n">
        <f aca="false">SUM(B21:B34)</f>
        <v>4200</v>
      </c>
      <c r="C35" s="170" t="n">
        <f aca="false">SUM(C21:C34)</f>
        <v>120</v>
      </c>
      <c r="D35" s="170" t="n">
        <f aca="false">SUM(D21:D34)</f>
        <v>600</v>
      </c>
      <c r="E35" s="170" t="n">
        <f aca="false">SUM(E21:E34)</f>
        <v>0</v>
      </c>
      <c r="F35" s="174" t="n">
        <f aca="false">SUM(F21:F34)</f>
        <v>480</v>
      </c>
      <c r="G35" s="170" t="n">
        <f aca="false">SUM(G21:G34)</f>
        <v>300</v>
      </c>
      <c r="H35" s="170" t="n">
        <f aca="false">SUM(H21:H34)</f>
        <v>0</v>
      </c>
      <c r="I35" s="174" t="n">
        <f aca="false">SUM(I21:I34)</f>
        <v>600</v>
      </c>
      <c r="J35" s="170" t="n">
        <f aca="false">SUM(J21:J34)</f>
        <v>120</v>
      </c>
      <c r="K35" s="170" t="n">
        <f aca="false">SUM(K21:K34)</f>
        <v>0</v>
      </c>
      <c r="L35" s="174" t="n">
        <f aca="false">SUM(L21:L34)</f>
        <v>480</v>
      </c>
      <c r="M35" s="170" t="n">
        <f aca="false">SUM(M21:M34)</f>
        <v>600</v>
      </c>
      <c r="N35" s="170" t="n">
        <f aca="false">SUM(N21:N34)</f>
        <v>900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289</v>
      </c>
      <c r="B37" s="170" t="n">
        <f aca="false">B19-B35</f>
        <v>25800</v>
      </c>
      <c r="C37" s="170" t="n">
        <f aca="false">C19-C35</f>
        <v>2380</v>
      </c>
      <c r="D37" s="170" t="n">
        <f aca="false">D19-D35</f>
        <v>1900</v>
      </c>
      <c r="E37" s="170" t="n">
        <f aca="false">E19-E35</f>
        <v>2500</v>
      </c>
      <c r="F37" s="174" t="n">
        <f aca="false">F19-F35</f>
        <v>2020</v>
      </c>
      <c r="G37" s="170" t="n">
        <f aca="false">G19-G35</f>
        <v>2200</v>
      </c>
      <c r="H37" s="170" t="n">
        <f aca="false">H19-H35</f>
        <v>2500</v>
      </c>
      <c r="I37" s="174" t="n">
        <f aca="false">I19-I35</f>
        <v>1900</v>
      </c>
      <c r="J37" s="170" t="n">
        <f aca="false">J19-J35</f>
        <v>2380</v>
      </c>
      <c r="K37" s="170" t="n">
        <f aca="false">K19-K35</f>
        <v>2500</v>
      </c>
      <c r="L37" s="174" t="n">
        <f aca="false">L19-L35</f>
        <v>2020</v>
      </c>
      <c r="M37" s="170" t="n">
        <f aca="false">M19-M35</f>
        <v>1900</v>
      </c>
      <c r="N37" s="170" t="n">
        <f aca="false">N19-N35</f>
        <v>1600</v>
      </c>
      <c r="O37" s="164"/>
    </row>
    <row r="38" customFormat="false" ht="12" hidden="false" customHeight="false" outlineLevel="0" collapsed="false">
      <c r="A38" s="169" t="s">
        <v>290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291</v>
      </c>
      <c r="B39" s="170" t="n">
        <f aca="false">B37+B38</f>
        <v>25800</v>
      </c>
      <c r="C39" s="170" t="n">
        <f aca="false">C37+C38</f>
        <v>2380</v>
      </c>
      <c r="D39" s="170" t="n">
        <f aca="false">D37+D38</f>
        <v>1900</v>
      </c>
      <c r="E39" s="170" t="n">
        <f aca="false">E37+E38</f>
        <v>2500</v>
      </c>
      <c r="F39" s="174" t="n">
        <f aca="false">F37+F38</f>
        <v>2020</v>
      </c>
      <c r="G39" s="170" t="n">
        <f aca="false">G37+G38</f>
        <v>2200</v>
      </c>
      <c r="H39" s="170" t="n">
        <f aca="false">H37+H38</f>
        <v>2500</v>
      </c>
      <c r="I39" s="174" t="n">
        <f aca="false">I37+I38</f>
        <v>1900</v>
      </c>
      <c r="J39" s="170" t="n">
        <f aca="false">J37+J38</f>
        <v>2380</v>
      </c>
      <c r="K39" s="170" t="n">
        <f aca="false">K37+K38</f>
        <v>2500</v>
      </c>
      <c r="L39" s="174" t="n">
        <f aca="false">L37+L38</f>
        <v>2020</v>
      </c>
      <c r="M39" s="170" t="n">
        <f aca="false">M37+M38</f>
        <v>1900</v>
      </c>
      <c r="N39" s="170" t="n">
        <f aca="false">N37+N38</f>
        <v>1600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292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293</v>
      </c>
      <c r="B42" s="177" t="n">
        <f aca="false">SUM(C42:N42)</f>
        <v>0</v>
      </c>
      <c r="C42" s="177" t="n">
        <f aca="false">[5]Apr!$X$1+[4]Apr!$AB$1</f>
        <v>0</v>
      </c>
      <c r="D42" s="177" t="n">
        <f aca="false">[5]May!$X$1+[4]May!$AB$1</f>
        <v>0</v>
      </c>
      <c r="E42" s="177" t="n">
        <f aca="false">[5]Jun!$X$1+[4]Jun!$AB$1</f>
        <v>0</v>
      </c>
      <c r="F42" s="177" t="n">
        <f aca="false">[5]Jul!$X$1+[4]Jul!$AB$1</f>
        <v>0</v>
      </c>
      <c r="G42" s="177" t="n">
        <f aca="false">[5]Aug!$X$1+[4]Aug!$AB$1</f>
        <v>0</v>
      </c>
      <c r="H42" s="177" t="n">
        <f aca="false">[5]Sep!$X$1+[4]Sep!$AB$1</f>
        <v>0</v>
      </c>
      <c r="I42" s="177" t="n">
        <f aca="false">[5]Oct!$X$1+[4]Oct!$AB$1</f>
        <v>0</v>
      </c>
      <c r="J42" s="177" t="n">
        <f aca="false">[5]Nov!$X$1+[4]Nov!$AB$1</f>
        <v>0</v>
      </c>
      <c r="K42" s="177" t="n">
        <f aca="false">[5]Dec!$X$1+[4]Dec!$AB$1</f>
        <v>0</v>
      </c>
      <c r="L42" s="177" t="n">
        <f aca="false">[5]Jan!$X$1+[4]Jan!$AB$1</f>
        <v>0</v>
      </c>
      <c r="M42" s="177" t="n">
        <f aca="false">[5]Feb!$X$1+[4]Feb!$AB$1</f>
        <v>0</v>
      </c>
      <c r="N42" s="177" t="n">
        <f aca="false">[5]Mar!$X$1+[4]Mar!$AB$1</f>
        <v>0</v>
      </c>
      <c r="O42" s="164"/>
    </row>
    <row r="43" customFormat="false" ht="12" hidden="false" customHeight="false" outlineLevel="0" collapsed="false">
      <c r="A43" s="182" t="s">
        <v>294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295</v>
      </c>
      <c r="B44" s="177" t="n">
        <f aca="false">SUM(C44:N44)</f>
        <v>3857</v>
      </c>
      <c r="C44" s="177" t="n">
        <f aca="false">IF(C9&gt;0,'Profit Forecast'!C$46/12,0)</f>
        <v>321.416666666667</v>
      </c>
      <c r="D44" s="177" t="n">
        <f aca="false">IF(D9&gt;0,'Profit Forecast'!C$46/12,0)</f>
        <v>321.416666666667</v>
      </c>
      <c r="E44" s="177" t="n">
        <f aca="false">IF(E9&gt;0,'Profit Forecast'!C$46/12,0)</f>
        <v>321.416666666667</v>
      </c>
      <c r="F44" s="177" t="n">
        <f aca="false">IF(F9&gt;0,'Profit Forecast'!C$46/12,0)</f>
        <v>321.416666666667</v>
      </c>
      <c r="G44" s="177" t="n">
        <f aca="false">IF(G9&gt;0,'Profit Forecast'!C$46/12,0)</f>
        <v>321.416666666667</v>
      </c>
      <c r="H44" s="177" t="n">
        <f aca="false">IF(H9&gt;0,'Profit Forecast'!C$46/12,0)</f>
        <v>321.416666666667</v>
      </c>
      <c r="I44" s="177" t="n">
        <f aca="false">IF(I9&gt;0,'Profit Forecast'!C$46/12,0)</f>
        <v>321.416666666667</v>
      </c>
      <c r="J44" s="177" t="n">
        <f aca="false">IF(J9&gt;0,'Profit Forecast'!C$46/12,0)</f>
        <v>321.416666666667</v>
      </c>
      <c r="K44" s="177" t="n">
        <f aca="false">IF(K9&gt;0,'Profit Forecast'!C$46/12,0)</f>
        <v>321.416666666667</v>
      </c>
      <c r="L44" s="177" t="n">
        <f aca="false">IF(L9&gt;0,'Profit Forecast'!C$46/12,0)</f>
        <v>321.416666666667</v>
      </c>
      <c r="M44" s="177" t="n">
        <f aca="false">IF(M9&gt;0,'Profit Forecast'!C$46/12,0)</f>
        <v>321.416666666667</v>
      </c>
      <c r="N44" s="177" t="n">
        <f aca="false">IF(N9&gt;0,'Profit Forecast'!C$46/12,0)</f>
        <v>321.416666666667</v>
      </c>
      <c r="O44" s="164"/>
    </row>
    <row r="45" customFormat="false" ht="12" hidden="false" customHeight="false" outlineLevel="0" collapsed="false">
      <c r="A45" s="188" t="s">
        <v>296</v>
      </c>
      <c r="B45" s="189" t="n">
        <f aca="false">SUM(C45:N45)</f>
        <v>21943</v>
      </c>
      <c r="C45" s="190" t="n">
        <f aca="false">C39-C42-C44</f>
        <v>2058.58333333333</v>
      </c>
      <c r="D45" s="191" t="n">
        <f aca="false">D39-D42-D44</f>
        <v>1578.58333333333</v>
      </c>
      <c r="E45" s="191" t="n">
        <f aca="false">E39-E42-E44</f>
        <v>2178.58333333333</v>
      </c>
      <c r="F45" s="191" t="n">
        <f aca="false">F39-F42-F44</f>
        <v>1698.58333333333</v>
      </c>
      <c r="G45" s="191" t="n">
        <f aca="false">G39-G42-G44</f>
        <v>1878.58333333333</v>
      </c>
      <c r="H45" s="191" t="n">
        <f aca="false">H39-H42-H44</f>
        <v>2178.58333333333</v>
      </c>
      <c r="I45" s="191" t="n">
        <f aca="false">I39-I42-I44</f>
        <v>1578.58333333333</v>
      </c>
      <c r="J45" s="191" t="n">
        <f aca="false">J39-J42-J44</f>
        <v>2058.58333333333</v>
      </c>
      <c r="K45" s="191" t="n">
        <f aca="false">K39-K42-K44</f>
        <v>2178.58333333333</v>
      </c>
      <c r="L45" s="191" t="n">
        <f aca="false">L39-L42-L44</f>
        <v>1698.58333333333</v>
      </c>
      <c r="M45" s="191" t="n">
        <f aca="false">M39-M42-M44</f>
        <v>1578.58333333333</v>
      </c>
      <c r="N45" s="191" t="n">
        <f aca="false">N39-N42-N44</f>
        <v>1278.58333333333</v>
      </c>
      <c r="O45" s="164"/>
    </row>
    <row r="46" customFormat="false" ht="12" hidden="false" customHeight="false" outlineLevel="0" collapsed="false">
      <c r="A46" s="182" t="s">
        <v>244</v>
      </c>
      <c r="B46" s="177" t="n">
        <f aca="false">SUM(C46:N46)</f>
        <v>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s="196" customFormat="true" ht="12" hidden="false" customHeight="true" outlineLevel="0" collapsed="false">
      <c r="A2" s="195"/>
      <c r="B2" s="197" t="s">
        <v>297</v>
      </c>
      <c r="C2" s="197" t="s">
        <v>298</v>
      </c>
      <c r="D2" s="197" t="s">
        <v>299</v>
      </c>
      <c r="E2" s="197" t="s">
        <v>300</v>
      </c>
      <c r="F2" s="197" t="s">
        <v>301</v>
      </c>
      <c r="G2" s="197" t="s">
        <v>302</v>
      </c>
      <c r="H2" s="197" t="s">
        <v>303</v>
      </c>
      <c r="I2" s="195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s="198" customFormat="tru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</row>
    <row r="5" customFormat="false" ht="12.75" hidden="false" customHeight="false" outlineLevel="0" collapsed="false">
      <c r="A5" s="195"/>
      <c r="B5" s="195" t="s">
        <v>304</v>
      </c>
      <c r="C5" s="199" t="n">
        <f aca="false">SUM('Profit &amp; Loss Account'!C5:E7)</f>
        <v>7500</v>
      </c>
      <c r="D5" s="199" t="n">
        <f aca="false">SUM('Profit &amp; Loss Account'!F5:H7)</f>
        <v>7500</v>
      </c>
      <c r="E5" s="199" t="n">
        <f aca="false">SUM('Profit &amp; Loss Account'!I5:K7)</f>
        <v>7500</v>
      </c>
      <c r="F5" s="199" t="n">
        <f aca="false">SUM('Profit &amp; Loss Account'!L5:N7)</f>
        <v>7500</v>
      </c>
      <c r="G5" s="200" t="n">
        <f aca="false">SUM(C5:F5)</f>
        <v>30000</v>
      </c>
      <c r="H5" s="195"/>
      <c r="I5" s="195"/>
    </row>
    <row r="6" customFormat="false" ht="13.5" hidden="false" customHeight="true" outlineLevel="0" collapsed="false">
      <c r="A6" s="195"/>
      <c r="B6" s="195" t="s">
        <v>305</v>
      </c>
      <c r="C6" s="199" t="n">
        <f aca="false">SUM('Profit &amp; Loss Account'!C8:E8)+SUM('Profit &amp; Loss Account'!C11:E11)+SUM('Profit &amp; Loss Account'!C38:E38)</f>
        <v>0</v>
      </c>
      <c r="D6" s="199" t="n">
        <f aca="false">SUM('Profit &amp; Loss Account'!F8:H8)+SUM('Profit &amp; Loss Account'!F11:H11)+SUM('Profit &amp; Loss Account'!F38:H38)</f>
        <v>0</v>
      </c>
      <c r="E6" s="199" t="n">
        <f aca="false">SUM('Profit &amp; Loss Account'!I8:K8)+SUM('Profit &amp; Loss Account'!I11:K11)+SUM('Profit &amp; Loss Account'!I38:K38)</f>
        <v>0</v>
      </c>
      <c r="F6" s="199" t="n">
        <f aca="false">SUM('Profit &amp; Loss Account'!L8:N8)+SUM('Profit &amp; Loss Account'!L11:N11)+SUM('Profit &amp; Loss Account'!L38:N38)</f>
        <v>0</v>
      </c>
      <c r="G6" s="200" t="n">
        <f aca="false">SUM(C6:F6)</f>
        <v>0</v>
      </c>
      <c r="H6" s="195"/>
      <c r="I6" s="195"/>
    </row>
    <row r="7" customFormat="false" ht="12.75" hidden="false" customHeight="false" outlineLevel="0" collapsed="false">
      <c r="A7" s="195"/>
      <c r="B7" s="195" t="s">
        <v>306</v>
      </c>
      <c r="C7" s="199" t="n">
        <f aca="false">SUM('Profit &amp; Loss Account'!C14:E14)+SUM('Profit &amp; Loss Account'!C16:E16)</f>
        <v>0</v>
      </c>
      <c r="D7" s="199" t="n">
        <f aca="false">SUM('Profit &amp; Loss Account'!F14:H14)+SUM('Profit &amp; Loss Account'!F16:H16)</f>
        <v>0</v>
      </c>
      <c r="E7" s="199" t="n">
        <f aca="false">SUM('Profit &amp; Loss Account'!I14:K14)+SUM('Profit &amp; Loss Account'!I16:K16)</f>
        <v>0</v>
      </c>
      <c r="F7" s="199" t="n">
        <f aca="false">SUM('Profit &amp; Loss Account'!L14:N14)+SUM('Profit &amp; Loss Account'!L16:N16)</f>
        <v>0</v>
      </c>
      <c r="G7" s="200" t="n">
        <f aca="false">SUM(C7:F7)</f>
        <v>0</v>
      </c>
      <c r="H7" s="195"/>
      <c r="I7" s="195"/>
    </row>
    <row r="8" s="201" customFormat="tru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307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308</v>
      </c>
      <c r="C12" s="200" t="n">
        <f aca="false">SUM('Profit &amp; Loss Account'!C21:E21)</f>
        <v>0</v>
      </c>
      <c r="D12" s="200" t="n">
        <f aca="false">SUM('Profit &amp; Loss Account'!F21:H21)</f>
        <v>0</v>
      </c>
      <c r="E12" s="200" t="n">
        <f aca="false">SUM('Profit &amp; Loss Account'!I21:K21)</f>
        <v>0</v>
      </c>
      <c r="F12" s="200" t="n">
        <f aca="false">SUM('Profit &amp; Loss Account'!L21:N21)</f>
        <v>0</v>
      </c>
      <c r="G12" s="200" t="n">
        <f aca="false">SUM(C12:F12)</f>
        <v>0</v>
      </c>
      <c r="H12" s="195"/>
      <c r="I12" s="195"/>
    </row>
    <row r="13" customFormat="false" ht="12.75" hidden="false" customHeight="false" outlineLevel="0" collapsed="false">
      <c r="A13" s="195"/>
      <c r="B13" s="195" t="s">
        <v>309</v>
      </c>
      <c r="C13" s="200" t="n">
        <f aca="false">SUM('Profit &amp; Loss Account'!C22:E22)</f>
        <v>600</v>
      </c>
      <c r="D13" s="200" t="n">
        <f aca="false">SUM('Profit &amp; Loss Account'!F22:H22)</f>
        <v>0</v>
      </c>
      <c r="E13" s="200" t="n">
        <f aca="false">SUM('Profit &amp; Loss Account'!I22:K22)</f>
        <v>600</v>
      </c>
      <c r="F13" s="200" t="n">
        <f aca="false">SUM('Profit &amp; Loss Account'!L22:N22)</f>
        <v>600</v>
      </c>
      <c r="G13" s="200" t="n">
        <f aca="false">SUM(C13:F13)</f>
        <v>1800</v>
      </c>
      <c r="H13" s="195"/>
      <c r="I13" s="195"/>
    </row>
    <row r="14" customFormat="false" ht="12.75" hidden="false" customHeight="false" outlineLevel="0" collapsed="false">
      <c r="A14" s="195"/>
      <c r="B14" s="195" t="s">
        <v>310</v>
      </c>
      <c r="C14" s="200" t="n">
        <f aca="false">SUM('Profit &amp; Loss Account'!C23:E23)</f>
        <v>0</v>
      </c>
      <c r="D14" s="200" t="n">
        <f aca="false">SUM('Profit &amp; Loss Account'!F23:H23)</f>
        <v>0</v>
      </c>
      <c r="E14" s="200" t="n">
        <f aca="false">SUM('Profit &amp; Loss Account'!I23:K23)</f>
        <v>0</v>
      </c>
      <c r="F14" s="200" t="n">
        <f aca="false">SUM('Profit &amp; Loss Account'!L23:N23)</f>
        <v>480</v>
      </c>
      <c r="G14" s="200" t="n">
        <f aca="false">SUM(C14:F14)</f>
        <v>480</v>
      </c>
      <c r="H14" s="195"/>
      <c r="I14" s="195"/>
    </row>
    <row r="15" customFormat="false" ht="12.75" hidden="false" customHeight="false" outlineLevel="0" collapsed="false">
      <c r="A15" s="195"/>
      <c r="B15" s="195" t="s">
        <v>311</v>
      </c>
      <c r="C15" s="200" t="n">
        <f aca="false">SUM('Profit &amp; Loss Account'!C24:E24)</f>
        <v>120</v>
      </c>
      <c r="D15" s="200" t="n">
        <f aca="false">SUM('Profit &amp; Loss Account'!F24:H24)</f>
        <v>0</v>
      </c>
      <c r="E15" s="200" t="n">
        <f aca="false">SUM('Profit &amp; Loss Account'!I24:K24)</f>
        <v>120</v>
      </c>
      <c r="F15" s="200" t="n">
        <f aca="false">SUM('Profit &amp; Loss Account'!L24:N24)</f>
        <v>420</v>
      </c>
      <c r="G15" s="200" t="n">
        <f aca="false">SUM(C15:F15)</f>
        <v>660</v>
      </c>
      <c r="H15" s="195"/>
      <c r="I15" s="195"/>
    </row>
    <row r="16" customFormat="false" ht="12.75" hidden="false" customHeight="false" outlineLevel="0" collapsed="false">
      <c r="A16" s="195"/>
      <c r="B16" s="195" t="s">
        <v>312</v>
      </c>
      <c r="C16" s="200" t="n">
        <f aca="false">SUM('Profit &amp; Loss Account'!C31:E31)</f>
        <v>0</v>
      </c>
      <c r="D16" s="200" t="n">
        <f aca="false">SUM('Profit &amp; Loss Account'!F31:H31)</f>
        <v>0</v>
      </c>
      <c r="E16" s="200" t="n">
        <f aca="false">SUM('Profit &amp; Loss Account'!I31:K31)</f>
        <v>0</v>
      </c>
      <c r="F16" s="200" t="n">
        <f aca="false">SUM('Profit &amp; Loss Account'!L31:N31)</f>
        <v>0</v>
      </c>
      <c r="G16" s="200" t="n">
        <f aca="false">SUM(C16:F16)</f>
        <v>0</v>
      </c>
      <c r="H16" s="195"/>
      <c r="I16" s="195"/>
    </row>
    <row r="17" customFormat="false" ht="12.75" hidden="false" customHeight="false" outlineLevel="0" collapsed="false">
      <c r="A17" s="195"/>
      <c r="B17" s="195" t="s">
        <v>313</v>
      </c>
      <c r="C17" s="200" t="n">
        <f aca="false">SUM('Profit &amp; Loss Account'!C25:E26)</f>
        <v>0</v>
      </c>
      <c r="D17" s="200" t="n">
        <f aca="false">SUM('Profit &amp; Loss Account'!F25:H26)</f>
        <v>300</v>
      </c>
      <c r="E17" s="200" t="n">
        <f aca="false">SUM('Profit &amp; Loss Account'!I25:K26)</f>
        <v>0</v>
      </c>
      <c r="F17" s="200" t="n">
        <f aca="false">SUM('Profit &amp; Loss Account'!L25:N26)</f>
        <v>0</v>
      </c>
      <c r="G17" s="200" t="n">
        <f aca="false">SUM(C17:F17)</f>
        <v>300</v>
      </c>
      <c r="H17" s="195"/>
      <c r="I17" s="195"/>
    </row>
    <row r="18" customFormat="false" ht="12.75" hidden="false" customHeight="false" outlineLevel="0" collapsed="false">
      <c r="A18" s="195"/>
      <c r="B18" s="195" t="s">
        <v>314</v>
      </c>
      <c r="C18" s="200" t="n">
        <f aca="false">SUM('Profit &amp; Loss Account'!C27:E27)</f>
        <v>0</v>
      </c>
      <c r="D18" s="200" t="n">
        <f aca="false">SUM('Profit &amp; Loss Account'!F27:H27)</f>
        <v>0</v>
      </c>
      <c r="E18" s="200" t="n">
        <f aca="false">SUM('Profit &amp; Loss Account'!I27:K27)</f>
        <v>0</v>
      </c>
      <c r="F18" s="200" t="n">
        <f aca="false">SUM('Profit &amp; Loss Account'!L27:N27)</f>
        <v>0</v>
      </c>
      <c r="G18" s="200" t="n">
        <f aca="false">SUM(C18:F18)</f>
        <v>0</v>
      </c>
      <c r="H18" s="195"/>
      <c r="I18" s="195"/>
    </row>
    <row r="19" customFormat="false" ht="12.75" hidden="false" customHeight="false" outlineLevel="0" collapsed="false">
      <c r="A19" s="195"/>
      <c r="B19" s="195" t="s">
        <v>315</v>
      </c>
      <c r="C19" s="200" t="n">
        <f aca="false">SUM('Profit &amp; Loss Account'!C28:E28)</f>
        <v>0</v>
      </c>
      <c r="D19" s="200" t="n">
        <f aca="false">SUM('Profit &amp; Loss Account'!F28:H28)</f>
        <v>480</v>
      </c>
      <c r="E19" s="200" t="n">
        <f aca="false">SUM('Profit &amp; Loss Account'!I28:K28)</f>
        <v>0</v>
      </c>
      <c r="F19" s="200" t="n">
        <f aca="false">SUM('Profit &amp; Loss Account'!L28:N28)</f>
        <v>480</v>
      </c>
      <c r="G19" s="200" t="n">
        <f aca="false">SUM(C19:F19)</f>
        <v>960</v>
      </c>
      <c r="H19" s="195"/>
      <c r="I19" s="195"/>
    </row>
    <row r="20" customFormat="false" ht="12.75" hidden="false" customHeight="false" outlineLevel="0" collapsed="false">
      <c r="A20" s="195"/>
      <c r="B20" s="195" t="s">
        <v>316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0</v>
      </c>
      <c r="G20" s="200" t="n">
        <f aca="false">SUM(C20:F20)</f>
        <v>0</v>
      </c>
      <c r="H20" s="195"/>
      <c r="I20" s="195"/>
    </row>
    <row r="21" customFormat="false" ht="12.75" hidden="false" customHeight="false" outlineLevel="0" collapsed="false">
      <c r="A21" s="195"/>
      <c r="B21" s="195" t="s">
        <v>317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318</v>
      </c>
      <c r="C22" s="200" t="n">
        <f aca="false">SUM('Profit &amp; Loss Account'!C32:E32)</f>
        <v>0</v>
      </c>
      <c r="D22" s="200" t="n">
        <f aca="false">SUM('Profit &amp; Loss Account'!F32:H32)</f>
        <v>0</v>
      </c>
      <c r="E22" s="200" t="n">
        <f aca="false">SUM('Profit &amp; Loss Account'!I32:K32)</f>
        <v>0</v>
      </c>
      <c r="F22" s="200" t="n">
        <f aca="false">SUM('Profit &amp; Loss Account'!L32:N32)</f>
        <v>0</v>
      </c>
      <c r="G22" s="200" t="n">
        <f aca="false">SUM(C22:F22)</f>
        <v>0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319</v>
      </c>
      <c r="C24" s="200" t="n">
        <f aca="false">SUM('Profit &amp; Loss Account'!C15:E15)</f>
        <v>0</v>
      </c>
      <c r="D24" s="200" t="n">
        <f aca="false">SUM('Profit &amp; Loss Account'!F15:H15)</f>
        <v>0</v>
      </c>
      <c r="E24" s="200" t="n">
        <f aca="false">SUM('Profit &amp; Loss Account'!I15:K15)</f>
        <v>0</v>
      </c>
      <c r="F24" s="200" t="n">
        <f aca="false">SUM('Profit &amp; Loss Account'!L15:N15)</f>
        <v>0</v>
      </c>
      <c r="G24" s="200" t="n">
        <f aca="false">SUM(C24:F24)</f>
        <v>0</v>
      </c>
      <c r="H24" s="195"/>
      <c r="I24" s="195"/>
    </row>
    <row r="25" customFormat="false" ht="12.75" hidden="false" customHeight="false" outlineLevel="0" collapsed="false">
      <c r="A25" s="195"/>
      <c r="B25" s="195" t="s">
        <v>320</v>
      </c>
      <c r="C25" s="200" t="n">
        <v>0</v>
      </c>
      <c r="D25" s="200" t="n">
        <v>0</v>
      </c>
      <c r="E25" s="200" t="n">
        <v>0</v>
      </c>
      <c r="F25" s="200" t="n">
        <v>0</v>
      </c>
      <c r="G25" s="200" t="n">
        <f aca="false">SUM(C25:F25)</f>
        <v>0</v>
      </c>
      <c r="H25" s="195" t="s">
        <v>321</v>
      </c>
      <c r="I25" s="195"/>
    </row>
    <row r="26" customFormat="false" ht="13.5" hidden="false" customHeight="true" outlineLevel="0" collapsed="false">
      <c r="A26" s="195"/>
      <c r="B26" s="195" t="s">
        <v>288</v>
      </c>
      <c r="C26" s="200" t="n">
        <f aca="false">SUM('Profit &amp; Loss Account'!C33:E34)</f>
        <v>0</v>
      </c>
      <c r="D26" s="200" t="n">
        <f aca="false">SUM('Profit &amp; Loss Account'!F33:H34)</f>
        <v>0</v>
      </c>
      <c r="E26" s="200" t="n">
        <f aca="false">SUM('Profit &amp; Loss Account'!I33:K34)</f>
        <v>0</v>
      </c>
      <c r="F26" s="200" t="n">
        <f aca="false">SUM('Profit &amp; Loss Account'!L33:N34)</f>
        <v>0</v>
      </c>
      <c r="G26" s="200" t="n">
        <f aca="false">SUM(C26:F26)</f>
        <v>0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322</v>
      </c>
      <c r="C29" s="203" t="n">
        <f aca="false">SUM(C7,C12,C13,C14,C15,C16,C17,C18,C19,C20,C21,C22,C24,C25,C26)</f>
        <v>720</v>
      </c>
      <c r="D29" s="203" t="n">
        <f aca="false">SUM(D7,D12,D13,D14,D15,D16,D17,D18,D19,D20,D21,D22,D24,D25,D26)</f>
        <v>780</v>
      </c>
      <c r="E29" s="203" t="n">
        <f aca="false">SUM(E7,E12,E13,E14,E15,E16,E17,E18,E19,E20,E21,E22,E24,E25,E26)</f>
        <v>720</v>
      </c>
      <c r="F29" s="203" t="n">
        <f aca="false">SUM(F7,F12,F13,F14,F15,F16,F17,F18,F19,F20,F21,F22,F24,F25,F26)</f>
        <v>1980</v>
      </c>
      <c r="G29" s="203" t="n">
        <f aca="false">SUM(G7,G12,G13,G14,G15,G16,G17,G18,G19,G20,G21,G22,G24,G25,G26)</f>
        <v>4200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127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306</v>
      </c>
      <c r="C36" s="200" t="n">
        <v>0</v>
      </c>
      <c r="D36" s="200" t="n">
        <v>0</v>
      </c>
      <c r="E36" s="200" t="n">
        <v>0</v>
      </c>
      <c r="F36" s="200" t="n">
        <v>0</v>
      </c>
      <c r="G36" s="200" t="n">
        <f aca="false">SUM(C36:F36)</f>
        <v>0</v>
      </c>
      <c r="H36" s="195" t="s">
        <v>321</v>
      </c>
      <c r="I36" s="195"/>
    </row>
    <row r="37" customFormat="false" ht="13.5" hidden="false" customHeight="true" outlineLevel="0" collapsed="false">
      <c r="A37" s="195"/>
      <c r="B37" s="195" t="s">
        <v>319</v>
      </c>
      <c r="C37" s="200" t="n">
        <v>0</v>
      </c>
      <c r="D37" s="200" t="n">
        <v>0</v>
      </c>
      <c r="E37" s="200" t="n">
        <v>0</v>
      </c>
      <c r="F37" s="200" t="n">
        <v>0</v>
      </c>
      <c r="G37" s="200" t="n">
        <f aca="false">SUM(C37:F37)</f>
        <v>0</v>
      </c>
      <c r="H37" s="195" t="s">
        <v>321</v>
      </c>
      <c r="I37" s="195"/>
    </row>
    <row r="38" customFormat="false" ht="12.75" hidden="false" customHeight="false" outlineLevel="0" collapsed="false">
      <c r="A38" s="195"/>
      <c r="B38" s="195" t="s">
        <v>308</v>
      </c>
      <c r="C38" s="200" t="n">
        <v>0</v>
      </c>
      <c r="D38" s="200" t="n">
        <v>0</v>
      </c>
      <c r="E38" s="200" t="n">
        <v>0</v>
      </c>
      <c r="F38" s="200" t="n">
        <v>0</v>
      </c>
      <c r="G38" s="200" t="n">
        <f aca="false">SUM(C38:F38)</f>
        <v>0</v>
      </c>
      <c r="H38" s="195" t="s">
        <v>321</v>
      </c>
      <c r="I38" s="195"/>
    </row>
    <row r="39" customFormat="false" ht="13.5" hidden="false" customHeight="true" outlineLevel="0" collapsed="false">
      <c r="A39" s="195"/>
      <c r="B39" s="195" t="s">
        <v>323</v>
      </c>
      <c r="C39" s="200" t="n">
        <v>0</v>
      </c>
      <c r="D39" s="200" t="n">
        <v>0</v>
      </c>
      <c r="E39" s="200" t="n">
        <v>0</v>
      </c>
      <c r="F39" s="200" t="n">
        <v>0</v>
      </c>
      <c r="G39" s="200" t="n">
        <f aca="false">SUM(C39:F39)</f>
        <v>0</v>
      </c>
      <c r="H39" s="195" t="s">
        <v>321</v>
      </c>
      <c r="I39" s="195"/>
    </row>
    <row r="40" customFormat="false" ht="12.75" hidden="false" customHeight="false" outlineLevel="0" collapsed="false">
      <c r="A40" s="195"/>
      <c r="B40" s="195" t="s">
        <v>309</v>
      </c>
      <c r="C40" s="200" t="n">
        <v>0</v>
      </c>
      <c r="D40" s="200" t="n">
        <v>0</v>
      </c>
      <c r="E40" s="200" t="n">
        <v>0</v>
      </c>
      <c r="F40" s="200" t="n">
        <v>0</v>
      </c>
      <c r="G40" s="200" t="n">
        <f aca="false">SUM(C40:F40)</f>
        <v>0</v>
      </c>
      <c r="H40" s="195" t="s">
        <v>321</v>
      </c>
      <c r="I40" s="195"/>
    </row>
    <row r="41" customFormat="false" ht="12.75" hidden="false" customHeight="false" outlineLevel="0" collapsed="false">
      <c r="A41" s="195"/>
      <c r="B41" s="195" t="s">
        <v>310</v>
      </c>
      <c r="C41" s="200" t="n">
        <v>0</v>
      </c>
      <c r="D41" s="200" t="n">
        <v>0</v>
      </c>
      <c r="E41" s="200" t="n">
        <v>0</v>
      </c>
      <c r="F41" s="200" t="n">
        <v>0</v>
      </c>
      <c r="G41" s="200" t="n">
        <f aca="false">SUM(C41:F41)</f>
        <v>0</v>
      </c>
      <c r="H41" s="195" t="s">
        <v>321</v>
      </c>
      <c r="I41" s="195"/>
    </row>
    <row r="42" customFormat="false" ht="12.75" hidden="false" customHeight="false" outlineLevel="0" collapsed="false">
      <c r="A42" s="195"/>
      <c r="B42" s="195" t="s">
        <v>311</v>
      </c>
      <c r="C42" s="200" t="n">
        <v>0</v>
      </c>
      <c r="D42" s="200" t="n">
        <v>0</v>
      </c>
      <c r="E42" s="200" t="n">
        <v>0</v>
      </c>
      <c r="F42" s="200" t="n">
        <v>0</v>
      </c>
      <c r="G42" s="200" t="n">
        <f aca="false">SUM(C42:F42)</f>
        <v>0</v>
      </c>
      <c r="H42" s="195" t="s">
        <v>321</v>
      </c>
      <c r="I42" s="195"/>
    </row>
    <row r="43" customFormat="false" ht="12.75" hidden="false" customHeight="false" outlineLevel="0" collapsed="false">
      <c r="A43" s="195"/>
      <c r="B43" s="195" t="s">
        <v>314</v>
      </c>
      <c r="C43" s="200" t="n">
        <v>0</v>
      </c>
      <c r="D43" s="200" t="n">
        <v>0</v>
      </c>
      <c r="E43" s="200" t="n">
        <v>0</v>
      </c>
      <c r="F43" s="200" t="n">
        <v>0</v>
      </c>
      <c r="G43" s="200" t="n">
        <f aca="false">SUM(C43:F43)</f>
        <v>0</v>
      </c>
      <c r="H43" s="195" t="s">
        <v>321</v>
      </c>
      <c r="I43" s="195"/>
    </row>
    <row r="44" customFormat="false" ht="12.75" hidden="false" customHeight="false" outlineLevel="0" collapsed="false">
      <c r="A44" s="195"/>
      <c r="B44" s="195" t="s">
        <v>320</v>
      </c>
      <c r="C44" s="200" t="n">
        <v>0</v>
      </c>
      <c r="D44" s="200" t="n">
        <v>0</v>
      </c>
      <c r="E44" s="200" t="n">
        <v>0</v>
      </c>
      <c r="F44" s="200" t="n">
        <v>0</v>
      </c>
      <c r="G44" s="200" t="n">
        <f aca="false">SUM(C44:F44)</f>
        <v>0</v>
      </c>
      <c r="H44" s="195" t="s">
        <v>321</v>
      </c>
      <c r="I44" s="195"/>
    </row>
    <row r="45" customFormat="false" ht="12.75" hidden="false" customHeight="false" outlineLevel="0" collapsed="false">
      <c r="A45" s="195"/>
      <c r="B45" s="195" t="s">
        <v>317</v>
      </c>
      <c r="C45" s="200" t="n">
        <v>0</v>
      </c>
      <c r="D45" s="200" t="n">
        <v>0</v>
      </c>
      <c r="E45" s="200" t="n">
        <v>0</v>
      </c>
      <c r="F45" s="200" t="n">
        <v>0</v>
      </c>
      <c r="G45" s="200" t="n">
        <f aca="false">SUM(C45:F45)</f>
        <v>0</v>
      </c>
      <c r="H45" s="195" t="s">
        <v>321</v>
      </c>
      <c r="I45" s="195"/>
    </row>
    <row r="46" customFormat="false" ht="12.75" hidden="false" customHeight="false" outlineLevel="0" collapsed="false">
      <c r="A46" s="195"/>
      <c r="B46" s="195" t="s">
        <v>324</v>
      </c>
      <c r="C46" s="200" t="n">
        <v>0</v>
      </c>
      <c r="D46" s="200" t="n">
        <v>0</v>
      </c>
      <c r="E46" s="200" t="n">
        <v>0</v>
      </c>
      <c r="F46" s="200" t="n">
        <v>0</v>
      </c>
      <c r="G46" s="200" t="n">
        <f aca="false">SUM(C46:F46)</f>
        <v>0</v>
      </c>
      <c r="H46" s="195" t="s">
        <v>321</v>
      </c>
      <c r="I46" s="195"/>
    </row>
    <row r="47" customFormat="false" ht="12.75" hidden="false" customHeight="false" outlineLevel="0" collapsed="false">
      <c r="A47" s="195"/>
      <c r="B47" s="195" t="s">
        <v>325</v>
      </c>
      <c r="C47" s="200" t="n">
        <v>0</v>
      </c>
      <c r="D47" s="200" t="n">
        <v>0</v>
      </c>
      <c r="E47" s="200" t="n">
        <v>0</v>
      </c>
      <c r="F47" s="200" t="n">
        <v>0</v>
      </c>
      <c r="G47" s="200" t="n">
        <f aca="false">SUM(C47:F47)</f>
        <v>0</v>
      </c>
      <c r="H47" s="195" t="s">
        <v>321</v>
      </c>
      <c r="I47" s="195"/>
    </row>
    <row r="48" customFormat="false" ht="12.75" hidden="false" customHeight="false" outlineLevel="0" collapsed="false">
      <c r="A48" s="195"/>
      <c r="B48" s="195" t="s">
        <v>315</v>
      </c>
      <c r="C48" s="200" t="n">
        <v>0</v>
      </c>
      <c r="D48" s="200" t="n">
        <v>0</v>
      </c>
      <c r="E48" s="200" t="n">
        <v>0</v>
      </c>
      <c r="F48" s="200" t="n">
        <v>0</v>
      </c>
      <c r="G48" s="200" t="n">
        <f aca="false">SUM(C48:F48)</f>
        <v>0</v>
      </c>
      <c r="H48" s="195" t="s">
        <v>321</v>
      </c>
      <c r="I48" s="195"/>
    </row>
    <row r="49" customFormat="false" ht="12.75" hidden="false" customHeight="false" outlineLevel="0" collapsed="false">
      <c r="A49" s="195"/>
      <c r="B49" s="195" t="s">
        <v>288</v>
      </c>
      <c r="C49" s="200" t="n">
        <v>0</v>
      </c>
      <c r="D49" s="200" t="n">
        <v>0</v>
      </c>
      <c r="E49" s="200" t="n">
        <v>0</v>
      </c>
      <c r="F49" s="200" t="n">
        <v>0</v>
      </c>
      <c r="G49" s="200" t="n">
        <f aca="false">SUM(C49:F49)</f>
        <v>0</v>
      </c>
      <c r="H49" s="195" t="s">
        <v>321</v>
      </c>
      <c r="I49" s="195"/>
    </row>
    <row r="50" customFormat="false" ht="12.75" hidden="false" customHeight="false" outlineLevel="0" collapsed="false">
      <c r="A50" s="195"/>
      <c r="B50" s="195" t="s">
        <v>318</v>
      </c>
      <c r="C50" s="200" t="n">
        <v>0</v>
      </c>
      <c r="D50" s="200" t="n">
        <v>0</v>
      </c>
      <c r="E50" s="200" t="n">
        <v>0</v>
      </c>
      <c r="F50" s="200" t="n">
        <v>0</v>
      </c>
      <c r="G50" s="200" t="n">
        <f aca="false">SUM(C50:F50)</f>
        <v>0</v>
      </c>
      <c r="H50" s="195" t="s">
        <v>321</v>
      </c>
      <c r="I50" s="195"/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326</v>
      </c>
      <c r="C2" s="216" t="str">
        <f aca="false">Admin!L2</f>
        <v>2020-21</v>
      </c>
      <c r="D2" s="217" t="s">
        <v>327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328</v>
      </c>
      <c r="C5" s="222"/>
      <c r="D5" s="222"/>
      <c r="E5" s="223" t="n">
        <f aca="false">'SE Full'!O210</f>
        <v>25800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329</v>
      </c>
      <c r="C6" s="220" t="str">
        <f aca="false">C2</f>
        <v>2020-21</v>
      </c>
      <c r="D6" s="225"/>
      <c r="E6" s="218" t="n">
        <f aca="false">IF((E5&gt;0),Admin!N$4,0)</f>
        <v>12500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330</v>
      </c>
      <c r="C7" s="222"/>
      <c r="D7" s="222"/>
      <c r="E7" s="223" t="n">
        <f aca="false">IF((E5&gt;E6),(E5-E6),0)</f>
        <v>13300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331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2660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332</v>
      </c>
      <c r="C9" s="220" t="n">
        <f aca="false">Admin!N$12</f>
        <v>37501</v>
      </c>
      <c r="D9" s="226" t="n">
        <f aca="false">Admin!N$7</f>
        <v>0.4</v>
      </c>
      <c r="E9" s="213" t="n">
        <f aca="false">IF((E7&gt;C9),((E7-C9)*D9),0)</f>
        <v>0</v>
      </c>
      <c r="F9" s="214"/>
      <c r="G9" s="218"/>
      <c r="M9" s="224"/>
    </row>
    <row r="10" customFormat="false" ht="12.75" hidden="false" customHeight="false" outlineLevel="0" collapsed="false">
      <c r="A10" s="211"/>
      <c r="B10" s="228" t="s">
        <v>333</v>
      </c>
      <c r="C10" s="229"/>
      <c r="D10" s="230"/>
      <c r="E10" s="231" t="n">
        <f aca="false">SUM(E8:E9)</f>
        <v>2660</v>
      </c>
      <c r="F10" s="214"/>
      <c r="G10" s="218"/>
      <c r="M10" s="224"/>
    </row>
    <row r="11" customFormat="false" ht="12.75" hidden="false" customHeight="false" outlineLevel="0" collapsed="false">
      <c r="A11" s="211"/>
      <c r="B11" s="220" t="s">
        <v>334</v>
      </c>
      <c r="C11" s="220"/>
      <c r="D11" s="232"/>
      <c r="E11" s="213" t="n">
        <f aca="false">-[2]Mar!$X$1</f>
        <v>-0</v>
      </c>
      <c r="F11" s="233"/>
      <c r="G11" s="234"/>
      <c r="M11" s="224"/>
    </row>
    <row r="12" customFormat="false" ht="12.75" hidden="false" customHeight="false" outlineLevel="0" collapsed="false">
      <c r="A12" s="211"/>
      <c r="B12" s="220"/>
      <c r="C12" s="220"/>
      <c r="D12" s="232"/>
      <c r="E12" s="213"/>
      <c r="F12" s="233"/>
      <c r="G12" s="234"/>
      <c r="M12" s="224"/>
    </row>
    <row r="13" customFormat="false" ht="12.75" hidden="false" customHeight="false" outlineLevel="0" collapsed="false">
      <c r="A13" s="211"/>
      <c r="B13" s="235" t="s">
        <v>335</v>
      </c>
      <c r="C13" s="236" t="n">
        <f aca="false">Admin!B21</f>
        <v>44592</v>
      </c>
      <c r="D13" s="236"/>
      <c r="E13" s="213"/>
      <c r="F13" s="233"/>
      <c r="G13" s="234"/>
      <c r="M13" s="224"/>
    </row>
    <row r="14" customFormat="false" ht="12.75" hidden="false" customHeight="false" outlineLevel="0" collapsed="false">
      <c r="A14" s="211"/>
      <c r="B14" s="220"/>
      <c r="C14" s="220"/>
      <c r="D14" s="237"/>
      <c r="E14" s="238"/>
      <c r="F14" s="214"/>
      <c r="G14" s="234"/>
      <c r="M14" s="224"/>
    </row>
    <row r="15" customFormat="false" ht="12.75" hidden="false" customHeight="false" outlineLevel="0" collapsed="false">
      <c r="A15" s="211"/>
      <c r="B15" s="239" t="s">
        <v>336</v>
      </c>
      <c r="C15" s="239"/>
      <c r="D15" s="226" t="n">
        <f aca="false">Admin!L20</f>
        <v>0.09</v>
      </c>
      <c r="E15" s="240" t="n">
        <f aca="false">IF(E5&gt;Admin!N20,IF(E5&lt;Admin!N$23,(E5-Admin!N20)*D15,(Admin!N$23-Admin!N20)*D15),0)</f>
        <v>1467</v>
      </c>
      <c r="F15" s="214"/>
      <c r="G15" s="234"/>
      <c r="M15" s="224"/>
    </row>
    <row r="16" customFormat="false" ht="12.75" hidden="false" customHeight="false" outlineLevel="0" collapsed="false">
      <c r="A16" s="211"/>
      <c r="B16" s="239" t="s">
        <v>337</v>
      </c>
      <c r="C16" s="239"/>
      <c r="D16" s="226" t="n">
        <f aca="false">Admin!L23</f>
        <v>0.02</v>
      </c>
      <c r="E16" s="240" t="n">
        <f aca="false">IF((E5&gt;Admin!N$23),((E5-Admin!N$23)*D16),0)</f>
        <v>0</v>
      </c>
      <c r="F16" s="214"/>
      <c r="G16" s="234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38"/>
      <c r="F17" s="214"/>
      <c r="G17" s="234"/>
      <c r="M17" s="224"/>
    </row>
    <row r="18" customFormat="false" ht="12.75" hidden="false" customHeight="false" outlineLevel="0" collapsed="false">
      <c r="A18" s="211"/>
      <c r="B18" s="241" t="s">
        <v>338</v>
      </c>
      <c r="C18" s="241"/>
      <c r="D18" s="237"/>
      <c r="E18" s="231" t="n">
        <f aca="false">SUM(E10:E17)</f>
        <v>4127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38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38"/>
      <c r="F20" s="214"/>
      <c r="G20" s="218"/>
    </row>
    <row r="21" customFormat="false" ht="18" hidden="false" customHeight="true" outlineLevel="0" collapsed="false">
      <c r="A21" s="211"/>
      <c r="B21" s="228" t="s">
        <v>339</v>
      </c>
      <c r="C21" s="243"/>
      <c r="D21" s="244" t="s">
        <v>340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38"/>
      <c r="F22" s="214"/>
      <c r="G22" s="234"/>
    </row>
    <row r="23" s="249" customFormat="true" ht="12.75" hidden="false" customHeight="true" outlineLevel="0" collapsed="false">
      <c r="A23" s="245"/>
      <c r="B23" s="220"/>
      <c r="C23" s="220"/>
      <c r="D23" s="246" t="s">
        <v>341</v>
      </c>
      <c r="E23" s="247" t="s">
        <v>342</v>
      </c>
      <c r="F23" s="248"/>
      <c r="G23" s="218"/>
    </row>
    <row r="24" s="249" customFormat="true" ht="12.75" hidden="false" customHeight="false" outlineLevel="0" collapsed="false">
      <c r="A24" s="245"/>
      <c r="B24" s="220"/>
      <c r="C24" s="220"/>
      <c r="D24" s="246"/>
      <c r="E24" s="246"/>
      <c r="F24" s="248"/>
      <c r="G24" s="218"/>
    </row>
    <row r="25" customFormat="false" ht="12.75" hidden="false" customHeight="false" outlineLevel="0" collapsed="false">
      <c r="A25" s="211"/>
      <c r="B25" s="220" t="s">
        <v>343</v>
      </c>
      <c r="C25" s="250" t="str">
        <f aca="false">Admin!B24</f>
        <v>2021-22</v>
      </c>
      <c r="D25" s="251" t="s">
        <v>344</v>
      </c>
      <c r="E25" s="240" t="n">
        <f aca="false">E18</f>
        <v>4127</v>
      </c>
      <c r="F25" s="214"/>
      <c r="G25" s="218"/>
    </row>
    <row r="26" customFormat="false" ht="12.75" hidden="false" customHeight="false" outlineLevel="0" collapsed="false">
      <c r="A26" s="211"/>
      <c r="B26" s="220" t="s">
        <v>345</v>
      </c>
      <c r="C26" s="220"/>
      <c r="D26" s="252" t="n">
        <f aca="false">Admin!B21</f>
        <v>44592</v>
      </c>
      <c r="E26" s="223" t="n">
        <f aca="false">E25/2</f>
        <v>2063.5</v>
      </c>
      <c r="F26" s="214"/>
      <c r="G26" s="218"/>
    </row>
    <row r="27" customFormat="false" ht="12.75" hidden="false" customHeight="false" outlineLevel="0" collapsed="false">
      <c r="A27" s="211"/>
      <c r="B27" s="220" t="s">
        <v>345</v>
      </c>
      <c r="C27" s="220"/>
      <c r="D27" s="252" t="n">
        <f aca="false">Admin!B22</f>
        <v>44773</v>
      </c>
      <c r="E27" s="223" t="n">
        <f aca="false">E25/2</f>
        <v>2063.5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346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347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348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349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350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351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352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s="272" customFormat="true" ht="43.25" hidden="false" customHeight="false" outlineLevel="0" collapsed="false">
      <c r="A2" s="267"/>
      <c r="B2" s="268" t="s">
        <v>353</v>
      </c>
      <c r="C2" s="269" t="s">
        <v>354</v>
      </c>
      <c r="D2" s="269" t="s">
        <v>355</v>
      </c>
      <c r="E2" s="269" t="s">
        <v>356</v>
      </c>
      <c r="F2" s="269" t="s">
        <v>357</v>
      </c>
      <c r="G2" s="269" t="s">
        <v>358</v>
      </c>
      <c r="H2" s="269" t="s">
        <v>359</v>
      </c>
      <c r="I2" s="269" t="s">
        <v>360</v>
      </c>
      <c r="J2" s="270"/>
      <c r="K2" s="268" t="s">
        <v>361</v>
      </c>
      <c r="L2" s="271"/>
    </row>
    <row r="3" s="272" customFormat="true" ht="15" hidden="false" customHeight="true" outlineLevel="0" collapsed="false">
      <c r="A3" s="267"/>
      <c r="B3" s="273" t="s">
        <v>362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</row>
    <row r="4" customFormat="false" ht="12" hidden="false" customHeight="true" outlineLevel="0" collapsed="false">
      <c r="A4" s="276"/>
      <c r="B4" s="277" t="n">
        <f aca="false">Admin!B5</f>
        <v>43951</v>
      </c>
      <c r="C4" s="263" t="n">
        <f aca="false">[6]Apr!$M$1</f>
        <v>0</v>
      </c>
      <c r="D4" s="263" t="n">
        <f aca="false">[6]Apr!$N$1</f>
        <v>0</v>
      </c>
      <c r="E4" s="263" t="n">
        <f aca="false">[6]Apr!$O$1</f>
        <v>0</v>
      </c>
      <c r="F4" s="263" t="n">
        <f aca="false">[6]Apr!$P$1+[6]Apr!$Q$1</f>
        <v>0</v>
      </c>
      <c r="G4" s="263" t="n">
        <f aca="false">C4-SUM(D4:F4)</f>
        <v>0</v>
      </c>
      <c r="H4" s="263" t="n">
        <f aca="false">[6]Apr!$T$1</f>
        <v>0</v>
      </c>
      <c r="I4" s="263" t="n">
        <f aca="false">[6]Apr!$G$1</f>
        <v>0</v>
      </c>
      <c r="J4" s="158"/>
      <c r="K4" s="278" t="s">
        <v>363</v>
      </c>
      <c r="L4" s="164"/>
    </row>
    <row r="5" customFormat="false" ht="12" hidden="false" customHeight="true" outlineLevel="0" collapsed="false">
      <c r="A5" s="276"/>
      <c r="B5" s="277" t="n">
        <f aca="false">Admin!B6</f>
        <v>43982</v>
      </c>
      <c r="C5" s="263" t="n">
        <f aca="false">[6]May!$M$1</f>
        <v>0</v>
      </c>
      <c r="D5" s="263" t="n">
        <f aca="false">[6]May!$N$1</f>
        <v>0</v>
      </c>
      <c r="E5" s="263" t="n">
        <f aca="false">[6]May!$O$1</f>
        <v>0</v>
      </c>
      <c r="F5" s="263" t="n">
        <f aca="false">[6]May!$P$1+[6]May!$Q$1</f>
        <v>0</v>
      </c>
      <c r="G5" s="263" t="n">
        <f aca="false">C5-SUM(D5:F5)</f>
        <v>0</v>
      </c>
      <c r="H5" s="263" t="n">
        <f aca="false">[6]May!$T$1</f>
        <v>0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44012</v>
      </c>
      <c r="C6" s="263" t="n">
        <f aca="false">[6]Jun!$M$1</f>
        <v>0</v>
      </c>
      <c r="D6" s="263" t="n">
        <f aca="false">[6]Jun!$N$1</f>
        <v>0</v>
      </c>
      <c r="E6" s="263" t="n">
        <f aca="false">[6]Jun!$O$1</f>
        <v>0</v>
      </c>
      <c r="F6" s="263" t="n">
        <f aca="false">[6]Jun!$P$1+[6]Jun!$Q$1</f>
        <v>0</v>
      </c>
      <c r="G6" s="263" t="n">
        <f aca="false">C6-SUM(D6:F6)</f>
        <v>0</v>
      </c>
      <c r="H6" s="263" t="n">
        <f aca="false">[6]Jun!$T$1</f>
        <v>0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44043</v>
      </c>
      <c r="C7" s="263" t="n">
        <f aca="false">[6]Jul!$M$1</f>
        <v>0</v>
      </c>
      <c r="D7" s="263" t="n">
        <f aca="false">[6]Jul!$N$1</f>
        <v>0</v>
      </c>
      <c r="E7" s="263" t="n">
        <f aca="false">[6]Jul!$O$1</f>
        <v>0</v>
      </c>
      <c r="F7" s="263" t="n">
        <f aca="false">[6]Jul!$P$1+[6]Jul!$Q$1</f>
        <v>0</v>
      </c>
      <c r="G7" s="263" t="n">
        <f aca="false">C7-SUM(D7:F7)</f>
        <v>0</v>
      </c>
      <c r="H7" s="263" t="n">
        <f aca="false">[6]Jul!$T$1</f>
        <v>0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44074</v>
      </c>
      <c r="C8" s="263" t="n">
        <f aca="false">[6]Aug!$M$1</f>
        <v>0</v>
      </c>
      <c r="D8" s="263" t="n">
        <f aca="false">[6]Aug!$N$1</f>
        <v>0</v>
      </c>
      <c r="E8" s="263" t="n">
        <f aca="false">[6]Aug!$O$1</f>
        <v>0</v>
      </c>
      <c r="F8" s="263" t="n">
        <f aca="false">[6]Aug!$P$1+[6]Aug!$Q$1</f>
        <v>0</v>
      </c>
      <c r="G8" s="263" t="n">
        <f aca="false">C8-SUM(D8:F8)</f>
        <v>0</v>
      </c>
      <c r="H8" s="263" t="n">
        <f aca="false">[6]Aug!$T$1</f>
        <v>0</v>
      </c>
      <c r="I8" s="263" t="n">
        <f aca="false">[6]Aug!$G$1</f>
        <v>0</v>
      </c>
      <c r="J8" s="158"/>
      <c r="K8" s="278" t="s">
        <v>364</v>
      </c>
      <c r="L8" s="164"/>
    </row>
    <row r="9" customFormat="false" ht="12" hidden="false" customHeight="true" outlineLevel="0" collapsed="false">
      <c r="A9" s="276"/>
      <c r="B9" s="277" t="n">
        <f aca="false">Admin!B10</f>
        <v>44104</v>
      </c>
      <c r="C9" s="263" t="n">
        <f aca="false">[6]Sep!$M$1</f>
        <v>0</v>
      </c>
      <c r="D9" s="263" t="n">
        <f aca="false">[6]Sep!$N$1</f>
        <v>0</v>
      </c>
      <c r="E9" s="263" t="n">
        <f aca="false">[6]Sep!$O$1</f>
        <v>0</v>
      </c>
      <c r="F9" s="263" t="n">
        <f aca="false">[6]Sep!$P$1+[6]Sep!$Q$1</f>
        <v>0</v>
      </c>
      <c r="G9" s="263" t="n">
        <f aca="false">C9-SUM(D9:F9)</f>
        <v>0</v>
      </c>
      <c r="H9" s="263" t="n">
        <f aca="false">[6]Sep!$T$1</f>
        <v>0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44135</v>
      </c>
      <c r="C10" s="263" t="n">
        <f aca="false">[6]Oct!$M$1</f>
        <v>0</v>
      </c>
      <c r="D10" s="263" t="n">
        <f aca="false">[6]Oct!$N$1</f>
        <v>0</v>
      </c>
      <c r="E10" s="263" t="n">
        <f aca="false">[6]Oct!$O$1</f>
        <v>0</v>
      </c>
      <c r="F10" s="263" t="n">
        <f aca="false">[6]Oct!$P$1+[6]Oct!$Q$1</f>
        <v>0</v>
      </c>
      <c r="G10" s="263" t="n">
        <f aca="false">C10-SUM(D10:F10)</f>
        <v>0</v>
      </c>
      <c r="H10" s="263" t="n">
        <f aca="false">[6]Oct!$T$1</f>
        <v>0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44165</v>
      </c>
      <c r="C11" s="263" t="n">
        <f aca="false">[6]Nov!$M$1</f>
        <v>0</v>
      </c>
      <c r="D11" s="263" t="n">
        <f aca="false">[6]Nov!$N$1</f>
        <v>0</v>
      </c>
      <c r="E11" s="263" t="n">
        <f aca="false">[6]Nov!$O$1</f>
        <v>0</v>
      </c>
      <c r="F11" s="263" t="n">
        <f aca="false">[6]Nov!$P$1+[6]Nov!$Q$1</f>
        <v>0</v>
      </c>
      <c r="G11" s="263" t="n">
        <f aca="false">C11-SUM(D11:F11)</f>
        <v>0</v>
      </c>
      <c r="H11" s="263" t="n">
        <f aca="false">[6]Nov!$T$1</f>
        <v>0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44196</v>
      </c>
      <c r="C12" s="263" t="n">
        <f aca="false">[6]Dec!$M$1</f>
        <v>0</v>
      </c>
      <c r="D12" s="263" t="n">
        <f aca="false">[6]Dec!$N$1</f>
        <v>0</v>
      </c>
      <c r="E12" s="263" t="n">
        <f aca="false">[6]Dec!$O$1</f>
        <v>0</v>
      </c>
      <c r="F12" s="263" t="n">
        <f aca="false">[6]Dec!$P$1+[6]Dec!$Q$1</f>
        <v>0</v>
      </c>
      <c r="G12" s="263" t="n">
        <f aca="false">C12-SUM(D12:F12)</f>
        <v>0</v>
      </c>
      <c r="H12" s="263" t="n">
        <f aca="false">[6]Dec!$T$1</f>
        <v>0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44227</v>
      </c>
      <c r="C13" s="263" t="n">
        <f aca="false">[6]Jan!$M$1</f>
        <v>0</v>
      </c>
      <c r="D13" s="263" t="n">
        <f aca="false">[6]Jan!$N$1</f>
        <v>0</v>
      </c>
      <c r="E13" s="263" t="n">
        <f aca="false">[6]Jan!$O$1</f>
        <v>0</v>
      </c>
      <c r="F13" s="263" t="n">
        <f aca="false">[6]Jan!$P$1+[6]Jan!$Q$1</f>
        <v>0</v>
      </c>
      <c r="G13" s="263" t="n">
        <f aca="false">C13-SUM(D13:F13)</f>
        <v>0</v>
      </c>
      <c r="H13" s="263" t="n">
        <f aca="false">[6]Jan!$T$1</f>
        <v>0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44255</v>
      </c>
      <c r="C14" s="263" t="n">
        <f aca="false">[6]Feb!$M$1</f>
        <v>0</v>
      </c>
      <c r="D14" s="263" t="n">
        <f aca="false">[6]Feb!$N$1</f>
        <v>0</v>
      </c>
      <c r="E14" s="263" t="n">
        <f aca="false">[6]Feb!$O$1</f>
        <v>0</v>
      </c>
      <c r="F14" s="263" t="n">
        <f aca="false">[6]Feb!$P$1+[6]Feb!$Q$1</f>
        <v>0</v>
      </c>
      <c r="G14" s="263" t="n">
        <f aca="false">C14-SUM(D14:F14)</f>
        <v>0</v>
      </c>
      <c r="H14" s="263" t="n">
        <f aca="false">[6]Feb!$T$1</f>
        <v>0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44286</v>
      </c>
      <c r="C15" s="263" t="n">
        <f aca="false">[6]Mar!$M$1</f>
        <v>0</v>
      </c>
      <c r="D15" s="263" t="n">
        <f aca="false">[6]Mar!$N$1</f>
        <v>0</v>
      </c>
      <c r="E15" s="263" t="n">
        <f aca="false">[6]Mar!$O$1</f>
        <v>0</v>
      </c>
      <c r="F15" s="263" t="n">
        <f aca="false">[6]Mar!$P$1+[6]Mar!$Q$1</f>
        <v>0</v>
      </c>
      <c r="G15" s="263" t="n">
        <f aca="false">C15-SUM(D15:F15)</f>
        <v>0</v>
      </c>
      <c r="H15" s="263" t="n">
        <f aca="false">[6]Mar!$T$1</f>
        <v>0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365</v>
      </c>
      <c r="I1" s="288"/>
      <c r="J1" s="288"/>
      <c r="K1" s="288"/>
      <c r="L1" s="288"/>
      <c r="M1" s="287"/>
      <c r="N1" s="288" t="s">
        <v>365</v>
      </c>
      <c r="O1" s="288"/>
      <c r="P1" s="288"/>
      <c r="Q1" s="288"/>
      <c r="R1" s="288"/>
      <c r="S1" s="287"/>
      <c r="T1" s="288" t="s">
        <v>365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s="302" customFormat="true" ht="32.8" hidden="false" customHeight="true" outlineLevel="0" collapsed="false">
      <c r="A2" s="292"/>
      <c r="B2" s="293" t="s">
        <v>366</v>
      </c>
      <c r="C2" s="294"/>
      <c r="D2" s="295" t="s">
        <v>367</v>
      </c>
      <c r="E2" s="296"/>
      <c r="F2" s="295" t="s">
        <v>368</v>
      </c>
      <c r="G2" s="296"/>
      <c r="H2" s="297" t="s">
        <v>369</v>
      </c>
      <c r="I2" s="296"/>
      <c r="J2" s="295" t="s">
        <v>370</v>
      </c>
      <c r="K2" s="296"/>
      <c r="L2" s="295" t="s">
        <v>371</v>
      </c>
      <c r="M2" s="296"/>
      <c r="N2" s="297" t="s">
        <v>372</v>
      </c>
      <c r="O2" s="296"/>
      <c r="P2" s="295" t="s">
        <v>373</v>
      </c>
      <c r="Q2" s="296"/>
      <c r="R2" s="295" t="s">
        <v>371</v>
      </c>
      <c r="S2" s="296"/>
      <c r="T2" s="297" t="s">
        <v>374</v>
      </c>
      <c r="U2" s="296"/>
      <c r="V2" s="295" t="s">
        <v>375</v>
      </c>
      <c r="W2" s="296"/>
      <c r="X2" s="298" t="s">
        <v>371</v>
      </c>
      <c r="Y2" s="299"/>
      <c r="Z2" s="295" t="s">
        <v>376</v>
      </c>
      <c r="AA2" s="296"/>
      <c r="AB2" s="295" t="s">
        <v>377</v>
      </c>
      <c r="AC2" s="300"/>
      <c r="AD2" s="301" t="s">
        <v>378</v>
      </c>
      <c r="AE2" s="301"/>
      <c r="AF2" s="301"/>
      <c r="AG2" s="301"/>
      <c r="AH2" s="300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379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380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43927</v>
      </c>
      <c r="C6" s="316"/>
      <c r="D6" s="191" t="n">
        <f aca="false">AB6</f>
        <v>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/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43951</v>
      </c>
      <c r="C8" s="316"/>
      <c r="D8" s="191" t="n">
        <f aca="false">D6+F8-L8-R8-X8+Z6</f>
        <v>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2500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43982</v>
      </c>
      <c r="C10" s="316"/>
      <c r="D10" s="191" t="n">
        <f aca="false">D8+F10-L10-R10-X10+Z8</f>
        <v>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2500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381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44012</v>
      </c>
      <c r="C12" s="316"/>
      <c r="D12" s="191" t="n">
        <f aca="false">D10+F12-L12-R12-X12+Z10</f>
        <v>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2500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44043</v>
      </c>
      <c r="C14" s="316"/>
      <c r="D14" s="191" t="n">
        <f aca="false">D12+F14-L14-R14-X14+Z12</f>
        <v>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2500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382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44074</v>
      </c>
      <c r="C16" s="316"/>
      <c r="D16" s="191" t="n">
        <f aca="false">D14+F16-L16-R16-X16+Z14</f>
        <v>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2500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44104</v>
      </c>
      <c r="C18" s="316"/>
      <c r="D18" s="191" t="n">
        <f aca="false">D16+F18-L18-R18-X18+Z16</f>
        <v>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2500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383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44135</v>
      </c>
      <c r="C20" s="316"/>
      <c r="D20" s="191" t="n">
        <f aca="false">D18+F20-L20-R20-X20+Z18</f>
        <v>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2500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44165</v>
      </c>
      <c r="C22" s="316"/>
      <c r="D22" s="191" t="n">
        <f aca="false">D20+F22-L22-R22-X22+Z20</f>
        <v>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2500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384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44196</v>
      </c>
      <c r="C24" s="316"/>
      <c r="D24" s="191" t="n">
        <f aca="false">D22+F24-L24-R24-X24+Z22</f>
        <v>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2500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44227</v>
      </c>
      <c r="C26" s="316"/>
      <c r="D26" s="191" t="n">
        <f aca="false">D24+F26-L26-R26-X26+Z24</f>
        <v>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2500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44255</v>
      </c>
      <c r="C28" s="316"/>
      <c r="D28" s="191" t="n">
        <f aca="false">D26+F28-L28-R28-X28+Z26</f>
        <v>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2500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0</v>
      </c>
      <c r="AC28" s="164"/>
      <c r="AD28" s="309" t="s">
        <v>385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44291</v>
      </c>
      <c r="C30" s="316"/>
      <c r="D30" s="191" t="n">
        <f aca="false">D28+F30-L30-R30-X30+Z28</f>
        <v>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2500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0</v>
      </c>
      <c r="AA30" s="177"/>
      <c r="AB30" s="170" t="n">
        <f aca="false">AB28+F30-L30-R30-X30</f>
        <v>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386</v>
      </c>
      <c r="C2" s="161" t="s">
        <v>261</v>
      </c>
      <c r="D2" s="162" t="n">
        <f aca="false">Admin!B5</f>
        <v>43951</v>
      </c>
      <c r="E2" s="163" t="n">
        <f aca="false">Admin!B6</f>
        <v>43982</v>
      </c>
      <c r="F2" s="163" t="n">
        <f aca="false">Admin!B7</f>
        <v>44012</v>
      </c>
      <c r="G2" s="163" t="n">
        <f aca="false">Admin!B8</f>
        <v>44043</v>
      </c>
      <c r="H2" s="163" t="n">
        <f aca="false">Admin!B9</f>
        <v>44074</v>
      </c>
      <c r="I2" s="163" t="n">
        <f aca="false">Admin!B10</f>
        <v>44104</v>
      </c>
      <c r="J2" s="163" t="n">
        <f aca="false">Admin!B11</f>
        <v>44135</v>
      </c>
      <c r="K2" s="163" t="n">
        <f aca="false">Admin!B12</f>
        <v>44165</v>
      </c>
      <c r="L2" s="163" t="n">
        <f aca="false">Admin!B13</f>
        <v>44196</v>
      </c>
      <c r="M2" s="163" t="n">
        <f aca="false">Admin!B14</f>
        <v>44227</v>
      </c>
      <c r="N2" s="163" t="n">
        <f aca="false">Admin!B15</f>
        <v>44255</v>
      </c>
      <c r="O2" s="163" t="n">
        <f aca="false">Admin!B16</f>
        <v>44286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44291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32</v>
      </c>
      <c r="D4" s="166" t="s">
        <v>32</v>
      </c>
      <c r="E4" s="166" t="s">
        <v>32</v>
      </c>
      <c r="F4" s="166" t="s">
        <v>32</v>
      </c>
      <c r="G4" s="166" t="s">
        <v>32</v>
      </c>
      <c r="H4" s="166" t="s">
        <v>32</v>
      </c>
      <c r="I4" s="166" t="s">
        <v>32</v>
      </c>
      <c r="J4" s="166" t="s">
        <v>32</v>
      </c>
      <c r="K4" s="166" t="s">
        <v>32</v>
      </c>
      <c r="L4" s="166" t="s">
        <v>32</v>
      </c>
      <c r="M4" s="166" t="s">
        <v>32</v>
      </c>
      <c r="N4" s="168" t="s">
        <v>32</v>
      </c>
      <c r="O4" s="166" t="s">
        <v>32</v>
      </c>
      <c r="P4" s="158"/>
    </row>
    <row r="5" s="176" customFormat="true" ht="12" hidden="false" customHeight="false" outlineLevel="0" collapsed="false">
      <c r="A5" s="178"/>
      <c r="B5" s="332" t="s">
        <v>266</v>
      </c>
      <c r="C5" s="170" t="n">
        <f aca="false">SUM(D5:O5)</f>
        <v>30000</v>
      </c>
      <c r="D5" s="170" t="n">
        <f aca="false">'Profit &amp; Loss Account'!C9</f>
        <v>2500</v>
      </c>
      <c r="E5" s="170" t="n">
        <f aca="false">'Profit &amp; Loss Account'!D9</f>
        <v>2500</v>
      </c>
      <c r="F5" s="170" t="n">
        <f aca="false">'Profit &amp; Loss Account'!E9</f>
        <v>2500</v>
      </c>
      <c r="G5" s="170" t="n">
        <f aca="false">'Profit &amp; Loss Account'!F9</f>
        <v>2500</v>
      </c>
      <c r="H5" s="170" t="n">
        <f aca="false">'Profit &amp; Loss Account'!G9</f>
        <v>2500</v>
      </c>
      <c r="I5" s="170" t="n">
        <f aca="false">'Profit &amp; Loss Account'!H9</f>
        <v>2500</v>
      </c>
      <c r="J5" s="170" t="n">
        <f aca="false">'Profit &amp; Loss Account'!I9</f>
        <v>2500</v>
      </c>
      <c r="K5" s="170" t="n">
        <f aca="false">'Profit &amp; Loss Account'!J9</f>
        <v>2500</v>
      </c>
      <c r="L5" s="170" t="n">
        <f aca="false">'Profit &amp; Loss Account'!K9</f>
        <v>2500</v>
      </c>
      <c r="M5" s="170" t="n">
        <f aca="false">'Profit &amp; Loss Account'!L9</f>
        <v>2500</v>
      </c>
      <c r="N5" s="170" t="n">
        <f aca="false">'Profit &amp; Loss Account'!M9</f>
        <v>2500</v>
      </c>
      <c r="O5" s="170" t="n">
        <f aca="false">'Profit &amp; Loss Account'!N9</f>
        <v>2500</v>
      </c>
      <c r="P5" s="178"/>
    </row>
    <row r="6" s="176" customFormat="tru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</row>
    <row r="7" customFormat="false" ht="12" hidden="false" customHeight="false" outlineLevel="0" collapsed="false">
      <c r="A7" s="158"/>
      <c r="B7" s="334" t="s">
        <v>387</v>
      </c>
      <c r="C7" s="170" t="n">
        <f aca="false">SUM(D7:O7)</f>
        <v>0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0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s="176" customFormat="true" ht="12" hidden="false" customHeight="false" outlineLevel="0" collapsed="false">
      <c r="A9" s="178"/>
      <c r="B9" s="333" t="s">
        <v>272</v>
      </c>
      <c r="C9" s="170" t="n">
        <f aca="false">SUM(D9:O9)</f>
        <v>0</v>
      </c>
      <c r="D9" s="170" t="n">
        <f aca="false">'Profit &amp; Loss Account'!C17</f>
        <v>0</v>
      </c>
      <c r="E9" s="170" t="n">
        <f aca="false">'Profit &amp; Loss Account'!D17</f>
        <v>0</v>
      </c>
      <c r="F9" s="170" t="n">
        <f aca="false">'Profit &amp; Loss Account'!E17</f>
        <v>0</v>
      </c>
      <c r="G9" s="170" t="n">
        <f aca="false">'Profit &amp; Loss Account'!F17</f>
        <v>0</v>
      </c>
      <c r="H9" s="170" t="n">
        <f aca="false">'Profit &amp; Loss Account'!G17</f>
        <v>0</v>
      </c>
      <c r="I9" s="170" t="n">
        <f aca="false">'Profit &amp; Loss Account'!H17</f>
        <v>0</v>
      </c>
      <c r="J9" s="170" t="n">
        <f aca="false">'Profit &amp; Loss Account'!I17</f>
        <v>0</v>
      </c>
      <c r="K9" s="170" t="n">
        <f aca="false">'Profit &amp; Loss Account'!J17</f>
        <v>0</v>
      </c>
      <c r="L9" s="170" t="n">
        <f aca="false">'Profit &amp; Loss Account'!K17</f>
        <v>0</v>
      </c>
      <c r="M9" s="170" t="n">
        <f aca="false">'Profit &amp; Loss Account'!L17</f>
        <v>0</v>
      </c>
      <c r="N9" s="170" t="n">
        <f aca="false">'Profit &amp; Loss Account'!M17</f>
        <v>0</v>
      </c>
      <c r="O9" s="170" t="n">
        <f aca="false">'Profit &amp; Loss Account'!N17</f>
        <v>0</v>
      </c>
      <c r="P9" s="178"/>
    </row>
    <row r="10" s="176" customFormat="tru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</row>
    <row r="11" s="176" customFormat="true" ht="12" hidden="false" customHeight="false" outlineLevel="0" collapsed="false">
      <c r="A11" s="178"/>
      <c r="B11" s="332" t="s">
        <v>273</v>
      </c>
      <c r="C11" s="170" t="n">
        <f aca="false">SUM(D11:O11)</f>
        <v>30000</v>
      </c>
      <c r="D11" s="170" t="n">
        <f aca="false">D5+D7-D9</f>
        <v>2500</v>
      </c>
      <c r="E11" s="170" t="n">
        <f aca="false">E5+E7-E9</f>
        <v>2500</v>
      </c>
      <c r="F11" s="170" t="n">
        <f aca="false">F5+F7-F9</f>
        <v>2500</v>
      </c>
      <c r="G11" s="170" t="n">
        <f aca="false">G5+G7-G9</f>
        <v>2500</v>
      </c>
      <c r="H11" s="170" t="n">
        <f aca="false">H5+H7-H9</f>
        <v>2500</v>
      </c>
      <c r="I11" s="170" t="n">
        <f aca="false">I5+I7-I9</f>
        <v>2500</v>
      </c>
      <c r="J11" s="170" t="n">
        <f aca="false">J5+J7-J9</f>
        <v>2500</v>
      </c>
      <c r="K11" s="170" t="n">
        <f aca="false">K5+K7-K9</f>
        <v>2500</v>
      </c>
      <c r="L11" s="170" t="n">
        <f aca="false">L5+L7-L9</f>
        <v>2500</v>
      </c>
      <c r="M11" s="170" t="n">
        <f aca="false">M5+M7-M9</f>
        <v>2500</v>
      </c>
      <c r="N11" s="170" t="n">
        <f aca="false">N5+N7-N9</f>
        <v>2500</v>
      </c>
      <c r="O11" s="170" t="n">
        <f aca="false">O5+O7-O9</f>
        <v>2500</v>
      </c>
      <c r="P11" s="178"/>
    </row>
    <row r="12" s="176" customFormat="tru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</row>
    <row r="13" customFormat="false" ht="12" hidden="false" customHeight="false" outlineLevel="0" collapsed="false">
      <c r="A13" s="158"/>
      <c r="B13" s="333" t="s">
        <v>388</v>
      </c>
      <c r="C13" s="170" t="n">
        <f aca="false">SUM(D13:O13)</f>
        <v>4200</v>
      </c>
      <c r="D13" s="170" t="n">
        <f aca="false">'Profit &amp; Loss Account'!C35</f>
        <v>120</v>
      </c>
      <c r="E13" s="170" t="n">
        <f aca="false">'Profit &amp; Loss Account'!D35</f>
        <v>600</v>
      </c>
      <c r="F13" s="170" t="n">
        <f aca="false">'Profit &amp; Loss Account'!E35</f>
        <v>0</v>
      </c>
      <c r="G13" s="170" t="n">
        <f aca="false">'Profit &amp; Loss Account'!F35</f>
        <v>480</v>
      </c>
      <c r="H13" s="170" t="n">
        <f aca="false">'Profit &amp; Loss Account'!G35</f>
        <v>300</v>
      </c>
      <c r="I13" s="170" t="n">
        <f aca="false">'Profit &amp; Loss Account'!H35</f>
        <v>0</v>
      </c>
      <c r="J13" s="170" t="n">
        <f aca="false">'Profit &amp; Loss Account'!I35</f>
        <v>600</v>
      </c>
      <c r="K13" s="170" t="n">
        <f aca="false">'Profit &amp; Loss Account'!J35</f>
        <v>120</v>
      </c>
      <c r="L13" s="170" t="n">
        <f aca="false">'Profit &amp; Loss Account'!K35</f>
        <v>0</v>
      </c>
      <c r="M13" s="170" t="n">
        <f aca="false">'Profit &amp; Loss Account'!L35</f>
        <v>480</v>
      </c>
      <c r="N13" s="170" t="n">
        <f aca="false">'Profit &amp; Loss Account'!M35</f>
        <v>600</v>
      </c>
      <c r="O13" s="170" t="n">
        <f aca="false">'Profit &amp; Loss Account'!N35</f>
        <v>900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289</v>
      </c>
      <c r="C15" s="170" t="n">
        <f aca="false">SUM(D15:O15)</f>
        <v>25800</v>
      </c>
      <c r="D15" s="170" t="n">
        <f aca="false">D11-D13</f>
        <v>2380</v>
      </c>
      <c r="E15" s="170" t="n">
        <f aca="false">E11-E13</f>
        <v>1900</v>
      </c>
      <c r="F15" s="170" t="n">
        <f aca="false">F11-F13</f>
        <v>2500</v>
      </c>
      <c r="G15" s="170" t="n">
        <f aca="false">G11-G13</f>
        <v>2020</v>
      </c>
      <c r="H15" s="170" t="n">
        <f aca="false">H11-H13</f>
        <v>2200</v>
      </c>
      <c r="I15" s="170" t="n">
        <f aca="false">I11-I13</f>
        <v>2500</v>
      </c>
      <c r="J15" s="170" t="n">
        <f aca="false">J11-J13</f>
        <v>1900</v>
      </c>
      <c r="K15" s="170" t="n">
        <f aca="false">K11-K13</f>
        <v>2380</v>
      </c>
      <c r="L15" s="170" t="n">
        <f aca="false">L11-L13</f>
        <v>2500</v>
      </c>
      <c r="M15" s="170" t="n">
        <f aca="false">M11-M13</f>
        <v>2020</v>
      </c>
      <c r="N15" s="170" t="n">
        <f aca="false">N11-N13</f>
        <v>1900</v>
      </c>
      <c r="O15" s="170" t="n">
        <f aca="false">O11-O13</f>
        <v>1600</v>
      </c>
      <c r="P15" s="158"/>
    </row>
    <row r="16" customFormat="false" ht="12" hidden="false" customHeight="false" outlineLevel="0" collapsed="false">
      <c r="A16" s="158"/>
      <c r="B16" s="334" t="s">
        <v>290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291</v>
      </c>
      <c r="C17" s="170" t="n">
        <f aca="false">SUM(D17:O17)</f>
        <v>25800</v>
      </c>
      <c r="D17" s="170" t="n">
        <f aca="false">D15+D16</f>
        <v>2380</v>
      </c>
      <c r="E17" s="170" t="n">
        <f aca="false">E15+E16</f>
        <v>1900</v>
      </c>
      <c r="F17" s="170" t="n">
        <f aca="false">F15+F16</f>
        <v>2500</v>
      </c>
      <c r="G17" s="170" t="n">
        <f aca="false">G15+G16</f>
        <v>2020</v>
      </c>
      <c r="H17" s="170" t="n">
        <f aca="false">H15+H16</f>
        <v>2200</v>
      </c>
      <c r="I17" s="170" t="n">
        <f aca="false">I15+I16</f>
        <v>2500</v>
      </c>
      <c r="J17" s="170" t="n">
        <f aca="false">J15+J16</f>
        <v>1900</v>
      </c>
      <c r="K17" s="170" t="n">
        <f aca="false">K15+K16</f>
        <v>2380</v>
      </c>
      <c r="L17" s="170" t="n">
        <f aca="false">L15+L16</f>
        <v>2500</v>
      </c>
      <c r="M17" s="170" t="n">
        <f aca="false">M15+M16</f>
        <v>2020</v>
      </c>
      <c r="N17" s="170" t="n">
        <f aca="false">N15+N16</f>
        <v>1900</v>
      </c>
      <c r="O17" s="170" t="n">
        <f aca="false">O15+O16</f>
        <v>1600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389</v>
      </c>
      <c r="C19" s="161" t="s">
        <v>261</v>
      </c>
      <c r="D19" s="162" t="n">
        <f aca="false">D2</f>
        <v>43951</v>
      </c>
      <c r="E19" s="162" t="n">
        <f aca="false">E2</f>
        <v>43982</v>
      </c>
      <c r="F19" s="162" t="n">
        <f aca="false">F2</f>
        <v>44012</v>
      </c>
      <c r="G19" s="162" t="n">
        <f aca="false">G2</f>
        <v>44043</v>
      </c>
      <c r="H19" s="162" t="n">
        <f aca="false">H2</f>
        <v>44074</v>
      </c>
      <c r="I19" s="162" t="n">
        <f aca="false">I2</f>
        <v>44104</v>
      </c>
      <c r="J19" s="162" t="n">
        <f aca="false">J2</f>
        <v>44135</v>
      </c>
      <c r="K19" s="162" t="n">
        <f aca="false">K2</f>
        <v>44165</v>
      </c>
      <c r="L19" s="162" t="n">
        <f aca="false">L2</f>
        <v>44196</v>
      </c>
      <c r="M19" s="162" t="n">
        <f aca="false">M2</f>
        <v>44227</v>
      </c>
      <c r="N19" s="162" t="n">
        <f aca="false">N2</f>
        <v>44255</v>
      </c>
      <c r="O19" s="162" t="n">
        <f aca="false">O2</f>
        <v>44286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44291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s="176" customFormat="true" ht="12" hidden="false" customHeight="false" outlineLevel="0" collapsed="false">
      <c r="A22" s="178"/>
      <c r="B22" s="332" t="s">
        <v>266</v>
      </c>
      <c r="C22" s="170" t="n">
        <f aca="false">SUM(D22:O22)</f>
        <v>30000</v>
      </c>
      <c r="D22" s="170" t="n">
        <f aca="false">IF(C5&gt;0,IF(D5&gt;0,D5,C5/C21),0)</f>
        <v>2500</v>
      </c>
      <c r="E22" s="170" t="n">
        <f aca="false">IF(C5&gt;0,IF(E5&gt;0,E5,C5/C21),0)</f>
        <v>2500</v>
      </c>
      <c r="F22" s="170" t="n">
        <f aca="false">IF(C5&gt;0,IF(F5&gt;0,F5,C5/C21),0)</f>
        <v>2500</v>
      </c>
      <c r="G22" s="170" t="n">
        <f aca="false">IF(C5&gt;0,IF(G5&gt;0,G5,C5/C21),0)</f>
        <v>2500</v>
      </c>
      <c r="H22" s="170" t="n">
        <f aca="false">IF(C5&gt;0,IF(H5&gt;0,H5,C5/C21),0)</f>
        <v>2500</v>
      </c>
      <c r="I22" s="170" t="n">
        <f aca="false">IF(C5&gt;0,IF(I5&gt;0,I5,C5/C21),0)</f>
        <v>2500</v>
      </c>
      <c r="J22" s="170" t="n">
        <f aca="false">IF(C5&gt;0,IF(J5&gt;0,J5,C5/C21),0)</f>
        <v>2500</v>
      </c>
      <c r="K22" s="170" t="n">
        <f aca="false">IF(C5&gt;0,IF(K5&gt;0,K5,C5/C21),0)</f>
        <v>2500</v>
      </c>
      <c r="L22" s="170" t="n">
        <f aca="false">IF(C5&gt;0,IF(L5&gt;0,L5,C5/C21),0)</f>
        <v>2500</v>
      </c>
      <c r="M22" s="170" t="n">
        <f aca="false">IF(C5&gt;0,IF(M5&gt;0,M5,C5/C21),0)</f>
        <v>2500</v>
      </c>
      <c r="N22" s="170" t="n">
        <f aca="false">IF(C5&gt;0,IF(N5&gt;0,N5,C5/C21),0)</f>
        <v>2500</v>
      </c>
      <c r="O22" s="170" t="n">
        <f aca="false">IF(C5&gt;0,IF(O5&gt;0,O5,C5/C21),0)</f>
        <v>2500</v>
      </c>
      <c r="P22" s="178"/>
    </row>
    <row r="23" s="176" customFormat="tru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</row>
    <row r="24" customFormat="false" ht="12" hidden="false" customHeight="false" outlineLevel="0" collapsed="false">
      <c r="A24" s="158"/>
      <c r="B24" s="334" t="s">
        <v>387</v>
      </c>
      <c r="C24" s="170" t="n">
        <f aca="false">SUM(D24:O24)</f>
        <v>0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0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s="176" customFormat="true" ht="12" hidden="false" customHeight="false" outlineLevel="0" collapsed="false">
      <c r="A26" s="178"/>
      <c r="B26" s="333" t="s">
        <v>272</v>
      </c>
      <c r="C26" s="170" t="n">
        <f aca="false">SUM(D26:O26)</f>
        <v>0</v>
      </c>
      <c r="D26" s="170" t="n">
        <f aca="false">IF(C5&gt;0,IF(D5&gt;0,D9,C9/C21),0)</f>
        <v>0</v>
      </c>
      <c r="E26" s="170" t="n">
        <f aca="false">IF(C5&gt;0,IF(E5&gt;0,E9,C9/C21),0)</f>
        <v>0</v>
      </c>
      <c r="F26" s="170" t="n">
        <f aca="false">IF(C5&gt;0,IF(F5&gt;0,F9,C9/C21),0)</f>
        <v>0</v>
      </c>
      <c r="G26" s="170" t="n">
        <f aca="false">IF(C5&gt;0,IF(G5&gt;0,G9,C9/C21),0)</f>
        <v>0</v>
      </c>
      <c r="H26" s="170" t="n">
        <f aca="false">IF(C5&gt;0,IF(H5&gt;0,H9,C9/C21),0)</f>
        <v>0</v>
      </c>
      <c r="I26" s="170" t="n">
        <f aca="false">IF(C5&gt;0,IF(I5&gt;0,I9,C9/C21),0)</f>
        <v>0</v>
      </c>
      <c r="J26" s="170" t="n">
        <f aca="false">IF(C5&gt;0,IF(J5&gt;0,J9,C9/C21),0)</f>
        <v>0</v>
      </c>
      <c r="K26" s="170" t="n">
        <f aca="false">IF(C5&gt;0,IF(K5&gt;0,K9,C9/C21),0)</f>
        <v>0</v>
      </c>
      <c r="L26" s="170" t="n">
        <f aca="false">IF(C5&gt;0,IF(L5&gt;0,L9,C9/C21),0)</f>
        <v>0</v>
      </c>
      <c r="M26" s="170" t="n">
        <f aca="false">IF(C5&gt;0,IF(M5&gt;0,M9,C9/C21),0)</f>
        <v>0</v>
      </c>
      <c r="N26" s="170" t="n">
        <f aca="false">IF(C5&gt;0,IF(N5&gt;0,N9,C9/C21),0)</f>
        <v>0</v>
      </c>
      <c r="O26" s="170" t="n">
        <f aca="false">IF(C5&gt;0,IF(O5&gt;0,O9,C9/C21),0)</f>
        <v>0</v>
      </c>
      <c r="P26" s="178"/>
    </row>
    <row r="27" s="176" customFormat="tru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</row>
    <row r="28" s="176" customFormat="true" ht="12" hidden="false" customHeight="false" outlineLevel="0" collapsed="false">
      <c r="A28" s="178"/>
      <c r="B28" s="332" t="s">
        <v>273</v>
      </c>
      <c r="C28" s="170" t="n">
        <f aca="false">SUM(D28:O28)</f>
        <v>30000</v>
      </c>
      <c r="D28" s="170" t="n">
        <f aca="false">D22+D24-D26</f>
        <v>2500</v>
      </c>
      <c r="E28" s="170" t="n">
        <f aca="false">E22+E24-E26</f>
        <v>2500</v>
      </c>
      <c r="F28" s="170" t="n">
        <f aca="false">F22+F24-F26</f>
        <v>2500</v>
      </c>
      <c r="G28" s="170" t="n">
        <f aca="false">G22+G24-G26</f>
        <v>2500</v>
      </c>
      <c r="H28" s="170" t="n">
        <f aca="false">H22+H24-H26</f>
        <v>2500</v>
      </c>
      <c r="I28" s="170" t="n">
        <f aca="false">I22+I24-I26</f>
        <v>2500</v>
      </c>
      <c r="J28" s="170" t="n">
        <f aca="false">J22+J24-J26</f>
        <v>2500</v>
      </c>
      <c r="K28" s="170" t="n">
        <f aca="false">K22+K24-K26</f>
        <v>2500</v>
      </c>
      <c r="L28" s="170" t="n">
        <f aca="false">L22+L24-L26</f>
        <v>2500</v>
      </c>
      <c r="M28" s="170" t="n">
        <f aca="false">M22+M24-M26</f>
        <v>2500</v>
      </c>
      <c r="N28" s="170" t="n">
        <f aca="false">N22+N24-N26</f>
        <v>2500</v>
      </c>
      <c r="O28" s="170" t="n">
        <f aca="false">O22+O24-O26</f>
        <v>2500</v>
      </c>
      <c r="P28" s="178"/>
    </row>
    <row r="29" s="176" customFormat="tru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</row>
    <row r="30" customFormat="false" ht="12" hidden="false" customHeight="false" outlineLevel="0" collapsed="false">
      <c r="A30" s="158"/>
      <c r="B30" s="333" t="s">
        <v>388</v>
      </c>
      <c r="C30" s="170" t="n">
        <f aca="false">SUM(D30:O30)</f>
        <v>4200</v>
      </c>
      <c r="D30" s="170" t="n">
        <f aca="false">IF(C5&gt;0,IF(D5&gt;0,D13,C13/C21),0)</f>
        <v>120</v>
      </c>
      <c r="E30" s="170" t="n">
        <f aca="false">IF(C5&gt;0,IF(E5&gt;0,E13,C13/C21),0)</f>
        <v>600</v>
      </c>
      <c r="F30" s="170" t="n">
        <f aca="false">IF(C5&gt;0,IF(F5&gt;0,F13,C13/C21),0)</f>
        <v>0</v>
      </c>
      <c r="G30" s="170" t="n">
        <f aca="false">IF(C5&gt;0,IF(G5&gt;0,G13,C13/C21),0)</f>
        <v>480</v>
      </c>
      <c r="H30" s="170" t="n">
        <f aca="false">IF(C5&gt;0,IF(H5&gt;0,H13,C13/C21),0)</f>
        <v>300</v>
      </c>
      <c r="I30" s="170" t="n">
        <f aca="false">IF(C5&gt;0,IF(I5&gt;0,I13,C13/C21),0)</f>
        <v>0</v>
      </c>
      <c r="J30" s="170" t="n">
        <f aca="false">IF(C5&gt;0,IF(J5&gt;0,J13,C13/C21),0)</f>
        <v>600</v>
      </c>
      <c r="K30" s="170" t="n">
        <f aca="false">IF(C5&gt;0,IF(K5&gt;0,K13,C13/C21),0)</f>
        <v>120</v>
      </c>
      <c r="L30" s="170" t="n">
        <f aca="false">IF(C5&gt;0,IF(L5&gt;0,L13,C13/C21),0)</f>
        <v>0</v>
      </c>
      <c r="M30" s="170" t="n">
        <f aca="false">IF(C5&gt;0,IF(M5&gt;0,M13,C13/C21),0)</f>
        <v>480</v>
      </c>
      <c r="N30" s="170" t="n">
        <f aca="false">IF(C5&gt;0,IF(N5&gt;0,N13,C13/C21),0)</f>
        <v>600</v>
      </c>
      <c r="O30" s="170" t="n">
        <f aca="false">IF(C5&gt;0,IF(O5&gt;0,O13,C13/C21),0)</f>
        <v>900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289</v>
      </c>
      <c r="C32" s="170" t="n">
        <f aca="false">SUM(D32:O32)</f>
        <v>25800</v>
      </c>
      <c r="D32" s="170" t="n">
        <f aca="false">D28-D30</f>
        <v>2380</v>
      </c>
      <c r="E32" s="170" t="n">
        <f aca="false">E28-E30</f>
        <v>1900</v>
      </c>
      <c r="F32" s="170" t="n">
        <f aca="false">F28-F30</f>
        <v>2500</v>
      </c>
      <c r="G32" s="170" t="n">
        <f aca="false">G28-G30</f>
        <v>2020</v>
      </c>
      <c r="H32" s="170" t="n">
        <f aca="false">H28-H30</f>
        <v>2200</v>
      </c>
      <c r="I32" s="170" t="n">
        <f aca="false">I28-I30</f>
        <v>2500</v>
      </c>
      <c r="J32" s="170" t="n">
        <f aca="false">J28-J30</f>
        <v>1900</v>
      </c>
      <c r="K32" s="170" t="n">
        <f aca="false">K28-K30</f>
        <v>2380</v>
      </c>
      <c r="L32" s="170" t="n">
        <f aca="false">L28-L30</f>
        <v>2500</v>
      </c>
      <c r="M32" s="170" t="n">
        <f aca="false">M28-M30</f>
        <v>2020</v>
      </c>
      <c r="N32" s="170" t="n">
        <f aca="false">N28-N30</f>
        <v>1900</v>
      </c>
      <c r="O32" s="170" t="n">
        <f aca="false">O28-O30</f>
        <v>1600</v>
      </c>
      <c r="P32" s="158"/>
    </row>
    <row r="33" customFormat="false" ht="12" hidden="false" customHeight="false" outlineLevel="0" collapsed="false">
      <c r="A33" s="158"/>
      <c r="B33" s="334" t="s">
        <v>290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291</v>
      </c>
      <c r="C34" s="170" t="n">
        <f aca="false">SUM(D34:O34)</f>
        <v>25800</v>
      </c>
      <c r="D34" s="170" t="n">
        <f aca="false">D32+D33</f>
        <v>2380</v>
      </c>
      <c r="E34" s="170" t="n">
        <f aca="false">E32+E33</f>
        <v>1900</v>
      </c>
      <c r="F34" s="170" t="n">
        <f aca="false">F32+F33</f>
        <v>2500</v>
      </c>
      <c r="G34" s="170" t="n">
        <f aca="false">G32+G33</f>
        <v>2020</v>
      </c>
      <c r="H34" s="170" t="n">
        <f aca="false">H32+H33</f>
        <v>2200</v>
      </c>
      <c r="I34" s="170" t="n">
        <f aca="false">I32+I33</f>
        <v>2500</v>
      </c>
      <c r="J34" s="170" t="n">
        <f aca="false">J32+J33</f>
        <v>1900</v>
      </c>
      <c r="K34" s="170" t="n">
        <f aca="false">K32+K33</f>
        <v>2380</v>
      </c>
      <c r="L34" s="170" t="n">
        <f aca="false">L32+L33</f>
        <v>2500</v>
      </c>
      <c r="M34" s="170" t="n">
        <f aca="false">M32+M33</f>
        <v>2020</v>
      </c>
      <c r="N34" s="170" t="n">
        <f aca="false">N32+N33</f>
        <v>1900</v>
      </c>
      <c r="O34" s="170" t="n">
        <f aca="false">O32+O33</f>
        <v>1600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390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391</v>
      </c>
      <c r="C37" s="339" t="n">
        <f aca="false">'Profit &amp; Loss Account'!B33+'Profit &amp; Loss Account'!B34</f>
        <v>0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392</v>
      </c>
      <c r="C38" s="339" t="n">
        <f aca="false">[1]Schedule!$Q$1+[1]Schedule!$R$1+[1]Schedule!$Y$1-[1]Schedule!$Z$1</f>
        <v>0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393</v>
      </c>
      <c r="C39" s="339" t="n">
        <f aca="false">C34+C37-C38</f>
        <v>25800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394</v>
      </c>
      <c r="C40" s="339" t="n">
        <f aca="false">Admin!N$4</f>
        <v>12500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395</v>
      </c>
      <c r="C41" s="339" t="n">
        <f aca="false">IF((C39&gt;C40),(C39-C40),0)</f>
        <v>13300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396</v>
      </c>
      <c r="C42" s="339" t="n">
        <f aca="false">IF((C41&gt;0),(IF((C41&lt;Admin!N$12),C41*Admin!N$6,Admin!N$12*Admin!N$6)),0)</f>
        <v>2660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397</v>
      </c>
      <c r="C43" s="339" t="n">
        <f aca="false">IF((C41&gt;Admin!N$12),((C41-Admin!N$12)*Admin!N$7),0)</f>
        <v>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398</v>
      </c>
      <c r="C44" s="339" t="n">
        <f aca="false">IF((C41&gt;0),IF(C41&gt;Admin!N12,Admin!N12*Admin!L20+(C41-Admin!N12)*Admin!L23,C41*Admin!L$20),0)</f>
        <v>1197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6" hidden="false" customHeight="true" outlineLevel="0" collapsed="false">
      <c r="A45" s="158"/>
      <c r="B45" s="182"/>
      <c r="C45" s="339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399</v>
      </c>
      <c r="C46" s="341" t="n">
        <f aca="false">C42+C43+C44</f>
        <v>3857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400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43890</v>
      </c>
      <c r="C2" s="63"/>
      <c r="D2" s="348" t="s">
        <v>401</v>
      </c>
      <c r="E2" s="348"/>
      <c r="F2" s="348"/>
      <c r="G2" s="349" t="str">
        <f aca="false">B23</f>
        <v>2020-21</v>
      </c>
      <c r="H2" s="63"/>
      <c r="I2" s="63"/>
      <c r="J2" s="350" t="s">
        <v>402</v>
      </c>
      <c r="K2" s="350"/>
      <c r="L2" s="351" t="str">
        <f aca="false">G2</f>
        <v>2020-21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43921</v>
      </c>
      <c r="C3" s="63"/>
      <c r="D3" s="63"/>
      <c r="E3" s="63"/>
      <c r="F3" s="63"/>
      <c r="G3" s="352"/>
      <c r="H3" s="63"/>
      <c r="I3" s="63"/>
      <c r="J3" s="353"/>
      <c r="K3" s="353"/>
      <c r="L3" s="346"/>
      <c r="M3" s="63"/>
      <c r="N3" s="63"/>
      <c r="O3" s="63"/>
    </row>
    <row r="4" customFormat="false" ht="12" hidden="false" customHeight="true" outlineLevel="0" collapsed="false">
      <c r="A4" s="63"/>
      <c r="B4" s="354" t="n">
        <v>43927</v>
      </c>
      <c r="C4" s="63"/>
      <c r="D4" s="355" t="s">
        <v>81</v>
      </c>
      <c r="E4" s="355"/>
      <c r="F4" s="355"/>
      <c r="G4" s="356" t="n">
        <v>1</v>
      </c>
      <c r="H4" s="63"/>
      <c r="I4" s="355" t="s">
        <v>403</v>
      </c>
      <c r="J4" s="355"/>
      <c r="K4" s="355"/>
      <c r="L4" s="355"/>
      <c r="M4" s="355"/>
      <c r="N4" s="357" t="n">
        <v>12500</v>
      </c>
      <c r="O4" s="352" t="s">
        <v>32</v>
      </c>
    </row>
    <row r="5" customFormat="false" ht="12" hidden="false" customHeight="true" outlineLevel="0" collapsed="false">
      <c r="A5" s="63"/>
      <c r="B5" s="347" t="n">
        <v>43951</v>
      </c>
      <c r="C5" s="63"/>
      <c r="D5" s="355" t="s">
        <v>404</v>
      </c>
      <c r="E5" s="355"/>
      <c r="F5" s="355"/>
      <c r="G5" s="356" t="n">
        <v>0.18</v>
      </c>
      <c r="H5" s="63"/>
      <c r="I5" s="63"/>
      <c r="J5" s="63"/>
      <c r="K5" s="63"/>
      <c r="L5" s="63"/>
      <c r="M5" s="63"/>
      <c r="N5" s="352"/>
      <c r="O5" s="352"/>
    </row>
    <row r="6" customFormat="false" ht="12" hidden="false" customHeight="true" outlineLevel="0" collapsed="false">
      <c r="A6" s="63"/>
      <c r="B6" s="347" t="n">
        <v>43982</v>
      </c>
      <c r="C6" s="63"/>
      <c r="D6" s="63"/>
      <c r="E6" s="63"/>
      <c r="F6" s="63"/>
      <c r="G6" s="352"/>
      <c r="H6" s="63"/>
      <c r="I6" s="355" t="s">
        <v>405</v>
      </c>
      <c r="J6" s="355"/>
      <c r="K6" s="355"/>
      <c r="L6" s="355"/>
      <c r="M6" s="355"/>
      <c r="N6" s="356" t="n">
        <v>0.2</v>
      </c>
      <c r="O6" s="352" t="s">
        <v>406</v>
      </c>
    </row>
    <row r="7" customFormat="false" ht="12" hidden="false" customHeight="true" outlineLevel="0" collapsed="false">
      <c r="A7" s="63"/>
      <c r="B7" s="347" t="n">
        <v>44012</v>
      </c>
      <c r="C7" s="63"/>
      <c r="D7" s="355" t="s">
        <v>407</v>
      </c>
      <c r="E7" s="355"/>
      <c r="F7" s="355"/>
      <c r="G7" s="352"/>
      <c r="H7" s="63"/>
      <c r="I7" s="355" t="s">
        <v>408</v>
      </c>
      <c r="J7" s="355"/>
      <c r="K7" s="355"/>
      <c r="L7" s="355"/>
      <c r="M7" s="355"/>
      <c r="N7" s="356" t="n">
        <v>0.4</v>
      </c>
      <c r="O7" s="352" t="s">
        <v>406</v>
      </c>
    </row>
    <row r="8" customFormat="false" ht="12" hidden="false" customHeight="true" outlineLevel="0" collapsed="false">
      <c r="A8" s="63"/>
      <c r="B8" s="347" t="n">
        <v>44043</v>
      </c>
      <c r="C8" s="63"/>
      <c r="D8" s="63" t="s">
        <v>409</v>
      </c>
      <c r="E8" s="358" t="n">
        <v>12000</v>
      </c>
      <c r="F8" s="63" t="s">
        <v>410</v>
      </c>
      <c r="G8" s="358" t="n">
        <v>3000</v>
      </c>
      <c r="H8" s="63"/>
      <c r="I8" s="63"/>
      <c r="J8" s="63"/>
      <c r="K8" s="63"/>
      <c r="L8" s="63"/>
      <c r="M8" s="63"/>
      <c r="N8" s="352"/>
      <c r="O8" s="352"/>
    </row>
    <row r="9" customFormat="false" ht="12" hidden="false" customHeight="true" outlineLevel="0" collapsed="false">
      <c r="A9" s="63"/>
      <c r="B9" s="347" t="n">
        <v>44074</v>
      </c>
      <c r="C9" s="63"/>
      <c r="D9" s="63"/>
      <c r="E9" s="352"/>
      <c r="F9" s="63"/>
      <c r="G9" s="352"/>
      <c r="H9" s="63"/>
      <c r="I9" s="355" t="s">
        <v>411</v>
      </c>
      <c r="J9" s="355"/>
      <c r="K9" s="355"/>
      <c r="L9" s="359" t="s">
        <v>412</v>
      </c>
      <c r="M9" s="359" t="s">
        <v>413</v>
      </c>
      <c r="N9" s="360" t="s">
        <v>414</v>
      </c>
      <c r="O9" s="352"/>
    </row>
    <row r="10" customFormat="false" ht="12" hidden="false" customHeight="true" outlineLevel="0" collapsed="false">
      <c r="A10" s="63"/>
      <c r="B10" s="347" t="n">
        <v>44104</v>
      </c>
      <c r="C10" s="63"/>
      <c r="D10" s="63"/>
      <c r="E10" s="352"/>
      <c r="F10" s="63"/>
      <c r="G10" s="352"/>
      <c r="H10" s="63"/>
      <c r="I10" s="63"/>
      <c r="J10" s="63"/>
      <c r="K10" s="63"/>
      <c r="L10" s="63"/>
      <c r="M10" s="63"/>
      <c r="N10" s="352"/>
      <c r="O10" s="352"/>
    </row>
    <row r="11" customFormat="false" ht="12" hidden="false" customHeight="true" outlineLevel="0" collapsed="false">
      <c r="A11" s="63"/>
      <c r="B11" s="347" t="n">
        <v>44135</v>
      </c>
      <c r="C11" s="63"/>
      <c r="D11" s="348" t="s">
        <v>415</v>
      </c>
      <c r="E11" s="348"/>
      <c r="F11" s="348"/>
      <c r="G11" s="352" t="s">
        <v>406</v>
      </c>
      <c r="H11" s="63"/>
      <c r="I11" s="63" t="s">
        <v>416</v>
      </c>
      <c r="J11" s="63"/>
      <c r="K11" s="361" t="n">
        <v>0.2</v>
      </c>
      <c r="L11" s="352" t="n">
        <f aca="false">N11</f>
        <v>0</v>
      </c>
      <c r="M11" s="352" t="n">
        <v>37500</v>
      </c>
      <c r="N11" s="358" t="n">
        <v>0</v>
      </c>
      <c r="O11" s="352"/>
    </row>
    <row r="12" customFormat="false" ht="12" hidden="false" customHeight="true" outlineLevel="0" collapsed="false">
      <c r="A12" s="63"/>
      <c r="B12" s="347" t="n">
        <v>44165</v>
      </c>
      <c r="C12" s="63"/>
      <c r="D12" s="63"/>
      <c r="E12" s="63"/>
      <c r="F12" s="63"/>
      <c r="G12" s="352"/>
      <c r="H12" s="63"/>
      <c r="I12" s="63" t="s">
        <v>417</v>
      </c>
      <c r="J12" s="63"/>
      <c r="K12" s="361" t="n">
        <v>0</v>
      </c>
      <c r="L12" s="352" t="n">
        <v>37501</v>
      </c>
      <c r="M12" s="63"/>
      <c r="N12" s="358" t="n">
        <v>37501</v>
      </c>
      <c r="O12" s="352"/>
    </row>
    <row r="13" customFormat="false" ht="12" hidden="false" customHeight="true" outlineLevel="0" collapsed="false">
      <c r="A13" s="63"/>
      <c r="B13" s="347" t="n">
        <v>44196</v>
      </c>
      <c r="C13" s="63"/>
      <c r="D13" s="355" t="s">
        <v>418</v>
      </c>
      <c r="E13" s="355"/>
      <c r="F13" s="355"/>
      <c r="G13" s="356" t="n">
        <v>0</v>
      </c>
      <c r="H13" s="63"/>
      <c r="I13" s="63"/>
      <c r="J13" s="63"/>
      <c r="K13" s="63"/>
      <c r="L13" s="63"/>
      <c r="M13" s="63"/>
      <c r="N13" s="63"/>
      <c r="O13" s="63"/>
    </row>
    <row r="14" customFormat="false" ht="12" hidden="false" customHeight="true" outlineLevel="0" collapsed="false">
      <c r="A14" s="63"/>
      <c r="B14" s="347" t="n">
        <v>44227</v>
      </c>
      <c r="C14" s="63"/>
      <c r="D14" s="355" t="s">
        <v>419</v>
      </c>
      <c r="E14" s="355"/>
      <c r="F14" s="355"/>
      <c r="G14" s="356" t="n">
        <v>0.1</v>
      </c>
      <c r="H14" s="63"/>
      <c r="I14" s="348" t="s">
        <v>420</v>
      </c>
      <c r="J14" s="348"/>
      <c r="K14" s="348"/>
      <c r="L14" s="351" t="str">
        <f aca="false">G2</f>
        <v>2020-21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44255</v>
      </c>
      <c r="C15" s="63"/>
      <c r="D15" s="355" t="s">
        <v>421</v>
      </c>
      <c r="E15" s="355"/>
      <c r="F15" s="355"/>
      <c r="G15" s="356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44286</v>
      </c>
      <c r="C16" s="63"/>
      <c r="D16" s="355" t="s">
        <v>422</v>
      </c>
      <c r="E16" s="355"/>
      <c r="F16" s="355"/>
      <c r="G16" s="356" t="n">
        <v>0.33</v>
      </c>
      <c r="H16" s="63"/>
      <c r="I16" s="355" t="s">
        <v>423</v>
      </c>
      <c r="J16" s="355"/>
      <c r="K16" s="355"/>
      <c r="L16" s="362" t="n">
        <v>3.05</v>
      </c>
      <c r="M16" s="63" t="s">
        <v>424</v>
      </c>
      <c r="N16" s="63"/>
      <c r="O16" s="63"/>
    </row>
    <row r="17" customFormat="false" ht="12" hidden="false" customHeight="true" outlineLevel="0" collapsed="false">
      <c r="A17" s="63"/>
      <c r="B17" s="354" t="n">
        <v>44291</v>
      </c>
      <c r="C17" s="63"/>
      <c r="D17" s="355" t="s">
        <v>425</v>
      </c>
      <c r="E17" s="355"/>
      <c r="F17" s="355"/>
      <c r="G17" s="356" t="n">
        <v>0.25</v>
      </c>
      <c r="H17" s="63"/>
      <c r="I17" s="63"/>
      <c r="J17" s="63"/>
      <c r="K17" s="63"/>
      <c r="L17" s="363"/>
      <c r="M17" s="63"/>
      <c r="N17" s="63"/>
      <c r="O17" s="63"/>
    </row>
    <row r="18" customFormat="false" ht="12" hidden="false" customHeight="true" outlineLevel="0" collapsed="false">
      <c r="A18" s="63"/>
      <c r="B18" s="347" t="n">
        <v>44316</v>
      </c>
      <c r="C18" s="63"/>
      <c r="D18" s="63"/>
      <c r="E18" s="63"/>
      <c r="F18" s="63"/>
      <c r="G18" s="352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44347</v>
      </c>
      <c r="C19" s="63"/>
      <c r="D19" s="348" t="s">
        <v>426</v>
      </c>
      <c r="E19" s="348"/>
      <c r="F19" s="352" t="s">
        <v>427</v>
      </c>
      <c r="G19" s="352" t="s">
        <v>428</v>
      </c>
      <c r="H19" s="63"/>
      <c r="I19" s="364" t="s">
        <v>429</v>
      </c>
      <c r="J19" s="364"/>
      <c r="K19" s="364"/>
      <c r="L19" s="63"/>
      <c r="M19" s="365" t="s">
        <v>430</v>
      </c>
      <c r="N19" s="63"/>
      <c r="O19" s="63"/>
    </row>
    <row r="20" customFormat="false" ht="12" hidden="false" customHeight="true" outlineLevel="0" collapsed="false">
      <c r="A20" s="63"/>
      <c r="B20" s="347" t="n">
        <v>44377</v>
      </c>
      <c r="C20" s="63"/>
      <c r="D20" s="346"/>
      <c r="E20" s="346"/>
      <c r="F20" s="352"/>
      <c r="G20" s="352"/>
      <c r="H20" s="63"/>
      <c r="I20" s="364"/>
      <c r="J20" s="364"/>
      <c r="K20" s="364"/>
      <c r="L20" s="366" t="n">
        <v>0.09</v>
      </c>
      <c r="M20" s="365"/>
      <c r="N20" s="358" t="n">
        <v>9500</v>
      </c>
      <c r="O20" s="352" t="s">
        <v>32</v>
      </c>
    </row>
    <row r="21" customFormat="false" ht="12" hidden="false" customHeight="true" outlineLevel="0" collapsed="false">
      <c r="A21" s="63"/>
      <c r="B21" s="347" t="n">
        <v>44592</v>
      </c>
      <c r="C21" s="63"/>
      <c r="D21" s="355" t="s">
        <v>431</v>
      </c>
      <c r="E21" s="355"/>
      <c r="F21" s="358" t="n">
        <v>10000</v>
      </c>
      <c r="G21" s="362" t="n">
        <v>0.45</v>
      </c>
      <c r="H21" s="63"/>
      <c r="I21" s="367"/>
      <c r="J21" s="367"/>
      <c r="K21" s="367"/>
      <c r="L21" s="361"/>
      <c r="M21" s="63"/>
      <c r="N21" s="63"/>
      <c r="O21" s="63"/>
    </row>
    <row r="22" customFormat="false" ht="12" hidden="false" customHeight="true" outlineLevel="0" collapsed="false">
      <c r="A22" s="63"/>
      <c r="B22" s="347" t="n">
        <v>44773</v>
      </c>
      <c r="C22" s="63"/>
      <c r="D22" s="63" t="s">
        <v>432</v>
      </c>
      <c r="E22" s="63"/>
      <c r="F22" s="358" t="n">
        <v>10001</v>
      </c>
      <c r="G22" s="362" t="n">
        <v>0.25</v>
      </c>
      <c r="H22" s="63"/>
      <c r="I22" s="364" t="s">
        <v>433</v>
      </c>
      <c r="J22" s="364"/>
      <c r="K22" s="364"/>
      <c r="L22" s="63"/>
      <c r="M22" s="365" t="s">
        <v>434</v>
      </c>
      <c r="N22" s="63"/>
      <c r="O22" s="63"/>
    </row>
    <row r="23" customFormat="false" ht="12" hidden="false" customHeight="true" outlineLevel="0" collapsed="false">
      <c r="A23" s="63"/>
      <c r="B23" s="354" t="s">
        <v>435</v>
      </c>
      <c r="C23" s="63"/>
      <c r="D23" s="63"/>
      <c r="E23" s="63"/>
      <c r="F23" s="352"/>
      <c r="G23" s="363"/>
      <c r="H23" s="63"/>
      <c r="I23" s="364"/>
      <c r="J23" s="364"/>
      <c r="K23" s="364"/>
      <c r="L23" s="366" t="n">
        <v>0.02</v>
      </c>
      <c r="M23" s="365"/>
      <c r="N23" s="358" t="n">
        <v>50000</v>
      </c>
      <c r="O23" s="352" t="s">
        <v>32</v>
      </c>
    </row>
    <row r="24" customFormat="false" ht="12" hidden="false" customHeight="true" outlineLevel="0" collapsed="false">
      <c r="A24" s="63"/>
      <c r="B24" s="354" t="s">
        <v>436</v>
      </c>
      <c r="C24" s="63"/>
      <c r="D24" s="348" t="s">
        <v>426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68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8"/>
      <c r="C26" s="63"/>
      <c r="D26" s="355" t="s">
        <v>437</v>
      </c>
      <c r="E26" s="355"/>
      <c r="F26" s="358" t="n">
        <v>85000</v>
      </c>
      <c r="G26" s="352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8"/>
      <c r="C27" s="63"/>
      <c r="D27" s="63" t="s">
        <v>438</v>
      </c>
      <c r="E27" s="63"/>
      <c r="F27" s="356" t="n">
        <v>0.2</v>
      </c>
      <c r="G27" s="352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8"/>
      <c r="C28" s="63"/>
      <c r="D28" s="63"/>
      <c r="E28" s="63"/>
      <c r="F28" s="63"/>
      <c r="G28" s="352"/>
      <c r="H28" s="63"/>
      <c r="I28" s="63"/>
      <c r="J28" s="63"/>
      <c r="K28" s="63"/>
      <c r="L28" s="63"/>
      <c r="M28" s="63"/>
      <c r="N28" s="63"/>
      <c r="O28" s="63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