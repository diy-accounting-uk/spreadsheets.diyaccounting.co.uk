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Template" sheetId="1" state="visible" r:id="rId3"/>
    <sheet name="Invoice Database" sheetId="2" state="visible" r:id="rId4"/>
    <sheet name="Customer Details" sheetId="3" state="visible" r:id="rId5"/>
    <sheet name="Product Details" sheetId="4" state="visible" r:id="rId6"/>
    <sheet name="Business Details" sheetId="5" state="visible" r:id="rId7"/>
  </sheets>
  <definedNames>
    <definedName function="false" hidden="false" localSheetId="0" name="_xlnm.Print_Area" vbProcedure="false">'Invoice Template'!$A$1:$S$70</definedName>
    <definedName function="false" hidden="false" localSheetId="0" name="_xlnm_Print_Area" vbProcedure="false">'Invoice Template'!$A$1:$S$70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Avoid typing directly into the "Invoice Template" sheet - all customer and product data should be pulled from the Customer and Product Details sheets.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0</xdr:row>
                <xdr:rowOff>10</xdr:rowOff>
              </xdr:from>
              <xdr:to>
                <xdr:col>19</xdr:col>
                <xdr:colOff>15</xdr:colOff>
                <xdr:row>5</xdr:row>
                <xdr:rowOff>0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Use a new line the "Invoice Database" for each invoice but only have a "1" in column A for one row at a time.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4</xdr:col>
                <xdr:colOff>52</xdr:colOff>
                <xdr:row>3</xdr:row>
                <xdr:rowOff>0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Sales Invoice Number should be entered in strict numerical order. e.g. 1, 2, 3…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32</xdr:colOff>
                <xdr:row>1</xdr:row>
                <xdr:rowOff>5</xdr:rowOff>
              </xdr:from>
              <xdr:to>
                <xdr:col>5</xdr:col>
                <xdr:colOff>17</xdr:colOff>
                <xdr:row>5</xdr:row>
                <xdr:rowOff>8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Enter one of the Customer Account Numbers already entered in Customer Details.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7</xdr:col>
                <xdr:colOff>13</xdr:colOff>
                <xdr:row>1</xdr:row>
                <xdr:rowOff>12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Enter one of the Product Codes already entered in Product Details.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8</xdr:col>
                <xdr:colOff>41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Customer Account Number should be entered in strict numerical order. e.g. 101, 102...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2</xdr:col>
                <xdr:colOff>48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Product Code should be entered in strict numerical order. e.g. 1001, 1002…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0</xdr:rowOff>
              </xdr:from>
              <xdr:to>
                <xdr:col>2</xdr:col>
                <xdr:colOff>35</xdr:colOff>
                <xdr:row>3</xdr:row>
                <xdr:rowOff>5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Create a product catalogue from re-usable components. e.g.: 1001  Call Out + 1st Hour 50 1002  Additional Hour       25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117</xdr:colOff>
                <xdr:row>8</xdr:row>
                <xdr:rowOff>3</xdr:rowOff>
              </xdr:from>
              <xdr:to>
                <xdr:col>2</xdr:col>
                <xdr:colOff>81</xdr:colOff>
                <xdr:row>13</xdr:row>
                <xdr:rowOff>5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Enter the VAT rate applicable to this product. If the business is not VAT registered, use the Business Details sheet to turn of VAT features.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2</xdr:rowOff>
              </xdr:from>
              <xdr:to>
                <xdr:col>7</xdr:col>
                <xdr:colOff>74</xdr:colOff>
                <xdr:row>3</xdr:row>
                <xdr:rowOff>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If the business is not VAT registered, enter a single space in this cell to turn off VAT features.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9</xdr:row>
                <xdr:rowOff>12</xdr:rowOff>
              </xdr:from>
              <xdr:to>
                <xdr:col>5</xdr:col>
                <xdr:colOff>30</xdr:colOff>
                <xdr:row>13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<sst xmlns="http://schemas.openxmlformats.org/spreadsheetml/2006/main" count="709" uniqueCount="89">
  <si>
    <t xml:space="preserve">SALES INVOICE</t>
  </si>
  <si>
    <t xml:space="preserve">Invoice to :</t>
  </si>
  <si>
    <t xml:space="preserve">Delivery Address :</t>
  </si>
  <si>
    <t xml:space="preserve">Invoice Number</t>
  </si>
  <si>
    <t xml:space="preserve">Account Number</t>
  </si>
  <si>
    <t xml:space="preserve">Terms</t>
  </si>
  <si>
    <t xml:space="preserve">Tax Point</t>
  </si>
  <si>
    <t xml:space="preserve">Product code</t>
  </si>
  <si>
    <t xml:space="preserve">Description</t>
  </si>
  <si>
    <t xml:space="preserve">Unit Cost</t>
  </si>
  <si>
    <t xml:space="preserve">Quantity</t>
  </si>
  <si>
    <t xml:space="preserve">Vat Rate</t>
  </si>
  <si>
    <t xml:space="preserve">Net Amount</t>
  </si>
  <si>
    <t xml:space="preserve">Total Net Amount</t>
  </si>
  <si>
    <t xml:space="preserve">Carriage</t>
  </si>
  <si>
    <t xml:space="preserve">Total VAT</t>
  </si>
  <si>
    <t xml:space="preserve">Financial systems by www.DIYaccounting.co.uk </t>
  </si>
  <si>
    <t xml:space="preserve">Enter 1 to ACTIVATE INVOICE</t>
  </si>
  <si>
    <t xml:space="preserve">Sales Invoice Number</t>
  </si>
  <si>
    <t xml:space="preserve">Invoice Date</t>
  </si>
  <si>
    <t xml:space="preserve">Customer Account Number</t>
  </si>
  <si>
    <t xml:space="preserve">Carriage Charge</t>
  </si>
  <si>
    <t xml:space="preserve">Product Code 1</t>
  </si>
  <si>
    <t xml:space="preserve">Product Code 2</t>
  </si>
  <si>
    <t xml:space="preserve">Product Code 3</t>
  </si>
  <si>
    <t xml:space="preserve">Product Code 4</t>
  </si>
  <si>
    <t xml:space="preserve">Product Code 5</t>
  </si>
  <si>
    <t xml:space="preserve">Product Code 6</t>
  </si>
  <si>
    <t xml:space="preserve">Product Code 7</t>
  </si>
  <si>
    <t xml:space="preserve">Product Code 8</t>
  </si>
  <si>
    <t xml:space="preserve">Product Code 9</t>
  </si>
  <si>
    <t xml:space="preserve">Product Code 10</t>
  </si>
  <si>
    <t xml:space="preserve">Product Code 11</t>
  </si>
  <si>
    <t xml:space="preserve">Product Code 12</t>
  </si>
  <si>
    <t xml:space="preserve">Product Code 13</t>
  </si>
  <si>
    <t xml:space="preserve">Product Code 14</t>
  </si>
  <si>
    <t xml:space="preserve">Product Code 15</t>
  </si>
  <si>
    <t xml:space="preserve">Product Code 16</t>
  </si>
  <si>
    <t xml:space="preserve">Product Code 17</t>
  </si>
  <si>
    <t xml:space="preserve">Product Code 18</t>
  </si>
  <si>
    <t xml:space="preserve">Product Code 19</t>
  </si>
  <si>
    <t xml:space="preserve">Product Code 20</t>
  </si>
  <si>
    <t xml:space="preserve">Credit Terms</t>
  </si>
  <si>
    <t xml:space="preserve">Customer Name</t>
  </si>
  <si>
    <t xml:space="preserve">Customer Address Line 1</t>
  </si>
  <si>
    <t xml:space="preserve">Customer Address Line 2</t>
  </si>
  <si>
    <t xml:space="preserve">Customer Address Line 3</t>
  </si>
  <si>
    <t xml:space="preserve">Customer Post Code</t>
  </si>
  <si>
    <t xml:space="preserve">Delivery Name</t>
  </si>
  <si>
    <t xml:space="preserve">Delivery Address Line 1</t>
  </si>
  <si>
    <t xml:space="preserve">Delivery Address Line 2</t>
  </si>
  <si>
    <t xml:space="preserve">Delivery Address Line 3</t>
  </si>
  <si>
    <t xml:space="preserve">Delivery     Post Code</t>
  </si>
  <si>
    <t xml:space="preserve"> </t>
  </si>
  <si>
    <t xml:space="preserve">Product Code</t>
  </si>
  <si>
    <t xml:space="preserve">Product Description</t>
  </si>
  <si>
    <t xml:space="preserve">Product       Selling Price</t>
  </si>
  <si>
    <t xml:space="preserve">VAT Rate</t>
  </si>
  <si>
    <t xml:space="preserve">Purchase Cost Price</t>
  </si>
  <si>
    <t xml:space="preserve">Gross Profit Margin</t>
  </si>
  <si>
    <t xml:space="preserve">Gross Profit Margin %</t>
  </si>
  <si>
    <t xml:space="preserve">Business Logo Name</t>
  </si>
  <si>
    <t xml:space="preserve">Enter your business details in this sheet.</t>
  </si>
  <si>
    <t xml:space="preserve">Business Name</t>
  </si>
  <si>
    <t xml:space="preserve">&lt;enter business name&gt;</t>
  </si>
  <si>
    <t xml:space="preserve">List line items as "products" in Product Details.</t>
  </si>
  <si>
    <t xml:space="preserve">Address Line 1</t>
  </si>
  <si>
    <t xml:space="preserve">List customers in "Customer Details".</t>
  </si>
  <si>
    <t xml:space="preserve">Address Line 2</t>
  </si>
  <si>
    <t xml:space="preserve">Bring it all together in the "Invoice Database" sheet.</t>
  </si>
  <si>
    <t xml:space="preserve">Address Line 3</t>
  </si>
  <si>
    <t xml:space="preserve">Print or generate a PDF from "Invoice Template"</t>
  </si>
  <si>
    <t xml:space="preserve">Post Code</t>
  </si>
  <si>
    <t xml:space="preserve">Telephone</t>
  </si>
  <si>
    <t xml:space="preserve">Fax number</t>
  </si>
  <si>
    <t xml:space="preserve">Email </t>
  </si>
  <si>
    <t xml:space="preserve">VAT Registration Number</t>
  </si>
  <si>
    <t xml:space="preserve">  </t>
  </si>
  <si>
    <t xml:space="preserve">Not VAT registered? Enter single space in B11</t>
  </si>
  <si>
    <t xml:space="preserve">Company Slogan 1</t>
  </si>
  <si>
    <t xml:space="preserve">Company Slogan 2</t>
  </si>
  <si>
    <t xml:space="preserve">Thank you for your custom</t>
  </si>
  <si>
    <t xml:space="preserve">Terms of Trade 1</t>
  </si>
  <si>
    <t xml:space="preserve">Terms strictly 30 days net</t>
  </si>
  <si>
    <t xml:space="preserve">Terms of Trade 2</t>
  </si>
  <si>
    <t xml:space="preserve">Overdue accounts charged at 2% per month </t>
  </si>
  <si>
    <t xml:space="preserve">Terms of Trade 3</t>
  </si>
  <si>
    <t xml:space="preserve">Footnote 1</t>
  </si>
  <si>
    <t xml:space="preserve">Footnote 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</si>
</sst>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 ;[RED]\-#,##0.00\ "/>
    <numFmt numFmtId="166" formatCode="General"/>
    <numFmt numFmtId="167" formatCode="0"/>
    <numFmt numFmtId="168" formatCode="dd/mm/yy;@"/>
    <numFmt numFmtId="169" formatCode="#,##0"/>
    <numFmt numFmtId="170" formatCode="0.0"/>
    <numFmt numFmtId="171" formatCode="\£#,##0.00;[RED]&quot;-£&quot;#,##0.00"/>
    <numFmt numFmtId="172" formatCode="0.00_ ;[RED]\-0.00\ "/>
    <numFmt numFmtId="173" formatCode="#,##0.00"/>
  </numFmts>
  <fonts count="2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Verdana"/>
      <family val="2"/>
      <charset val="1"/>
    </font>
    <font>
      <b val="true"/>
      <sz val="12"/>
      <name val="Verdana"/>
      <family val="2"/>
      <charset val="1"/>
    </font>
    <font>
      <b val="true"/>
      <sz val="9"/>
      <name val="Verdana"/>
      <family val="2"/>
      <charset val="1"/>
    </font>
    <font>
      <sz val="18"/>
      <name val="Imprint MT Shadow"/>
      <family val="5"/>
      <charset val="1"/>
    </font>
    <font>
      <sz val="9"/>
      <name val="Georgia"/>
      <family val="1"/>
      <charset val="1"/>
    </font>
    <font>
      <sz val="14"/>
      <name val="Verdana"/>
      <family val="2"/>
      <charset val="1"/>
    </font>
    <font>
      <sz val="8"/>
      <name val="Verdana"/>
      <family val="2"/>
      <charset val="1"/>
    </font>
    <font>
      <i val="true"/>
      <sz val="14"/>
      <name val="Script MT Bold"/>
      <family val="4"/>
      <charset val="1"/>
    </font>
    <font>
      <sz val="9"/>
      <name val="Engravers MT"/>
      <family val="1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Verdana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>
        <color rgb="FFFFCC99"/>
      </left>
      <right style="thick">
        <color rgb="FFFFCC99"/>
      </right>
      <top style="thick">
        <color rgb="FFFFCC99"/>
      </top>
      <bottom style="thick">
        <color rgb="FFFFCC99"/>
      </bottom>
      <diagonal/>
    </border>
    <border diagonalUp="false" diagonalDown="false">
      <left style="thin">
        <color rgb="FFFFCC99"/>
      </left>
      <right style="thin">
        <color rgb="FFFFCC99"/>
      </right>
      <top style="thin">
        <color rgb="FFFFCC99"/>
      </top>
      <bottom style="thin">
        <color rgb="FFFFCC99"/>
      </bottom>
      <diagonal/>
    </border>
    <border diagonalUp="false" diagonalDown="false">
      <left style="medium">
        <color rgb="FFFFCC99"/>
      </left>
      <right style="medium">
        <color rgb="FFFFCC99"/>
      </right>
      <top style="medium">
        <color rgb="FFFFCC99"/>
      </top>
      <bottom style="medium">
        <color rgb="FFFFCC99"/>
      </bottom>
      <diagonal/>
    </border>
    <border diagonalUp="false" diagonalDown="false">
      <left style="double">
        <color rgb="FFFFCC99"/>
      </left>
      <right/>
      <top style="double">
        <color rgb="FFFFCC99"/>
      </top>
      <bottom style="double">
        <color rgb="FFFFCC99"/>
      </bottom>
      <diagonal/>
    </border>
    <border diagonalUp="false" diagonalDown="false">
      <left/>
      <right style="double">
        <color rgb="FFFFCC99"/>
      </right>
      <top style="double">
        <color rgb="FFFFCC99"/>
      </top>
      <bottom style="double">
        <color rgb="FFFFCC99"/>
      </bottom>
      <diagonal/>
    </border>
    <border diagonalUp="false" diagonalDown="false">
      <left style="double">
        <color rgb="FFFFCC99"/>
      </left>
      <right style="double">
        <color rgb="FFFFCC99"/>
      </right>
      <top style="double">
        <color rgb="FFFFCC99"/>
      </top>
      <bottom style="double">
        <color rgb="FFFFCC99"/>
      </bottom>
      <diagonal/>
    </border>
    <border diagonalUp="false" diagonalDown="false"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6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0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3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4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4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5" fillId="2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2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2.16"/>
    <col collapsed="false" customWidth="true" hidden="false" outlineLevel="0" max="2" min="2" style="1" width="3.15"/>
    <col collapsed="false" customWidth="true" hidden="false" outlineLevel="0" max="3" min="3" style="1" width="10.66"/>
    <col collapsed="false" customWidth="true" hidden="false" outlineLevel="0" max="4" min="4" style="1" width="0.82"/>
    <col collapsed="false" customWidth="true" hidden="false" outlineLevel="0" max="7" min="5" style="1" width="8.99"/>
    <col collapsed="false" customWidth="true" hidden="false" outlineLevel="0" max="8" min="8" style="1" width="6.66"/>
    <col collapsed="false" customWidth="true" hidden="false" outlineLevel="0" max="9" min="9" style="1" width="0.82"/>
    <col collapsed="false" customWidth="true" hidden="false" outlineLevel="0" max="10" min="10" style="1" width="8.99"/>
    <col collapsed="false" customWidth="true" hidden="false" outlineLevel="0" max="11" min="11" style="1" width="0.82"/>
    <col collapsed="false" customWidth="true" hidden="false" outlineLevel="0" max="12" min="12" style="1" width="9.66"/>
    <col collapsed="false" customWidth="true" hidden="false" outlineLevel="0" max="13" min="13" style="1" width="0.82"/>
    <col collapsed="false" customWidth="true" hidden="false" outlineLevel="0" max="14" min="14" style="1" width="9.66"/>
    <col collapsed="false" customWidth="true" hidden="false" outlineLevel="0" max="15" min="15" style="1" width="0.82"/>
    <col collapsed="false" customWidth="true" hidden="false" outlineLevel="0" max="16" min="16" style="1" width="12.5"/>
    <col collapsed="false" customWidth="true" hidden="false" outlineLevel="0" max="17" min="17" style="1" width="0.82"/>
    <col collapsed="false" customWidth="true" hidden="false" outlineLevel="0" max="18" min="18" style="1" width="3.32"/>
    <col collapsed="false" customWidth="true" hidden="false" outlineLevel="0" max="19" min="19" style="1" width="2.16"/>
    <col collapsed="false" customWidth="false" hidden="false" outlineLevel="0" max="21" min="20" style="1" width="9.15"/>
    <col collapsed="false" customWidth="false" hidden="true" outlineLevel="0" max="22" min="22" style="2" width="9.15"/>
    <col collapsed="false" customWidth="false" hidden="false" outlineLevel="0" max="257" min="23" style="1" width="9.15"/>
  </cols>
  <sheetData>
    <row r="1" customFormat="false" ht="12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7.5" hidden="false" customHeight="true" outlineLevel="0" collapsed="false">
      <c r="A2" s="3"/>
      <c r="G2" s="4" t="s">
        <v>0</v>
      </c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</row>
    <row r="3" customFormat="false" ht="18" hidden="false" customHeight="true" outlineLevel="0" collapsed="false">
      <c r="A3" s="3"/>
      <c r="G3" s="4"/>
      <c r="H3" s="4"/>
      <c r="I3" s="4"/>
      <c r="J3" s="4"/>
      <c r="K3" s="4"/>
      <c r="L3" s="3"/>
      <c r="M3" s="3"/>
      <c r="N3" s="3"/>
      <c r="O3" s="3"/>
      <c r="P3" s="3"/>
      <c r="Q3" s="3"/>
      <c r="R3" s="3"/>
      <c r="S3" s="3"/>
    </row>
    <row r="4" customFormat="false" ht="7.5" hidden="false" customHeight="true" outlineLevel="0" collapsed="false">
      <c r="A4" s="3"/>
      <c r="G4" s="5"/>
      <c r="H4" s="5"/>
      <c r="I4" s="5"/>
      <c r="J4" s="5"/>
      <c r="K4" s="5"/>
      <c r="R4" s="3"/>
      <c r="S4" s="3"/>
    </row>
    <row r="5" customFormat="false" ht="12.75" hidden="false" customHeight="true" outlineLevel="0" collapsed="false">
      <c r="A5" s="3"/>
      <c r="C5" s="6" t="str">
        <f aca="false">IF('Business Details'!B2&gt;0,'Business Details'!B2," ")</f>
        <v> </v>
      </c>
      <c r="D5" s="6"/>
      <c r="E5" s="6"/>
      <c r="F5" s="6"/>
      <c r="G5" s="6"/>
      <c r="H5" s="5"/>
      <c r="I5" s="5"/>
      <c r="J5" s="5"/>
      <c r="K5" s="5"/>
      <c r="R5" s="3"/>
      <c r="S5" s="3"/>
    </row>
    <row r="6" customFormat="false" ht="12.75" hidden="false" customHeight="true" outlineLevel="0" collapsed="false">
      <c r="A6" s="3"/>
      <c r="C6" s="6"/>
      <c r="D6" s="6"/>
      <c r="E6" s="6"/>
      <c r="F6" s="6"/>
      <c r="G6" s="6"/>
      <c r="J6" s="7" t="str">
        <f aca="false">IF('Business Details'!B12&gt;0,'Business Details'!B12," ")</f>
        <v> </v>
      </c>
      <c r="K6" s="7"/>
      <c r="L6" s="7"/>
      <c r="M6" s="7"/>
      <c r="N6" s="7"/>
      <c r="O6" s="7"/>
      <c r="P6" s="7"/>
      <c r="Q6" s="8"/>
      <c r="R6" s="3"/>
      <c r="S6" s="3"/>
    </row>
    <row r="7" customFormat="false" ht="9" hidden="false" customHeight="true" outlineLevel="0" collapsed="false">
      <c r="A7" s="3"/>
      <c r="C7" s="9"/>
      <c r="D7" s="9"/>
      <c r="E7" s="9"/>
      <c r="F7" s="9"/>
      <c r="G7" s="9"/>
      <c r="J7" s="10"/>
      <c r="K7" s="10"/>
      <c r="L7" s="10"/>
      <c r="M7" s="10"/>
      <c r="N7" s="10"/>
      <c r="O7" s="11"/>
      <c r="P7" s="12"/>
      <c r="Q7" s="12"/>
      <c r="R7" s="3"/>
      <c r="S7" s="3"/>
    </row>
    <row r="8" customFormat="false" ht="17.25" hidden="false" customHeight="true" outlineLevel="0" collapsed="false">
      <c r="A8" s="3"/>
      <c r="C8" s="13" t="str">
        <f aca="false">IF('Business Details'!B13&gt;0,'Business Details'!B13," ")</f>
        <v>Thank you for your custom</v>
      </c>
      <c r="D8" s="13"/>
      <c r="E8" s="13"/>
      <c r="F8" s="13"/>
      <c r="G8" s="13"/>
      <c r="J8" s="14" t="str">
        <f aca="false">IF(O8=" "," ",'Business Details'!A11)</f>
        <v>VAT Registration Number</v>
      </c>
      <c r="K8" s="14"/>
      <c r="L8" s="14"/>
      <c r="M8" s="14"/>
      <c r="N8" s="14"/>
      <c r="O8" s="15" t="str">
        <f aca="false">IF('Business Details'!B11&gt;0,'Business Details'!B11," ")</f>
        <v>  </v>
      </c>
      <c r="P8" s="15"/>
      <c r="Q8" s="12"/>
      <c r="R8" s="3"/>
      <c r="S8" s="3"/>
    </row>
    <row r="9" customFormat="false" ht="6" hidden="false" customHeight="true" outlineLevel="0" collapsed="false">
      <c r="A9" s="3"/>
      <c r="R9" s="3"/>
      <c r="S9" s="3"/>
    </row>
    <row r="10" customFormat="false" ht="12.75" hidden="false" customHeight="true" outlineLevel="0" collapsed="false">
      <c r="A10" s="3"/>
      <c r="C10" s="16" t="s">
        <v>1</v>
      </c>
      <c r="D10" s="16"/>
      <c r="E10" s="16"/>
      <c r="F10" s="16"/>
      <c r="G10" s="16"/>
      <c r="H10" s="17"/>
      <c r="I10" s="17"/>
      <c r="J10" s="18" t="str">
        <f aca="false">IF('Business Details'!B3&gt;0,'Business Details'!B3," ")</f>
        <v>&lt;enter business name&gt;</v>
      </c>
      <c r="K10" s="18"/>
      <c r="L10" s="18"/>
      <c r="M10" s="18"/>
      <c r="N10" s="18"/>
      <c r="O10" s="18"/>
      <c r="P10" s="18"/>
      <c r="Q10" s="17"/>
      <c r="R10" s="3"/>
      <c r="S10" s="3"/>
    </row>
    <row r="11" customFormat="false" ht="4.5" hidden="false" customHeight="true" outlineLevel="0" collapsed="false">
      <c r="A11" s="3"/>
      <c r="C11" s="19"/>
      <c r="D11" s="19"/>
      <c r="E11" s="19"/>
      <c r="F11" s="19"/>
      <c r="G11" s="19"/>
      <c r="H11" s="17"/>
      <c r="I11" s="17"/>
      <c r="J11" s="18"/>
      <c r="K11" s="18"/>
      <c r="L11" s="18"/>
      <c r="M11" s="18"/>
      <c r="N11" s="18"/>
      <c r="O11" s="18"/>
      <c r="P11" s="18"/>
      <c r="Q11" s="17"/>
      <c r="R11" s="3"/>
      <c r="S11" s="3"/>
    </row>
    <row r="12" customFormat="false" ht="12.75" hidden="false" customHeight="true" outlineLevel="0" collapsed="false">
      <c r="A12" s="3"/>
      <c r="C12" s="20" t="str">
        <f aca="false">IF(N27=" "," ",IF(N27&gt;0,LOOKUP(N29,'Customer Details'!A:A,'Customer Details'!C:C)))</f>
        <v> </v>
      </c>
      <c r="D12" s="20"/>
      <c r="E12" s="20"/>
      <c r="F12" s="20"/>
      <c r="G12" s="20"/>
      <c r="H12" s="17"/>
      <c r="I12" s="17"/>
      <c r="J12" s="21" t="str">
        <f aca="false">IF('Business Details'!B4&gt;0,'Business Details'!B4," ")</f>
        <v> </v>
      </c>
      <c r="K12" s="21"/>
      <c r="L12" s="21"/>
      <c r="M12" s="21"/>
      <c r="N12" s="21"/>
      <c r="O12" s="21"/>
      <c r="P12" s="21"/>
      <c r="Q12" s="17"/>
      <c r="R12" s="3"/>
      <c r="S12" s="3"/>
    </row>
    <row r="13" customFormat="false" ht="4.5" hidden="false" customHeight="true" outlineLevel="0" collapsed="false">
      <c r="A13" s="3"/>
      <c r="C13" s="20"/>
      <c r="D13" s="20"/>
      <c r="E13" s="20"/>
      <c r="F13" s="20"/>
      <c r="G13" s="20"/>
      <c r="H13" s="17"/>
      <c r="I13" s="17"/>
      <c r="J13" s="21"/>
      <c r="K13" s="21"/>
      <c r="L13" s="21"/>
      <c r="M13" s="21"/>
      <c r="N13" s="21"/>
      <c r="O13" s="21"/>
      <c r="P13" s="21"/>
      <c r="Q13" s="17"/>
      <c r="R13" s="3"/>
      <c r="S13" s="3"/>
    </row>
    <row r="14" customFormat="false" ht="12.75" hidden="false" customHeight="true" outlineLevel="0" collapsed="false">
      <c r="A14" s="3"/>
      <c r="C14" s="20" t="str">
        <f aca="false">IF(N27=" "," ",IF(N27&gt;0,LOOKUP(N29,'Customer Details'!A:A,'Customer Details'!D:D)))</f>
        <v> </v>
      </c>
      <c r="D14" s="20"/>
      <c r="E14" s="20"/>
      <c r="F14" s="20"/>
      <c r="G14" s="20"/>
      <c r="H14" s="17"/>
      <c r="I14" s="17"/>
      <c r="J14" s="21" t="str">
        <f aca="false">IF('Business Details'!B5&gt;0,'Business Details'!B5," ")</f>
        <v> </v>
      </c>
      <c r="K14" s="21"/>
      <c r="L14" s="21"/>
      <c r="M14" s="21"/>
      <c r="N14" s="21"/>
      <c r="O14" s="21"/>
      <c r="P14" s="21"/>
      <c r="Q14" s="17"/>
      <c r="R14" s="3"/>
      <c r="S14" s="3"/>
    </row>
    <row r="15" customFormat="false" ht="4.5" hidden="false" customHeight="true" outlineLevel="0" collapsed="false">
      <c r="A15" s="3"/>
      <c r="C15" s="20"/>
      <c r="D15" s="20"/>
      <c r="E15" s="20"/>
      <c r="F15" s="20"/>
      <c r="G15" s="20"/>
      <c r="H15" s="17"/>
      <c r="I15" s="17"/>
      <c r="J15" s="21"/>
      <c r="K15" s="21"/>
      <c r="L15" s="21"/>
      <c r="M15" s="21"/>
      <c r="N15" s="21"/>
      <c r="O15" s="21"/>
      <c r="P15" s="21"/>
      <c r="Q15" s="17"/>
      <c r="R15" s="3"/>
      <c r="S15" s="3"/>
    </row>
    <row r="16" customFormat="false" ht="12.75" hidden="false" customHeight="true" outlineLevel="0" collapsed="false">
      <c r="A16" s="3"/>
      <c r="C16" s="20" t="str">
        <f aca="false">IF(N27=" "," ",IF(N27&gt;0,LOOKUP(N29,'Customer Details'!A:A,'Customer Details'!E:E)))</f>
        <v> </v>
      </c>
      <c r="D16" s="20"/>
      <c r="E16" s="20"/>
      <c r="F16" s="20"/>
      <c r="G16" s="20"/>
      <c r="H16" s="17"/>
      <c r="I16" s="17"/>
      <c r="J16" s="21" t="str">
        <f aca="false">IF('Business Details'!B6&gt;0,'Business Details'!B6," ")</f>
        <v> </v>
      </c>
      <c r="K16" s="21"/>
      <c r="L16" s="21"/>
      <c r="M16" s="21"/>
      <c r="N16" s="21"/>
      <c r="O16" s="21"/>
      <c r="P16" s="21"/>
      <c r="Q16" s="17"/>
      <c r="R16" s="3"/>
      <c r="S16" s="3"/>
    </row>
    <row r="17" customFormat="false" ht="4.5" hidden="false" customHeight="true" outlineLevel="0" collapsed="false">
      <c r="A17" s="3"/>
      <c r="C17" s="20"/>
      <c r="D17" s="20"/>
      <c r="E17" s="20"/>
      <c r="F17" s="20"/>
      <c r="G17" s="20"/>
      <c r="H17" s="17"/>
      <c r="I17" s="17"/>
      <c r="J17" s="21"/>
      <c r="K17" s="21"/>
      <c r="L17" s="21"/>
      <c r="M17" s="21"/>
      <c r="N17" s="21"/>
      <c r="O17" s="21"/>
      <c r="P17" s="21"/>
      <c r="Q17" s="17"/>
      <c r="R17" s="3"/>
      <c r="S17" s="3"/>
    </row>
    <row r="18" customFormat="false" ht="12.75" hidden="false" customHeight="true" outlineLevel="0" collapsed="false">
      <c r="A18" s="3"/>
      <c r="C18" s="20" t="str">
        <f aca="false">IF(N27=" "," ",IF(N27&gt;0,LOOKUP(N29,'Customer Details'!A:A,'Customer Details'!F:F)))</f>
        <v> </v>
      </c>
      <c r="D18" s="20"/>
      <c r="E18" s="20"/>
      <c r="F18" s="20"/>
      <c r="G18" s="20"/>
      <c r="H18" s="17"/>
      <c r="I18" s="17"/>
      <c r="J18" s="21" t="str">
        <f aca="false">IF('Business Details'!B7&gt;0,'Business Details'!B7," ")</f>
        <v> </v>
      </c>
      <c r="K18" s="21"/>
      <c r="L18" s="21"/>
      <c r="M18" s="21"/>
      <c r="N18" s="21"/>
      <c r="O18" s="21"/>
      <c r="P18" s="21"/>
      <c r="Q18" s="17"/>
      <c r="R18" s="3"/>
      <c r="S18" s="3"/>
    </row>
    <row r="19" customFormat="false" ht="4.5" hidden="false" customHeight="true" outlineLevel="0" collapsed="false">
      <c r="A19" s="3"/>
      <c r="C19" s="19"/>
      <c r="D19" s="19"/>
      <c r="E19" s="19"/>
      <c r="F19" s="19"/>
      <c r="G19" s="19"/>
      <c r="H19" s="17"/>
      <c r="I19" s="17"/>
      <c r="J19" s="22"/>
      <c r="K19" s="22"/>
      <c r="L19" s="22"/>
      <c r="M19" s="22"/>
      <c r="N19" s="22"/>
      <c r="O19" s="22"/>
      <c r="P19" s="22"/>
      <c r="Q19" s="17"/>
      <c r="R19" s="3"/>
      <c r="S19" s="3"/>
    </row>
    <row r="20" customFormat="false" ht="12.75" hidden="false" customHeight="true" outlineLevel="0" collapsed="false">
      <c r="A20" s="3"/>
      <c r="C20" s="20" t="str">
        <f aca="false">IF(N27=" "," ",IF(N27&gt;0,LOOKUP(N29,'Customer Details'!A:A,'Customer Details'!G:G)))</f>
        <v> </v>
      </c>
      <c r="D20" s="20"/>
      <c r="E20" s="20"/>
      <c r="F20" s="20"/>
      <c r="G20" s="20"/>
      <c r="H20" s="17"/>
      <c r="I20" s="17"/>
      <c r="J20" s="23" t="str">
        <f aca="false">'Business Details'!A8</f>
        <v>Telephone</v>
      </c>
      <c r="K20" s="23"/>
      <c r="L20" s="23"/>
      <c r="M20" s="11"/>
      <c r="N20" s="24" t="str">
        <f aca="false">IF('Business Details'!B8&gt;0,'Business Details'!B8," ")</f>
        <v> </v>
      </c>
      <c r="O20" s="24"/>
      <c r="P20" s="24"/>
      <c r="Q20" s="17"/>
      <c r="R20" s="3"/>
      <c r="S20" s="3"/>
    </row>
    <row r="21" customFormat="false" ht="4.5" hidden="false" customHeight="true" outlineLevel="0" collapsed="false">
      <c r="A21" s="3"/>
      <c r="C21" s="19"/>
      <c r="D21" s="19"/>
      <c r="E21" s="19"/>
      <c r="F21" s="19"/>
      <c r="G21" s="19"/>
      <c r="H21" s="17"/>
      <c r="I21" s="17"/>
      <c r="J21" s="25"/>
      <c r="K21" s="25"/>
      <c r="L21" s="25"/>
      <c r="M21" s="25"/>
      <c r="N21" s="25"/>
      <c r="O21" s="25"/>
      <c r="P21" s="25"/>
      <c r="Q21" s="17"/>
      <c r="R21" s="3"/>
      <c r="S21" s="3"/>
    </row>
    <row r="22" customFormat="false" ht="12" hidden="false" customHeight="true" outlineLevel="0" collapsed="false">
      <c r="A22" s="3"/>
      <c r="C22" s="17"/>
      <c r="D22" s="17"/>
      <c r="E22" s="17"/>
      <c r="F22" s="17"/>
      <c r="G22" s="17"/>
      <c r="H22" s="17"/>
      <c r="I22" s="17"/>
      <c r="J22" s="23" t="str">
        <f aca="false">'Business Details'!A9</f>
        <v>Fax number</v>
      </c>
      <c r="K22" s="23"/>
      <c r="L22" s="23"/>
      <c r="M22" s="11"/>
      <c r="N22" s="24" t="str">
        <f aca="false">IF('Business Details'!B9&gt;0,'Business Details'!B9," ")</f>
        <v> </v>
      </c>
      <c r="O22" s="24"/>
      <c r="P22" s="24"/>
      <c r="Q22" s="17"/>
      <c r="R22" s="3"/>
      <c r="S22" s="3"/>
    </row>
    <row r="23" customFormat="false" ht="4.5" hidden="false" customHeight="true" outlineLevel="0" collapsed="false">
      <c r="A23" s="3"/>
      <c r="C23" s="17"/>
      <c r="D23" s="17"/>
      <c r="E23" s="17"/>
      <c r="F23" s="17"/>
      <c r="G23" s="17"/>
      <c r="H23" s="17"/>
      <c r="I23" s="17"/>
      <c r="J23" s="25"/>
      <c r="K23" s="25"/>
      <c r="L23" s="25"/>
      <c r="M23" s="25"/>
      <c r="N23" s="25"/>
      <c r="O23" s="25"/>
      <c r="P23" s="25"/>
      <c r="Q23" s="17"/>
      <c r="R23" s="3"/>
      <c r="S23" s="3"/>
    </row>
    <row r="24" customFormat="false" ht="12.75" hidden="false" customHeight="true" outlineLevel="0" collapsed="false">
      <c r="A24" s="3"/>
      <c r="J24" s="26" t="str">
        <f aca="false">'Business Details'!A10</f>
        <v>Email </v>
      </c>
      <c r="K24" s="27"/>
      <c r="L24" s="28" t="str">
        <f aca="false">IF('Business Details'!B10&gt;0,'Business Details'!B10," ")</f>
        <v> </v>
      </c>
      <c r="M24" s="28"/>
      <c r="N24" s="28"/>
      <c r="O24" s="28"/>
      <c r="P24" s="28"/>
      <c r="Q24" s="17"/>
      <c r="R24" s="3"/>
      <c r="S24" s="3"/>
    </row>
    <row r="25" customFormat="false" ht="12.75" hidden="false" customHeight="true" outlineLevel="0" collapsed="false">
      <c r="A25" s="3"/>
      <c r="C25" s="16" t="s">
        <v>2</v>
      </c>
      <c r="D25" s="16"/>
      <c r="E25" s="16"/>
      <c r="F25" s="16"/>
      <c r="G25" s="16"/>
      <c r="N25" s="29"/>
      <c r="O25" s="29"/>
      <c r="P25" s="29"/>
      <c r="Q25" s="30"/>
      <c r="R25" s="3"/>
      <c r="S25" s="3"/>
    </row>
    <row r="26" customFormat="false" ht="4.5" hidden="false" customHeight="true" outlineLevel="0" collapsed="false">
      <c r="A26" s="3"/>
      <c r="C26" s="20"/>
      <c r="D26" s="20"/>
      <c r="E26" s="20"/>
      <c r="F26" s="20"/>
      <c r="G26" s="20"/>
      <c r="N26" s="29"/>
      <c r="O26" s="29"/>
      <c r="P26" s="29"/>
      <c r="Q26" s="30"/>
      <c r="R26" s="3"/>
      <c r="S26" s="3"/>
    </row>
    <row r="27" customFormat="false" ht="12.75" hidden="false" customHeight="true" outlineLevel="0" collapsed="false">
      <c r="A27" s="3"/>
      <c r="C27" s="20" t="str">
        <f aca="false">IF(N27=" "," ",IF(N27&gt;0,LOOKUP(N29,'Customer Details'!A:A,'Customer Details'!I:I)))</f>
        <v> </v>
      </c>
      <c r="D27" s="20"/>
      <c r="E27" s="20"/>
      <c r="F27" s="20"/>
      <c r="G27" s="20"/>
      <c r="J27" s="31" t="s">
        <v>3</v>
      </c>
      <c r="K27" s="31"/>
      <c r="L27" s="31"/>
      <c r="M27" s="17"/>
      <c r="N27" s="32" t="str">
        <f aca="false">IF(SUM('Invoice Database'!A:A)=0," ",LOOKUP(1,'Invoice Database'!A:A,'Invoice Database'!B:B))</f>
        <v> </v>
      </c>
      <c r="O27" s="32"/>
      <c r="P27" s="32"/>
      <c r="Q27" s="17"/>
      <c r="R27" s="3"/>
      <c r="S27" s="3"/>
    </row>
    <row r="28" customFormat="false" ht="4.5" hidden="false" customHeight="true" outlineLevel="0" collapsed="false">
      <c r="A28" s="3"/>
      <c r="C28" s="19"/>
      <c r="D28" s="19"/>
      <c r="E28" s="19"/>
      <c r="F28" s="19"/>
      <c r="G28" s="19"/>
      <c r="J28" s="17"/>
      <c r="K28" s="17"/>
      <c r="L28" s="17"/>
      <c r="M28" s="17"/>
      <c r="N28" s="17"/>
      <c r="O28" s="17"/>
      <c r="P28" s="17"/>
      <c r="Q28" s="17"/>
      <c r="R28" s="3"/>
      <c r="S28" s="3"/>
    </row>
    <row r="29" customFormat="false" ht="12.75" hidden="false" customHeight="true" outlineLevel="0" collapsed="false">
      <c r="A29" s="3"/>
      <c r="C29" s="20" t="str">
        <f aca="false">IF(N27=" "," ",IF(N27&gt;0,LOOKUP(N29,'Customer Details'!A:A,'Customer Details'!J:J)))</f>
        <v> </v>
      </c>
      <c r="D29" s="20"/>
      <c r="E29" s="20"/>
      <c r="F29" s="20"/>
      <c r="G29" s="20"/>
      <c r="J29" s="31" t="s">
        <v>4</v>
      </c>
      <c r="K29" s="31"/>
      <c r="L29" s="31"/>
      <c r="M29" s="17"/>
      <c r="N29" s="32" t="str">
        <f aca="false">IF(N27=" "," ",IF(N27&gt;0,LOOKUP(N27,'Invoice Database'!B:B,'Invoice Database'!D:D)))</f>
        <v> </v>
      </c>
      <c r="O29" s="32"/>
      <c r="P29" s="32"/>
      <c r="Q29" s="17"/>
      <c r="R29" s="3"/>
      <c r="S29" s="3"/>
    </row>
    <row r="30" customFormat="false" ht="4.5" hidden="false" customHeight="true" outlineLevel="0" collapsed="false">
      <c r="A30" s="3"/>
      <c r="C30" s="20"/>
      <c r="D30" s="20"/>
      <c r="E30" s="20"/>
      <c r="F30" s="20"/>
      <c r="G30" s="20"/>
      <c r="J30" s="17"/>
      <c r="K30" s="17"/>
      <c r="L30" s="17"/>
      <c r="M30" s="17"/>
      <c r="N30" s="17"/>
      <c r="O30" s="17"/>
      <c r="P30" s="17"/>
      <c r="Q30" s="17"/>
      <c r="R30" s="3"/>
      <c r="S30" s="3"/>
    </row>
    <row r="31" customFormat="false" ht="12.75" hidden="false" customHeight="true" outlineLevel="0" collapsed="false">
      <c r="A31" s="3"/>
      <c r="C31" s="20" t="str">
        <f aca="false">IF(N27=" "," ",IF(N27&gt;0,LOOKUP(N29,'Customer Details'!A:A,'Customer Details'!K:K)))</f>
        <v> </v>
      </c>
      <c r="D31" s="20"/>
      <c r="E31" s="20"/>
      <c r="F31" s="20"/>
      <c r="G31" s="20"/>
      <c r="J31" s="31" t="s">
        <v>5</v>
      </c>
      <c r="K31" s="31"/>
      <c r="L31" s="31"/>
      <c r="M31" s="17"/>
      <c r="N31" s="32" t="str">
        <f aca="false">IF(N27=" "," ",IF(N27&gt;0,LOOKUP(N29,'Customer Details'!A:A,'Customer Details'!B:B)))</f>
        <v> </v>
      </c>
      <c r="O31" s="32"/>
      <c r="P31" s="32"/>
      <c r="Q31" s="17"/>
      <c r="R31" s="3"/>
      <c r="S31" s="3"/>
    </row>
    <row r="32" customFormat="false" ht="4.5" hidden="false" customHeight="true" outlineLevel="0" collapsed="false">
      <c r="A32" s="3"/>
      <c r="C32" s="19"/>
      <c r="D32" s="19"/>
      <c r="E32" s="19"/>
      <c r="F32" s="19"/>
      <c r="G32" s="19"/>
      <c r="J32" s="30"/>
      <c r="K32" s="30"/>
      <c r="L32" s="30"/>
      <c r="M32" s="30"/>
      <c r="N32" s="30"/>
      <c r="O32" s="30"/>
      <c r="P32" s="17"/>
      <c r="Q32" s="17"/>
      <c r="R32" s="3"/>
      <c r="S32" s="3"/>
    </row>
    <row r="33" customFormat="false" ht="12.75" hidden="false" customHeight="true" outlineLevel="0" collapsed="false">
      <c r="A33" s="3"/>
      <c r="C33" s="20" t="str">
        <f aca="false">IF(N27=" "," ",IF(N27&gt;0,LOOKUP(N29,'Customer Details'!A:A,'Customer Details'!L:L)))</f>
        <v> </v>
      </c>
      <c r="D33" s="20"/>
      <c r="E33" s="20"/>
      <c r="F33" s="20"/>
      <c r="G33" s="20"/>
      <c r="J33" s="33" t="s">
        <v>6</v>
      </c>
      <c r="K33" s="33"/>
      <c r="L33" s="33"/>
      <c r="M33" s="17"/>
      <c r="N33" s="34" t="str">
        <f aca="false">IF(N27=" "," ",IF(N27&gt;0,LOOKUP(N27,'Invoice Database'!B:B,'Invoice Database'!C:C)))</f>
        <v> </v>
      </c>
      <c r="O33" s="34"/>
      <c r="P33" s="34"/>
      <c r="Q33" s="17"/>
      <c r="R33" s="3"/>
      <c r="S33" s="3"/>
    </row>
    <row r="34" customFormat="false" ht="4.5" hidden="false" customHeight="true" outlineLevel="0" collapsed="false">
      <c r="A34" s="3"/>
      <c r="C34" s="19"/>
      <c r="D34" s="19"/>
      <c r="E34" s="19"/>
      <c r="F34" s="19"/>
      <c r="G34" s="19"/>
      <c r="P34" s="30"/>
      <c r="Q34" s="30"/>
      <c r="R34" s="3"/>
      <c r="S34" s="3"/>
    </row>
    <row r="35" customFormat="false" ht="12.75" hidden="false" customHeight="true" outlineLevel="0" collapsed="false">
      <c r="A35" s="3"/>
      <c r="C35" s="20" t="str">
        <f aca="false">IF(N27=" "," ",IF(N27&gt;0,LOOKUP(N29,'Customer Details'!A:A,'Customer Details'!M:M)))</f>
        <v> </v>
      </c>
      <c r="D35" s="20"/>
      <c r="E35" s="20"/>
      <c r="F35" s="20"/>
      <c r="G35" s="20"/>
      <c r="R35" s="3"/>
      <c r="S35" s="3"/>
    </row>
    <row r="36" customFormat="false" ht="12" hidden="false" customHeight="true" outlineLevel="0" collapsed="false">
      <c r="A36" s="3"/>
      <c r="R36" s="3"/>
      <c r="S36" s="3"/>
    </row>
    <row r="37" customFormat="false" ht="12" hidden="false" customHeight="true" outlineLevel="0" collapsed="false">
      <c r="A37" s="3"/>
      <c r="B37" s="3"/>
      <c r="C37" s="35" t="s">
        <v>7</v>
      </c>
      <c r="D37" s="36"/>
      <c r="E37" s="37" t="s">
        <v>8</v>
      </c>
      <c r="F37" s="37"/>
      <c r="G37" s="37"/>
      <c r="H37" s="37"/>
      <c r="I37" s="36"/>
      <c r="J37" s="35" t="s">
        <v>9</v>
      </c>
      <c r="K37" s="36"/>
      <c r="L37" s="35" t="s">
        <v>10</v>
      </c>
      <c r="M37" s="36"/>
      <c r="N37" s="35" t="s">
        <v>11</v>
      </c>
      <c r="O37" s="36"/>
      <c r="P37" s="38" t="s">
        <v>12</v>
      </c>
      <c r="Q37" s="38"/>
      <c r="R37" s="3"/>
      <c r="S37" s="3"/>
    </row>
    <row r="38" customFormat="false" ht="12.75" hidden="false" customHeight="true" outlineLevel="0" collapsed="false">
      <c r="A38" s="3"/>
      <c r="B38" s="3"/>
      <c r="C38" s="39" t="str">
        <f aca="false">IF(N27=" "," ",IF(LOOKUP(1,'Invoice Database'!A:A,'Invoice Database'!F:F)&gt;0,LOOKUP(1,'Invoice Database'!A:A,'Invoice Database'!F:F)," "))</f>
        <v> </v>
      </c>
      <c r="D38" s="40"/>
      <c r="E38" s="41" t="str">
        <f aca="false">IF(C38=" "," ",LOOKUP(C38,'Product Details'!A:A,'Product Details'!B:B))</f>
        <v> </v>
      </c>
      <c r="F38" s="41"/>
      <c r="G38" s="41"/>
      <c r="H38" s="41"/>
      <c r="I38" s="42"/>
      <c r="J38" s="43" t="str">
        <f aca="false">IF(C38=" "," ",LOOKUP(C38,'Product Details'!A:A,'Product Details'!C:C))</f>
        <v> </v>
      </c>
      <c r="K38" s="44"/>
      <c r="L38" s="45" t="str">
        <f aca="false">IF(C38=" "," ",LOOKUP(1,'Invoice Database'!A:A,'Invoice Database'!G:G))</f>
        <v> </v>
      </c>
      <c r="M38" s="40"/>
      <c r="N38" s="46" t="str">
        <f aca="false">IF(O8=" "," ",IF(C38=" "," ",LOOKUP(C38,'Product Details'!A:A,'Product Details'!D:D)))</f>
        <v> </v>
      </c>
      <c r="O38" s="47"/>
      <c r="P38" s="48" t="str">
        <f aca="false">IF(L38=" "," ",J38*L38)</f>
        <v> </v>
      </c>
      <c r="Q38" s="48"/>
      <c r="R38" s="3"/>
      <c r="S38" s="3"/>
      <c r="V38" s="2" t="n">
        <f aca="false">IF(N38=" ",0,P38*N38/100)</f>
        <v>0</v>
      </c>
    </row>
    <row r="39" customFormat="false" ht="12.75" hidden="false" customHeight="true" outlineLevel="0" collapsed="false">
      <c r="A39" s="3"/>
      <c r="B39" s="3"/>
      <c r="C39" s="39" t="str">
        <f aca="false">IF(N27=" "," ",IF(LOOKUP(1,'Invoice Database'!A:A,'Invoice Database'!H:H)&gt;0,LOOKUP(1,'Invoice Database'!A:A,'Invoice Database'!H:H)," "))</f>
        <v> </v>
      </c>
      <c r="D39" s="40"/>
      <c r="E39" s="41" t="str">
        <f aca="false">IF(C39=" "," ",LOOKUP(C39,'Product Details'!A:A,'Product Details'!B:B))</f>
        <v> </v>
      </c>
      <c r="F39" s="41"/>
      <c r="G39" s="41"/>
      <c r="H39" s="41"/>
      <c r="I39" s="42"/>
      <c r="J39" s="43" t="str">
        <f aca="false">IF(C39=" "," ",LOOKUP(C39,'Product Details'!A:A,'Product Details'!C:C))</f>
        <v> </v>
      </c>
      <c r="K39" s="44"/>
      <c r="L39" s="45" t="str">
        <f aca="false">IF(C39=" "," ",LOOKUP(1,'Invoice Database'!A:A,'Invoice Database'!I:I))</f>
        <v> </v>
      </c>
      <c r="M39" s="40"/>
      <c r="N39" s="46" t="str">
        <f aca="false">IF(O8=" "," ",IF(C39=" "," ",LOOKUP(C39,'Product Details'!A:A,'Product Details'!D:D)))</f>
        <v> </v>
      </c>
      <c r="O39" s="47"/>
      <c r="P39" s="48" t="str">
        <f aca="false">IF(L39=" "," ",J39*L39)</f>
        <v> </v>
      </c>
      <c r="Q39" s="48"/>
      <c r="R39" s="3"/>
      <c r="S39" s="3"/>
      <c r="V39" s="2" t="n">
        <f aca="false">IF(N39=" ",0,P39*N39/100)</f>
        <v>0</v>
      </c>
    </row>
    <row r="40" customFormat="false" ht="12.75" hidden="false" customHeight="true" outlineLevel="0" collapsed="false">
      <c r="A40" s="3"/>
      <c r="B40" s="3"/>
      <c r="C40" s="39" t="str">
        <f aca="false">IF(N27=" "," ",IF(LOOKUP(1,'Invoice Database'!A:A,'Invoice Database'!J:J)&gt;0,LOOKUP(1,'Invoice Database'!A:A,'Invoice Database'!J:J)," "))</f>
        <v> </v>
      </c>
      <c r="D40" s="40"/>
      <c r="E40" s="41" t="str">
        <f aca="false">IF(C40=" "," ",LOOKUP(C40,'Product Details'!A:A,'Product Details'!B:B))</f>
        <v> </v>
      </c>
      <c r="F40" s="41"/>
      <c r="G40" s="41"/>
      <c r="H40" s="41"/>
      <c r="I40" s="42"/>
      <c r="J40" s="43" t="str">
        <f aca="false">IF(C40=" "," ",LOOKUP(C40,'Product Details'!A:A,'Product Details'!C:C))</f>
        <v> </v>
      </c>
      <c r="K40" s="44"/>
      <c r="L40" s="45" t="str">
        <f aca="false">IF(C40=" "," ",LOOKUP(1,'Invoice Database'!A:A,'Invoice Database'!K:K))</f>
        <v> </v>
      </c>
      <c r="M40" s="40"/>
      <c r="N40" s="46" t="str">
        <f aca="false">IF(O8=" "," ",IF(C40=" "," ",LOOKUP(C40,'Product Details'!A:A,'Product Details'!D:D)))</f>
        <v> </v>
      </c>
      <c r="O40" s="47"/>
      <c r="P40" s="48" t="str">
        <f aca="false">IF(L40=" "," ",J40*L40)</f>
        <v> </v>
      </c>
      <c r="Q40" s="48"/>
      <c r="R40" s="3"/>
      <c r="S40" s="3"/>
      <c r="V40" s="2" t="n">
        <f aca="false">IF(N40=" ",0,P40*N40/100)</f>
        <v>0</v>
      </c>
    </row>
    <row r="41" customFormat="false" ht="12.75" hidden="false" customHeight="true" outlineLevel="0" collapsed="false">
      <c r="A41" s="3"/>
      <c r="B41" s="3"/>
      <c r="C41" s="39" t="str">
        <f aca="false">IF(N27=" "," ",IF(LOOKUP(1,'Invoice Database'!A:A,'Invoice Database'!L:L)&gt;0,LOOKUP(1,'Invoice Database'!A:A,'Invoice Database'!L:L)," "))</f>
        <v> </v>
      </c>
      <c r="D41" s="40"/>
      <c r="E41" s="41" t="str">
        <f aca="false">IF(C41=" "," ",LOOKUP(C41,'Product Details'!A:A,'Product Details'!B:B))</f>
        <v> </v>
      </c>
      <c r="F41" s="41"/>
      <c r="G41" s="41"/>
      <c r="H41" s="41"/>
      <c r="I41" s="42"/>
      <c r="J41" s="43" t="str">
        <f aca="false">IF(C41=" "," ",LOOKUP(C41,'Product Details'!A:A,'Product Details'!C:C))</f>
        <v> </v>
      </c>
      <c r="K41" s="44"/>
      <c r="L41" s="45" t="str">
        <f aca="false">IF(C41=" "," ",LOOKUP(1,'Invoice Database'!A:A,'Invoice Database'!M:M))</f>
        <v> </v>
      </c>
      <c r="M41" s="40"/>
      <c r="N41" s="46" t="str">
        <f aca="false">IF(O8=" "," ",IF(C41=" "," ",LOOKUP(C41,'Product Details'!A:A,'Product Details'!D:D)))</f>
        <v> </v>
      </c>
      <c r="O41" s="47"/>
      <c r="P41" s="48" t="str">
        <f aca="false">IF(L41=" "," ",J41*L41)</f>
        <v> </v>
      </c>
      <c r="Q41" s="48"/>
      <c r="R41" s="3"/>
      <c r="S41" s="3"/>
      <c r="U41" s="49"/>
      <c r="V41" s="2" t="n">
        <f aca="false">IF(N41=" ",0,P41*N41/100)</f>
        <v>0</v>
      </c>
    </row>
    <row r="42" customFormat="false" ht="12.75" hidden="false" customHeight="true" outlineLevel="0" collapsed="false">
      <c r="A42" s="3"/>
      <c r="B42" s="3"/>
      <c r="C42" s="39" t="str">
        <f aca="false">IF(N27=" "," ",IF(LOOKUP(1,'Invoice Database'!A:A,'Invoice Database'!N:N)&gt;0,LOOKUP(1,'Invoice Database'!A:A,'Invoice Database'!N:N)," "))</f>
        <v> </v>
      </c>
      <c r="D42" s="40"/>
      <c r="E42" s="41" t="str">
        <f aca="false">IF(C42=" "," ",LOOKUP(C42,'Product Details'!A:A,'Product Details'!B:B))</f>
        <v> </v>
      </c>
      <c r="F42" s="41"/>
      <c r="G42" s="41"/>
      <c r="H42" s="41"/>
      <c r="I42" s="42"/>
      <c r="J42" s="43" t="str">
        <f aca="false">IF(C42=" "," ",LOOKUP(C42,'Product Details'!A:A,'Product Details'!C:C))</f>
        <v> </v>
      </c>
      <c r="K42" s="44"/>
      <c r="L42" s="45" t="str">
        <f aca="false">IF(C42=" "," ",LOOKUP(1,'Invoice Database'!A:A,'Invoice Database'!O:O))</f>
        <v> </v>
      </c>
      <c r="M42" s="40"/>
      <c r="N42" s="46" t="str">
        <f aca="false">IF(O8=" "," ",IF(C42=" "," ",LOOKUP(C42,'Product Details'!A:A,'Product Details'!D:D)))</f>
        <v> </v>
      </c>
      <c r="O42" s="47"/>
      <c r="P42" s="48" t="str">
        <f aca="false">IF(L42=" "," ",J42*L42)</f>
        <v> </v>
      </c>
      <c r="Q42" s="48"/>
      <c r="R42" s="3"/>
      <c r="S42" s="3"/>
      <c r="V42" s="2" t="n">
        <f aca="false">IF(N42=" ",0,P42*N42/100)</f>
        <v>0</v>
      </c>
    </row>
    <row r="43" customFormat="false" ht="12.75" hidden="false" customHeight="true" outlineLevel="0" collapsed="false">
      <c r="A43" s="3"/>
      <c r="B43" s="3"/>
      <c r="C43" s="39" t="str">
        <f aca="false">IF(N27=" "," ",IF(LOOKUP(1,'Invoice Database'!A:A,'Invoice Database'!P:P)&gt;0,LOOKUP(1,'Invoice Database'!A:A,'Invoice Database'!P:P)," "))</f>
        <v> </v>
      </c>
      <c r="D43" s="40"/>
      <c r="E43" s="41" t="str">
        <f aca="false">IF(C43=" "," ",LOOKUP(C43,'Product Details'!A:A,'Product Details'!B:B))</f>
        <v> </v>
      </c>
      <c r="F43" s="41"/>
      <c r="G43" s="41"/>
      <c r="H43" s="41"/>
      <c r="I43" s="42"/>
      <c r="J43" s="43" t="str">
        <f aca="false">IF(C43=" "," ",LOOKUP(C43,'Product Details'!A:A,'Product Details'!C:C))</f>
        <v> </v>
      </c>
      <c r="K43" s="44"/>
      <c r="L43" s="45" t="str">
        <f aca="false">IF(C43=" "," ",LOOKUP(1,'Invoice Database'!A:A,'Invoice Database'!Q:Q))</f>
        <v> </v>
      </c>
      <c r="M43" s="40"/>
      <c r="N43" s="46" t="str">
        <f aca="false">IF(O8=" "," ",IF(C43=" "," ",LOOKUP(C43,'Product Details'!A:A,'Product Details'!D:D)))</f>
        <v> </v>
      </c>
      <c r="O43" s="47"/>
      <c r="P43" s="48" t="str">
        <f aca="false">IF(L43=" "," ",J43*L43)</f>
        <v> </v>
      </c>
      <c r="Q43" s="48"/>
      <c r="R43" s="3"/>
      <c r="S43" s="3"/>
      <c r="V43" s="2" t="n">
        <f aca="false">IF(N43=" ",0,P43*N43/100)</f>
        <v>0</v>
      </c>
    </row>
    <row r="44" customFormat="false" ht="12.75" hidden="false" customHeight="true" outlineLevel="0" collapsed="false">
      <c r="A44" s="3"/>
      <c r="B44" s="3"/>
      <c r="C44" s="39" t="str">
        <f aca="false">IF(N27=" "," ",IF(LOOKUP(1,'Invoice Database'!A:A,'Invoice Database'!R:R)&gt;0,LOOKUP(1,'Invoice Database'!A:A,'Invoice Database'!R:R)," "))</f>
        <v> </v>
      </c>
      <c r="D44" s="40"/>
      <c r="E44" s="41" t="str">
        <f aca="false">IF(C44=" "," ",LOOKUP(C44,'Product Details'!A:A,'Product Details'!B:B))</f>
        <v> </v>
      </c>
      <c r="F44" s="41"/>
      <c r="G44" s="41"/>
      <c r="H44" s="41"/>
      <c r="I44" s="42"/>
      <c r="J44" s="43" t="str">
        <f aca="false">IF(C44=" "," ",LOOKUP(C44,'Product Details'!A:A,'Product Details'!C:C))</f>
        <v> </v>
      </c>
      <c r="K44" s="44"/>
      <c r="L44" s="45" t="str">
        <f aca="false">IF(C44=" "," ",LOOKUP(1,'Invoice Database'!A:A,'Invoice Database'!S:S))</f>
        <v> </v>
      </c>
      <c r="M44" s="40"/>
      <c r="N44" s="46" t="str">
        <f aca="false">IF(O8=" "," ",IF(C44=" "," ",LOOKUP(C44,'Product Details'!A:A,'Product Details'!D:D)))</f>
        <v> </v>
      </c>
      <c r="O44" s="47"/>
      <c r="P44" s="48" t="str">
        <f aca="false">IF(L44=" "," ",J44*L44)</f>
        <v> </v>
      </c>
      <c r="Q44" s="48"/>
      <c r="R44" s="3"/>
      <c r="S44" s="3"/>
      <c r="V44" s="2" t="n">
        <f aca="false">IF(N44=" ",0,P44*N44/100)</f>
        <v>0</v>
      </c>
    </row>
    <row r="45" customFormat="false" ht="12.75" hidden="false" customHeight="true" outlineLevel="0" collapsed="false">
      <c r="A45" s="3"/>
      <c r="B45" s="3"/>
      <c r="C45" s="39" t="str">
        <f aca="false">IF(N27=" "," ",IF(LOOKUP(1,'Invoice Database'!A:A,'Invoice Database'!T:T)&gt;0,LOOKUP(1,'Invoice Database'!A:A,'Invoice Database'!T:T)," "))</f>
        <v> </v>
      </c>
      <c r="D45" s="40"/>
      <c r="E45" s="41" t="str">
        <f aca="false">IF(C45=" "," ",LOOKUP(C45,'Product Details'!A:A,'Product Details'!B:B))</f>
        <v> </v>
      </c>
      <c r="F45" s="41"/>
      <c r="G45" s="41"/>
      <c r="H45" s="41"/>
      <c r="I45" s="42"/>
      <c r="J45" s="43" t="str">
        <f aca="false">IF(C45=" "," ",LOOKUP(C45,'Product Details'!A:A,'Product Details'!C:C))</f>
        <v> </v>
      </c>
      <c r="K45" s="44"/>
      <c r="L45" s="45" t="str">
        <f aca="false">IF(C45=" "," ",LOOKUP(1,'Invoice Database'!A:A,'Invoice Database'!U:U))</f>
        <v> </v>
      </c>
      <c r="M45" s="40"/>
      <c r="N45" s="46" t="str">
        <f aca="false">IF(O8=" "," ",IF(C45=" "," ",LOOKUP(C45,'Product Details'!A:A,'Product Details'!D:D)))</f>
        <v> </v>
      </c>
      <c r="O45" s="47"/>
      <c r="P45" s="48" t="str">
        <f aca="false">IF(L45=" "," ",J45*L45)</f>
        <v> </v>
      </c>
      <c r="Q45" s="48"/>
      <c r="R45" s="3"/>
      <c r="S45" s="3"/>
      <c r="V45" s="2" t="n">
        <f aca="false">IF(N45=" ",0,P45*N45/100)</f>
        <v>0</v>
      </c>
    </row>
    <row r="46" customFormat="false" ht="12.75" hidden="false" customHeight="true" outlineLevel="0" collapsed="false">
      <c r="A46" s="3"/>
      <c r="B46" s="3"/>
      <c r="C46" s="39" t="str">
        <f aca="false">IF(N27=" "," ",IF(LOOKUP(1,'Invoice Database'!A:A,'Invoice Database'!V:V)&gt;0,LOOKUP(1,'Invoice Database'!A:A,'Invoice Database'!V:V)," "))</f>
        <v> </v>
      </c>
      <c r="D46" s="40"/>
      <c r="E46" s="41" t="str">
        <f aca="false">IF(C46=" "," ",LOOKUP(C46,'Product Details'!A:A,'Product Details'!B:B))</f>
        <v> </v>
      </c>
      <c r="F46" s="41"/>
      <c r="G46" s="41"/>
      <c r="H46" s="41"/>
      <c r="I46" s="42"/>
      <c r="J46" s="43" t="str">
        <f aca="false">IF(C46=" "," ",LOOKUP(C46,'Product Details'!A:A,'Product Details'!C:C))</f>
        <v> </v>
      </c>
      <c r="K46" s="44"/>
      <c r="L46" s="45" t="str">
        <f aca="false">IF(C46=" "," ",LOOKUP(1,'Invoice Database'!A:A,'Invoice Database'!W:W))</f>
        <v> </v>
      </c>
      <c r="M46" s="40"/>
      <c r="N46" s="46" t="str">
        <f aca="false">IF(O8=" "," ",IF(C46=" "," ",LOOKUP(C46,'Product Details'!A:A,'Product Details'!D:D)))</f>
        <v> </v>
      </c>
      <c r="O46" s="47"/>
      <c r="P46" s="48" t="str">
        <f aca="false">IF(L46=" "," ",J46*L46)</f>
        <v> </v>
      </c>
      <c r="Q46" s="48"/>
      <c r="R46" s="3"/>
      <c r="S46" s="3"/>
      <c r="V46" s="2" t="n">
        <f aca="false">IF(N46=" ",0,P46*N46/100)</f>
        <v>0</v>
      </c>
    </row>
    <row r="47" customFormat="false" ht="12.75" hidden="false" customHeight="true" outlineLevel="0" collapsed="false">
      <c r="A47" s="3"/>
      <c r="B47" s="3"/>
      <c r="C47" s="39" t="str">
        <f aca="false">IF(N27=" "," ",IF(LOOKUP(1,'Invoice Database'!A:A,'Invoice Database'!X:X)&gt;0,LOOKUP(1,'Invoice Database'!A:A,'Invoice Database'!X:X)," "))</f>
        <v> </v>
      </c>
      <c r="D47" s="40"/>
      <c r="E47" s="41" t="str">
        <f aca="false">IF(C47=" "," ",LOOKUP(C47,'Product Details'!A:A,'Product Details'!B:B))</f>
        <v> </v>
      </c>
      <c r="F47" s="41"/>
      <c r="G47" s="41"/>
      <c r="H47" s="41"/>
      <c r="I47" s="42"/>
      <c r="J47" s="43" t="str">
        <f aca="false">IF(C47=" "," ",LOOKUP(C47,'Product Details'!A:A,'Product Details'!C:C))</f>
        <v> </v>
      </c>
      <c r="K47" s="44"/>
      <c r="L47" s="45" t="str">
        <f aca="false">IF(C47=" "," ",LOOKUP(1,'Invoice Database'!A:A,'Invoice Database'!Y:Y))</f>
        <v> </v>
      </c>
      <c r="M47" s="40"/>
      <c r="N47" s="46" t="str">
        <f aca="false">IF(O8=" "," ",IF(C47=" "," ",LOOKUP(C47,'Product Details'!A:A,'Product Details'!D:D)))</f>
        <v> </v>
      </c>
      <c r="O47" s="47"/>
      <c r="P47" s="48" t="str">
        <f aca="false">IF(L47=" "," ",J47*L47)</f>
        <v> </v>
      </c>
      <c r="Q47" s="48"/>
      <c r="R47" s="3"/>
      <c r="S47" s="3"/>
      <c r="V47" s="2" t="n">
        <f aca="false">IF(N47=" ",0,P47*N47/100)</f>
        <v>0</v>
      </c>
    </row>
    <row r="48" customFormat="false" ht="12.75" hidden="false" customHeight="true" outlineLevel="0" collapsed="false">
      <c r="A48" s="3"/>
      <c r="B48" s="3"/>
      <c r="C48" s="39" t="str">
        <f aca="false">IF(N27=" "," ",IF(N27=" "," ",IF(LOOKUP(1,'Invoice Database'!A:A,'Invoice Database'!Z:Z)&gt;0,LOOKUP(1,'Invoice Database'!A:A,'Invoice Database'!Z:Z)," ")))</f>
        <v> </v>
      </c>
      <c r="D48" s="40"/>
      <c r="E48" s="41" t="str">
        <f aca="false">IF(C48=" "," ",LOOKUP(C48,'Product Details'!A:A,'Product Details'!B:B))</f>
        <v> </v>
      </c>
      <c r="F48" s="41"/>
      <c r="G48" s="41"/>
      <c r="H48" s="41"/>
      <c r="I48" s="42"/>
      <c r="J48" s="43" t="str">
        <f aca="false">IF(C48=" "," ",LOOKUP(C48,'Product Details'!A:A,'Product Details'!C:C))</f>
        <v> </v>
      </c>
      <c r="K48" s="44"/>
      <c r="L48" s="45" t="str">
        <f aca="false">IF(C48=" "," ",LOOKUP(1,'Invoice Database'!A:A,'Invoice Database'!AA:AA))</f>
        <v> </v>
      </c>
      <c r="M48" s="40"/>
      <c r="N48" s="46" t="str">
        <f aca="false">IF(O8=" "," ",IF(C48=" "," ",LOOKUP(C48,'Product Details'!A:A,'Product Details'!D:D)))</f>
        <v> </v>
      </c>
      <c r="O48" s="47"/>
      <c r="P48" s="48" t="str">
        <f aca="false">IF(L48=" "," ",J48*L48)</f>
        <v> </v>
      </c>
      <c r="Q48" s="48"/>
      <c r="R48" s="3"/>
      <c r="S48" s="3"/>
      <c r="V48" s="2" t="n">
        <f aca="false">IF(N48=" ",0,P48*N48/100)</f>
        <v>0</v>
      </c>
    </row>
    <row r="49" customFormat="false" ht="12.75" hidden="false" customHeight="true" outlineLevel="0" collapsed="false">
      <c r="A49" s="3"/>
      <c r="B49" s="3"/>
      <c r="C49" s="39" t="str">
        <f aca="false">IF(N27=" "," ",IF(LOOKUP(1,'Invoice Database'!A:A,'Invoice Database'!AB:AB)&gt;0,LOOKUP(1,'Invoice Database'!A:A,'Invoice Database'!AB:AB)," "))</f>
        <v> </v>
      </c>
      <c r="D49" s="40"/>
      <c r="E49" s="41" t="str">
        <f aca="false">IF(C49=" "," ",LOOKUP(C49,'Product Details'!A:A,'Product Details'!B:B))</f>
        <v> </v>
      </c>
      <c r="F49" s="41"/>
      <c r="G49" s="41"/>
      <c r="H49" s="41"/>
      <c r="I49" s="42"/>
      <c r="J49" s="43" t="str">
        <f aca="false">IF(C49=" "," ",LOOKUP(C49,'Product Details'!A:A,'Product Details'!C:C))</f>
        <v> </v>
      </c>
      <c r="K49" s="44"/>
      <c r="L49" s="45" t="str">
        <f aca="false">IF(C49=" "," ",LOOKUP(1,'Invoice Database'!A:A,'Invoice Database'!AC:AC))</f>
        <v> </v>
      </c>
      <c r="M49" s="40"/>
      <c r="N49" s="46" t="str">
        <f aca="false">IF(O8=" "," ",IF(C49=" "," ",LOOKUP(C49,'Product Details'!A:A,'Product Details'!D:D)))</f>
        <v> </v>
      </c>
      <c r="O49" s="47"/>
      <c r="P49" s="48" t="str">
        <f aca="false">IF(L49=" "," ",J49*L49)</f>
        <v> </v>
      </c>
      <c r="Q49" s="48"/>
      <c r="R49" s="3"/>
      <c r="S49" s="3"/>
      <c r="V49" s="2" t="n">
        <f aca="false">IF(N49=" ",0,P49*N49/100)</f>
        <v>0</v>
      </c>
    </row>
    <row r="50" customFormat="false" ht="12.75" hidden="false" customHeight="true" outlineLevel="0" collapsed="false">
      <c r="A50" s="3"/>
      <c r="B50" s="3"/>
      <c r="C50" s="39" t="str">
        <f aca="false">IF(N27=" "," ",IF(LOOKUP(1,'Invoice Database'!A:A,'Invoice Database'!AD:AD)&gt;0,LOOKUP(1,'Invoice Database'!A:A,'Invoice Database'!AD:AD)," "))</f>
        <v> </v>
      </c>
      <c r="D50" s="40"/>
      <c r="E50" s="41" t="str">
        <f aca="false">IF(C50=" "," ",LOOKUP(C50,'Product Details'!A:A,'Product Details'!B:B))</f>
        <v> </v>
      </c>
      <c r="F50" s="41"/>
      <c r="G50" s="41"/>
      <c r="H50" s="41"/>
      <c r="I50" s="42"/>
      <c r="J50" s="43" t="str">
        <f aca="false">IF(C50=" "," ",LOOKUP(C50,'Product Details'!A:A,'Product Details'!C:C))</f>
        <v> </v>
      </c>
      <c r="K50" s="44"/>
      <c r="L50" s="45" t="str">
        <f aca="false">IF(C50=" "," ",LOOKUP(1,'Invoice Database'!A:A,'Invoice Database'!AE:AE))</f>
        <v> </v>
      </c>
      <c r="M50" s="40"/>
      <c r="N50" s="46" t="str">
        <f aca="false">IF(O8=" "," ",IF(C50=" "," ",LOOKUP(C50,'Product Details'!A:A,'Product Details'!D:D)))</f>
        <v> </v>
      </c>
      <c r="O50" s="47"/>
      <c r="P50" s="48" t="str">
        <f aca="false">IF(L50=" "," ",J50*L50)</f>
        <v> </v>
      </c>
      <c r="Q50" s="48"/>
      <c r="R50" s="3"/>
      <c r="S50" s="3"/>
      <c r="V50" s="2" t="n">
        <f aca="false">IF(N50=" ",0,P50*N50/100)</f>
        <v>0</v>
      </c>
    </row>
    <row r="51" customFormat="false" ht="12.75" hidden="false" customHeight="true" outlineLevel="0" collapsed="false">
      <c r="A51" s="3"/>
      <c r="B51" s="3"/>
      <c r="C51" s="39" t="str">
        <f aca="false">IF(N27=" "," ",IF(LOOKUP(1,'Invoice Database'!A:A,'Invoice Database'!AF:AF)&gt;0,LOOKUP(1,'Invoice Database'!A:A,'Invoice Database'!AF:AF)," "))</f>
        <v> </v>
      </c>
      <c r="D51" s="40"/>
      <c r="E51" s="41" t="str">
        <f aca="false">IF(C51=" "," ",LOOKUP(C51,'Product Details'!A:A,'Product Details'!B:B))</f>
        <v> </v>
      </c>
      <c r="F51" s="41"/>
      <c r="G51" s="41"/>
      <c r="H51" s="41"/>
      <c r="I51" s="42"/>
      <c r="J51" s="43" t="str">
        <f aca="false">IF(C51=" "," ",LOOKUP(C51,'Product Details'!A:A,'Product Details'!C:C))</f>
        <v> </v>
      </c>
      <c r="K51" s="44"/>
      <c r="L51" s="45" t="str">
        <f aca="false">IF(C51=" "," ",LOOKUP(1,'Invoice Database'!A:A,'Invoice Database'!AG:AG))</f>
        <v> </v>
      </c>
      <c r="M51" s="40"/>
      <c r="N51" s="46" t="str">
        <f aca="false">IF(O8=" "," ",IF(C51=" "," ",LOOKUP(C51,'Product Details'!A:A,'Product Details'!D:D)))</f>
        <v> </v>
      </c>
      <c r="O51" s="47"/>
      <c r="P51" s="48" t="str">
        <f aca="false">IF(L51=" "," ",J51*L51)</f>
        <v> </v>
      </c>
      <c r="Q51" s="48"/>
      <c r="R51" s="3"/>
      <c r="S51" s="3"/>
      <c r="V51" s="2" t="n">
        <f aca="false">IF(N51=" ",0,P51*N51/100)</f>
        <v>0</v>
      </c>
    </row>
    <row r="52" customFormat="false" ht="12.75" hidden="false" customHeight="true" outlineLevel="0" collapsed="false">
      <c r="A52" s="3"/>
      <c r="B52" s="3"/>
      <c r="C52" s="39" t="str">
        <f aca="false">IF(N27=" "," ",IF(LOOKUP(1,'Invoice Database'!A:A,'Invoice Database'!AH:AH)&gt;0,LOOKUP(1,'Invoice Database'!A:A,'Invoice Database'!AH:AH)," "))</f>
        <v> </v>
      </c>
      <c r="D52" s="40"/>
      <c r="E52" s="41" t="str">
        <f aca="false">IF(C52=" "," ",LOOKUP(C52,'Product Details'!A:A,'Product Details'!B:B))</f>
        <v> </v>
      </c>
      <c r="F52" s="41"/>
      <c r="G52" s="41"/>
      <c r="H52" s="41"/>
      <c r="I52" s="42"/>
      <c r="J52" s="43" t="str">
        <f aca="false">IF(C52=" "," ",LOOKUP(C52,'Product Details'!A:A,'Product Details'!C:C))</f>
        <v> </v>
      </c>
      <c r="K52" s="44"/>
      <c r="L52" s="45" t="str">
        <f aca="false">IF(C52=" "," ",LOOKUP(1,'Invoice Database'!A:A,'Invoice Database'!AI:AI))</f>
        <v> </v>
      </c>
      <c r="M52" s="40"/>
      <c r="N52" s="46" t="str">
        <f aca="false">IF(O8=" "," ",IF(C52=" "," ",LOOKUP(C52,'Product Details'!A:A,'Product Details'!D:D)))</f>
        <v> </v>
      </c>
      <c r="O52" s="47"/>
      <c r="P52" s="48" t="str">
        <f aca="false">IF(L52=" "," ",J52*L52)</f>
        <v> </v>
      </c>
      <c r="Q52" s="48"/>
      <c r="R52" s="3"/>
      <c r="S52" s="3"/>
      <c r="V52" s="2" t="n">
        <f aca="false">IF(N52=" ",0,P52*N52/100)</f>
        <v>0</v>
      </c>
    </row>
    <row r="53" customFormat="false" ht="12.75" hidden="false" customHeight="true" outlineLevel="0" collapsed="false">
      <c r="A53" s="3"/>
      <c r="B53" s="3"/>
      <c r="C53" s="39" t="str">
        <f aca="false">IF(N27=" "," ",IF(LOOKUP(1,'Invoice Database'!A:A,'Invoice Database'!AJ:AJ)&gt;0,LOOKUP(1,'Invoice Database'!A:A,'Invoice Database'!AJ:AJ)," "))</f>
        <v> </v>
      </c>
      <c r="D53" s="40"/>
      <c r="E53" s="41" t="str">
        <f aca="false">IF(C53=" "," ",LOOKUP(C53,'Product Details'!A:A,'Product Details'!B:B))</f>
        <v> </v>
      </c>
      <c r="F53" s="41"/>
      <c r="G53" s="41"/>
      <c r="H53" s="41"/>
      <c r="I53" s="42"/>
      <c r="J53" s="43" t="str">
        <f aca="false">IF(C53=" "," ",LOOKUP(C53,'Product Details'!A:A,'Product Details'!C:C))</f>
        <v> </v>
      </c>
      <c r="K53" s="44"/>
      <c r="L53" s="45" t="str">
        <f aca="false">IF(C53=" "," ",LOOKUP(1,'Invoice Database'!A:A,'Invoice Database'!AK:AK))</f>
        <v> </v>
      </c>
      <c r="M53" s="40"/>
      <c r="N53" s="46" t="str">
        <f aca="false">IF(O8=" "," ",IF(C53=" "," ",LOOKUP(C53,'Product Details'!A:A,'Product Details'!D:D)))</f>
        <v> </v>
      </c>
      <c r="O53" s="47"/>
      <c r="P53" s="48" t="str">
        <f aca="false">IF(L53=" "," ",J53*L53)</f>
        <v> </v>
      </c>
      <c r="Q53" s="48"/>
      <c r="R53" s="3"/>
      <c r="S53" s="3"/>
      <c r="V53" s="2" t="n">
        <f aca="false">IF(N53=" ",0,P53*N53/100)</f>
        <v>0</v>
      </c>
    </row>
    <row r="54" customFormat="false" ht="12.75" hidden="false" customHeight="true" outlineLevel="0" collapsed="false">
      <c r="A54" s="3"/>
      <c r="B54" s="3"/>
      <c r="C54" s="39" t="str">
        <f aca="false">IF(N27=" "," ",IF(LOOKUP(1,'Invoice Database'!A:A,'Invoice Database'!AL:AL)&gt;0,LOOKUP(1,'Invoice Database'!A:A,'Invoice Database'!AL:AL)," "))</f>
        <v> </v>
      </c>
      <c r="D54" s="40"/>
      <c r="E54" s="41" t="str">
        <f aca="false">IF(C54=" "," ",LOOKUP(C54,'Product Details'!A:A,'Product Details'!B:B))</f>
        <v> </v>
      </c>
      <c r="F54" s="41"/>
      <c r="G54" s="41"/>
      <c r="H54" s="41"/>
      <c r="I54" s="42"/>
      <c r="J54" s="43" t="str">
        <f aca="false">IF(C54=" "," ",LOOKUP(C54,'Product Details'!A:A,'Product Details'!C:C))</f>
        <v> </v>
      </c>
      <c r="K54" s="44"/>
      <c r="L54" s="45" t="str">
        <f aca="false">IF(C54=" "," ",LOOKUP(1,'Invoice Database'!A:A,'Invoice Database'!AM:AM))</f>
        <v> </v>
      </c>
      <c r="M54" s="40"/>
      <c r="N54" s="46" t="str">
        <f aca="false">IF(O8=" "," ",IF(C54=" "," ",LOOKUP(C54,'Product Details'!A:A,'Product Details'!D:D)))</f>
        <v> </v>
      </c>
      <c r="O54" s="47"/>
      <c r="P54" s="48" t="str">
        <f aca="false">IF(L54=" "," ",J54*L54)</f>
        <v> </v>
      </c>
      <c r="Q54" s="48"/>
      <c r="R54" s="3"/>
      <c r="S54" s="3"/>
      <c r="V54" s="2" t="n">
        <f aca="false">IF(N54=" ",0,P54*N54/100)</f>
        <v>0</v>
      </c>
    </row>
    <row r="55" customFormat="false" ht="12.75" hidden="false" customHeight="true" outlineLevel="0" collapsed="false">
      <c r="A55" s="3"/>
      <c r="B55" s="3"/>
      <c r="C55" s="39" t="str">
        <f aca="false">IF(N27=" "," ",IF(LOOKUP(1,'Invoice Database'!A:A,'Invoice Database'!AN:AN)&gt;0,LOOKUP(1,'Invoice Database'!A:A,'Invoice Database'!AN:AN)," "))</f>
        <v> </v>
      </c>
      <c r="D55" s="40"/>
      <c r="E55" s="41" t="str">
        <f aca="false">IF(C55=" "," ",LOOKUP(C55,'Product Details'!A:A,'Product Details'!B:B))</f>
        <v> </v>
      </c>
      <c r="F55" s="41"/>
      <c r="G55" s="41"/>
      <c r="H55" s="41"/>
      <c r="I55" s="42"/>
      <c r="J55" s="43" t="str">
        <f aca="false">IF(C55=" "," ",LOOKUP(C55,'Product Details'!A:A,'Product Details'!C:C))</f>
        <v> </v>
      </c>
      <c r="K55" s="44"/>
      <c r="L55" s="45" t="str">
        <f aca="false">IF(C55=" "," ",LOOKUP(1,'Invoice Database'!A:A,'Invoice Database'!AO:AO))</f>
        <v> </v>
      </c>
      <c r="M55" s="40"/>
      <c r="N55" s="46" t="str">
        <f aca="false">IF(O8=" "," ",IF(C55=" "," ",LOOKUP(C55,'Product Details'!A:A,'Product Details'!D:D)))</f>
        <v> </v>
      </c>
      <c r="O55" s="47"/>
      <c r="P55" s="48" t="str">
        <f aca="false">IF(L55=" "," ",J55*L55)</f>
        <v> </v>
      </c>
      <c r="Q55" s="48"/>
      <c r="R55" s="3"/>
      <c r="S55" s="3"/>
      <c r="V55" s="2" t="n">
        <f aca="false">IF(N55=" ",0,P55*N55/100)</f>
        <v>0</v>
      </c>
    </row>
    <row r="56" customFormat="false" ht="12.75" hidden="false" customHeight="true" outlineLevel="0" collapsed="false">
      <c r="A56" s="3"/>
      <c r="B56" s="3"/>
      <c r="C56" s="39" t="str">
        <f aca="false">IF(N27=" "," ",IF(LOOKUP(1,'Invoice Database'!A:A,'Invoice Database'!AP:AP)&gt;0,LOOKUP(1,'Invoice Database'!A:A,'Invoice Database'!AP:AP)," "))</f>
        <v> </v>
      </c>
      <c r="D56" s="40"/>
      <c r="E56" s="41" t="str">
        <f aca="false">IF(C56=" "," ",LOOKUP(C56,'Product Details'!A:A,'Product Details'!B:B))</f>
        <v> </v>
      </c>
      <c r="F56" s="41"/>
      <c r="G56" s="41"/>
      <c r="H56" s="41"/>
      <c r="I56" s="42"/>
      <c r="J56" s="43" t="str">
        <f aca="false">IF(C56=" "," ",LOOKUP(C56,'Product Details'!A:A,'Product Details'!C:C))</f>
        <v> </v>
      </c>
      <c r="K56" s="44"/>
      <c r="L56" s="45" t="str">
        <f aca="false">IF(C56=" "," ",LOOKUP(1,'Invoice Database'!A:A,'Invoice Database'!AQ:AQ))</f>
        <v> </v>
      </c>
      <c r="M56" s="40"/>
      <c r="N56" s="46" t="str">
        <f aca="false">IF(O8=" "," ",IF(C56=" "," ",LOOKUP(C56,'Product Details'!A:A,'Product Details'!D:D)))</f>
        <v> </v>
      </c>
      <c r="O56" s="47"/>
      <c r="P56" s="48" t="str">
        <f aca="false">IF(L56=" "," ",J56*L56)</f>
        <v> </v>
      </c>
      <c r="Q56" s="48"/>
      <c r="R56" s="3"/>
      <c r="S56" s="3"/>
      <c r="V56" s="2" t="n">
        <f aca="false">IF(N56=" ",0,P56*N56/100)</f>
        <v>0</v>
      </c>
    </row>
    <row r="57" customFormat="false" ht="12.75" hidden="false" customHeight="true" outlineLevel="0" collapsed="false">
      <c r="A57" s="3"/>
      <c r="B57" s="3"/>
      <c r="C57" s="39" t="str">
        <f aca="false">IF(N27=" "," ",IF(LOOKUP(1,'Invoice Database'!A:A,'Invoice Database'!AR:AR)&gt;0,LOOKUP(1,'Invoice Database'!A:A,'Invoice Database'!AR:AR)," "))</f>
        <v> </v>
      </c>
      <c r="D57" s="40"/>
      <c r="E57" s="41" t="str">
        <f aca="false">IF(C57=" "," ",LOOKUP(C57,'Product Details'!A:A,'Product Details'!B:B))</f>
        <v> </v>
      </c>
      <c r="F57" s="41"/>
      <c r="G57" s="41"/>
      <c r="H57" s="41"/>
      <c r="I57" s="42"/>
      <c r="J57" s="43" t="str">
        <f aca="false">IF(C57=" "," ",LOOKUP(C57,'Product Details'!A:A,'Product Details'!C:C))</f>
        <v> </v>
      </c>
      <c r="K57" s="44"/>
      <c r="L57" s="45" t="str">
        <f aca="false">IF(C57=" "," ",LOOKUP(1,'Invoice Database'!A:A,'Invoice Database'!AS:AS))</f>
        <v> </v>
      </c>
      <c r="M57" s="40"/>
      <c r="N57" s="46" t="str">
        <f aca="false">IF(O8=" "," ",IF(C57=" "," ",LOOKUP(C57,'Product Details'!A:A,'Product Details'!D:D)))</f>
        <v> </v>
      </c>
      <c r="O57" s="47"/>
      <c r="P57" s="48" t="str">
        <f aca="false">IF(L57=" "," ",J57*L57)</f>
        <v> </v>
      </c>
      <c r="Q57" s="48"/>
      <c r="R57" s="3"/>
      <c r="S57" s="3"/>
      <c r="V57" s="2" t="n">
        <f aca="false">IF(N57=" ",0,P57*N57/100)</f>
        <v>0</v>
      </c>
    </row>
    <row r="58" customFormat="false" ht="16.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L58" s="50" t="s">
        <v>13</v>
      </c>
      <c r="M58" s="50"/>
      <c r="N58" s="50"/>
      <c r="O58" s="17"/>
      <c r="P58" s="51" t="n">
        <f aca="false">SUM(P38:P57)</f>
        <v>0</v>
      </c>
      <c r="Q58" s="51"/>
      <c r="S58" s="3"/>
    </row>
    <row r="59" customFormat="false" ht="7.5" hidden="false" customHeight="true" outlineLevel="0" collapsed="false">
      <c r="A59" s="3"/>
      <c r="B59" s="3"/>
      <c r="L59" s="17"/>
      <c r="M59" s="17"/>
      <c r="N59" s="17"/>
      <c r="O59" s="17"/>
      <c r="P59" s="52"/>
      <c r="Q59" s="52"/>
      <c r="S59" s="3"/>
    </row>
    <row r="60" customFormat="false" ht="16.5" hidden="false" customHeight="true" outlineLevel="0" collapsed="false">
      <c r="A60" s="3"/>
      <c r="B60" s="3"/>
      <c r="C60" s="53" t="str">
        <f aca="false">IF('Business Details'!B14&gt;0,'Business Details'!B14," ")</f>
        <v>Terms strictly 30 days net</v>
      </c>
      <c r="D60" s="53"/>
      <c r="E60" s="53"/>
      <c r="F60" s="53"/>
      <c r="G60" s="53"/>
      <c r="H60" s="53"/>
      <c r="I60" s="53"/>
      <c r="L60" s="50" t="s">
        <v>14</v>
      </c>
      <c r="M60" s="50"/>
      <c r="N60" s="50"/>
      <c r="O60" s="17"/>
      <c r="P60" s="51" t="str">
        <f aca="false">IF(N27=" "," ",IF(N27&gt;0,IF(LOOKUP(N27,'Invoice Database'!B:B,'Invoice Database'!E:E)&gt;0,LOOKUP(N27,'Invoice Database'!B:B,'Invoice Database'!E:E),0)))</f>
        <v> </v>
      </c>
      <c r="Q60" s="51"/>
      <c r="S60" s="3"/>
    </row>
    <row r="61" customFormat="false" ht="7.5" hidden="false" customHeight="true" outlineLevel="0" collapsed="false">
      <c r="A61" s="3"/>
      <c r="B61" s="3"/>
      <c r="L61" s="17"/>
      <c r="M61" s="17"/>
      <c r="N61" s="17"/>
      <c r="O61" s="17"/>
      <c r="P61" s="52"/>
      <c r="Q61" s="52"/>
      <c r="S61" s="3"/>
    </row>
    <row r="62" customFormat="false" ht="16.5" hidden="false" customHeight="true" outlineLevel="0" collapsed="false">
      <c r="A62" s="3"/>
      <c r="B62" s="3"/>
      <c r="C62" s="7" t="str">
        <f aca="false">IF('Business Details'!B15&gt;0,'Business Details'!B15," ")</f>
        <v>Overdue accounts charged at 2% per month </v>
      </c>
      <c r="D62" s="7"/>
      <c r="E62" s="7"/>
      <c r="F62" s="7"/>
      <c r="G62" s="7"/>
      <c r="H62" s="7"/>
      <c r="I62" s="7"/>
      <c r="L62" s="50" t="s">
        <v>15</v>
      </c>
      <c r="M62" s="50"/>
      <c r="N62" s="50"/>
      <c r="O62" s="17"/>
      <c r="P62" s="51" t="n">
        <f aca="false">IF(P58&lt;&gt;0,SUM(V38:V57)+P60*0.2,0)</f>
        <v>0</v>
      </c>
      <c r="Q62" s="51"/>
      <c r="S62" s="3"/>
    </row>
    <row r="63" customFormat="false" ht="7.5" hidden="false" customHeight="true" outlineLevel="0" collapsed="false">
      <c r="A63" s="3"/>
      <c r="B63" s="3"/>
      <c r="L63" s="17"/>
      <c r="M63" s="17"/>
      <c r="N63" s="17"/>
      <c r="O63" s="17"/>
      <c r="P63" s="52"/>
      <c r="Q63" s="52"/>
      <c r="S63" s="3"/>
    </row>
    <row r="64" customFormat="false" ht="18" hidden="false" customHeight="true" outlineLevel="0" collapsed="false">
      <c r="A64" s="3"/>
      <c r="B64" s="3"/>
      <c r="C64" s="53" t="str">
        <f aca="false">IF('Business Details'!B16&gt;0,'Business Details'!B16," ")</f>
        <v> </v>
      </c>
      <c r="D64" s="53"/>
      <c r="E64" s="53"/>
      <c r="F64" s="53"/>
      <c r="G64" s="53"/>
      <c r="H64" s="53"/>
      <c r="I64" s="53"/>
      <c r="L64" s="54" t="str">
        <f aca="false">IF(P64&lt;0,"Credit Amount","Amount Payable")</f>
        <v>Amount Payable</v>
      </c>
      <c r="M64" s="54"/>
      <c r="N64" s="54"/>
      <c r="O64" s="55"/>
      <c r="P64" s="56" t="n">
        <f aca="false">SUM(P58:Q62)</f>
        <v>0</v>
      </c>
      <c r="Q64" s="56"/>
      <c r="S64" s="3"/>
    </row>
    <row r="65" customFormat="false" ht="12.75" hidden="false" customHeight="true" outlineLevel="0" collapsed="false">
      <c r="A65" s="3"/>
      <c r="B65" s="3"/>
      <c r="L65" s="55"/>
      <c r="M65" s="55"/>
      <c r="N65" s="55"/>
      <c r="O65" s="55"/>
      <c r="P65" s="57"/>
      <c r="Q65" s="58"/>
      <c r="S65" s="3"/>
    </row>
    <row r="66" customFormat="false" ht="12.75" hidden="false" customHeight="true" outlineLevel="0" collapsed="false">
      <c r="A66" s="3"/>
      <c r="B66" s="3"/>
      <c r="C66" s="59" t="str">
        <f aca="false">IF('Business Details'!B17&gt;0,'Business Details'!B17," ")</f>
        <v>All goods remain the property of &lt;enter business name&gt; until paid for in full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S66" s="3"/>
    </row>
    <row r="67" customFormat="false" ht="6" hidden="false" customHeight="true" outlineLevel="0" collapsed="false">
      <c r="A67" s="3"/>
      <c r="B67" s="3"/>
      <c r="S67" s="3"/>
    </row>
    <row r="68" customFormat="false" ht="12.75" hidden="false" customHeight="true" outlineLevel="0" collapsed="false">
      <c r="A68" s="3"/>
      <c r="B68" s="3"/>
      <c r="C68" s="59" t="str">
        <f aca="false">IF('Business Details'!B18&gt;0,'Business Details'!B18," ")</f>
        <v> 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S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S69" s="3"/>
    </row>
    <row r="70" customFormat="false" ht="12" hidden="false" customHeight="false" outlineLevel="0" collapsed="false">
      <c r="A70" s="60" t="s">
        <v>16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1"/>
    </row>
  </sheetData>
  <sheetProtection sheet="true" objects="true" scenarios="true"/>
  <mergeCells count="106">
    <mergeCell ref="G2:K3"/>
    <mergeCell ref="C5:G6"/>
    <mergeCell ref="J6:P6"/>
    <mergeCell ref="C8:G8"/>
    <mergeCell ref="J8:N8"/>
    <mergeCell ref="O8:P8"/>
    <mergeCell ref="C10:G10"/>
    <mergeCell ref="J10:P10"/>
    <mergeCell ref="J11:P11"/>
    <mergeCell ref="C12:G12"/>
    <mergeCell ref="J12:P12"/>
    <mergeCell ref="C13:G13"/>
    <mergeCell ref="J13:P13"/>
    <mergeCell ref="C14:G14"/>
    <mergeCell ref="J14:P14"/>
    <mergeCell ref="C15:G15"/>
    <mergeCell ref="J15:P15"/>
    <mergeCell ref="C16:G16"/>
    <mergeCell ref="J16:P16"/>
    <mergeCell ref="C17:G17"/>
    <mergeCell ref="J17:P17"/>
    <mergeCell ref="C18:G18"/>
    <mergeCell ref="J18:P18"/>
    <mergeCell ref="J19:P19"/>
    <mergeCell ref="C20:G20"/>
    <mergeCell ref="J20:L20"/>
    <mergeCell ref="N20:P20"/>
    <mergeCell ref="J21:P21"/>
    <mergeCell ref="J22:L22"/>
    <mergeCell ref="N22:P22"/>
    <mergeCell ref="J23:P23"/>
    <mergeCell ref="L24:P24"/>
    <mergeCell ref="C25:G25"/>
    <mergeCell ref="N25:P25"/>
    <mergeCell ref="C26:G26"/>
    <mergeCell ref="N26:P26"/>
    <mergeCell ref="C27:G27"/>
    <mergeCell ref="J27:L27"/>
    <mergeCell ref="N27:P27"/>
    <mergeCell ref="C29:G29"/>
    <mergeCell ref="J29:L29"/>
    <mergeCell ref="N29:P29"/>
    <mergeCell ref="C30:G30"/>
    <mergeCell ref="C31:G31"/>
    <mergeCell ref="J31:L31"/>
    <mergeCell ref="N31:P31"/>
    <mergeCell ref="C33:G33"/>
    <mergeCell ref="J33:L33"/>
    <mergeCell ref="N33:P33"/>
    <mergeCell ref="C35:G35"/>
    <mergeCell ref="E37:H37"/>
    <mergeCell ref="P37:Q37"/>
    <mergeCell ref="E38:H38"/>
    <mergeCell ref="P38:Q38"/>
    <mergeCell ref="E39:H39"/>
    <mergeCell ref="P39:Q39"/>
    <mergeCell ref="E40:H40"/>
    <mergeCell ref="P40:Q40"/>
    <mergeCell ref="E41:H41"/>
    <mergeCell ref="P41:Q41"/>
    <mergeCell ref="E42:H42"/>
    <mergeCell ref="P42:Q42"/>
    <mergeCell ref="E43:H43"/>
    <mergeCell ref="P43:Q43"/>
    <mergeCell ref="E44:H44"/>
    <mergeCell ref="P44:Q44"/>
    <mergeCell ref="E45:H45"/>
    <mergeCell ref="P45:Q45"/>
    <mergeCell ref="E46:H46"/>
    <mergeCell ref="P46:Q46"/>
    <mergeCell ref="E47:H47"/>
    <mergeCell ref="P47:Q47"/>
    <mergeCell ref="E48:H48"/>
    <mergeCell ref="P48:Q48"/>
    <mergeCell ref="E49:H49"/>
    <mergeCell ref="P49:Q49"/>
    <mergeCell ref="E50:H50"/>
    <mergeCell ref="P50:Q50"/>
    <mergeCell ref="E51:H51"/>
    <mergeCell ref="P51:Q51"/>
    <mergeCell ref="E52:H52"/>
    <mergeCell ref="P52:Q52"/>
    <mergeCell ref="E53:H53"/>
    <mergeCell ref="P53:Q53"/>
    <mergeCell ref="E54:H54"/>
    <mergeCell ref="P54:Q54"/>
    <mergeCell ref="E55:H55"/>
    <mergeCell ref="P55:Q55"/>
    <mergeCell ref="E56:H56"/>
    <mergeCell ref="P56:Q56"/>
    <mergeCell ref="E57:H57"/>
    <mergeCell ref="P57:Q57"/>
    <mergeCell ref="L58:N58"/>
    <mergeCell ref="P58:Q58"/>
    <mergeCell ref="C60:I60"/>
    <mergeCell ref="L60:N60"/>
    <mergeCell ref="P60:Q60"/>
    <mergeCell ref="C62:I62"/>
    <mergeCell ref="L62:N62"/>
    <mergeCell ref="P62:Q62"/>
    <mergeCell ref="C64:I64"/>
    <mergeCell ref="L64:N64"/>
    <mergeCell ref="P64:Q64"/>
    <mergeCell ref="C66:Q66"/>
    <mergeCell ref="C68:Q68"/>
    <mergeCell ref="A70:S70"/>
  </mergeCells>
  <printOptions headings="false" gridLines="false" gridLinesSet="true" horizontalCentered="true" verticalCentered="true"/>
  <pageMargins left="0" right="0" top="0.19652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62" width="9.82"/>
    <col collapsed="false" customWidth="true" hidden="false" outlineLevel="0" max="2" min="2" style="63" width="8.49"/>
    <col collapsed="false" customWidth="true" hidden="false" outlineLevel="0" max="3" min="3" style="64" width="8.49"/>
    <col collapsed="false" customWidth="true" hidden="false" outlineLevel="0" max="4" min="4" style="63" width="8.49"/>
    <col collapsed="false" customWidth="true" hidden="false" outlineLevel="0" max="5" min="5" style="65" width="8.49"/>
    <col collapsed="false" customWidth="true" hidden="false" outlineLevel="0" max="45" min="6" style="63" width="8.49"/>
    <col collapsed="false" customWidth="false" hidden="false" outlineLevel="0" max="257" min="46" style="66" width="9.15"/>
  </cols>
  <sheetData>
    <row r="1" s="71" customFormat="true" ht="39" hidden="false" customHeight="true" outlineLevel="0" collapsed="false">
      <c r="A1" s="67" t="s">
        <v>17</v>
      </c>
      <c r="B1" s="68" t="s">
        <v>18</v>
      </c>
      <c r="C1" s="69" t="s">
        <v>19</v>
      </c>
      <c r="D1" s="68" t="s">
        <v>20</v>
      </c>
      <c r="E1" s="70" t="s">
        <v>21</v>
      </c>
      <c r="F1" s="68" t="s">
        <v>22</v>
      </c>
      <c r="G1" s="68" t="s">
        <v>10</v>
      </c>
      <c r="H1" s="68" t="s">
        <v>23</v>
      </c>
      <c r="I1" s="68" t="s">
        <v>10</v>
      </c>
      <c r="J1" s="68" t="s">
        <v>24</v>
      </c>
      <c r="K1" s="68" t="s">
        <v>10</v>
      </c>
      <c r="L1" s="68" t="s">
        <v>25</v>
      </c>
      <c r="M1" s="68" t="s">
        <v>10</v>
      </c>
      <c r="N1" s="68" t="s">
        <v>26</v>
      </c>
      <c r="O1" s="68" t="s">
        <v>10</v>
      </c>
      <c r="P1" s="68" t="s">
        <v>27</v>
      </c>
      <c r="Q1" s="68" t="s">
        <v>10</v>
      </c>
      <c r="R1" s="68" t="s">
        <v>28</v>
      </c>
      <c r="S1" s="68" t="s">
        <v>10</v>
      </c>
      <c r="T1" s="68" t="s">
        <v>29</v>
      </c>
      <c r="U1" s="68" t="s">
        <v>10</v>
      </c>
      <c r="V1" s="68" t="s">
        <v>30</v>
      </c>
      <c r="W1" s="68" t="s">
        <v>10</v>
      </c>
      <c r="X1" s="68" t="s">
        <v>31</v>
      </c>
      <c r="Y1" s="68" t="s">
        <v>10</v>
      </c>
      <c r="Z1" s="68" t="s">
        <v>32</v>
      </c>
      <c r="AA1" s="68" t="s">
        <v>10</v>
      </c>
      <c r="AB1" s="68" t="s">
        <v>33</v>
      </c>
      <c r="AC1" s="68" t="s">
        <v>10</v>
      </c>
      <c r="AD1" s="68" t="s">
        <v>34</v>
      </c>
      <c r="AE1" s="68" t="s">
        <v>10</v>
      </c>
      <c r="AF1" s="68" t="s">
        <v>35</v>
      </c>
      <c r="AG1" s="68" t="s">
        <v>10</v>
      </c>
      <c r="AH1" s="68" t="s">
        <v>36</v>
      </c>
      <c r="AI1" s="68" t="s">
        <v>10</v>
      </c>
      <c r="AJ1" s="68" t="s">
        <v>37</v>
      </c>
      <c r="AK1" s="68" t="s">
        <v>10</v>
      </c>
      <c r="AL1" s="68" t="s">
        <v>38</v>
      </c>
      <c r="AM1" s="68" t="s">
        <v>10</v>
      </c>
      <c r="AN1" s="68" t="s">
        <v>39</v>
      </c>
      <c r="AO1" s="68" t="s">
        <v>10</v>
      </c>
      <c r="AP1" s="68" t="s">
        <v>40</v>
      </c>
      <c r="AQ1" s="68" t="s">
        <v>10</v>
      </c>
      <c r="AR1" s="68" t="s">
        <v>41</v>
      </c>
      <c r="AS1" s="68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72" width="9.15"/>
    <col collapsed="false" customWidth="true" hidden="false" outlineLevel="0" max="3" min="2" style="73" width="20.66"/>
    <col collapsed="false" customWidth="true" hidden="false" outlineLevel="0" max="6" min="4" style="73" width="21.66"/>
    <col collapsed="false" customWidth="true" hidden="false" outlineLevel="0" max="7" min="7" style="73" width="9.66"/>
    <col collapsed="false" customWidth="true" hidden="false" outlineLevel="0" max="8" min="8" style="73" width="1.15"/>
    <col collapsed="false" customWidth="true" hidden="false" outlineLevel="0" max="9" min="9" style="73" width="20.66"/>
    <col collapsed="false" customWidth="true" hidden="false" outlineLevel="0" max="12" min="10" style="73" width="21.66"/>
    <col collapsed="false" customWidth="true" hidden="false" outlineLevel="0" max="13" min="13" style="73" width="9.66"/>
    <col collapsed="false" customWidth="false" hidden="false" outlineLevel="0" max="257" min="14" style="73" width="9.15"/>
  </cols>
  <sheetData>
    <row r="1" s="71" customFormat="true" ht="32.8" hidden="false" customHeight="false" outlineLevel="0" collapsed="false">
      <c r="A1" s="68" t="s">
        <v>20</v>
      </c>
      <c r="B1" s="74" t="s">
        <v>42</v>
      </c>
      <c r="C1" s="74" t="s">
        <v>43</v>
      </c>
      <c r="D1" s="74" t="s">
        <v>44</v>
      </c>
      <c r="E1" s="74" t="s">
        <v>45</v>
      </c>
      <c r="F1" s="74" t="s">
        <v>46</v>
      </c>
      <c r="G1" s="74" t="s">
        <v>47</v>
      </c>
      <c r="I1" s="74" t="s">
        <v>48</v>
      </c>
      <c r="J1" s="74" t="s">
        <v>49</v>
      </c>
      <c r="K1" s="74" t="s">
        <v>50</v>
      </c>
      <c r="L1" s="74" t="s">
        <v>51</v>
      </c>
      <c r="M1" s="74" t="s">
        <v>52</v>
      </c>
    </row>
    <row r="2" customFormat="false" ht="12" hidden="false" customHeight="false" outlineLevel="0" collapsed="false">
      <c r="A2" s="72" t="n">
        <v>101</v>
      </c>
      <c r="B2" s="73" t="s">
        <v>53</v>
      </c>
      <c r="C2" s="73" t="s">
        <v>53</v>
      </c>
      <c r="D2" s="73" t="s">
        <v>53</v>
      </c>
      <c r="E2" s="73" t="s">
        <v>53</v>
      </c>
      <c r="F2" s="73" t="s">
        <v>53</v>
      </c>
      <c r="G2" s="73" t="s">
        <v>53</v>
      </c>
      <c r="I2" s="73" t="str">
        <f aca="false">C2</f>
        <v> </v>
      </c>
      <c r="J2" s="73" t="str">
        <f aca="false">D2</f>
        <v> </v>
      </c>
      <c r="K2" s="73" t="str">
        <f aca="false">E2</f>
        <v> </v>
      </c>
      <c r="L2" s="73" t="str">
        <f aca="false">F2</f>
        <v> </v>
      </c>
      <c r="M2" s="73" t="str">
        <f aca="false">G2</f>
        <v> </v>
      </c>
    </row>
    <row r="3" customFormat="false" ht="12" hidden="false" customHeight="false" outlineLevel="0" collapsed="false">
      <c r="B3" s="73" t="s">
        <v>53</v>
      </c>
      <c r="C3" s="73" t="s">
        <v>53</v>
      </c>
      <c r="D3" s="73" t="s">
        <v>53</v>
      </c>
      <c r="E3" s="73" t="s">
        <v>53</v>
      </c>
      <c r="F3" s="73" t="s">
        <v>53</v>
      </c>
      <c r="G3" s="73" t="s">
        <v>53</v>
      </c>
      <c r="I3" s="73" t="str">
        <f aca="false">C3</f>
        <v> </v>
      </c>
      <c r="J3" s="73" t="str">
        <f aca="false">D3</f>
        <v> </v>
      </c>
      <c r="K3" s="73" t="str">
        <f aca="false">E3</f>
        <v> </v>
      </c>
      <c r="L3" s="73" t="str">
        <f aca="false">F3</f>
        <v> </v>
      </c>
      <c r="M3" s="73" t="str">
        <f aca="false">G3</f>
        <v> </v>
      </c>
    </row>
    <row r="4" customFormat="false" ht="12" hidden="false" customHeight="false" outlineLevel="0" collapsed="false">
      <c r="B4" s="73" t="s">
        <v>53</v>
      </c>
      <c r="C4" s="73" t="s">
        <v>53</v>
      </c>
      <c r="D4" s="73" t="s">
        <v>53</v>
      </c>
      <c r="E4" s="73" t="s">
        <v>53</v>
      </c>
      <c r="F4" s="73" t="s">
        <v>53</v>
      </c>
      <c r="G4" s="73" t="s">
        <v>53</v>
      </c>
      <c r="I4" s="73" t="str">
        <f aca="false">C4</f>
        <v> </v>
      </c>
      <c r="J4" s="73" t="str">
        <f aca="false">D4</f>
        <v> </v>
      </c>
      <c r="K4" s="73" t="str">
        <f aca="false">E4</f>
        <v> </v>
      </c>
      <c r="L4" s="73" t="str">
        <f aca="false">F4</f>
        <v> </v>
      </c>
      <c r="M4" s="73" t="str">
        <f aca="false">G4</f>
        <v> </v>
      </c>
    </row>
    <row r="5" customFormat="false" ht="12" hidden="false" customHeight="false" outlineLevel="0" collapsed="false">
      <c r="B5" s="73" t="s">
        <v>53</v>
      </c>
      <c r="C5" s="73" t="s">
        <v>53</v>
      </c>
      <c r="D5" s="73" t="s">
        <v>53</v>
      </c>
      <c r="E5" s="73" t="s">
        <v>53</v>
      </c>
      <c r="F5" s="73" t="s">
        <v>53</v>
      </c>
      <c r="G5" s="73" t="s">
        <v>53</v>
      </c>
    </row>
    <row r="6" customFormat="false" ht="12" hidden="false" customHeight="false" outlineLevel="0" collapsed="false">
      <c r="B6" s="73" t="s">
        <v>53</v>
      </c>
      <c r="C6" s="73" t="s">
        <v>53</v>
      </c>
      <c r="D6" s="73" t="s">
        <v>53</v>
      </c>
      <c r="E6" s="73" t="s">
        <v>53</v>
      </c>
      <c r="F6" s="73" t="s">
        <v>53</v>
      </c>
      <c r="G6" s="73" t="s">
        <v>53</v>
      </c>
    </row>
    <row r="7" customFormat="false" ht="12" hidden="false" customHeight="false" outlineLevel="0" collapsed="false">
      <c r="B7" s="73" t="s">
        <v>53</v>
      </c>
      <c r="C7" s="73" t="s">
        <v>53</v>
      </c>
      <c r="D7" s="73" t="s">
        <v>53</v>
      </c>
      <c r="E7" s="73" t="s">
        <v>53</v>
      </c>
      <c r="F7" s="73" t="s">
        <v>53</v>
      </c>
      <c r="G7" s="73" t="s">
        <v>53</v>
      </c>
    </row>
    <row r="8" customFormat="false" ht="12" hidden="false" customHeight="false" outlineLevel="0" collapsed="false">
      <c r="B8" s="73" t="s">
        <v>53</v>
      </c>
      <c r="C8" s="73" t="s">
        <v>53</v>
      </c>
      <c r="D8" s="73" t="s">
        <v>53</v>
      </c>
      <c r="E8" s="73" t="s">
        <v>53</v>
      </c>
      <c r="F8" s="73" t="s">
        <v>53</v>
      </c>
      <c r="G8" s="73" t="s">
        <v>53</v>
      </c>
    </row>
    <row r="9" customFormat="false" ht="12" hidden="false" customHeight="false" outlineLevel="0" collapsed="false">
      <c r="B9" s="73" t="s">
        <v>53</v>
      </c>
      <c r="C9" s="73" t="s">
        <v>53</v>
      </c>
      <c r="D9" s="73" t="s">
        <v>53</v>
      </c>
      <c r="E9" s="73" t="s">
        <v>53</v>
      </c>
      <c r="F9" s="73" t="s">
        <v>53</v>
      </c>
      <c r="G9" s="73" t="s">
        <v>53</v>
      </c>
    </row>
    <row r="10" customFormat="false" ht="12" hidden="false" customHeight="false" outlineLevel="0" collapsed="false">
      <c r="B10" s="73" t="s">
        <v>53</v>
      </c>
      <c r="C10" s="73" t="s">
        <v>53</v>
      </c>
      <c r="D10" s="73" t="s">
        <v>53</v>
      </c>
      <c r="E10" s="73" t="s">
        <v>53</v>
      </c>
      <c r="F10" s="73" t="s">
        <v>53</v>
      </c>
      <c r="G10" s="73" t="s">
        <v>53</v>
      </c>
      <c r="I10" s="73" t="str">
        <f aca="false">IF(C10&gt;0,C10," ")</f>
        <v> </v>
      </c>
      <c r="J10" s="73" t="str">
        <f aca="false">IF(D10&gt;0,D10," ")</f>
        <v> </v>
      </c>
      <c r="K10" s="73" t="str">
        <f aca="false">IF(E10&gt;0,E10," ")</f>
        <v> </v>
      </c>
      <c r="L10" s="73" t="str">
        <f aca="false">IF(F10&gt;0,F10," ")</f>
        <v> </v>
      </c>
      <c r="M10" s="73" t="str">
        <f aca="false">IF(G10&gt;0,G10," ")</f>
        <v> </v>
      </c>
    </row>
    <row r="11" customFormat="false" ht="12" hidden="false" customHeight="false" outlineLevel="0" collapsed="false">
      <c r="B11" s="73" t="s">
        <v>53</v>
      </c>
      <c r="C11" s="73" t="s">
        <v>53</v>
      </c>
      <c r="D11" s="73" t="s">
        <v>53</v>
      </c>
      <c r="E11" s="73" t="s">
        <v>53</v>
      </c>
      <c r="F11" s="73" t="s">
        <v>53</v>
      </c>
      <c r="G11" s="73" t="s">
        <v>53</v>
      </c>
      <c r="I11" s="73" t="str">
        <f aca="false">IF(C11&gt;0,C11," ")</f>
        <v> </v>
      </c>
      <c r="J11" s="73" t="str">
        <f aca="false">IF(D11&gt;0,D11," ")</f>
        <v> </v>
      </c>
      <c r="K11" s="73" t="str">
        <f aca="false">IF(E11&gt;0,E11," ")</f>
        <v> </v>
      </c>
      <c r="L11" s="73" t="str">
        <f aca="false">IF(F11&gt;0,F11," ")</f>
        <v> </v>
      </c>
      <c r="M11" s="73" t="str">
        <f aca="false">IF(G11&gt;0,G11," ")</f>
        <v> </v>
      </c>
    </row>
    <row r="12" customFormat="false" ht="12" hidden="false" customHeight="false" outlineLevel="0" collapsed="false">
      <c r="B12" s="73" t="s">
        <v>53</v>
      </c>
      <c r="C12" s="73" t="s">
        <v>53</v>
      </c>
      <c r="D12" s="73" t="s">
        <v>53</v>
      </c>
      <c r="E12" s="73" t="s">
        <v>53</v>
      </c>
      <c r="F12" s="73" t="s">
        <v>53</v>
      </c>
      <c r="G12" s="73" t="s">
        <v>53</v>
      </c>
      <c r="I12" s="73" t="str">
        <f aca="false">IF(C12&gt;0,C12," ")</f>
        <v> </v>
      </c>
      <c r="J12" s="73" t="str">
        <f aca="false">IF(D12&gt;0,D12," ")</f>
        <v> </v>
      </c>
      <c r="K12" s="73" t="str">
        <f aca="false">IF(E12&gt;0,E12," ")</f>
        <v> </v>
      </c>
      <c r="L12" s="73" t="str">
        <f aca="false">IF(F12&gt;0,F12," ")</f>
        <v> </v>
      </c>
      <c r="M12" s="73" t="str">
        <f aca="false">IF(G12&gt;0,G12," ")</f>
        <v> </v>
      </c>
    </row>
    <row r="13" customFormat="false" ht="12" hidden="false" customHeight="false" outlineLevel="0" collapsed="false">
      <c r="B13" s="73" t="s">
        <v>53</v>
      </c>
      <c r="C13" s="73" t="s">
        <v>53</v>
      </c>
      <c r="D13" s="73" t="s">
        <v>53</v>
      </c>
      <c r="E13" s="73" t="s">
        <v>53</v>
      </c>
      <c r="F13" s="73" t="s">
        <v>53</v>
      </c>
      <c r="G13" s="73" t="s">
        <v>53</v>
      </c>
      <c r="I13" s="73" t="str">
        <f aca="false">IF(C13&gt;0,C13," ")</f>
        <v> </v>
      </c>
      <c r="J13" s="73" t="str">
        <f aca="false">IF(D13&gt;0,D13," ")</f>
        <v> </v>
      </c>
      <c r="K13" s="73" t="str">
        <f aca="false">IF(E13&gt;0,E13," ")</f>
        <v> </v>
      </c>
      <c r="L13" s="73" t="str">
        <f aca="false">IF(F13&gt;0,F13," ")</f>
        <v> </v>
      </c>
      <c r="M13" s="73" t="str">
        <f aca="false">IF(G13&gt;0,G13," ")</f>
        <v> </v>
      </c>
    </row>
    <row r="14" customFormat="false" ht="12" hidden="false" customHeight="false" outlineLevel="0" collapsed="false">
      <c r="B14" s="73" t="s">
        <v>53</v>
      </c>
      <c r="C14" s="73" t="s">
        <v>53</v>
      </c>
      <c r="D14" s="73" t="s">
        <v>53</v>
      </c>
      <c r="E14" s="73" t="s">
        <v>53</v>
      </c>
      <c r="F14" s="73" t="s">
        <v>53</v>
      </c>
      <c r="G14" s="73" t="s">
        <v>53</v>
      </c>
      <c r="I14" s="73" t="str">
        <f aca="false">IF(C14&gt;0,C14," ")</f>
        <v> </v>
      </c>
      <c r="J14" s="73" t="str">
        <f aca="false">IF(D14&gt;0,D14," ")</f>
        <v> </v>
      </c>
      <c r="K14" s="73" t="str">
        <f aca="false">IF(E14&gt;0,E14," ")</f>
        <v> </v>
      </c>
      <c r="L14" s="73" t="str">
        <f aca="false">IF(F14&gt;0,F14," ")</f>
        <v> </v>
      </c>
      <c r="M14" s="73" t="str">
        <f aca="false">IF(G14&gt;0,G14," ")</f>
        <v> </v>
      </c>
    </row>
    <row r="15" customFormat="false" ht="12" hidden="false" customHeight="false" outlineLevel="0" collapsed="false">
      <c r="B15" s="73" t="s">
        <v>53</v>
      </c>
      <c r="C15" s="73" t="s">
        <v>53</v>
      </c>
      <c r="D15" s="73" t="s">
        <v>53</v>
      </c>
      <c r="E15" s="73" t="s">
        <v>53</v>
      </c>
      <c r="F15" s="73" t="s">
        <v>53</v>
      </c>
      <c r="G15" s="73" t="s">
        <v>53</v>
      </c>
      <c r="I15" s="73" t="str">
        <f aca="false">IF(C15&gt;0,C15," ")</f>
        <v> </v>
      </c>
      <c r="J15" s="73" t="str">
        <f aca="false">IF(D15&gt;0,D15," ")</f>
        <v> </v>
      </c>
      <c r="K15" s="73" t="str">
        <f aca="false">IF(E15&gt;0,E15," ")</f>
        <v> </v>
      </c>
      <c r="L15" s="73" t="str">
        <f aca="false">IF(F15&gt;0,F15," ")</f>
        <v> </v>
      </c>
      <c r="M15" s="73" t="str">
        <f aca="false">IF(G15&gt;0,G15," ")</f>
        <v> </v>
      </c>
    </row>
    <row r="16" customFormat="false" ht="12" hidden="false" customHeight="false" outlineLevel="0" collapsed="false">
      <c r="B16" s="73" t="s">
        <v>53</v>
      </c>
      <c r="C16" s="73" t="s">
        <v>53</v>
      </c>
      <c r="D16" s="73" t="s">
        <v>53</v>
      </c>
      <c r="E16" s="73" t="s">
        <v>53</v>
      </c>
      <c r="F16" s="73" t="s">
        <v>53</v>
      </c>
      <c r="G16" s="73" t="s">
        <v>53</v>
      </c>
      <c r="I16" s="73" t="str">
        <f aca="false">IF(C16&gt;0,C16," ")</f>
        <v> </v>
      </c>
      <c r="J16" s="73" t="str">
        <f aca="false">IF(D16&gt;0,D16," ")</f>
        <v> </v>
      </c>
      <c r="K16" s="73" t="str">
        <f aca="false">IF(E16&gt;0,E16," ")</f>
        <v> </v>
      </c>
      <c r="L16" s="73" t="str">
        <f aca="false">IF(F16&gt;0,F16," ")</f>
        <v> </v>
      </c>
      <c r="M16" s="73" t="str">
        <f aca="false">IF(G16&gt;0,G16," ")</f>
        <v> </v>
      </c>
    </row>
    <row r="17" customFormat="false" ht="12" hidden="false" customHeight="false" outlineLevel="0" collapsed="false">
      <c r="B17" s="73" t="s">
        <v>53</v>
      </c>
      <c r="C17" s="73" t="s">
        <v>53</v>
      </c>
      <c r="D17" s="73" t="s">
        <v>53</v>
      </c>
      <c r="E17" s="73" t="s">
        <v>53</v>
      </c>
      <c r="F17" s="73" t="s">
        <v>53</v>
      </c>
      <c r="G17" s="73" t="s">
        <v>53</v>
      </c>
      <c r="I17" s="73" t="str">
        <f aca="false">IF(C17&gt;0,C17," ")</f>
        <v> </v>
      </c>
      <c r="J17" s="73" t="str">
        <f aca="false">IF(D17&gt;0,D17," ")</f>
        <v> </v>
      </c>
      <c r="K17" s="73" t="str">
        <f aca="false">IF(E17&gt;0,E17," ")</f>
        <v> </v>
      </c>
      <c r="L17" s="73" t="str">
        <f aca="false">IF(F17&gt;0,F17," ")</f>
        <v> </v>
      </c>
      <c r="M17" s="73" t="str">
        <f aca="false">IF(G17&gt;0,G17," ")</f>
        <v> </v>
      </c>
    </row>
    <row r="18" customFormat="false" ht="12" hidden="false" customHeight="false" outlineLevel="0" collapsed="false">
      <c r="B18" s="73" t="s">
        <v>53</v>
      </c>
      <c r="C18" s="73" t="s">
        <v>53</v>
      </c>
      <c r="D18" s="73" t="s">
        <v>53</v>
      </c>
      <c r="E18" s="73" t="s">
        <v>53</v>
      </c>
      <c r="F18" s="73" t="s">
        <v>53</v>
      </c>
      <c r="G18" s="73" t="s">
        <v>53</v>
      </c>
      <c r="I18" s="73" t="str">
        <f aca="false">IF(C18&gt;0,C18," ")</f>
        <v> </v>
      </c>
      <c r="J18" s="73" t="str">
        <f aca="false">IF(D18&gt;0,D18," ")</f>
        <v> </v>
      </c>
      <c r="K18" s="73" t="str">
        <f aca="false">IF(E18&gt;0,E18," ")</f>
        <v> </v>
      </c>
      <c r="L18" s="73" t="str">
        <f aca="false">IF(F18&gt;0,F18," ")</f>
        <v> </v>
      </c>
      <c r="M18" s="73" t="str">
        <f aca="false">IF(G18&gt;0,G18," ")</f>
        <v> </v>
      </c>
    </row>
    <row r="19" customFormat="false" ht="12" hidden="false" customHeight="false" outlineLevel="0" collapsed="false">
      <c r="B19" s="73" t="s">
        <v>53</v>
      </c>
      <c r="C19" s="73" t="s">
        <v>53</v>
      </c>
      <c r="D19" s="73" t="s">
        <v>53</v>
      </c>
      <c r="E19" s="73" t="s">
        <v>53</v>
      </c>
      <c r="F19" s="73" t="s">
        <v>53</v>
      </c>
      <c r="G19" s="73" t="s">
        <v>53</v>
      </c>
      <c r="I19" s="73" t="str">
        <f aca="false">IF(C19&gt;0,C19," ")</f>
        <v> </v>
      </c>
      <c r="J19" s="73" t="str">
        <f aca="false">IF(D19&gt;0,D19," ")</f>
        <v> </v>
      </c>
      <c r="K19" s="73" t="str">
        <f aca="false">IF(E19&gt;0,E19," ")</f>
        <v> </v>
      </c>
      <c r="L19" s="73" t="str">
        <f aca="false">IF(F19&gt;0,F19," ")</f>
        <v> </v>
      </c>
      <c r="M19" s="73" t="str">
        <f aca="false">IF(G19&gt;0,G19," ")</f>
        <v> </v>
      </c>
    </row>
    <row r="20" customFormat="false" ht="12" hidden="false" customHeight="false" outlineLevel="0" collapsed="false">
      <c r="B20" s="73" t="s">
        <v>53</v>
      </c>
      <c r="C20" s="73" t="s">
        <v>53</v>
      </c>
      <c r="D20" s="73" t="s">
        <v>53</v>
      </c>
      <c r="E20" s="73" t="s">
        <v>53</v>
      </c>
      <c r="F20" s="73" t="s">
        <v>53</v>
      </c>
      <c r="G20" s="73" t="s">
        <v>53</v>
      </c>
      <c r="I20" s="73" t="str">
        <f aca="false">IF(C20&gt;0,C20," ")</f>
        <v> </v>
      </c>
      <c r="J20" s="73" t="str">
        <f aca="false">IF(D20&gt;0,D20," ")</f>
        <v> </v>
      </c>
      <c r="K20" s="73" t="str">
        <f aca="false">IF(E20&gt;0,E20," ")</f>
        <v> </v>
      </c>
      <c r="L20" s="73" t="str">
        <f aca="false">IF(F20&gt;0,F20," ")</f>
        <v> </v>
      </c>
      <c r="M20" s="73" t="str">
        <f aca="false">IF(G20&gt;0,G20," ")</f>
        <v> </v>
      </c>
    </row>
    <row r="21" customFormat="false" ht="12" hidden="false" customHeight="false" outlineLevel="0" collapsed="false">
      <c r="B21" s="73" t="s">
        <v>53</v>
      </c>
      <c r="C21" s="73" t="s">
        <v>53</v>
      </c>
      <c r="D21" s="73" t="s">
        <v>53</v>
      </c>
      <c r="E21" s="73" t="s">
        <v>53</v>
      </c>
      <c r="F21" s="73" t="s">
        <v>53</v>
      </c>
      <c r="G21" s="73" t="s">
        <v>53</v>
      </c>
      <c r="I21" s="73" t="str">
        <f aca="false">IF(C21&gt;0,C21," ")</f>
        <v> </v>
      </c>
      <c r="J21" s="73" t="str">
        <f aca="false">IF(D21&gt;0,D21," ")</f>
        <v> </v>
      </c>
      <c r="K21" s="73" t="str">
        <f aca="false">IF(E21&gt;0,E21," ")</f>
        <v> </v>
      </c>
      <c r="L21" s="73" t="str">
        <f aca="false">IF(F21&gt;0,F21," ")</f>
        <v> </v>
      </c>
      <c r="M21" s="73" t="str">
        <f aca="false">IF(G21&gt;0,G21," ")</f>
        <v> </v>
      </c>
    </row>
    <row r="22" customFormat="false" ht="12" hidden="false" customHeight="false" outlineLevel="0" collapsed="false">
      <c r="B22" s="73" t="s">
        <v>53</v>
      </c>
      <c r="C22" s="73" t="s">
        <v>53</v>
      </c>
      <c r="D22" s="73" t="s">
        <v>53</v>
      </c>
      <c r="E22" s="73" t="s">
        <v>53</v>
      </c>
      <c r="F22" s="73" t="s">
        <v>53</v>
      </c>
      <c r="G22" s="73" t="s">
        <v>53</v>
      </c>
      <c r="I22" s="73" t="str">
        <f aca="false">IF(C22&gt;0,C22," ")</f>
        <v> </v>
      </c>
      <c r="J22" s="73" t="str">
        <f aca="false">IF(D22&gt;0,D22," ")</f>
        <v> </v>
      </c>
      <c r="K22" s="73" t="str">
        <f aca="false">IF(E22&gt;0,E22," ")</f>
        <v> </v>
      </c>
      <c r="L22" s="73" t="str">
        <f aca="false">IF(F22&gt;0,F22," ")</f>
        <v> </v>
      </c>
      <c r="M22" s="73" t="str">
        <f aca="false">IF(G22&gt;0,G22," ")</f>
        <v> </v>
      </c>
    </row>
    <row r="23" customFormat="false" ht="12" hidden="false" customHeight="false" outlineLevel="0" collapsed="false">
      <c r="B23" s="73" t="s">
        <v>53</v>
      </c>
      <c r="C23" s="73" t="s">
        <v>53</v>
      </c>
      <c r="D23" s="73" t="s">
        <v>53</v>
      </c>
      <c r="E23" s="73" t="s">
        <v>53</v>
      </c>
      <c r="F23" s="73" t="s">
        <v>53</v>
      </c>
      <c r="G23" s="73" t="s">
        <v>53</v>
      </c>
      <c r="I23" s="73" t="str">
        <f aca="false">IF(C23&gt;0,C23," ")</f>
        <v> </v>
      </c>
      <c r="J23" s="73" t="str">
        <f aca="false">IF(D23&gt;0,D23," ")</f>
        <v> </v>
      </c>
      <c r="K23" s="73" t="str">
        <f aca="false">IF(E23&gt;0,E23," ")</f>
        <v> </v>
      </c>
      <c r="L23" s="73" t="str">
        <f aca="false">IF(F23&gt;0,F23," ")</f>
        <v> </v>
      </c>
      <c r="M23" s="73" t="str">
        <f aca="false">IF(G23&gt;0,G23," ")</f>
        <v> </v>
      </c>
    </row>
    <row r="24" customFormat="false" ht="12" hidden="false" customHeight="false" outlineLevel="0" collapsed="false">
      <c r="B24" s="73" t="s">
        <v>53</v>
      </c>
      <c r="C24" s="73" t="s">
        <v>53</v>
      </c>
      <c r="D24" s="73" t="s">
        <v>53</v>
      </c>
      <c r="E24" s="73" t="s">
        <v>53</v>
      </c>
      <c r="F24" s="73" t="s">
        <v>53</v>
      </c>
      <c r="G24" s="73" t="s">
        <v>53</v>
      </c>
      <c r="I24" s="73" t="str">
        <f aca="false">IF(C24&gt;0,C24," ")</f>
        <v> </v>
      </c>
      <c r="J24" s="73" t="str">
        <f aca="false">IF(D24&gt;0,D24," ")</f>
        <v> </v>
      </c>
      <c r="K24" s="73" t="str">
        <f aca="false">IF(E24&gt;0,E24," ")</f>
        <v> </v>
      </c>
      <c r="L24" s="73" t="str">
        <f aca="false">IF(F24&gt;0,F24," ")</f>
        <v> </v>
      </c>
      <c r="M24" s="73" t="str">
        <f aca="false">IF(G24&gt;0,G24," ")</f>
        <v> </v>
      </c>
    </row>
    <row r="25" customFormat="false" ht="12" hidden="false" customHeight="false" outlineLevel="0" collapsed="false">
      <c r="B25" s="73" t="s">
        <v>53</v>
      </c>
      <c r="C25" s="73" t="s">
        <v>53</v>
      </c>
      <c r="D25" s="73" t="s">
        <v>53</v>
      </c>
      <c r="E25" s="73" t="s">
        <v>53</v>
      </c>
      <c r="F25" s="73" t="s">
        <v>53</v>
      </c>
      <c r="G25" s="73" t="s">
        <v>53</v>
      </c>
      <c r="I25" s="73" t="str">
        <f aca="false">IF(C25&gt;0,C25," ")</f>
        <v> </v>
      </c>
      <c r="J25" s="73" t="str">
        <f aca="false">IF(D25&gt;0,D25," ")</f>
        <v> </v>
      </c>
      <c r="K25" s="73" t="str">
        <f aca="false">IF(E25&gt;0,E25," ")</f>
        <v> </v>
      </c>
      <c r="L25" s="73" t="str">
        <f aca="false">IF(F25&gt;0,F25," ")</f>
        <v> </v>
      </c>
      <c r="M25" s="73" t="str">
        <f aca="false">IF(G25&gt;0,G25," ")</f>
        <v> </v>
      </c>
    </row>
    <row r="26" customFormat="false" ht="12" hidden="false" customHeight="false" outlineLevel="0" collapsed="false">
      <c r="B26" s="73" t="s">
        <v>53</v>
      </c>
      <c r="C26" s="73" t="s">
        <v>53</v>
      </c>
      <c r="D26" s="73" t="s">
        <v>53</v>
      </c>
      <c r="E26" s="73" t="s">
        <v>53</v>
      </c>
      <c r="F26" s="73" t="s">
        <v>53</v>
      </c>
      <c r="G26" s="73" t="s">
        <v>53</v>
      </c>
      <c r="I26" s="73" t="str">
        <f aca="false">IF(C26&gt;0,C26," ")</f>
        <v> </v>
      </c>
      <c r="J26" s="73" t="str">
        <f aca="false">IF(D26&gt;0,D26," ")</f>
        <v> </v>
      </c>
      <c r="K26" s="73" t="str">
        <f aca="false">IF(E26&gt;0,E26," ")</f>
        <v> </v>
      </c>
      <c r="L26" s="73" t="str">
        <f aca="false">IF(F26&gt;0,F26," ")</f>
        <v> </v>
      </c>
      <c r="M26" s="73" t="str">
        <f aca="false">IF(G26&gt;0,G26," ")</f>
        <v> </v>
      </c>
    </row>
    <row r="27" customFormat="false" ht="12" hidden="false" customHeight="false" outlineLevel="0" collapsed="false">
      <c r="B27" s="73" t="s">
        <v>53</v>
      </c>
      <c r="C27" s="73" t="s">
        <v>53</v>
      </c>
      <c r="D27" s="73" t="s">
        <v>53</v>
      </c>
      <c r="E27" s="73" t="s">
        <v>53</v>
      </c>
      <c r="F27" s="73" t="s">
        <v>53</v>
      </c>
      <c r="G27" s="73" t="s">
        <v>53</v>
      </c>
      <c r="I27" s="73" t="str">
        <f aca="false">IF(C27&gt;0,C27," ")</f>
        <v> </v>
      </c>
      <c r="J27" s="73" t="str">
        <f aca="false">IF(D27&gt;0,D27," ")</f>
        <v> </v>
      </c>
      <c r="K27" s="73" t="str">
        <f aca="false">IF(E27&gt;0,E27," ")</f>
        <v> </v>
      </c>
      <c r="L27" s="73" t="str">
        <f aca="false">IF(F27&gt;0,F27," ")</f>
        <v> </v>
      </c>
      <c r="M27" s="73" t="str">
        <f aca="false">IF(G27&gt;0,G27," ")</f>
        <v> </v>
      </c>
    </row>
    <row r="28" customFormat="false" ht="12" hidden="false" customHeight="false" outlineLevel="0" collapsed="false">
      <c r="B28" s="73" t="s">
        <v>53</v>
      </c>
      <c r="C28" s="73" t="s">
        <v>53</v>
      </c>
      <c r="D28" s="73" t="s">
        <v>53</v>
      </c>
      <c r="E28" s="73" t="s">
        <v>53</v>
      </c>
      <c r="F28" s="73" t="s">
        <v>53</v>
      </c>
      <c r="G28" s="73" t="s">
        <v>53</v>
      </c>
      <c r="I28" s="73" t="str">
        <f aca="false">IF(C28&gt;0,C28," ")</f>
        <v> </v>
      </c>
      <c r="J28" s="73" t="str">
        <f aca="false">IF(D28&gt;0,D28," ")</f>
        <v> </v>
      </c>
      <c r="K28" s="73" t="str">
        <f aca="false">IF(E28&gt;0,E28," ")</f>
        <v> </v>
      </c>
      <c r="L28" s="73" t="str">
        <f aca="false">IF(F28&gt;0,F28," ")</f>
        <v> </v>
      </c>
      <c r="M28" s="73" t="str">
        <f aca="false">IF(G28&gt;0,G28," ")</f>
        <v> </v>
      </c>
    </row>
    <row r="29" customFormat="false" ht="12" hidden="false" customHeight="false" outlineLevel="0" collapsed="false">
      <c r="B29" s="73" t="s">
        <v>53</v>
      </c>
      <c r="C29" s="73" t="s">
        <v>53</v>
      </c>
      <c r="D29" s="73" t="s">
        <v>53</v>
      </c>
      <c r="E29" s="73" t="s">
        <v>53</v>
      </c>
      <c r="F29" s="73" t="s">
        <v>53</v>
      </c>
      <c r="G29" s="73" t="s">
        <v>53</v>
      </c>
      <c r="I29" s="73" t="str">
        <f aca="false">IF(C29&gt;0,C29," ")</f>
        <v> </v>
      </c>
      <c r="J29" s="73" t="str">
        <f aca="false">IF(D29&gt;0,D29," ")</f>
        <v> </v>
      </c>
      <c r="K29" s="73" t="str">
        <f aca="false">IF(E29&gt;0,E29," ")</f>
        <v> </v>
      </c>
      <c r="L29" s="73" t="str">
        <f aca="false">IF(F29&gt;0,F29," ")</f>
        <v> </v>
      </c>
      <c r="M29" s="73" t="str">
        <f aca="false">IF(G29&gt;0,G29," ")</f>
        <v> </v>
      </c>
    </row>
    <row r="30" customFormat="false" ht="12" hidden="false" customHeight="false" outlineLevel="0" collapsed="false">
      <c r="B30" s="73" t="s">
        <v>53</v>
      </c>
      <c r="C30" s="73" t="s">
        <v>53</v>
      </c>
      <c r="D30" s="73" t="s">
        <v>53</v>
      </c>
      <c r="E30" s="73" t="s">
        <v>53</v>
      </c>
      <c r="F30" s="73" t="s">
        <v>53</v>
      </c>
      <c r="G30" s="73" t="s">
        <v>53</v>
      </c>
      <c r="I30" s="73" t="str">
        <f aca="false">IF(C30&gt;0,C30," ")</f>
        <v> </v>
      </c>
      <c r="J30" s="73" t="str">
        <f aca="false">IF(D30&gt;0,D30," ")</f>
        <v> </v>
      </c>
      <c r="K30" s="73" t="str">
        <f aca="false">IF(E30&gt;0,E30," ")</f>
        <v> </v>
      </c>
      <c r="L30" s="73" t="str">
        <f aca="false">IF(F30&gt;0,F30," ")</f>
        <v> </v>
      </c>
      <c r="M30" s="73" t="str">
        <f aca="false">IF(G30&gt;0,G30," ")</f>
        <v> </v>
      </c>
    </row>
    <row r="31" customFormat="false" ht="12" hidden="false" customHeight="false" outlineLevel="0" collapsed="false">
      <c r="B31" s="73" t="s">
        <v>53</v>
      </c>
      <c r="C31" s="73" t="s">
        <v>53</v>
      </c>
      <c r="D31" s="73" t="s">
        <v>53</v>
      </c>
      <c r="E31" s="73" t="s">
        <v>53</v>
      </c>
      <c r="F31" s="73" t="s">
        <v>53</v>
      </c>
      <c r="G31" s="73" t="s">
        <v>53</v>
      </c>
      <c r="I31" s="73" t="str">
        <f aca="false">IF(C31&gt;0,C31," ")</f>
        <v> </v>
      </c>
      <c r="J31" s="73" t="str">
        <f aca="false">IF(D31&gt;0,D31," ")</f>
        <v> </v>
      </c>
      <c r="K31" s="73" t="str">
        <f aca="false">IF(E31&gt;0,E31," ")</f>
        <v> </v>
      </c>
      <c r="L31" s="73" t="str">
        <f aca="false">IF(F31&gt;0,F31," ")</f>
        <v> </v>
      </c>
      <c r="M31" s="73" t="str">
        <f aca="false">IF(G31&gt;0,G31," ")</f>
        <v> </v>
      </c>
    </row>
    <row r="32" customFormat="false" ht="12" hidden="false" customHeight="false" outlineLevel="0" collapsed="false">
      <c r="B32" s="73" t="s">
        <v>53</v>
      </c>
      <c r="C32" s="73" t="s">
        <v>53</v>
      </c>
      <c r="D32" s="73" t="s">
        <v>53</v>
      </c>
      <c r="E32" s="73" t="s">
        <v>53</v>
      </c>
      <c r="F32" s="73" t="s">
        <v>53</v>
      </c>
      <c r="G32" s="73" t="s">
        <v>53</v>
      </c>
      <c r="I32" s="73" t="str">
        <f aca="false">IF(C32&gt;0,C32," ")</f>
        <v> </v>
      </c>
      <c r="J32" s="73" t="str">
        <f aca="false">IF(D32&gt;0,D32," ")</f>
        <v> </v>
      </c>
      <c r="K32" s="73" t="str">
        <f aca="false">IF(E32&gt;0,E32," ")</f>
        <v> </v>
      </c>
      <c r="L32" s="73" t="str">
        <f aca="false">IF(F32&gt;0,F32," ")</f>
        <v> </v>
      </c>
      <c r="M32" s="73" t="str">
        <f aca="false">IF(G32&gt;0,G32," ")</f>
        <v> </v>
      </c>
    </row>
    <row r="33" customFormat="false" ht="12" hidden="false" customHeight="false" outlineLevel="0" collapsed="false">
      <c r="B33" s="73" t="s">
        <v>53</v>
      </c>
      <c r="C33" s="73" t="s">
        <v>53</v>
      </c>
      <c r="D33" s="73" t="s">
        <v>53</v>
      </c>
      <c r="E33" s="73" t="s">
        <v>53</v>
      </c>
      <c r="F33" s="73" t="s">
        <v>53</v>
      </c>
      <c r="G33" s="73" t="s">
        <v>53</v>
      </c>
      <c r="I33" s="73" t="str">
        <f aca="false">IF(C33&gt;0,C33," ")</f>
        <v> </v>
      </c>
      <c r="J33" s="73" t="str">
        <f aca="false">IF(D33&gt;0,D33," ")</f>
        <v> </v>
      </c>
      <c r="K33" s="73" t="str">
        <f aca="false">IF(E33&gt;0,E33," ")</f>
        <v> </v>
      </c>
      <c r="L33" s="73" t="str">
        <f aca="false">IF(F33&gt;0,F33," ")</f>
        <v> </v>
      </c>
      <c r="M33" s="73" t="str">
        <f aca="false">IF(G33&gt;0,G33," ")</f>
        <v> </v>
      </c>
    </row>
    <row r="34" customFormat="false" ht="12" hidden="false" customHeight="false" outlineLevel="0" collapsed="false">
      <c r="B34" s="73" t="s">
        <v>53</v>
      </c>
      <c r="C34" s="73" t="s">
        <v>53</v>
      </c>
      <c r="D34" s="73" t="s">
        <v>53</v>
      </c>
      <c r="E34" s="73" t="s">
        <v>53</v>
      </c>
      <c r="F34" s="73" t="s">
        <v>53</v>
      </c>
      <c r="G34" s="73" t="s">
        <v>53</v>
      </c>
      <c r="I34" s="73" t="str">
        <f aca="false">IF(C34&gt;0,C34," ")</f>
        <v> </v>
      </c>
      <c r="J34" s="73" t="str">
        <f aca="false">IF(D34&gt;0,D34," ")</f>
        <v> </v>
      </c>
      <c r="K34" s="73" t="str">
        <f aca="false">IF(E34&gt;0,E34," ")</f>
        <v> </v>
      </c>
      <c r="L34" s="73" t="str">
        <f aca="false">IF(F34&gt;0,F34," ")</f>
        <v> </v>
      </c>
      <c r="M34" s="73" t="str">
        <f aca="false">IF(G34&gt;0,G34," ")</f>
        <v> </v>
      </c>
    </row>
    <row r="35" customFormat="false" ht="12" hidden="false" customHeight="false" outlineLevel="0" collapsed="false">
      <c r="B35" s="73" t="s">
        <v>53</v>
      </c>
      <c r="C35" s="73" t="s">
        <v>53</v>
      </c>
      <c r="D35" s="73" t="s">
        <v>53</v>
      </c>
      <c r="E35" s="73" t="s">
        <v>53</v>
      </c>
      <c r="F35" s="73" t="s">
        <v>53</v>
      </c>
      <c r="G35" s="73" t="s">
        <v>53</v>
      </c>
      <c r="I35" s="73" t="str">
        <f aca="false">IF(C35&gt;0,C35," ")</f>
        <v> </v>
      </c>
      <c r="J35" s="73" t="str">
        <f aca="false">IF(D35&gt;0,D35," ")</f>
        <v> </v>
      </c>
      <c r="K35" s="73" t="str">
        <f aca="false">IF(E35&gt;0,E35," ")</f>
        <v> </v>
      </c>
      <c r="L35" s="73" t="str">
        <f aca="false">IF(F35&gt;0,F35," ")</f>
        <v> </v>
      </c>
      <c r="M35" s="73" t="str">
        <f aca="false">IF(G35&gt;0,G35," ")</f>
        <v> </v>
      </c>
    </row>
    <row r="36" customFormat="false" ht="12" hidden="false" customHeight="false" outlineLevel="0" collapsed="false">
      <c r="B36" s="73" t="s">
        <v>53</v>
      </c>
      <c r="C36" s="73" t="s">
        <v>53</v>
      </c>
      <c r="D36" s="73" t="s">
        <v>53</v>
      </c>
      <c r="E36" s="73" t="s">
        <v>53</v>
      </c>
      <c r="F36" s="73" t="s">
        <v>53</v>
      </c>
      <c r="G36" s="73" t="s">
        <v>53</v>
      </c>
      <c r="I36" s="73" t="str">
        <f aca="false">IF(C36&gt;0,C36," ")</f>
        <v> </v>
      </c>
      <c r="J36" s="73" t="str">
        <f aca="false">IF(D36&gt;0,D36," ")</f>
        <v> </v>
      </c>
      <c r="K36" s="73" t="str">
        <f aca="false">IF(E36&gt;0,E36," ")</f>
        <v> </v>
      </c>
      <c r="L36" s="73" t="str">
        <f aca="false">IF(F36&gt;0,F36," ")</f>
        <v> </v>
      </c>
      <c r="M36" s="73" t="str">
        <f aca="false">IF(G36&gt;0,G36," ")</f>
        <v> </v>
      </c>
    </row>
    <row r="37" customFormat="false" ht="12" hidden="false" customHeight="false" outlineLevel="0" collapsed="false">
      <c r="B37" s="73" t="s">
        <v>53</v>
      </c>
      <c r="C37" s="73" t="s">
        <v>53</v>
      </c>
      <c r="D37" s="73" t="s">
        <v>53</v>
      </c>
      <c r="E37" s="73" t="s">
        <v>53</v>
      </c>
      <c r="F37" s="73" t="s">
        <v>53</v>
      </c>
      <c r="G37" s="73" t="s">
        <v>53</v>
      </c>
      <c r="I37" s="73" t="str">
        <f aca="false">IF(C37&gt;0,C37," ")</f>
        <v> </v>
      </c>
      <c r="J37" s="73" t="str">
        <f aca="false">IF(D37&gt;0,D37," ")</f>
        <v> </v>
      </c>
      <c r="K37" s="73" t="str">
        <f aca="false">IF(E37&gt;0,E37," ")</f>
        <v> </v>
      </c>
      <c r="L37" s="73" t="str">
        <f aca="false">IF(F37&gt;0,F37," ")</f>
        <v> </v>
      </c>
      <c r="M37" s="73" t="str">
        <f aca="false">IF(G37&gt;0,G37," ")</f>
        <v> </v>
      </c>
    </row>
    <row r="38" customFormat="false" ht="12" hidden="false" customHeight="false" outlineLevel="0" collapsed="false">
      <c r="B38" s="73" t="s">
        <v>53</v>
      </c>
      <c r="C38" s="73" t="s">
        <v>53</v>
      </c>
      <c r="D38" s="73" t="s">
        <v>53</v>
      </c>
      <c r="E38" s="73" t="s">
        <v>53</v>
      </c>
      <c r="F38" s="73" t="s">
        <v>53</v>
      </c>
      <c r="G38" s="73" t="s">
        <v>53</v>
      </c>
      <c r="I38" s="73" t="str">
        <f aca="false">IF(C38&gt;0,C38," ")</f>
        <v> </v>
      </c>
      <c r="J38" s="73" t="str">
        <f aca="false">IF(D38&gt;0,D38," ")</f>
        <v> </v>
      </c>
      <c r="K38" s="73" t="str">
        <f aca="false">IF(E38&gt;0,E38," ")</f>
        <v> </v>
      </c>
      <c r="L38" s="73" t="str">
        <f aca="false">IF(F38&gt;0,F38," ")</f>
        <v> </v>
      </c>
      <c r="M38" s="73" t="str">
        <f aca="false">IF(G38&gt;0,G38," ")</f>
        <v> </v>
      </c>
    </row>
    <row r="39" customFormat="false" ht="12" hidden="false" customHeight="false" outlineLevel="0" collapsed="false">
      <c r="B39" s="73" t="s">
        <v>53</v>
      </c>
      <c r="C39" s="73" t="s">
        <v>53</v>
      </c>
      <c r="D39" s="73" t="s">
        <v>53</v>
      </c>
      <c r="E39" s="73" t="s">
        <v>53</v>
      </c>
      <c r="F39" s="73" t="s">
        <v>53</v>
      </c>
      <c r="G39" s="73" t="s">
        <v>53</v>
      </c>
      <c r="I39" s="73" t="str">
        <f aca="false">IF(C39&gt;0,C39," ")</f>
        <v> </v>
      </c>
      <c r="J39" s="73" t="str">
        <f aca="false">IF(D39&gt;0,D39," ")</f>
        <v> </v>
      </c>
      <c r="K39" s="73" t="str">
        <f aca="false">IF(E39&gt;0,E39," ")</f>
        <v> </v>
      </c>
      <c r="L39" s="73" t="str">
        <f aca="false">IF(F39&gt;0,F39," ")</f>
        <v> </v>
      </c>
      <c r="M39" s="73" t="str">
        <f aca="false">IF(G39&gt;0,G39," ")</f>
        <v> </v>
      </c>
    </row>
    <row r="40" customFormat="false" ht="12" hidden="false" customHeight="false" outlineLevel="0" collapsed="false">
      <c r="B40" s="73" t="s">
        <v>53</v>
      </c>
      <c r="C40" s="73" t="s">
        <v>53</v>
      </c>
      <c r="D40" s="73" t="s">
        <v>53</v>
      </c>
      <c r="E40" s="73" t="s">
        <v>53</v>
      </c>
      <c r="F40" s="73" t="s">
        <v>53</v>
      </c>
      <c r="G40" s="73" t="s">
        <v>53</v>
      </c>
      <c r="I40" s="73" t="str">
        <f aca="false">IF(C40&gt;0,C40," ")</f>
        <v> </v>
      </c>
      <c r="J40" s="73" t="str">
        <f aca="false">IF(D40&gt;0,D40," ")</f>
        <v> </v>
      </c>
      <c r="K40" s="73" t="str">
        <f aca="false">IF(E40&gt;0,E40," ")</f>
        <v> </v>
      </c>
      <c r="L40" s="73" t="str">
        <f aca="false">IF(F40&gt;0,F40," ")</f>
        <v> </v>
      </c>
      <c r="M40" s="73" t="str">
        <f aca="false">IF(G40&gt;0,G40," ")</f>
        <v> </v>
      </c>
    </row>
    <row r="41" customFormat="false" ht="12" hidden="false" customHeight="false" outlineLevel="0" collapsed="false">
      <c r="B41" s="73" t="s">
        <v>53</v>
      </c>
      <c r="C41" s="73" t="s">
        <v>53</v>
      </c>
      <c r="D41" s="73" t="s">
        <v>53</v>
      </c>
      <c r="E41" s="73" t="s">
        <v>53</v>
      </c>
      <c r="F41" s="73" t="s">
        <v>53</v>
      </c>
      <c r="G41" s="73" t="s">
        <v>53</v>
      </c>
      <c r="I41" s="73" t="str">
        <f aca="false">IF(C41&gt;0,C41," ")</f>
        <v> </v>
      </c>
      <c r="J41" s="73" t="str">
        <f aca="false">IF(D41&gt;0,D41," ")</f>
        <v> </v>
      </c>
      <c r="K41" s="73" t="str">
        <f aca="false">IF(E41&gt;0,E41," ")</f>
        <v> </v>
      </c>
      <c r="L41" s="73" t="str">
        <f aca="false">IF(F41&gt;0,F41," ")</f>
        <v> </v>
      </c>
      <c r="M41" s="73" t="str">
        <f aca="false">IF(G41&gt;0,G41," ")</f>
        <v> </v>
      </c>
    </row>
    <row r="42" customFormat="false" ht="12" hidden="false" customHeight="false" outlineLevel="0" collapsed="false">
      <c r="B42" s="73" t="s">
        <v>53</v>
      </c>
      <c r="C42" s="73" t="s">
        <v>53</v>
      </c>
      <c r="D42" s="73" t="s">
        <v>53</v>
      </c>
      <c r="E42" s="73" t="s">
        <v>53</v>
      </c>
      <c r="F42" s="73" t="s">
        <v>53</v>
      </c>
      <c r="G42" s="73" t="s">
        <v>53</v>
      </c>
      <c r="I42" s="73" t="str">
        <f aca="false">IF(C42&gt;0,C42," ")</f>
        <v> </v>
      </c>
      <c r="J42" s="73" t="str">
        <f aca="false">IF(D42&gt;0,D42," ")</f>
        <v> </v>
      </c>
      <c r="K42" s="73" t="str">
        <f aca="false">IF(E42&gt;0,E42," ")</f>
        <v> </v>
      </c>
      <c r="L42" s="73" t="str">
        <f aca="false">IF(F42&gt;0,F42," ")</f>
        <v> </v>
      </c>
      <c r="M42" s="73" t="str">
        <f aca="false">IF(G42&gt;0,G42," ")</f>
        <v> </v>
      </c>
    </row>
    <row r="43" customFormat="false" ht="12" hidden="false" customHeight="false" outlineLevel="0" collapsed="false">
      <c r="B43" s="73" t="s">
        <v>53</v>
      </c>
      <c r="C43" s="73" t="s">
        <v>53</v>
      </c>
      <c r="D43" s="73" t="s">
        <v>53</v>
      </c>
      <c r="E43" s="73" t="s">
        <v>53</v>
      </c>
      <c r="F43" s="73" t="s">
        <v>53</v>
      </c>
      <c r="G43" s="73" t="s">
        <v>53</v>
      </c>
      <c r="I43" s="73" t="str">
        <f aca="false">IF(C43&gt;0,C43," ")</f>
        <v> </v>
      </c>
      <c r="J43" s="73" t="str">
        <f aca="false">IF(D43&gt;0,D43," ")</f>
        <v> </v>
      </c>
      <c r="K43" s="73" t="str">
        <f aca="false">IF(E43&gt;0,E43," ")</f>
        <v> </v>
      </c>
      <c r="L43" s="73" t="str">
        <f aca="false">IF(F43&gt;0,F43," ")</f>
        <v> </v>
      </c>
      <c r="M43" s="73" t="str">
        <f aca="false">IF(G43&gt;0,G43," ")</f>
        <v> </v>
      </c>
    </row>
    <row r="44" customFormat="false" ht="12" hidden="false" customHeight="false" outlineLevel="0" collapsed="false">
      <c r="B44" s="73" t="s">
        <v>53</v>
      </c>
      <c r="C44" s="73" t="s">
        <v>53</v>
      </c>
      <c r="D44" s="73" t="s">
        <v>53</v>
      </c>
      <c r="E44" s="73" t="s">
        <v>53</v>
      </c>
      <c r="F44" s="73" t="s">
        <v>53</v>
      </c>
      <c r="G44" s="73" t="s">
        <v>53</v>
      </c>
      <c r="I44" s="73" t="str">
        <f aca="false">IF(C44&gt;0,C44," ")</f>
        <v> </v>
      </c>
      <c r="J44" s="73" t="str">
        <f aca="false">IF(D44&gt;0,D44," ")</f>
        <v> </v>
      </c>
      <c r="K44" s="73" t="str">
        <f aca="false">IF(E44&gt;0,E44," ")</f>
        <v> </v>
      </c>
      <c r="L44" s="73" t="str">
        <f aca="false">IF(F44&gt;0,F44," ")</f>
        <v> </v>
      </c>
      <c r="M44" s="73" t="str">
        <f aca="false">IF(G44&gt;0,G44," ")</f>
        <v> </v>
      </c>
    </row>
    <row r="45" customFormat="false" ht="12" hidden="false" customHeight="false" outlineLevel="0" collapsed="false">
      <c r="B45" s="73" t="s">
        <v>53</v>
      </c>
      <c r="C45" s="73" t="s">
        <v>53</v>
      </c>
      <c r="D45" s="73" t="s">
        <v>53</v>
      </c>
      <c r="E45" s="73" t="s">
        <v>53</v>
      </c>
      <c r="F45" s="73" t="s">
        <v>53</v>
      </c>
      <c r="G45" s="73" t="s">
        <v>53</v>
      </c>
      <c r="I45" s="73" t="str">
        <f aca="false">IF(C45&gt;0,C45," ")</f>
        <v> </v>
      </c>
      <c r="J45" s="73" t="str">
        <f aca="false">IF(D45&gt;0,D45," ")</f>
        <v> </v>
      </c>
      <c r="K45" s="73" t="str">
        <f aca="false">IF(E45&gt;0,E45," ")</f>
        <v> </v>
      </c>
      <c r="L45" s="73" t="str">
        <f aca="false">IF(F45&gt;0,F45," ")</f>
        <v> </v>
      </c>
      <c r="M45" s="73" t="str">
        <f aca="false">IF(G45&gt;0,G45," ")</f>
        <v> </v>
      </c>
    </row>
    <row r="46" customFormat="false" ht="12" hidden="false" customHeight="false" outlineLevel="0" collapsed="false">
      <c r="B46" s="73" t="s">
        <v>53</v>
      </c>
      <c r="C46" s="73" t="s">
        <v>53</v>
      </c>
      <c r="D46" s="73" t="s">
        <v>53</v>
      </c>
      <c r="E46" s="73" t="s">
        <v>53</v>
      </c>
      <c r="F46" s="73" t="s">
        <v>53</v>
      </c>
      <c r="G46" s="73" t="s">
        <v>53</v>
      </c>
      <c r="I46" s="73" t="str">
        <f aca="false">IF(C46&gt;0,C46," ")</f>
        <v> </v>
      </c>
      <c r="J46" s="73" t="str">
        <f aca="false">IF(D46&gt;0,D46," ")</f>
        <v> </v>
      </c>
      <c r="K46" s="73" t="str">
        <f aca="false">IF(E46&gt;0,E46," ")</f>
        <v> </v>
      </c>
      <c r="L46" s="73" t="str">
        <f aca="false">IF(F46&gt;0,F46," ")</f>
        <v> </v>
      </c>
      <c r="M46" s="73" t="str">
        <f aca="false">IF(G46&gt;0,G46," ")</f>
        <v> </v>
      </c>
    </row>
    <row r="47" customFormat="false" ht="12" hidden="false" customHeight="false" outlineLevel="0" collapsed="false">
      <c r="B47" s="73" t="s">
        <v>53</v>
      </c>
      <c r="C47" s="73" t="s">
        <v>53</v>
      </c>
      <c r="D47" s="73" t="s">
        <v>53</v>
      </c>
      <c r="E47" s="73" t="s">
        <v>53</v>
      </c>
      <c r="F47" s="73" t="s">
        <v>53</v>
      </c>
      <c r="G47" s="73" t="s">
        <v>53</v>
      </c>
      <c r="I47" s="73" t="str">
        <f aca="false">IF(C47&gt;0,C47," ")</f>
        <v> </v>
      </c>
      <c r="J47" s="73" t="str">
        <f aca="false">IF(D47&gt;0,D47," ")</f>
        <v> </v>
      </c>
      <c r="K47" s="73" t="str">
        <f aca="false">IF(E47&gt;0,E47," ")</f>
        <v> </v>
      </c>
      <c r="L47" s="73" t="str">
        <f aca="false">IF(F47&gt;0,F47," ")</f>
        <v> </v>
      </c>
      <c r="M47" s="73" t="str">
        <f aca="false">IF(G47&gt;0,G47," ")</f>
        <v> </v>
      </c>
    </row>
    <row r="48" customFormat="false" ht="12" hidden="false" customHeight="false" outlineLevel="0" collapsed="false">
      <c r="B48" s="73" t="s">
        <v>53</v>
      </c>
      <c r="C48" s="73" t="s">
        <v>53</v>
      </c>
      <c r="D48" s="73" t="s">
        <v>53</v>
      </c>
      <c r="E48" s="73" t="s">
        <v>53</v>
      </c>
      <c r="F48" s="73" t="s">
        <v>53</v>
      </c>
      <c r="G48" s="73" t="s">
        <v>53</v>
      </c>
      <c r="I48" s="73" t="str">
        <f aca="false">IF(C48&gt;0,C48," ")</f>
        <v> </v>
      </c>
      <c r="J48" s="73" t="str">
        <f aca="false">IF(D48&gt;0,D48," ")</f>
        <v> </v>
      </c>
      <c r="K48" s="73" t="str">
        <f aca="false">IF(E48&gt;0,E48," ")</f>
        <v> </v>
      </c>
      <c r="L48" s="73" t="str">
        <f aca="false">IF(F48&gt;0,F48," ")</f>
        <v> </v>
      </c>
      <c r="M48" s="73" t="str">
        <f aca="false">IF(G48&gt;0,G48," ")</f>
        <v> </v>
      </c>
    </row>
    <row r="49" customFormat="false" ht="12" hidden="false" customHeight="false" outlineLevel="0" collapsed="false">
      <c r="B49" s="73" t="s">
        <v>53</v>
      </c>
      <c r="C49" s="73" t="s">
        <v>53</v>
      </c>
      <c r="D49" s="73" t="s">
        <v>53</v>
      </c>
      <c r="E49" s="73" t="s">
        <v>53</v>
      </c>
      <c r="F49" s="73" t="s">
        <v>53</v>
      </c>
      <c r="G49" s="73" t="s">
        <v>53</v>
      </c>
      <c r="I49" s="73" t="str">
        <f aca="false">IF(C49&gt;0,C49," ")</f>
        <v> </v>
      </c>
      <c r="J49" s="73" t="str">
        <f aca="false">IF(D49&gt;0,D49," ")</f>
        <v> </v>
      </c>
      <c r="K49" s="73" t="str">
        <f aca="false">IF(E49&gt;0,E49," ")</f>
        <v> </v>
      </c>
      <c r="L49" s="73" t="str">
        <f aca="false">IF(F49&gt;0,F49," ")</f>
        <v> </v>
      </c>
      <c r="M49" s="73" t="str">
        <f aca="false">IF(G49&gt;0,G49," ")</f>
        <v> </v>
      </c>
    </row>
    <row r="50" customFormat="false" ht="12" hidden="false" customHeight="false" outlineLevel="0" collapsed="false">
      <c r="B50" s="73" t="s">
        <v>53</v>
      </c>
      <c r="C50" s="73" t="s">
        <v>53</v>
      </c>
      <c r="D50" s="73" t="s">
        <v>53</v>
      </c>
      <c r="E50" s="73" t="s">
        <v>53</v>
      </c>
      <c r="F50" s="73" t="s">
        <v>53</v>
      </c>
      <c r="G50" s="73" t="s">
        <v>53</v>
      </c>
      <c r="I50" s="73" t="str">
        <f aca="false">IF(C50&gt;0,C50," ")</f>
        <v> </v>
      </c>
      <c r="J50" s="73" t="str">
        <f aca="false">IF(D50&gt;0,D50," ")</f>
        <v> </v>
      </c>
      <c r="K50" s="73" t="str">
        <f aca="false">IF(E50&gt;0,E50," ")</f>
        <v> </v>
      </c>
      <c r="L50" s="73" t="str">
        <f aca="false">IF(F50&gt;0,F50," ")</f>
        <v> </v>
      </c>
      <c r="M50" s="73" t="str">
        <f aca="false">IF(G50&gt;0,G50," ")</f>
        <v> </v>
      </c>
    </row>
    <row r="51" customFormat="false" ht="12" hidden="false" customHeight="false" outlineLevel="0" collapsed="false">
      <c r="B51" s="73" t="s">
        <v>53</v>
      </c>
      <c r="C51" s="73" t="s">
        <v>53</v>
      </c>
      <c r="D51" s="73" t="s">
        <v>53</v>
      </c>
      <c r="E51" s="73" t="s">
        <v>53</v>
      </c>
      <c r="F51" s="73" t="s">
        <v>53</v>
      </c>
      <c r="G51" s="73" t="s">
        <v>53</v>
      </c>
      <c r="I51" s="73" t="str">
        <f aca="false">IF(C51&gt;0,C51," ")</f>
        <v> </v>
      </c>
      <c r="J51" s="73" t="str">
        <f aca="false">IF(D51&gt;0,D51," ")</f>
        <v> </v>
      </c>
      <c r="K51" s="73" t="str">
        <f aca="false">IF(E51&gt;0,E51," ")</f>
        <v> </v>
      </c>
      <c r="L51" s="73" t="str">
        <f aca="false">IF(F51&gt;0,F51," ")</f>
        <v> </v>
      </c>
      <c r="M51" s="73" t="str">
        <f aca="false">IF(G51&gt;0,G51," ")</f>
        <v> </v>
      </c>
    </row>
    <row r="52" customFormat="false" ht="12" hidden="false" customHeight="false" outlineLevel="0" collapsed="false">
      <c r="B52" s="73" t="s">
        <v>53</v>
      </c>
      <c r="C52" s="73" t="s">
        <v>53</v>
      </c>
      <c r="D52" s="73" t="s">
        <v>53</v>
      </c>
      <c r="E52" s="73" t="s">
        <v>53</v>
      </c>
      <c r="F52" s="73" t="s">
        <v>53</v>
      </c>
      <c r="G52" s="73" t="s">
        <v>53</v>
      </c>
      <c r="I52" s="73" t="str">
        <f aca="false">IF(C52&gt;0,C52," ")</f>
        <v> </v>
      </c>
      <c r="J52" s="73" t="str">
        <f aca="false">IF(D52&gt;0,D52," ")</f>
        <v> </v>
      </c>
      <c r="K52" s="73" t="str">
        <f aca="false">IF(E52&gt;0,E52," ")</f>
        <v> </v>
      </c>
      <c r="L52" s="73" t="str">
        <f aca="false">IF(F52&gt;0,F52," ")</f>
        <v> </v>
      </c>
      <c r="M52" s="73" t="str">
        <f aca="false">IF(G52&gt;0,G52," ")</f>
        <v> </v>
      </c>
    </row>
    <row r="53" customFormat="false" ht="12" hidden="false" customHeight="false" outlineLevel="0" collapsed="false">
      <c r="B53" s="73" t="s">
        <v>53</v>
      </c>
      <c r="C53" s="73" t="s">
        <v>53</v>
      </c>
      <c r="D53" s="73" t="s">
        <v>53</v>
      </c>
      <c r="E53" s="73" t="s">
        <v>53</v>
      </c>
      <c r="F53" s="73" t="s">
        <v>53</v>
      </c>
      <c r="G53" s="73" t="s">
        <v>53</v>
      </c>
      <c r="I53" s="73" t="str">
        <f aca="false">IF(C53&gt;0,C53," ")</f>
        <v> </v>
      </c>
      <c r="J53" s="73" t="str">
        <f aca="false">IF(D53&gt;0,D53," ")</f>
        <v> </v>
      </c>
      <c r="K53" s="73" t="str">
        <f aca="false">IF(E53&gt;0,E53," ")</f>
        <v> </v>
      </c>
      <c r="L53" s="73" t="str">
        <f aca="false">IF(F53&gt;0,F53," ")</f>
        <v> </v>
      </c>
      <c r="M53" s="73" t="str">
        <f aca="false">IF(G53&gt;0,G53," ")</f>
        <v> </v>
      </c>
    </row>
    <row r="54" customFormat="false" ht="12" hidden="false" customHeight="false" outlineLevel="0" collapsed="false">
      <c r="B54" s="73" t="s">
        <v>53</v>
      </c>
      <c r="C54" s="73" t="s">
        <v>53</v>
      </c>
      <c r="D54" s="73" t="s">
        <v>53</v>
      </c>
      <c r="E54" s="73" t="s">
        <v>53</v>
      </c>
      <c r="F54" s="73" t="s">
        <v>53</v>
      </c>
      <c r="G54" s="73" t="s">
        <v>53</v>
      </c>
      <c r="I54" s="73" t="str">
        <f aca="false">IF(C54&gt;0,C54," ")</f>
        <v> </v>
      </c>
      <c r="J54" s="73" t="str">
        <f aca="false">IF(D54&gt;0,D54," ")</f>
        <v> </v>
      </c>
      <c r="K54" s="73" t="str">
        <f aca="false">IF(E54&gt;0,E54," ")</f>
        <v> </v>
      </c>
      <c r="L54" s="73" t="str">
        <f aca="false">IF(F54&gt;0,F54," ")</f>
        <v> </v>
      </c>
      <c r="M54" s="73" t="str">
        <f aca="false">IF(G54&gt;0,G54," ")</f>
        <v> </v>
      </c>
    </row>
    <row r="55" customFormat="false" ht="12" hidden="false" customHeight="false" outlineLevel="0" collapsed="false">
      <c r="B55" s="73" t="s">
        <v>53</v>
      </c>
      <c r="C55" s="73" t="s">
        <v>53</v>
      </c>
      <c r="D55" s="73" t="s">
        <v>53</v>
      </c>
      <c r="E55" s="73" t="s">
        <v>53</v>
      </c>
      <c r="F55" s="73" t="s">
        <v>53</v>
      </c>
      <c r="G55" s="73" t="s">
        <v>53</v>
      </c>
      <c r="I55" s="73" t="str">
        <f aca="false">IF(C55&gt;0,C55," ")</f>
        <v> </v>
      </c>
      <c r="J55" s="73" t="str">
        <f aca="false">IF(D55&gt;0,D55," ")</f>
        <v> </v>
      </c>
      <c r="K55" s="73" t="str">
        <f aca="false">IF(E55&gt;0,E55," ")</f>
        <v> </v>
      </c>
      <c r="L55" s="73" t="str">
        <f aca="false">IF(F55&gt;0,F55," ")</f>
        <v> </v>
      </c>
      <c r="M55" s="73" t="str">
        <f aca="false">IF(G55&gt;0,G55," ")</f>
        <v> </v>
      </c>
    </row>
    <row r="56" customFormat="false" ht="12" hidden="false" customHeight="false" outlineLevel="0" collapsed="false">
      <c r="B56" s="73" t="s">
        <v>53</v>
      </c>
      <c r="C56" s="73" t="s">
        <v>53</v>
      </c>
      <c r="D56" s="73" t="s">
        <v>53</v>
      </c>
      <c r="E56" s="73" t="s">
        <v>53</v>
      </c>
      <c r="F56" s="73" t="s">
        <v>53</v>
      </c>
      <c r="G56" s="73" t="s">
        <v>53</v>
      </c>
      <c r="I56" s="73" t="str">
        <f aca="false">IF(C56&gt;0,C56," ")</f>
        <v> </v>
      </c>
      <c r="J56" s="73" t="str">
        <f aca="false">IF(D56&gt;0,D56," ")</f>
        <v> </v>
      </c>
      <c r="K56" s="73" t="str">
        <f aca="false">IF(E56&gt;0,E56," ")</f>
        <v> </v>
      </c>
      <c r="L56" s="73" t="str">
        <f aca="false">IF(F56&gt;0,F56," ")</f>
        <v> </v>
      </c>
      <c r="M56" s="73" t="str">
        <f aca="false">IF(G56&gt;0,G56," ")</f>
        <v> </v>
      </c>
    </row>
    <row r="57" customFormat="false" ht="12" hidden="false" customHeight="false" outlineLevel="0" collapsed="false">
      <c r="B57" s="73" t="s">
        <v>53</v>
      </c>
      <c r="C57" s="73" t="s">
        <v>53</v>
      </c>
      <c r="D57" s="73" t="s">
        <v>53</v>
      </c>
      <c r="E57" s="73" t="s">
        <v>53</v>
      </c>
      <c r="F57" s="73" t="s">
        <v>53</v>
      </c>
      <c r="G57" s="73" t="s">
        <v>53</v>
      </c>
      <c r="I57" s="73" t="str">
        <f aca="false">IF(C57&gt;0,C57," ")</f>
        <v> </v>
      </c>
      <c r="J57" s="73" t="str">
        <f aca="false">IF(D57&gt;0,D57," ")</f>
        <v> </v>
      </c>
      <c r="K57" s="73" t="str">
        <f aca="false">IF(E57&gt;0,E57," ")</f>
        <v> </v>
      </c>
      <c r="L57" s="73" t="str">
        <f aca="false">IF(F57&gt;0,F57," ")</f>
        <v> </v>
      </c>
      <c r="M57" s="73" t="str">
        <f aca="false">IF(G57&gt;0,G57," ")</f>
        <v> </v>
      </c>
    </row>
    <row r="58" customFormat="false" ht="12" hidden="false" customHeight="false" outlineLevel="0" collapsed="false">
      <c r="B58" s="73" t="s">
        <v>53</v>
      </c>
      <c r="C58" s="73" t="s">
        <v>53</v>
      </c>
      <c r="D58" s="73" t="s">
        <v>53</v>
      </c>
      <c r="E58" s="73" t="s">
        <v>53</v>
      </c>
      <c r="F58" s="73" t="s">
        <v>53</v>
      </c>
      <c r="G58" s="73" t="s">
        <v>53</v>
      </c>
      <c r="I58" s="73" t="str">
        <f aca="false">IF(C58&gt;0,C58," ")</f>
        <v> </v>
      </c>
      <c r="J58" s="73" t="str">
        <f aca="false">IF(D58&gt;0,D58," ")</f>
        <v> </v>
      </c>
      <c r="K58" s="73" t="str">
        <f aca="false">IF(E58&gt;0,E58," ")</f>
        <v> </v>
      </c>
      <c r="L58" s="73" t="str">
        <f aca="false">IF(F58&gt;0,F58," ")</f>
        <v> </v>
      </c>
      <c r="M58" s="73" t="str">
        <f aca="false">IF(G58&gt;0,G58," ")</f>
        <v> </v>
      </c>
    </row>
    <row r="59" customFormat="false" ht="12" hidden="false" customHeight="false" outlineLevel="0" collapsed="false">
      <c r="B59" s="73" t="s">
        <v>53</v>
      </c>
      <c r="C59" s="73" t="s">
        <v>53</v>
      </c>
      <c r="D59" s="73" t="s">
        <v>53</v>
      </c>
      <c r="E59" s="73" t="s">
        <v>53</v>
      </c>
      <c r="F59" s="73" t="s">
        <v>53</v>
      </c>
      <c r="G59" s="73" t="s">
        <v>53</v>
      </c>
      <c r="I59" s="73" t="str">
        <f aca="false">IF(C59&gt;0,C59," ")</f>
        <v> </v>
      </c>
      <c r="J59" s="73" t="str">
        <f aca="false">IF(D59&gt;0,D59," ")</f>
        <v> </v>
      </c>
      <c r="K59" s="73" t="str">
        <f aca="false">IF(E59&gt;0,E59," ")</f>
        <v> </v>
      </c>
      <c r="L59" s="73" t="str">
        <f aca="false">IF(F59&gt;0,F59," ")</f>
        <v> </v>
      </c>
      <c r="M59" s="73" t="str">
        <f aca="false">IF(G59&gt;0,G59," ")</f>
        <v> </v>
      </c>
    </row>
    <row r="60" customFormat="false" ht="12" hidden="false" customHeight="false" outlineLevel="0" collapsed="false">
      <c r="B60" s="73" t="s">
        <v>53</v>
      </c>
      <c r="C60" s="73" t="s">
        <v>53</v>
      </c>
      <c r="D60" s="73" t="s">
        <v>53</v>
      </c>
      <c r="E60" s="73" t="s">
        <v>53</v>
      </c>
      <c r="F60" s="73" t="s">
        <v>53</v>
      </c>
      <c r="G60" s="73" t="s">
        <v>53</v>
      </c>
      <c r="I60" s="73" t="str">
        <f aca="false">IF(C60&gt;0,C60," ")</f>
        <v> </v>
      </c>
      <c r="J60" s="73" t="str">
        <f aca="false">IF(D60&gt;0,D60," ")</f>
        <v> </v>
      </c>
      <c r="K60" s="73" t="str">
        <f aca="false">IF(E60&gt;0,E60," ")</f>
        <v> </v>
      </c>
      <c r="L60" s="73" t="str">
        <f aca="false">IF(F60&gt;0,F60," ")</f>
        <v> </v>
      </c>
      <c r="M60" s="73" t="str">
        <f aca="false">IF(G60&gt;0,G60," ")</f>
        <v> </v>
      </c>
    </row>
    <row r="61" customFormat="false" ht="12" hidden="false" customHeight="false" outlineLevel="0" collapsed="false">
      <c r="B61" s="73" t="s">
        <v>53</v>
      </c>
      <c r="C61" s="73" t="s">
        <v>53</v>
      </c>
      <c r="D61" s="73" t="s">
        <v>53</v>
      </c>
      <c r="E61" s="73" t="s">
        <v>53</v>
      </c>
      <c r="F61" s="73" t="s">
        <v>53</v>
      </c>
      <c r="G61" s="73" t="s">
        <v>53</v>
      </c>
      <c r="I61" s="73" t="str">
        <f aca="false">IF(C61&gt;0,C61," ")</f>
        <v> </v>
      </c>
      <c r="J61" s="73" t="str">
        <f aca="false">IF(D61&gt;0,D61," ")</f>
        <v> </v>
      </c>
      <c r="K61" s="73" t="str">
        <f aca="false">IF(E61&gt;0,E61," ")</f>
        <v> </v>
      </c>
      <c r="L61" s="73" t="str">
        <f aca="false">IF(F61&gt;0,F61," ")</f>
        <v> </v>
      </c>
      <c r="M61" s="73" t="str">
        <f aca="false">IF(G61&gt;0,G61," ")</f>
        <v> </v>
      </c>
    </row>
    <row r="62" customFormat="false" ht="12" hidden="false" customHeight="false" outlineLevel="0" collapsed="false">
      <c r="B62" s="73" t="s">
        <v>53</v>
      </c>
      <c r="C62" s="73" t="s">
        <v>53</v>
      </c>
      <c r="D62" s="73" t="s">
        <v>53</v>
      </c>
      <c r="E62" s="73" t="s">
        <v>53</v>
      </c>
      <c r="F62" s="73" t="s">
        <v>53</v>
      </c>
      <c r="G62" s="73" t="s">
        <v>53</v>
      </c>
      <c r="I62" s="73" t="str">
        <f aca="false">IF(C62&gt;0,C62," ")</f>
        <v> </v>
      </c>
      <c r="J62" s="73" t="str">
        <f aca="false">IF(D62&gt;0,D62," ")</f>
        <v> </v>
      </c>
      <c r="K62" s="73" t="str">
        <f aca="false">IF(E62&gt;0,E62," ")</f>
        <v> </v>
      </c>
      <c r="L62" s="73" t="str">
        <f aca="false">IF(F62&gt;0,F62," ")</f>
        <v> </v>
      </c>
      <c r="M62" s="73" t="str">
        <f aca="false">IF(G62&gt;0,G62," ")</f>
        <v> </v>
      </c>
    </row>
    <row r="63" customFormat="false" ht="12" hidden="false" customHeight="false" outlineLevel="0" collapsed="false">
      <c r="B63" s="73" t="s">
        <v>53</v>
      </c>
      <c r="C63" s="73" t="s">
        <v>53</v>
      </c>
      <c r="D63" s="73" t="s">
        <v>53</v>
      </c>
      <c r="E63" s="73" t="s">
        <v>53</v>
      </c>
      <c r="F63" s="73" t="s">
        <v>53</v>
      </c>
      <c r="G63" s="73" t="s">
        <v>53</v>
      </c>
      <c r="I63" s="73" t="str">
        <f aca="false">IF(C63&gt;0,C63," ")</f>
        <v> </v>
      </c>
      <c r="J63" s="73" t="str">
        <f aca="false">IF(D63&gt;0,D63," ")</f>
        <v> </v>
      </c>
      <c r="K63" s="73" t="str">
        <f aca="false">IF(E63&gt;0,E63," ")</f>
        <v> </v>
      </c>
      <c r="L63" s="73" t="str">
        <f aca="false">IF(F63&gt;0,F63," ")</f>
        <v> </v>
      </c>
      <c r="M63" s="73" t="str">
        <f aca="false">IF(G63&gt;0,G63," ")</f>
        <v> </v>
      </c>
    </row>
    <row r="64" customFormat="false" ht="12" hidden="false" customHeight="false" outlineLevel="0" collapsed="false">
      <c r="B64" s="73" t="s">
        <v>53</v>
      </c>
      <c r="C64" s="73" t="s">
        <v>53</v>
      </c>
      <c r="D64" s="73" t="s">
        <v>53</v>
      </c>
      <c r="E64" s="73" t="s">
        <v>53</v>
      </c>
      <c r="F64" s="73" t="s">
        <v>53</v>
      </c>
      <c r="G64" s="73" t="s">
        <v>53</v>
      </c>
      <c r="I64" s="73" t="str">
        <f aca="false">IF(C64&gt;0,C64," ")</f>
        <v> </v>
      </c>
      <c r="J64" s="73" t="str">
        <f aca="false">IF(D64&gt;0,D64," ")</f>
        <v> </v>
      </c>
      <c r="K64" s="73" t="str">
        <f aca="false">IF(E64&gt;0,E64," ")</f>
        <v> </v>
      </c>
      <c r="L64" s="73" t="str">
        <f aca="false">IF(F64&gt;0,F64," ")</f>
        <v> </v>
      </c>
      <c r="M64" s="73" t="str">
        <f aca="false">IF(G64&gt;0,G64," ")</f>
        <v> </v>
      </c>
    </row>
    <row r="65" customFormat="false" ht="12" hidden="false" customHeight="false" outlineLevel="0" collapsed="false">
      <c r="B65" s="73" t="s">
        <v>53</v>
      </c>
      <c r="C65" s="73" t="s">
        <v>53</v>
      </c>
      <c r="D65" s="73" t="s">
        <v>53</v>
      </c>
      <c r="E65" s="73" t="s">
        <v>53</v>
      </c>
      <c r="F65" s="73" t="s">
        <v>53</v>
      </c>
      <c r="G65" s="73" t="s">
        <v>53</v>
      </c>
      <c r="I65" s="73" t="str">
        <f aca="false">IF(C65&gt;0,C65," ")</f>
        <v> </v>
      </c>
      <c r="J65" s="73" t="str">
        <f aca="false">IF(D65&gt;0,D65," ")</f>
        <v> </v>
      </c>
      <c r="K65" s="73" t="str">
        <f aca="false">IF(E65&gt;0,E65," ")</f>
        <v> </v>
      </c>
      <c r="L65" s="73" t="str">
        <f aca="false">IF(F65&gt;0,F65," ")</f>
        <v> </v>
      </c>
      <c r="M65" s="73" t="str">
        <f aca="false">IF(G65&gt;0,G65," ")</f>
        <v> </v>
      </c>
    </row>
    <row r="66" customFormat="false" ht="12" hidden="false" customHeight="false" outlineLevel="0" collapsed="false">
      <c r="B66" s="73" t="s">
        <v>53</v>
      </c>
      <c r="C66" s="73" t="s">
        <v>53</v>
      </c>
      <c r="D66" s="73" t="s">
        <v>53</v>
      </c>
      <c r="E66" s="73" t="s">
        <v>53</v>
      </c>
      <c r="F66" s="73" t="s">
        <v>53</v>
      </c>
      <c r="G66" s="73" t="s">
        <v>53</v>
      </c>
      <c r="I66" s="73" t="str">
        <f aca="false">IF(C66&gt;0,C66," ")</f>
        <v> </v>
      </c>
      <c r="J66" s="73" t="str">
        <f aca="false">IF(D66&gt;0,D66," ")</f>
        <v> </v>
      </c>
      <c r="K66" s="73" t="str">
        <f aca="false">IF(E66&gt;0,E66," ")</f>
        <v> </v>
      </c>
      <c r="L66" s="73" t="str">
        <f aca="false">IF(F66&gt;0,F66," ")</f>
        <v> </v>
      </c>
      <c r="M66" s="73" t="str">
        <f aca="false">IF(G66&gt;0,G66," ")</f>
        <v> </v>
      </c>
    </row>
    <row r="67" customFormat="false" ht="12" hidden="false" customHeight="false" outlineLevel="0" collapsed="false">
      <c r="B67" s="73" t="s">
        <v>53</v>
      </c>
      <c r="C67" s="73" t="s">
        <v>53</v>
      </c>
      <c r="D67" s="73" t="s">
        <v>53</v>
      </c>
      <c r="E67" s="73" t="s">
        <v>53</v>
      </c>
      <c r="F67" s="73" t="s">
        <v>53</v>
      </c>
      <c r="G67" s="73" t="s">
        <v>53</v>
      </c>
      <c r="I67" s="73" t="str">
        <f aca="false">IF(C67&gt;0,C67," ")</f>
        <v> </v>
      </c>
      <c r="J67" s="73" t="str">
        <f aca="false">IF(D67&gt;0,D67," ")</f>
        <v> </v>
      </c>
      <c r="K67" s="73" t="str">
        <f aca="false">IF(E67&gt;0,E67," ")</f>
        <v> </v>
      </c>
      <c r="L67" s="73" t="str">
        <f aca="false">IF(F67&gt;0,F67," ")</f>
        <v> </v>
      </c>
      <c r="M67" s="73" t="str">
        <f aca="false">IF(G67&gt;0,G67," ")</f>
        <v> </v>
      </c>
    </row>
    <row r="68" customFormat="false" ht="12" hidden="false" customHeight="false" outlineLevel="0" collapsed="false">
      <c r="B68" s="73" t="s">
        <v>53</v>
      </c>
      <c r="C68" s="73" t="s">
        <v>53</v>
      </c>
      <c r="D68" s="73" t="s">
        <v>53</v>
      </c>
      <c r="E68" s="73" t="s">
        <v>53</v>
      </c>
      <c r="F68" s="73" t="s">
        <v>53</v>
      </c>
      <c r="G68" s="73" t="s">
        <v>53</v>
      </c>
      <c r="I68" s="73" t="str">
        <f aca="false">IF(C68&gt;0,C68," ")</f>
        <v> </v>
      </c>
      <c r="J68" s="73" t="str">
        <f aca="false">IF(D68&gt;0,D68," ")</f>
        <v> </v>
      </c>
      <c r="K68" s="73" t="str">
        <f aca="false">IF(E68&gt;0,E68," ")</f>
        <v> </v>
      </c>
      <c r="L68" s="73" t="str">
        <f aca="false">IF(F68&gt;0,F68," ")</f>
        <v> </v>
      </c>
      <c r="M68" s="73" t="str">
        <f aca="false">IF(G68&gt;0,G68," ")</f>
        <v> </v>
      </c>
    </row>
    <row r="69" customFormat="false" ht="12" hidden="false" customHeight="false" outlineLevel="0" collapsed="false">
      <c r="B69" s="73" t="s">
        <v>53</v>
      </c>
      <c r="C69" s="73" t="s">
        <v>53</v>
      </c>
      <c r="D69" s="73" t="s">
        <v>53</v>
      </c>
      <c r="E69" s="73" t="s">
        <v>53</v>
      </c>
      <c r="F69" s="73" t="s">
        <v>53</v>
      </c>
      <c r="G69" s="73" t="s">
        <v>53</v>
      </c>
      <c r="I69" s="73" t="str">
        <f aca="false">IF(C69&gt;0,C69," ")</f>
        <v> </v>
      </c>
      <c r="J69" s="73" t="str">
        <f aca="false">IF(D69&gt;0,D69," ")</f>
        <v> </v>
      </c>
      <c r="K69" s="73" t="str">
        <f aca="false">IF(E69&gt;0,E69," ")</f>
        <v> </v>
      </c>
      <c r="L69" s="73" t="str">
        <f aca="false">IF(F69&gt;0,F69," ")</f>
        <v> </v>
      </c>
      <c r="M69" s="73" t="str">
        <f aca="false">IF(G69&gt;0,G69," ")</f>
        <v> </v>
      </c>
    </row>
    <row r="70" customFormat="false" ht="12" hidden="false" customHeight="false" outlineLevel="0" collapsed="false">
      <c r="B70" s="73" t="s">
        <v>53</v>
      </c>
      <c r="C70" s="73" t="s">
        <v>53</v>
      </c>
      <c r="D70" s="73" t="s">
        <v>53</v>
      </c>
      <c r="E70" s="73" t="s">
        <v>53</v>
      </c>
      <c r="F70" s="73" t="s">
        <v>53</v>
      </c>
      <c r="G70" s="73" t="s">
        <v>53</v>
      </c>
      <c r="I70" s="73" t="str">
        <f aca="false">IF(C70&gt;0,C70," ")</f>
        <v> </v>
      </c>
      <c r="J70" s="73" t="str">
        <f aca="false">IF(D70&gt;0,D70," ")</f>
        <v> </v>
      </c>
      <c r="K70" s="73" t="str">
        <f aca="false">IF(E70&gt;0,E70," ")</f>
        <v> </v>
      </c>
      <c r="L70" s="73" t="str">
        <f aca="false">IF(F70&gt;0,F70," ")</f>
        <v> </v>
      </c>
      <c r="M70" s="73" t="str">
        <f aca="false">IF(G70&gt;0,G70," ")</f>
        <v> </v>
      </c>
    </row>
    <row r="71" customFormat="false" ht="12" hidden="false" customHeight="false" outlineLevel="0" collapsed="false">
      <c r="B71" s="73" t="s">
        <v>53</v>
      </c>
      <c r="C71" s="73" t="s">
        <v>53</v>
      </c>
      <c r="D71" s="73" t="s">
        <v>53</v>
      </c>
      <c r="E71" s="73" t="s">
        <v>53</v>
      </c>
      <c r="F71" s="73" t="s">
        <v>53</v>
      </c>
      <c r="G71" s="73" t="s">
        <v>53</v>
      </c>
      <c r="I71" s="73" t="str">
        <f aca="false">IF(C71&gt;0,C71," ")</f>
        <v> </v>
      </c>
      <c r="J71" s="73" t="str">
        <f aca="false">IF(D71&gt;0,D71," ")</f>
        <v> </v>
      </c>
      <c r="K71" s="73" t="str">
        <f aca="false">IF(E71&gt;0,E71," ")</f>
        <v> </v>
      </c>
      <c r="L71" s="73" t="str">
        <f aca="false">IF(F71&gt;0,F71," ")</f>
        <v> </v>
      </c>
      <c r="M71" s="73" t="str">
        <f aca="false">IF(G71&gt;0,G71," ")</f>
        <v> </v>
      </c>
    </row>
    <row r="72" customFormat="false" ht="12" hidden="false" customHeight="false" outlineLevel="0" collapsed="false">
      <c r="B72" s="73" t="s">
        <v>53</v>
      </c>
      <c r="C72" s="73" t="s">
        <v>53</v>
      </c>
      <c r="D72" s="73" t="s">
        <v>53</v>
      </c>
      <c r="E72" s="73" t="s">
        <v>53</v>
      </c>
      <c r="F72" s="73" t="s">
        <v>53</v>
      </c>
      <c r="G72" s="73" t="s">
        <v>53</v>
      </c>
      <c r="I72" s="73" t="str">
        <f aca="false">IF(C72&gt;0,C72," ")</f>
        <v> </v>
      </c>
      <c r="J72" s="73" t="str">
        <f aca="false">IF(D72&gt;0,D72," ")</f>
        <v> </v>
      </c>
      <c r="K72" s="73" t="str">
        <f aca="false">IF(E72&gt;0,E72," ")</f>
        <v> </v>
      </c>
      <c r="L72" s="73" t="str">
        <f aca="false">IF(F72&gt;0,F72," ")</f>
        <v> </v>
      </c>
      <c r="M72" s="73" t="str">
        <f aca="false">IF(G72&gt;0,G72," ")</f>
        <v> </v>
      </c>
    </row>
    <row r="73" customFormat="false" ht="12" hidden="false" customHeight="false" outlineLevel="0" collapsed="false">
      <c r="B73" s="73" t="s">
        <v>53</v>
      </c>
      <c r="C73" s="73" t="s">
        <v>53</v>
      </c>
      <c r="D73" s="73" t="s">
        <v>53</v>
      </c>
      <c r="E73" s="73" t="s">
        <v>53</v>
      </c>
      <c r="F73" s="73" t="s">
        <v>53</v>
      </c>
      <c r="G73" s="73" t="s">
        <v>53</v>
      </c>
      <c r="I73" s="73" t="str">
        <f aca="false">IF(C73&gt;0,C73," ")</f>
        <v> </v>
      </c>
      <c r="J73" s="73" t="str">
        <f aca="false">IF(D73&gt;0,D73," ")</f>
        <v> </v>
      </c>
      <c r="K73" s="73" t="str">
        <f aca="false">IF(E73&gt;0,E73," ")</f>
        <v> </v>
      </c>
      <c r="L73" s="73" t="str">
        <f aca="false">IF(F73&gt;0,F73," ")</f>
        <v> </v>
      </c>
      <c r="M73" s="73" t="str">
        <f aca="false">IF(G73&gt;0,G73," ")</f>
        <v> </v>
      </c>
    </row>
    <row r="74" customFormat="false" ht="12" hidden="false" customHeight="false" outlineLevel="0" collapsed="false">
      <c r="B74" s="73" t="s">
        <v>53</v>
      </c>
      <c r="C74" s="73" t="s">
        <v>53</v>
      </c>
      <c r="D74" s="73" t="s">
        <v>53</v>
      </c>
      <c r="E74" s="73" t="s">
        <v>53</v>
      </c>
      <c r="F74" s="73" t="s">
        <v>53</v>
      </c>
      <c r="G74" s="73" t="s">
        <v>53</v>
      </c>
      <c r="I74" s="73" t="str">
        <f aca="false">IF(C74&gt;0,C74," ")</f>
        <v> </v>
      </c>
      <c r="J74" s="73" t="str">
        <f aca="false">IF(D74&gt;0,D74," ")</f>
        <v> </v>
      </c>
      <c r="K74" s="73" t="str">
        <f aca="false">IF(E74&gt;0,E74," ")</f>
        <v> </v>
      </c>
      <c r="L74" s="73" t="str">
        <f aca="false">IF(F74&gt;0,F74," ")</f>
        <v> </v>
      </c>
      <c r="M74" s="73" t="str">
        <f aca="false">IF(G74&gt;0,G74," ")</f>
        <v> </v>
      </c>
    </row>
    <row r="75" customFormat="false" ht="12" hidden="false" customHeight="false" outlineLevel="0" collapsed="false">
      <c r="B75" s="73" t="s">
        <v>53</v>
      </c>
      <c r="C75" s="73" t="s">
        <v>53</v>
      </c>
      <c r="D75" s="73" t="s">
        <v>53</v>
      </c>
      <c r="E75" s="73" t="s">
        <v>53</v>
      </c>
      <c r="F75" s="73" t="s">
        <v>53</v>
      </c>
      <c r="G75" s="73" t="s">
        <v>53</v>
      </c>
      <c r="I75" s="73" t="str">
        <f aca="false">IF(C75&gt;0,C75," ")</f>
        <v> </v>
      </c>
      <c r="J75" s="73" t="str">
        <f aca="false">IF(D75&gt;0,D75," ")</f>
        <v> </v>
      </c>
      <c r="K75" s="73" t="str">
        <f aca="false">IF(E75&gt;0,E75," ")</f>
        <v> </v>
      </c>
      <c r="L75" s="73" t="str">
        <f aca="false">IF(F75&gt;0,F75," ")</f>
        <v> </v>
      </c>
      <c r="M75" s="73" t="str">
        <f aca="false">IF(G75&gt;0,G75," ")</f>
        <v> </v>
      </c>
    </row>
    <row r="76" customFormat="false" ht="12" hidden="false" customHeight="false" outlineLevel="0" collapsed="false">
      <c r="B76" s="73" t="s">
        <v>53</v>
      </c>
      <c r="C76" s="73" t="s">
        <v>53</v>
      </c>
      <c r="D76" s="73" t="s">
        <v>53</v>
      </c>
      <c r="E76" s="73" t="s">
        <v>53</v>
      </c>
      <c r="F76" s="73" t="s">
        <v>53</v>
      </c>
      <c r="G76" s="73" t="s">
        <v>53</v>
      </c>
      <c r="I76" s="73" t="str">
        <f aca="false">IF(C76&gt;0,C76," ")</f>
        <v> </v>
      </c>
      <c r="J76" s="73" t="str">
        <f aca="false">IF(D76&gt;0,D76," ")</f>
        <v> </v>
      </c>
      <c r="K76" s="73" t="str">
        <f aca="false">IF(E76&gt;0,E76," ")</f>
        <v> </v>
      </c>
      <c r="L76" s="73" t="str">
        <f aca="false">IF(F76&gt;0,F76," ")</f>
        <v> </v>
      </c>
      <c r="M76" s="73" t="str">
        <f aca="false">IF(G76&gt;0,G76," ")</f>
        <v> </v>
      </c>
    </row>
    <row r="77" customFormat="false" ht="12" hidden="false" customHeight="false" outlineLevel="0" collapsed="false">
      <c r="B77" s="73" t="s">
        <v>53</v>
      </c>
      <c r="C77" s="73" t="s">
        <v>53</v>
      </c>
      <c r="D77" s="73" t="s">
        <v>53</v>
      </c>
      <c r="E77" s="73" t="s">
        <v>53</v>
      </c>
      <c r="F77" s="73" t="s">
        <v>53</v>
      </c>
      <c r="G77" s="73" t="s">
        <v>53</v>
      </c>
      <c r="I77" s="73" t="str">
        <f aca="false">IF(C77&gt;0,C77," ")</f>
        <v> </v>
      </c>
      <c r="J77" s="73" t="str">
        <f aca="false">IF(D77&gt;0,D77," ")</f>
        <v> </v>
      </c>
      <c r="K77" s="73" t="str">
        <f aca="false">IF(E77&gt;0,E77," ")</f>
        <v> </v>
      </c>
      <c r="L77" s="73" t="str">
        <f aca="false">IF(F77&gt;0,F77," ")</f>
        <v> </v>
      </c>
      <c r="M77" s="73" t="str">
        <f aca="false">IF(G77&gt;0,G77," ")</f>
        <v> </v>
      </c>
    </row>
    <row r="78" customFormat="false" ht="12" hidden="false" customHeight="false" outlineLevel="0" collapsed="false">
      <c r="B78" s="73" t="s">
        <v>53</v>
      </c>
      <c r="C78" s="73" t="s">
        <v>53</v>
      </c>
      <c r="D78" s="73" t="s">
        <v>53</v>
      </c>
      <c r="E78" s="73" t="s">
        <v>53</v>
      </c>
      <c r="F78" s="73" t="s">
        <v>53</v>
      </c>
      <c r="G78" s="73" t="s">
        <v>53</v>
      </c>
      <c r="I78" s="73" t="str">
        <f aca="false">IF(C78&gt;0,C78," ")</f>
        <v> </v>
      </c>
      <c r="J78" s="73" t="str">
        <f aca="false">IF(D78&gt;0,D78," ")</f>
        <v> </v>
      </c>
      <c r="K78" s="73" t="str">
        <f aca="false">IF(E78&gt;0,E78," ")</f>
        <v> </v>
      </c>
      <c r="L78" s="73" t="str">
        <f aca="false">IF(F78&gt;0,F78," ")</f>
        <v> </v>
      </c>
      <c r="M78" s="73" t="str">
        <f aca="false">IF(G78&gt;0,G78," ")</f>
        <v> </v>
      </c>
    </row>
    <row r="79" customFormat="false" ht="12" hidden="false" customHeight="false" outlineLevel="0" collapsed="false">
      <c r="B79" s="73" t="s">
        <v>53</v>
      </c>
      <c r="C79" s="73" t="s">
        <v>53</v>
      </c>
      <c r="D79" s="73" t="s">
        <v>53</v>
      </c>
      <c r="E79" s="73" t="s">
        <v>53</v>
      </c>
      <c r="F79" s="73" t="s">
        <v>53</v>
      </c>
      <c r="G79" s="73" t="s">
        <v>53</v>
      </c>
      <c r="I79" s="73" t="str">
        <f aca="false">IF(C79&gt;0,C79," ")</f>
        <v> </v>
      </c>
      <c r="J79" s="73" t="str">
        <f aca="false">IF(D79&gt;0,D79," ")</f>
        <v> </v>
      </c>
      <c r="K79" s="73" t="str">
        <f aca="false">IF(E79&gt;0,E79," ")</f>
        <v> </v>
      </c>
      <c r="L79" s="73" t="str">
        <f aca="false">IF(F79&gt;0,F79," ")</f>
        <v> </v>
      </c>
      <c r="M79" s="73" t="str">
        <f aca="false">IF(G79&gt;0,G79," ")</f>
        <v> </v>
      </c>
    </row>
    <row r="80" customFormat="false" ht="12" hidden="false" customHeight="false" outlineLevel="0" collapsed="false">
      <c r="B80" s="73" t="s">
        <v>53</v>
      </c>
      <c r="C80" s="73" t="s">
        <v>53</v>
      </c>
      <c r="D80" s="73" t="s">
        <v>53</v>
      </c>
      <c r="E80" s="73" t="s">
        <v>53</v>
      </c>
      <c r="F80" s="73" t="s">
        <v>53</v>
      </c>
      <c r="G80" s="73" t="s">
        <v>53</v>
      </c>
      <c r="I80" s="73" t="str">
        <f aca="false">IF(C80&gt;0,C80," ")</f>
        <v> </v>
      </c>
      <c r="J80" s="73" t="str">
        <f aca="false">IF(D80&gt;0,D80," ")</f>
        <v> </v>
      </c>
      <c r="K80" s="73" t="str">
        <f aca="false">IF(E80&gt;0,E80," ")</f>
        <v> </v>
      </c>
      <c r="L80" s="73" t="str">
        <f aca="false">IF(F80&gt;0,F80," ")</f>
        <v> </v>
      </c>
      <c r="M80" s="73" t="str">
        <f aca="false">IF(G80&gt;0,G80," ")</f>
        <v> </v>
      </c>
    </row>
    <row r="81" customFormat="false" ht="12" hidden="false" customHeight="false" outlineLevel="0" collapsed="false">
      <c r="B81" s="73" t="s">
        <v>53</v>
      </c>
      <c r="C81" s="73" t="s">
        <v>53</v>
      </c>
      <c r="D81" s="73" t="s">
        <v>53</v>
      </c>
      <c r="E81" s="73" t="s">
        <v>53</v>
      </c>
      <c r="F81" s="73" t="s">
        <v>53</v>
      </c>
      <c r="G81" s="73" t="s">
        <v>53</v>
      </c>
      <c r="I81" s="73" t="str">
        <f aca="false">IF(C81&gt;0,C81," ")</f>
        <v> </v>
      </c>
      <c r="J81" s="73" t="str">
        <f aca="false">IF(D81&gt;0,D81," ")</f>
        <v> </v>
      </c>
      <c r="K81" s="73" t="str">
        <f aca="false">IF(E81&gt;0,E81," ")</f>
        <v> </v>
      </c>
      <c r="L81" s="73" t="str">
        <f aca="false">IF(F81&gt;0,F81," ")</f>
        <v> </v>
      </c>
      <c r="M81" s="73" t="str">
        <f aca="false">IF(G81&gt;0,G81," ")</f>
        <v> </v>
      </c>
    </row>
    <row r="82" customFormat="false" ht="12" hidden="false" customHeight="false" outlineLevel="0" collapsed="false">
      <c r="B82" s="73" t="s">
        <v>53</v>
      </c>
      <c r="C82" s="73" t="s">
        <v>53</v>
      </c>
      <c r="D82" s="73" t="s">
        <v>53</v>
      </c>
      <c r="E82" s="73" t="s">
        <v>53</v>
      </c>
      <c r="F82" s="73" t="s">
        <v>53</v>
      </c>
      <c r="G82" s="73" t="s">
        <v>53</v>
      </c>
      <c r="I82" s="73" t="str">
        <f aca="false">IF(C82&gt;0,C82," ")</f>
        <v> </v>
      </c>
      <c r="J82" s="73" t="str">
        <f aca="false">IF(D82&gt;0,D82," ")</f>
        <v> </v>
      </c>
      <c r="K82" s="73" t="str">
        <f aca="false">IF(E82&gt;0,E82," ")</f>
        <v> </v>
      </c>
      <c r="L82" s="73" t="str">
        <f aca="false">IF(F82&gt;0,F82," ")</f>
        <v> </v>
      </c>
      <c r="M82" s="73" t="str">
        <f aca="false">IF(G82&gt;0,G82," ")</f>
        <v> </v>
      </c>
    </row>
    <row r="83" customFormat="false" ht="12" hidden="false" customHeight="false" outlineLevel="0" collapsed="false">
      <c r="B83" s="73" t="s">
        <v>53</v>
      </c>
      <c r="C83" s="73" t="s">
        <v>53</v>
      </c>
      <c r="D83" s="73" t="s">
        <v>53</v>
      </c>
      <c r="E83" s="73" t="s">
        <v>53</v>
      </c>
      <c r="F83" s="73" t="s">
        <v>53</v>
      </c>
      <c r="G83" s="73" t="s">
        <v>53</v>
      </c>
      <c r="I83" s="73" t="str">
        <f aca="false">IF(C83&gt;0,C83," ")</f>
        <v> </v>
      </c>
      <c r="J83" s="73" t="str">
        <f aca="false">IF(D83&gt;0,D83," ")</f>
        <v> </v>
      </c>
      <c r="K83" s="73" t="str">
        <f aca="false">IF(E83&gt;0,E83," ")</f>
        <v> </v>
      </c>
      <c r="L83" s="73" t="str">
        <f aca="false">IF(F83&gt;0,F83," ")</f>
        <v> </v>
      </c>
      <c r="M83" s="73" t="str">
        <f aca="false">IF(G83&gt;0,G83," ")</f>
        <v> </v>
      </c>
    </row>
    <row r="84" customFormat="false" ht="12" hidden="false" customHeight="false" outlineLevel="0" collapsed="false">
      <c r="B84" s="73" t="s">
        <v>53</v>
      </c>
      <c r="C84" s="73" t="s">
        <v>53</v>
      </c>
      <c r="D84" s="73" t="s">
        <v>53</v>
      </c>
      <c r="E84" s="73" t="s">
        <v>53</v>
      </c>
      <c r="F84" s="73" t="s">
        <v>53</v>
      </c>
      <c r="G84" s="73" t="s">
        <v>53</v>
      </c>
      <c r="I84" s="73" t="str">
        <f aca="false">IF(C84&gt;0,C84," ")</f>
        <v> </v>
      </c>
      <c r="J84" s="73" t="str">
        <f aca="false">IF(D84&gt;0,D84," ")</f>
        <v> </v>
      </c>
      <c r="K84" s="73" t="str">
        <f aca="false">IF(E84&gt;0,E84," ")</f>
        <v> </v>
      </c>
      <c r="L84" s="73" t="str">
        <f aca="false">IF(F84&gt;0,F84," ")</f>
        <v> </v>
      </c>
      <c r="M84" s="73" t="str">
        <f aca="false">IF(G84&gt;0,G84," ")</f>
        <v> </v>
      </c>
    </row>
    <row r="85" customFormat="false" ht="12" hidden="false" customHeight="false" outlineLevel="0" collapsed="false">
      <c r="B85" s="73" t="s">
        <v>53</v>
      </c>
      <c r="C85" s="73" t="s">
        <v>53</v>
      </c>
      <c r="D85" s="73" t="s">
        <v>53</v>
      </c>
      <c r="E85" s="73" t="s">
        <v>53</v>
      </c>
      <c r="F85" s="73" t="s">
        <v>53</v>
      </c>
      <c r="G85" s="73" t="s">
        <v>53</v>
      </c>
      <c r="I85" s="73" t="str">
        <f aca="false">IF(C85&gt;0,C85," ")</f>
        <v> </v>
      </c>
      <c r="J85" s="73" t="str">
        <f aca="false">IF(D85&gt;0,D85," ")</f>
        <v> </v>
      </c>
      <c r="K85" s="73" t="str">
        <f aca="false">IF(E85&gt;0,E85," ")</f>
        <v> </v>
      </c>
      <c r="L85" s="73" t="str">
        <f aca="false">IF(F85&gt;0,F85," ")</f>
        <v> </v>
      </c>
      <c r="M85" s="73" t="str">
        <f aca="false">IF(G85&gt;0,G85," ")</f>
        <v> </v>
      </c>
    </row>
    <row r="86" customFormat="false" ht="12" hidden="false" customHeight="false" outlineLevel="0" collapsed="false">
      <c r="B86" s="73" t="s">
        <v>53</v>
      </c>
      <c r="C86" s="73" t="s">
        <v>53</v>
      </c>
      <c r="D86" s="73" t="s">
        <v>53</v>
      </c>
      <c r="E86" s="73" t="s">
        <v>53</v>
      </c>
      <c r="F86" s="73" t="s">
        <v>53</v>
      </c>
      <c r="G86" s="73" t="s">
        <v>53</v>
      </c>
      <c r="I86" s="73" t="str">
        <f aca="false">IF(C86&gt;0,C86," ")</f>
        <v> </v>
      </c>
      <c r="J86" s="73" t="str">
        <f aca="false">IF(D86&gt;0,D86," ")</f>
        <v> </v>
      </c>
      <c r="K86" s="73" t="str">
        <f aca="false">IF(E86&gt;0,E86," ")</f>
        <v> </v>
      </c>
      <c r="L86" s="73" t="str">
        <f aca="false">IF(F86&gt;0,F86," ")</f>
        <v> </v>
      </c>
      <c r="M86" s="73" t="str">
        <f aca="false">IF(G86&gt;0,G86," ")</f>
        <v> </v>
      </c>
    </row>
    <row r="87" customFormat="false" ht="12" hidden="false" customHeight="false" outlineLevel="0" collapsed="false">
      <c r="B87" s="73" t="s">
        <v>53</v>
      </c>
      <c r="C87" s="73" t="s">
        <v>53</v>
      </c>
      <c r="D87" s="73" t="s">
        <v>53</v>
      </c>
      <c r="E87" s="73" t="s">
        <v>53</v>
      </c>
      <c r="F87" s="73" t="s">
        <v>53</v>
      </c>
      <c r="G87" s="73" t="s">
        <v>53</v>
      </c>
      <c r="I87" s="73" t="str">
        <f aca="false">IF(C87&gt;0,C87," ")</f>
        <v> </v>
      </c>
      <c r="J87" s="73" t="str">
        <f aca="false">IF(D87&gt;0,D87," ")</f>
        <v> </v>
      </c>
      <c r="K87" s="73" t="str">
        <f aca="false">IF(E87&gt;0,E87," ")</f>
        <v> </v>
      </c>
      <c r="L87" s="73" t="str">
        <f aca="false">IF(F87&gt;0,F87," ")</f>
        <v> </v>
      </c>
      <c r="M87" s="73" t="str">
        <f aca="false">IF(G87&gt;0,G87," ")</f>
        <v> </v>
      </c>
    </row>
    <row r="88" customFormat="false" ht="12" hidden="false" customHeight="false" outlineLevel="0" collapsed="false">
      <c r="B88" s="73" t="s">
        <v>53</v>
      </c>
      <c r="C88" s="73" t="s">
        <v>53</v>
      </c>
      <c r="D88" s="73" t="s">
        <v>53</v>
      </c>
      <c r="E88" s="73" t="s">
        <v>53</v>
      </c>
      <c r="F88" s="73" t="s">
        <v>53</v>
      </c>
      <c r="G88" s="73" t="s">
        <v>53</v>
      </c>
      <c r="I88" s="73" t="str">
        <f aca="false">IF(C88&gt;0,C88," ")</f>
        <v> </v>
      </c>
      <c r="J88" s="73" t="str">
        <f aca="false">IF(D88&gt;0,D88," ")</f>
        <v> </v>
      </c>
      <c r="K88" s="73" t="str">
        <f aca="false">IF(E88&gt;0,E88," ")</f>
        <v> </v>
      </c>
      <c r="L88" s="73" t="str">
        <f aca="false">IF(F88&gt;0,F88," ")</f>
        <v> </v>
      </c>
      <c r="M88" s="73" t="str">
        <f aca="false">IF(G88&gt;0,G88," ")</f>
        <v> </v>
      </c>
    </row>
    <row r="89" customFormat="false" ht="12" hidden="false" customHeight="false" outlineLevel="0" collapsed="false">
      <c r="B89" s="73" t="s">
        <v>53</v>
      </c>
      <c r="C89" s="73" t="s">
        <v>53</v>
      </c>
      <c r="D89" s="73" t="s">
        <v>53</v>
      </c>
      <c r="E89" s="73" t="s">
        <v>53</v>
      </c>
      <c r="F89" s="73" t="s">
        <v>53</v>
      </c>
      <c r="G89" s="73" t="s">
        <v>53</v>
      </c>
      <c r="I89" s="73" t="str">
        <f aca="false">IF(C89&gt;0,C89," ")</f>
        <v> </v>
      </c>
      <c r="J89" s="73" t="str">
        <f aca="false">IF(D89&gt;0,D89," ")</f>
        <v> </v>
      </c>
      <c r="K89" s="73" t="str">
        <f aca="false">IF(E89&gt;0,E89," ")</f>
        <v> </v>
      </c>
      <c r="L89" s="73" t="str">
        <f aca="false">IF(F89&gt;0,F89," ")</f>
        <v> </v>
      </c>
      <c r="M89" s="73" t="str">
        <f aca="false">IF(G89&gt;0,G89," ")</f>
        <v> </v>
      </c>
    </row>
    <row r="90" customFormat="false" ht="12" hidden="false" customHeight="false" outlineLevel="0" collapsed="false">
      <c r="B90" s="73" t="s">
        <v>53</v>
      </c>
      <c r="C90" s="73" t="s">
        <v>53</v>
      </c>
      <c r="D90" s="73" t="s">
        <v>53</v>
      </c>
      <c r="E90" s="73" t="s">
        <v>53</v>
      </c>
      <c r="F90" s="73" t="s">
        <v>53</v>
      </c>
      <c r="G90" s="73" t="s">
        <v>53</v>
      </c>
      <c r="I90" s="73" t="str">
        <f aca="false">IF(C90&gt;0,C90," ")</f>
        <v> </v>
      </c>
      <c r="J90" s="73" t="str">
        <f aca="false">IF(D90&gt;0,D90," ")</f>
        <v> </v>
      </c>
      <c r="K90" s="73" t="str">
        <f aca="false">IF(E90&gt;0,E90," ")</f>
        <v> </v>
      </c>
      <c r="L90" s="73" t="str">
        <f aca="false">IF(F90&gt;0,F90," ")</f>
        <v> </v>
      </c>
      <c r="M90" s="73" t="str">
        <f aca="false">IF(G90&gt;0,G90," ")</f>
        <v> </v>
      </c>
    </row>
    <row r="91" customFormat="false" ht="12" hidden="false" customHeight="false" outlineLevel="0" collapsed="false">
      <c r="B91" s="73" t="s">
        <v>53</v>
      </c>
      <c r="C91" s="73" t="s">
        <v>53</v>
      </c>
      <c r="D91" s="73" t="s">
        <v>53</v>
      </c>
      <c r="E91" s="73" t="s">
        <v>53</v>
      </c>
      <c r="F91" s="73" t="s">
        <v>53</v>
      </c>
      <c r="G91" s="73" t="s">
        <v>53</v>
      </c>
      <c r="I91" s="73" t="str">
        <f aca="false">IF(C91&gt;0,C91," ")</f>
        <v> </v>
      </c>
      <c r="J91" s="73" t="str">
        <f aca="false">IF(D91&gt;0,D91," ")</f>
        <v> </v>
      </c>
      <c r="K91" s="73" t="str">
        <f aca="false">IF(E91&gt;0,E91," ")</f>
        <v> </v>
      </c>
      <c r="L91" s="73" t="str">
        <f aca="false">IF(F91&gt;0,F91," ")</f>
        <v> </v>
      </c>
      <c r="M91" s="73" t="str">
        <f aca="false">IF(G91&gt;0,G91," ")</f>
        <v> </v>
      </c>
    </row>
    <row r="92" customFormat="false" ht="12" hidden="false" customHeight="false" outlineLevel="0" collapsed="false">
      <c r="B92" s="73" t="s">
        <v>53</v>
      </c>
      <c r="C92" s="73" t="s">
        <v>53</v>
      </c>
      <c r="D92" s="73" t="s">
        <v>53</v>
      </c>
      <c r="E92" s="73" t="s">
        <v>53</v>
      </c>
      <c r="F92" s="73" t="s">
        <v>53</v>
      </c>
      <c r="G92" s="73" t="s">
        <v>53</v>
      </c>
      <c r="I92" s="73" t="str">
        <f aca="false">IF(C92&gt;0,C92," ")</f>
        <v> </v>
      </c>
      <c r="J92" s="73" t="str">
        <f aca="false">IF(D92&gt;0,D92," ")</f>
        <v> </v>
      </c>
      <c r="K92" s="73" t="str">
        <f aca="false">IF(E92&gt;0,E92," ")</f>
        <v> </v>
      </c>
      <c r="L92" s="73" t="str">
        <f aca="false">IF(F92&gt;0,F92," ")</f>
        <v> </v>
      </c>
      <c r="M92" s="73" t="str">
        <f aca="false">IF(G92&gt;0,G92," ")</f>
        <v> </v>
      </c>
    </row>
    <row r="93" customFormat="false" ht="12" hidden="false" customHeight="false" outlineLevel="0" collapsed="false">
      <c r="B93" s="73" t="s">
        <v>53</v>
      </c>
      <c r="C93" s="73" t="s">
        <v>53</v>
      </c>
      <c r="D93" s="73" t="s">
        <v>53</v>
      </c>
      <c r="E93" s="73" t="s">
        <v>53</v>
      </c>
      <c r="F93" s="73" t="s">
        <v>53</v>
      </c>
      <c r="G93" s="73" t="s">
        <v>53</v>
      </c>
      <c r="I93" s="73" t="str">
        <f aca="false">IF(C93&gt;0,C93," ")</f>
        <v> </v>
      </c>
      <c r="J93" s="73" t="str">
        <f aca="false">IF(D93&gt;0,D93," ")</f>
        <v> </v>
      </c>
      <c r="K93" s="73" t="str">
        <f aca="false">IF(E93&gt;0,E93," ")</f>
        <v> </v>
      </c>
      <c r="L93" s="73" t="str">
        <f aca="false">IF(F93&gt;0,F93," ")</f>
        <v> </v>
      </c>
      <c r="M93" s="73" t="str">
        <f aca="false">IF(G93&gt;0,G93," ")</f>
        <v> </v>
      </c>
    </row>
    <row r="94" customFormat="false" ht="12" hidden="false" customHeight="false" outlineLevel="0" collapsed="false">
      <c r="B94" s="73" t="s">
        <v>53</v>
      </c>
      <c r="C94" s="73" t="s">
        <v>53</v>
      </c>
      <c r="D94" s="73" t="s">
        <v>53</v>
      </c>
      <c r="E94" s="73" t="s">
        <v>53</v>
      </c>
      <c r="F94" s="73" t="s">
        <v>53</v>
      </c>
      <c r="G94" s="73" t="s">
        <v>53</v>
      </c>
      <c r="I94" s="73" t="str">
        <f aca="false">IF(C94&gt;0,C94," ")</f>
        <v> </v>
      </c>
      <c r="J94" s="73" t="str">
        <f aca="false">IF(D94&gt;0,D94," ")</f>
        <v> </v>
      </c>
      <c r="K94" s="73" t="str">
        <f aca="false">IF(E94&gt;0,E94," ")</f>
        <v> </v>
      </c>
      <c r="L94" s="73" t="str">
        <f aca="false">IF(F94&gt;0,F94," ")</f>
        <v> </v>
      </c>
      <c r="M94" s="73" t="str">
        <f aca="false">IF(G94&gt;0,G94," ")</f>
        <v> </v>
      </c>
    </row>
    <row r="95" customFormat="false" ht="12" hidden="false" customHeight="false" outlineLevel="0" collapsed="false">
      <c r="B95" s="73" t="s">
        <v>53</v>
      </c>
      <c r="C95" s="73" t="s">
        <v>53</v>
      </c>
      <c r="D95" s="73" t="s">
        <v>53</v>
      </c>
      <c r="E95" s="73" t="s">
        <v>53</v>
      </c>
      <c r="F95" s="73" t="s">
        <v>53</v>
      </c>
      <c r="G95" s="73" t="s">
        <v>53</v>
      </c>
      <c r="I95" s="73" t="str">
        <f aca="false">IF(C95&gt;0,C95," ")</f>
        <v> </v>
      </c>
      <c r="J95" s="73" t="str">
        <f aca="false">IF(D95&gt;0,D95," ")</f>
        <v> </v>
      </c>
      <c r="K95" s="73" t="str">
        <f aca="false">IF(E95&gt;0,E95," ")</f>
        <v> </v>
      </c>
      <c r="L95" s="73" t="str">
        <f aca="false">IF(F95&gt;0,F95," ")</f>
        <v> </v>
      </c>
      <c r="M95" s="73" t="str">
        <f aca="false">IF(G95&gt;0,G95," ")</f>
        <v> </v>
      </c>
    </row>
    <row r="96" customFormat="false" ht="12" hidden="false" customHeight="false" outlineLevel="0" collapsed="false">
      <c r="B96" s="73" t="s">
        <v>53</v>
      </c>
      <c r="C96" s="73" t="s">
        <v>53</v>
      </c>
      <c r="D96" s="73" t="s">
        <v>53</v>
      </c>
      <c r="E96" s="73" t="s">
        <v>53</v>
      </c>
      <c r="F96" s="73" t="s">
        <v>53</v>
      </c>
      <c r="G96" s="73" t="s">
        <v>53</v>
      </c>
      <c r="I96" s="73" t="str">
        <f aca="false">IF(C96&gt;0,C96," ")</f>
        <v> </v>
      </c>
      <c r="J96" s="73" t="str">
        <f aca="false">IF(D96&gt;0,D96," ")</f>
        <v> </v>
      </c>
      <c r="K96" s="73" t="str">
        <f aca="false">IF(E96&gt;0,E96," ")</f>
        <v> </v>
      </c>
      <c r="L96" s="73" t="str">
        <f aca="false">IF(F96&gt;0,F96," ")</f>
        <v> </v>
      </c>
      <c r="M96" s="73" t="str">
        <f aca="false">IF(G96&gt;0,G96," ")</f>
        <v> </v>
      </c>
    </row>
    <row r="97" customFormat="false" ht="12" hidden="false" customHeight="false" outlineLevel="0" collapsed="false">
      <c r="B97" s="73" t="s">
        <v>53</v>
      </c>
      <c r="C97" s="73" t="s">
        <v>53</v>
      </c>
      <c r="D97" s="73" t="s">
        <v>53</v>
      </c>
      <c r="E97" s="73" t="s">
        <v>53</v>
      </c>
      <c r="F97" s="73" t="s">
        <v>53</v>
      </c>
      <c r="G97" s="73" t="s">
        <v>53</v>
      </c>
      <c r="I97" s="73" t="str">
        <f aca="false">IF(C97&gt;0,C97," ")</f>
        <v> </v>
      </c>
      <c r="J97" s="73" t="str">
        <f aca="false">IF(D97&gt;0,D97," ")</f>
        <v> </v>
      </c>
      <c r="K97" s="73" t="str">
        <f aca="false">IF(E97&gt;0,E97," ")</f>
        <v> </v>
      </c>
      <c r="L97" s="73" t="str">
        <f aca="false">IF(F97&gt;0,F97," ")</f>
        <v> </v>
      </c>
      <c r="M97" s="73" t="str">
        <f aca="false">IF(G97&gt;0,G97," ")</f>
        <v> </v>
      </c>
    </row>
    <row r="98" customFormat="false" ht="12" hidden="false" customHeight="false" outlineLevel="0" collapsed="false">
      <c r="B98" s="73" t="s">
        <v>53</v>
      </c>
      <c r="C98" s="73" t="s">
        <v>53</v>
      </c>
      <c r="D98" s="73" t="s">
        <v>53</v>
      </c>
      <c r="E98" s="73" t="s">
        <v>53</v>
      </c>
      <c r="F98" s="73" t="s">
        <v>53</v>
      </c>
      <c r="G98" s="73" t="s">
        <v>53</v>
      </c>
      <c r="I98" s="73" t="str">
        <f aca="false">IF(C98&gt;0,C98," ")</f>
        <v> </v>
      </c>
      <c r="J98" s="73" t="str">
        <f aca="false">IF(D98&gt;0,D98," ")</f>
        <v> </v>
      </c>
      <c r="K98" s="73" t="str">
        <f aca="false">IF(E98&gt;0,E98," ")</f>
        <v> </v>
      </c>
      <c r="L98" s="73" t="str">
        <f aca="false">IF(F98&gt;0,F98," ")</f>
        <v> </v>
      </c>
      <c r="M98" s="73" t="str">
        <f aca="false">IF(G98&gt;0,G98," ")</f>
        <v> </v>
      </c>
    </row>
    <row r="99" customFormat="false" ht="12" hidden="false" customHeight="false" outlineLevel="0" collapsed="false">
      <c r="B99" s="73" t="s">
        <v>53</v>
      </c>
      <c r="C99" s="73" t="s">
        <v>53</v>
      </c>
      <c r="D99" s="73" t="s">
        <v>53</v>
      </c>
      <c r="E99" s="73" t="s">
        <v>53</v>
      </c>
      <c r="F99" s="73" t="s">
        <v>53</v>
      </c>
      <c r="G99" s="73" t="s">
        <v>53</v>
      </c>
      <c r="I99" s="73" t="str">
        <f aca="false">IF(C99&gt;0,C99," ")</f>
        <v> </v>
      </c>
      <c r="J99" s="73" t="str">
        <f aca="false">IF(D99&gt;0,D99," ")</f>
        <v> </v>
      </c>
      <c r="K99" s="73" t="str">
        <f aca="false">IF(E99&gt;0,E99," ")</f>
        <v> </v>
      </c>
      <c r="L99" s="73" t="str">
        <f aca="false">IF(F99&gt;0,F99," ")</f>
        <v> </v>
      </c>
      <c r="M99" s="73" t="str">
        <f aca="false">IF(G99&gt;0,G99," ")</f>
        <v> </v>
      </c>
    </row>
    <row r="100" customFormat="false" ht="12" hidden="false" customHeight="false" outlineLevel="0" collapsed="false">
      <c r="B100" s="73" t="s">
        <v>53</v>
      </c>
      <c r="C100" s="73" t="s">
        <v>53</v>
      </c>
      <c r="D100" s="73" t="s">
        <v>53</v>
      </c>
      <c r="E100" s="73" t="s">
        <v>53</v>
      </c>
      <c r="F100" s="73" t="s">
        <v>53</v>
      </c>
      <c r="G100" s="73" t="s">
        <v>53</v>
      </c>
      <c r="I100" s="73" t="str">
        <f aca="false">IF(C100&gt;0,C100," ")</f>
        <v> </v>
      </c>
      <c r="J100" s="73" t="str">
        <f aca="false">IF(D100&gt;0,D100," ")</f>
        <v> </v>
      </c>
      <c r="K100" s="73" t="str">
        <f aca="false">IF(E100&gt;0,E100," ")</f>
        <v> </v>
      </c>
      <c r="L100" s="73" t="str">
        <f aca="false">IF(F100&gt;0,F100," ")</f>
        <v> </v>
      </c>
      <c r="M100" s="73" t="str">
        <f aca="false">IF(G100&gt;0,G100," ")</f>
        <v> </v>
      </c>
    </row>
    <row r="101" customFormat="false" ht="12" hidden="false" customHeight="false" outlineLevel="0" collapsed="false">
      <c r="A101" s="75"/>
      <c r="B101" s="75" t="s">
        <v>53</v>
      </c>
      <c r="C101" s="75" t="s">
        <v>53</v>
      </c>
      <c r="D101" s="75" t="s">
        <v>53</v>
      </c>
      <c r="E101" s="75" t="s">
        <v>53</v>
      </c>
      <c r="F101" s="75" t="s">
        <v>53</v>
      </c>
      <c r="G101" s="75" t="s">
        <v>53</v>
      </c>
      <c r="H101" s="76"/>
      <c r="I101" s="76" t="str">
        <f aca="false">IF(C101&gt;0,C101," ")</f>
        <v> </v>
      </c>
      <c r="J101" s="76" t="str">
        <f aca="false">IF(D101&gt;0,D101," ")</f>
        <v> </v>
      </c>
      <c r="K101" s="76" t="str">
        <f aca="false">IF(E101&gt;0,E101," ")</f>
        <v> </v>
      </c>
      <c r="L101" s="76" t="str">
        <f aca="false">IF(F101&gt;0,F101," ")</f>
        <v> </v>
      </c>
      <c r="M101" s="76" t="str">
        <f aca="false">IF(G101&gt;0,G101," ")</f>
        <v> 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63" width="10.66"/>
    <col collapsed="false" customWidth="true" hidden="false" outlineLevel="0" max="2" min="2" style="66" width="29.15"/>
    <col collapsed="false" customWidth="true" hidden="false" outlineLevel="0" max="3" min="3" style="77" width="12.66"/>
    <col collapsed="false" customWidth="true" hidden="false" outlineLevel="0" max="4" min="4" style="78" width="10.66"/>
    <col collapsed="false" customWidth="true" hidden="false" outlineLevel="0" max="5" min="5" style="66" width="0.99"/>
    <col collapsed="false" customWidth="true" hidden="false" outlineLevel="0" max="7" min="6" style="77" width="10.66"/>
    <col collapsed="false" customWidth="true" hidden="false" outlineLevel="0" max="8" min="8" style="78" width="10.66"/>
    <col collapsed="false" customWidth="false" hidden="false" outlineLevel="0" max="257" min="9" style="66" width="9.15"/>
  </cols>
  <sheetData>
    <row r="1" s="73" customFormat="true" ht="23.25" hidden="false" customHeight="true" outlineLevel="0" collapsed="false">
      <c r="A1" s="68" t="s">
        <v>54</v>
      </c>
      <c r="B1" s="74" t="s">
        <v>55</v>
      </c>
      <c r="C1" s="79" t="s">
        <v>56</v>
      </c>
      <c r="D1" s="80" t="s">
        <v>57</v>
      </c>
      <c r="F1" s="79" t="s">
        <v>58</v>
      </c>
      <c r="G1" s="79" t="s">
        <v>59</v>
      </c>
      <c r="H1" s="80" t="s">
        <v>60</v>
      </c>
    </row>
    <row r="2" customFormat="false" ht="11.25" hidden="false" customHeight="true" outlineLevel="0" collapsed="false">
      <c r="A2" s="63" t="n">
        <v>1001</v>
      </c>
      <c r="D2" s="78" t="n">
        <v>20</v>
      </c>
      <c r="G2" s="81" t="str">
        <f aca="false">IF(F2&gt;0,C2-F2," ")</f>
        <v> </v>
      </c>
      <c r="H2" s="82" t="str">
        <f aca="false">IF(F2&gt;0,(C2-F2)*100/C2," ")</f>
        <v> </v>
      </c>
    </row>
    <row r="3" customFormat="false" ht="12" hidden="false" customHeight="false" outlineLevel="0" collapsed="false">
      <c r="D3" s="78" t="n">
        <v>20</v>
      </c>
      <c r="G3" s="81" t="str">
        <f aca="false">IF(F3&gt;0,C3-F3," ")</f>
        <v> </v>
      </c>
      <c r="H3" s="82" t="str">
        <f aca="false">IF(F3&gt;0,(C3-F3)*100/C3," ")</f>
        <v> </v>
      </c>
    </row>
    <row r="4" customFormat="false" ht="12" hidden="false" customHeight="false" outlineLevel="0" collapsed="false">
      <c r="D4" s="78" t="n">
        <v>20</v>
      </c>
      <c r="G4" s="81" t="str">
        <f aca="false">IF(F4&gt;0,C4-F4," ")</f>
        <v> </v>
      </c>
      <c r="H4" s="82" t="str">
        <f aca="false">IF(F4&gt;0,(C4-F4)*100/C4," ")</f>
        <v> </v>
      </c>
    </row>
    <row r="5" customFormat="false" ht="12" hidden="false" customHeight="false" outlineLevel="0" collapsed="false">
      <c r="D5" s="78" t="n">
        <v>20</v>
      </c>
      <c r="G5" s="81" t="str">
        <f aca="false">IF(F5&gt;0,C5-F5," ")</f>
        <v> </v>
      </c>
      <c r="H5" s="82" t="str">
        <f aca="false">IF(F5&gt;0,(C5-F5)*100/C5," ")</f>
        <v> </v>
      </c>
    </row>
    <row r="6" customFormat="false" ht="11.25" hidden="false" customHeight="true" outlineLevel="0" collapsed="false">
      <c r="D6" s="78" t="n">
        <v>20</v>
      </c>
      <c r="G6" s="81" t="str">
        <f aca="false">IF(F6&gt;0,(C6-F6)*100/C6," ")</f>
        <v> </v>
      </c>
      <c r="H6" s="82"/>
    </row>
    <row r="7" customFormat="false" ht="12" hidden="false" customHeight="false" outlineLevel="0" collapsed="false">
      <c r="D7" s="78" t="n">
        <v>20</v>
      </c>
      <c r="G7" s="81" t="str">
        <f aca="false">IF(F7&gt;0,(C7-F7)*100/C7," ")</f>
        <v> </v>
      </c>
      <c r="H7" s="82"/>
    </row>
    <row r="8" customFormat="false" ht="12" hidden="false" customHeight="false" outlineLevel="0" collapsed="false">
      <c r="D8" s="78" t="n">
        <v>20</v>
      </c>
      <c r="G8" s="81" t="str">
        <f aca="false">IF(F8&gt;0,(C8-F8)*100/C8," ")</f>
        <v> </v>
      </c>
      <c r="H8" s="82"/>
    </row>
    <row r="9" customFormat="false" ht="12" hidden="false" customHeight="false" outlineLevel="0" collapsed="false">
      <c r="D9" s="78" t="n">
        <v>20</v>
      </c>
      <c r="G9" s="81" t="str">
        <f aca="false">IF(F9&gt;0,(C9-F9)*100/C9," ")</f>
        <v> </v>
      </c>
      <c r="H9" s="82"/>
    </row>
    <row r="10" customFormat="false" ht="12" hidden="false" customHeight="false" outlineLevel="0" collapsed="false">
      <c r="D10" s="78" t="n">
        <v>20</v>
      </c>
      <c r="G10" s="81" t="str">
        <f aca="false">IF(F10&gt;0,(C10-F10)*100/C10," ")</f>
        <v> </v>
      </c>
      <c r="H10" s="82"/>
    </row>
    <row r="11" customFormat="false" ht="12" hidden="false" customHeight="false" outlineLevel="0" collapsed="false">
      <c r="D11" s="78" t="n">
        <v>20</v>
      </c>
      <c r="G11" s="81" t="str">
        <f aca="false">IF(F11&gt;0,(C11-F11)*100/C11," ")</f>
        <v> </v>
      </c>
      <c r="H11" s="82"/>
    </row>
    <row r="12" customFormat="false" ht="12" hidden="false" customHeight="false" outlineLevel="0" collapsed="false">
      <c r="D12" s="78" t="n">
        <v>20</v>
      </c>
      <c r="G12" s="81" t="str">
        <f aca="false">IF(F12&gt;0,(C12-F12)*100/C12," ")</f>
        <v> </v>
      </c>
      <c r="H12" s="82"/>
    </row>
    <row r="13" customFormat="false" ht="12" hidden="false" customHeight="false" outlineLevel="0" collapsed="false">
      <c r="D13" s="78" t="n">
        <v>20</v>
      </c>
      <c r="G13" s="81" t="str">
        <f aca="false">IF(F13&gt;0,(C13-F13)*100/C13," ")</f>
        <v> </v>
      </c>
      <c r="H13" s="82"/>
    </row>
    <row r="14" customFormat="false" ht="12" hidden="false" customHeight="false" outlineLevel="0" collapsed="false">
      <c r="D14" s="78" t="n">
        <v>20</v>
      </c>
      <c r="G14" s="81" t="str">
        <f aca="false">IF(F14&gt;0,(C14-F14)*100/C14," ")</f>
        <v> </v>
      </c>
      <c r="H14" s="82"/>
    </row>
    <row r="15" customFormat="false" ht="12" hidden="false" customHeight="false" outlineLevel="0" collapsed="false">
      <c r="D15" s="78" t="n">
        <v>20</v>
      </c>
      <c r="G15" s="81" t="str">
        <f aca="false">IF(F15&gt;0,(C15-F15)*100/C15," ")</f>
        <v> </v>
      </c>
      <c r="H15" s="82"/>
    </row>
    <row r="16" customFormat="false" ht="12" hidden="false" customHeight="false" outlineLevel="0" collapsed="false">
      <c r="D16" s="78" t="n">
        <v>20</v>
      </c>
      <c r="G16" s="81" t="str">
        <f aca="false">IF(F16&gt;0,(C16-F16)*100/C16," ")</f>
        <v> </v>
      </c>
      <c r="H16" s="82"/>
    </row>
    <row r="17" customFormat="false" ht="12" hidden="false" customHeight="false" outlineLevel="0" collapsed="false">
      <c r="D17" s="78" t="n">
        <v>20</v>
      </c>
      <c r="G17" s="81" t="str">
        <f aca="false">IF(F17&gt;0,(C17-F17)*100/C17," ")</f>
        <v> </v>
      </c>
      <c r="H17" s="82"/>
    </row>
    <row r="18" customFormat="false" ht="12" hidden="false" customHeight="false" outlineLevel="0" collapsed="false">
      <c r="D18" s="78" t="n">
        <v>20</v>
      </c>
      <c r="G18" s="81" t="str">
        <f aca="false">IF(F18&gt;0,(C18-F18)*100/C18," ")</f>
        <v> </v>
      </c>
      <c r="H18" s="82"/>
    </row>
    <row r="19" customFormat="false" ht="12" hidden="false" customHeight="false" outlineLevel="0" collapsed="false">
      <c r="D19" s="78" t="n">
        <v>20</v>
      </c>
      <c r="G19" s="81" t="str">
        <f aca="false">IF(F19&gt;0,(C19-F19)*100/C19," ")</f>
        <v> </v>
      </c>
      <c r="H19" s="82"/>
    </row>
    <row r="20" customFormat="false" ht="12" hidden="false" customHeight="false" outlineLevel="0" collapsed="false">
      <c r="D20" s="78" t="n">
        <v>20</v>
      </c>
      <c r="G20" s="81" t="str">
        <f aca="false">IF(F20&gt;0,(C20-F20)*100/C20," ")</f>
        <v> </v>
      </c>
      <c r="H20" s="82"/>
    </row>
    <row r="21" customFormat="false" ht="12" hidden="false" customHeight="false" outlineLevel="0" collapsed="false">
      <c r="D21" s="78" t="n">
        <v>20</v>
      </c>
      <c r="G21" s="81" t="str">
        <f aca="false">IF(F21&gt;0,(C21-F21)*100/C21," ")</f>
        <v> </v>
      </c>
      <c r="H21" s="82"/>
    </row>
    <row r="22" customFormat="false" ht="12" hidden="false" customHeight="false" outlineLevel="0" collapsed="false">
      <c r="D22" s="78" t="n">
        <v>20</v>
      </c>
      <c r="G22" s="81" t="str">
        <f aca="false">IF(F22&gt;0,(C22-F22)*100/C22," ")</f>
        <v> </v>
      </c>
      <c r="H22" s="82"/>
    </row>
    <row r="23" customFormat="false" ht="12" hidden="false" customHeight="false" outlineLevel="0" collapsed="false">
      <c r="D23" s="78" t="n">
        <v>20</v>
      </c>
      <c r="G23" s="81" t="str">
        <f aca="false">IF(F23&gt;0,(C23-F23)*100/C23," ")</f>
        <v> </v>
      </c>
      <c r="H23" s="82"/>
    </row>
    <row r="24" customFormat="false" ht="12" hidden="false" customHeight="false" outlineLevel="0" collapsed="false">
      <c r="D24" s="78" t="n">
        <v>20</v>
      </c>
      <c r="G24" s="81" t="str">
        <f aca="false">IF(F24&gt;0,(C24-F24)*100/C24," ")</f>
        <v> </v>
      </c>
      <c r="H24" s="82"/>
    </row>
    <row r="25" customFormat="false" ht="12" hidden="false" customHeight="false" outlineLevel="0" collapsed="false">
      <c r="D25" s="78" t="n">
        <v>20</v>
      </c>
      <c r="G25" s="81" t="str">
        <f aca="false">IF(F25&gt;0,(C25-F25)*100/C25," ")</f>
        <v> </v>
      </c>
      <c r="H25" s="82"/>
    </row>
    <row r="26" customFormat="false" ht="12" hidden="false" customHeight="false" outlineLevel="0" collapsed="false">
      <c r="D26" s="78" t="n">
        <v>20</v>
      </c>
      <c r="G26" s="81" t="str">
        <f aca="false">IF(F26&gt;0,(C26-F26)*100/C26," ")</f>
        <v> </v>
      </c>
      <c r="H26" s="82"/>
    </row>
    <row r="27" customFormat="false" ht="12" hidden="false" customHeight="false" outlineLevel="0" collapsed="false">
      <c r="D27" s="78" t="n">
        <v>20</v>
      </c>
      <c r="G27" s="81" t="str">
        <f aca="false">IF(F27&gt;0,(C27-F27)*100/C27," ")</f>
        <v> </v>
      </c>
      <c r="H27" s="82"/>
    </row>
    <row r="28" customFormat="false" ht="12" hidden="false" customHeight="false" outlineLevel="0" collapsed="false">
      <c r="D28" s="78" t="n">
        <v>20</v>
      </c>
      <c r="G28" s="81" t="str">
        <f aca="false">IF(F28&gt;0,(C28-F28)*100/C28," ")</f>
        <v> </v>
      </c>
      <c r="H28" s="82"/>
    </row>
    <row r="29" customFormat="false" ht="12" hidden="false" customHeight="false" outlineLevel="0" collapsed="false">
      <c r="D29" s="78" t="n">
        <v>20</v>
      </c>
      <c r="G29" s="81" t="str">
        <f aca="false">IF(F29&gt;0,(C29-F29)*100/C29," ")</f>
        <v> </v>
      </c>
      <c r="H29" s="82"/>
    </row>
    <row r="30" customFormat="false" ht="12" hidden="false" customHeight="false" outlineLevel="0" collapsed="false">
      <c r="D30" s="78" t="n">
        <v>20</v>
      </c>
      <c r="G30" s="81" t="str">
        <f aca="false">IF(F30&gt;0,(C30-F30)*100/C30," ")</f>
        <v> </v>
      </c>
      <c r="H30" s="82"/>
    </row>
    <row r="31" customFormat="false" ht="12" hidden="false" customHeight="false" outlineLevel="0" collapsed="false">
      <c r="D31" s="78" t="n">
        <v>20</v>
      </c>
      <c r="G31" s="81" t="str">
        <f aca="false">IF(F31&gt;0,(C31-F31)*100/C31," ")</f>
        <v> </v>
      </c>
      <c r="H31" s="82"/>
    </row>
    <row r="32" customFormat="false" ht="12" hidden="false" customHeight="false" outlineLevel="0" collapsed="false">
      <c r="D32" s="78" t="n">
        <v>20</v>
      </c>
      <c r="G32" s="81" t="str">
        <f aca="false">IF(F32&gt;0,(C32-F32)*100/C32," ")</f>
        <v> </v>
      </c>
      <c r="H32" s="82"/>
    </row>
    <row r="33" customFormat="false" ht="12" hidden="false" customHeight="false" outlineLevel="0" collapsed="false">
      <c r="D33" s="78" t="n">
        <v>20</v>
      </c>
      <c r="G33" s="81" t="str">
        <f aca="false">IF(F33&gt;0,(C33-F33)*100/C33," ")</f>
        <v> </v>
      </c>
      <c r="H33" s="82"/>
    </row>
    <row r="34" customFormat="false" ht="12" hidden="false" customHeight="false" outlineLevel="0" collapsed="false">
      <c r="D34" s="78" t="n">
        <v>20</v>
      </c>
      <c r="G34" s="81" t="str">
        <f aca="false">IF(F34&gt;0,(C34-F34)*100/C34," ")</f>
        <v> </v>
      </c>
      <c r="H34" s="82"/>
    </row>
    <row r="35" customFormat="false" ht="12" hidden="false" customHeight="false" outlineLevel="0" collapsed="false">
      <c r="D35" s="78" t="n">
        <v>20</v>
      </c>
      <c r="G35" s="81" t="str">
        <f aca="false">IF(F35&gt;0,(C35-F35)*100/C35," ")</f>
        <v> </v>
      </c>
      <c r="H35" s="82"/>
    </row>
    <row r="36" customFormat="false" ht="12" hidden="false" customHeight="false" outlineLevel="0" collapsed="false">
      <c r="D36" s="78" t="n">
        <v>20</v>
      </c>
      <c r="G36" s="81" t="str">
        <f aca="false">IF(F36&gt;0,(C36-F36)*100/C36," ")</f>
        <v> </v>
      </c>
      <c r="H36" s="82"/>
    </row>
    <row r="37" customFormat="false" ht="12" hidden="false" customHeight="false" outlineLevel="0" collapsed="false">
      <c r="D37" s="78" t="n">
        <v>20</v>
      </c>
      <c r="G37" s="81" t="str">
        <f aca="false">IF(F37&gt;0,(C37-F37)*100/C37," ")</f>
        <v> </v>
      </c>
      <c r="H37" s="82"/>
    </row>
    <row r="38" customFormat="false" ht="12" hidden="false" customHeight="false" outlineLevel="0" collapsed="false">
      <c r="D38" s="78" t="n">
        <v>20</v>
      </c>
      <c r="G38" s="81" t="str">
        <f aca="false">IF(F38&gt;0,(C38-F38)*100/C38," ")</f>
        <v> </v>
      </c>
      <c r="H38" s="82"/>
    </row>
    <row r="39" customFormat="false" ht="12" hidden="false" customHeight="false" outlineLevel="0" collapsed="false">
      <c r="D39" s="78" t="n">
        <v>20</v>
      </c>
      <c r="G39" s="81" t="str">
        <f aca="false">IF(F39&gt;0,(C39-F39)*100/C39," ")</f>
        <v> </v>
      </c>
      <c r="H39" s="82"/>
    </row>
    <row r="40" customFormat="false" ht="12" hidden="false" customHeight="false" outlineLevel="0" collapsed="false">
      <c r="D40" s="78" t="n">
        <v>20</v>
      </c>
      <c r="G40" s="81" t="str">
        <f aca="false">IF(F40&gt;0,(C40-F40)*100/C40," ")</f>
        <v> </v>
      </c>
      <c r="H40" s="82"/>
    </row>
    <row r="41" customFormat="false" ht="12" hidden="false" customHeight="false" outlineLevel="0" collapsed="false">
      <c r="D41" s="78" t="n">
        <v>20</v>
      </c>
      <c r="G41" s="81" t="str">
        <f aca="false">IF(F41&gt;0,(C41-F41)*100/C41," ")</f>
        <v> </v>
      </c>
      <c r="H41" s="82"/>
    </row>
    <row r="42" customFormat="false" ht="12" hidden="false" customHeight="false" outlineLevel="0" collapsed="false">
      <c r="D42" s="78" t="n">
        <v>20</v>
      </c>
      <c r="G42" s="81" t="str">
        <f aca="false">IF(F42&gt;0,(C42-F42)*100/C42," ")</f>
        <v> </v>
      </c>
      <c r="H42" s="82"/>
    </row>
    <row r="43" customFormat="false" ht="12" hidden="false" customHeight="false" outlineLevel="0" collapsed="false">
      <c r="D43" s="78" t="n">
        <v>20</v>
      </c>
      <c r="G43" s="81" t="str">
        <f aca="false">IF(F43&gt;0,(C43-F43)*100/C43," ")</f>
        <v> </v>
      </c>
      <c r="H43" s="82"/>
    </row>
    <row r="44" customFormat="false" ht="12" hidden="false" customHeight="false" outlineLevel="0" collapsed="false">
      <c r="D44" s="78" t="n">
        <v>20</v>
      </c>
      <c r="G44" s="81" t="str">
        <f aca="false">IF(F44&gt;0,(C44-F44)*100/C44," ")</f>
        <v> </v>
      </c>
      <c r="H44" s="82"/>
    </row>
    <row r="45" customFormat="false" ht="12" hidden="false" customHeight="false" outlineLevel="0" collapsed="false">
      <c r="D45" s="78" t="n">
        <v>20</v>
      </c>
      <c r="G45" s="81" t="str">
        <f aca="false">IF(F45&gt;0,(C45-F45)*100/C45," ")</f>
        <v> </v>
      </c>
      <c r="H45" s="82"/>
    </row>
    <row r="46" customFormat="false" ht="12" hidden="false" customHeight="false" outlineLevel="0" collapsed="false">
      <c r="D46" s="78" t="n">
        <v>20</v>
      </c>
      <c r="G46" s="81" t="str">
        <f aca="false">IF(F46&gt;0,(C46-F46)*100/C46," ")</f>
        <v> </v>
      </c>
      <c r="H46" s="82"/>
    </row>
    <row r="47" customFormat="false" ht="12" hidden="false" customHeight="false" outlineLevel="0" collapsed="false">
      <c r="D47" s="78" t="n">
        <v>20</v>
      </c>
      <c r="G47" s="81" t="str">
        <f aca="false">IF(F47&gt;0,(C47-F47)*100/C47," ")</f>
        <v> </v>
      </c>
      <c r="H47" s="82"/>
    </row>
    <row r="48" customFormat="false" ht="12" hidden="false" customHeight="false" outlineLevel="0" collapsed="false">
      <c r="D48" s="78" t="n">
        <v>20</v>
      </c>
      <c r="G48" s="81" t="str">
        <f aca="false">IF(F48&gt;0,(C48-F48)*100/C48," ")</f>
        <v> </v>
      </c>
      <c r="H48" s="82"/>
    </row>
    <row r="49" customFormat="false" ht="12" hidden="false" customHeight="false" outlineLevel="0" collapsed="false">
      <c r="D49" s="78" t="n">
        <v>20</v>
      </c>
      <c r="G49" s="81" t="str">
        <f aca="false">IF(F49&gt;0,(C49-F49)*100/C49," ")</f>
        <v> </v>
      </c>
      <c r="H49" s="82"/>
    </row>
    <row r="50" customFormat="false" ht="12" hidden="false" customHeight="false" outlineLevel="0" collapsed="false">
      <c r="D50" s="78" t="n">
        <v>20</v>
      </c>
      <c r="G50" s="81" t="str">
        <f aca="false">IF(F50&gt;0,(C50-F50)*100/C50," ")</f>
        <v> </v>
      </c>
      <c r="H50" s="82"/>
    </row>
    <row r="51" customFormat="false" ht="12" hidden="false" customHeight="false" outlineLevel="0" collapsed="false">
      <c r="D51" s="78" t="n">
        <v>20</v>
      </c>
      <c r="G51" s="81" t="str">
        <f aca="false">IF(F51&gt;0,(C51-F51)*100/C51," ")</f>
        <v> </v>
      </c>
      <c r="H51" s="82"/>
    </row>
    <row r="52" customFormat="false" ht="12" hidden="false" customHeight="false" outlineLevel="0" collapsed="false">
      <c r="D52" s="78" t="n">
        <v>20</v>
      </c>
      <c r="G52" s="81" t="str">
        <f aca="false">IF(F52&gt;0,(C52-F52)*100/C52," ")</f>
        <v> </v>
      </c>
      <c r="H52" s="82"/>
    </row>
    <row r="53" customFormat="false" ht="12" hidden="false" customHeight="false" outlineLevel="0" collapsed="false">
      <c r="D53" s="78" t="n">
        <v>20</v>
      </c>
      <c r="G53" s="81" t="str">
        <f aca="false">IF(F53&gt;0,(C53-F53)*100/C53," ")</f>
        <v> </v>
      </c>
      <c r="H53" s="82"/>
    </row>
    <row r="54" customFormat="false" ht="12" hidden="false" customHeight="false" outlineLevel="0" collapsed="false">
      <c r="D54" s="78" t="n">
        <v>20</v>
      </c>
      <c r="G54" s="81" t="str">
        <f aca="false">IF(F54&gt;0,(C54-F54)*100/C54," ")</f>
        <v> </v>
      </c>
      <c r="H54" s="82"/>
    </row>
    <row r="55" customFormat="false" ht="12" hidden="false" customHeight="false" outlineLevel="0" collapsed="false">
      <c r="D55" s="78" t="n">
        <v>20</v>
      </c>
      <c r="G55" s="81" t="str">
        <f aca="false">IF(F55&gt;0,(C55-F55)*100/C55," ")</f>
        <v> </v>
      </c>
      <c r="H55" s="82"/>
    </row>
    <row r="56" customFormat="false" ht="12" hidden="false" customHeight="false" outlineLevel="0" collapsed="false">
      <c r="D56" s="78" t="n">
        <v>20</v>
      </c>
      <c r="G56" s="81" t="str">
        <f aca="false">IF(F56&gt;0,(C56-F56)*100/C56," ")</f>
        <v> </v>
      </c>
      <c r="H56" s="82"/>
    </row>
    <row r="57" customFormat="false" ht="12" hidden="false" customHeight="false" outlineLevel="0" collapsed="false">
      <c r="D57" s="78" t="n">
        <v>20</v>
      </c>
      <c r="G57" s="81" t="str">
        <f aca="false">IF(F57&gt;0,(C57-F57)*100/C57," ")</f>
        <v> </v>
      </c>
      <c r="H57" s="82"/>
    </row>
    <row r="58" customFormat="false" ht="12" hidden="false" customHeight="false" outlineLevel="0" collapsed="false">
      <c r="D58" s="78" t="n">
        <v>20</v>
      </c>
      <c r="G58" s="81" t="str">
        <f aca="false">IF(F58&gt;0,(C58-F58)*100/C58," ")</f>
        <v> </v>
      </c>
      <c r="H58" s="82"/>
    </row>
    <row r="59" customFormat="false" ht="12" hidden="false" customHeight="false" outlineLevel="0" collapsed="false">
      <c r="D59" s="78" t="n">
        <v>20</v>
      </c>
      <c r="G59" s="81" t="str">
        <f aca="false">IF(F59&gt;0,(C59-F59)*100/C59," ")</f>
        <v> </v>
      </c>
      <c r="H59" s="82"/>
    </row>
    <row r="60" customFormat="false" ht="12" hidden="false" customHeight="false" outlineLevel="0" collapsed="false">
      <c r="D60" s="78" t="n">
        <v>20</v>
      </c>
      <c r="G60" s="81" t="str">
        <f aca="false">IF(F60&gt;0,(C60-F60)*100/C60," ")</f>
        <v> </v>
      </c>
      <c r="H60" s="82"/>
    </row>
    <row r="61" customFormat="false" ht="12" hidden="false" customHeight="false" outlineLevel="0" collapsed="false">
      <c r="D61" s="78" t="n">
        <v>20</v>
      </c>
      <c r="G61" s="81" t="str">
        <f aca="false">IF(F61&gt;0,(C61-F61)*100/C61," ")</f>
        <v> </v>
      </c>
      <c r="H61" s="82"/>
    </row>
    <row r="62" customFormat="false" ht="12" hidden="false" customHeight="false" outlineLevel="0" collapsed="false">
      <c r="D62" s="78" t="n">
        <v>20</v>
      </c>
      <c r="G62" s="81" t="str">
        <f aca="false">IF(F62&gt;0,(C62-F62)*100/C62," ")</f>
        <v> </v>
      </c>
      <c r="H62" s="82"/>
    </row>
    <row r="63" customFormat="false" ht="12" hidden="false" customHeight="false" outlineLevel="0" collapsed="false">
      <c r="D63" s="78" t="n">
        <v>20</v>
      </c>
      <c r="G63" s="81" t="str">
        <f aca="false">IF(F63&gt;0,(C63-F63)*100/C63," ")</f>
        <v> </v>
      </c>
      <c r="H63" s="82"/>
    </row>
    <row r="64" customFormat="false" ht="12" hidden="false" customHeight="false" outlineLevel="0" collapsed="false">
      <c r="D64" s="78" t="n">
        <v>20</v>
      </c>
      <c r="G64" s="81" t="str">
        <f aca="false">IF(F64&gt;0,(C64-F64)*100/C64," ")</f>
        <v> </v>
      </c>
      <c r="H64" s="82"/>
    </row>
    <row r="65" customFormat="false" ht="12" hidden="false" customHeight="false" outlineLevel="0" collapsed="false">
      <c r="D65" s="78" t="n">
        <v>20</v>
      </c>
      <c r="G65" s="81" t="str">
        <f aca="false">IF(F65&gt;0,(C65-F65)*100/C65," ")</f>
        <v> </v>
      </c>
      <c r="H65" s="82"/>
    </row>
    <row r="66" customFormat="false" ht="12" hidden="false" customHeight="false" outlineLevel="0" collapsed="false">
      <c r="D66" s="78" t="n">
        <v>20</v>
      </c>
      <c r="G66" s="81" t="str">
        <f aca="false">IF(F66&gt;0,(C66-F66)*100/C66," ")</f>
        <v> </v>
      </c>
      <c r="H66" s="82"/>
    </row>
    <row r="67" customFormat="false" ht="12" hidden="false" customHeight="false" outlineLevel="0" collapsed="false">
      <c r="D67" s="78" t="n">
        <v>20</v>
      </c>
      <c r="G67" s="81" t="str">
        <f aca="false">IF(F67&gt;0,(C67-F67)*100/C67," ")</f>
        <v> </v>
      </c>
      <c r="H67" s="82"/>
    </row>
    <row r="68" customFormat="false" ht="12" hidden="false" customHeight="false" outlineLevel="0" collapsed="false">
      <c r="D68" s="78" t="n">
        <v>20</v>
      </c>
      <c r="G68" s="81" t="str">
        <f aca="false">IF(F68&gt;0,(C68-F68)*100/C68," ")</f>
        <v> </v>
      </c>
      <c r="H68" s="82"/>
    </row>
    <row r="69" customFormat="false" ht="12" hidden="false" customHeight="false" outlineLevel="0" collapsed="false">
      <c r="D69" s="78" t="n">
        <v>20</v>
      </c>
      <c r="G69" s="81" t="str">
        <f aca="false">IF(F69&gt;0,(C69-F69)*100/C69," ")</f>
        <v> </v>
      </c>
      <c r="H69" s="82"/>
    </row>
    <row r="70" customFormat="false" ht="12" hidden="false" customHeight="false" outlineLevel="0" collapsed="false">
      <c r="D70" s="78" t="n">
        <v>20</v>
      </c>
      <c r="G70" s="81" t="str">
        <f aca="false">IF(F70&gt;0,(C70-F70)*100/C70," ")</f>
        <v> </v>
      </c>
      <c r="H70" s="82"/>
    </row>
    <row r="71" customFormat="false" ht="12" hidden="false" customHeight="false" outlineLevel="0" collapsed="false">
      <c r="D71" s="78" t="n">
        <v>20</v>
      </c>
      <c r="G71" s="81" t="str">
        <f aca="false">IF(F71&gt;0,(C71-F71)*100/C71," ")</f>
        <v> </v>
      </c>
      <c r="H71" s="82"/>
    </row>
    <row r="72" customFormat="false" ht="12" hidden="false" customHeight="false" outlineLevel="0" collapsed="false">
      <c r="D72" s="78" t="n">
        <v>20</v>
      </c>
      <c r="G72" s="81" t="str">
        <f aca="false">IF(F72&gt;0,(C72-F72)*100/C72," ")</f>
        <v> </v>
      </c>
      <c r="H72" s="82"/>
    </row>
    <row r="73" customFormat="false" ht="12" hidden="false" customHeight="false" outlineLevel="0" collapsed="false">
      <c r="D73" s="78" t="n">
        <v>20</v>
      </c>
      <c r="G73" s="81" t="str">
        <f aca="false">IF(F73&gt;0,(C73-F73)*100/C73," ")</f>
        <v> </v>
      </c>
      <c r="H73" s="82"/>
    </row>
    <row r="74" customFormat="false" ht="12" hidden="false" customHeight="false" outlineLevel="0" collapsed="false">
      <c r="D74" s="78" t="n">
        <v>20</v>
      </c>
      <c r="G74" s="81" t="str">
        <f aca="false">IF(F74&gt;0,(C74-F74)*100/C74," ")</f>
        <v> </v>
      </c>
      <c r="H74" s="82"/>
    </row>
    <row r="75" customFormat="false" ht="12" hidden="false" customHeight="false" outlineLevel="0" collapsed="false">
      <c r="D75" s="78" t="n">
        <v>20</v>
      </c>
      <c r="G75" s="81" t="str">
        <f aca="false">IF(F75&gt;0,(C75-F75)*100/C75," ")</f>
        <v> </v>
      </c>
      <c r="H75" s="82"/>
    </row>
    <row r="76" customFormat="false" ht="12" hidden="false" customHeight="false" outlineLevel="0" collapsed="false">
      <c r="D76" s="78" t="n">
        <v>20</v>
      </c>
      <c r="G76" s="81" t="str">
        <f aca="false">IF(F76&gt;0,(C76-F76)*100/C76," ")</f>
        <v> </v>
      </c>
      <c r="H76" s="82"/>
    </row>
    <row r="77" customFormat="false" ht="12" hidden="false" customHeight="false" outlineLevel="0" collapsed="false">
      <c r="D77" s="78" t="n">
        <v>20</v>
      </c>
      <c r="G77" s="81" t="str">
        <f aca="false">IF(F77&gt;0,(C77-F77)*100/C77," ")</f>
        <v> </v>
      </c>
      <c r="H77" s="82"/>
    </row>
    <row r="78" customFormat="false" ht="12" hidden="false" customHeight="false" outlineLevel="0" collapsed="false">
      <c r="D78" s="78" t="n">
        <v>20</v>
      </c>
      <c r="G78" s="81" t="str">
        <f aca="false">IF(F78&gt;0,(C78-F78)*100/C78," ")</f>
        <v> </v>
      </c>
      <c r="H78" s="82"/>
    </row>
    <row r="79" customFormat="false" ht="12" hidden="false" customHeight="false" outlineLevel="0" collapsed="false">
      <c r="D79" s="78" t="n">
        <v>20</v>
      </c>
      <c r="G79" s="81" t="str">
        <f aca="false">IF(F79&gt;0,(C79-F79)*100/C79," ")</f>
        <v> </v>
      </c>
      <c r="H79" s="82"/>
    </row>
    <row r="80" customFormat="false" ht="12" hidden="false" customHeight="false" outlineLevel="0" collapsed="false">
      <c r="D80" s="78" t="n">
        <v>20</v>
      </c>
      <c r="G80" s="81" t="str">
        <f aca="false">IF(F80&gt;0,(C80-F80)*100/C80," ")</f>
        <v> </v>
      </c>
      <c r="H80" s="82"/>
    </row>
    <row r="81" customFormat="false" ht="12" hidden="false" customHeight="false" outlineLevel="0" collapsed="false">
      <c r="D81" s="78" t="n">
        <v>20</v>
      </c>
      <c r="G81" s="81" t="str">
        <f aca="false">IF(F81&gt;0,(C81-F81)*100/C81," ")</f>
        <v> </v>
      </c>
      <c r="H81" s="82"/>
    </row>
    <row r="82" customFormat="false" ht="12" hidden="false" customHeight="false" outlineLevel="0" collapsed="false">
      <c r="D82" s="78" t="n">
        <v>20</v>
      </c>
      <c r="G82" s="81" t="str">
        <f aca="false">IF(F82&gt;0,(C82-F82)*100/C82," ")</f>
        <v> </v>
      </c>
      <c r="H82" s="82"/>
    </row>
    <row r="83" customFormat="false" ht="12" hidden="false" customHeight="false" outlineLevel="0" collapsed="false">
      <c r="D83" s="78" t="n">
        <v>20</v>
      </c>
      <c r="G83" s="81" t="str">
        <f aca="false">IF(F83&gt;0,(C83-F83)*100/C83," ")</f>
        <v> </v>
      </c>
      <c r="H83" s="82"/>
    </row>
    <row r="84" customFormat="false" ht="12" hidden="false" customHeight="false" outlineLevel="0" collapsed="false">
      <c r="D84" s="78" t="n">
        <v>20</v>
      </c>
      <c r="G84" s="81" t="str">
        <f aca="false">IF(F84&gt;0,(C84-F84)*100/C84," ")</f>
        <v> </v>
      </c>
      <c r="H84" s="82"/>
    </row>
    <row r="85" customFormat="false" ht="12" hidden="false" customHeight="false" outlineLevel="0" collapsed="false">
      <c r="D85" s="78" t="n">
        <v>20</v>
      </c>
      <c r="G85" s="81" t="str">
        <f aca="false">IF(F85&gt;0,(C85-F85)*100/C85," ")</f>
        <v> </v>
      </c>
      <c r="H85" s="82"/>
    </row>
    <row r="86" customFormat="false" ht="12" hidden="false" customHeight="false" outlineLevel="0" collapsed="false">
      <c r="D86" s="78" t="n">
        <v>20</v>
      </c>
      <c r="G86" s="81" t="str">
        <f aca="false">IF(F86&gt;0,(C86-F86)*100/C86," ")</f>
        <v> </v>
      </c>
      <c r="H86" s="82"/>
    </row>
    <row r="87" customFormat="false" ht="12" hidden="false" customHeight="false" outlineLevel="0" collapsed="false">
      <c r="D87" s="78" t="n">
        <v>20</v>
      </c>
      <c r="G87" s="81" t="str">
        <f aca="false">IF(F87&gt;0,(C87-F87)*100/C87," ")</f>
        <v> </v>
      </c>
      <c r="H87" s="82"/>
    </row>
    <row r="88" customFormat="false" ht="12" hidden="false" customHeight="false" outlineLevel="0" collapsed="false">
      <c r="D88" s="78" t="n">
        <v>20</v>
      </c>
      <c r="G88" s="81" t="str">
        <f aca="false">IF(F88&gt;0,(C88-F88)*100/C88," ")</f>
        <v> </v>
      </c>
      <c r="H88" s="82"/>
    </row>
    <row r="89" customFormat="false" ht="12" hidden="false" customHeight="false" outlineLevel="0" collapsed="false">
      <c r="D89" s="78" t="n">
        <v>20</v>
      </c>
      <c r="G89" s="81" t="str">
        <f aca="false">IF(F89&gt;0,(C89-F89)*100/C89," ")</f>
        <v> </v>
      </c>
      <c r="H89" s="82"/>
    </row>
    <row r="90" customFormat="false" ht="12" hidden="false" customHeight="false" outlineLevel="0" collapsed="false">
      <c r="D90" s="78" t="n">
        <v>20</v>
      </c>
      <c r="G90" s="81" t="str">
        <f aca="false">IF(F90&gt;0,(C90-F90)*100/C90," ")</f>
        <v> </v>
      </c>
      <c r="H90" s="82"/>
    </row>
    <row r="91" customFormat="false" ht="12" hidden="false" customHeight="false" outlineLevel="0" collapsed="false">
      <c r="D91" s="78" t="n">
        <v>20</v>
      </c>
      <c r="G91" s="81" t="str">
        <f aca="false">IF(F91&gt;0,(C91-F91)*100/C91," ")</f>
        <v> </v>
      </c>
      <c r="H91" s="82"/>
    </row>
    <row r="92" customFormat="false" ht="12" hidden="false" customHeight="false" outlineLevel="0" collapsed="false">
      <c r="D92" s="78" t="n">
        <v>20</v>
      </c>
      <c r="G92" s="81" t="str">
        <f aca="false">IF(F92&gt;0,(C92-F92)*100/C92," ")</f>
        <v> </v>
      </c>
      <c r="H92" s="82"/>
    </row>
    <row r="93" customFormat="false" ht="12" hidden="false" customHeight="false" outlineLevel="0" collapsed="false">
      <c r="D93" s="78" t="n">
        <v>20</v>
      </c>
      <c r="G93" s="81" t="str">
        <f aca="false">IF(F93&gt;0,(C93-F93)*100/C93," ")</f>
        <v> </v>
      </c>
      <c r="H93" s="82"/>
    </row>
    <row r="94" customFormat="false" ht="12" hidden="false" customHeight="false" outlineLevel="0" collapsed="false">
      <c r="D94" s="78" t="n">
        <v>20</v>
      </c>
      <c r="G94" s="81" t="str">
        <f aca="false">IF(F94&gt;0,(C94-F94)*100/C94," ")</f>
        <v> </v>
      </c>
      <c r="H94" s="82"/>
    </row>
    <row r="95" customFormat="false" ht="12" hidden="false" customHeight="false" outlineLevel="0" collapsed="false">
      <c r="D95" s="78" t="n">
        <v>20</v>
      </c>
      <c r="G95" s="81" t="str">
        <f aca="false">IF(F95&gt;0,(C95-F95)*100/C95," ")</f>
        <v> </v>
      </c>
      <c r="H95" s="82"/>
    </row>
    <row r="96" customFormat="false" ht="12" hidden="false" customHeight="false" outlineLevel="0" collapsed="false">
      <c r="D96" s="78" t="n">
        <v>20</v>
      </c>
      <c r="G96" s="81" t="str">
        <f aca="false">IF(F96&gt;0,(C96-F96)*100/C96," ")</f>
        <v> </v>
      </c>
      <c r="H96" s="82"/>
    </row>
    <row r="97" customFormat="false" ht="12" hidden="false" customHeight="false" outlineLevel="0" collapsed="false">
      <c r="D97" s="78" t="n">
        <v>20</v>
      </c>
      <c r="G97" s="81" t="str">
        <f aca="false">IF(F97&gt;0,(C97-F97)*100/C97," ")</f>
        <v> </v>
      </c>
      <c r="H97" s="82"/>
    </row>
    <row r="98" customFormat="false" ht="12" hidden="false" customHeight="false" outlineLevel="0" collapsed="false">
      <c r="D98" s="78" t="n">
        <v>20</v>
      </c>
      <c r="G98" s="81" t="str">
        <f aca="false">IF(F98&gt;0,(C98-F98)*100/C98," ")</f>
        <v> </v>
      </c>
      <c r="H98" s="82"/>
    </row>
    <row r="99" customFormat="false" ht="12" hidden="false" customHeight="false" outlineLevel="0" collapsed="false">
      <c r="A99" s="83"/>
      <c r="B99" s="84"/>
      <c r="C99" s="85"/>
      <c r="D99" s="78" t="n">
        <v>20</v>
      </c>
      <c r="F99" s="85"/>
      <c r="G99" s="86" t="str">
        <f aca="false">IF(F99&gt;0,(C99-F99)*100/C99," ")</f>
        <v> </v>
      </c>
      <c r="H9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88" width="23.82"/>
    <col collapsed="false" customWidth="true" hidden="false" outlineLevel="0" max="2" min="2" style="88" width="43.82"/>
    <col collapsed="false" customWidth="true" hidden="false" outlineLevel="0" max="3" min="3" style="88" width="2.66"/>
    <col collapsed="false" customWidth="false" hidden="false" outlineLevel="0" max="6" min="4" style="88" width="9.15"/>
    <col collapsed="false" customWidth="true" hidden="false" outlineLevel="0" max="7" min="7" style="88" width="12.15"/>
    <col collapsed="false" customWidth="true" hidden="false" outlineLevel="0" max="8" min="8" style="88" width="2.66"/>
    <col collapsed="false" customWidth="false" hidden="false" outlineLevel="0" max="257" min="9" style="88" width="9.15"/>
  </cols>
  <sheetData>
    <row r="1" customFormat="false" ht="12.75" hidden="false" customHeight="false" outlineLevel="0" collapsed="false">
      <c r="A1" s="89"/>
      <c r="B1" s="89"/>
      <c r="C1" s="89"/>
    </row>
    <row r="2" customFormat="false" ht="12.75" hidden="false" customHeight="false" outlineLevel="0" collapsed="false">
      <c r="A2" s="90" t="s">
        <v>61</v>
      </c>
      <c r="B2" s="91"/>
      <c r="C2" s="89"/>
      <c r="D2" s="92" t="s">
        <v>62</v>
      </c>
    </row>
    <row r="3" customFormat="false" ht="12.75" hidden="false" customHeight="false" outlineLevel="0" collapsed="false">
      <c r="A3" s="90" t="s">
        <v>63</v>
      </c>
      <c r="B3" s="91" t="s">
        <v>64</v>
      </c>
      <c r="C3" s="89"/>
      <c r="D3" s="92" t="s">
        <v>65</v>
      </c>
    </row>
    <row r="4" customFormat="false" ht="12.75" hidden="false" customHeight="false" outlineLevel="0" collapsed="false">
      <c r="A4" s="90" t="s">
        <v>66</v>
      </c>
      <c r="B4" s="91"/>
      <c r="C4" s="89"/>
      <c r="D4" s="92" t="s">
        <v>67</v>
      </c>
    </row>
    <row r="5" customFormat="false" ht="12.75" hidden="false" customHeight="false" outlineLevel="0" collapsed="false">
      <c r="A5" s="90" t="s">
        <v>68</v>
      </c>
      <c r="B5" s="91"/>
      <c r="C5" s="89"/>
      <c r="D5" s="92" t="s">
        <v>69</v>
      </c>
    </row>
    <row r="6" customFormat="false" ht="12.75" hidden="false" customHeight="false" outlineLevel="0" collapsed="false">
      <c r="A6" s="90" t="s">
        <v>70</v>
      </c>
      <c r="B6" s="91"/>
      <c r="C6" s="89"/>
      <c r="D6" s="92" t="s">
        <v>71</v>
      </c>
    </row>
    <row r="7" customFormat="false" ht="12.75" hidden="false" customHeight="false" outlineLevel="0" collapsed="false">
      <c r="A7" s="90" t="s">
        <v>72</v>
      </c>
      <c r="B7" s="91"/>
      <c r="C7" s="89"/>
    </row>
    <row r="8" customFormat="false" ht="12.75" hidden="false" customHeight="false" outlineLevel="0" collapsed="false">
      <c r="A8" s="90" t="s">
        <v>73</v>
      </c>
      <c r="B8" s="93"/>
      <c r="C8" s="89"/>
    </row>
    <row r="9" customFormat="false" ht="12.75" hidden="false" customHeight="false" outlineLevel="0" collapsed="false">
      <c r="A9" s="90" t="s">
        <v>74</v>
      </c>
      <c r="B9" s="93"/>
      <c r="C9" s="89"/>
    </row>
    <row r="10" customFormat="false" ht="12.75" hidden="false" customHeight="false" outlineLevel="0" collapsed="false">
      <c r="A10" s="90" t="s">
        <v>75</v>
      </c>
      <c r="B10" s="94"/>
      <c r="C10" s="89"/>
    </row>
    <row r="11" customFormat="false" ht="12.75" hidden="false" customHeight="false" outlineLevel="0" collapsed="false">
      <c r="A11" s="90" t="s">
        <v>76</v>
      </c>
      <c r="B11" s="95" t="s">
        <v>77</v>
      </c>
      <c r="C11" s="89"/>
      <c r="D11" s="92" t="s">
        <v>78</v>
      </c>
    </row>
    <row r="12" customFormat="false" ht="12.75" hidden="false" customHeight="false" outlineLevel="0" collapsed="false">
      <c r="A12" s="90" t="s">
        <v>79</v>
      </c>
      <c r="B12" s="91"/>
      <c r="C12" s="89"/>
    </row>
    <row r="13" customFormat="false" ht="12.75" hidden="false" customHeight="false" outlineLevel="0" collapsed="false">
      <c r="A13" s="90" t="s">
        <v>80</v>
      </c>
      <c r="B13" s="91" t="s">
        <v>81</v>
      </c>
      <c r="C13" s="89"/>
    </row>
    <row r="14" customFormat="false" ht="12.75" hidden="false" customHeight="false" outlineLevel="0" collapsed="false">
      <c r="A14" s="90" t="s">
        <v>82</v>
      </c>
      <c r="B14" s="91" t="s">
        <v>83</v>
      </c>
      <c r="C14" s="89"/>
    </row>
    <row r="15" customFormat="false" ht="12.75" hidden="false" customHeight="false" outlineLevel="0" collapsed="false">
      <c r="A15" s="90" t="s">
        <v>84</v>
      </c>
      <c r="B15" s="91" t="s">
        <v>85</v>
      </c>
      <c r="C15" s="89"/>
    </row>
    <row r="16" customFormat="false" ht="12.75" hidden="false" customHeight="false" outlineLevel="0" collapsed="false">
      <c r="A16" s="90" t="s">
        <v>86</v>
      </c>
      <c r="B16" s="91"/>
      <c r="C16" s="89"/>
      <c r="D16" s="89"/>
      <c r="E16" s="89"/>
      <c r="F16" s="89"/>
      <c r="G16" s="89"/>
      <c r="H16" s="89"/>
    </row>
    <row r="17" customFormat="false" ht="12.75" hidden="false" customHeight="false" outlineLevel="0" collapsed="false">
      <c r="A17" s="90" t="s">
        <v>87</v>
      </c>
      <c r="B17" s="96" t="str">
        <f aca="false">"All goods remain the property of "&amp;B3&amp;" until paid for in full"</f>
        <v>All goods remain the property of &lt;enter business name&gt; until paid for in full</v>
      </c>
      <c r="C17" s="96"/>
      <c r="D17" s="96"/>
      <c r="E17" s="96"/>
      <c r="F17" s="96"/>
      <c r="G17" s="96"/>
      <c r="H17" s="89"/>
    </row>
    <row r="18" customFormat="false" ht="12.75" hidden="false" customHeight="false" outlineLevel="0" collapsed="false">
      <c r="A18" s="90" t="s">
        <v>88</v>
      </c>
      <c r="B18" s="96"/>
      <c r="C18" s="96"/>
      <c r="D18" s="96"/>
      <c r="E18" s="96"/>
      <c r="F18" s="96"/>
      <c r="G18" s="96"/>
      <c r="H18" s="89"/>
    </row>
    <row r="19" customFormat="false" ht="12.75" hidden="false" customHeight="false" outlineLevel="0" collapsed="false">
      <c r="A19" s="89"/>
      <c r="B19" s="89"/>
      <c r="C19" s="89"/>
      <c r="D19" s="89"/>
      <c r="E19" s="89"/>
      <c r="F19" s="89"/>
      <c r="G19" s="89"/>
      <c r="H19" s="89"/>
    </row>
  </sheetData>
  <mergeCells count="2"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2007-03-15T06:45:19Z</dcterms:created>
  <dc:creator>Terry</dc:creator>
  <dc:description/>
  <dc:language>en-US</dc:language>
  <cp:lastModifiedBy>DIY Accounting Customer Service</cp:lastModifiedBy>
  <cp:lastPrinted>2007-03-20T02:35:47Z</cp:lastPrinted>
  <dcterms:modified xsi:type="dcterms:W3CDTF">2024-04-02T19:07:53Z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