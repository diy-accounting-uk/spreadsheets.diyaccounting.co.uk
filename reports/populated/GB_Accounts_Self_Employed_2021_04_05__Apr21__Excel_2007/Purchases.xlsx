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Creditors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ClosingCreditors" sheetId="14" state="visible" r:id="rId16"/>
  </sheets>
  <externalReferences>
    <externalReference r:id="rId17"/>
    <externalReference r:id="rId18"/>
  </externalReferences>
  <definedNames>
    <definedName function="false" hidden="false" localSheetId="1" name="_xlnm.Print_Area" vbProcedure="false">Apr!$A$1:$AE$75</definedName>
    <definedName function="false" hidden="false" localSheetId="1" name="_xlnm.Print_Titles" vbProcedure="false">Apr!$A:$C,Apr!$1:$4</definedName>
    <definedName function="false" hidden="false" localSheetId="5" name="_xlnm.Print_Area" vbProcedure="false">Aug!$A$1:$AE$75</definedName>
    <definedName function="false" hidden="false" localSheetId="5" name="_xlnm.Print_Titles" vbProcedure="false">Aug!$A:$C,Aug!$1:$4</definedName>
    <definedName function="false" hidden="false" localSheetId="13" name="_xlnm.Print_Area" vbProcedure="false">ClosingCreditors!$A$1:$N$75</definedName>
    <definedName function="false" hidden="false" localSheetId="13" name="_xlnm.Print_Titles" vbProcedure="false">ClosingCreditors!$1:$4</definedName>
    <definedName function="false" hidden="false" localSheetId="9" name="_xlnm.Print_Area" vbProcedure="false">Dec!$A$1:$AE$75</definedName>
    <definedName function="false" hidden="false" localSheetId="9" name="_xlnm.Print_Titles" vbProcedure="false">Dec!$A:$C,Dec!$1:$4</definedName>
    <definedName function="false" hidden="false" localSheetId="11" name="_xlnm.Print_Area" vbProcedure="false">Feb!$A$1:$AE$75</definedName>
    <definedName function="false" hidden="false" localSheetId="11" name="_xlnm.Print_Titles" vbProcedure="false">Feb!$A:$C,Feb!$1:$4</definedName>
    <definedName function="false" hidden="false" localSheetId="10" name="_xlnm.Print_Area" vbProcedure="false">Jan!$A$1:$AE$75</definedName>
    <definedName function="false" hidden="false" localSheetId="10" name="_xlnm.Print_Titles" vbProcedure="false">Jan!$A:$C,Jan!$1:$4</definedName>
    <definedName function="false" hidden="false" localSheetId="4" name="_xlnm.Print_Area" vbProcedure="false">Jul!$A$1:$AE$75</definedName>
    <definedName function="false" hidden="false" localSheetId="4" name="_xlnm.Print_Titles" vbProcedure="false">Jul!$A:$C,Jul!$1:$4</definedName>
    <definedName function="false" hidden="false" localSheetId="3" name="_xlnm.Print_Area" vbProcedure="false">Jun!$A$1:$AE$75</definedName>
    <definedName function="false" hidden="false" localSheetId="3" name="_xlnm.Print_Titles" vbProcedure="false">Jun!$A:$C,Jun!$1:$4</definedName>
    <definedName function="false" hidden="false" localSheetId="12" name="_xlnm.Print_Area" vbProcedure="false">Mar!$A$1:$AE$75</definedName>
    <definedName function="false" hidden="false" localSheetId="12" name="_xlnm.Print_Titles" vbProcedure="false">Mar!$A:$C,Mar!$1:$4</definedName>
    <definedName function="false" hidden="false" localSheetId="2" name="_xlnm.Print_Area" vbProcedure="false">May!$A$1:$AE$75</definedName>
    <definedName function="false" hidden="false" localSheetId="2" name="_xlnm.Print_Titles" vbProcedure="false">May!$A:$C,May!$1:$4</definedName>
    <definedName function="false" hidden="false" localSheetId="8" name="_xlnm.Print_Area" vbProcedure="false">Nov!$A$1:$AE$75</definedName>
    <definedName function="false" hidden="false" localSheetId="8" name="_xlnm.Print_Titles" vbProcedure="false">Nov!$A:$C,Nov!$1:$4</definedName>
    <definedName function="false" hidden="false" localSheetId="7" name="_xlnm.Print_Area" vbProcedure="false">Oct!$A$1:$AE$75</definedName>
    <definedName function="false" hidden="false" localSheetId="7" name="_xlnm.Print_Titles" vbProcedure="false">Oct!$A:$C,Oct!$1:$4</definedName>
    <definedName function="false" hidden="false" localSheetId="0" name="_xlnm.Print_Area" vbProcedure="false">OpeningCreditors!$A$1:$N$75</definedName>
    <definedName function="false" hidden="false" localSheetId="0" name="_xlnm.Print_Titles" vbProcedure="false">OpeningCreditors!$1:$4</definedName>
    <definedName function="false" hidden="false" localSheetId="6" name="_xlnm.Print_Area" vbProcedure="false">Sep!$A$1:$AE$75</definedName>
    <definedName function="false" hidden="false" localSheetId="6" name="_xlnm.Print_Titles" vbProcedure="false">Sep!$A:$C,Sep!$1:$4</definedName>
    <definedName function="false" hidden="false" localSheetId="0" name="_xlnm_Print_Area" vbProcedure="false">OpeningCreditors!$A$1:$N$75</definedName>
    <definedName function="false" hidden="false" localSheetId="0" name="_xlnm_Print_Titles" vbProcedure="false">OpeningCreditors!$1:$4</definedName>
    <definedName function="false" hidden="false" localSheetId="1" name="Excel_BuiltIn_Print_Titles" vbProcedure="false">(Apr!$A:$C,Apr!$1:$4)</definedName>
    <definedName function="false" hidden="false" localSheetId="1" name="_xlnm_Print_Area" vbProcedure="false">Apr!$A$1:$AE$75</definedName>
    <definedName function="false" hidden="false" localSheetId="1" name="_xlnm_Print_Titles" vbProcedure="false">(Apr!$A:$C,Apr!$1:$4)</definedName>
    <definedName function="false" hidden="false" localSheetId="2" name="Excel_BuiltIn_Print_Titles" vbProcedure="false">(May!$A:$C,May!$1:$4)</definedName>
    <definedName function="false" hidden="false" localSheetId="2" name="_xlnm_Print_Area" vbProcedure="false">May!$A$1:$AE$75</definedName>
    <definedName function="false" hidden="false" localSheetId="2" name="_xlnm_Print_Titles" vbProcedure="false">(May!$A:$C,May!$1:$4)</definedName>
    <definedName function="false" hidden="false" localSheetId="3" name="Excel_BuiltIn_Print_Titles" vbProcedure="false">(Jun!$A:$C,Jun!$1:$4)</definedName>
    <definedName function="false" hidden="false" localSheetId="3" name="_xlnm_Print_Area" vbProcedure="false">Jun!$A$1:$AE$75</definedName>
    <definedName function="false" hidden="false" localSheetId="3" name="_xlnm_Print_Titles" vbProcedure="false">(Jun!$A:$C,Jun!$1:$4)</definedName>
    <definedName function="false" hidden="false" localSheetId="4" name="Excel_BuiltIn_Print_Titles" vbProcedure="false">(Jul!$A:$C,Jul!$1:$4)</definedName>
    <definedName function="false" hidden="false" localSheetId="4" name="_xlnm_Print_Area" vbProcedure="false">Jul!$A$1:$AE$75</definedName>
    <definedName function="false" hidden="false" localSheetId="4" name="_xlnm_Print_Titles" vbProcedure="false">(Jul!$A:$C,Jul!$1:$4)</definedName>
    <definedName function="false" hidden="false" localSheetId="5" name="Excel_BuiltIn_Print_Titles" vbProcedure="false">(Aug!$A:$C,Aug!$1:$4)</definedName>
    <definedName function="false" hidden="false" localSheetId="5" name="_xlnm_Print_Area" vbProcedure="false">Aug!$A$1:$AE$75</definedName>
    <definedName function="false" hidden="false" localSheetId="5" name="_xlnm_Print_Titles" vbProcedure="false">(Aug!$A:$C,Aug!$1:$4)</definedName>
    <definedName function="false" hidden="false" localSheetId="6" name="Excel_BuiltIn_Print_Titles" vbProcedure="false">(Sep!$A:$C,Sep!$1:$4)</definedName>
    <definedName function="false" hidden="false" localSheetId="6" name="_xlnm_Print_Area" vbProcedure="false">Sep!$A$1:$AE$75</definedName>
    <definedName function="false" hidden="false" localSheetId="6" name="_xlnm_Print_Titles" vbProcedure="false">(Sep!$A:$C,Sep!$1:$4)</definedName>
    <definedName function="false" hidden="false" localSheetId="7" name="Excel_BuiltIn_Print_Titles" vbProcedure="false">(Oct!$A:$C,Oct!$1:$4)</definedName>
    <definedName function="false" hidden="false" localSheetId="7" name="_xlnm_Print_Area" vbProcedure="false">Oct!$A$1:$AE$75</definedName>
    <definedName function="false" hidden="false" localSheetId="7" name="_xlnm_Print_Titles" vbProcedure="false">(Oct!$A:$C,Oct!$1:$4)</definedName>
    <definedName function="false" hidden="false" localSheetId="8" name="Excel_BuiltIn_Print_Titles" vbProcedure="false">(Nov!$A:$C,Nov!$1:$4)</definedName>
    <definedName function="false" hidden="false" localSheetId="8" name="_xlnm_Print_Area" vbProcedure="false">Nov!$A$1:$AE$75</definedName>
    <definedName function="false" hidden="false" localSheetId="8" name="_xlnm_Print_Titles" vbProcedure="false">(Nov!$A:$C,Nov!$1:$4)</definedName>
    <definedName function="false" hidden="false" localSheetId="9" name="Excel_BuiltIn_Print_Titles" vbProcedure="false">(Dec!$A:$C,Dec!$1:$4)</definedName>
    <definedName function="false" hidden="false" localSheetId="9" name="_xlnm_Print_Area" vbProcedure="false">Dec!$A$1:$AE$75</definedName>
    <definedName function="false" hidden="false" localSheetId="9" name="_xlnm_Print_Titles" vbProcedure="false">(Dec!$A:$C,Dec!$1:$4)</definedName>
    <definedName function="false" hidden="false" localSheetId="10" name="Excel_BuiltIn_Print_Titles" vbProcedure="false">(Jan!$A:$C,Jan!$1:$4)</definedName>
    <definedName function="false" hidden="false" localSheetId="10" name="_xlnm_Print_Area" vbProcedure="false">Jan!$A$1:$AE$75</definedName>
    <definedName function="false" hidden="false" localSheetId="10" name="_xlnm_Print_Titles" vbProcedure="false">(Jan!$A:$C,Jan!$1:$4)</definedName>
    <definedName function="false" hidden="false" localSheetId="11" name="Excel_BuiltIn_Print_Titles" vbProcedure="false">(Feb!$A:$C,Feb!$1:$4)</definedName>
    <definedName function="false" hidden="false" localSheetId="11" name="_xlnm_Print_Area" vbProcedure="false">Feb!$A$1:$AE$75</definedName>
    <definedName function="false" hidden="false" localSheetId="11" name="_xlnm_Print_Titles" vbProcedure="false">(Feb!$A:$C,Feb!$1:$4)</definedName>
    <definedName function="false" hidden="false" localSheetId="12" name="Excel_BuiltIn_Print_Titles" vbProcedure="false">(Mar!$A:$C,Mar!$1:$4)</definedName>
    <definedName function="false" hidden="false" localSheetId="12" name="_xlnm_Print_Area" vbProcedure="false">Mar!$A$1:$AE$75</definedName>
    <definedName function="false" hidden="false" localSheetId="12" name="_xlnm_Print_Titles" vbProcedure="false">(Mar!$A:$C,Mar!$1:$4)</definedName>
    <definedName function="false" hidden="false" localSheetId="13" name="_xlnm_Print_Area" vbProcedure="false">ClosingCreditors!$A$1:$N$75</definedName>
    <definedName function="false" hidden="false" localSheetId="13" name="_xlnm_Print_Titles" vbProcedure="false">ClosingCreditors!$1:$4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<sst xmlns="http://schemas.openxmlformats.org/spreadsheetml/2006/main" count="635" uniqueCount="59">
  <si>
    <t xml:space="preserve">Purchase Date</t>
  </si>
  <si>
    <t xml:space="preserve">Supplier Name</t>
  </si>
  <si>
    <t xml:space="preserve">Purchase Invoice Number or Reference</t>
  </si>
  <si>
    <t xml:space="preserve">Total for Month</t>
  </si>
  <si>
    <t xml:space="preserve">For your information only. Enter How Paid e.g. Cash, Cheque etc.,</t>
  </si>
  <si>
    <t xml:space="preserve">Purchase Description</t>
  </si>
  <si>
    <t xml:space="preserve">Total Purchase Value incl Vat</t>
  </si>
  <si>
    <t xml:space="preserve">Purchases           Net of Vat</t>
  </si>
  <si>
    <t xml:space="preserve">Payments Made to Creditors</t>
  </si>
  <si>
    <t xml:space="preserve">Vat Input</t>
  </si>
  <si>
    <t xml:space="preserve">Actual Amount Paid</t>
  </si>
  <si>
    <t xml:space="preserve">Purchases not yet paid</t>
  </si>
  <si>
    <t xml:space="preserve">Purchases Days Outstanding</t>
  </si>
  <si>
    <t xml:space="preserve">Check Total</t>
  </si>
  <si>
    <t xml:space="preserve">Mileage expenses</t>
  </si>
  <si>
    <t xml:space="preserve">Mileage</t>
  </si>
  <si>
    <t xml:space="preserve">v</t>
  </si>
  <si>
    <t xml:space="preserve">Purchases Cost of Sales</t>
  </si>
  <si>
    <t xml:space="preserve">Employee Wages excluding Paye</t>
  </si>
  <si>
    <t xml:space="preserve">Premises </t>
  </si>
  <si>
    <t xml:space="preserve">Repairs &amp; Maintenance </t>
  </si>
  <si>
    <t xml:space="preserve">Admistration Telephone Postage &amp; Stationery</t>
  </si>
  <si>
    <t xml:space="preserve">Travel Hotel Subsistence Expenses</t>
  </si>
  <si>
    <t xml:space="preserve">Advertising Promotion Entertainment</t>
  </si>
  <si>
    <t xml:space="preserve">Legal &amp; Professional</t>
  </si>
  <si>
    <t xml:space="preserve">Other Expenses</t>
  </si>
  <si>
    <t xml:space="preserve">Contractors </t>
  </si>
  <si>
    <t xml:space="preserve">  Enter Expense Code Letter</t>
  </si>
  <si>
    <t xml:space="preserve">Direct Materials</t>
  </si>
  <si>
    <t xml:space="preserve">Sub Contractors</t>
  </si>
  <si>
    <t xml:space="preserve">Other Direct Business Costs</t>
  </si>
  <si>
    <t xml:space="preserve">Rent &amp; Rates, Light &amp; Heating</t>
  </si>
  <si>
    <t xml:space="preserve">Motor Vehicle Expenses</t>
  </si>
  <si>
    <t xml:space="preserve">Fixed Asset Purchases</t>
  </si>
  <si>
    <t xml:space="preserve">CIS Certificates</t>
  </si>
  <si>
    <t xml:space="preserve">S</t>
  </si>
  <si>
    <t xml:space="preserve">C</t>
  </si>
  <si>
    <t xml:space="preserve">O</t>
  </si>
  <si>
    <t xml:space="preserve">W</t>
  </si>
  <si>
    <t xml:space="preserve">P</t>
  </si>
  <si>
    <t xml:space="preserve">M</t>
  </si>
  <si>
    <t xml:space="preserve">G</t>
  </si>
  <si>
    <t xml:space="preserve">V</t>
  </si>
  <si>
    <t xml:space="preserve">H</t>
  </si>
  <si>
    <t xml:space="preserve">A</t>
  </si>
  <si>
    <t xml:space="preserve">L</t>
  </si>
  <si>
    <t xml:space="preserve">Y</t>
  </si>
  <si>
    <t xml:space="preserve">FA</t>
  </si>
  <si>
    <t xml:space="preserve">Tax Paid</t>
  </si>
  <si>
    <t xml:space="preserve">Certificate No</t>
  </si>
  <si>
    <t xml:space="preserve">Office Supplies Ltd</t>
  </si>
  <si>
    <t xml:space="preserve">g</t>
  </si>
  <si>
    <t xml:space="preserve">Landlord</t>
  </si>
  <si>
    <t xml:space="preserve">p</t>
  </si>
  <si>
    <t xml:space="preserve">Accountant</t>
  </si>
  <si>
    <t xml:space="preserve">l</t>
  </si>
  <si>
    <t xml:space="preserve">Fuel Station</t>
  </si>
  <si>
    <t xml:space="preserve">Plumber</t>
  </si>
  <si>
    <t xml:space="preserve">m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</si>
</sst>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\-mmm\-yy"/>
    <numFmt numFmtId="166" formatCode="0"/>
    <numFmt numFmtId="167" formatCode="#,##0"/>
    <numFmt numFmtId="168" formatCode="#,##0.00_ ;[RED]\-#,##0.00\ "/>
    <numFmt numFmtId="169" formatCode="0_ ;[RED]\-0\ "/>
    <numFmt numFmtId="170" formatCode="#,##0.0_ ;[RED]\-#,##0.0\ "/>
    <numFmt numFmtId="171" formatCode="0.00"/>
    <numFmt numFmtId="172" formatCode="#,##0.00"/>
    <numFmt numFmtId="173" formatCode="General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9"/>
      <color rgb="FFFF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name val="Arial"/>
      <family val="2"/>
      <charset val="1"/>
    </font>
    <font>
      <b val="true"/>
      <sz val="9"/>
      <color rgb="FF00000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externalLink" Target="externalLinks/externalLink2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D1">
            <v>0</v>
          </cell>
        </row>
        <row r="2">
          <cell r="H2">
            <v>20</v>
          </cell>
        </row>
      </sheetData>
      <sheetData sheetId="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3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4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5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6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7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8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9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0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1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">
          <cell r="F21">
            <v>10000</v>
          </cell>
          <cell r="G21">
            <v>0.45</v>
          </cell>
        </row>
        <row r="22">
          <cell r="F22">
            <v>10001</v>
          </cell>
          <cell r="G22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false" hidden="false" outlineLevel="0" max="257" min="15" style="2" width="9.15"/>
  </cols>
  <sheetData>
    <row r="1" s="19" customFormat="true" ht="12.7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4"/>
      <c r="G1" s="13" t="n">
        <f aca="false">SUM(G5:G300)</f>
        <v>0</v>
      </c>
      <c r="H1" s="13" t="n">
        <f aca="false">SUM(H5:H300)</f>
        <v>0</v>
      </c>
      <c r="I1" s="13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46113</v>
      </c>
    </row>
    <row r="2" s="19" customFormat="true" ht="13.5" hidden="false" customHeight="true" outlineLevel="0" collapsed="false">
      <c r="A2" s="9"/>
      <c r="B2" s="10"/>
      <c r="C2" s="10"/>
      <c r="D2" s="12"/>
      <c r="E2" s="20" t="s">
        <v>5</v>
      </c>
      <c r="F2" s="20"/>
      <c r="G2" s="10" t="s">
        <v>6</v>
      </c>
      <c r="H2" s="21" t="n">
        <f aca="false">Apr!H2</f>
        <v>20</v>
      </c>
      <c r="I2" s="10" t="s">
        <v>7</v>
      </c>
      <c r="J2" s="15"/>
      <c r="K2" s="16"/>
      <c r="L2" s="22" t="s">
        <v>8</v>
      </c>
      <c r="M2" s="22"/>
      <c r="N2" s="22"/>
    </row>
    <row r="3" s="25" customFormat="true" ht="34.5" hidden="false" customHeight="true" outlineLevel="0" collapsed="false">
      <c r="A3" s="9"/>
      <c r="B3" s="10"/>
      <c r="C3" s="10"/>
      <c r="D3" s="12"/>
      <c r="E3" s="20"/>
      <c r="F3" s="20"/>
      <c r="G3" s="10"/>
      <c r="H3" s="10" t="s">
        <v>9</v>
      </c>
      <c r="I3" s="10"/>
      <c r="J3" s="15"/>
      <c r="K3" s="16"/>
      <c r="L3" s="23" t="s">
        <v>10</v>
      </c>
      <c r="M3" s="23" t="s">
        <v>11</v>
      </c>
      <c r="N3" s="24" t="s">
        <v>12</v>
      </c>
    </row>
    <row r="4" s="26" customFormat="true" ht="12.75" hidden="false" customHeight="true" outlineLevel="0" collapsed="false">
      <c r="A4" s="9"/>
      <c r="B4" s="10"/>
      <c r="C4" s="10"/>
      <c r="D4" s="12"/>
      <c r="E4" s="20"/>
      <c r="F4" s="20"/>
      <c r="G4" s="10"/>
      <c r="H4" s="10"/>
      <c r="I4" s="10"/>
      <c r="J4" s="15"/>
      <c r="K4" s="16"/>
      <c r="L4" s="23"/>
      <c r="M4" s="23"/>
      <c r="N4" s="24"/>
    </row>
    <row r="5" s="5" customFormat="true" ht="12" hidden="false" customHeight="false" outlineLevel="0" collapsed="false">
      <c r="A5" s="27"/>
      <c r="C5" s="28"/>
      <c r="D5" s="4"/>
      <c r="E5" s="2"/>
      <c r="F5" s="2"/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" hidden="false" customHeight="false" outlineLevel="0" collapsed="false">
      <c r="A6" s="27"/>
      <c r="F6" s="2"/>
      <c r="H6" s="6" t="str">
        <f aca="false">IF(G6&lt;&gt;0,G6*H$2/(100+H$2)," ")</f>
        <v> </v>
      </c>
      <c r="I6" s="6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A7" s="27"/>
      <c r="F7" s="2"/>
      <c r="H7" s="6" t="str">
        <f aca="false">IF(G7&lt;&gt;0,G7*H$2/(100+H$2)," ")</f>
        <v> </v>
      </c>
      <c r="I7" s="6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A8" s="27"/>
      <c r="F8" s="2"/>
      <c r="H8" s="6" t="str">
        <f aca="false">IF(G8&lt;&gt;0,G8*H$2/(100+H$2)," ")</f>
        <v> </v>
      </c>
      <c r="I8" s="6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A9" s="27"/>
      <c r="F9" s="2"/>
      <c r="H9" s="6" t="str">
        <f aca="false">IF(G9&lt;&gt;0,G9*H$2/(100+H$2)," ")</f>
        <v> </v>
      </c>
      <c r="I9" s="6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A10" s="27"/>
      <c r="F10" s="2"/>
      <c r="H10" s="6" t="str">
        <f aca="false">IF(G10&lt;&gt;0,G10*H$2/(100+H$2)," ")</f>
        <v> </v>
      </c>
      <c r="I10" s="6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A11" s="27"/>
      <c r="F11" s="2"/>
      <c r="H11" s="6" t="str">
        <f aca="false">IF(G11&lt;&gt;0,G11*H$2/(100+H$2)," ")</f>
        <v> </v>
      </c>
      <c r="I11" s="6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A12" s="27"/>
      <c r="F12" s="2"/>
      <c r="H12" s="6" t="str">
        <f aca="false">IF(G12&lt;&gt;0,G12*H$2/(100+H$2)," ")</f>
        <v> </v>
      </c>
      <c r="I12" s="6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A13" s="27"/>
      <c r="F13" s="2"/>
      <c r="H13" s="6" t="str">
        <f aca="false">IF(G13&lt;&gt;0,G13*H$2/(100+H$2)," ")</f>
        <v> </v>
      </c>
      <c r="I13" s="6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A14" s="27"/>
      <c r="F14" s="2"/>
      <c r="H14" s="6" t="str">
        <f aca="false">IF(G14&lt;&gt;0,G14*H$2/(100+H$2)," ")</f>
        <v> </v>
      </c>
      <c r="I14" s="6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A15" s="27"/>
      <c r="F15" s="2"/>
      <c r="H15" s="6" t="str">
        <f aca="false">IF(G15&lt;&gt;0,G15*H$2/(100+H$2)," ")</f>
        <v> </v>
      </c>
      <c r="I15" s="6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A16" s="27"/>
      <c r="F16" s="2"/>
      <c r="H16" s="6" t="str">
        <f aca="false">IF(G16&lt;&gt;0,G16*H$2/(100+H$2)," ")</f>
        <v> </v>
      </c>
      <c r="I16" s="6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A17" s="27"/>
      <c r="F17" s="2"/>
      <c r="H17" s="6" t="str">
        <f aca="false">IF(G17&lt;&gt;0,G17*H$2/(100+H$2)," ")</f>
        <v> </v>
      </c>
      <c r="I17" s="6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A18" s="27"/>
      <c r="F18" s="2"/>
      <c r="H18" s="6" t="str">
        <f aca="false">IF(G18&lt;&gt;0,G18*H$2/(100+H$2)," ")</f>
        <v> </v>
      </c>
      <c r="I18" s="6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A19" s="27"/>
      <c r="F19" s="2"/>
      <c r="H19" s="6" t="str">
        <f aca="false">IF(G19&lt;&gt;0,G19*H$2/(100+H$2)," ")</f>
        <v> </v>
      </c>
      <c r="I19" s="6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A20" s="27"/>
      <c r="F20" s="2"/>
      <c r="H20" s="6" t="str">
        <f aca="false">IF(G20&lt;&gt;0,G20*H$2/(100+H$2)," ")</f>
        <v> </v>
      </c>
      <c r="I20" s="6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A21" s="27"/>
      <c r="F21" s="2"/>
      <c r="H21" s="6" t="str">
        <f aca="false">IF(G21&lt;&gt;0,G21*H$2/(100+H$2)," ")</f>
        <v> </v>
      </c>
      <c r="I21" s="6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A22" s="27"/>
      <c r="F22" s="2"/>
      <c r="H22" s="6" t="str">
        <f aca="false">IF(G22&lt;&gt;0,G22*H$2/(100+H$2)," ")</f>
        <v> </v>
      </c>
      <c r="I22" s="6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A23" s="27"/>
      <c r="E23" s="30"/>
      <c r="F23" s="2"/>
      <c r="H23" s="6" t="str">
        <f aca="false">IF(G23&lt;&gt;0,G23*H$2/(100+H$2)," ")</f>
        <v> </v>
      </c>
      <c r="I23" s="6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A24" s="27"/>
      <c r="F24" s="2"/>
      <c r="H24" s="6" t="str">
        <f aca="false">IF(G24&lt;&gt;0,G24*H$2/(100+H$2)," ")</f>
        <v> </v>
      </c>
      <c r="I24" s="6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A25" s="27"/>
      <c r="F25" s="2"/>
      <c r="H25" s="6" t="str">
        <f aca="false">IF(G25&lt;&gt;0,G25*H$2/(100+H$2)," ")</f>
        <v> </v>
      </c>
      <c r="I25" s="6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A26" s="27"/>
      <c r="F26" s="2"/>
      <c r="H26" s="6" t="str">
        <f aca="false">IF(G26&lt;&gt;0,G26*H$2/(100+H$2)," ")</f>
        <v> </v>
      </c>
      <c r="I26" s="6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A27" s="27"/>
      <c r="F27" s="2"/>
      <c r="H27" s="6" t="str">
        <f aca="false">IF(G27&lt;&gt;0,G27*H$2/(100+H$2)," ")</f>
        <v> </v>
      </c>
      <c r="I27" s="6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A28" s="27"/>
      <c r="F28" s="2"/>
      <c r="H28" s="6" t="str">
        <f aca="false">IF(G28&lt;&gt;0,G28*H$2/(100+H$2)," ")</f>
        <v> </v>
      </c>
      <c r="I28" s="6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A29" s="27"/>
      <c r="F29" s="2"/>
      <c r="H29" s="6" t="str">
        <f aca="false">IF(G29&lt;&gt;0,G29*H$2/(100+H$2)," ")</f>
        <v> </v>
      </c>
      <c r="I29" s="6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A30" s="27"/>
      <c r="F30" s="2"/>
      <c r="H30" s="6" t="str">
        <f aca="false">IF(G30&lt;&gt;0,G30*H$2/(100+H$2)," ")</f>
        <v> </v>
      </c>
      <c r="I30" s="6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A31" s="27"/>
      <c r="F31" s="2"/>
      <c r="H31" s="6" t="str">
        <f aca="false">IF(G31&lt;&gt;0,G31*H$2/(100+H$2)," ")</f>
        <v> </v>
      </c>
      <c r="I31" s="6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A32" s="27"/>
      <c r="F32" s="2"/>
      <c r="H32" s="6" t="str">
        <f aca="false">IF(G32&lt;&gt;0,G32*H$2/(100+H$2)," ")</f>
        <v> </v>
      </c>
      <c r="I32" s="6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A33" s="27"/>
      <c r="F33" s="2"/>
      <c r="H33" s="6" t="str">
        <f aca="false">IF(G33&lt;&gt;0,G33*H$2/(100+H$2)," ")</f>
        <v> </v>
      </c>
      <c r="I33" s="6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A34" s="27"/>
      <c r="F34" s="2"/>
      <c r="H34" s="6" t="str">
        <f aca="false">IF(G34&lt;&gt;0,G34*H$2/(100+H$2)," ")</f>
        <v> </v>
      </c>
      <c r="I34" s="6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A35" s="27"/>
      <c r="F35" s="2"/>
      <c r="H35" s="6" t="str">
        <f aca="false">IF(G35&lt;&gt;0,G35*H$2/(100+H$2)," ")</f>
        <v> </v>
      </c>
      <c r="I35" s="6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A36" s="27"/>
      <c r="F36" s="2"/>
      <c r="H36" s="6" t="str">
        <f aca="false">IF(G36&lt;&gt;0,G36*H$2/(100+H$2)," ")</f>
        <v> </v>
      </c>
      <c r="I36" s="6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A37" s="27"/>
      <c r="F37" s="2"/>
      <c r="H37" s="6" t="str">
        <f aca="false">IF(G37&lt;&gt;0,G37*H$2/(100+H$2)," ")</f>
        <v> </v>
      </c>
      <c r="I37" s="6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A38" s="27"/>
      <c r="F38" s="2"/>
      <c r="H38" s="6" t="str">
        <f aca="false">IF(G38&lt;&gt;0,G38*H$2/(100+H$2)," ")</f>
        <v> </v>
      </c>
      <c r="I38" s="6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A39" s="27"/>
      <c r="F39" s="2"/>
      <c r="H39" s="6" t="str">
        <f aca="false">IF(G39&lt;&gt;0,G39*H$2/(100+H$2)," ")</f>
        <v> </v>
      </c>
      <c r="I39" s="6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A40" s="27"/>
      <c r="F40" s="2"/>
      <c r="H40" s="6" t="str">
        <f aca="false">IF(G40&lt;&gt;0,G40*H$2/(100+H$2)," ")</f>
        <v> </v>
      </c>
      <c r="I40" s="6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A41" s="27"/>
      <c r="F41" s="2"/>
      <c r="H41" s="6" t="str">
        <f aca="false">IF(G41&lt;&gt;0,G41*H$2/(100+H$2)," ")</f>
        <v> </v>
      </c>
      <c r="I41" s="6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A42" s="27"/>
      <c r="F42" s="2"/>
      <c r="H42" s="6" t="str">
        <f aca="false">IF(G42&lt;&gt;0,G42*H$2/(100+H$2)," ")</f>
        <v> </v>
      </c>
      <c r="I42" s="6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A43" s="27"/>
      <c r="F43" s="2"/>
      <c r="H43" s="6" t="str">
        <f aca="false">IF(G43&lt;&gt;0,G43*H$2/(100+H$2)," ")</f>
        <v> </v>
      </c>
      <c r="I43" s="6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A44" s="27"/>
      <c r="F44" s="2"/>
      <c r="H44" s="6" t="str">
        <f aca="false">IF(G44&lt;&gt;0,G44*H$2/(100+H$2)," ")</f>
        <v> </v>
      </c>
      <c r="I44" s="6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A45" s="27"/>
      <c r="F45" s="2"/>
      <c r="H45" s="6" t="str">
        <f aca="false">IF(G45&lt;&gt;0,G45*H$2/(100+H$2)," ")</f>
        <v> </v>
      </c>
      <c r="I45" s="6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A46" s="27"/>
      <c r="F46" s="2"/>
      <c r="H46" s="6" t="str">
        <f aca="false">IF(G46&lt;&gt;0,G46*H$2/(100+H$2)," ")</f>
        <v> </v>
      </c>
      <c r="I46" s="6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A47" s="27"/>
      <c r="F47" s="2"/>
      <c r="H47" s="6" t="str">
        <f aca="false">IF(G47&lt;&gt;0,G47*H$2/(100+H$2)," ")</f>
        <v> </v>
      </c>
      <c r="I47" s="6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A48" s="27"/>
      <c r="F48" s="2"/>
      <c r="H48" s="6" t="str">
        <f aca="false">IF(G48&lt;&gt;0,G48*H$2/(100+H$2)," ")</f>
        <v> </v>
      </c>
      <c r="I48" s="6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A49" s="27"/>
      <c r="F49" s="2"/>
      <c r="H49" s="6" t="str">
        <f aca="false">IF(G49&lt;&gt;0,G49*H$2/(100+H$2)," ")</f>
        <v> </v>
      </c>
      <c r="I49" s="6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A50" s="27"/>
      <c r="F50" s="2"/>
      <c r="H50" s="6" t="str">
        <f aca="false">IF(G50&lt;&gt;0,G50*H$2/(100+H$2)," ")</f>
        <v> </v>
      </c>
      <c r="I50" s="6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A51" s="27"/>
      <c r="F51" s="2"/>
      <c r="H51" s="6" t="str">
        <f aca="false">IF(G51&lt;&gt;0,G51*H$2/(100+H$2)," ")</f>
        <v> </v>
      </c>
      <c r="I51" s="6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A52" s="27"/>
      <c r="F52" s="2"/>
      <c r="H52" s="6" t="str">
        <f aca="false">IF(G52&lt;&gt;0,G52*H$2/(100+H$2)," ")</f>
        <v> </v>
      </c>
      <c r="I52" s="6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A53" s="27"/>
      <c r="F53" s="2"/>
      <c r="H53" s="6" t="str">
        <f aca="false">IF(G53&lt;&gt;0,G53*H$2/(100+H$2)," ")</f>
        <v> </v>
      </c>
      <c r="I53" s="6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A54" s="27"/>
      <c r="F54" s="2"/>
      <c r="H54" s="6" t="str">
        <f aca="false">IF(G54&lt;&gt;0,G54*H$2/(100+H$2)," ")</f>
        <v> </v>
      </c>
      <c r="I54" s="6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A55" s="27"/>
      <c r="F55" s="2"/>
      <c r="H55" s="6" t="str">
        <f aca="false">IF(G55&lt;&gt;0,G55*H$2/(100+H$2)," ")</f>
        <v> </v>
      </c>
      <c r="I55" s="6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A56" s="27"/>
      <c r="F56" s="2"/>
      <c r="H56" s="6" t="str">
        <f aca="false">IF(G56&lt;&gt;0,G56*H$2/(100+H$2)," ")</f>
        <v> </v>
      </c>
      <c r="I56" s="6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A57" s="27"/>
      <c r="F57" s="2"/>
      <c r="H57" s="6" t="str">
        <f aca="false">IF(G57&lt;&gt;0,G57*H$2/(100+H$2)," ")</f>
        <v> </v>
      </c>
      <c r="I57" s="6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A58" s="27"/>
      <c r="F58" s="2"/>
      <c r="H58" s="6" t="str">
        <f aca="false">IF(G58&lt;&gt;0,G58*H$2/(100+H$2)," ")</f>
        <v> </v>
      </c>
      <c r="I58" s="6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A59" s="27"/>
      <c r="F59" s="2"/>
      <c r="H59" s="6" t="str">
        <f aca="false">IF(G59&lt;&gt;0,G59*H$2/(100+H$2)," ")</f>
        <v> </v>
      </c>
      <c r="I59" s="6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A60" s="27"/>
      <c r="F60" s="2"/>
      <c r="H60" s="6" t="str">
        <f aca="false">IF(G60&lt;&gt;0,G60*H$2/(100+H$2)," ")</f>
        <v> </v>
      </c>
      <c r="I60" s="6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A61" s="27"/>
      <c r="F61" s="2"/>
      <c r="H61" s="6" t="str">
        <f aca="false">IF(G61&lt;&gt;0,G61*H$2/(100+H$2)," ")</f>
        <v> </v>
      </c>
      <c r="I61" s="6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A62" s="27"/>
      <c r="F62" s="2"/>
      <c r="H62" s="6" t="str">
        <f aca="false">IF(G62&lt;&gt;0,G62*H$2/(100+H$2)," ")</f>
        <v> </v>
      </c>
      <c r="I62" s="6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A63" s="27"/>
      <c r="F63" s="2"/>
      <c r="H63" s="6" t="str">
        <f aca="false">IF(G63&lt;&gt;0,G63*H$2/(100+H$2)," ")</f>
        <v> </v>
      </c>
      <c r="I63" s="6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A64" s="27"/>
      <c r="F64" s="2"/>
      <c r="H64" s="6" t="str">
        <f aca="false">IF(G64&lt;&gt;0,G64*H$2/(100+H$2)," ")</f>
        <v> </v>
      </c>
      <c r="I64" s="6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A65" s="27"/>
      <c r="F65" s="2"/>
      <c r="H65" s="6" t="str">
        <f aca="false">IF(G65&lt;&gt;0,G65*H$2/(100+H$2)," ")</f>
        <v> </v>
      </c>
      <c r="I65" s="6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A66" s="27"/>
      <c r="F66" s="2"/>
      <c r="H66" s="6" t="str">
        <f aca="false">IF(G66&lt;&gt;0,G66*H$2/(100+H$2)," ")</f>
        <v> </v>
      </c>
      <c r="I66" s="6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A67" s="27"/>
      <c r="F67" s="2"/>
      <c r="H67" s="6" t="str">
        <f aca="false">IF(G67&lt;&gt;0,G67*H$2/(100+H$2)," ")</f>
        <v> </v>
      </c>
      <c r="I67" s="6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A68" s="27"/>
      <c r="F68" s="2"/>
      <c r="H68" s="6" t="str">
        <f aca="false">IF(G68&lt;&gt;0,G68*H$2/(100+H$2)," ")</f>
        <v> </v>
      </c>
      <c r="I68" s="6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A69" s="27"/>
      <c r="F69" s="2"/>
      <c r="H69" s="6" t="str">
        <f aca="false">IF(G69&lt;&gt;0,G69*H$2/(100+H$2)," ")</f>
        <v> </v>
      </c>
      <c r="I69" s="6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A70" s="27"/>
      <c r="F70" s="2"/>
      <c r="H70" s="6" t="str">
        <f aca="false">IF(G70&lt;&gt;0,G70*H$2/(100+H$2)," ")</f>
        <v> </v>
      </c>
      <c r="I70" s="6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A71" s="27"/>
      <c r="F71" s="2"/>
      <c r="H71" s="6" t="str">
        <f aca="false">IF(G71&lt;&gt;0,G71*H$2/(100+H$2)," ")</f>
        <v> </v>
      </c>
      <c r="I71" s="6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A72" s="27"/>
      <c r="F72" s="2"/>
      <c r="H72" s="6" t="str">
        <f aca="false">IF(G72&lt;&gt;0,G72*H$2/(100+H$2)," ")</f>
        <v> </v>
      </c>
      <c r="I72" s="6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A73" s="27"/>
      <c r="F73" s="2"/>
      <c r="H73" s="6" t="str">
        <f aca="false">IF(G73&lt;&gt;0,G73*H$2/(100+H$2)," ")</f>
        <v> </v>
      </c>
      <c r="I73" s="6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A74" s="27"/>
      <c r="F74" s="2"/>
      <c r="H74" s="6" t="str">
        <f aca="false">IF(G74&lt;&gt;0,G74*H$2/(100+H$2)," ")</f>
        <v> </v>
      </c>
      <c r="I74" s="6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A75" s="27"/>
      <c r="F75" s="2"/>
      <c r="H75" s="6" t="str">
        <f aca="false">IF(G75&lt;&gt;0,G75*H$2/(100+H$2)," ")</f>
        <v> </v>
      </c>
      <c r="I75" s="6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A76" s="27"/>
      <c r="F76" s="2"/>
      <c r="H76" s="6" t="str">
        <f aca="false">IF(G76&lt;&gt;0,G76*H$2/(100+H$2)," ")</f>
        <v> </v>
      </c>
      <c r="I76" s="6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A77" s="27"/>
      <c r="F77" s="2"/>
      <c r="H77" s="6" t="str">
        <f aca="false">IF(G77&lt;&gt;0,G77*H$2/(100+H$2)," ")</f>
        <v> </v>
      </c>
      <c r="I77" s="6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A78" s="27"/>
      <c r="F78" s="2"/>
      <c r="H78" s="6" t="str">
        <f aca="false">IF(G78&lt;&gt;0,G78*H$2/(100+H$2)," ")</f>
        <v> </v>
      </c>
      <c r="I78" s="6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A79" s="27"/>
      <c r="F79" s="2"/>
      <c r="H79" s="6" t="str">
        <f aca="false">IF(G79&lt;&gt;0,G79*H$2/(100+H$2)," ")</f>
        <v> </v>
      </c>
      <c r="I79" s="6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A80" s="27"/>
      <c r="F80" s="2"/>
      <c r="H80" s="6" t="str">
        <f aca="false">IF(G80&lt;&gt;0,G80*H$2/(100+H$2)," ")</f>
        <v> </v>
      </c>
      <c r="I80" s="6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A81" s="27"/>
      <c r="F81" s="2"/>
      <c r="H81" s="6" t="str">
        <f aca="false">IF(G81&lt;&gt;0,G81*H$2/(100+H$2)," ")</f>
        <v> </v>
      </c>
      <c r="I81" s="6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A82" s="27"/>
      <c r="F82" s="2"/>
      <c r="H82" s="6" t="str">
        <f aca="false">IF(G82&lt;&gt;0,G82*H$2/(100+H$2)," ")</f>
        <v> </v>
      </c>
      <c r="I82" s="6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A83" s="27"/>
      <c r="F83" s="2"/>
      <c r="H83" s="6" t="str">
        <f aca="false">IF(G83&lt;&gt;0,G83*H$2/(100+H$2)," ")</f>
        <v> </v>
      </c>
      <c r="I83" s="6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A84" s="27"/>
      <c r="F84" s="2"/>
      <c r="H84" s="6" t="str">
        <f aca="false">IF(G84&lt;&gt;0,G84*H$2/(100+H$2)," ")</f>
        <v> </v>
      </c>
      <c r="I84" s="6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A85" s="27"/>
      <c r="F85" s="2"/>
      <c r="H85" s="6" t="str">
        <f aca="false">IF(G85&lt;&gt;0,G85*H$2/(100+H$2)," ")</f>
        <v> </v>
      </c>
      <c r="I85" s="6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A86" s="27"/>
      <c r="F86" s="2"/>
      <c r="H86" s="6" t="str">
        <f aca="false">IF(G86&lt;&gt;0,G86*H$2/(100+H$2)," ")</f>
        <v> </v>
      </c>
      <c r="I86" s="6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A87" s="27"/>
      <c r="F87" s="2"/>
      <c r="H87" s="6" t="str">
        <f aca="false">IF(G87&lt;&gt;0,G87*H$2/(100+H$2)," ")</f>
        <v> </v>
      </c>
      <c r="I87" s="6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A88" s="27"/>
      <c r="F88" s="2"/>
      <c r="H88" s="6" t="str">
        <f aca="false">IF(G88&lt;&gt;0,G88*H$2/(100+H$2)," ")</f>
        <v> </v>
      </c>
      <c r="I88" s="6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A89" s="27"/>
      <c r="F89" s="2"/>
      <c r="H89" s="6" t="str">
        <f aca="false">IF(G89&lt;&gt;0,G89*H$2/(100+H$2)," ")</f>
        <v> </v>
      </c>
      <c r="I89" s="6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A90" s="27"/>
      <c r="F90" s="2"/>
      <c r="H90" s="6" t="str">
        <f aca="false">IF(G90&lt;&gt;0,G90*H$2/(100+H$2)," ")</f>
        <v> </v>
      </c>
      <c r="I90" s="6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A91" s="27"/>
      <c r="F91" s="2"/>
      <c r="H91" s="6" t="str">
        <f aca="false">IF(G91&lt;&gt;0,G91*H$2/(100+H$2)," ")</f>
        <v> </v>
      </c>
      <c r="I91" s="6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A92" s="27"/>
      <c r="F92" s="2"/>
      <c r="H92" s="6" t="str">
        <f aca="false">IF(G92&lt;&gt;0,G92*H$2/(100+H$2)," ")</f>
        <v> </v>
      </c>
      <c r="I92" s="6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A93" s="27"/>
      <c r="F93" s="2"/>
      <c r="H93" s="6" t="str">
        <f aca="false">IF(G93&lt;&gt;0,G93*H$2/(100+H$2)," ")</f>
        <v> </v>
      </c>
      <c r="I93" s="6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A94" s="27"/>
      <c r="F94" s="2"/>
      <c r="H94" s="6" t="str">
        <f aca="false">IF(G94&lt;&gt;0,G94*H$2/(100+H$2)," ")</f>
        <v> </v>
      </c>
      <c r="I94" s="6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A95" s="27"/>
      <c r="F95" s="2"/>
      <c r="H95" s="6" t="str">
        <f aca="false">IF(G95&lt;&gt;0,G95*H$2/(100+H$2)," ")</f>
        <v> </v>
      </c>
      <c r="I95" s="6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A96" s="27"/>
      <c r="F96" s="2"/>
      <c r="H96" s="6" t="str">
        <f aca="false">IF(G96&lt;&gt;0,G96*H$2/(100+H$2)," ")</f>
        <v> </v>
      </c>
      <c r="I96" s="6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A97" s="27"/>
      <c r="F97" s="2"/>
      <c r="H97" s="6" t="str">
        <f aca="false">IF(G97&lt;&gt;0,G97*H$2/(100+H$2)," ")</f>
        <v> </v>
      </c>
      <c r="I97" s="6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A98" s="27"/>
      <c r="F98" s="2"/>
      <c r="H98" s="6" t="str">
        <f aca="false">IF(G98&lt;&gt;0,G98*H$2/(100+H$2)," ")</f>
        <v> </v>
      </c>
      <c r="I98" s="6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A99" s="27"/>
      <c r="F99" s="2"/>
      <c r="H99" s="6" t="str">
        <f aca="false">IF(G99&lt;&gt;0,G99*H$2/(100+H$2)," ")</f>
        <v> </v>
      </c>
      <c r="I99" s="6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A100" s="27"/>
      <c r="F100" s="2"/>
      <c r="H100" s="6" t="str">
        <f aca="false">IF(G100&lt;&gt;0,G100*H$2/(100+H$2)," ")</f>
        <v> </v>
      </c>
      <c r="I100" s="6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A101" s="27"/>
      <c r="F101" s="2"/>
      <c r="H101" s="6" t="str">
        <f aca="false">IF(G101&lt;&gt;0,G101*H$2/(100+H$2)," ")</f>
        <v> </v>
      </c>
      <c r="I101" s="6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A102" s="27"/>
      <c r="F102" s="2"/>
      <c r="H102" s="6" t="str">
        <f aca="false">IF(G102&lt;&gt;0,G102*H$2/(100+H$2)," ")</f>
        <v> </v>
      </c>
      <c r="I102" s="6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A103" s="27"/>
      <c r="F103" s="2"/>
      <c r="H103" s="6" t="str">
        <f aca="false">IF(G103&lt;&gt;0,G103*H$2/(100+H$2)," ")</f>
        <v> </v>
      </c>
      <c r="I103" s="6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A104" s="27"/>
      <c r="F104" s="2"/>
      <c r="H104" s="6" t="str">
        <f aca="false">IF(G104&lt;&gt;0,G104*H$2/(100+H$2)," ")</f>
        <v> </v>
      </c>
      <c r="I104" s="6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A105" s="27"/>
      <c r="F105" s="2"/>
      <c r="H105" s="6" t="str">
        <f aca="false">IF(G105&lt;&gt;0,G105*H$2/(100+H$2)," ")</f>
        <v> </v>
      </c>
      <c r="I105" s="6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A106" s="27"/>
      <c r="F106" s="2"/>
      <c r="H106" s="6" t="str">
        <f aca="false">IF(G106&lt;&gt;0,G106*H$2/(100+H$2)," ")</f>
        <v> </v>
      </c>
      <c r="I106" s="6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A107" s="27"/>
      <c r="F107" s="2"/>
      <c r="H107" s="6" t="str">
        <f aca="false">IF(G107&lt;&gt;0,G107*H$2/(100+H$2)," ")</f>
        <v> </v>
      </c>
      <c r="I107" s="6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A108" s="27"/>
      <c r="F108" s="2"/>
      <c r="H108" s="6" t="str">
        <f aca="false">IF(G108&lt;&gt;0,G108*H$2/(100+H$2)," ")</f>
        <v> </v>
      </c>
      <c r="I108" s="6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A109" s="27"/>
      <c r="F109" s="2"/>
      <c r="H109" s="6" t="str">
        <f aca="false">IF(G109&lt;&gt;0,G109*H$2/(100+H$2)," ")</f>
        <v> </v>
      </c>
      <c r="I109" s="6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A110" s="27"/>
      <c r="F110" s="2"/>
      <c r="H110" s="6" t="str">
        <f aca="false">IF(G110&lt;&gt;0,G110*H$2/(100+H$2)," ")</f>
        <v> </v>
      </c>
      <c r="I110" s="6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A111" s="27"/>
      <c r="F111" s="2"/>
      <c r="H111" s="6" t="str">
        <f aca="false">IF(G111&lt;&gt;0,G111*H$2/(100+H$2)," ")</f>
        <v> </v>
      </c>
      <c r="I111" s="6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A112" s="27"/>
      <c r="F112" s="2"/>
      <c r="H112" s="6" t="str">
        <f aca="false">IF(G112&lt;&gt;0,G112*H$2/(100+H$2)," ")</f>
        <v> </v>
      </c>
      <c r="I112" s="6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A113" s="27"/>
      <c r="F113" s="2"/>
      <c r="H113" s="6" t="str">
        <f aca="false">IF(G113&lt;&gt;0,G113*H$2/(100+H$2)," ")</f>
        <v> </v>
      </c>
      <c r="I113" s="6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A114" s="27"/>
      <c r="F114" s="2"/>
      <c r="H114" s="6" t="str">
        <f aca="false">IF(G114&lt;&gt;0,G114*H$2/(100+H$2)," ")</f>
        <v> </v>
      </c>
      <c r="I114" s="6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A115" s="27"/>
      <c r="F115" s="2"/>
      <c r="H115" s="6" t="str">
        <f aca="false">IF(G115&lt;&gt;0,G115*H$2/(100+H$2)," ")</f>
        <v> </v>
      </c>
      <c r="I115" s="6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A116" s="27"/>
      <c r="F116" s="2"/>
      <c r="H116" s="6" t="str">
        <f aca="false">IF(G116&lt;&gt;0,G116*H$2/(100+H$2)," ")</f>
        <v> </v>
      </c>
      <c r="I116" s="6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A117" s="27"/>
      <c r="F117" s="2"/>
      <c r="H117" s="6" t="str">
        <f aca="false">IF(G117&lt;&gt;0,G117*H$2/(100+H$2)," ")</f>
        <v> </v>
      </c>
      <c r="I117" s="6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A118" s="27"/>
      <c r="F118" s="2"/>
      <c r="H118" s="6" t="str">
        <f aca="false">IF(G118&lt;&gt;0,G118*H$2/(100+H$2)," ")</f>
        <v> </v>
      </c>
      <c r="I118" s="6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A119" s="27"/>
      <c r="F119" s="2"/>
      <c r="H119" s="6" t="str">
        <f aca="false">IF(G119&lt;&gt;0,G119*H$2/(100+H$2)," ")</f>
        <v> </v>
      </c>
      <c r="I119" s="6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A120" s="27"/>
      <c r="F120" s="2"/>
      <c r="H120" s="6" t="str">
        <f aca="false">IF(G120&lt;&gt;0,G120*H$2/(100+H$2)," ")</f>
        <v> </v>
      </c>
      <c r="I120" s="6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A121" s="27"/>
      <c r="F121" s="2"/>
      <c r="H121" s="6" t="str">
        <f aca="false">IF(G121&lt;&gt;0,G121*H$2/(100+H$2)," ")</f>
        <v> </v>
      </c>
      <c r="I121" s="6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A122" s="27"/>
      <c r="F122" s="2"/>
      <c r="H122" s="6" t="str">
        <f aca="false">IF(G122&lt;&gt;0,G122*H$2/(100+H$2)," ")</f>
        <v> </v>
      </c>
      <c r="I122" s="6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A123" s="27"/>
      <c r="F123" s="2"/>
      <c r="H123" s="6" t="str">
        <f aca="false">IF(G123&lt;&gt;0,G123*H$2/(100+H$2)," ")</f>
        <v> </v>
      </c>
      <c r="I123" s="6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A124" s="27"/>
      <c r="F124" s="2"/>
      <c r="H124" s="6" t="str">
        <f aca="false">IF(G124&lt;&gt;0,G124*H$2/(100+H$2)," ")</f>
        <v> </v>
      </c>
      <c r="I124" s="6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A125" s="27"/>
      <c r="F125" s="2"/>
      <c r="H125" s="6" t="str">
        <f aca="false">IF(G125&lt;&gt;0,G125*H$2/(100+H$2)," ")</f>
        <v> </v>
      </c>
      <c r="I125" s="6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A126" s="27"/>
      <c r="F126" s="2"/>
      <c r="H126" s="6" t="str">
        <f aca="false">IF(G126&lt;&gt;0,G126*H$2/(100+H$2)," ")</f>
        <v> </v>
      </c>
      <c r="I126" s="6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A127" s="27"/>
      <c r="F127" s="2"/>
      <c r="H127" s="6" t="str">
        <f aca="false">IF(G127&lt;&gt;0,G127*H$2/(100+H$2)," ")</f>
        <v> </v>
      </c>
      <c r="I127" s="6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A128" s="27"/>
      <c r="F128" s="2"/>
      <c r="H128" s="6" t="str">
        <f aca="false">IF(G128&lt;&gt;0,G128*H$2/(100+H$2)," ")</f>
        <v> </v>
      </c>
      <c r="I128" s="6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A129" s="27"/>
      <c r="F129" s="2"/>
      <c r="H129" s="6" t="str">
        <f aca="false">IF(G129&lt;&gt;0,G129*H$2/(100+H$2)," ")</f>
        <v> </v>
      </c>
      <c r="I129" s="6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A130" s="27"/>
      <c r="F130" s="2"/>
      <c r="H130" s="6" t="str">
        <f aca="false">IF(G130&lt;&gt;0,G130*H$2/(100+H$2)," ")</f>
        <v> </v>
      </c>
      <c r="I130" s="6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A131" s="27"/>
      <c r="F131" s="2"/>
      <c r="H131" s="6" t="str">
        <f aca="false">IF(G131&lt;&gt;0,G131*H$2/(100+H$2)," ")</f>
        <v> </v>
      </c>
      <c r="I131" s="6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A132" s="27"/>
      <c r="F132" s="2"/>
      <c r="H132" s="6" t="str">
        <f aca="false">IF(G132&lt;&gt;0,G132*H$2/(100+H$2)," ")</f>
        <v> </v>
      </c>
      <c r="I132" s="6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A133" s="27"/>
      <c r="F133" s="2"/>
      <c r="H133" s="6" t="str">
        <f aca="false">IF(G133&lt;&gt;0,G133*H$2/(100+H$2)," ")</f>
        <v> </v>
      </c>
      <c r="I133" s="6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A134" s="27"/>
      <c r="F134" s="2"/>
      <c r="H134" s="6" t="str">
        <f aca="false">IF(G134&lt;&gt;0,G134*H$2/(100+H$2)," ")</f>
        <v> </v>
      </c>
      <c r="I134" s="6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A135" s="27"/>
      <c r="F135" s="2"/>
      <c r="H135" s="6" t="str">
        <f aca="false">IF(G135&lt;&gt;0,G135*H$2/(100+H$2)," ")</f>
        <v> </v>
      </c>
      <c r="I135" s="6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A136" s="27"/>
      <c r="F136" s="2"/>
      <c r="H136" s="6" t="str">
        <f aca="false">IF(G136&lt;&gt;0,G136*H$2/(100+H$2)," ")</f>
        <v> </v>
      </c>
      <c r="I136" s="6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A137" s="27"/>
      <c r="F137" s="2"/>
      <c r="H137" s="6" t="str">
        <f aca="false">IF(G137&lt;&gt;0,G137*H$2/(100+H$2)," ")</f>
        <v> </v>
      </c>
      <c r="I137" s="6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A138" s="27"/>
      <c r="F138" s="2"/>
      <c r="H138" s="6" t="str">
        <f aca="false">IF(G138&lt;&gt;0,G138*H$2/(100+H$2)," ")</f>
        <v> </v>
      </c>
      <c r="I138" s="6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A139" s="27"/>
      <c r="F139" s="2"/>
      <c r="H139" s="6" t="str">
        <f aca="false">IF(G139&lt;&gt;0,G139*H$2/(100+H$2)," ")</f>
        <v> </v>
      </c>
      <c r="I139" s="6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A140" s="27"/>
      <c r="F140" s="2"/>
      <c r="H140" s="6" t="str">
        <f aca="false">IF(G140&lt;&gt;0,G140*H$2/(100+H$2)," ")</f>
        <v> </v>
      </c>
      <c r="I140" s="6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A141" s="27"/>
      <c r="F141" s="2"/>
      <c r="H141" s="6" t="str">
        <f aca="false">IF(G141&lt;&gt;0,G141*H$2/(100+H$2)," ")</f>
        <v> </v>
      </c>
      <c r="I141" s="6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A142" s="27"/>
      <c r="F142" s="2"/>
      <c r="H142" s="6" t="str">
        <f aca="false">IF(G142&lt;&gt;0,G142*H$2/(100+H$2)," ")</f>
        <v> </v>
      </c>
      <c r="I142" s="6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A143" s="27"/>
      <c r="F143" s="2"/>
      <c r="H143" s="6" t="str">
        <f aca="false">IF(G143&lt;&gt;0,G143*H$2/(100+H$2)," ")</f>
        <v> </v>
      </c>
      <c r="I143" s="6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A144" s="27"/>
      <c r="F144" s="2"/>
      <c r="H144" s="6" t="str">
        <f aca="false">IF(G144&lt;&gt;0,G144*H$2/(100+H$2)," ")</f>
        <v> </v>
      </c>
      <c r="I144" s="6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A145" s="27"/>
      <c r="F145" s="2"/>
      <c r="H145" s="6" t="str">
        <f aca="false">IF(G145&lt;&gt;0,G145*H$2/(100+H$2)," ")</f>
        <v> </v>
      </c>
      <c r="I145" s="6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A146" s="27"/>
      <c r="F146" s="2"/>
      <c r="H146" s="6" t="str">
        <f aca="false">IF(G146&lt;&gt;0,G146*H$2/(100+H$2)," ")</f>
        <v> </v>
      </c>
      <c r="I146" s="6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A147" s="27"/>
      <c r="F147" s="2"/>
      <c r="H147" s="6" t="str">
        <f aca="false">IF(G147&lt;&gt;0,G147*H$2/(100+H$2)," ")</f>
        <v> </v>
      </c>
      <c r="I147" s="6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A148" s="27"/>
      <c r="F148" s="2"/>
      <c r="H148" s="6" t="str">
        <f aca="false">IF(G148&lt;&gt;0,G148*H$2/(100+H$2)," ")</f>
        <v> </v>
      </c>
      <c r="I148" s="6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A149" s="27"/>
      <c r="F149" s="2"/>
      <c r="H149" s="6" t="str">
        <f aca="false">IF(G149&lt;&gt;0,G149*H$2/(100+H$2)," ")</f>
        <v> </v>
      </c>
      <c r="I149" s="6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A150" s="27"/>
      <c r="F150" s="2"/>
      <c r="H150" s="6" t="str">
        <f aca="false">IF(G150&lt;&gt;0,G150*H$2/(100+H$2)," ")</f>
        <v> </v>
      </c>
      <c r="I150" s="6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A151" s="27"/>
      <c r="F151" s="2"/>
      <c r="H151" s="6" t="str">
        <f aca="false">IF(G151&lt;&gt;0,G151*H$2/(100+H$2)," ")</f>
        <v> </v>
      </c>
      <c r="I151" s="6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A152" s="27"/>
      <c r="F152" s="2"/>
      <c r="H152" s="6" t="str">
        <f aca="false">IF(G152&lt;&gt;0,G152*H$2/(100+H$2)," ")</f>
        <v> </v>
      </c>
      <c r="I152" s="6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A153" s="27"/>
      <c r="F153" s="2"/>
      <c r="H153" s="6" t="str">
        <f aca="false">IF(G153&lt;&gt;0,G153*H$2/(100+H$2)," ")</f>
        <v> </v>
      </c>
      <c r="I153" s="6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A154" s="27"/>
      <c r="F154" s="2"/>
      <c r="H154" s="6" t="str">
        <f aca="false">IF(G154&lt;&gt;0,G154*H$2/(100+H$2)," ")</f>
        <v> </v>
      </c>
      <c r="I154" s="6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A155" s="27"/>
      <c r="F155" s="2"/>
      <c r="H155" s="6" t="str">
        <f aca="false">IF(G155&lt;&gt;0,G155*H$2/(100+H$2)," ")</f>
        <v> </v>
      </c>
      <c r="I155" s="6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A156" s="27"/>
      <c r="F156" s="2"/>
      <c r="H156" s="6" t="str">
        <f aca="false">IF(G156&lt;&gt;0,G156*H$2/(100+H$2)," ")</f>
        <v> </v>
      </c>
      <c r="I156" s="6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A157" s="27"/>
      <c r="F157" s="2"/>
      <c r="H157" s="6" t="str">
        <f aca="false">IF(G157&lt;&gt;0,G157*H$2/(100+H$2)," ")</f>
        <v> </v>
      </c>
      <c r="I157" s="6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A158" s="27"/>
      <c r="F158" s="2"/>
      <c r="H158" s="6" t="str">
        <f aca="false">IF(G158&lt;&gt;0,G158*H$2/(100+H$2)," ")</f>
        <v> </v>
      </c>
      <c r="I158" s="6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A159" s="27"/>
      <c r="F159" s="2"/>
      <c r="H159" s="6" t="str">
        <f aca="false">IF(G159&lt;&gt;0,G159*H$2/(100+H$2)," ")</f>
        <v> </v>
      </c>
      <c r="I159" s="6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A160" s="27"/>
      <c r="F160" s="2"/>
      <c r="H160" s="6" t="str">
        <f aca="false">IF(G160&lt;&gt;0,G160*H$2/(100+H$2)," ")</f>
        <v> </v>
      </c>
      <c r="I160" s="6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A161" s="27"/>
      <c r="F161" s="2"/>
      <c r="H161" s="6" t="str">
        <f aca="false">IF(G161&lt;&gt;0,G161*H$2/(100+H$2)," ")</f>
        <v> </v>
      </c>
      <c r="I161" s="6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A162" s="27"/>
      <c r="F162" s="2"/>
      <c r="H162" s="6" t="str">
        <f aca="false">IF(G162&lt;&gt;0,G162*H$2/(100+H$2)," ")</f>
        <v> </v>
      </c>
      <c r="I162" s="6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A163" s="27"/>
      <c r="F163" s="2"/>
      <c r="H163" s="6" t="str">
        <f aca="false">IF(G163&lt;&gt;0,G163*H$2/(100+H$2)," ")</f>
        <v> </v>
      </c>
      <c r="I163" s="6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A164" s="27"/>
      <c r="F164" s="2"/>
      <c r="H164" s="6" t="str">
        <f aca="false">IF(G164&lt;&gt;0,G164*H$2/(100+H$2)," ")</f>
        <v> </v>
      </c>
      <c r="I164" s="6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A165" s="27"/>
      <c r="F165" s="2"/>
      <c r="H165" s="6" t="str">
        <f aca="false">IF(G165&lt;&gt;0,G165*H$2/(100+H$2)," ")</f>
        <v> </v>
      </c>
      <c r="I165" s="6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A166" s="27"/>
      <c r="F166" s="2"/>
      <c r="H166" s="6" t="str">
        <f aca="false">IF(G166&lt;&gt;0,G166*H$2/(100+H$2)," ")</f>
        <v> </v>
      </c>
      <c r="I166" s="6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A167" s="27"/>
      <c r="F167" s="2"/>
      <c r="H167" s="6" t="str">
        <f aca="false">IF(G167&lt;&gt;0,G167*H$2/(100+H$2)," ")</f>
        <v> </v>
      </c>
      <c r="I167" s="6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A168" s="27"/>
      <c r="F168" s="2"/>
      <c r="H168" s="6" t="str">
        <f aca="false">IF(G168&lt;&gt;0,G168*H$2/(100+H$2)," ")</f>
        <v> </v>
      </c>
      <c r="I168" s="6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A169" s="27"/>
      <c r="F169" s="2"/>
      <c r="H169" s="6" t="str">
        <f aca="false">IF(G169&lt;&gt;0,G169*H$2/(100+H$2)," ")</f>
        <v> </v>
      </c>
      <c r="I169" s="6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A170" s="27"/>
      <c r="F170" s="2"/>
      <c r="H170" s="6" t="str">
        <f aca="false">IF(G170&lt;&gt;0,G170*H$2/(100+H$2)," ")</f>
        <v> </v>
      </c>
      <c r="I170" s="6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A171" s="27"/>
      <c r="F171" s="2"/>
      <c r="H171" s="6" t="str">
        <f aca="false">IF(G171&lt;&gt;0,G171*H$2/(100+H$2)," ")</f>
        <v> </v>
      </c>
      <c r="I171" s="6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A172" s="27"/>
      <c r="F172" s="2"/>
      <c r="H172" s="6" t="str">
        <f aca="false">IF(G172&lt;&gt;0,G172*H$2/(100+H$2)," ")</f>
        <v> </v>
      </c>
      <c r="I172" s="6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A173" s="27"/>
      <c r="F173" s="2"/>
      <c r="H173" s="6" t="str">
        <f aca="false">IF(G173&lt;&gt;0,G173*H$2/(100+H$2)," ")</f>
        <v> </v>
      </c>
      <c r="I173" s="6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A174" s="27"/>
      <c r="F174" s="2"/>
      <c r="H174" s="6" t="str">
        <f aca="false">IF(G174&lt;&gt;0,G174*H$2/(100+H$2)," ")</f>
        <v> </v>
      </c>
      <c r="I174" s="6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A175" s="27"/>
      <c r="F175" s="2"/>
      <c r="H175" s="6" t="str">
        <f aca="false">IF(G175&lt;&gt;0,G175*H$2/(100+H$2)," ")</f>
        <v> </v>
      </c>
      <c r="I175" s="6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A176" s="27"/>
      <c r="F176" s="2"/>
      <c r="H176" s="6" t="str">
        <f aca="false">IF(G176&lt;&gt;0,G176*H$2/(100+H$2)," ")</f>
        <v> </v>
      </c>
      <c r="I176" s="6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A177" s="27"/>
      <c r="F177" s="2"/>
      <c r="H177" s="6" t="str">
        <f aca="false">IF(G177&lt;&gt;0,G177*H$2/(100+H$2)," ")</f>
        <v> </v>
      </c>
      <c r="I177" s="6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A178" s="27"/>
      <c r="F178" s="2"/>
      <c r="H178" s="6" t="str">
        <f aca="false">IF(G178&lt;&gt;0,G178*H$2/(100+H$2)," ")</f>
        <v> </v>
      </c>
      <c r="I178" s="6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A179" s="27"/>
      <c r="F179" s="2"/>
      <c r="H179" s="6" t="str">
        <f aca="false">IF(G179&lt;&gt;0,G179*H$2/(100+H$2)," ")</f>
        <v> </v>
      </c>
      <c r="I179" s="6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A180" s="27"/>
      <c r="F180" s="2"/>
      <c r="H180" s="6" t="str">
        <f aca="false">IF(G180&lt;&gt;0,G180*H$2/(100+H$2)," ")</f>
        <v> </v>
      </c>
      <c r="I180" s="6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A181" s="27"/>
      <c r="F181" s="2"/>
      <c r="H181" s="6" t="str">
        <f aca="false">IF(G181&lt;&gt;0,G181*H$2/(100+H$2)," ")</f>
        <v> </v>
      </c>
      <c r="I181" s="6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A182" s="27"/>
      <c r="F182" s="2"/>
      <c r="H182" s="6" t="str">
        <f aca="false">IF(G182&lt;&gt;0,G182*H$2/(100+H$2)," ")</f>
        <v> </v>
      </c>
      <c r="I182" s="6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A183" s="27"/>
      <c r="F183" s="2"/>
      <c r="H183" s="6" t="str">
        <f aca="false">IF(G183&lt;&gt;0,G183*H$2/(100+H$2)," ")</f>
        <v> </v>
      </c>
      <c r="I183" s="6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A184" s="27"/>
      <c r="F184" s="2"/>
      <c r="H184" s="6" t="str">
        <f aca="false">IF(G184&lt;&gt;0,G184*H$2/(100+H$2)," ")</f>
        <v> </v>
      </c>
      <c r="I184" s="6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A185" s="27"/>
      <c r="F185" s="2"/>
      <c r="H185" s="6" t="str">
        <f aca="false">IF(G185&lt;&gt;0,G185*H$2/(100+H$2)," ")</f>
        <v> </v>
      </c>
      <c r="I185" s="6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A186" s="27"/>
      <c r="F186" s="2"/>
      <c r="H186" s="6" t="str">
        <f aca="false">IF(G186&lt;&gt;0,G186*H$2/(100+H$2)," ")</f>
        <v> </v>
      </c>
      <c r="I186" s="6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A187" s="27"/>
      <c r="F187" s="2"/>
      <c r="H187" s="6" t="str">
        <f aca="false">IF(G187&lt;&gt;0,G187*H$2/(100+H$2)," ")</f>
        <v> </v>
      </c>
      <c r="I187" s="6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A188" s="27"/>
      <c r="F188" s="2"/>
      <c r="H188" s="6" t="str">
        <f aca="false">IF(G188&lt;&gt;0,G188*H$2/(100+H$2)," ")</f>
        <v> </v>
      </c>
      <c r="I188" s="6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A189" s="27"/>
      <c r="F189" s="2"/>
      <c r="H189" s="6" t="str">
        <f aca="false">IF(G189&lt;&gt;0,G189*H$2/(100+H$2)," ")</f>
        <v> </v>
      </c>
      <c r="I189" s="6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A190" s="27"/>
      <c r="F190" s="2"/>
      <c r="H190" s="6" t="str">
        <f aca="false">IF(G190&lt;&gt;0,G190*H$2/(100+H$2)," ")</f>
        <v> </v>
      </c>
      <c r="I190" s="6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A191" s="27"/>
      <c r="F191" s="2"/>
      <c r="H191" s="6" t="str">
        <f aca="false">IF(G191&lt;&gt;0,G191*H$2/(100+H$2)," ")</f>
        <v> </v>
      </c>
      <c r="I191" s="6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A192" s="27"/>
      <c r="F192" s="2"/>
      <c r="H192" s="6" t="str">
        <f aca="false">IF(G192&lt;&gt;0,G192*H$2/(100+H$2)," ")</f>
        <v> </v>
      </c>
      <c r="I192" s="6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A193" s="27"/>
      <c r="F193" s="2"/>
      <c r="H193" s="6" t="str">
        <f aca="false">IF(G193&lt;&gt;0,G193*H$2/(100+H$2)," ")</f>
        <v> </v>
      </c>
      <c r="I193" s="6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A194" s="27"/>
      <c r="F194" s="2"/>
      <c r="H194" s="6" t="str">
        <f aca="false">IF(G194&lt;&gt;0,G194*H$2/(100+H$2)," ")</f>
        <v> </v>
      </c>
      <c r="I194" s="6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A195" s="27"/>
      <c r="F195" s="2"/>
      <c r="H195" s="6" t="str">
        <f aca="false">IF(G195&lt;&gt;0,G195*H$2/(100+H$2)," ")</f>
        <v> </v>
      </c>
      <c r="I195" s="6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A196" s="27"/>
      <c r="F196" s="2"/>
      <c r="H196" s="6" t="str">
        <f aca="false">IF(G196&lt;&gt;0,G196*H$2/(100+H$2)," ")</f>
        <v> </v>
      </c>
      <c r="I196" s="6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A197" s="27"/>
      <c r="F197" s="2"/>
      <c r="H197" s="6" t="str">
        <f aca="false">IF(G197&lt;&gt;0,G197*H$2/(100+H$2)," ")</f>
        <v> </v>
      </c>
      <c r="I197" s="6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A198" s="27"/>
      <c r="F198" s="2"/>
      <c r="H198" s="6" t="str">
        <f aca="false">IF(G198&lt;&gt;0,G198*H$2/(100+H$2)," ")</f>
        <v> </v>
      </c>
      <c r="I198" s="6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A199" s="27"/>
      <c r="F199" s="2"/>
      <c r="H199" s="6" t="str">
        <f aca="false">IF(G199&lt;&gt;0,G199*H$2/(100+H$2)," ")</f>
        <v> </v>
      </c>
      <c r="I199" s="6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A200" s="27"/>
      <c r="F200" s="2"/>
      <c r="H200" s="6" t="str">
        <f aca="false">IF(G200&lt;&gt;0,G200*H$2/(100+H$2)," ")</f>
        <v> </v>
      </c>
      <c r="I200" s="6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A201" s="27"/>
      <c r="F201" s="2"/>
      <c r="H201" s="6" t="str">
        <f aca="false">IF(G201&lt;&gt;0,G201*H$2/(100+H$2)," ")</f>
        <v> </v>
      </c>
      <c r="I201" s="6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A202" s="27"/>
      <c r="F202" s="2"/>
      <c r="H202" s="6" t="str">
        <f aca="false">IF(G202&lt;&gt;0,G202*H$2/(100+H$2)," ")</f>
        <v> </v>
      </c>
      <c r="I202" s="6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A203" s="27"/>
      <c r="F203" s="2"/>
      <c r="H203" s="6" t="str">
        <f aca="false">IF(G203&lt;&gt;0,G203*H$2/(100+H$2)," ")</f>
        <v> </v>
      </c>
      <c r="I203" s="6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A204" s="27"/>
      <c r="F204" s="2"/>
      <c r="H204" s="6" t="str">
        <f aca="false">IF(G204&lt;&gt;0,G204*H$2/(100+H$2)," ")</f>
        <v> </v>
      </c>
      <c r="I204" s="6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A205" s="27"/>
      <c r="F205" s="2"/>
      <c r="H205" s="6" t="str">
        <f aca="false">IF(G205&lt;&gt;0,G205*H$2/(100+H$2)," ")</f>
        <v> </v>
      </c>
      <c r="I205" s="6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A206" s="27"/>
      <c r="F206" s="2"/>
      <c r="H206" s="6" t="str">
        <f aca="false">IF(G206&lt;&gt;0,G206*H$2/(100+H$2)," ")</f>
        <v> </v>
      </c>
      <c r="I206" s="6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A207" s="27"/>
      <c r="F207" s="2"/>
      <c r="H207" s="6" t="str">
        <f aca="false">IF(G207&lt;&gt;0,G207*H$2/(100+H$2)," ")</f>
        <v> </v>
      </c>
      <c r="I207" s="6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A208" s="27"/>
      <c r="F208" s="2"/>
      <c r="H208" s="6" t="str">
        <f aca="false">IF(G208&lt;&gt;0,G208*H$2/(100+H$2)," ")</f>
        <v> </v>
      </c>
      <c r="I208" s="6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A209" s="27"/>
      <c r="F209" s="2"/>
      <c r="H209" s="6" t="str">
        <f aca="false">IF(G209&lt;&gt;0,G209*H$2/(100+H$2)," ")</f>
        <v> </v>
      </c>
      <c r="I209" s="6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A210" s="27"/>
      <c r="F210" s="2"/>
      <c r="H210" s="6" t="str">
        <f aca="false">IF(G210&lt;&gt;0,G210*H$2/(100+H$2)," ")</f>
        <v> </v>
      </c>
      <c r="I210" s="6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A211" s="27"/>
      <c r="F211" s="2"/>
      <c r="H211" s="6" t="str">
        <f aca="false">IF(G211&lt;&gt;0,G211*H$2/(100+H$2)," ")</f>
        <v> </v>
      </c>
      <c r="I211" s="6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A212" s="27"/>
      <c r="F212" s="2"/>
      <c r="H212" s="6" t="str">
        <f aca="false">IF(G212&lt;&gt;0,G212*H$2/(100+H$2)," ")</f>
        <v> </v>
      </c>
      <c r="I212" s="6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A213" s="27"/>
      <c r="F213" s="2"/>
      <c r="H213" s="6" t="str">
        <f aca="false">IF(G213&lt;&gt;0,G213*H$2/(100+H$2)," ")</f>
        <v> </v>
      </c>
      <c r="I213" s="6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A214" s="27"/>
      <c r="F214" s="2"/>
      <c r="H214" s="6" t="str">
        <f aca="false">IF(G214&lt;&gt;0,G214*H$2/(100+H$2)," ")</f>
        <v> </v>
      </c>
      <c r="I214" s="6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A215" s="27"/>
      <c r="F215" s="2"/>
      <c r="H215" s="6" t="str">
        <f aca="false">IF(G215&lt;&gt;0,G215*H$2/(100+H$2)," ")</f>
        <v> </v>
      </c>
      <c r="I215" s="6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A216" s="27"/>
      <c r="F216" s="2"/>
      <c r="H216" s="6" t="str">
        <f aca="false">IF(G216&lt;&gt;0,G216*H$2/(100+H$2)," ")</f>
        <v> </v>
      </c>
      <c r="I216" s="6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A217" s="27"/>
      <c r="F217" s="2"/>
      <c r="H217" s="6" t="str">
        <f aca="false">IF(G217&lt;&gt;0,G217*H$2/(100+H$2)," ")</f>
        <v> </v>
      </c>
      <c r="I217" s="6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A218" s="27"/>
      <c r="F218" s="2"/>
      <c r="H218" s="6" t="str">
        <f aca="false">IF(G218&lt;&gt;0,G218*H$2/(100+H$2)," ")</f>
        <v> </v>
      </c>
      <c r="I218" s="6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A219" s="27"/>
      <c r="F219" s="2"/>
      <c r="H219" s="6" t="str">
        <f aca="false">IF(G219&lt;&gt;0,G219*H$2/(100+H$2)," ")</f>
        <v> </v>
      </c>
      <c r="I219" s="6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A220" s="27"/>
      <c r="F220" s="2"/>
      <c r="H220" s="6" t="str">
        <f aca="false">IF(G220&lt;&gt;0,G220*H$2/(100+H$2)," ")</f>
        <v> </v>
      </c>
      <c r="I220" s="6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A221" s="27"/>
      <c r="F221" s="2"/>
      <c r="H221" s="6" t="str">
        <f aca="false">IF(G221&lt;&gt;0,G221*H$2/(100+H$2)," ")</f>
        <v> </v>
      </c>
      <c r="I221" s="6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A222" s="27"/>
      <c r="F222" s="2"/>
      <c r="H222" s="6" t="str">
        <f aca="false">IF(G222&lt;&gt;0,G222*H$2/(100+H$2)," ")</f>
        <v> </v>
      </c>
      <c r="I222" s="6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A223" s="27"/>
      <c r="F223" s="2"/>
      <c r="H223" s="6" t="str">
        <f aca="false">IF(G223&lt;&gt;0,G223*H$2/(100+H$2)," ")</f>
        <v> </v>
      </c>
      <c r="I223" s="6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A224" s="27"/>
      <c r="F224" s="2"/>
      <c r="H224" s="6" t="str">
        <f aca="false">IF(G224&lt;&gt;0,G224*H$2/(100+H$2)," ")</f>
        <v> </v>
      </c>
      <c r="I224" s="6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A225" s="27"/>
      <c r="F225" s="2"/>
      <c r="H225" s="6" t="str">
        <f aca="false">IF(G225&lt;&gt;0,G225*H$2/(100+H$2)," ")</f>
        <v> </v>
      </c>
      <c r="I225" s="6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A226" s="27"/>
      <c r="F226" s="2"/>
      <c r="H226" s="6" t="str">
        <f aca="false">IF(G226&lt;&gt;0,G226*H$2/(100+H$2)," ")</f>
        <v> </v>
      </c>
      <c r="I226" s="6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A227" s="27"/>
      <c r="F227" s="2"/>
      <c r="H227" s="6" t="str">
        <f aca="false">IF(G227&lt;&gt;0,G227*H$2/(100+H$2)," ")</f>
        <v> </v>
      </c>
      <c r="I227" s="6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A228" s="27"/>
      <c r="F228" s="2"/>
      <c r="H228" s="6" t="str">
        <f aca="false">IF(G228&lt;&gt;0,G228*H$2/(100+H$2)," ")</f>
        <v> </v>
      </c>
      <c r="I228" s="6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A229" s="27"/>
      <c r="F229" s="2"/>
      <c r="H229" s="6" t="str">
        <f aca="false">IF(G229&lt;&gt;0,G229*H$2/(100+H$2)," ")</f>
        <v> </v>
      </c>
      <c r="I229" s="6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A230" s="27"/>
      <c r="F230" s="2"/>
      <c r="H230" s="6" t="str">
        <f aca="false">IF(G230&lt;&gt;0,G230*H$2/(100+H$2)," ")</f>
        <v> </v>
      </c>
      <c r="I230" s="6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A231" s="27"/>
      <c r="F231" s="2"/>
      <c r="H231" s="6" t="str">
        <f aca="false">IF(G231&lt;&gt;0,G231*H$2/(100+H$2)," ")</f>
        <v> </v>
      </c>
      <c r="I231" s="6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A232" s="27"/>
      <c r="F232" s="2"/>
      <c r="H232" s="6" t="str">
        <f aca="false">IF(G232&lt;&gt;0,G232*H$2/(100+H$2)," ")</f>
        <v> </v>
      </c>
      <c r="I232" s="6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A233" s="27"/>
      <c r="F233" s="2"/>
      <c r="H233" s="6" t="str">
        <f aca="false">IF(G233&lt;&gt;0,G233*H$2/(100+H$2)," ")</f>
        <v> </v>
      </c>
      <c r="I233" s="6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A234" s="27"/>
      <c r="F234" s="2"/>
      <c r="H234" s="6" t="str">
        <f aca="false">IF(G234&lt;&gt;0,G234*H$2/(100+H$2)," ")</f>
        <v> </v>
      </c>
      <c r="I234" s="6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A235" s="27"/>
      <c r="F235" s="2"/>
      <c r="H235" s="6" t="str">
        <f aca="false">IF(G235&lt;&gt;0,G235*H$2/(100+H$2)," ")</f>
        <v> </v>
      </c>
      <c r="I235" s="6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A236" s="27"/>
      <c r="F236" s="2"/>
      <c r="H236" s="6" t="str">
        <f aca="false">IF(G236&lt;&gt;0,G236*H$2/(100+H$2)," ")</f>
        <v> </v>
      </c>
      <c r="I236" s="6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A237" s="27"/>
      <c r="F237" s="2"/>
      <c r="H237" s="6" t="str">
        <f aca="false">IF(G237&lt;&gt;0,G237*H$2/(100+H$2)," ")</f>
        <v> </v>
      </c>
      <c r="I237" s="6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A238" s="27"/>
      <c r="F238" s="2"/>
      <c r="H238" s="6" t="str">
        <f aca="false">IF(G238&lt;&gt;0,G238*H$2/(100+H$2)," ")</f>
        <v> </v>
      </c>
      <c r="I238" s="6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A239" s="27"/>
      <c r="F239" s="2"/>
      <c r="H239" s="6" t="str">
        <f aca="false">IF(G239&lt;&gt;0,G239*H$2/(100+H$2)," ")</f>
        <v> </v>
      </c>
      <c r="I239" s="6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A240" s="27"/>
      <c r="F240" s="2"/>
      <c r="H240" s="6" t="str">
        <f aca="false">IF(G240&lt;&gt;0,G240*H$2/(100+H$2)," ")</f>
        <v> </v>
      </c>
      <c r="I240" s="6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A241" s="27"/>
      <c r="F241" s="2"/>
      <c r="H241" s="6" t="str">
        <f aca="false">IF(G241&lt;&gt;0,G241*H$2/(100+H$2)," ")</f>
        <v> </v>
      </c>
      <c r="I241" s="6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A242" s="27"/>
      <c r="F242" s="2"/>
      <c r="H242" s="6" t="str">
        <f aca="false">IF(G242&lt;&gt;0,G242*H$2/(100+H$2)," ")</f>
        <v> </v>
      </c>
      <c r="I242" s="6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A243" s="27"/>
      <c r="F243" s="2"/>
      <c r="H243" s="6" t="str">
        <f aca="false">IF(G243&lt;&gt;0,G243*H$2/(100+H$2)," ")</f>
        <v> </v>
      </c>
      <c r="I243" s="6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A244" s="27"/>
      <c r="F244" s="2"/>
      <c r="H244" s="6" t="str">
        <f aca="false">IF(G244&lt;&gt;0,G244*H$2/(100+H$2)," ")</f>
        <v> </v>
      </c>
      <c r="I244" s="6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A245" s="27"/>
      <c r="F245" s="2"/>
      <c r="H245" s="6" t="str">
        <f aca="false">IF(G245&lt;&gt;0,G245*H$2/(100+H$2)," ")</f>
        <v> </v>
      </c>
      <c r="I245" s="6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A246" s="27"/>
      <c r="F246" s="2"/>
      <c r="H246" s="6" t="str">
        <f aca="false">IF(G246&lt;&gt;0,G246*H$2/(100+H$2)," ")</f>
        <v> </v>
      </c>
      <c r="I246" s="6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A247" s="27"/>
      <c r="F247" s="2"/>
      <c r="H247" s="6" t="str">
        <f aca="false">IF(G247&lt;&gt;0,G247*H$2/(100+H$2)," ")</f>
        <v> </v>
      </c>
      <c r="I247" s="6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A248" s="27"/>
      <c r="F248" s="2"/>
      <c r="H248" s="6" t="str">
        <f aca="false">IF(G248&lt;&gt;0,G248*H$2/(100+H$2)," ")</f>
        <v> </v>
      </c>
      <c r="I248" s="6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A249" s="27"/>
      <c r="F249" s="2"/>
      <c r="H249" s="6" t="str">
        <f aca="false">IF(G249&lt;&gt;0,G249*H$2/(100+H$2)," ")</f>
        <v> </v>
      </c>
      <c r="I249" s="6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A250" s="27"/>
      <c r="F250" s="2"/>
      <c r="H250" s="6" t="str">
        <f aca="false">IF(G250&lt;&gt;0,G250*H$2/(100+H$2)," ")</f>
        <v> </v>
      </c>
      <c r="I250" s="6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A251" s="27"/>
      <c r="F251" s="2"/>
      <c r="H251" s="6" t="str">
        <f aca="false">IF(G251&lt;&gt;0,G251*H$2/(100+H$2)," ")</f>
        <v> </v>
      </c>
      <c r="I251" s="6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A252" s="27"/>
      <c r="F252" s="2"/>
      <c r="H252" s="6" t="str">
        <f aca="false">IF(G252&lt;&gt;0,G252*H$2/(100+H$2)," ")</f>
        <v> </v>
      </c>
      <c r="I252" s="6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A253" s="27"/>
      <c r="F253" s="2"/>
      <c r="H253" s="6" t="str">
        <f aca="false">IF(G253&lt;&gt;0,G253*H$2/(100+H$2)," ")</f>
        <v> </v>
      </c>
      <c r="I253" s="6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A254" s="27"/>
      <c r="F254" s="2"/>
      <c r="H254" s="6" t="str">
        <f aca="false">IF(G254&lt;&gt;0,G254*H$2/(100+H$2)," ")</f>
        <v> </v>
      </c>
      <c r="I254" s="6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A255" s="27"/>
      <c r="F255" s="2"/>
      <c r="H255" s="6" t="str">
        <f aca="false">IF(G255&lt;&gt;0,G255*H$2/(100+H$2)," ")</f>
        <v> </v>
      </c>
      <c r="I255" s="6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A256" s="27"/>
      <c r="F256" s="2"/>
      <c r="H256" s="6" t="str">
        <f aca="false">IF(G256&lt;&gt;0,G256*H$2/(100+H$2)," ")</f>
        <v> </v>
      </c>
      <c r="I256" s="6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A257" s="27"/>
      <c r="F257" s="2"/>
      <c r="H257" s="6" t="str">
        <f aca="false">IF(G257&lt;&gt;0,G257*H$2/(100+H$2)," ")</f>
        <v> </v>
      </c>
      <c r="I257" s="6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A258" s="27"/>
      <c r="F258" s="2"/>
      <c r="H258" s="6" t="str">
        <f aca="false">IF(G258&lt;&gt;0,G258*H$2/(100+H$2)," ")</f>
        <v> </v>
      </c>
      <c r="I258" s="6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A259" s="27"/>
      <c r="F259" s="2"/>
      <c r="H259" s="6" t="str">
        <f aca="false">IF(G259&lt;&gt;0,G259*H$2/(100+H$2)," ")</f>
        <v> </v>
      </c>
      <c r="I259" s="6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A260" s="27"/>
      <c r="F260" s="2"/>
      <c r="H260" s="6" t="str">
        <f aca="false">IF(G260&lt;&gt;0,G260*H$2/(100+H$2)," ")</f>
        <v> </v>
      </c>
      <c r="I260" s="6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A261" s="27"/>
      <c r="F261" s="2"/>
      <c r="H261" s="6" t="str">
        <f aca="false">IF(G261&lt;&gt;0,G261*H$2/(100+H$2)," ")</f>
        <v> </v>
      </c>
      <c r="I261" s="6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A262" s="27"/>
      <c r="F262" s="2"/>
      <c r="H262" s="6" t="str">
        <f aca="false">IF(G262&lt;&gt;0,G262*H$2/(100+H$2)," ")</f>
        <v> </v>
      </c>
      <c r="I262" s="6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A263" s="27"/>
      <c r="F263" s="2"/>
      <c r="H263" s="6" t="str">
        <f aca="false">IF(G263&lt;&gt;0,G263*H$2/(100+H$2)," ")</f>
        <v> </v>
      </c>
      <c r="I263" s="6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A264" s="27"/>
      <c r="F264" s="2"/>
      <c r="H264" s="6" t="str">
        <f aca="false">IF(G264&lt;&gt;0,G264*H$2/(100+H$2)," ")</f>
        <v> </v>
      </c>
      <c r="I264" s="6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A265" s="27"/>
      <c r="F265" s="2"/>
      <c r="H265" s="6" t="str">
        <f aca="false">IF(G265&lt;&gt;0,G265*H$2/(100+H$2)," ")</f>
        <v> </v>
      </c>
      <c r="I265" s="6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A266" s="27"/>
      <c r="F266" s="2"/>
      <c r="H266" s="6" t="str">
        <f aca="false">IF(G266&lt;&gt;0,G266*H$2/(100+H$2)," ")</f>
        <v> </v>
      </c>
      <c r="I266" s="6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A267" s="27"/>
      <c r="F267" s="2"/>
      <c r="H267" s="6" t="str">
        <f aca="false">IF(G267&lt;&gt;0,G267*H$2/(100+H$2)," ")</f>
        <v> </v>
      </c>
      <c r="I267" s="6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A268" s="27"/>
      <c r="F268" s="2"/>
      <c r="H268" s="6" t="str">
        <f aca="false">IF(G268&lt;&gt;0,G268*H$2/(100+H$2)," ")</f>
        <v> </v>
      </c>
      <c r="I268" s="6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A269" s="27"/>
      <c r="F269" s="2"/>
      <c r="H269" s="6" t="str">
        <f aca="false">IF(G269&lt;&gt;0,G269*H$2/(100+H$2)," ")</f>
        <v> </v>
      </c>
      <c r="I269" s="6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A270" s="27"/>
      <c r="F270" s="2"/>
      <c r="H270" s="6" t="str">
        <f aca="false">IF(G270&lt;&gt;0,G270*H$2/(100+H$2)," ")</f>
        <v> </v>
      </c>
      <c r="I270" s="6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A271" s="27"/>
      <c r="F271" s="2"/>
      <c r="H271" s="6" t="str">
        <f aca="false">IF(G271&lt;&gt;0,G271*H$2/(100+H$2)," ")</f>
        <v> </v>
      </c>
      <c r="I271" s="6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A272" s="27"/>
      <c r="F272" s="2"/>
      <c r="H272" s="6" t="str">
        <f aca="false">IF(G272&lt;&gt;0,G272*H$2/(100+H$2)," ")</f>
        <v> </v>
      </c>
      <c r="I272" s="6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A273" s="27"/>
      <c r="F273" s="2"/>
      <c r="H273" s="6" t="str">
        <f aca="false">IF(G273&lt;&gt;0,G273*H$2/(100+H$2)," ")</f>
        <v> </v>
      </c>
      <c r="I273" s="6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A274" s="27"/>
      <c r="F274" s="2"/>
      <c r="H274" s="6" t="str">
        <f aca="false">IF(G274&lt;&gt;0,G274*H$2/(100+H$2)," ")</f>
        <v> </v>
      </c>
      <c r="I274" s="6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A275" s="27"/>
      <c r="F275" s="2"/>
      <c r="H275" s="6" t="str">
        <f aca="false">IF(G275&lt;&gt;0,G275*H$2/(100+H$2)," ")</f>
        <v> </v>
      </c>
      <c r="I275" s="6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A276" s="27"/>
      <c r="F276" s="2"/>
      <c r="H276" s="6" t="str">
        <f aca="false">IF(G276&lt;&gt;0,G276*H$2/(100+H$2)," ")</f>
        <v> </v>
      </c>
      <c r="I276" s="6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A277" s="27"/>
      <c r="F277" s="2"/>
      <c r="H277" s="6" t="str">
        <f aca="false">IF(G277&lt;&gt;0,G277*H$2/(100+H$2)," ")</f>
        <v> </v>
      </c>
      <c r="I277" s="6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A278" s="27"/>
      <c r="F278" s="2"/>
      <c r="H278" s="6" t="str">
        <f aca="false">IF(G278&lt;&gt;0,G278*H$2/(100+H$2)," ")</f>
        <v> </v>
      </c>
      <c r="I278" s="6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A279" s="27"/>
      <c r="F279" s="2"/>
      <c r="H279" s="6" t="str">
        <f aca="false">IF(G279&lt;&gt;0,G279*H$2/(100+H$2)," ")</f>
        <v> </v>
      </c>
      <c r="I279" s="6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A280" s="27"/>
      <c r="F280" s="2"/>
      <c r="H280" s="6" t="str">
        <f aca="false">IF(G280&lt;&gt;0,G280*H$2/(100+H$2)," ")</f>
        <v> </v>
      </c>
      <c r="I280" s="6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A281" s="27"/>
      <c r="F281" s="2"/>
      <c r="H281" s="6" t="str">
        <f aca="false">IF(G281&lt;&gt;0,G281*H$2/(100+H$2)," ")</f>
        <v> </v>
      </c>
      <c r="I281" s="6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A282" s="27"/>
      <c r="F282" s="2"/>
      <c r="H282" s="6" t="str">
        <f aca="false">IF(G282&lt;&gt;0,G282*H$2/(100+H$2)," ")</f>
        <v> </v>
      </c>
      <c r="I282" s="6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A283" s="27"/>
      <c r="F283" s="2"/>
      <c r="H283" s="6" t="str">
        <f aca="false">IF(G283&lt;&gt;0,G283*H$2/(100+H$2)," ")</f>
        <v> </v>
      </c>
      <c r="I283" s="6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A284" s="27"/>
      <c r="F284" s="2"/>
      <c r="H284" s="6" t="str">
        <f aca="false">IF(G284&lt;&gt;0,G284*H$2/(100+H$2)," ")</f>
        <v> </v>
      </c>
      <c r="I284" s="6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A285" s="27"/>
      <c r="F285" s="2"/>
      <c r="H285" s="6" t="str">
        <f aca="false">IF(G285&lt;&gt;0,G285*H$2/(100+H$2)," ")</f>
        <v> </v>
      </c>
      <c r="I285" s="6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A286" s="27"/>
      <c r="F286" s="2"/>
      <c r="H286" s="6" t="str">
        <f aca="false">IF(G286&lt;&gt;0,G286*H$2/(100+H$2)," ")</f>
        <v> </v>
      </c>
      <c r="I286" s="6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A287" s="27"/>
      <c r="F287" s="2"/>
      <c r="H287" s="6" t="str">
        <f aca="false">IF(G287&lt;&gt;0,G287*H$2/(100+H$2)," ")</f>
        <v> </v>
      </c>
      <c r="I287" s="6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A288" s="27"/>
      <c r="F288" s="2"/>
      <c r="H288" s="6" t="str">
        <f aca="false">IF(G288&lt;&gt;0,G288*H$2/(100+H$2)," ")</f>
        <v> </v>
      </c>
      <c r="I288" s="6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A289" s="27"/>
      <c r="F289" s="2"/>
      <c r="H289" s="6" t="str">
        <f aca="false">IF(G289&lt;&gt;0,G289*H$2/(100+H$2)," ")</f>
        <v> </v>
      </c>
      <c r="I289" s="6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A290" s="27"/>
      <c r="F290" s="2"/>
      <c r="H290" s="6" t="str">
        <f aca="false">IF(G290&lt;&gt;0,G290*H$2/(100+H$2)," ")</f>
        <v> </v>
      </c>
      <c r="I290" s="6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A291" s="27"/>
      <c r="F291" s="2"/>
      <c r="H291" s="6" t="str">
        <f aca="false">IF(G291&lt;&gt;0,G291*H$2/(100+H$2)," ")</f>
        <v> </v>
      </c>
      <c r="I291" s="6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A292" s="27"/>
      <c r="F292" s="2"/>
      <c r="H292" s="6" t="str">
        <f aca="false">IF(G292&lt;&gt;0,G292*H$2/(100+H$2)," ")</f>
        <v> </v>
      </c>
      <c r="I292" s="6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A293" s="27"/>
      <c r="F293" s="2"/>
      <c r="H293" s="6" t="str">
        <f aca="false">IF(G293&lt;&gt;0,G293*H$2/(100+H$2)," ")</f>
        <v> </v>
      </c>
      <c r="I293" s="6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A294" s="27"/>
      <c r="F294" s="2"/>
      <c r="H294" s="6" t="str">
        <f aca="false">IF(G294&lt;&gt;0,G294*H$2/(100+H$2)," ")</f>
        <v> </v>
      </c>
      <c r="I294" s="6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A295" s="27"/>
      <c r="F295" s="2"/>
      <c r="H295" s="6" t="str">
        <f aca="false">IF(G295&lt;&gt;0,G295*H$2/(100+H$2)," ")</f>
        <v> </v>
      </c>
      <c r="I295" s="6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A296" s="27"/>
      <c r="F296" s="2"/>
      <c r="H296" s="6" t="str">
        <f aca="false">IF(G296&lt;&gt;0,G296*H$2/(100+H$2)," ")</f>
        <v> </v>
      </c>
      <c r="I296" s="6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A297" s="27"/>
      <c r="F297" s="2"/>
      <c r="H297" s="6" t="str">
        <f aca="false">IF(G297&lt;&gt;0,G297*H$2/(100+H$2)," ")</f>
        <v> </v>
      </c>
      <c r="I297" s="6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A298" s="27"/>
      <c r="F298" s="2"/>
      <c r="H298" s="6" t="str">
        <f aca="false">IF(G298&lt;&gt;0,G298*H$2/(100+H$2)," ")</f>
        <v> </v>
      </c>
      <c r="I298" s="6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A299" s="27"/>
      <c r="F299" s="2"/>
      <c r="H299" s="6" t="str">
        <f aca="false">IF(G299&lt;&gt;0,G299*H$2/(100+H$2)," ")</f>
        <v> </v>
      </c>
      <c r="I299" s="6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/>
      <c r="G300" s="35"/>
      <c r="H300" s="35" t="str">
        <f aca="false">IF(G300&lt;&gt;0,G300*H$2/(100+H$2)," ")</f>
        <v> </v>
      </c>
      <c r="I300" s="35" t="str">
        <f aca="false">IF((G300&lt;&gt;0),G300-H300," ")</f>
        <v> </v>
      </c>
      <c r="J300" s="3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</row>
  </sheetData>
  <mergeCells count="15">
    <mergeCell ref="A1:A4"/>
    <mergeCell ref="B1:B4"/>
    <mergeCell ref="C1:C4"/>
    <mergeCell ref="D1:D4"/>
    <mergeCell ref="J1:J4"/>
    <mergeCell ref="K1:K4"/>
    <mergeCell ref="E2:E4"/>
    <mergeCell ref="F2:F4"/>
    <mergeCell ref="G2:G4"/>
    <mergeCell ref="I2:I4"/>
    <mergeCell ref="L2:N2"/>
    <mergeCell ref="H3:H4"/>
    <mergeCell ref="L3:L4"/>
    <mergeCell ref="M3:M4"/>
    <mergeCell ref="N3:N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19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157638888888889" top="0.590277777777778" bottom="0.590277777777778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120</v>
      </c>
      <c r="H1" s="13" t="n">
        <f aca="false">SUM(H5:H200)</f>
        <v>0</v>
      </c>
      <c r="I1" s="13" t="n">
        <f aca="false">SUM(I2:I200)</f>
        <v>120</v>
      </c>
      <c r="J1" s="15"/>
      <c r="K1" s="16" t="s">
        <v>4</v>
      </c>
      <c r="L1" s="17" t="n">
        <f aca="false">SUM(L5:L300)</f>
        <v>0</v>
      </c>
      <c r="M1" s="17" t="n">
        <f aca="false">SUM(M5:M200)</f>
        <v>120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120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</f>
        <v>0</v>
      </c>
      <c r="B2" s="44" t="s">
        <v>14</v>
      </c>
      <c r="C2" s="43" t="n">
        <f aca="false">0+D1+[1]Apr!$D$1</f>
        <v>0</v>
      </c>
      <c r="D2" s="45" t="s">
        <v>15</v>
      </c>
      <c r="E2" s="20" t="s">
        <v>5</v>
      </c>
      <c r="F2" s="44" t="s">
        <v>16</v>
      </c>
      <c r="G2" s="46" t="n">
        <f aca="false">IF(C2&lt;[2]Admin!$F$22,(C2-0)*[2]Admin!$G$21,(C2*[2]Admin!$G$21-(C2-[2]Admin!$F$21)*([2]Admin!$G$21-[2]Admin!$G$22)-0))</f>
        <v>0</v>
      </c>
      <c r="H2" s="21" t="n">
        <f aca="false">IF([1]Apr!$H$4&gt;0,0,[1]Apr!$H$2)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5" t="n">
        <v>45767</v>
      </c>
      <c r="B5" s="2" t="s">
        <v>50</v>
      </c>
      <c r="F5" s="5" t="s">
        <v>51</v>
      </c>
      <c r="G5" s="29" t="n">
        <v>120</v>
      </c>
      <c r="I5" s="6" t="n">
        <f aca="false">IF((G5&lt;&gt;0),G5-H5," ")</f>
        <v>120</v>
      </c>
      <c r="K5" s="6"/>
      <c r="L5" s="6"/>
      <c r="M5" s="7" t="n">
        <f aca="false">IF(G5&lt;&gt;0,G5-L5," ")</f>
        <v>120</v>
      </c>
      <c r="N5" s="8" t="n">
        <f aca="false">IF((G5-L5)&lt;&gt;0,N$1-A22," ")</f>
        <v>46113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n">
        <f aca="false">IF((F5="g"),I5," ")</f>
        <v>120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28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27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15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600</v>
      </c>
      <c r="H1" s="13" t="n">
        <f aca="false">SUM(H5:H200)</f>
        <v>0</v>
      </c>
      <c r="I1" s="13" t="n">
        <f aca="false">SUM(I2:I200)</f>
        <v>600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600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600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G2+Apr!A2</f>
        <v>0</v>
      </c>
      <c r="B2" s="44" t="s">
        <v>14</v>
      </c>
      <c r="C2" s="43" t="n">
        <f aca="false">Apr!C2+D1+[1]May!$D$1</f>
        <v>0</v>
      </c>
      <c r="D2" s="45" t="s">
        <v>15</v>
      </c>
      <c r="E2" s="20" t="s">
        <v>5</v>
      </c>
      <c r="F2" s="44" t="str">
        <f aca="false">Apr!F2</f>
        <v>v</v>
      </c>
      <c r="G2" s="46" t="n">
        <f aca="false">IF(C2&lt;[2]Admin!$F$22,(C2-Apr!C2)*[2]Admin!$G$21,C2*[2]Admin!$G$21-(C2-[2]Admin!$F$21)*([2]Admin!$G$21-[2]Admin!$G$22)-Apr!G2)</f>
        <v>0</v>
      </c>
      <c r="H2" s="21" t="n">
        <f aca="false">IF([1]May!$H$4&gt;0,0,[1]May!$H$2)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AB1+Apr!AB2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45787</v>
      </c>
      <c r="B5" s="5" t="s">
        <v>52</v>
      </c>
      <c r="F5" s="5" t="s">
        <v>53</v>
      </c>
      <c r="G5" s="29" t="n">
        <v>600</v>
      </c>
      <c r="I5" s="6" t="n">
        <f aca="false">IF((G5&lt;&gt;0),G5-H5," ")</f>
        <v>600</v>
      </c>
      <c r="K5" s="6"/>
      <c r="L5" s="6"/>
      <c r="M5" s="7" t="n">
        <f aca="false">IF(G5&lt;&gt;0,G5-L5," ")</f>
        <v>600</v>
      </c>
      <c r="N5" s="8" t="n">
        <f aca="false">IF((G5-L5)&lt;&gt;0,N$1-A5," ")</f>
        <v>326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600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159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158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0</v>
      </c>
      <c r="H1" s="13" t="n">
        <f aca="false">SUM(H5:H200)</f>
        <v>0</v>
      </c>
      <c r="I1" s="13" t="n">
        <f aca="false">SUM(I2:I200)</f>
        <v>0</v>
      </c>
      <c r="J1" s="15"/>
      <c r="K1" s="16" t="s">
        <v>4</v>
      </c>
      <c r="L1" s="17" t="n">
        <f aca="false">SUM(L5:L300)</f>
        <v>0</v>
      </c>
      <c r="M1" s="17" t="n">
        <f aca="false">SUM(M5:M200)</f>
        <v>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G2+May!A2</f>
        <v>0</v>
      </c>
      <c r="B2" s="44" t="s">
        <v>14</v>
      </c>
      <c r="C2" s="43" t="n">
        <f aca="false">May!C2+D1+[1]Jun!$D$1</f>
        <v>0</v>
      </c>
      <c r="D2" s="45" t="s">
        <v>15</v>
      </c>
      <c r="E2" s="20" t="s">
        <v>5</v>
      </c>
      <c r="F2" s="44" t="str">
        <f aca="false">May!F2</f>
        <v>v</v>
      </c>
      <c r="G2" s="46" t="n">
        <f aca="false">IF(C2&lt;[2]Admin!$F$22,(C2-May!C2)*[2]Admin!$G$21,C2*[2]Admin!$G$21-(C2-[2]Admin!$F$21)*([2]Admin!$G$21-[2]Admin!$G$22)-May!A2)</f>
        <v>0</v>
      </c>
      <c r="H2" s="21" t="n">
        <f aca="false">IF([1]Jun!$H$4&gt;0,0,[1]Jun!$H$2)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AB1+May!AB2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/>
      <c r="B5" s="2"/>
      <c r="C5" s="3"/>
      <c r="D5" s="4"/>
      <c r="E5" s="2"/>
      <c r="F5" s="57" t="str">
        <f aca="false">IF((G5&lt;&gt;0),"Enter Letter"," ")</f>
        <v> </v>
      </c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7" t="str">
        <f aca="false">IF((G6&lt;&gt;0),"Enter Letter"," ")</f>
        <v> </v>
      </c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7" t="str">
        <f aca="false">IF((G7&lt;&gt;0),"Enter Letter"," ")</f>
        <v> </v>
      </c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7" t="str">
        <f aca="false">IF((G8&lt;&gt;0),"Enter Letter"," ")</f>
        <v> </v>
      </c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7" t="str">
        <f aca="false">IF((G9&lt;&gt;0),"Enter Letter"," ")</f>
        <v> </v>
      </c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7" t="str">
        <f aca="false">IF((G10&lt;&gt;0),"Enter Letter"," ")</f>
        <v> </v>
      </c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7" t="str">
        <f aca="false">IF((G11&lt;&gt;0),"Enter Letter"," ")</f>
        <v> </v>
      </c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7" t="str">
        <f aca="false">IF((G12&lt;&gt;0),"Enter Letter"," ")</f>
        <v> </v>
      </c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7" t="str">
        <f aca="false">IF((G13&lt;&gt;0),"Enter Letter"," ")</f>
        <v> </v>
      </c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7" t="str">
        <f aca="false">IF((G14&lt;&gt;0),"Enter Letter"," ")</f>
        <v> </v>
      </c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7" t="str">
        <f aca="false">IF((G15&lt;&gt;0),"Enter Letter"," ")</f>
        <v> </v>
      </c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7" t="str">
        <f aca="false">IF((G16&lt;&gt;0),"Enter Letter"," ")</f>
        <v> </v>
      </c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7" t="str">
        <f aca="false">IF((G17&lt;&gt;0),"Enter Letter"," ")</f>
        <v> </v>
      </c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7" t="str">
        <f aca="false">IF((G18&lt;&gt;0),"Enter Letter"," ")</f>
        <v> </v>
      </c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7" t="str">
        <f aca="false">IF((G19&lt;&gt;0),"Enter Letter"," ")</f>
        <v> </v>
      </c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7" t="str">
        <f aca="false">IF((G20&lt;&gt;0),"Enter Letter"," ")</f>
        <v> </v>
      </c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7" t="str">
        <f aca="false">IF((G21&lt;&gt;0),"Enter Letter"," ")</f>
        <v> </v>
      </c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7" t="str">
        <f aca="false">IF((G22&lt;&gt;0),"Enter Letter"," ")</f>
        <v> </v>
      </c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7" t="str">
        <f aca="false">IF((G23&lt;&gt;0),"Enter Letter"," ")</f>
        <v> </v>
      </c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7" t="str">
        <f aca="false">IF((G24&lt;&gt;0),"Enter Letter"," ")</f>
        <v> </v>
      </c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7" t="str">
        <f aca="false">IF((G25&lt;&gt;0),"Enter Letter"," ")</f>
        <v> </v>
      </c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7" t="str">
        <f aca="false">IF((G26&lt;&gt;0),"Enter Letter"," ")</f>
        <v> </v>
      </c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7" t="str">
        <f aca="false">IF((G27&lt;&gt;0),"Enter Letter"," ")</f>
        <v> </v>
      </c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7" t="str">
        <f aca="false">IF((G28&lt;&gt;0),"Enter Letter"," ")</f>
        <v> </v>
      </c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7" t="str">
        <f aca="false">IF((G29&lt;&gt;0),"Enter Letter"," ")</f>
        <v> </v>
      </c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7" t="str">
        <f aca="false">IF((G30&lt;&gt;0),"Enter Letter"," ")</f>
        <v> </v>
      </c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7" t="str">
        <f aca="false">IF((G31&lt;&gt;0),"Enter Letter"," ")</f>
        <v> </v>
      </c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7" t="str">
        <f aca="false">IF((G32&lt;&gt;0),"Enter Letter"," ")</f>
        <v> 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7" t="str">
        <f aca="false">IF((G33&lt;&gt;0),"Enter Letter"," ")</f>
        <v> 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7" t="str">
        <f aca="false">IF((G34&lt;&gt;0),"Enter Letter"," ")</f>
        <v> 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7" t="str">
        <f aca="false">IF((G35&lt;&gt;0),"Enter Letter"," ")</f>
        <v> 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7" t="str">
        <f aca="false">IF((G36&lt;&gt;0),"Enter Letter"," ")</f>
        <v> 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7" t="str">
        <f aca="false">IF((G37&lt;&gt;0),"Enter Letter"," ")</f>
        <v> </v>
      </c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7" t="str">
        <f aca="false">IF((G38&lt;&gt;0),"Enter Letter"," ")</f>
        <v> </v>
      </c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7" t="str">
        <f aca="false">IF((G39&lt;&gt;0),"Enter Letter"," ")</f>
        <v> </v>
      </c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7" t="str">
        <f aca="false">IF((G40&lt;&gt;0),"Enter Letter"," ")</f>
        <v> </v>
      </c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7" t="str">
        <f aca="false">IF((G41&lt;&gt;0),"Enter Letter"," ")</f>
        <v> </v>
      </c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7" t="str">
        <f aca="false">IF((G42&lt;&gt;0),"Enter Letter"," ")</f>
        <v> </v>
      </c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7" t="str">
        <f aca="false">IF((G43&lt;&gt;0),"Enter Letter"," ")</f>
        <v> </v>
      </c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7" t="str">
        <f aca="false">IF((G44&lt;&gt;0),"Enter Letter"," ")</f>
        <v> </v>
      </c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7" t="str">
        <f aca="false">IF((G45&lt;&gt;0),"Enter Letter"," ")</f>
        <v> </v>
      </c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7" t="str">
        <f aca="false">IF((G46&lt;&gt;0),"Enter Letter"," ")</f>
        <v> </v>
      </c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7" t="str">
        <f aca="false">IF((G47&lt;&gt;0),"Enter Letter"," ")</f>
        <v> </v>
      </c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7" t="str">
        <f aca="false">IF((G48&lt;&gt;0),"Enter Letter"," ")</f>
        <v> </v>
      </c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7" t="str">
        <f aca="false">IF((G49&lt;&gt;0),"Enter Letter"," ")</f>
        <v> </v>
      </c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7" t="str">
        <f aca="false">IF((G50&lt;&gt;0),"Enter Letter"," ")</f>
        <v> </v>
      </c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7" t="str">
        <f aca="false">IF((G51&lt;&gt;0),"Enter Letter"," ")</f>
        <v> </v>
      </c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7" t="str">
        <f aca="false">IF((G52&lt;&gt;0),"Enter Letter"," ")</f>
        <v> </v>
      </c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7" t="str">
        <f aca="false">IF((G53&lt;&gt;0),"Enter Letter"," ")</f>
        <v> </v>
      </c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7" t="str">
        <f aca="false">IF((G54&lt;&gt;0),"Enter Letter"," ")</f>
        <v> </v>
      </c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7" t="str">
        <f aca="false">IF((G55&lt;&gt;0),"Enter Letter"," ")</f>
        <v> </v>
      </c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7" t="str">
        <f aca="false">IF((G56&lt;&gt;0),"Enter Letter"," ")</f>
        <v> </v>
      </c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7" t="str">
        <f aca="false">IF((G57&lt;&gt;0),"Enter Letter"," ")</f>
        <v> </v>
      </c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7" t="str">
        <f aca="false">IF((G58&lt;&gt;0),"Enter Letter"," ")</f>
        <v> </v>
      </c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7" t="str">
        <f aca="false">IF((G59&lt;&gt;0),"Enter Letter"," ")</f>
        <v> </v>
      </c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7" t="str">
        <f aca="false">IF((G60&lt;&gt;0),"Enter Letter"," ")</f>
        <v> </v>
      </c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7" t="str">
        <f aca="false">IF((G61&lt;&gt;0),"Enter Letter"," ")</f>
        <v> </v>
      </c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7" t="str">
        <f aca="false">IF((G62&lt;&gt;0),"Enter Letter"," ")</f>
        <v> </v>
      </c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7" t="str">
        <f aca="false">IF((G63&lt;&gt;0),"Enter Letter"," ")</f>
        <v> </v>
      </c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7" t="str">
        <f aca="false">IF((G64&lt;&gt;0),"Enter Letter"," ")</f>
        <v> </v>
      </c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7" t="str">
        <f aca="false">IF((G65&lt;&gt;0),"Enter Letter"," ")</f>
        <v> </v>
      </c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7" t="str">
        <f aca="false">IF((G66&lt;&gt;0),"Enter Letter"," ")</f>
        <v> </v>
      </c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7" t="str">
        <f aca="false">IF((G67&lt;&gt;0),"Enter Letter"," ")</f>
        <v> </v>
      </c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7" t="str">
        <f aca="false">IF((G68&lt;&gt;0),"Enter Letter"," ")</f>
        <v> </v>
      </c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7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7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7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7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7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7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7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7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7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7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7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7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7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7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7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7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7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7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7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7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7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7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7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7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7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7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7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7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7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7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7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7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7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7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7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7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7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7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7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7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7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7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7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7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7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7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7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7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7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7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7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7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7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7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7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7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7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7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7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7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7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7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7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7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7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7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7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7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7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7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7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7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7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7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7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7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7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7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7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7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7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7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7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7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7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7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7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7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7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7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7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7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7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7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7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7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7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7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7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7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7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7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7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7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7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7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7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7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7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7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7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7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7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7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7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7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7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7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7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7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7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7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7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7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7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7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7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7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7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7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7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7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7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7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7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7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7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7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7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7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7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7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7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7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7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7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7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7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7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7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7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7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7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7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7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7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7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7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7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7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7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7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7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7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7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7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7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7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7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7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7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7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7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7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7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7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7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7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7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7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7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7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7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7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7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7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7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7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7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7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7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7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7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7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7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7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7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7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7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7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7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7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7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7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7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7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7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7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7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7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7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7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7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7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7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7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7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7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7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7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7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7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7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7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7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7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7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7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7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7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7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480</v>
      </c>
      <c r="H1" s="13" t="n">
        <f aca="false">SUM(H5:H200)</f>
        <v>0</v>
      </c>
      <c r="I1" s="13" t="n">
        <f aca="false">SUM(I2:I200)</f>
        <v>480</v>
      </c>
      <c r="J1" s="15"/>
      <c r="K1" s="16" t="s">
        <v>4</v>
      </c>
      <c r="L1" s="17" t="n">
        <f aca="false">SUM(L5:L300)</f>
        <v>0</v>
      </c>
      <c r="M1" s="17" t="n">
        <f aca="false">SUM(M5:M200)</f>
        <v>480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480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G2+Jun!A2</f>
        <v>0</v>
      </c>
      <c r="B2" s="44" t="s">
        <v>14</v>
      </c>
      <c r="C2" s="43" t="n">
        <f aca="false">Jun!C2+D1+[1]Jul!$D$1</f>
        <v>0</v>
      </c>
      <c r="D2" s="45" t="s">
        <v>15</v>
      </c>
      <c r="E2" s="20" t="s">
        <v>5</v>
      </c>
      <c r="F2" s="44" t="str">
        <f aca="false">Jun!F2</f>
        <v>v</v>
      </c>
      <c r="G2" s="46" t="n">
        <f aca="false">IF(C2&lt;[2]Admin!$F$22,(C2-Jun!C2)*[2]Admin!$G$21,C2*[2]Admin!$G$21-(C2-[2]Admin!$F$21)*([2]Admin!$G$21-[2]Admin!$G$22)-Jun!A2)</f>
        <v>0</v>
      </c>
      <c r="H2" s="21" t="n">
        <f aca="false">IF([1]Jul!$H$4&gt;0,0,[1]Jul!$H$2)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AB1+Jun!AB2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45839</v>
      </c>
      <c r="B5" s="5" t="s">
        <v>54</v>
      </c>
      <c r="F5" s="5" t="s">
        <v>55</v>
      </c>
      <c r="G5" s="29" t="n">
        <v>480</v>
      </c>
      <c r="I5" s="6" t="n">
        <f aca="false">IF((G5&lt;&gt;0),G5-H5," ")</f>
        <v>480</v>
      </c>
      <c r="K5" s="6"/>
      <c r="L5" s="6"/>
      <c r="M5" s="7" t="n">
        <f aca="false">IF(G5&lt;&gt;0,G5-L5," ")</f>
        <v>480</v>
      </c>
      <c r="N5" s="8" t="n">
        <f aca="false">IF((G5-L5)&lt;&gt;0,N$1-A5," ")</f>
        <v>274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n">
        <f aca="false">IF((F5="l"),I5," ")</f>
        <v>480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300</v>
      </c>
      <c r="H1" s="13" t="n">
        <f aca="false">SUM(H5:H200)</f>
        <v>0</v>
      </c>
      <c r="I1" s="13" t="n">
        <f aca="false">SUM(I2:I200)</f>
        <v>300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300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300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G2+Jul!A2</f>
        <v>0</v>
      </c>
      <c r="B2" s="44" t="s">
        <v>14</v>
      </c>
      <c r="C2" s="43" t="n">
        <f aca="false">Jul!C2+D1+[1]Aug!$D$1</f>
        <v>0</v>
      </c>
      <c r="D2" s="45" t="s">
        <v>15</v>
      </c>
      <c r="E2" s="20" t="s">
        <v>5</v>
      </c>
      <c r="F2" s="44" t="str">
        <f aca="false">Jul!F2</f>
        <v>v</v>
      </c>
      <c r="G2" s="46" t="n">
        <f aca="false">IF(C2&lt;[2]Admin!$F$22,(C2-Jul!C2)*[2]Admin!$G$21,C2*[2]Admin!$G$21-(C2-[2]Admin!$F$21)*([2]Admin!$G$21-[2]Admin!$G$22)-Jul!A2)</f>
        <v>0</v>
      </c>
      <c r="H2" s="21" t="n">
        <f aca="false">IF([1]Aug!$H$4&gt;0,0,[1]Aug!$H$2)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AB1+Jul!AB2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45884</v>
      </c>
      <c r="B5" s="5" t="s">
        <v>56</v>
      </c>
      <c r="F5" s="5" t="s">
        <v>16</v>
      </c>
      <c r="G5" s="29" t="n">
        <v>300</v>
      </c>
      <c r="I5" s="6" t="n">
        <f aca="false">IF((G5&lt;&gt;0),G5-H5," ")</f>
        <v>300</v>
      </c>
      <c r="K5" s="6"/>
      <c r="L5" s="6"/>
      <c r="M5" s="7" t="n">
        <f aca="false">IF(G5&lt;&gt;0,G5-L5," ")</f>
        <v>300</v>
      </c>
      <c r="N5" s="8" t="n">
        <f aca="false">IF((G5-L5)&lt;&gt;0,N$1-A5," ")</f>
        <v>229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n">
        <f aca="false">IF((F5="v"),I5," ")</f>
        <v>300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8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0</v>
      </c>
      <c r="H1" s="13" t="n">
        <f aca="false">SUM(H5:H200)</f>
        <v>0</v>
      </c>
      <c r="I1" s="13" t="n">
        <f aca="false">SUM(I2:I200)</f>
        <v>0</v>
      </c>
      <c r="J1" s="15"/>
      <c r="K1" s="16" t="s">
        <v>4</v>
      </c>
      <c r="L1" s="17" t="n">
        <f aca="false">SUM(L5:L300)</f>
        <v>0</v>
      </c>
      <c r="M1" s="17" t="n">
        <f aca="false">SUM(M5:M200)</f>
        <v>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G2+Aug!A2</f>
        <v>0</v>
      </c>
      <c r="B2" s="44" t="s">
        <v>14</v>
      </c>
      <c r="C2" s="43" t="n">
        <f aca="false">Aug!C2+D1+[1]Sep!$D$1</f>
        <v>0</v>
      </c>
      <c r="D2" s="45" t="s">
        <v>15</v>
      </c>
      <c r="E2" s="20" t="s">
        <v>5</v>
      </c>
      <c r="F2" s="44" t="str">
        <f aca="false">Aug!F2</f>
        <v>v</v>
      </c>
      <c r="G2" s="46" t="n">
        <f aca="false">IF(C2&lt;[2]Admin!$F$22,(C2-Aug!C2)*[2]Admin!$G$21,C2*[2]Admin!$G$21-(C2-[2]Admin!$F$21)*([2]Admin!$G$21-[2]Admin!$G$22)-Aug!A2)</f>
        <v>0</v>
      </c>
      <c r="H2" s="21" t="n">
        <f aca="false">IF([1]Sep!$H$4&gt;0,0,[1]Sep!$H$2)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AB1+Aug!AB2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/>
      <c r="B5" s="2"/>
      <c r="C5" s="3"/>
      <c r="D5" s="4"/>
      <c r="E5" s="2"/>
      <c r="F5" s="57" t="str">
        <f aca="false">IF((G5&lt;&gt;0),"Enter Letter"," ")</f>
        <v> </v>
      </c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7" t="str">
        <f aca="false">IF((G6&lt;&gt;0),"Enter Letter"," ")</f>
        <v> </v>
      </c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7" t="str">
        <f aca="false">IF((G7&lt;&gt;0),"Enter Letter"," ")</f>
        <v> </v>
      </c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7" t="str">
        <f aca="false">IF((G8&lt;&gt;0),"Enter Letter"," ")</f>
        <v> </v>
      </c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7" t="str">
        <f aca="false">IF((G9&lt;&gt;0),"Enter Letter"," ")</f>
        <v> </v>
      </c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7" t="str">
        <f aca="false">IF((G10&lt;&gt;0),"Enter Letter"," ")</f>
        <v> </v>
      </c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7" t="str">
        <f aca="false">IF((G11&lt;&gt;0),"Enter Letter"," ")</f>
        <v> </v>
      </c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7" t="str">
        <f aca="false">IF((G12&lt;&gt;0),"Enter Letter"," ")</f>
        <v> </v>
      </c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7" t="str">
        <f aca="false">IF((G13&lt;&gt;0),"Enter Letter"," ")</f>
        <v> </v>
      </c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7" t="str">
        <f aca="false">IF((G14&lt;&gt;0),"Enter Letter"," ")</f>
        <v> </v>
      </c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7" t="str">
        <f aca="false">IF((G15&lt;&gt;0),"Enter Letter"," ")</f>
        <v> </v>
      </c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7" t="str">
        <f aca="false">IF((G16&lt;&gt;0),"Enter Letter"," ")</f>
        <v> </v>
      </c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7" t="str">
        <f aca="false">IF((G17&lt;&gt;0),"Enter Letter"," ")</f>
        <v> </v>
      </c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7" t="str">
        <f aca="false">IF((G18&lt;&gt;0),"Enter Letter"," ")</f>
        <v> </v>
      </c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7" t="str">
        <f aca="false">IF((G19&lt;&gt;0),"Enter Letter"," ")</f>
        <v> </v>
      </c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7" t="str">
        <f aca="false">IF((G20&lt;&gt;0),"Enter Letter"," ")</f>
        <v> </v>
      </c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7" t="str">
        <f aca="false">IF((G21&lt;&gt;0),"Enter Letter"," ")</f>
        <v> </v>
      </c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7" t="str">
        <f aca="false">IF((G22&lt;&gt;0),"Enter Letter"," ")</f>
        <v> </v>
      </c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7" t="str">
        <f aca="false">IF((G23&lt;&gt;0),"Enter Letter"," ")</f>
        <v> </v>
      </c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7" t="str">
        <f aca="false">IF((G24&lt;&gt;0),"Enter Letter"," ")</f>
        <v> </v>
      </c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7" t="str">
        <f aca="false">IF((G25&lt;&gt;0),"Enter Letter"," ")</f>
        <v> </v>
      </c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7" t="str">
        <f aca="false">IF((G26&lt;&gt;0),"Enter Letter"," ")</f>
        <v> </v>
      </c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7" t="str">
        <f aca="false">IF((G27&lt;&gt;0),"Enter Letter"," ")</f>
        <v> </v>
      </c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7" t="str">
        <f aca="false">IF((G28&lt;&gt;0),"Enter Letter"," ")</f>
        <v> </v>
      </c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7" t="str">
        <f aca="false">IF((G29&lt;&gt;0),"Enter Letter"," ")</f>
        <v> </v>
      </c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7" t="str">
        <f aca="false">IF((G30&lt;&gt;0),"Enter Letter"," ")</f>
        <v> </v>
      </c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7" t="str">
        <f aca="false">IF((G31&lt;&gt;0),"Enter Letter"," ")</f>
        <v> </v>
      </c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7" t="str">
        <f aca="false">IF((G32&lt;&gt;0),"Enter Letter"," ")</f>
        <v> 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7" t="str">
        <f aca="false">IF((G33&lt;&gt;0),"Enter Letter"," ")</f>
        <v> 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7" t="str">
        <f aca="false">IF((G34&lt;&gt;0),"Enter Letter"," ")</f>
        <v> 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7" t="str">
        <f aca="false">IF((G35&lt;&gt;0),"Enter Letter"," ")</f>
        <v> 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7" t="str">
        <f aca="false">IF((G36&lt;&gt;0),"Enter Letter"," ")</f>
        <v> 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7" t="str">
        <f aca="false">IF((G37&lt;&gt;0),"Enter Letter"," ")</f>
        <v> </v>
      </c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7" t="str">
        <f aca="false">IF((G38&lt;&gt;0),"Enter Letter"," ")</f>
        <v> </v>
      </c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7" t="str">
        <f aca="false">IF((G39&lt;&gt;0),"Enter Letter"," ")</f>
        <v> </v>
      </c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7" t="str">
        <f aca="false">IF((G40&lt;&gt;0),"Enter Letter"," ")</f>
        <v> </v>
      </c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7" t="str">
        <f aca="false">IF((G41&lt;&gt;0),"Enter Letter"," ")</f>
        <v> </v>
      </c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7" t="str">
        <f aca="false">IF((G42&lt;&gt;0),"Enter Letter"," ")</f>
        <v> </v>
      </c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7" t="str">
        <f aca="false">IF((G43&lt;&gt;0),"Enter Letter"," ")</f>
        <v> </v>
      </c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7" t="str">
        <f aca="false">IF((G44&lt;&gt;0),"Enter Letter"," ")</f>
        <v> </v>
      </c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7" t="str">
        <f aca="false">IF((G45&lt;&gt;0),"Enter Letter"," ")</f>
        <v> </v>
      </c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7" t="str">
        <f aca="false">IF((G46&lt;&gt;0),"Enter Letter"," ")</f>
        <v> </v>
      </c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7" t="str">
        <f aca="false">IF((G47&lt;&gt;0),"Enter Letter"," ")</f>
        <v> </v>
      </c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7" t="str">
        <f aca="false">IF((G48&lt;&gt;0),"Enter Letter"," ")</f>
        <v> </v>
      </c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7" t="str">
        <f aca="false">IF((G49&lt;&gt;0),"Enter Letter"," ")</f>
        <v> </v>
      </c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7" t="str">
        <f aca="false">IF((G50&lt;&gt;0),"Enter Letter"," ")</f>
        <v> </v>
      </c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7" t="str">
        <f aca="false">IF((G51&lt;&gt;0),"Enter Letter"," ")</f>
        <v> </v>
      </c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7" t="str">
        <f aca="false">IF((G52&lt;&gt;0),"Enter Letter"," ")</f>
        <v> </v>
      </c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7" t="str">
        <f aca="false">IF((G53&lt;&gt;0),"Enter Letter"," ")</f>
        <v> </v>
      </c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7" t="str">
        <f aca="false">IF((G54&lt;&gt;0),"Enter Letter"," ")</f>
        <v> </v>
      </c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7" t="str">
        <f aca="false">IF((G55&lt;&gt;0),"Enter Letter"," ")</f>
        <v> </v>
      </c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7" t="str">
        <f aca="false">IF((G56&lt;&gt;0),"Enter Letter"," ")</f>
        <v> </v>
      </c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7" t="str">
        <f aca="false">IF((G57&lt;&gt;0),"Enter Letter"," ")</f>
        <v> </v>
      </c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7" t="str">
        <f aca="false">IF((G58&lt;&gt;0),"Enter Letter"," ")</f>
        <v> </v>
      </c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7" t="str">
        <f aca="false">IF((G59&lt;&gt;0),"Enter Letter"," ")</f>
        <v> </v>
      </c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7" t="str">
        <f aca="false">IF((G60&lt;&gt;0),"Enter Letter"," ")</f>
        <v> </v>
      </c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7" t="str">
        <f aca="false">IF((G61&lt;&gt;0),"Enter Letter"," ")</f>
        <v> </v>
      </c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7" t="str">
        <f aca="false">IF((G62&lt;&gt;0),"Enter Letter"," ")</f>
        <v> </v>
      </c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7" t="str">
        <f aca="false">IF((G63&lt;&gt;0),"Enter Letter"," ")</f>
        <v> </v>
      </c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7" t="str">
        <f aca="false">IF((G64&lt;&gt;0),"Enter Letter"," ")</f>
        <v> </v>
      </c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7" t="str">
        <f aca="false">IF((G65&lt;&gt;0),"Enter Letter"," ")</f>
        <v> </v>
      </c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7" t="str">
        <f aca="false">IF((G66&lt;&gt;0),"Enter Letter"," ")</f>
        <v> </v>
      </c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7" t="str">
        <f aca="false">IF((G67&lt;&gt;0),"Enter Letter"," ")</f>
        <v> </v>
      </c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7" t="str">
        <f aca="false">IF((G68&lt;&gt;0),"Enter Letter"," ")</f>
        <v> </v>
      </c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7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7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7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7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7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7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7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7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7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7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7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7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7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7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7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7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7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7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7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7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7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7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7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7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7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7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7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7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7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7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7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7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7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7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7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7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7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7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7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7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7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7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7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7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7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7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7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7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7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7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7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7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7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7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7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7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7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7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7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7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7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7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7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7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7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7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7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7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7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7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7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7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7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7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7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7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7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7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7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7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7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7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7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7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7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7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7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7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7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7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7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7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7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7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7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7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7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7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7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7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7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7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7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7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7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7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7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7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7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7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7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7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7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7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7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7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7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7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7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7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7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7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7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7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7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7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7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7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7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7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7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7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7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7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7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7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7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7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7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7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7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7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7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7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7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7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7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7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7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7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7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7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7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7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7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7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7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7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7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7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7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7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7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7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7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7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7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7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7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7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7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7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7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7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7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7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7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7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7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7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7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7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7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7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7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7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7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7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7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7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7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7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7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7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7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7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7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7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7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7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7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7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7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7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7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7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7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7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7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7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7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7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7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7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7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7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7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7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7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7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7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7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7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7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7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7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7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7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7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7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7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4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82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600</v>
      </c>
      <c r="H1" s="13" t="n">
        <f aca="false">SUM(H5:H200)</f>
        <v>0</v>
      </c>
      <c r="I1" s="13" t="n">
        <f aca="false">SUM(I2:I200)</f>
        <v>600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600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600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G2+Sep!A2</f>
        <v>0</v>
      </c>
      <c r="B2" s="44" t="s">
        <v>14</v>
      </c>
      <c r="C2" s="43" t="n">
        <f aca="false">Sep!C2+D1+[1]Oct!$D$1</f>
        <v>0</v>
      </c>
      <c r="D2" s="45" t="s">
        <v>15</v>
      </c>
      <c r="E2" s="20" t="s">
        <v>5</v>
      </c>
      <c r="F2" s="44" t="str">
        <f aca="false">Sep!F2</f>
        <v>v</v>
      </c>
      <c r="G2" s="46" t="n">
        <f aca="false">IF(C2&lt;[2]Admin!$F$22,(C2-Sep!C2)*[2]Admin!$G$21,C2*[2]Admin!$G$21-(C2-[2]Admin!$F$21)*([2]Admin!$G$21-[2]Admin!$G$22)-Sep!A2)</f>
        <v>0</v>
      </c>
      <c r="H2" s="21" t="n">
        <f aca="false">IF([1]Oct!$H$4&gt;0,0,[1]Oct!$H$2)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AB1+Sep!AB2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45931</v>
      </c>
      <c r="B5" s="5" t="s">
        <v>52</v>
      </c>
      <c r="F5" s="5" t="s">
        <v>53</v>
      </c>
      <c r="G5" s="29" t="n">
        <v>600</v>
      </c>
      <c r="I5" s="6" t="n">
        <f aca="false">IF((G5&lt;&gt;0),G5-H5," ")</f>
        <v>600</v>
      </c>
      <c r="K5" s="6"/>
      <c r="L5" s="6"/>
      <c r="M5" s="7" t="n">
        <f aca="false">IF(G5&lt;&gt;0,G5-L5," ")</f>
        <v>600</v>
      </c>
      <c r="N5" s="8" t="n">
        <f aca="false">IF((G5-L5)&lt;&gt;0,N$1-A5," ")</f>
        <v>182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600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120</v>
      </c>
      <c r="H1" s="13" t="n">
        <f aca="false">SUM(H5:H200)</f>
        <v>0</v>
      </c>
      <c r="I1" s="13" t="n">
        <f aca="false">SUM(I2:I200)</f>
        <v>120</v>
      </c>
      <c r="J1" s="15"/>
      <c r="K1" s="16" t="s">
        <v>4</v>
      </c>
      <c r="L1" s="17" t="n">
        <f aca="false">SUM(L5:L300)</f>
        <v>0</v>
      </c>
      <c r="M1" s="17" t="n">
        <f aca="false">SUM(M5:M200)</f>
        <v>120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120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G2+Oct!A2</f>
        <v>0</v>
      </c>
      <c r="B2" s="44" t="s">
        <v>14</v>
      </c>
      <c r="C2" s="43" t="n">
        <f aca="false">Oct!C2+D1+[1]Nov!$D$1</f>
        <v>0</v>
      </c>
      <c r="D2" s="45" t="s">
        <v>15</v>
      </c>
      <c r="E2" s="20" t="s">
        <v>5</v>
      </c>
      <c r="F2" s="44" t="str">
        <f aca="false">Oct!F2</f>
        <v>v</v>
      </c>
      <c r="G2" s="46" t="n">
        <f aca="false">IF(C2&lt;[2]Admin!$F$22,(C2-Oct!C2)*[2]Admin!$G$21,C2*[2]Admin!$G$21-(C2-[2]Admin!$F$21)*([2]Admin!$G$21-[2]Admin!$G$22)-Oct!A2)</f>
        <v>0</v>
      </c>
      <c r="H2" s="21" t="n">
        <f aca="false">IF([1]Nov!$H$4&gt;0,0,[1]Nov!$H$2)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AB1+Oct!AB2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45981</v>
      </c>
      <c r="B5" s="5" t="s">
        <v>50</v>
      </c>
      <c r="F5" s="5" t="s">
        <v>51</v>
      </c>
      <c r="G5" s="29" t="n">
        <v>120</v>
      </c>
      <c r="I5" s="6" t="n">
        <f aca="false">IF((G5&lt;&gt;0),G5-H5," ")</f>
        <v>120</v>
      </c>
      <c r="K5" s="6"/>
      <c r="L5" s="6"/>
      <c r="M5" s="7" t="n">
        <f aca="false">IF(G5&lt;&gt;0,G5-L5," ")</f>
        <v>120</v>
      </c>
      <c r="N5" s="8" t="n">
        <f aca="false">IF((G5-L5)&lt;&gt;0,N$1-A5," ")</f>
        <v>132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n">
        <f aca="false">IF((F5="g"),I5," ")</f>
        <v>120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3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0</v>
      </c>
      <c r="H1" s="13" t="n">
        <f aca="false">SUM(H5:H200)</f>
        <v>0</v>
      </c>
      <c r="I1" s="13" t="n">
        <f aca="false">SUM(I2:I200)</f>
        <v>0</v>
      </c>
      <c r="J1" s="15"/>
      <c r="K1" s="16" t="s">
        <v>4</v>
      </c>
      <c r="L1" s="17" t="n">
        <f aca="false">SUM(L5:L300)</f>
        <v>0</v>
      </c>
      <c r="M1" s="17" t="n">
        <f aca="false">SUM(M5:M200)</f>
        <v>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G2+Nov!A2</f>
        <v>0</v>
      </c>
      <c r="B2" s="44" t="s">
        <v>14</v>
      </c>
      <c r="C2" s="43" t="n">
        <f aca="false">Nov!C2+D1+[1]Dec!$D$1</f>
        <v>0</v>
      </c>
      <c r="D2" s="45" t="s">
        <v>15</v>
      </c>
      <c r="E2" s="20" t="s">
        <v>5</v>
      </c>
      <c r="F2" s="44" t="str">
        <f aca="false">Nov!F2</f>
        <v>v</v>
      </c>
      <c r="G2" s="46" t="n">
        <f aca="false">IF(C2&lt;[2]Admin!$F$22,(C2-Nov!C2)*[2]Admin!$G$21,C2*[2]Admin!$G$21-(C2-[2]Admin!$F$21)*([2]Admin!$G$21-[2]Admin!$G$22)-Nov!A2)</f>
        <v>0</v>
      </c>
      <c r="H2" s="21" t="n">
        <f aca="false">IF([1]Dec!$H$4&gt;0,0,[1]Dec!$H$2)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AB1+Nov!AB2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/>
      <c r="B5" s="2"/>
      <c r="C5" s="3"/>
      <c r="D5" s="4"/>
      <c r="E5" s="2"/>
      <c r="F5" s="57" t="str">
        <f aca="false">IF((G5&lt;&gt;0),"Enter Letter"," ")</f>
        <v> </v>
      </c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7" t="str">
        <f aca="false">IF((G6&lt;&gt;0),"Enter Letter"," ")</f>
        <v> </v>
      </c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7" t="str">
        <f aca="false">IF((G7&lt;&gt;0),"Enter Letter"," ")</f>
        <v> </v>
      </c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7" t="str">
        <f aca="false">IF((G8&lt;&gt;0),"Enter Letter"," ")</f>
        <v> </v>
      </c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7" t="str">
        <f aca="false">IF((G9&lt;&gt;0),"Enter Letter"," ")</f>
        <v> </v>
      </c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7" t="str">
        <f aca="false">IF((G10&lt;&gt;0),"Enter Letter"," ")</f>
        <v> </v>
      </c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7" t="str">
        <f aca="false">IF((G11&lt;&gt;0),"Enter Letter"," ")</f>
        <v> </v>
      </c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7" t="str">
        <f aca="false">IF((G12&lt;&gt;0),"Enter Letter"," ")</f>
        <v> </v>
      </c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7" t="str">
        <f aca="false">IF((G13&lt;&gt;0),"Enter Letter"," ")</f>
        <v> </v>
      </c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7" t="str">
        <f aca="false">IF((G14&lt;&gt;0),"Enter Letter"," ")</f>
        <v> </v>
      </c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7" t="str">
        <f aca="false">IF((G15&lt;&gt;0),"Enter Letter"," ")</f>
        <v> </v>
      </c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7" t="str">
        <f aca="false">IF((G16&lt;&gt;0),"Enter Letter"," ")</f>
        <v> </v>
      </c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7" t="str">
        <f aca="false">IF((G17&lt;&gt;0),"Enter Letter"," ")</f>
        <v> </v>
      </c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7" t="str">
        <f aca="false">IF((G18&lt;&gt;0),"Enter Letter"," ")</f>
        <v> </v>
      </c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7" t="str">
        <f aca="false">IF((G19&lt;&gt;0),"Enter Letter"," ")</f>
        <v> </v>
      </c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7" t="str">
        <f aca="false">IF((G20&lt;&gt;0),"Enter Letter"," ")</f>
        <v> </v>
      </c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7" t="str">
        <f aca="false">IF((G21&lt;&gt;0),"Enter Letter"," ")</f>
        <v> </v>
      </c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7" t="str">
        <f aca="false">IF((G22&lt;&gt;0),"Enter Letter"," ")</f>
        <v> </v>
      </c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7" t="str">
        <f aca="false">IF((G23&lt;&gt;0),"Enter Letter"," ")</f>
        <v> </v>
      </c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7" t="str">
        <f aca="false">IF((G24&lt;&gt;0),"Enter Letter"," ")</f>
        <v> </v>
      </c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7" t="str">
        <f aca="false">IF((G25&lt;&gt;0),"Enter Letter"," ")</f>
        <v> </v>
      </c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7" t="str">
        <f aca="false">IF((G26&lt;&gt;0),"Enter Letter"," ")</f>
        <v> </v>
      </c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7" t="str">
        <f aca="false">IF((G27&lt;&gt;0),"Enter Letter"," ")</f>
        <v> </v>
      </c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7" t="str">
        <f aca="false">IF((G28&lt;&gt;0),"Enter Letter"," ")</f>
        <v> </v>
      </c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7" t="str">
        <f aca="false">IF((G29&lt;&gt;0),"Enter Letter"," ")</f>
        <v> </v>
      </c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7" t="str">
        <f aca="false">IF((G30&lt;&gt;0),"Enter Letter"," ")</f>
        <v> </v>
      </c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7" t="str">
        <f aca="false">IF((G31&lt;&gt;0),"Enter Letter"," ")</f>
        <v> </v>
      </c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7" t="str">
        <f aca="false">IF((G32&lt;&gt;0),"Enter Letter"," ")</f>
        <v> 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7" t="str">
        <f aca="false">IF((G33&lt;&gt;0),"Enter Letter"," ")</f>
        <v> 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7" t="str">
        <f aca="false">IF((G34&lt;&gt;0),"Enter Letter"," ")</f>
        <v> 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7" t="str">
        <f aca="false">IF((G35&lt;&gt;0),"Enter Letter"," ")</f>
        <v> 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7" t="str">
        <f aca="false">IF((G36&lt;&gt;0),"Enter Letter"," ")</f>
        <v> 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7" t="str">
        <f aca="false">IF((G37&lt;&gt;0),"Enter Letter"," ")</f>
        <v> </v>
      </c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7" t="str">
        <f aca="false">IF((G38&lt;&gt;0),"Enter Letter"," ")</f>
        <v> </v>
      </c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7" t="str">
        <f aca="false">IF((G39&lt;&gt;0),"Enter Letter"," ")</f>
        <v> </v>
      </c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7" t="str">
        <f aca="false">IF((G40&lt;&gt;0),"Enter Letter"," ")</f>
        <v> </v>
      </c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7" t="str">
        <f aca="false">IF((G41&lt;&gt;0),"Enter Letter"," ")</f>
        <v> </v>
      </c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7" t="str">
        <f aca="false">IF((G42&lt;&gt;0),"Enter Letter"," ")</f>
        <v> </v>
      </c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7" t="str">
        <f aca="false">IF((G43&lt;&gt;0),"Enter Letter"," ")</f>
        <v> </v>
      </c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7" t="str">
        <f aca="false">IF((G44&lt;&gt;0),"Enter Letter"," ")</f>
        <v> </v>
      </c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7" t="str">
        <f aca="false">IF((G45&lt;&gt;0),"Enter Letter"," ")</f>
        <v> </v>
      </c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7" t="str">
        <f aca="false">IF((G46&lt;&gt;0),"Enter Letter"," ")</f>
        <v> </v>
      </c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7" t="str">
        <f aca="false">IF((G47&lt;&gt;0),"Enter Letter"," ")</f>
        <v> </v>
      </c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7" t="str">
        <f aca="false">IF((G48&lt;&gt;0),"Enter Letter"," ")</f>
        <v> </v>
      </c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7" t="str">
        <f aca="false">IF((G49&lt;&gt;0),"Enter Letter"," ")</f>
        <v> </v>
      </c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7" t="str">
        <f aca="false">IF((G50&lt;&gt;0),"Enter Letter"," ")</f>
        <v> </v>
      </c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7" t="str">
        <f aca="false">IF((G51&lt;&gt;0),"Enter Letter"," ")</f>
        <v> </v>
      </c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7" t="str">
        <f aca="false">IF((G52&lt;&gt;0),"Enter Letter"," ")</f>
        <v> </v>
      </c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7" t="str">
        <f aca="false">IF((G53&lt;&gt;0),"Enter Letter"," ")</f>
        <v> </v>
      </c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7" t="str">
        <f aca="false">IF((G54&lt;&gt;0),"Enter Letter"," ")</f>
        <v> </v>
      </c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7" t="str">
        <f aca="false">IF((G55&lt;&gt;0),"Enter Letter"," ")</f>
        <v> </v>
      </c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7" t="str">
        <f aca="false">IF((G56&lt;&gt;0),"Enter Letter"," ")</f>
        <v> </v>
      </c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7" t="str">
        <f aca="false">IF((G57&lt;&gt;0),"Enter Letter"," ")</f>
        <v> </v>
      </c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7" t="str">
        <f aca="false">IF((G58&lt;&gt;0),"Enter Letter"," ")</f>
        <v> </v>
      </c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7" t="str">
        <f aca="false">IF((G59&lt;&gt;0),"Enter Letter"," ")</f>
        <v> </v>
      </c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7" t="str">
        <f aca="false">IF((G60&lt;&gt;0),"Enter Letter"," ")</f>
        <v> </v>
      </c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7" t="str">
        <f aca="false">IF((G61&lt;&gt;0),"Enter Letter"," ")</f>
        <v> </v>
      </c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7" t="str">
        <f aca="false">IF((G62&lt;&gt;0),"Enter Letter"," ")</f>
        <v> </v>
      </c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7" t="str">
        <f aca="false">IF((G63&lt;&gt;0),"Enter Letter"," ")</f>
        <v> </v>
      </c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7" t="str">
        <f aca="false">IF((G64&lt;&gt;0),"Enter Letter"," ")</f>
        <v> </v>
      </c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7" t="str">
        <f aca="false">IF((G65&lt;&gt;0),"Enter Letter"," ")</f>
        <v> </v>
      </c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7" t="str">
        <f aca="false">IF((G66&lt;&gt;0),"Enter Letter"," ")</f>
        <v> </v>
      </c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7" t="str">
        <f aca="false">IF((G67&lt;&gt;0),"Enter Letter"," ")</f>
        <v> </v>
      </c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7" t="str">
        <f aca="false">IF((G68&lt;&gt;0),"Enter Letter"," ")</f>
        <v> </v>
      </c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7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7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7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7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7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7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7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7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7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7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7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7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7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7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7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7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7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7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7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7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7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7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7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7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7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7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7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7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7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7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7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7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7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7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7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7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7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7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7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7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7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7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7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7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7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7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7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7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7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7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7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7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7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7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7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7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7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7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7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7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7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7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7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7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7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7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7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7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7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7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7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7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7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7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7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7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7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7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7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7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7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7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7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7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7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7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7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7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7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7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7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7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7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7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7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7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7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7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7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7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7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7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7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7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7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7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7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7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7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7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7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7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7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7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7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7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7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7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7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7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7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7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7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7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7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7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7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7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7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7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7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7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7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7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7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7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7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7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7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7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7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7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7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7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7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7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7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7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7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7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7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7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7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7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7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7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7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7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7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7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7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7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7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7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7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7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7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7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7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7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7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7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7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7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7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7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7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7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7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7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7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7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7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7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7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7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7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7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7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7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7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7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7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7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7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7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7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7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7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7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7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7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7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7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7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7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7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7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7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7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7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7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7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7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7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7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7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7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7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7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7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7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7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7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7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7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7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7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7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7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7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8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7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99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480</v>
      </c>
      <c r="H1" s="13" t="n">
        <f aca="false">SUM(H5:H200)</f>
        <v>0</v>
      </c>
      <c r="I1" s="13" t="n">
        <f aca="false">SUM(I2:I200)</f>
        <v>480</v>
      </c>
      <c r="J1" s="15"/>
      <c r="K1" s="16" t="s">
        <v>4</v>
      </c>
      <c r="L1" s="17" t="n">
        <f aca="false">SUM(L5:L300)</f>
        <v>0</v>
      </c>
      <c r="M1" s="17" t="n">
        <f aca="false">SUM(M5:M200)</f>
        <v>480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480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G2+Dec!A2</f>
        <v>0</v>
      </c>
      <c r="B2" s="44" t="s">
        <v>14</v>
      </c>
      <c r="C2" s="43" t="n">
        <f aca="false">Dec!C2+D1+[1]Jan!$D$1</f>
        <v>0</v>
      </c>
      <c r="D2" s="45" t="s">
        <v>15</v>
      </c>
      <c r="E2" s="20" t="s">
        <v>5</v>
      </c>
      <c r="F2" s="44" t="str">
        <f aca="false">Dec!F2</f>
        <v>v</v>
      </c>
      <c r="G2" s="46" t="n">
        <f aca="false">IF(C2&lt;[2]Admin!$F$22,(C2-Dec!C2)*[2]Admin!$G$21,C2*[2]Admin!$G$21-(C2-[2]Admin!$F$21)*([2]Admin!$G$21-[2]Admin!$G$22)-Dec!A2)</f>
        <v>0</v>
      </c>
      <c r="H2" s="21" t="n">
        <f aca="false">IF([1]Jan!$H$4&gt;0,0,[1]Jan!$H$2)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AB1+Dec!AB2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46037</v>
      </c>
      <c r="B5" s="5" t="s">
        <v>57</v>
      </c>
      <c r="F5" s="5" t="s">
        <v>58</v>
      </c>
      <c r="G5" s="29" t="n">
        <v>480</v>
      </c>
      <c r="I5" s="6" t="n">
        <f aca="false">IF((G5&lt;&gt;0),G5-H5," ")</f>
        <v>480</v>
      </c>
      <c r="K5" s="6"/>
      <c r="L5" s="6"/>
      <c r="M5" s="7" t="n">
        <f aca="false">IF(G5&lt;&gt;0,G5-L5," ")</f>
        <v>480</v>
      </c>
      <c r="N5" s="8" t="n">
        <f aca="false">IF((G5-L5)&lt;&gt;0,N$1-A5," ")</f>
        <v>76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n">
        <f aca="false">IF((F5="m"),I5," ")</f>
        <v>480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8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8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8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8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8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8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8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8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8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8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8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8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8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8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8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8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8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8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8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8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8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8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8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8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8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8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8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8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8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8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8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8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8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8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8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8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8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8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8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8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8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8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8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8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8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8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8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8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8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8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8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8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8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8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8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8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8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8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8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8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8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8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8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8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8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8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8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8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8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8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8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8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8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8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8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8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8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8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8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8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8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8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8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8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8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8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8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8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8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8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8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8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8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8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8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8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8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8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8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8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8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8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8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8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8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8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8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8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8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8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8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8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8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8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8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8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8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8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8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8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8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8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8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8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8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8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8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8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8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8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8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8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8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8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8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8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8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8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8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8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8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8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8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8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8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8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8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8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8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8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8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8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8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8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8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8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8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8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8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8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8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8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8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8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8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8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8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8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8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8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8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8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8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8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8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8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8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8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8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8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8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8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8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8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8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8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8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8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8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8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8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8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8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8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8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8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8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8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8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8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8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8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8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8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8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8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8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8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8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8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8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8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8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8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8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8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8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8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8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8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8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8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8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8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8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8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8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8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8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8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8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8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8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8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8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8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8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8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8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8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8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8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8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8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8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8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8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8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8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8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8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8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8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8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8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8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8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8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8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8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8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8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8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8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8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8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8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8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8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8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8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8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8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8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8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8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8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8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8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8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8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8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8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8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8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8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8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8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8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8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8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8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8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8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600</v>
      </c>
      <c r="H1" s="13" t="n">
        <f aca="false">SUM(H5:H200)</f>
        <v>0</v>
      </c>
      <c r="I1" s="13" t="n">
        <f aca="false">SUM(I2:I200)</f>
        <v>600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600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600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G2+Jan!A2</f>
        <v>0</v>
      </c>
      <c r="B2" s="44" t="s">
        <v>14</v>
      </c>
      <c r="C2" s="43" t="n">
        <f aca="false">Jan!C2+D1+[1]Feb!$D$1</f>
        <v>0</v>
      </c>
      <c r="D2" s="45" t="s">
        <v>15</v>
      </c>
      <c r="E2" s="20" t="s">
        <v>5</v>
      </c>
      <c r="F2" s="44" t="str">
        <f aca="false">Jan!F2</f>
        <v>v</v>
      </c>
      <c r="G2" s="46" t="n">
        <f aca="false">IF(C2&lt;[2]Admin!$F$22,(C2-Jan!C2)*[2]Admin!$G$21,C2*[2]Admin!$G$21-(C2-[2]Admin!$F$21)*([2]Admin!$G$21-[2]Admin!$G$22)-Jan!A2)</f>
        <v>0</v>
      </c>
      <c r="H2" s="21" t="n">
        <f aca="false">IF([1]Feb!$H$4&gt;0,0,[1]Feb!$H$2)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AB1+Jan!AB2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46054</v>
      </c>
      <c r="B5" s="5" t="s">
        <v>52</v>
      </c>
      <c r="F5" s="5" t="s">
        <v>53</v>
      </c>
      <c r="G5" s="29" t="n">
        <v>600</v>
      </c>
      <c r="I5" s="6" t="n">
        <f aca="false">IF((G5&lt;&gt;0),G5-H5," ")</f>
        <v>600</v>
      </c>
      <c r="K5" s="6"/>
      <c r="L5" s="6"/>
      <c r="M5" s="7" t="n">
        <f aca="false">IF(G5&lt;&gt;0,G5-L5," ")</f>
        <v>600</v>
      </c>
      <c r="N5" s="8" t="n">
        <f aca="false">IF((G5-L5)&lt;&gt;0,N$1-A5," ")</f>
        <v>59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600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900</v>
      </c>
      <c r="H1" s="13" t="n">
        <f aca="false">SUM(H5:H200)</f>
        <v>0</v>
      </c>
      <c r="I1" s="13" t="n">
        <f aca="false">SUM(I2:I200)</f>
        <v>900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900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420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480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G2+Feb!A2</f>
        <v>0</v>
      </c>
      <c r="B2" s="44" t="s">
        <v>14</v>
      </c>
      <c r="C2" s="43" t="n">
        <f aca="false">Feb!C2+D1+[1]Mar!$D$1</f>
        <v>0</v>
      </c>
      <c r="D2" s="45" t="s">
        <v>15</v>
      </c>
      <c r="E2" s="20" t="s">
        <v>5</v>
      </c>
      <c r="F2" s="44" t="str">
        <f aca="false">Feb!F2</f>
        <v>v</v>
      </c>
      <c r="G2" s="46" t="n">
        <f aca="false">IF(C2&lt;[2]Admin!$F$22,(C2-Feb!C2)*[2]Admin!$G$21,C2*[2]Admin!$G$21-(C2-[2]Admin!$F$21)*([2]Admin!$G$21-[2]Admin!$G$22)-Feb!A2)</f>
        <v>0</v>
      </c>
      <c r="H2" s="21" t="n">
        <f aca="false">IF([1]Mar!$H$4&gt;0,0,[1]Mar!$H$2)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AB1+Feb!AB2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46091</v>
      </c>
      <c r="B5" s="5" t="s">
        <v>54</v>
      </c>
      <c r="F5" s="5" t="s">
        <v>55</v>
      </c>
      <c r="G5" s="29" t="n">
        <v>480</v>
      </c>
      <c r="I5" s="6" t="n">
        <f aca="false">IF((G5&lt;&gt;0),G5-H5," ")</f>
        <v>480</v>
      </c>
      <c r="K5" s="6"/>
      <c r="L5" s="6"/>
      <c r="M5" s="7" t="n">
        <f aca="false">IF(G5&lt;&gt;0,G5-L5," ")</f>
        <v>480</v>
      </c>
      <c r="N5" s="8" t="n">
        <f aca="false">IF((G5-L5)&lt;&gt;0,N$1-A5," ")</f>
        <v>22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n">
        <f aca="false">IF((F5="l"),I5," ")</f>
        <v>480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46101</v>
      </c>
      <c r="B6" s="2" t="s">
        <v>50</v>
      </c>
      <c r="F6" s="5" t="s">
        <v>51</v>
      </c>
      <c r="G6" s="29" t="n">
        <v>420</v>
      </c>
      <c r="I6" s="6" t="n">
        <f aca="false">IF((G6&lt;&gt;0),G6-H6," ")</f>
        <v>420</v>
      </c>
      <c r="J6" s="5"/>
      <c r="M6" s="7" t="n">
        <f aca="false">IF(G6&lt;&gt;0,G6-L6," ")</f>
        <v>420</v>
      </c>
      <c r="N6" s="8" t="n">
        <f aca="false">IF((G6-L6)&lt;&gt;0,N$1-A6," ")</f>
        <v>12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420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8"/>
      <c r="G7" s="29"/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8"/>
      <c r="G8" s="29"/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8"/>
      <c r="G9" s="29"/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8"/>
      <c r="G10" s="29"/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8"/>
      <c r="G11" s="29"/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8"/>
      <c r="G12" s="29"/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8"/>
      <c r="G13" s="29"/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8"/>
      <c r="G14" s="29"/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8"/>
      <c r="G15" s="29"/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8"/>
      <c r="G16" s="29"/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8"/>
      <c r="G17" s="29"/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8"/>
      <c r="G18" s="29"/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8"/>
      <c r="G19" s="29"/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8"/>
      <c r="G20" s="29"/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8"/>
      <c r="G21" s="29"/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8"/>
      <c r="G22" s="29"/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8"/>
      <c r="G23" s="29"/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8"/>
      <c r="G24" s="29"/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8"/>
      <c r="G25" s="29"/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8"/>
      <c r="G26" s="29"/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8"/>
      <c r="G27" s="29"/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8"/>
      <c r="G28" s="29"/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8"/>
      <c r="G29" s="29"/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8"/>
      <c r="G30" s="29"/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8"/>
      <c r="G31" s="29"/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8"/>
      <c r="G32" s="29"/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8"/>
      <c r="G33" s="29"/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8"/>
      <c r="G34" s="29"/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8"/>
      <c r="G35" s="29"/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8"/>
      <c r="G36" s="29"/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8"/>
      <c r="G37" s="29"/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8"/>
      <c r="G38" s="29"/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8"/>
      <c r="G39" s="29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8"/>
      <c r="G40" s="29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8"/>
      <c r="G41" s="29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8"/>
      <c r="G42" s="29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8"/>
      <c r="G43" s="29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8"/>
      <c r="G44" s="29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8"/>
      <c r="G45" s="29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8"/>
      <c r="G46" s="29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8"/>
      <c r="G47" s="29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8"/>
      <c r="G48" s="29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8"/>
      <c r="G49" s="29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8"/>
      <c r="G50" s="29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8"/>
      <c r="G51" s="29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8"/>
      <c r="G52" s="29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8"/>
      <c r="G53" s="29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8"/>
      <c r="G54" s="29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8"/>
      <c r="G55" s="29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8"/>
      <c r="G56" s="29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8"/>
      <c r="G57" s="29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8"/>
      <c r="G58" s="29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8"/>
      <c r="G59" s="29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8"/>
      <c r="G60" s="29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8"/>
      <c r="G61" s="29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8"/>
      <c r="G62" s="29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8"/>
      <c r="G63" s="29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8"/>
      <c r="G64" s="29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8"/>
      <c r="G65" s="29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8"/>
      <c r="G66" s="29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8"/>
      <c r="G67" s="29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8"/>
      <c r="G68" s="29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8" t="str">
        <f aca="false">IF((G69&lt;&gt;0),"Enter Letter"," ")</f>
        <v> </v>
      </c>
      <c r="G69" s="29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8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8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8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8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8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8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8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8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8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8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8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8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8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8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8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8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8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8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8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8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8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8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8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8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8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8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8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8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8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8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8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8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8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8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8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8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8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8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8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8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8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8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8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8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8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8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8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8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8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8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8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8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8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8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8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8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8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8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8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8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8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8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8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8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8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8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8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8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8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8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8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8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8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8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8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8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8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8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8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8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8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8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8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8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8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8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8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8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8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8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8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8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8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8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8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8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8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8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8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8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8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8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8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8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8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8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8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8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8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8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8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8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8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8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8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8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8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8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8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8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8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8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8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8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8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8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8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8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8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8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8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8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8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8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8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8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8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8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8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8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8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8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8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8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8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8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8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8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8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8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8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8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8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8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8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8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8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8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8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8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8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8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8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8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8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8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8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8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8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8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8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8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8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8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8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8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8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8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8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8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8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8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8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8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8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8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8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8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8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8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8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8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8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8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8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8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8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8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8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8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8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8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8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8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8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8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8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8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8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8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8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8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8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8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8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8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8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8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8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8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8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8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8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8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8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8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8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8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8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8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false" hidden="false" outlineLevel="0" max="257" min="15" style="2" width="9.15"/>
  </cols>
  <sheetData>
    <row r="1" s="19" customFormat="true" ht="12.7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4"/>
      <c r="G1" s="13" t="n">
        <f aca="false">SUM(G5:G300)</f>
        <v>0</v>
      </c>
      <c r="H1" s="13" t="n">
        <f aca="false">SUM(H5:H300)</f>
        <v>0</v>
      </c>
      <c r="I1" s="13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46113</v>
      </c>
    </row>
    <row r="2" s="19" customFormat="true" ht="13.5" hidden="false" customHeight="true" outlineLevel="0" collapsed="false">
      <c r="A2" s="9"/>
      <c r="B2" s="10"/>
      <c r="C2" s="10"/>
      <c r="D2" s="12"/>
      <c r="E2" s="20" t="s">
        <v>5</v>
      </c>
      <c r="F2" s="20"/>
      <c r="G2" s="10" t="s">
        <v>6</v>
      </c>
      <c r="H2" s="21" t="n">
        <f aca="false">Mar!H2</f>
        <v>20</v>
      </c>
      <c r="I2" s="10" t="s">
        <v>7</v>
      </c>
      <c r="J2" s="15"/>
      <c r="K2" s="16"/>
      <c r="L2" s="22" t="s">
        <v>8</v>
      </c>
      <c r="M2" s="22"/>
      <c r="N2" s="22"/>
    </row>
    <row r="3" s="25" customFormat="true" ht="34.5" hidden="false" customHeight="true" outlineLevel="0" collapsed="false">
      <c r="A3" s="9"/>
      <c r="B3" s="10"/>
      <c r="C3" s="10"/>
      <c r="D3" s="12"/>
      <c r="E3" s="20"/>
      <c r="F3" s="20"/>
      <c r="G3" s="10"/>
      <c r="H3" s="10" t="s">
        <v>9</v>
      </c>
      <c r="I3" s="10"/>
      <c r="J3" s="15"/>
      <c r="K3" s="16"/>
      <c r="L3" s="23" t="s">
        <v>10</v>
      </c>
      <c r="M3" s="23" t="s">
        <v>11</v>
      </c>
      <c r="N3" s="24" t="s">
        <v>12</v>
      </c>
    </row>
    <row r="4" s="26" customFormat="true" ht="12.75" hidden="false" customHeight="true" outlineLevel="0" collapsed="false">
      <c r="A4" s="9"/>
      <c r="B4" s="10"/>
      <c r="C4" s="10"/>
      <c r="D4" s="12"/>
      <c r="E4" s="20"/>
      <c r="F4" s="20"/>
      <c r="G4" s="10"/>
      <c r="H4" s="10"/>
      <c r="I4" s="10"/>
      <c r="J4" s="15"/>
      <c r="K4" s="16"/>
      <c r="L4" s="23"/>
      <c r="M4" s="23"/>
      <c r="N4" s="24"/>
    </row>
    <row r="5" s="5" customFormat="true" ht="12" hidden="false" customHeight="false" outlineLevel="0" collapsed="false">
      <c r="A5" s="27"/>
      <c r="C5" s="28"/>
      <c r="D5" s="4"/>
      <c r="E5" s="2"/>
      <c r="F5" s="2"/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" hidden="false" customHeight="false" outlineLevel="0" collapsed="false">
      <c r="A6" s="27"/>
      <c r="F6" s="2"/>
      <c r="H6" s="6" t="str">
        <f aca="false">IF(G6&lt;&gt;0,G6*H$2/(100+H$2)," ")</f>
        <v> </v>
      </c>
      <c r="I6" s="6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A7" s="27"/>
      <c r="F7" s="2"/>
      <c r="H7" s="6" t="str">
        <f aca="false">IF(G7&lt;&gt;0,G7*H$2/(100+H$2)," ")</f>
        <v> </v>
      </c>
      <c r="I7" s="6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A8" s="27"/>
      <c r="F8" s="2"/>
      <c r="H8" s="6" t="str">
        <f aca="false">IF(G8&lt;&gt;0,G8*H$2/(100+H$2)," ")</f>
        <v> </v>
      </c>
      <c r="I8" s="6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A9" s="27"/>
      <c r="F9" s="2"/>
      <c r="H9" s="6" t="str">
        <f aca="false">IF(G9&lt;&gt;0,G9*H$2/(100+H$2)," ")</f>
        <v> </v>
      </c>
      <c r="I9" s="6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A10" s="27"/>
      <c r="F10" s="2"/>
      <c r="H10" s="6" t="str">
        <f aca="false">IF(G10&lt;&gt;0,G10*H$2/(100+H$2)," ")</f>
        <v> </v>
      </c>
      <c r="I10" s="6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A11" s="27"/>
      <c r="F11" s="2"/>
      <c r="H11" s="6" t="str">
        <f aca="false">IF(G11&lt;&gt;0,G11*H$2/(100+H$2)," ")</f>
        <v> </v>
      </c>
      <c r="I11" s="6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A12" s="27"/>
      <c r="F12" s="2"/>
      <c r="H12" s="6" t="str">
        <f aca="false">IF(G12&lt;&gt;0,G12*H$2/(100+H$2)," ")</f>
        <v> </v>
      </c>
      <c r="I12" s="6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A13" s="27"/>
      <c r="F13" s="2"/>
      <c r="H13" s="6" t="str">
        <f aca="false">IF(G13&lt;&gt;0,G13*H$2/(100+H$2)," ")</f>
        <v> </v>
      </c>
      <c r="I13" s="6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A14" s="27"/>
      <c r="F14" s="2"/>
      <c r="H14" s="6" t="str">
        <f aca="false">IF(G14&lt;&gt;0,G14*H$2/(100+H$2)," ")</f>
        <v> </v>
      </c>
      <c r="I14" s="6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A15" s="27"/>
      <c r="F15" s="2"/>
      <c r="H15" s="6" t="str">
        <f aca="false">IF(G15&lt;&gt;0,G15*H$2/(100+H$2)," ")</f>
        <v> </v>
      </c>
      <c r="I15" s="6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A16" s="27"/>
      <c r="F16" s="2"/>
      <c r="H16" s="6" t="str">
        <f aca="false">IF(G16&lt;&gt;0,G16*H$2/(100+H$2)," ")</f>
        <v> </v>
      </c>
      <c r="I16" s="6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A17" s="27"/>
      <c r="F17" s="2"/>
      <c r="H17" s="6" t="str">
        <f aca="false">IF(G17&lt;&gt;0,G17*H$2/(100+H$2)," ")</f>
        <v> </v>
      </c>
      <c r="I17" s="6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A18" s="27"/>
      <c r="F18" s="2"/>
      <c r="H18" s="6" t="str">
        <f aca="false">IF(G18&lt;&gt;0,G18*H$2/(100+H$2)," ")</f>
        <v> </v>
      </c>
      <c r="I18" s="6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A19" s="27"/>
      <c r="F19" s="2"/>
      <c r="H19" s="6" t="str">
        <f aca="false">IF(G19&lt;&gt;0,G19*H$2/(100+H$2)," ")</f>
        <v> </v>
      </c>
      <c r="I19" s="6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A20" s="27"/>
      <c r="F20" s="2"/>
      <c r="H20" s="6" t="str">
        <f aca="false">IF(G20&lt;&gt;0,G20*H$2/(100+H$2)," ")</f>
        <v> </v>
      </c>
      <c r="I20" s="6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A21" s="27"/>
      <c r="F21" s="2"/>
      <c r="H21" s="6" t="str">
        <f aca="false">IF(G21&lt;&gt;0,G21*H$2/(100+H$2)," ")</f>
        <v> </v>
      </c>
      <c r="I21" s="6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A22" s="27"/>
      <c r="F22" s="2"/>
      <c r="H22" s="6" t="str">
        <f aca="false">IF(G22&lt;&gt;0,G22*H$2/(100+H$2)," ")</f>
        <v> </v>
      </c>
      <c r="I22" s="6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A23" s="27"/>
      <c r="E23" s="30"/>
      <c r="F23" s="2"/>
      <c r="H23" s="6" t="str">
        <f aca="false">IF(G23&lt;&gt;0,G23*H$2/(100+H$2)," ")</f>
        <v> </v>
      </c>
      <c r="I23" s="6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A24" s="27"/>
      <c r="F24" s="2"/>
      <c r="H24" s="6" t="str">
        <f aca="false">IF(G24&lt;&gt;0,G24*H$2/(100+H$2)," ")</f>
        <v> </v>
      </c>
      <c r="I24" s="6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A25" s="27"/>
      <c r="F25" s="2"/>
      <c r="H25" s="6" t="str">
        <f aca="false">IF(G25&lt;&gt;0,G25*H$2/(100+H$2)," ")</f>
        <v> </v>
      </c>
      <c r="I25" s="6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A26" s="27"/>
      <c r="F26" s="2"/>
      <c r="H26" s="6" t="str">
        <f aca="false">IF(G26&lt;&gt;0,G26*H$2/(100+H$2)," ")</f>
        <v> </v>
      </c>
      <c r="I26" s="6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A27" s="27"/>
      <c r="F27" s="2"/>
      <c r="H27" s="6" t="str">
        <f aca="false">IF(G27&lt;&gt;0,G27*H$2/(100+H$2)," ")</f>
        <v> </v>
      </c>
      <c r="I27" s="6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A28" s="27"/>
      <c r="F28" s="2"/>
      <c r="H28" s="6" t="str">
        <f aca="false">IF(G28&lt;&gt;0,G28*H$2/(100+H$2)," ")</f>
        <v> </v>
      </c>
      <c r="I28" s="6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A29" s="27"/>
      <c r="F29" s="2"/>
      <c r="H29" s="6" t="str">
        <f aca="false">IF(G29&lt;&gt;0,G29*H$2/(100+H$2)," ")</f>
        <v> </v>
      </c>
      <c r="I29" s="6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A30" s="27"/>
      <c r="F30" s="2"/>
      <c r="H30" s="6" t="str">
        <f aca="false">IF(G30&lt;&gt;0,G30*H$2/(100+H$2)," ")</f>
        <v> </v>
      </c>
      <c r="I30" s="6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A31" s="27"/>
      <c r="F31" s="2"/>
      <c r="H31" s="6" t="str">
        <f aca="false">IF(G31&lt;&gt;0,G31*H$2/(100+H$2)," ")</f>
        <v> </v>
      </c>
      <c r="I31" s="6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A32" s="27"/>
      <c r="F32" s="2"/>
      <c r="H32" s="6" t="str">
        <f aca="false">IF(G32&lt;&gt;0,G32*H$2/(100+H$2)," ")</f>
        <v> </v>
      </c>
      <c r="I32" s="6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A33" s="27"/>
      <c r="F33" s="2"/>
      <c r="H33" s="6" t="str">
        <f aca="false">IF(G33&lt;&gt;0,G33*H$2/(100+H$2)," ")</f>
        <v> </v>
      </c>
      <c r="I33" s="6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A34" s="27"/>
      <c r="F34" s="2"/>
      <c r="H34" s="6" t="str">
        <f aca="false">IF(G34&lt;&gt;0,G34*H$2/(100+H$2)," ")</f>
        <v> </v>
      </c>
      <c r="I34" s="6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A35" s="27"/>
      <c r="F35" s="2"/>
      <c r="H35" s="6" t="str">
        <f aca="false">IF(G35&lt;&gt;0,G35*H$2/(100+H$2)," ")</f>
        <v> </v>
      </c>
      <c r="I35" s="6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A36" s="27"/>
      <c r="F36" s="2"/>
      <c r="H36" s="6" t="str">
        <f aca="false">IF(G36&lt;&gt;0,G36*H$2/(100+H$2)," ")</f>
        <v> </v>
      </c>
      <c r="I36" s="6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A37" s="27"/>
      <c r="F37" s="2"/>
      <c r="H37" s="6" t="str">
        <f aca="false">IF(G37&lt;&gt;0,G37*H$2/(100+H$2)," ")</f>
        <v> </v>
      </c>
      <c r="I37" s="6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A38" s="27"/>
      <c r="F38" s="2"/>
      <c r="H38" s="6" t="str">
        <f aca="false">IF(G38&lt;&gt;0,G38*H$2/(100+H$2)," ")</f>
        <v> </v>
      </c>
      <c r="I38" s="6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A39" s="27"/>
      <c r="F39" s="2"/>
      <c r="H39" s="6" t="str">
        <f aca="false">IF(G39&lt;&gt;0,G39*H$2/(100+H$2)," ")</f>
        <v> </v>
      </c>
      <c r="I39" s="6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A40" s="27"/>
      <c r="F40" s="2"/>
      <c r="H40" s="6" t="str">
        <f aca="false">IF(G40&lt;&gt;0,G40*H$2/(100+H$2)," ")</f>
        <v> </v>
      </c>
      <c r="I40" s="6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A41" s="27"/>
      <c r="F41" s="2"/>
      <c r="H41" s="6" t="str">
        <f aca="false">IF(G41&lt;&gt;0,G41*H$2/(100+H$2)," ")</f>
        <v> </v>
      </c>
      <c r="I41" s="6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A42" s="27"/>
      <c r="F42" s="2"/>
      <c r="H42" s="6" t="str">
        <f aca="false">IF(G42&lt;&gt;0,G42*H$2/(100+H$2)," ")</f>
        <v> </v>
      </c>
      <c r="I42" s="6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A43" s="27"/>
      <c r="F43" s="2"/>
      <c r="H43" s="6" t="str">
        <f aca="false">IF(G43&lt;&gt;0,G43*H$2/(100+H$2)," ")</f>
        <v> </v>
      </c>
      <c r="I43" s="6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A44" s="27"/>
      <c r="F44" s="2"/>
      <c r="H44" s="6" t="str">
        <f aca="false">IF(G44&lt;&gt;0,G44*H$2/(100+H$2)," ")</f>
        <v> </v>
      </c>
      <c r="I44" s="6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A45" s="27"/>
      <c r="F45" s="2"/>
      <c r="H45" s="6" t="str">
        <f aca="false">IF(G45&lt;&gt;0,G45*H$2/(100+H$2)," ")</f>
        <v> </v>
      </c>
      <c r="I45" s="6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A46" s="27"/>
      <c r="F46" s="2"/>
      <c r="H46" s="6" t="str">
        <f aca="false">IF(G46&lt;&gt;0,G46*H$2/(100+H$2)," ")</f>
        <v> </v>
      </c>
      <c r="I46" s="6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A47" s="27"/>
      <c r="F47" s="2"/>
      <c r="H47" s="6" t="str">
        <f aca="false">IF(G47&lt;&gt;0,G47*H$2/(100+H$2)," ")</f>
        <v> </v>
      </c>
      <c r="I47" s="6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A48" s="27"/>
      <c r="F48" s="2"/>
      <c r="H48" s="6" t="str">
        <f aca="false">IF(G48&lt;&gt;0,G48*H$2/(100+H$2)," ")</f>
        <v> </v>
      </c>
      <c r="I48" s="6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A49" s="27"/>
      <c r="F49" s="2"/>
      <c r="H49" s="6" t="str">
        <f aca="false">IF(G49&lt;&gt;0,G49*H$2/(100+H$2)," ")</f>
        <v> </v>
      </c>
      <c r="I49" s="6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A50" s="27"/>
      <c r="F50" s="2"/>
      <c r="H50" s="6" t="str">
        <f aca="false">IF(G50&lt;&gt;0,G50*H$2/(100+H$2)," ")</f>
        <v> </v>
      </c>
      <c r="I50" s="6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A51" s="27"/>
      <c r="F51" s="2"/>
      <c r="H51" s="6" t="str">
        <f aca="false">IF(G51&lt;&gt;0,G51*H$2/(100+H$2)," ")</f>
        <v> </v>
      </c>
      <c r="I51" s="6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A52" s="27"/>
      <c r="F52" s="2"/>
      <c r="H52" s="6" t="str">
        <f aca="false">IF(G52&lt;&gt;0,G52*H$2/(100+H$2)," ")</f>
        <v> </v>
      </c>
      <c r="I52" s="6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A53" s="27"/>
      <c r="F53" s="2"/>
      <c r="H53" s="6" t="str">
        <f aca="false">IF(G53&lt;&gt;0,G53*H$2/(100+H$2)," ")</f>
        <v> </v>
      </c>
      <c r="I53" s="6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A54" s="27"/>
      <c r="F54" s="2"/>
      <c r="H54" s="6" t="str">
        <f aca="false">IF(G54&lt;&gt;0,G54*H$2/(100+H$2)," ")</f>
        <v> </v>
      </c>
      <c r="I54" s="6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A55" s="27"/>
      <c r="F55" s="2"/>
      <c r="H55" s="6" t="str">
        <f aca="false">IF(G55&lt;&gt;0,G55*H$2/(100+H$2)," ")</f>
        <v> </v>
      </c>
      <c r="I55" s="6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A56" s="27"/>
      <c r="F56" s="2"/>
      <c r="H56" s="6" t="str">
        <f aca="false">IF(G56&lt;&gt;0,G56*H$2/(100+H$2)," ")</f>
        <v> </v>
      </c>
      <c r="I56" s="6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A57" s="27"/>
      <c r="F57" s="2"/>
      <c r="H57" s="6" t="str">
        <f aca="false">IF(G57&lt;&gt;0,G57*H$2/(100+H$2)," ")</f>
        <v> </v>
      </c>
      <c r="I57" s="6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A58" s="27"/>
      <c r="F58" s="2"/>
      <c r="H58" s="6" t="str">
        <f aca="false">IF(G58&lt;&gt;0,G58*H$2/(100+H$2)," ")</f>
        <v> </v>
      </c>
      <c r="I58" s="6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A59" s="27"/>
      <c r="F59" s="2"/>
      <c r="H59" s="6" t="str">
        <f aca="false">IF(G59&lt;&gt;0,G59*H$2/(100+H$2)," ")</f>
        <v> </v>
      </c>
      <c r="I59" s="6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A60" s="27"/>
      <c r="F60" s="2"/>
      <c r="H60" s="6" t="str">
        <f aca="false">IF(G60&lt;&gt;0,G60*H$2/(100+H$2)," ")</f>
        <v> </v>
      </c>
      <c r="I60" s="6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A61" s="27"/>
      <c r="F61" s="2"/>
      <c r="H61" s="6" t="str">
        <f aca="false">IF(G61&lt;&gt;0,G61*H$2/(100+H$2)," ")</f>
        <v> </v>
      </c>
      <c r="I61" s="6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A62" s="27"/>
      <c r="F62" s="2"/>
      <c r="H62" s="6" t="str">
        <f aca="false">IF(G62&lt;&gt;0,G62*H$2/(100+H$2)," ")</f>
        <v> </v>
      </c>
      <c r="I62" s="6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A63" s="27"/>
      <c r="F63" s="2"/>
      <c r="H63" s="6" t="str">
        <f aca="false">IF(G63&lt;&gt;0,G63*H$2/(100+H$2)," ")</f>
        <v> </v>
      </c>
      <c r="I63" s="6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A64" s="27"/>
      <c r="F64" s="2"/>
      <c r="H64" s="6" t="str">
        <f aca="false">IF(G64&lt;&gt;0,G64*H$2/(100+H$2)," ")</f>
        <v> </v>
      </c>
      <c r="I64" s="6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A65" s="27"/>
      <c r="F65" s="2"/>
      <c r="H65" s="6" t="str">
        <f aca="false">IF(G65&lt;&gt;0,G65*H$2/(100+H$2)," ")</f>
        <v> </v>
      </c>
      <c r="I65" s="6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A66" s="27"/>
      <c r="F66" s="2"/>
      <c r="H66" s="6" t="str">
        <f aca="false">IF(G66&lt;&gt;0,G66*H$2/(100+H$2)," ")</f>
        <v> </v>
      </c>
      <c r="I66" s="6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A67" s="27"/>
      <c r="F67" s="2"/>
      <c r="H67" s="6" t="str">
        <f aca="false">IF(G67&lt;&gt;0,G67*H$2/(100+H$2)," ")</f>
        <v> </v>
      </c>
      <c r="I67" s="6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A68" s="27"/>
      <c r="F68" s="2"/>
      <c r="H68" s="6" t="str">
        <f aca="false">IF(G68&lt;&gt;0,G68*H$2/(100+H$2)," ")</f>
        <v> </v>
      </c>
      <c r="I68" s="6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A69" s="27"/>
      <c r="F69" s="2"/>
      <c r="H69" s="6" t="str">
        <f aca="false">IF(G69&lt;&gt;0,G69*H$2/(100+H$2)," ")</f>
        <v> </v>
      </c>
      <c r="I69" s="6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A70" s="27"/>
      <c r="F70" s="2"/>
      <c r="H70" s="6" t="str">
        <f aca="false">IF(G70&lt;&gt;0,G70*H$2/(100+H$2)," ")</f>
        <v> </v>
      </c>
      <c r="I70" s="6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A71" s="27"/>
      <c r="F71" s="2"/>
      <c r="H71" s="6" t="str">
        <f aca="false">IF(G71&lt;&gt;0,G71*H$2/(100+H$2)," ")</f>
        <v> </v>
      </c>
      <c r="I71" s="6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A72" s="27"/>
      <c r="F72" s="2"/>
      <c r="H72" s="6" t="str">
        <f aca="false">IF(G72&lt;&gt;0,G72*H$2/(100+H$2)," ")</f>
        <v> </v>
      </c>
      <c r="I72" s="6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A73" s="27"/>
      <c r="F73" s="2"/>
      <c r="H73" s="6" t="str">
        <f aca="false">IF(G73&lt;&gt;0,G73*H$2/(100+H$2)," ")</f>
        <v> </v>
      </c>
      <c r="I73" s="6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A74" s="27"/>
      <c r="F74" s="2"/>
      <c r="H74" s="6" t="str">
        <f aca="false">IF(G74&lt;&gt;0,G74*H$2/(100+H$2)," ")</f>
        <v> </v>
      </c>
      <c r="I74" s="6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A75" s="27"/>
      <c r="F75" s="2"/>
      <c r="H75" s="6" t="str">
        <f aca="false">IF(G75&lt;&gt;0,G75*H$2/(100+H$2)," ")</f>
        <v> </v>
      </c>
      <c r="I75" s="6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A76" s="27"/>
      <c r="F76" s="2"/>
      <c r="H76" s="6" t="str">
        <f aca="false">IF(G76&lt;&gt;0,G76*H$2/(100+H$2)," ")</f>
        <v> </v>
      </c>
      <c r="I76" s="6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A77" s="27"/>
      <c r="F77" s="2"/>
      <c r="H77" s="6" t="str">
        <f aca="false">IF(G77&lt;&gt;0,G77*H$2/(100+H$2)," ")</f>
        <v> </v>
      </c>
      <c r="I77" s="6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A78" s="27"/>
      <c r="F78" s="2"/>
      <c r="H78" s="6" t="str">
        <f aca="false">IF(G78&lt;&gt;0,G78*H$2/(100+H$2)," ")</f>
        <v> </v>
      </c>
      <c r="I78" s="6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A79" s="27"/>
      <c r="F79" s="2"/>
      <c r="H79" s="6" t="str">
        <f aca="false">IF(G79&lt;&gt;0,G79*H$2/(100+H$2)," ")</f>
        <v> </v>
      </c>
      <c r="I79" s="6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A80" s="27"/>
      <c r="F80" s="2"/>
      <c r="H80" s="6" t="str">
        <f aca="false">IF(G80&lt;&gt;0,G80*H$2/(100+H$2)," ")</f>
        <v> </v>
      </c>
      <c r="I80" s="6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A81" s="27"/>
      <c r="F81" s="2"/>
      <c r="H81" s="6" t="str">
        <f aca="false">IF(G81&lt;&gt;0,G81*H$2/(100+H$2)," ")</f>
        <v> </v>
      </c>
      <c r="I81" s="6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A82" s="27"/>
      <c r="F82" s="2"/>
      <c r="H82" s="6" t="str">
        <f aca="false">IF(G82&lt;&gt;0,G82*H$2/(100+H$2)," ")</f>
        <v> </v>
      </c>
      <c r="I82" s="6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A83" s="27"/>
      <c r="F83" s="2"/>
      <c r="H83" s="6" t="str">
        <f aca="false">IF(G83&lt;&gt;0,G83*H$2/(100+H$2)," ")</f>
        <v> </v>
      </c>
      <c r="I83" s="6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A84" s="27"/>
      <c r="F84" s="2"/>
      <c r="H84" s="6" t="str">
        <f aca="false">IF(G84&lt;&gt;0,G84*H$2/(100+H$2)," ")</f>
        <v> </v>
      </c>
      <c r="I84" s="6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A85" s="27"/>
      <c r="F85" s="2"/>
      <c r="H85" s="6" t="str">
        <f aca="false">IF(G85&lt;&gt;0,G85*H$2/(100+H$2)," ")</f>
        <v> </v>
      </c>
      <c r="I85" s="6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A86" s="27"/>
      <c r="F86" s="2"/>
      <c r="H86" s="6" t="str">
        <f aca="false">IF(G86&lt;&gt;0,G86*H$2/(100+H$2)," ")</f>
        <v> </v>
      </c>
      <c r="I86" s="6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A87" s="27"/>
      <c r="F87" s="2"/>
      <c r="H87" s="6" t="str">
        <f aca="false">IF(G87&lt;&gt;0,G87*H$2/(100+H$2)," ")</f>
        <v> </v>
      </c>
      <c r="I87" s="6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A88" s="27"/>
      <c r="F88" s="2"/>
      <c r="H88" s="6" t="str">
        <f aca="false">IF(G88&lt;&gt;0,G88*H$2/(100+H$2)," ")</f>
        <v> </v>
      </c>
      <c r="I88" s="6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A89" s="27"/>
      <c r="F89" s="2"/>
      <c r="H89" s="6" t="str">
        <f aca="false">IF(G89&lt;&gt;0,G89*H$2/(100+H$2)," ")</f>
        <v> </v>
      </c>
      <c r="I89" s="6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A90" s="27"/>
      <c r="F90" s="2"/>
      <c r="H90" s="6" t="str">
        <f aca="false">IF(G90&lt;&gt;0,G90*H$2/(100+H$2)," ")</f>
        <v> </v>
      </c>
      <c r="I90" s="6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A91" s="27"/>
      <c r="F91" s="2"/>
      <c r="H91" s="6" t="str">
        <f aca="false">IF(G91&lt;&gt;0,G91*H$2/(100+H$2)," ")</f>
        <v> </v>
      </c>
      <c r="I91" s="6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A92" s="27"/>
      <c r="F92" s="2"/>
      <c r="H92" s="6" t="str">
        <f aca="false">IF(G92&lt;&gt;0,G92*H$2/(100+H$2)," ")</f>
        <v> </v>
      </c>
      <c r="I92" s="6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A93" s="27"/>
      <c r="F93" s="2"/>
      <c r="H93" s="6" t="str">
        <f aca="false">IF(G93&lt;&gt;0,G93*H$2/(100+H$2)," ")</f>
        <v> </v>
      </c>
      <c r="I93" s="6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A94" s="27"/>
      <c r="F94" s="2"/>
      <c r="H94" s="6" t="str">
        <f aca="false">IF(G94&lt;&gt;0,G94*H$2/(100+H$2)," ")</f>
        <v> </v>
      </c>
      <c r="I94" s="6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A95" s="27"/>
      <c r="F95" s="2"/>
      <c r="H95" s="6" t="str">
        <f aca="false">IF(G95&lt;&gt;0,G95*H$2/(100+H$2)," ")</f>
        <v> </v>
      </c>
      <c r="I95" s="6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A96" s="27"/>
      <c r="F96" s="2"/>
      <c r="H96" s="6" t="str">
        <f aca="false">IF(G96&lt;&gt;0,G96*H$2/(100+H$2)," ")</f>
        <v> </v>
      </c>
      <c r="I96" s="6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A97" s="27"/>
      <c r="F97" s="2"/>
      <c r="H97" s="6" t="str">
        <f aca="false">IF(G97&lt;&gt;0,G97*H$2/(100+H$2)," ")</f>
        <v> </v>
      </c>
      <c r="I97" s="6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A98" s="27"/>
      <c r="F98" s="2"/>
      <c r="H98" s="6" t="str">
        <f aca="false">IF(G98&lt;&gt;0,G98*H$2/(100+H$2)," ")</f>
        <v> </v>
      </c>
      <c r="I98" s="6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A99" s="27"/>
      <c r="F99" s="2"/>
      <c r="H99" s="6" t="str">
        <f aca="false">IF(G99&lt;&gt;0,G99*H$2/(100+H$2)," ")</f>
        <v> </v>
      </c>
      <c r="I99" s="6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A100" s="27"/>
      <c r="F100" s="2"/>
      <c r="H100" s="6" t="str">
        <f aca="false">IF(G100&lt;&gt;0,G100*H$2/(100+H$2)," ")</f>
        <v> </v>
      </c>
      <c r="I100" s="6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A101" s="27"/>
      <c r="F101" s="2"/>
      <c r="H101" s="6" t="str">
        <f aca="false">IF(G101&lt;&gt;0,G101*H$2/(100+H$2)," ")</f>
        <v> </v>
      </c>
      <c r="I101" s="6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A102" s="27"/>
      <c r="F102" s="2"/>
      <c r="H102" s="6" t="str">
        <f aca="false">IF(G102&lt;&gt;0,G102*H$2/(100+H$2)," ")</f>
        <v> </v>
      </c>
      <c r="I102" s="6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A103" s="27"/>
      <c r="F103" s="2"/>
      <c r="H103" s="6" t="str">
        <f aca="false">IF(G103&lt;&gt;0,G103*H$2/(100+H$2)," ")</f>
        <v> </v>
      </c>
      <c r="I103" s="6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A104" s="27"/>
      <c r="F104" s="2"/>
      <c r="H104" s="6" t="str">
        <f aca="false">IF(G104&lt;&gt;0,G104*H$2/(100+H$2)," ")</f>
        <v> </v>
      </c>
      <c r="I104" s="6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A105" s="27"/>
      <c r="F105" s="2"/>
      <c r="H105" s="6" t="str">
        <f aca="false">IF(G105&lt;&gt;0,G105*H$2/(100+H$2)," ")</f>
        <v> </v>
      </c>
      <c r="I105" s="6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A106" s="27"/>
      <c r="F106" s="2"/>
      <c r="H106" s="6" t="str">
        <f aca="false">IF(G106&lt;&gt;0,G106*H$2/(100+H$2)," ")</f>
        <v> </v>
      </c>
      <c r="I106" s="6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A107" s="27"/>
      <c r="F107" s="2"/>
      <c r="H107" s="6" t="str">
        <f aca="false">IF(G107&lt;&gt;0,G107*H$2/(100+H$2)," ")</f>
        <v> </v>
      </c>
      <c r="I107" s="6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A108" s="27"/>
      <c r="F108" s="2"/>
      <c r="H108" s="6" t="str">
        <f aca="false">IF(G108&lt;&gt;0,G108*H$2/(100+H$2)," ")</f>
        <v> </v>
      </c>
      <c r="I108" s="6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A109" s="27"/>
      <c r="F109" s="2"/>
      <c r="H109" s="6" t="str">
        <f aca="false">IF(G109&lt;&gt;0,G109*H$2/(100+H$2)," ")</f>
        <v> </v>
      </c>
      <c r="I109" s="6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A110" s="27"/>
      <c r="F110" s="2"/>
      <c r="H110" s="6" t="str">
        <f aca="false">IF(G110&lt;&gt;0,G110*H$2/(100+H$2)," ")</f>
        <v> </v>
      </c>
      <c r="I110" s="6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A111" s="27"/>
      <c r="F111" s="2"/>
      <c r="H111" s="6" t="str">
        <f aca="false">IF(G111&lt;&gt;0,G111*H$2/(100+H$2)," ")</f>
        <v> </v>
      </c>
      <c r="I111" s="6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A112" s="27"/>
      <c r="F112" s="2"/>
      <c r="H112" s="6" t="str">
        <f aca="false">IF(G112&lt;&gt;0,G112*H$2/(100+H$2)," ")</f>
        <v> </v>
      </c>
      <c r="I112" s="6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A113" s="27"/>
      <c r="F113" s="2"/>
      <c r="H113" s="6" t="str">
        <f aca="false">IF(G113&lt;&gt;0,G113*H$2/(100+H$2)," ")</f>
        <v> </v>
      </c>
      <c r="I113" s="6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A114" s="27"/>
      <c r="F114" s="2"/>
      <c r="H114" s="6" t="str">
        <f aca="false">IF(G114&lt;&gt;0,G114*H$2/(100+H$2)," ")</f>
        <v> </v>
      </c>
      <c r="I114" s="6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A115" s="27"/>
      <c r="F115" s="2"/>
      <c r="H115" s="6" t="str">
        <f aca="false">IF(G115&lt;&gt;0,G115*H$2/(100+H$2)," ")</f>
        <v> </v>
      </c>
      <c r="I115" s="6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A116" s="27"/>
      <c r="F116" s="2"/>
      <c r="H116" s="6" t="str">
        <f aca="false">IF(G116&lt;&gt;0,G116*H$2/(100+H$2)," ")</f>
        <v> </v>
      </c>
      <c r="I116" s="6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A117" s="27"/>
      <c r="F117" s="2"/>
      <c r="H117" s="6" t="str">
        <f aca="false">IF(G117&lt;&gt;0,G117*H$2/(100+H$2)," ")</f>
        <v> </v>
      </c>
      <c r="I117" s="6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A118" s="27"/>
      <c r="F118" s="2"/>
      <c r="H118" s="6" t="str">
        <f aca="false">IF(G118&lt;&gt;0,G118*H$2/(100+H$2)," ")</f>
        <v> </v>
      </c>
      <c r="I118" s="6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A119" s="27"/>
      <c r="F119" s="2"/>
      <c r="H119" s="6" t="str">
        <f aca="false">IF(G119&lt;&gt;0,G119*H$2/(100+H$2)," ")</f>
        <v> </v>
      </c>
      <c r="I119" s="6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A120" s="27"/>
      <c r="F120" s="2"/>
      <c r="H120" s="6" t="str">
        <f aca="false">IF(G120&lt;&gt;0,G120*H$2/(100+H$2)," ")</f>
        <v> </v>
      </c>
      <c r="I120" s="6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A121" s="27"/>
      <c r="F121" s="2"/>
      <c r="H121" s="6" t="str">
        <f aca="false">IF(G121&lt;&gt;0,G121*H$2/(100+H$2)," ")</f>
        <v> </v>
      </c>
      <c r="I121" s="6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A122" s="27"/>
      <c r="F122" s="2"/>
      <c r="H122" s="6" t="str">
        <f aca="false">IF(G122&lt;&gt;0,G122*H$2/(100+H$2)," ")</f>
        <v> </v>
      </c>
      <c r="I122" s="6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A123" s="27"/>
      <c r="F123" s="2"/>
      <c r="H123" s="6" t="str">
        <f aca="false">IF(G123&lt;&gt;0,G123*H$2/(100+H$2)," ")</f>
        <v> </v>
      </c>
      <c r="I123" s="6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A124" s="27"/>
      <c r="F124" s="2"/>
      <c r="H124" s="6" t="str">
        <f aca="false">IF(G124&lt;&gt;0,G124*H$2/(100+H$2)," ")</f>
        <v> </v>
      </c>
      <c r="I124" s="6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A125" s="27"/>
      <c r="F125" s="2"/>
      <c r="H125" s="6" t="str">
        <f aca="false">IF(G125&lt;&gt;0,G125*H$2/(100+H$2)," ")</f>
        <v> </v>
      </c>
      <c r="I125" s="6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A126" s="27"/>
      <c r="F126" s="2"/>
      <c r="H126" s="6" t="str">
        <f aca="false">IF(G126&lt;&gt;0,G126*H$2/(100+H$2)," ")</f>
        <v> </v>
      </c>
      <c r="I126" s="6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A127" s="27"/>
      <c r="F127" s="2"/>
      <c r="H127" s="6" t="str">
        <f aca="false">IF(G127&lt;&gt;0,G127*H$2/(100+H$2)," ")</f>
        <v> </v>
      </c>
      <c r="I127" s="6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A128" s="27"/>
      <c r="F128" s="2"/>
      <c r="H128" s="6" t="str">
        <f aca="false">IF(G128&lt;&gt;0,G128*H$2/(100+H$2)," ")</f>
        <v> </v>
      </c>
      <c r="I128" s="6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A129" s="27"/>
      <c r="F129" s="2"/>
      <c r="H129" s="6" t="str">
        <f aca="false">IF(G129&lt;&gt;0,G129*H$2/(100+H$2)," ")</f>
        <v> </v>
      </c>
      <c r="I129" s="6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A130" s="27"/>
      <c r="F130" s="2"/>
      <c r="H130" s="6" t="str">
        <f aca="false">IF(G130&lt;&gt;0,G130*H$2/(100+H$2)," ")</f>
        <v> </v>
      </c>
      <c r="I130" s="6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A131" s="27"/>
      <c r="F131" s="2"/>
      <c r="H131" s="6" t="str">
        <f aca="false">IF(G131&lt;&gt;0,G131*H$2/(100+H$2)," ")</f>
        <v> </v>
      </c>
      <c r="I131" s="6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A132" s="27"/>
      <c r="F132" s="2"/>
      <c r="H132" s="6" t="str">
        <f aca="false">IF(G132&lt;&gt;0,G132*H$2/(100+H$2)," ")</f>
        <v> </v>
      </c>
      <c r="I132" s="6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A133" s="27"/>
      <c r="F133" s="2"/>
      <c r="H133" s="6" t="str">
        <f aca="false">IF(G133&lt;&gt;0,G133*H$2/(100+H$2)," ")</f>
        <v> </v>
      </c>
      <c r="I133" s="6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A134" s="27"/>
      <c r="F134" s="2"/>
      <c r="H134" s="6" t="str">
        <f aca="false">IF(G134&lt;&gt;0,G134*H$2/(100+H$2)," ")</f>
        <v> </v>
      </c>
      <c r="I134" s="6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A135" s="27"/>
      <c r="F135" s="2"/>
      <c r="H135" s="6" t="str">
        <f aca="false">IF(G135&lt;&gt;0,G135*H$2/(100+H$2)," ")</f>
        <v> </v>
      </c>
      <c r="I135" s="6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A136" s="27"/>
      <c r="F136" s="2"/>
      <c r="H136" s="6" t="str">
        <f aca="false">IF(G136&lt;&gt;0,G136*H$2/(100+H$2)," ")</f>
        <v> </v>
      </c>
      <c r="I136" s="6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A137" s="27"/>
      <c r="F137" s="2"/>
      <c r="H137" s="6" t="str">
        <f aca="false">IF(G137&lt;&gt;0,G137*H$2/(100+H$2)," ")</f>
        <v> </v>
      </c>
      <c r="I137" s="6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A138" s="27"/>
      <c r="F138" s="2"/>
      <c r="H138" s="6" t="str">
        <f aca="false">IF(G138&lt;&gt;0,G138*H$2/(100+H$2)," ")</f>
        <v> </v>
      </c>
      <c r="I138" s="6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A139" s="27"/>
      <c r="F139" s="2"/>
      <c r="H139" s="6" t="str">
        <f aca="false">IF(G139&lt;&gt;0,G139*H$2/(100+H$2)," ")</f>
        <v> </v>
      </c>
      <c r="I139" s="6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A140" s="27"/>
      <c r="F140" s="2"/>
      <c r="H140" s="6" t="str">
        <f aca="false">IF(G140&lt;&gt;0,G140*H$2/(100+H$2)," ")</f>
        <v> </v>
      </c>
      <c r="I140" s="6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A141" s="27"/>
      <c r="F141" s="2"/>
      <c r="H141" s="6" t="str">
        <f aca="false">IF(G141&lt;&gt;0,G141*H$2/(100+H$2)," ")</f>
        <v> </v>
      </c>
      <c r="I141" s="6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A142" s="27"/>
      <c r="F142" s="2"/>
      <c r="H142" s="6" t="str">
        <f aca="false">IF(G142&lt;&gt;0,G142*H$2/(100+H$2)," ")</f>
        <v> </v>
      </c>
      <c r="I142" s="6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A143" s="27"/>
      <c r="F143" s="2"/>
      <c r="H143" s="6" t="str">
        <f aca="false">IF(G143&lt;&gt;0,G143*H$2/(100+H$2)," ")</f>
        <v> </v>
      </c>
      <c r="I143" s="6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A144" s="27"/>
      <c r="F144" s="2"/>
      <c r="H144" s="6" t="str">
        <f aca="false">IF(G144&lt;&gt;0,G144*H$2/(100+H$2)," ")</f>
        <v> </v>
      </c>
      <c r="I144" s="6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A145" s="27"/>
      <c r="F145" s="2"/>
      <c r="H145" s="6" t="str">
        <f aca="false">IF(G145&lt;&gt;0,G145*H$2/(100+H$2)," ")</f>
        <v> </v>
      </c>
      <c r="I145" s="6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A146" s="27"/>
      <c r="F146" s="2"/>
      <c r="H146" s="6" t="str">
        <f aca="false">IF(G146&lt;&gt;0,G146*H$2/(100+H$2)," ")</f>
        <v> </v>
      </c>
      <c r="I146" s="6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A147" s="27"/>
      <c r="F147" s="2"/>
      <c r="H147" s="6" t="str">
        <f aca="false">IF(G147&lt;&gt;0,G147*H$2/(100+H$2)," ")</f>
        <v> </v>
      </c>
      <c r="I147" s="6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A148" s="27"/>
      <c r="F148" s="2"/>
      <c r="H148" s="6" t="str">
        <f aca="false">IF(G148&lt;&gt;0,G148*H$2/(100+H$2)," ")</f>
        <v> </v>
      </c>
      <c r="I148" s="6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A149" s="27"/>
      <c r="F149" s="2"/>
      <c r="H149" s="6" t="str">
        <f aca="false">IF(G149&lt;&gt;0,G149*H$2/(100+H$2)," ")</f>
        <v> </v>
      </c>
      <c r="I149" s="6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A150" s="27"/>
      <c r="F150" s="2"/>
      <c r="H150" s="6" t="str">
        <f aca="false">IF(G150&lt;&gt;0,G150*H$2/(100+H$2)," ")</f>
        <v> </v>
      </c>
      <c r="I150" s="6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A151" s="27"/>
      <c r="F151" s="2"/>
      <c r="H151" s="6" t="str">
        <f aca="false">IF(G151&lt;&gt;0,G151*H$2/(100+H$2)," ")</f>
        <v> </v>
      </c>
      <c r="I151" s="6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A152" s="27"/>
      <c r="F152" s="2"/>
      <c r="H152" s="6" t="str">
        <f aca="false">IF(G152&lt;&gt;0,G152*H$2/(100+H$2)," ")</f>
        <v> </v>
      </c>
      <c r="I152" s="6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A153" s="27"/>
      <c r="F153" s="2"/>
      <c r="H153" s="6" t="str">
        <f aca="false">IF(G153&lt;&gt;0,G153*H$2/(100+H$2)," ")</f>
        <v> </v>
      </c>
      <c r="I153" s="6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A154" s="27"/>
      <c r="F154" s="2"/>
      <c r="H154" s="6" t="str">
        <f aca="false">IF(G154&lt;&gt;0,G154*H$2/(100+H$2)," ")</f>
        <v> </v>
      </c>
      <c r="I154" s="6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A155" s="27"/>
      <c r="F155" s="2"/>
      <c r="H155" s="6" t="str">
        <f aca="false">IF(G155&lt;&gt;0,G155*H$2/(100+H$2)," ")</f>
        <v> </v>
      </c>
      <c r="I155" s="6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A156" s="27"/>
      <c r="F156" s="2"/>
      <c r="H156" s="6" t="str">
        <f aca="false">IF(G156&lt;&gt;0,G156*H$2/(100+H$2)," ")</f>
        <v> </v>
      </c>
      <c r="I156" s="6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A157" s="27"/>
      <c r="F157" s="2"/>
      <c r="H157" s="6" t="str">
        <f aca="false">IF(G157&lt;&gt;0,G157*H$2/(100+H$2)," ")</f>
        <v> </v>
      </c>
      <c r="I157" s="6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A158" s="27"/>
      <c r="F158" s="2"/>
      <c r="H158" s="6" t="str">
        <f aca="false">IF(G158&lt;&gt;0,G158*H$2/(100+H$2)," ")</f>
        <v> </v>
      </c>
      <c r="I158" s="6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A159" s="27"/>
      <c r="F159" s="2"/>
      <c r="H159" s="6" t="str">
        <f aca="false">IF(G159&lt;&gt;0,G159*H$2/(100+H$2)," ")</f>
        <v> </v>
      </c>
      <c r="I159" s="6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A160" s="27"/>
      <c r="F160" s="2"/>
      <c r="H160" s="6" t="str">
        <f aca="false">IF(G160&lt;&gt;0,G160*H$2/(100+H$2)," ")</f>
        <v> </v>
      </c>
      <c r="I160" s="6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A161" s="27"/>
      <c r="F161" s="2"/>
      <c r="H161" s="6" t="str">
        <f aca="false">IF(G161&lt;&gt;0,G161*H$2/(100+H$2)," ")</f>
        <v> </v>
      </c>
      <c r="I161" s="6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A162" s="27"/>
      <c r="F162" s="2"/>
      <c r="H162" s="6" t="str">
        <f aca="false">IF(G162&lt;&gt;0,G162*H$2/(100+H$2)," ")</f>
        <v> </v>
      </c>
      <c r="I162" s="6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A163" s="27"/>
      <c r="F163" s="2"/>
      <c r="H163" s="6" t="str">
        <f aca="false">IF(G163&lt;&gt;0,G163*H$2/(100+H$2)," ")</f>
        <v> </v>
      </c>
      <c r="I163" s="6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A164" s="27"/>
      <c r="F164" s="2"/>
      <c r="H164" s="6" t="str">
        <f aca="false">IF(G164&lt;&gt;0,G164*H$2/(100+H$2)," ")</f>
        <v> </v>
      </c>
      <c r="I164" s="6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A165" s="27"/>
      <c r="F165" s="2"/>
      <c r="H165" s="6" t="str">
        <f aca="false">IF(G165&lt;&gt;0,G165*H$2/(100+H$2)," ")</f>
        <v> </v>
      </c>
      <c r="I165" s="6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A166" s="27"/>
      <c r="F166" s="2"/>
      <c r="H166" s="6" t="str">
        <f aca="false">IF(G166&lt;&gt;0,G166*H$2/(100+H$2)," ")</f>
        <v> </v>
      </c>
      <c r="I166" s="6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A167" s="27"/>
      <c r="F167" s="2"/>
      <c r="H167" s="6" t="str">
        <f aca="false">IF(G167&lt;&gt;0,G167*H$2/(100+H$2)," ")</f>
        <v> </v>
      </c>
      <c r="I167" s="6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A168" s="27"/>
      <c r="F168" s="2"/>
      <c r="H168" s="6" t="str">
        <f aca="false">IF(G168&lt;&gt;0,G168*H$2/(100+H$2)," ")</f>
        <v> </v>
      </c>
      <c r="I168" s="6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A169" s="27"/>
      <c r="F169" s="2"/>
      <c r="H169" s="6" t="str">
        <f aca="false">IF(G169&lt;&gt;0,G169*H$2/(100+H$2)," ")</f>
        <v> </v>
      </c>
      <c r="I169" s="6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A170" s="27"/>
      <c r="F170" s="2"/>
      <c r="H170" s="6" t="str">
        <f aca="false">IF(G170&lt;&gt;0,G170*H$2/(100+H$2)," ")</f>
        <v> </v>
      </c>
      <c r="I170" s="6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A171" s="27"/>
      <c r="F171" s="2"/>
      <c r="H171" s="6" t="str">
        <f aca="false">IF(G171&lt;&gt;0,G171*H$2/(100+H$2)," ")</f>
        <v> </v>
      </c>
      <c r="I171" s="6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A172" s="27"/>
      <c r="F172" s="2"/>
      <c r="H172" s="6" t="str">
        <f aca="false">IF(G172&lt;&gt;0,G172*H$2/(100+H$2)," ")</f>
        <v> </v>
      </c>
      <c r="I172" s="6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A173" s="27"/>
      <c r="F173" s="2"/>
      <c r="H173" s="6" t="str">
        <f aca="false">IF(G173&lt;&gt;0,G173*H$2/(100+H$2)," ")</f>
        <v> </v>
      </c>
      <c r="I173" s="6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A174" s="27"/>
      <c r="F174" s="2"/>
      <c r="H174" s="6" t="str">
        <f aca="false">IF(G174&lt;&gt;0,G174*H$2/(100+H$2)," ")</f>
        <v> </v>
      </c>
      <c r="I174" s="6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A175" s="27"/>
      <c r="F175" s="2"/>
      <c r="H175" s="6" t="str">
        <f aca="false">IF(G175&lt;&gt;0,G175*H$2/(100+H$2)," ")</f>
        <v> </v>
      </c>
      <c r="I175" s="6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A176" s="27"/>
      <c r="F176" s="2"/>
      <c r="H176" s="6" t="str">
        <f aca="false">IF(G176&lt;&gt;0,G176*H$2/(100+H$2)," ")</f>
        <v> </v>
      </c>
      <c r="I176" s="6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A177" s="27"/>
      <c r="F177" s="2"/>
      <c r="H177" s="6" t="str">
        <f aca="false">IF(G177&lt;&gt;0,G177*H$2/(100+H$2)," ")</f>
        <v> </v>
      </c>
      <c r="I177" s="6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A178" s="27"/>
      <c r="F178" s="2"/>
      <c r="H178" s="6" t="str">
        <f aca="false">IF(G178&lt;&gt;0,G178*H$2/(100+H$2)," ")</f>
        <v> </v>
      </c>
      <c r="I178" s="6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A179" s="27"/>
      <c r="F179" s="2"/>
      <c r="H179" s="6" t="str">
        <f aca="false">IF(G179&lt;&gt;0,G179*H$2/(100+H$2)," ")</f>
        <v> </v>
      </c>
      <c r="I179" s="6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A180" s="27"/>
      <c r="F180" s="2"/>
      <c r="H180" s="6" t="str">
        <f aca="false">IF(G180&lt;&gt;0,G180*H$2/(100+H$2)," ")</f>
        <v> </v>
      </c>
      <c r="I180" s="6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A181" s="27"/>
      <c r="F181" s="2"/>
      <c r="H181" s="6" t="str">
        <f aca="false">IF(G181&lt;&gt;0,G181*H$2/(100+H$2)," ")</f>
        <v> </v>
      </c>
      <c r="I181" s="6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A182" s="27"/>
      <c r="F182" s="2"/>
      <c r="H182" s="6" t="str">
        <f aca="false">IF(G182&lt;&gt;0,G182*H$2/(100+H$2)," ")</f>
        <v> </v>
      </c>
      <c r="I182" s="6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A183" s="27"/>
      <c r="F183" s="2"/>
      <c r="H183" s="6" t="str">
        <f aca="false">IF(G183&lt;&gt;0,G183*H$2/(100+H$2)," ")</f>
        <v> </v>
      </c>
      <c r="I183" s="6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A184" s="27"/>
      <c r="F184" s="2"/>
      <c r="H184" s="6" t="str">
        <f aca="false">IF(G184&lt;&gt;0,G184*H$2/(100+H$2)," ")</f>
        <v> </v>
      </c>
      <c r="I184" s="6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A185" s="27"/>
      <c r="F185" s="2"/>
      <c r="H185" s="6" t="str">
        <f aca="false">IF(G185&lt;&gt;0,G185*H$2/(100+H$2)," ")</f>
        <v> </v>
      </c>
      <c r="I185" s="6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A186" s="27"/>
      <c r="F186" s="2"/>
      <c r="H186" s="6" t="str">
        <f aca="false">IF(G186&lt;&gt;0,G186*H$2/(100+H$2)," ")</f>
        <v> </v>
      </c>
      <c r="I186" s="6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A187" s="27"/>
      <c r="F187" s="2"/>
      <c r="H187" s="6" t="str">
        <f aca="false">IF(G187&lt;&gt;0,G187*H$2/(100+H$2)," ")</f>
        <v> </v>
      </c>
      <c r="I187" s="6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A188" s="27"/>
      <c r="F188" s="2"/>
      <c r="H188" s="6" t="str">
        <f aca="false">IF(G188&lt;&gt;0,G188*H$2/(100+H$2)," ")</f>
        <v> </v>
      </c>
      <c r="I188" s="6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A189" s="27"/>
      <c r="F189" s="2"/>
      <c r="H189" s="6" t="str">
        <f aca="false">IF(G189&lt;&gt;0,G189*H$2/(100+H$2)," ")</f>
        <v> </v>
      </c>
      <c r="I189" s="6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A190" s="27"/>
      <c r="F190" s="2"/>
      <c r="H190" s="6" t="str">
        <f aca="false">IF(G190&lt;&gt;0,G190*H$2/(100+H$2)," ")</f>
        <v> </v>
      </c>
      <c r="I190" s="6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A191" s="27"/>
      <c r="F191" s="2"/>
      <c r="H191" s="6" t="str">
        <f aca="false">IF(G191&lt;&gt;0,G191*H$2/(100+H$2)," ")</f>
        <v> </v>
      </c>
      <c r="I191" s="6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A192" s="27"/>
      <c r="F192" s="2"/>
      <c r="H192" s="6" t="str">
        <f aca="false">IF(G192&lt;&gt;0,G192*H$2/(100+H$2)," ")</f>
        <v> </v>
      </c>
      <c r="I192" s="6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A193" s="27"/>
      <c r="F193" s="2"/>
      <c r="H193" s="6" t="str">
        <f aca="false">IF(G193&lt;&gt;0,G193*H$2/(100+H$2)," ")</f>
        <v> </v>
      </c>
      <c r="I193" s="6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A194" s="27"/>
      <c r="F194" s="2"/>
      <c r="H194" s="6" t="str">
        <f aca="false">IF(G194&lt;&gt;0,G194*H$2/(100+H$2)," ")</f>
        <v> </v>
      </c>
      <c r="I194" s="6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A195" s="27"/>
      <c r="F195" s="2"/>
      <c r="H195" s="6" t="str">
        <f aca="false">IF(G195&lt;&gt;0,G195*H$2/(100+H$2)," ")</f>
        <v> </v>
      </c>
      <c r="I195" s="6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A196" s="27"/>
      <c r="F196" s="2"/>
      <c r="H196" s="6" t="str">
        <f aca="false">IF(G196&lt;&gt;0,G196*H$2/(100+H$2)," ")</f>
        <v> </v>
      </c>
      <c r="I196" s="6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A197" s="27"/>
      <c r="F197" s="2"/>
      <c r="H197" s="6" t="str">
        <f aca="false">IF(G197&lt;&gt;0,G197*H$2/(100+H$2)," ")</f>
        <v> </v>
      </c>
      <c r="I197" s="6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A198" s="27"/>
      <c r="F198" s="2"/>
      <c r="H198" s="6" t="str">
        <f aca="false">IF(G198&lt;&gt;0,G198*H$2/(100+H$2)," ")</f>
        <v> </v>
      </c>
      <c r="I198" s="6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A199" s="27"/>
      <c r="F199" s="2"/>
      <c r="H199" s="6" t="str">
        <f aca="false">IF(G199&lt;&gt;0,G199*H$2/(100+H$2)," ")</f>
        <v> </v>
      </c>
      <c r="I199" s="6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A200" s="27"/>
      <c r="F200" s="2"/>
      <c r="H200" s="6" t="str">
        <f aca="false">IF(G200&lt;&gt;0,G200*H$2/(100+H$2)," ")</f>
        <v> </v>
      </c>
      <c r="I200" s="6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A201" s="27"/>
      <c r="F201" s="2"/>
      <c r="H201" s="6" t="str">
        <f aca="false">IF(G201&lt;&gt;0,G201*H$2/(100+H$2)," ")</f>
        <v> </v>
      </c>
      <c r="I201" s="6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A202" s="27"/>
      <c r="F202" s="2"/>
      <c r="H202" s="6" t="str">
        <f aca="false">IF(G202&lt;&gt;0,G202*H$2/(100+H$2)," ")</f>
        <v> </v>
      </c>
      <c r="I202" s="6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A203" s="27"/>
      <c r="F203" s="2"/>
      <c r="H203" s="6" t="str">
        <f aca="false">IF(G203&lt;&gt;0,G203*H$2/(100+H$2)," ")</f>
        <v> </v>
      </c>
      <c r="I203" s="6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A204" s="27"/>
      <c r="F204" s="2"/>
      <c r="H204" s="6" t="str">
        <f aca="false">IF(G204&lt;&gt;0,G204*H$2/(100+H$2)," ")</f>
        <v> </v>
      </c>
      <c r="I204" s="6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A205" s="27"/>
      <c r="F205" s="2"/>
      <c r="H205" s="6" t="str">
        <f aca="false">IF(G205&lt;&gt;0,G205*H$2/(100+H$2)," ")</f>
        <v> </v>
      </c>
      <c r="I205" s="6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A206" s="27"/>
      <c r="F206" s="2"/>
      <c r="H206" s="6" t="str">
        <f aca="false">IF(G206&lt;&gt;0,G206*H$2/(100+H$2)," ")</f>
        <v> </v>
      </c>
      <c r="I206" s="6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A207" s="27"/>
      <c r="F207" s="2"/>
      <c r="H207" s="6" t="str">
        <f aca="false">IF(G207&lt;&gt;0,G207*H$2/(100+H$2)," ")</f>
        <v> </v>
      </c>
      <c r="I207" s="6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A208" s="27"/>
      <c r="F208" s="2"/>
      <c r="H208" s="6" t="str">
        <f aca="false">IF(G208&lt;&gt;0,G208*H$2/(100+H$2)," ")</f>
        <v> </v>
      </c>
      <c r="I208" s="6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A209" s="27"/>
      <c r="F209" s="2"/>
      <c r="H209" s="6" t="str">
        <f aca="false">IF(G209&lt;&gt;0,G209*H$2/(100+H$2)," ")</f>
        <v> </v>
      </c>
      <c r="I209" s="6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A210" s="27"/>
      <c r="F210" s="2"/>
      <c r="H210" s="6" t="str">
        <f aca="false">IF(G210&lt;&gt;0,G210*H$2/(100+H$2)," ")</f>
        <v> </v>
      </c>
      <c r="I210" s="6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A211" s="27"/>
      <c r="F211" s="2"/>
      <c r="H211" s="6" t="str">
        <f aca="false">IF(G211&lt;&gt;0,G211*H$2/(100+H$2)," ")</f>
        <v> </v>
      </c>
      <c r="I211" s="6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A212" s="27"/>
      <c r="F212" s="2"/>
      <c r="H212" s="6" t="str">
        <f aca="false">IF(G212&lt;&gt;0,G212*H$2/(100+H$2)," ")</f>
        <v> </v>
      </c>
      <c r="I212" s="6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A213" s="27"/>
      <c r="F213" s="2"/>
      <c r="H213" s="6" t="str">
        <f aca="false">IF(G213&lt;&gt;0,G213*H$2/(100+H$2)," ")</f>
        <v> </v>
      </c>
      <c r="I213" s="6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A214" s="27"/>
      <c r="F214" s="2"/>
      <c r="H214" s="6" t="str">
        <f aca="false">IF(G214&lt;&gt;0,G214*H$2/(100+H$2)," ")</f>
        <v> </v>
      </c>
      <c r="I214" s="6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A215" s="27"/>
      <c r="F215" s="2"/>
      <c r="H215" s="6" t="str">
        <f aca="false">IF(G215&lt;&gt;0,G215*H$2/(100+H$2)," ")</f>
        <v> </v>
      </c>
      <c r="I215" s="6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A216" s="27"/>
      <c r="F216" s="2"/>
      <c r="H216" s="6" t="str">
        <f aca="false">IF(G216&lt;&gt;0,G216*H$2/(100+H$2)," ")</f>
        <v> </v>
      </c>
      <c r="I216" s="6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A217" s="27"/>
      <c r="F217" s="2"/>
      <c r="H217" s="6" t="str">
        <f aca="false">IF(G217&lt;&gt;0,G217*H$2/(100+H$2)," ")</f>
        <v> </v>
      </c>
      <c r="I217" s="6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A218" s="27"/>
      <c r="F218" s="2"/>
      <c r="H218" s="6" t="str">
        <f aca="false">IF(G218&lt;&gt;0,G218*H$2/(100+H$2)," ")</f>
        <v> </v>
      </c>
      <c r="I218" s="6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A219" s="27"/>
      <c r="F219" s="2"/>
      <c r="H219" s="6" t="str">
        <f aca="false">IF(G219&lt;&gt;0,G219*H$2/(100+H$2)," ")</f>
        <v> </v>
      </c>
      <c r="I219" s="6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A220" s="27"/>
      <c r="F220" s="2"/>
      <c r="H220" s="6" t="str">
        <f aca="false">IF(G220&lt;&gt;0,G220*H$2/(100+H$2)," ")</f>
        <v> </v>
      </c>
      <c r="I220" s="6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A221" s="27"/>
      <c r="F221" s="2"/>
      <c r="H221" s="6" t="str">
        <f aca="false">IF(G221&lt;&gt;0,G221*H$2/(100+H$2)," ")</f>
        <v> </v>
      </c>
      <c r="I221" s="6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A222" s="27"/>
      <c r="F222" s="2"/>
      <c r="H222" s="6" t="str">
        <f aca="false">IF(G222&lt;&gt;0,G222*H$2/(100+H$2)," ")</f>
        <v> </v>
      </c>
      <c r="I222" s="6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A223" s="27"/>
      <c r="F223" s="2"/>
      <c r="H223" s="6" t="str">
        <f aca="false">IF(G223&lt;&gt;0,G223*H$2/(100+H$2)," ")</f>
        <v> </v>
      </c>
      <c r="I223" s="6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A224" s="27"/>
      <c r="F224" s="2"/>
      <c r="H224" s="6" t="str">
        <f aca="false">IF(G224&lt;&gt;0,G224*H$2/(100+H$2)," ")</f>
        <v> </v>
      </c>
      <c r="I224" s="6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A225" s="27"/>
      <c r="F225" s="2"/>
      <c r="H225" s="6" t="str">
        <f aca="false">IF(G225&lt;&gt;0,G225*H$2/(100+H$2)," ")</f>
        <v> </v>
      </c>
      <c r="I225" s="6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A226" s="27"/>
      <c r="F226" s="2"/>
      <c r="H226" s="6" t="str">
        <f aca="false">IF(G226&lt;&gt;0,G226*H$2/(100+H$2)," ")</f>
        <v> </v>
      </c>
      <c r="I226" s="6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A227" s="27"/>
      <c r="F227" s="2"/>
      <c r="H227" s="6" t="str">
        <f aca="false">IF(G227&lt;&gt;0,G227*H$2/(100+H$2)," ")</f>
        <v> </v>
      </c>
      <c r="I227" s="6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A228" s="27"/>
      <c r="F228" s="2"/>
      <c r="H228" s="6" t="str">
        <f aca="false">IF(G228&lt;&gt;0,G228*H$2/(100+H$2)," ")</f>
        <v> </v>
      </c>
      <c r="I228" s="6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A229" s="27"/>
      <c r="F229" s="2"/>
      <c r="H229" s="6" t="str">
        <f aca="false">IF(G229&lt;&gt;0,G229*H$2/(100+H$2)," ")</f>
        <v> </v>
      </c>
      <c r="I229" s="6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A230" s="27"/>
      <c r="F230" s="2"/>
      <c r="H230" s="6" t="str">
        <f aca="false">IF(G230&lt;&gt;0,G230*H$2/(100+H$2)," ")</f>
        <v> </v>
      </c>
      <c r="I230" s="6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A231" s="27"/>
      <c r="F231" s="2"/>
      <c r="H231" s="6" t="str">
        <f aca="false">IF(G231&lt;&gt;0,G231*H$2/(100+H$2)," ")</f>
        <v> </v>
      </c>
      <c r="I231" s="6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A232" s="27"/>
      <c r="F232" s="2"/>
      <c r="H232" s="6" t="str">
        <f aca="false">IF(G232&lt;&gt;0,G232*H$2/(100+H$2)," ")</f>
        <v> </v>
      </c>
      <c r="I232" s="6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A233" s="27"/>
      <c r="F233" s="2"/>
      <c r="H233" s="6" t="str">
        <f aca="false">IF(G233&lt;&gt;0,G233*H$2/(100+H$2)," ")</f>
        <v> </v>
      </c>
      <c r="I233" s="6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A234" s="27"/>
      <c r="F234" s="2"/>
      <c r="H234" s="6" t="str">
        <f aca="false">IF(G234&lt;&gt;0,G234*H$2/(100+H$2)," ")</f>
        <v> </v>
      </c>
      <c r="I234" s="6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A235" s="27"/>
      <c r="F235" s="2"/>
      <c r="H235" s="6" t="str">
        <f aca="false">IF(G235&lt;&gt;0,G235*H$2/(100+H$2)," ")</f>
        <v> </v>
      </c>
      <c r="I235" s="6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A236" s="27"/>
      <c r="F236" s="2"/>
      <c r="H236" s="6" t="str">
        <f aca="false">IF(G236&lt;&gt;0,G236*H$2/(100+H$2)," ")</f>
        <v> </v>
      </c>
      <c r="I236" s="6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A237" s="27"/>
      <c r="F237" s="2"/>
      <c r="H237" s="6" t="str">
        <f aca="false">IF(G237&lt;&gt;0,G237*H$2/(100+H$2)," ")</f>
        <v> </v>
      </c>
      <c r="I237" s="6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A238" s="27"/>
      <c r="F238" s="2"/>
      <c r="H238" s="6" t="str">
        <f aca="false">IF(G238&lt;&gt;0,G238*H$2/(100+H$2)," ")</f>
        <v> </v>
      </c>
      <c r="I238" s="6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A239" s="27"/>
      <c r="F239" s="2"/>
      <c r="H239" s="6" t="str">
        <f aca="false">IF(G239&lt;&gt;0,G239*H$2/(100+H$2)," ")</f>
        <v> </v>
      </c>
      <c r="I239" s="6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A240" s="27"/>
      <c r="F240" s="2"/>
      <c r="H240" s="6" t="str">
        <f aca="false">IF(G240&lt;&gt;0,G240*H$2/(100+H$2)," ")</f>
        <v> </v>
      </c>
      <c r="I240" s="6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A241" s="27"/>
      <c r="F241" s="2"/>
      <c r="H241" s="6" t="str">
        <f aca="false">IF(G241&lt;&gt;0,G241*H$2/(100+H$2)," ")</f>
        <v> </v>
      </c>
      <c r="I241" s="6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A242" s="27"/>
      <c r="F242" s="2"/>
      <c r="H242" s="6" t="str">
        <f aca="false">IF(G242&lt;&gt;0,G242*H$2/(100+H$2)," ")</f>
        <v> </v>
      </c>
      <c r="I242" s="6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A243" s="27"/>
      <c r="F243" s="2"/>
      <c r="H243" s="6" t="str">
        <f aca="false">IF(G243&lt;&gt;0,G243*H$2/(100+H$2)," ")</f>
        <v> </v>
      </c>
      <c r="I243" s="6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A244" s="27"/>
      <c r="F244" s="2"/>
      <c r="H244" s="6" t="str">
        <f aca="false">IF(G244&lt;&gt;0,G244*H$2/(100+H$2)," ")</f>
        <v> </v>
      </c>
      <c r="I244" s="6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A245" s="27"/>
      <c r="F245" s="2"/>
      <c r="H245" s="6" t="str">
        <f aca="false">IF(G245&lt;&gt;0,G245*H$2/(100+H$2)," ")</f>
        <v> </v>
      </c>
      <c r="I245" s="6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A246" s="27"/>
      <c r="F246" s="2"/>
      <c r="H246" s="6" t="str">
        <f aca="false">IF(G246&lt;&gt;0,G246*H$2/(100+H$2)," ")</f>
        <v> </v>
      </c>
      <c r="I246" s="6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A247" s="27"/>
      <c r="F247" s="2"/>
      <c r="H247" s="6" t="str">
        <f aca="false">IF(G247&lt;&gt;0,G247*H$2/(100+H$2)," ")</f>
        <v> </v>
      </c>
      <c r="I247" s="6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A248" s="27"/>
      <c r="F248" s="2"/>
      <c r="H248" s="6" t="str">
        <f aca="false">IF(G248&lt;&gt;0,G248*H$2/(100+H$2)," ")</f>
        <v> </v>
      </c>
      <c r="I248" s="6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A249" s="27"/>
      <c r="F249" s="2"/>
      <c r="H249" s="6" t="str">
        <f aca="false">IF(G249&lt;&gt;0,G249*H$2/(100+H$2)," ")</f>
        <v> </v>
      </c>
      <c r="I249" s="6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A250" s="27"/>
      <c r="F250" s="2"/>
      <c r="H250" s="6" t="str">
        <f aca="false">IF(G250&lt;&gt;0,G250*H$2/(100+H$2)," ")</f>
        <v> </v>
      </c>
      <c r="I250" s="6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A251" s="27"/>
      <c r="F251" s="2"/>
      <c r="H251" s="6" t="str">
        <f aca="false">IF(G251&lt;&gt;0,G251*H$2/(100+H$2)," ")</f>
        <v> </v>
      </c>
      <c r="I251" s="6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A252" s="27"/>
      <c r="F252" s="2"/>
      <c r="H252" s="6" t="str">
        <f aca="false">IF(G252&lt;&gt;0,G252*H$2/(100+H$2)," ")</f>
        <v> </v>
      </c>
      <c r="I252" s="6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A253" s="27"/>
      <c r="F253" s="2"/>
      <c r="H253" s="6" t="str">
        <f aca="false">IF(G253&lt;&gt;0,G253*H$2/(100+H$2)," ")</f>
        <v> </v>
      </c>
      <c r="I253" s="6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A254" s="27"/>
      <c r="F254" s="2"/>
      <c r="H254" s="6" t="str">
        <f aca="false">IF(G254&lt;&gt;0,G254*H$2/(100+H$2)," ")</f>
        <v> </v>
      </c>
      <c r="I254" s="6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A255" s="27"/>
      <c r="F255" s="2"/>
      <c r="H255" s="6" t="str">
        <f aca="false">IF(G255&lt;&gt;0,G255*H$2/(100+H$2)," ")</f>
        <v> </v>
      </c>
      <c r="I255" s="6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A256" s="27"/>
      <c r="F256" s="2"/>
      <c r="H256" s="6" t="str">
        <f aca="false">IF(G256&lt;&gt;0,G256*H$2/(100+H$2)," ")</f>
        <v> </v>
      </c>
      <c r="I256" s="6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A257" s="27"/>
      <c r="F257" s="2"/>
      <c r="H257" s="6" t="str">
        <f aca="false">IF(G257&lt;&gt;0,G257*H$2/(100+H$2)," ")</f>
        <v> </v>
      </c>
      <c r="I257" s="6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A258" s="27"/>
      <c r="F258" s="2"/>
      <c r="H258" s="6" t="str">
        <f aca="false">IF(G258&lt;&gt;0,G258*H$2/(100+H$2)," ")</f>
        <v> </v>
      </c>
      <c r="I258" s="6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A259" s="27"/>
      <c r="F259" s="2"/>
      <c r="H259" s="6" t="str">
        <f aca="false">IF(G259&lt;&gt;0,G259*H$2/(100+H$2)," ")</f>
        <v> </v>
      </c>
      <c r="I259" s="6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A260" s="27"/>
      <c r="F260" s="2"/>
      <c r="H260" s="6" t="str">
        <f aca="false">IF(G260&lt;&gt;0,G260*H$2/(100+H$2)," ")</f>
        <v> </v>
      </c>
      <c r="I260" s="6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A261" s="27"/>
      <c r="F261" s="2"/>
      <c r="H261" s="6" t="str">
        <f aca="false">IF(G261&lt;&gt;0,G261*H$2/(100+H$2)," ")</f>
        <v> </v>
      </c>
      <c r="I261" s="6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A262" s="27"/>
      <c r="F262" s="2"/>
      <c r="H262" s="6" t="str">
        <f aca="false">IF(G262&lt;&gt;0,G262*H$2/(100+H$2)," ")</f>
        <v> </v>
      </c>
      <c r="I262" s="6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A263" s="27"/>
      <c r="F263" s="2"/>
      <c r="H263" s="6" t="str">
        <f aca="false">IF(G263&lt;&gt;0,G263*H$2/(100+H$2)," ")</f>
        <v> </v>
      </c>
      <c r="I263" s="6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A264" s="27"/>
      <c r="F264" s="2"/>
      <c r="H264" s="6" t="str">
        <f aca="false">IF(G264&lt;&gt;0,G264*H$2/(100+H$2)," ")</f>
        <v> </v>
      </c>
      <c r="I264" s="6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A265" s="27"/>
      <c r="F265" s="2"/>
      <c r="H265" s="6" t="str">
        <f aca="false">IF(G265&lt;&gt;0,G265*H$2/(100+H$2)," ")</f>
        <v> </v>
      </c>
      <c r="I265" s="6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A266" s="27"/>
      <c r="F266" s="2"/>
      <c r="H266" s="6" t="str">
        <f aca="false">IF(G266&lt;&gt;0,G266*H$2/(100+H$2)," ")</f>
        <v> </v>
      </c>
      <c r="I266" s="6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A267" s="27"/>
      <c r="F267" s="2"/>
      <c r="H267" s="6" t="str">
        <f aca="false">IF(G267&lt;&gt;0,G267*H$2/(100+H$2)," ")</f>
        <v> </v>
      </c>
      <c r="I267" s="6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A268" s="27"/>
      <c r="F268" s="2"/>
      <c r="H268" s="6" t="str">
        <f aca="false">IF(G268&lt;&gt;0,G268*H$2/(100+H$2)," ")</f>
        <v> </v>
      </c>
      <c r="I268" s="6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A269" s="27"/>
      <c r="F269" s="2"/>
      <c r="H269" s="6" t="str">
        <f aca="false">IF(G269&lt;&gt;0,G269*H$2/(100+H$2)," ")</f>
        <v> </v>
      </c>
      <c r="I269" s="6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A270" s="27"/>
      <c r="F270" s="2"/>
      <c r="H270" s="6" t="str">
        <f aca="false">IF(G270&lt;&gt;0,G270*H$2/(100+H$2)," ")</f>
        <v> </v>
      </c>
      <c r="I270" s="6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A271" s="27"/>
      <c r="F271" s="2"/>
      <c r="H271" s="6" t="str">
        <f aca="false">IF(G271&lt;&gt;0,G271*H$2/(100+H$2)," ")</f>
        <v> </v>
      </c>
      <c r="I271" s="6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A272" s="27"/>
      <c r="F272" s="2"/>
      <c r="H272" s="6" t="str">
        <f aca="false">IF(G272&lt;&gt;0,G272*H$2/(100+H$2)," ")</f>
        <v> </v>
      </c>
      <c r="I272" s="6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A273" s="27"/>
      <c r="F273" s="2"/>
      <c r="H273" s="6" t="str">
        <f aca="false">IF(G273&lt;&gt;0,G273*H$2/(100+H$2)," ")</f>
        <v> </v>
      </c>
      <c r="I273" s="6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A274" s="27"/>
      <c r="F274" s="2"/>
      <c r="H274" s="6" t="str">
        <f aca="false">IF(G274&lt;&gt;0,G274*H$2/(100+H$2)," ")</f>
        <v> </v>
      </c>
      <c r="I274" s="6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A275" s="27"/>
      <c r="F275" s="2"/>
      <c r="H275" s="6" t="str">
        <f aca="false">IF(G275&lt;&gt;0,G275*H$2/(100+H$2)," ")</f>
        <v> </v>
      </c>
      <c r="I275" s="6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A276" s="27"/>
      <c r="F276" s="2"/>
      <c r="H276" s="6" t="str">
        <f aca="false">IF(G276&lt;&gt;0,G276*H$2/(100+H$2)," ")</f>
        <v> </v>
      </c>
      <c r="I276" s="6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A277" s="27"/>
      <c r="F277" s="2"/>
      <c r="H277" s="6" t="str">
        <f aca="false">IF(G277&lt;&gt;0,G277*H$2/(100+H$2)," ")</f>
        <v> </v>
      </c>
      <c r="I277" s="6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A278" s="27"/>
      <c r="F278" s="2"/>
      <c r="H278" s="6" t="str">
        <f aca="false">IF(G278&lt;&gt;0,G278*H$2/(100+H$2)," ")</f>
        <v> </v>
      </c>
      <c r="I278" s="6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A279" s="27"/>
      <c r="F279" s="2"/>
      <c r="H279" s="6" t="str">
        <f aca="false">IF(G279&lt;&gt;0,G279*H$2/(100+H$2)," ")</f>
        <v> </v>
      </c>
      <c r="I279" s="6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A280" s="27"/>
      <c r="F280" s="2"/>
      <c r="H280" s="6" t="str">
        <f aca="false">IF(G280&lt;&gt;0,G280*H$2/(100+H$2)," ")</f>
        <v> </v>
      </c>
      <c r="I280" s="6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A281" s="27"/>
      <c r="F281" s="2"/>
      <c r="H281" s="6" t="str">
        <f aca="false">IF(G281&lt;&gt;0,G281*H$2/(100+H$2)," ")</f>
        <v> </v>
      </c>
      <c r="I281" s="6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A282" s="27"/>
      <c r="F282" s="2"/>
      <c r="H282" s="6" t="str">
        <f aca="false">IF(G282&lt;&gt;0,G282*H$2/(100+H$2)," ")</f>
        <v> </v>
      </c>
      <c r="I282" s="6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A283" s="27"/>
      <c r="F283" s="2"/>
      <c r="H283" s="6" t="str">
        <f aca="false">IF(G283&lt;&gt;0,G283*H$2/(100+H$2)," ")</f>
        <v> </v>
      </c>
      <c r="I283" s="6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A284" s="27"/>
      <c r="F284" s="2"/>
      <c r="H284" s="6" t="str">
        <f aca="false">IF(G284&lt;&gt;0,G284*H$2/(100+H$2)," ")</f>
        <v> </v>
      </c>
      <c r="I284" s="6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A285" s="27"/>
      <c r="F285" s="2"/>
      <c r="H285" s="6" t="str">
        <f aca="false">IF(G285&lt;&gt;0,G285*H$2/(100+H$2)," ")</f>
        <v> </v>
      </c>
      <c r="I285" s="6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A286" s="27"/>
      <c r="F286" s="2"/>
      <c r="H286" s="6" t="str">
        <f aca="false">IF(G286&lt;&gt;0,G286*H$2/(100+H$2)," ")</f>
        <v> </v>
      </c>
      <c r="I286" s="6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A287" s="27"/>
      <c r="F287" s="2"/>
      <c r="H287" s="6" t="str">
        <f aca="false">IF(G287&lt;&gt;0,G287*H$2/(100+H$2)," ")</f>
        <v> </v>
      </c>
      <c r="I287" s="6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A288" s="27"/>
      <c r="F288" s="2"/>
      <c r="H288" s="6" t="str">
        <f aca="false">IF(G288&lt;&gt;0,G288*H$2/(100+H$2)," ")</f>
        <v> </v>
      </c>
      <c r="I288" s="6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A289" s="27"/>
      <c r="F289" s="2"/>
      <c r="H289" s="6" t="str">
        <f aca="false">IF(G289&lt;&gt;0,G289*H$2/(100+H$2)," ")</f>
        <v> </v>
      </c>
      <c r="I289" s="6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A290" s="27"/>
      <c r="F290" s="2"/>
      <c r="H290" s="6" t="str">
        <f aca="false">IF(G290&lt;&gt;0,G290*H$2/(100+H$2)," ")</f>
        <v> </v>
      </c>
      <c r="I290" s="6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A291" s="27"/>
      <c r="F291" s="2"/>
      <c r="H291" s="6" t="str">
        <f aca="false">IF(G291&lt;&gt;0,G291*H$2/(100+H$2)," ")</f>
        <v> </v>
      </c>
      <c r="I291" s="6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A292" s="27"/>
      <c r="F292" s="2"/>
      <c r="H292" s="6" t="str">
        <f aca="false">IF(G292&lt;&gt;0,G292*H$2/(100+H$2)," ")</f>
        <v> </v>
      </c>
      <c r="I292" s="6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A293" s="27"/>
      <c r="F293" s="2"/>
      <c r="H293" s="6" t="str">
        <f aca="false">IF(G293&lt;&gt;0,G293*H$2/(100+H$2)," ")</f>
        <v> </v>
      </c>
      <c r="I293" s="6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A294" s="27"/>
      <c r="F294" s="2"/>
      <c r="H294" s="6" t="str">
        <f aca="false">IF(G294&lt;&gt;0,G294*H$2/(100+H$2)," ")</f>
        <v> </v>
      </c>
      <c r="I294" s="6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A295" s="27"/>
      <c r="F295" s="2"/>
      <c r="H295" s="6" t="str">
        <f aca="false">IF(G295&lt;&gt;0,G295*H$2/(100+H$2)," ")</f>
        <v> </v>
      </c>
      <c r="I295" s="6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A296" s="27"/>
      <c r="F296" s="2"/>
      <c r="H296" s="6" t="str">
        <f aca="false">IF(G296&lt;&gt;0,G296*H$2/(100+H$2)," ")</f>
        <v> </v>
      </c>
      <c r="I296" s="6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A297" s="27"/>
      <c r="F297" s="2"/>
      <c r="H297" s="6" t="str">
        <f aca="false">IF(G297&lt;&gt;0,G297*H$2/(100+H$2)," ")</f>
        <v> </v>
      </c>
      <c r="I297" s="6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A298" s="27"/>
      <c r="F298" s="2"/>
      <c r="H298" s="6" t="str">
        <f aca="false">IF(G298&lt;&gt;0,G298*H$2/(100+H$2)," ")</f>
        <v> </v>
      </c>
      <c r="I298" s="6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A299" s="27"/>
      <c r="F299" s="2"/>
      <c r="H299" s="6" t="str">
        <f aca="false">IF(G299&lt;&gt;0,G299*H$2/(100+H$2)," ")</f>
        <v> </v>
      </c>
      <c r="I299" s="6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/>
      <c r="G300" s="35"/>
      <c r="H300" s="35" t="str">
        <f aca="false">IF(G300&lt;&gt;0,G300*H$2/(100+H$2)," ")</f>
        <v> </v>
      </c>
      <c r="I300" s="35" t="str">
        <f aca="false">IF((G300&lt;&gt;0),G300-H300," ")</f>
        <v> </v>
      </c>
      <c r="J300" s="3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</row>
  </sheetData>
  <mergeCells count="15">
    <mergeCell ref="A1:A4"/>
    <mergeCell ref="B1:B4"/>
    <mergeCell ref="C1:C4"/>
    <mergeCell ref="D1:D4"/>
    <mergeCell ref="J1:J4"/>
    <mergeCell ref="K1:K4"/>
    <mergeCell ref="E2:E4"/>
    <mergeCell ref="F2:F4"/>
    <mergeCell ref="G2:G4"/>
    <mergeCell ref="I2:I4"/>
    <mergeCell ref="L2:N2"/>
    <mergeCell ref="H3:H4"/>
    <mergeCell ref="L3:L4"/>
    <mergeCell ref="M3:M4"/>
    <mergeCell ref="N3:N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6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5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0784722222222222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Terry Cartwright</dc:creator>
  <dc:description/>
  <dc:language>en-US</dc:language>
  <cp:lastModifiedBy>Cartwright, Antony</cp:lastModifiedBy>
  <cp:lastPrinted>2007-03-02T12:17:48Z</cp:lastPrinted>
  <dcterms:modified xsi:type="dcterms:W3CDTF">2025-04-03T22:49:56Z</dcterms:modified>
  <cp:revision>0</cp:revision>
  <dc:subject/>
  <dc:title>Self employed purchases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