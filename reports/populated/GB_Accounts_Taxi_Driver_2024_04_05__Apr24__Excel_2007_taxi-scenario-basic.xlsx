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<sst xmlns="http://schemas.openxmlformats.org/spreadsheetml/2006/main" count="1089" uniqueCount="326">
  <si>
    <t xml:space="preserve">Taxi Driver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</si>
  <si>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</si>
  <si>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</si>
  <si>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Taxi Receipts</t>
  </si>
  <si>
    <t xml:space="preserve">Expenses</t>
  </si>
  <si>
    <t xml:space="preserve">Results</t>
  </si>
  <si>
    <t xml:space="preserve"> </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</si>
  <si>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</si>
  <si>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</si>
  <si>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</si>
  <si>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</si>
  <si>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</si>
  <si>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t xml:space="preserve">Taxi Driver</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</si>
  <si>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</si>
  <si>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</si>
  <si>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</si>
  <si>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</si>
  <si>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</si>
  <si>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</si>
  <si>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</si>
  <si>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</si>
  <si>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</si>
  <si>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</si>
  <si>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</si>
  <si>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</si>
  <si>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</si>
  <si>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</si>
  <si>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</si>
  <si>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</si>
  <si>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</si>
  <si>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</si>
  <si>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</si>
  <si>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</si>
  <si>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</si>
  <si>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</si>
  <si>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</si>
  <si>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</si>
  <si>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</si>
  <si>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</si>
  <si>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</si>
  <si>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</si>
  <si>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</si>
  <si>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</si>
  <si>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</si>
  <si>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</si>
  <si>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</si>
  <si>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</si>
  <si>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</si>
  <si>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</si>
  <si>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</si>
  <si>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</si>
  <si>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</si>
  <si>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</si>
  <si>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</si>
  <si>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</si>
  <si>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</si>
  <si>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</si>
  <si>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</si>
  <si>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</si>
  <si>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</si>
  <si>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</si>
  <si>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</si>
  <si>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</si>
  <si>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</si>
  <si>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</si>
  <si>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</si>
  <si>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</si>
  <si>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</si>
  <si>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</si>
  <si>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</si>
  <si>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</si>
  <si>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</si>
  <si>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</si>
  <si>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</si>
  <si>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</si>
  <si>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</si>
  <si>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</si>
  <si>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</si>
  <si>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</si>
  <si>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</si>
  <si>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</si>
  <si>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</si>
  <si>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</si>
  <si>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</si>
  <si>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</si>
  <si>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</si>
  <si>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</si>
  <si>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</si>
  <si>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</si>
  <si>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</si>
  <si>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</si>
  <si>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</si>
  <si>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</si>
  <si>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</si>
  <si>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</si>
  <si>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</si>
  <si>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</si>
  <si>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t>
  </si>
  <si>
    <t xml:space="preserve">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</si>
  <si>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</si>
  <si>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</si>
  <si>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</si>
  <si>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</si>
  <si>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</si>
  <si>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</si>
  <si>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</si>
  <si>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</si>
  <si>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</si>
  <si>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</si>
  <si>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</si>
  <si>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</si>
  <si>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</si>
  <si>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</si>
  <si>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</si>
  <si>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</si>
  <si>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</si>
  <si>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</si>
  <si>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</si>
  <si>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</si>
  <si>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</si>
  <si>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</si>
  <si>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</si>
  <si>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</si>
  <si>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</si>
  <si>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</si>
  <si>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</si>
  <si>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</si>
  <si>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</si>
  <si>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</si>
  <si>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</si>
  <si>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</si>
  <si>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</si>
  <si>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</si>
  <si>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</si>
  <si>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</si>
  <si>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</si>
  <si>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</si>
  <si>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</si>
  <si>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</si>
  <si>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</si>
  <si>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</si>
  <si>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</si>
  <si>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</si>
  <si>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</si>
  <si>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</si>
  <si>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</si>
  <si>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</si>
  <si>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</si>
  <si>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</si>
  <si>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</si>
  <si>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</si>
  <si>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</si>
  <si>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</si>
  <si>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</si>
  <si>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</si>
  <si>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</si>
  <si>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</si>
  <si>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</si>
  <si>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</si>
  <si>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</si>
  <si>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</si>
  <si>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</si>
  <si>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</si>
  <si>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</si>
  <si>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</si>
  <si>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</si>
  <si>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</si>
  <si>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</si>
  <si>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</si>
  <si>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</si>
  <si>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</si>
  <si>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</si>
  <si>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</si>
  <si>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</si>
  <si>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</si>
  <si>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</si>
  <si>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</si>
  <si>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</si>
  <si>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</si>
  <si>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</si>
  <si>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</si>
  <si>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</si>
  <si>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</si>
  <si>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</si>
  <si>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</si>
  <si>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</si>
  <si>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</si>
  <si>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</si>
  <si>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</si>
  <si>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</si>
  <si>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</si>
  <si>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</si>
  <si>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</si>
  <si>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</si>
  <si>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</si>
  <si>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</si>
  <si>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</si>
  <si>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</si>
  <si>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</si>
  <si>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</si>
  <si>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</si>
  <si>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</si>
  <si>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</si>
  <si>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</si>
  <si>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</si>
  <si>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</si>
  <si>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</si>
  <si>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</si>
  <si>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</si>
  <si>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</si>
  <si>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</si>
  <si>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</si>
  <si>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</si>
  <si>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</si>
  <si>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</si>
  <si>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</si>
  <si>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</si>
  <si>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</si>
  <si>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</si>
  <si>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</si>
  <si>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</si>
  <si>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</si>
  <si>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</si>
  <si>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</si>
  <si>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</si>
  <si>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</si>
  <si>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</si>
  <si>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</si>
  <si>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</si>
  <si>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</si>
  <si>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</si>
  <si>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</si>
  <si>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</si>
  <si>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</si>
  <si>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</si>
  <si>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</si>
  <si>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</si>
  <si>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</si>
  <si>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</si>
  <si>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</si>
  <si>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</si>
  <si>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</si>
  <si>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</si>
  <si>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</si>
  <si>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</si>
  <si>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</si>
  <si>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</si>
  <si>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</si>
  <si>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</si>
  <si>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</si>
  <si>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</si>
  <si>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</si>
  <si>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</si>
  <si>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</si>
  <si>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</si>
  <si>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</si>
  <si>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</si>
  <si>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</si>
  <si>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</si>
  <si>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</si>
  <si>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</si>
  <si>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</si>
  <si>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</si>
  <si>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</si>
  <si>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</si>
  <si>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</si>
  <si>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</si>
  <si>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</si>
  <si>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</si>
  <si>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</si>
  <si>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</si>
  <si>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</si>
  <si>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</si>
  <si>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</si>
  <si>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</si>
  <si>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Shell</t>
  </si>
  <si>
    <t xml:space="preserve">d</t>
  </si>
  <si>
    <t xml:space="preserve">DVLA</t>
  </si>
  <si>
    <t xml:space="preserve">t</t>
  </si>
  <si>
    <t xml:space="preserve">Insurance Co</t>
  </si>
  <si>
    <t xml:space="preserve">Vodafone</t>
  </si>
  <si>
    <t xml:space="preserve">g</t>
  </si>
  <si>
    <t xml:space="preserve">Council</t>
  </si>
  <si>
    <t xml:space="preserve">l</t>
  </si>
  <si>
    <t xml:space="preserve">Advertising &amp; Promotion</t>
  </si>
  <si>
    <t xml:space="preserve">Car Dealer</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</si>
  <si>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</si>
  <si>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</si>
  <si>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</si>
  <si>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</si>
  <si>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</si>
  <si>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</si>
  <si>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</si>
  <si>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</si>
  <si>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</si>
  <si>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</si>
  <si>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</si>
  <si>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Costing over </t>
  </si>
  <si>
    <t xml:space="preserve">Restricted to</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</si>
  <si>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</si>
  <si>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</si>
  <si>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</si>
  <si>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</si>
  <si>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</si>
  <si>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</si>
  <si>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</si>
  <si>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</si>
  <si>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</si>
  <si>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</si>
  <si>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</si>
  <si>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</si>
  <si>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</si>
  <si>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</si>
  <si>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</si>
  <si>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</si>
  <si>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</si>
  <si>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</si>
  <si>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</si>
  <si>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</si>
  <si>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</si>
  <si>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</si>
  <si>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</si>
  <si>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</si>
  <si>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2023-24</t>
  </si>
  <si>
    <t xml:space="preserve">2024-25</t>
  </si>
  <si>
    <t xml:space="preserve">VAT Threshold</t>
  </si>
</sst>
</file>

<file path=xl/styles.xml><?xml version="1.0" encoding="utf-8"?>
<styleSheet xmlns="http://schemas.openxmlformats.org/spreadsheetml/2006/main">
  <numFmts count="18">
    <numFmt numFmtId="164" formatCode="General"/>
    <numFmt numFmtId="165" formatCode="General"/>
    <numFmt numFmtId="166" formatCode="mmm\-yy"/>
    <numFmt numFmtId="167" formatCode="[$-F800]dddd&quot;, &quot;mmmm\ dd&quot;, &quot;yyyy"/>
    <numFmt numFmtId="168" formatCode="dd/mm/yyyy;@"/>
    <numFmt numFmtId="169" formatCode="#,##0"/>
    <numFmt numFmtId="170" formatCode="0"/>
    <numFmt numFmtId="171" formatCode="d\-mmm\-yy"/>
    <numFmt numFmtId="172" formatCode="#,##0_ ;[RED]\-#,##0\ "/>
    <numFmt numFmtId="173" formatCode="#,##0.00_ ;[RED]\-#,##0.00\ "/>
    <numFmt numFmtId="174" formatCode="0.00"/>
    <numFmt numFmtId="175" formatCode="#,##0.00"/>
    <numFmt numFmtId="176" formatCode="0%"/>
    <numFmt numFmtId="177" formatCode="m/d/yyyy"/>
    <numFmt numFmtId="178" formatCode="0.00_ ;[RED]\-0.00\ "/>
    <numFmt numFmtId="179" formatCode="0_ ;[RED]\-0\ "/>
    <numFmt numFmtId="180" formatCode="dddd"/>
    <numFmt numFmtId="181" formatCode="0.00%"/>
  </numFmts>
  <fonts count="41">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1">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8" fillId="2" borderId="0" xfId="20" applyFont="true" applyBorder="true" applyAlignment="true" applyProtection="true">
      <alignment horizontal="general" vertical="bottom" textRotation="0" wrapText="false" indent="0" shrinkToFit="false"/>
      <protection locked="true" hidden="false"/>
    </xf>
    <xf numFmtId="166" fontId="8"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9" fillId="3" borderId="4" xfId="0" applyFont="true" applyBorder="true" applyAlignment="false" applyProtection="false">
      <alignment horizontal="general" vertical="bottom" textRotation="0" wrapText="false" indent="0" shrinkToFit="false"/>
      <protection locked="true" hidden="false"/>
    </xf>
    <xf numFmtId="164" fontId="9" fillId="3" borderId="5"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general"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9" fillId="3" borderId="6" xfId="0" applyFont="true" applyBorder="true" applyAlignment="false" applyProtection="false">
      <alignment horizontal="general" vertical="bottom" textRotation="0" wrapText="false" indent="0" shrinkToFit="false"/>
      <protection locked="true" hidden="false"/>
    </xf>
    <xf numFmtId="164" fontId="12" fillId="0" borderId="7" xfId="0" applyFont="true" applyBorder="tru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3" borderId="8" xfId="0" applyFont="true" applyBorder="true" applyAlignment="false" applyProtection="false">
      <alignment horizontal="general" vertical="bottom" textRotation="0" wrapText="false" indent="0" shrinkToFit="false"/>
      <protection locked="true" hidden="false"/>
    </xf>
    <xf numFmtId="164" fontId="9" fillId="3" borderId="9"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7" fontId="12" fillId="3" borderId="0" xfId="0" applyFont="true" applyBorder="true" applyAlignment="true" applyProtection="false">
      <alignment horizontal="left"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false" indent="0" shrinkToFit="false"/>
      <protection locked="true" hidden="false"/>
    </xf>
    <xf numFmtId="164" fontId="12" fillId="3" borderId="8" xfId="0" applyFont="true" applyBorder="true" applyAlignment="true" applyProtection="false">
      <alignment horizontal="general" vertical="center" textRotation="0" wrapText="false" indent="0" shrinkToFit="false"/>
      <protection locked="true" hidden="false"/>
    </xf>
    <xf numFmtId="168" fontId="13" fillId="0" borderId="7"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right" vertical="bottom" textRotation="0" wrapText="false" indent="0" shrinkToFit="false"/>
      <protection locked="true" hidden="false"/>
    </xf>
    <xf numFmtId="164" fontId="9" fillId="0" borderId="7"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5" fillId="0" borderId="7"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false" applyAlignment="true" applyProtection="false">
      <alignment horizontal="general"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3" borderId="7" xfId="0" applyFont="true" applyBorder="true" applyAlignment="true" applyProtection="false">
      <alignment horizontal="center" vertical="center" textRotation="0" wrapText="false" indent="0" shrinkToFit="false"/>
      <protection locked="true" hidden="false"/>
    </xf>
    <xf numFmtId="169" fontId="13" fillId="0" borderId="7"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7" fillId="3" borderId="7"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9" fontId="13" fillId="3" borderId="0" xfId="0" applyFont="true" applyBorder="false" applyAlignment="true" applyProtection="false">
      <alignment horizontal="general" vertical="center" textRotation="0" wrapText="false" indent="0" shrinkToFit="false"/>
      <protection locked="true" hidden="false"/>
    </xf>
    <xf numFmtId="170" fontId="17" fillId="3" borderId="0" xfId="0" applyFont="true" applyBorder="fals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9" fontId="13" fillId="3" borderId="7" xfId="0" applyFont="true" applyBorder="true" applyAlignment="true" applyProtection="false">
      <alignment horizontal="general" vertical="center" textRotation="0" wrapText="false" indent="0" shrinkToFit="false"/>
      <protection locked="true" hidden="false"/>
    </xf>
    <xf numFmtId="164" fontId="9" fillId="3" borderId="10" xfId="0" applyFont="true" applyBorder="true" applyAlignment="false" applyProtection="false">
      <alignment horizontal="general" vertical="bottom" textRotation="0" wrapText="false" indent="0" shrinkToFit="false"/>
      <protection locked="true" hidden="false"/>
    </xf>
    <xf numFmtId="164" fontId="9" fillId="3" borderId="11" xfId="0" applyFont="true" applyBorder="true" applyAlignment="false" applyProtection="false">
      <alignment horizontal="general" vertical="bottom" textRotation="0" wrapText="false" indent="0" shrinkToFit="false"/>
      <protection locked="true" hidden="false"/>
    </xf>
    <xf numFmtId="164" fontId="9" fillId="3"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4" fontId="22" fillId="0" borderId="0" xfId="0" applyFont="true" applyBorder="true" applyAlignment="true" applyProtection="true">
      <alignment horizontal="left" vertical="center" textRotation="0" wrapText="true" indent="1" shrinkToFit="false"/>
      <protection locked="true" hidden="true"/>
    </xf>
    <xf numFmtId="164" fontId="23" fillId="0" borderId="0" xfId="0" applyFont="true" applyBorder="true" applyAlignment="true" applyProtection="true">
      <alignment horizontal="right" vertical="center" textRotation="0" wrapText="false" indent="0" shrinkToFit="false"/>
      <protection locked="true" hidden="true"/>
    </xf>
    <xf numFmtId="167" fontId="23" fillId="0" borderId="0" xfId="0" applyFont="true" applyBorder="true" applyAlignment="true" applyProtection="true">
      <alignment horizontal="center" vertical="center" textRotation="0" wrapText="false" indent="0" shrinkToFit="false"/>
      <protection locked="true" hidden="true"/>
    </xf>
    <xf numFmtId="164" fontId="23" fillId="0" borderId="0" xfId="0" applyFont="true" applyBorder="false" applyAlignment="true" applyProtection="true">
      <alignment horizontal="center" vertical="center" textRotation="0" wrapText="false" indent="0" shrinkToFit="false"/>
      <protection locked="true" hidden="true"/>
    </xf>
    <xf numFmtId="164" fontId="9" fillId="4" borderId="0" xfId="0" applyFont="true" applyBorder="true" applyAlignment="false" applyProtection="true">
      <alignment horizontal="general" vertical="bottom" textRotation="0" wrapText="false" indent="0" shrinkToFit="false"/>
      <protection locked="true" hidden="true"/>
    </xf>
    <xf numFmtId="164" fontId="9" fillId="0" borderId="13" xfId="0" applyFont="true" applyBorder="true" applyAlignment="false" applyProtection="true">
      <alignment horizontal="general" vertical="bottom" textRotation="0" wrapText="false" indent="0" shrinkToFit="false"/>
      <protection locked="true" hidden="true"/>
    </xf>
    <xf numFmtId="164" fontId="9" fillId="3" borderId="2" xfId="0" applyFont="true" applyBorder="true" applyAlignment="false" applyProtection="true">
      <alignment horizontal="general" vertical="bottom" textRotation="0" wrapText="false" indent="0" shrinkToFit="false"/>
      <protection locked="true" hidden="true"/>
    </xf>
    <xf numFmtId="164" fontId="9" fillId="3" borderId="3" xfId="0" applyFont="true" applyBorder="true" applyAlignment="false" applyProtection="true">
      <alignment horizontal="general" vertical="bottom" textRotation="0" wrapText="false" indent="0" shrinkToFit="false"/>
      <protection locked="true" hidden="true"/>
    </xf>
    <xf numFmtId="164" fontId="9" fillId="3" borderId="4" xfId="0" applyFont="true" applyBorder="true" applyAlignment="false" applyProtection="true">
      <alignment horizontal="general" vertical="bottom" textRotation="0" wrapText="false" indent="0" shrinkToFit="false"/>
      <protection locked="true" hidden="true"/>
    </xf>
    <xf numFmtId="164" fontId="9" fillId="3" borderId="5" xfId="0" applyFont="true" applyBorder="true" applyAlignment="false" applyProtection="true">
      <alignment horizontal="general" vertical="bottom" textRotation="0" wrapText="false" indent="0" shrinkToFit="false"/>
      <protection locked="true" hidden="true"/>
    </xf>
    <xf numFmtId="164" fontId="9"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12" fillId="3" borderId="6" xfId="0" applyFont="true" applyBorder="tru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general" vertical="center"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center" vertical="center" textRotation="0" wrapText="false" indent="0" shrinkToFit="false"/>
      <protection locked="true" hidden="true"/>
    </xf>
    <xf numFmtId="164" fontId="9" fillId="3" borderId="6" xfId="0" applyFont="true" applyBorder="true" applyAlignment="false" applyProtection="true">
      <alignment horizontal="general" vertical="bottom" textRotation="0" wrapText="false" indent="0" shrinkToFit="false"/>
      <protection locked="true" hidden="true"/>
    </xf>
    <xf numFmtId="164" fontId="9" fillId="3" borderId="14" xfId="0" applyFont="true" applyBorder="true" applyAlignment="false" applyProtection="true">
      <alignment horizontal="general" vertical="bottom" textRotation="0" wrapText="false" indent="0" shrinkToFit="false"/>
      <protection locked="true" hidden="true"/>
    </xf>
    <xf numFmtId="164" fontId="9" fillId="3" borderId="13" xfId="0" applyFont="true" applyBorder="true" applyAlignment="false" applyProtection="true">
      <alignment horizontal="general" vertical="bottom" textRotation="0" wrapText="false" indent="0" shrinkToFit="false"/>
      <protection locked="true" hidden="true"/>
    </xf>
    <xf numFmtId="164" fontId="9" fillId="3" borderId="15" xfId="0" applyFont="true" applyBorder="true" applyAlignment="false" applyProtection="true">
      <alignment horizontal="general" vertical="bottom" textRotation="0" wrapText="false" indent="0" shrinkToFit="false"/>
      <protection locked="true" hidden="true"/>
    </xf>
    <xf numFmtId="164" fontId="24" fillId="0" borderId="16" xfId="0" applyFont="true" applyBorder="true" applyAlignment="true" applyProtection="true">
      <alignment horizontal="general" vertical="center" textRotation="0" wrapText="false" indent="0" shrinkToFit="false"/>
      <protection locked="true" hidden="true"/>
    </xf>
    <xf numFmtId="164" fontId="9" fillId="3" borderId="17" xfId="0" applyFont="true" applyBorder="true" applyAlignment="false" applyProtection="true">
      <alignment horizontal="general" vertical="bottom" textRotation="0" wrapText="false" indent="0" shrinkToFit="false"/>
      <protection locked="true" hidden="true"/>
    </xf>
    <xf numFmtId="164" fontId="9" fillId="3" borderId="18" xfId="0" applyFont="true" applyBorder="true" applyAlignment="false" applyProtection="true">
      <alignment horizontal="general" vertical="bottom" textRotation="0" wrapText="false" indent="0" shrinkToFit="false"/>
      <protection locked="true" hidden="true"/>
    </xf>
    <xf numFmtId="164" fontId="9" fillId="3" borderId="19"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false" applyProtection="true">
      <alignment horizontal="general" vertical="bottom" textRotation="0" wrapText="false" indent="0" shrinkToFit="false"/>
      <protection locked="true" hidden="true"/>
    </xf>
    <xf numFmtId="167" fontId="12"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2" fillId="3" borderId="8" xfId="0" applyFont="true" applyBorder="true" applyAlignment="false" applyProtection="true">
      <alignment horizontal="general" vertical="bottom" textRotation="0" wrapText="false" indent="0" shrinkToFit="false"/>
      <protection locked="true" hidden="true"/>
    </xf>
    <xf numFmtId="164" fontId="9" fillId="3" borderId="9" xfId="0" applyFont="true" applyBorder="tru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9" fillId="3" borderId="0" xfId="0" applyFont="true" applyBorder="false" applyAlignment="true" applyProtection="true">
      <alignment horizontal="general" vertical="center" textRotation="0" wrapText="false" indent="0" shrinkToFit="false"/>
      <protection locked="true" hidden="true"/>
    </xf>
    <xf numFmtId="164" fontId="9" fillId="3" borderId="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true" applyProtection="true">
      <alignment horizontal="center" vertical="bottom" textRotation="0" wrapText="false" indent="0" shrinkToFit="false"/>
      <protection locked="true" hidden="true"/>
    </xf>
    <xf numFmtId="167" fontId="12" fillId="3" borderId="0" xfId="0" applyFont="true" applyBorder="true" applyAlignment="true" applyProtection="true">
      <alignment horizontal="left" vertical="bottom" textRotation="0" wrapText="false" indent="0" shrinkToFit="false"/>
      <protection locked="true" hidden="true"/>
    </xf>
    <xf numFmtId="164" fontId="12" fillId="3" borderId="0" xfId="0" applyFont="true" applyBorder="true" applyAlignment="true" applyProtection="true">
      <alignment horizontal="general" vertical="center" textRotation="0" wrapText="false" indent="0" shrinkToFit="false"/>
      <protection locked="true" hidden="true"/>
    </xf>
    <xf numFmtId="164" fontId="12" fillId="3" borderId="8" xfId="0" applyFont="true" applyBorder="true" applyAlignment="true" applyProtection="true">
      <alignment horizontal="general" vertical="center" textRotation="0" wrapText="false" indent="0" shrinkToFit="false"/>
      <protection locked="true" hidden="true"/>
    </xf>
    <xf numFmtId="168" fontId="13" fillId="0" borderId="7" xfId="0" applyFont="true" applyBorder="true" applyAlignment="true" applyProtection="true">
      <alignment horizontal="center" vertical="center" textRotation="0" wrapText="false" indent="0" shrinkToFit="false"/>
      <protection locked="true" hidden="true"/>
    </xf>
    <xf numFmtId="165" fontId="13" fillId="0" borderId="7" xfId="0" applyFont="true" applyBorder="true" applyAlignment="true" applyProtection="true">
      <alignment horizontal="right" vertical="bottom" textRotation="0" wrapText="false" indent="0" shrinkToFit="false"/>
      <protection locked="true" hidden="true"/>
    </xf>
    <xf numFmtId="165" fontId="13" fillId="0" borderId="7" xfId="0" applyFont="true" applyBorder="true" applyAlignment="true" applyProtection="true">
      <alignment horizontal="left" vertical="bottom" textRotation="0" wrapText="false" indent="0" shrinkToFit="false"/>
      <protection locked="true" hidden="true"/>
    </xf>
    <xf numFmtId="164" fontId="14" fillId="3" borderId="0" xfId="0" applyFont="true" applyBorder="false" applyAlignment="false" applyProtection="true">
      <alignment horizontal="general" vertical="bottom"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9" fillId="3" borderId="10" xfId="0" applyFont="true" applyBorder="true" applyAlignment="false" applyProtection="true">
      <alignment horizontal="general" vertical="bottom" textRotation="0" wrapText="false" indent="0" shrinkToFit="false"/>
      <protection locked="true" hidden="true"/>
    </xf>
    <xf numFmtId="164" fontId="9" fillId="3" borderId="11" xfId="0" applyFont="true" applyBorder="true" applyAlignment="false" applyProtection="true">
      <alignment horizontal="general" vertical="bottom" textRotation="0" wrapText="false" indent="0" shrinkToFit="false"/>
      <protection locked="true" hidden="true"/>
    </xf>
    <xf numFmtId="164" fontId="9" fillId="3" borderId="12" xfId="0" applyFont="true" applyBorder="true" applyAlignment="false" applyProtection="true">
      <alignment horizontal="general" vertical="bottom" textRotation="0" wrapText="false" indent="0" shrinkToFit="false"/>
      <protection locked="true" hidden="true"/>
    </xf>
    <xf numFmtId="165" fontId="24" fillId="0" borderId="20" xfId="0" applyFont="true" applyBorder="true" applyAlignment="true" applyProtection="true">
      <alignment horizontal="general" vertical="center" textRotation="0" wrapText="false" indent="0" shrinkToFit="false"/>
      <protection locked="true" hidden="true"/>
    </xf>
    <xf numFmtId="164" fontId="17" fillId="3" borderId="7" xfId="0" applyFont="true" applyBorder="true" applyAlignment="true" applyProtection="true">
      <alignment horizontal="center" vertical="center" textRotation="0" wrapText="false" indent="0" shrinkToFit="false"/>
      <protection locked="true" hidden="true"/>
    </xf>
    <xf numFmtId="169" fontId="13" fillId="0" borderId="7" xfId="0" applyFont="true" applyBorder="true" applyAlignment="true" applyProtection="true">
      <alignment horizontal="general" vertical="center" textRotation="0" wrapText="false" indent="0" shrinkToFit="false"/>
      <protection locked="true" hidden="true"/>
    </xf>
    <xf numFmtId="164" fontId="18" fillId="3" borderId="0" xfId="0" applyFont="true" applyBorder="false" applyAlignment="true" applyProtection="true">
      <alignment horizontal="center" vertical="center" textRotation="0" wrapText="false" indent="0" shrinkToFit="false"/>
      <protection locked="true" hidden="true"/>
    </xf>
    <xf numFmtId="170" fontId="17" fillId="3" borderId="7" xfId="0" applyFont="true" applyBorder="true" applyAlignment="true" applyProtection="true">
      <alignment horizontal="center" vertical="center" textRotation="0" wrapText="false" indent="0" shrinkToFit="false"/>
      <protection locked="true" hidden="true"/>
    </xf>
    <xf numFmtId="170" fontId="25" fillId="3" borderId="9" xfId="0" applyFont="true" applyBorder="true" applyAlignment="true" applyProtection="true">
      <alignment horizontal="center" vertical="center" textRotation="0" wrapText="false" indent="0" shrinkToFit="false"/>
      <protection locked="true" hidden="true"/>
    </xf>
    <xf numFmtId="170" fontId="25" fillId="3" borderId="0" xfId="0" applyFont="true" applyBorder="false" applyAlignment="true" applyProtection="true">
      <alignment horizontal="center" vertical="center" textRotation="0" wrapText="false" indent="0" shrinkToFit="false"/>
      <protection locked="true" hidden="true"/>
    </xf>
    <xf numFmtId="164" fontId="24" fillId="0" borderId="18" xfId="0" applyFont="true" applyBorder="true" applyAlignment="true" applyProtection="true">
      <alignment horizontal="general" vertical="center" textRotation="0" wrapText="false" indent="0" shrinkToFit="false"/>
      <protection locked="true" hidden="true"/>
    </xf>
    <xf numFmtId="164" fontId="12"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2" fillId="0" borderId="11" xfId="0" applyFont="true" applyBorder="true" applyAlignment="true" applyProtection="true">
      <alignment horizontal="general" vertical="center" textRotation="0" wrapText="false" indent="0" shrinkToFit="false"/>
      <protection locked="true" hidden="true"/>
    </xf>
    <xf numFmtId="164" fontId="12" fillId="3" borderId="9" xfId="0" applyFont="true" applyBorder="true" applyAlignment="false" applyProtection="true">
      <alignment horizontal="general" vertical="bottom" textRotation="0" wrapText="false" indent="0" shrinkToFit="false"/>
      <protection locked="true" hidden="true"/>
    </xf>
    <xf numFmtId="164" fontId="24" fillId="0" borderId="11" xfId="0" applyFont="true" applyBorder="true" applyAlignment="true" applyProtection="true">
      <alignment horizontal="general" vertical="center" textRotation="0" wrapText="false" indent="0" shrinkToFit="false"/>
      <protection locked="true" hidden="true"/>
    </xf>
    <xf numFmtId="164" fontId="9" fillId="3" borderId="8" xfId="0" applyFont="true" applyBorder="true" applyAlignment="true" applyProtection="true">
      <alignment horizontal="center" vertical="bottom" textRotation="0" wrapText="false" indent="0" shrinkToFit="false"/>
      <protection locked="true" hidden="true"/>
    </xf>
    <xf numFmtId="169" fontId="9" fillId="0" borderId="0" xfId="0" applyFont="true" applyBorder="false" applyAlignment="fals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general" vertical="center"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2" fillId="3" borderId="11" xfId="0" applyFont="true" applyBorder="true" applyAlignment="false" applyProtection="true">
      <alignment horizontal="general" vertical="bottom" textRotation="0" wrapText="false" indent="0" shrinkToFit="false"/>
      <protection locked="true" hidden="true"/>
    </xf>
    <xf numFmtId="171" fontId="12" fillId="3" borderId="0" xfId="0" applyFont="true" applyBorder="true" applyAlignment="false" applyProtection="true">
      <alignment horizontal="general" vertical="bottom" textRotation="0" wrapText="false" indent="0" shrinkToFit="false"/>
      <protection locked="true" hidden="true"/>
    </xf>
    <xf numFmtId="164" fontId="25" fillId="3" borderId="11" xfId="0" applyFont="true" applyBorder="true" applyAlignment="true" applyProtection="true">
      <alignment horizontal="center" vertical="center" textRotation="0" wrapText="false" indent="0" shrinkToFit="false"/>
      <protection locked="true" hidden="true"/>
    </xf>
    <xf numFmtId="164" fontId="13" fillId="3" borderId="11" xfId="0" applyFont="true" applyBorder="true" applyAlignment="true" applyProtection="true">
      <alignment horizontal="general" vertical="center" textRotation="0" wrapText="false" indent="0" shrinkToFit="false"/>
      <protection locked="true" hidden="true"/>
    </xf>
    <xf numFmtId="164" fontId="18" fillId="3" borderId="11" xfId="0" applyFont="true" applyBorder="true" applyAlignment="true" applyProtection="true">
      <alignment horizontal="center" vertical="center" textRotation="0" wrapText="false" indent="0" shrinkToFit="false"/>
      <protection locked="true" hidden="true"/>
    </xf>
    <xf numFmtId="170" fontId="25" fillId="3" borderId="11" xfId="0" applyFont="true" applyBorder="true" applyAlignment="true" applyProtection="true">
      <alignment horizontal="center" vertical="center"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72" fontId="26" fillId="0" borderId="0" xfId="0" applyFont="true" applyBorder="false" applyAlignment="true" applyProtection="true">
      <alignment horizontal="center" vertical="bottom" textRotation="0" wrapText="false" indent="0" shrinkToFit="false"/>
      <protection locked="true" hidden="true"/>
    </xf>
    <xf numFmtId="164" fontId="26" fillId="0" borderId="0" xfId="22" applyFont="true" applyBorder="false" applyAlignment="false" applyProtection="true">
      <alignment horizontal="general" vertical="bottom" textRotation="0" wrapText="false" indent="0" shrinkToFit="false"/>
      <protection locked="true" hidden="true"/>
    </xf>
    <xf numFmtId="164" fontId="27" fillId="5" borderId="21" xfId="0" applyFont="true" applyBorder="true" applyAlignment="true" applyProtection="true">
      <alignment horizontal="left" vertical="center" textRotation="0" wrapText="true" indent="1" shrinkToFit="false"/>
      <protection locked="true" hidden="true"/>
    </xf>
    <xf numFmtId="172" fontId="28" fillId="3" borderId="22" xfId="0" applyFont="true" applyBorder="true" applyAlignment="true" applyProtection="true">
      <alignment horizontal="center" vertical="center" textRotation="0" wrapText="false" indent="0" shrinkToFit="false"/>
      <protection locked="true" hidden="true"/>
    </xf>
    <xf numFmtId="173" fontId="29" fillId="3" borderId="23" xfId="0" applyFont="true" applyBorder="true" applyAlignment="true" applyProtection="false">
      <alignment horizontal="center" vertical="center" textRotation="0" wrapText="true" indent="0" shrinkToFit="false"/>
      <protection locked="true" hidden="false"/>
    </xf>
    <xf numFmtId="173" fontId="30" fillId="3" borderId="23" xfId="0" applyFont="true" applyBorder="true" applyAlignment="true" applyProtection="false">
      <alignment horizontal="center" vertical="center" textRotation="0" wrapText="true" indent="0" shrinkToFit="false"/>
      <protection locked="true" hidden="false"/>
    </xf>
    <xf numFmtId="173" fontId="31" fillId="3" borderId="23" xfId="0" applyFont="true" applyBorder="true" applyAlignment="true" applyProtection="false">
      <alignment horizontal="center" vertical="center" textRotation="0" wrapText="true" indent="0" shrinkToFit="false"/>
      <protection locked="true" hidden="false"/>
    </xf>
    <xf numFmtId="165" fontId="28" fillId="3" borderId="0" xfId="0" applyFont="true" applyBorder="false" applyAlignment="true" applyProtection="false">
      <alignment horizontal="center" vertical="center" textRotation="0" wrapText="false" indent="0" shrinkToFit="false"/>
      <protection locked="true" hidden="false"/>
    </xf>
    <xf numFmtId="164" fontId="26" fillId="3" borderId="0" xfId="0" applyFont="true" applyBorder="false" applyAlignment="false" applyProtection="true">
      <alignment horizontal="general" vertical="bottom" textRotation="0" wrapText="false" indent="0" shrinkToFit="false"/>
      <protection locked="true" hidden="true"/>
    </xf>
    <xf numFmtId="166" fontId="26" fillId="0" borderId="0" xfId="22" applyFont="true" applyBorder="false" applyAlignment="true" applyProtection="true">
      <alignment horizontal="center" vertical="bottom" textRotation="0" wrapText="false" indent="0" shrinkToFit="false"/>
      <protection locked="true" hidden="true"/>
    </xf>
    <xf numFmtId="164" fontId="9" fillId="3" borderId="21" xfId="0" applyFont="true" applyBorder="true" applyAlignment="true" applyProtection="true">
      <alignment horizontal="center" vertical="center" textRotation="0" wrapText="true" indent="0" shrinkToFit="false"/>
      <protection locked="true" hidden="true"/>
    </xf>
    <xf numFmtId="166" fontId="9" fillId="3" borderId="24" xfId="0" applyFont="true" applyBorder="true" applyAlignment="true" applyProtection="true">
      <alignment horizontal="center" vertical="center" textRotation="0" wrapText="true" indent="0" shrinkToFit="false"/>
      <protection locked="true" hidden="true"/>
    </xf>
    <xf numFmtId="166" fontId="9" fillId="3" borderId="21" xfId="0" applyFont="true" applyBorder="true" applyAlignment="true" applyProtection="true">
      <alignment horizontal="center" vertical="center" textRotation="0" wrapText="true" indent="0" shrinkToFit="false"/>
      <protection locked="true" hidden="true"/>
    </xf>
    <xf numFmtId="166" fontId="9" fillId="3" borderId="0" xfId="0" applyFont="true" applyBorder="false" applyAlignment="true" applyProtection="true">
      <alignment horizontal="center" vertical="bottom" textRotation="0" wrapText="false" indent="0" shrinkToFit="false"/>
      <protection locked="true" hidden="true"/>
    </xf>
    <xf numFmtId="166" fontId="9" fillId="0" borderId="0" xfId="0" applyFont="true" applyBorder="false" applyAlignment="true" applyProtection="true">
      <alignment horizontal="center" vertical="bottom" textRotation="0" wrapText="false" indent="0" shrinkToFit="false"/>
      <protection locked="true" hidden="true"/>
    </xf>
    <xf numFmtId="165" fontId="9" fillId="3" borderId="25" xfId="0" applyFont="true" applyBorder="true" applyAlignment="true" applyProtection="true">
      <alignment horizontal="center" vertical="center" textRotation="0" wrapText="true" indent="0" shrinkToFit="false"/>
      <protection locked="true" hidden="true"/>
    </xf>
    <xf numFmtId="164" fontId="28" fillId="0" borderId="0" xfId="22" applyFont="true" applyBorder="false" applyAlignment="true" applyProtection="true">
      <alignment horizontal="center" vertical="bottom" textRotation="0" wrapText="false" indent="0" shrinkToFit="false"/>
      <protection locked="true" hidden="true"/>
    </xf>
    <xf numFmtId="165" fontId="26" fillId="3" borderId="0" xfId="0" applyFont="true" applyBorder="false" applyAlignment="true" applyProtection="true">
      <alignment horizontal="left" vertical="bottom" textRotation="0" wrapText="false" indent="1" shrinkToFit="false"/>
      <protection locked="true" hidden="true"/>
    </xf>
    <xf numFmtId="172" fontId="28" fillId="3"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64" fontId="28" fillId="0" borderId="0" xfId="0" applyFont="true" applyBorder="fals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true" indent="1" shrinkToFit="false"/>
      <protection locked="true" hidden="true"/>
    </xf>
    <xf numFmtId="172" fontId="26" fillId="3" borderId="26" xfId="0" applyFont="true" applyBorder="true" applyAlignment="true" applyProtection="true">
      <alignment horizontal="center" vertical="bottom" textRotation="0" wrapText="false" indent="0" shrinkToFit="false"/>
      <protection locked="true" hidden="true"/>
    </xf>
    <xf numFmtId="172" fontId="26" fillId="3" borderId="21" xfId="0" applyFont="true" applyBorder="true" applyAlignment="true" applyProtection="true">
      <alignment horizontal="center" vertical="bottom" textRotation="0" wrapText="false" indent="0" shrinkToFit="false"/>
      <protection locked="true" hidden="true"/>
    </xf>
    <xf numFmtId="172" fontId="26" fillId="3" borderId="27" xfId="0" applyFont="true" applyBorder="true" applyAlignment="true" applyProtection="true">
      <alignment horizontal="center" vertical="bottom" textRotation="0" wrapText="false" indent="0" shrinkToFit="false"/>
      <protection locked="true" hidden="true"/>
    </xf>
    <xf numFmtId="172" fontId="26" fillId="0" borderId="28" xfId="0" applyFont="true" applyBorder="true" applyAlignment="true" applyProtection="true">
      <alignment horizontal="center" vertical="bottom" textRotation="0" wrapText="false" indent="0" shrinkToFit="false"/>
      <protection locked="true" hidden="true"/>
    </xf>
    <xf numFmtId="172" fontId="26" fillId="0" borderId="29" xfId="0" applyFont="true" applyBorder="true" applyAlignment="true" applyProtection="true">
      <alignment horizontal="center" vertical="bottom" textRotation="0" wrapText="false" indent="0" shrinkToFit="false"/>
      <protection locked="true" hidden="true"/>
    </xf>
    <xf numFmtId="174" fontId="26" fillId="0" borderId="0" xfId="22" applyFont="true" applyBorder="false" applyAlignment="false" applyProtection="true">
      <alignment horizontal="general" vertical="bottom" textRotation="0" wrapText="false" indent="0" shrinkToFit="false"/>
      <protection locked="true" hidden="true"/>
    </xf>
    <xf numFmtId="164" fontId="26" fillId="3" borderId="0" xfId="0" applyFont="true" applyBorder="false" applyAlignment="true" applyProtection="false">
      <alignment horizontal="left" vertical="bottom" textRotation="0" wrapText="false" indent="1" shrinkToFit="false"/>
      <protection locked="true" hidden="false"/>
    </xf>
    <xf numFmtId="172" fontId="26" fillId="0" borderId="30" xfId="0" applyFont="true" applyBorder="true" applyAlignment="true" applyProtection="true">
      <alignment horizontal="center" vertical="bottom" textRotation="0" wrapText="false" indent="0" shrinkToFit="false"/>
      <protection locked="true" hidden="true"/>
    </xf>
    <xf numFmtId="172" fontId="26" fillId="0" borderId="31" xfId="0" applyFont="true" applyBorder="true" applyAlignment="true" applyProtection="true">
      <alignment horizontal="center" vertical="bottom" textRotation="0" wrapText="false" indent="0" shrinkToFit="false"/>
      <protection locked="true" hidden="true"/>
    </xf>
    <xf numFmtId="172" fontId="26" fillId="0" borderId="32" xfId="0" applyFont="true" applyBorder="tru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2" fontId="26" fillId="0" borderId="25" xfId="0" applyFont="true" applyBorder="true" applyAlignment="true" applyProtection="true">
      <alignment horizontal="center" vertical="bottom" textRotation="0" wrapText="false" indent="0" shrinkToFit="false"/>
      <protection locked="true" hidden="true"/>
    </xf>
    <xf numFmtId="169" fontId="33" fillId="3" borderId="33" xfId="0" applyFont="true" applyBorder="true" applyAlignment="false" applyProtection="false">
      <alignment horizontal="general" vertical="bottom" textRotation="0" wrapText="false" indent="0" shrinkToFit="false"/>
      <protection locked="true" hidden="false"/>
    </xf>
    <xf numFmtId="172"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5"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3" borderId="36" xfId="0" applyFont="true" applyBorder="true" applyAlignment="true" applyProtection="false">
      <alignment horizontal="left" vertical="bottom" textRotation="0" wrapText="false" indent="1" shrinkToFit="false"/>
      <protection locked="true" hidden="false"/>
    </xf>
    <xf numFmtId="169"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8" xfId="0" applyFont="true" applyBorder="true" applyAlignment="false" applyProtection="false">
      <alignment horizontal="general" vertical="bottom" textRotation="0" wrapText="false" indent="0" shrinkToFit="false"/>
      <protection locked="true" hidden="false"/>
    </xf>
    <xf numFmtId="164" fontId="34" fillId="3" borderId="23" xfId="0" applyFont="true" applyBorder="true" applyAlignment="true" applyProtection="false">
      <alignment horizontal="left" vertical="bottom" textRotation="0" wrapText="false" indent="1" shrinkToFit="false"/>
      <protection locked="true" hidden="false"/>
    </xf>
    <xf numFmtId="172" fontId="34" fillId="3" borderId="23" xfId="0" applyFont="true" applyBorder="true" applyAlignment="false" applyProtection="false">
      <alignment horizontal="general" vertical="bottom" textRotation="0" wrapText="false" indent="0" shrinkToFit="false"/>
      <protection locked="true" hidden="false"/>
    </xf>
    <xf numFmtId="172" fontId="33" fillId="3" borderId="0" xfId="0" applyFont="true" applyBorder="false" applyAlignment="false" applyProtection="false">
      <alignment horizontal="general" vertical="bottom" textRotation="0" wrapText="false" indent="0" shrinkToFit="false"/>
      <protection locked="true" hidden="false"/>
    </xf>
    <xf numFmtId="164" fontId="33" fillId="3" borderId="39" xfId="0" applyFont="true" applyBorder="true" applyAlignment="false" applyProtection="false">
      <alignment horizontal="general" vertical="bottom" textRotation="0" wrapText="false" indent="0" shrinkToFit="false"/>
      <protection locked="true" hidden="false"/>
    </xf>
    <xf numFmtId="164" fontId="33" fillId="3" borderId="40" xfId="0" applyFont="true" applyBorder="true" applyAlignment="true" applyProtection="false">
      <alignment horizontal="left" vertical="bottom" textRotation="0" wrapText="false" indent="1" shrinkToFit="false"/>
      <protection locked="true" hidden="false"/>
    </xf>
    <xf numFmtId="172" fontId="33" fillId="3" borderId="0" xfId="0" applyFont="true" applyBorder="false" applyAlignment="true" applyProtection="false">
      <alignment horizontal="center" vertical="bottom" textRotation="0" wrapText="false" indent="0" shrinkToFit="false"/>
      <protection locked="true" hidden="false"/>
    </xf>
    <xf numFmtId="172" fontId="33" fillId="0" borderId="21" xfId="0" applyFont="true" applyBorder="true" applyAlignment="false" applyProtection="false">
      <alignment horizontal="general" vertical="bottom" textRotation="0" wrapText="false" indent="0" shrinkToFit="false"/>
      <protection locked="true" hidden="false"/>
    </xf>
    <xf numFmtId="172" fontId="33" fillId="3" borderId="27" xfId="0" applyFont="true" applyBorder="true" applyAlignment="false" applyProtection="false">
      <alignment horizontal="general" vertical="bottom" textRotation="0" wrapText="false" indent="0" shrinkToFit="false"/>
      <protection locked="true" hidden="false"/>
    </xf>
    <xf numFmtId="169"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4"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4" fontId="26" fillId="3" borderId="0" xfId="22" applyFont="true" applyBorder="false" applyAlignment="false" applyProtection="true">
      <alignment horizontal="general" vertical="bottom" textRotation="0" wrapText="false" indent="0" shrinkToFit="false"/>
      <protection locked="true" hidden="true"/>
    </xf>
    <xf numFmtId="164" fontId="32" fillId="3" borderId="21" xfId="22" applyFont="true" applyBorder="true" applyAlignment="true" applyProtection="true">
      <alignment horizontal="center" vertical="center" textRotation="0" wrapText="false" indent="0" shrinkToFit="false"/>
      <protection locked="true" hidden="true"/>
    </xf>
    <xf numFmtId="172" fontId="26" fillId="0" borderId="0" xfId="22" applyFont="true" applyBorder="false" applyAlignment="false" applyProtection="true">
      <alignment horizontal="general" vertical="bottom" textRotation="0" wrapText="false" indent="0" shrinkToFit="false"/>
      <protection locked="true" hidden="true"/>
    </xf>
    <xf numFmtId="175" fontId="26" fillId="0" borderId="0" xfId="22" applyFont="true" applyBorder="false" applyAlignment="false" applyProtection="true">
      <alignment horizontal="general" vertical="bottom" textRotation="0" wrapText="false" indent="0" shrinkToFit="false"/>
      <protection locked="true" hidden="true"/>
    </xf>
    <xf numFmtId="164" fontId="32" fillId="3" borderId="0" xfId="22" applyFont="true" applyBorder="false" applyAlignment="false" applyProtection="true">
      <alignment horizontal="general" vertical="bottom" textRotation="0" wrapText="false" indent="0" shrinkToFit="false"/>
      <protection locked="true" hidden="true"/>
    </xf>
    <xf numFmtId="172" fontId="32" fillId="0" borderId="22" xfId="22" applyFont="true" applyBorder="true" applyAlignment="false" applyProtection="true">
      <alignment horizontal="general" vertical="bottom" textRotation="0" wrapText="false" indent="0" shrinkToFit="false"/>
      <protection locked="true" hidden="true"/>
    </xf>
    <xf numFmtId="164" fontId="26" fillId="3" borderId="22" xfId="22" applyFont="true" applyBorder="true" applyAlignment="false" applyProtection="true">
      <alignment horizontal="general" vertical="bottom" textRotation="0" wrapText="false" indent="0" shrinkToFit="false"/>
      <protection locked="true" hidden="true"/>
    </xf>
    <xf numFmtId="172" fontId="26" fillId="0" borderId="0" xfId="22" applyFont="true" applyBorder="false" applyAlignment="true" applyProtection="true">
      <alignment horizontal="center" vertical="bottom" textRotation="0" wrapText="false" indent="0" shrinkToFit="false"/>
      <protection locked="true" hidden="true"/>
    </xf>
    <xf numFmtId="171"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true" applyProtection="false">
      <alignment horizontal="center" vertical="bottom" textRotation="0" wrapText="false" indent="0" shrinkToFit="false"/>
      <protection locked="true" hidden="false"/>
    </xf>
    <xf numFmtId="175"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center" vertical="bottom" textRotation="0" wrapText="false" indent="0" shrinkToFit="false"/>
      <protection locked="true" hidden="false"/>
    </xf>
    <xf numFmtId="171" fontId="33" fillId="3" borderId="26" xfId="0" applyFont="true" applyBorder="true" applyAlignment="true" applyProtection="false">
      <alignment horizontal="center" vertical="center" textRotation="0" wrapText="true" indent="0" shrinkToFit="false"/>
      <protection locked="true" hidden="false"/>
    </xf>
    <xf numFmtId="164" fontId="10" fillId="3" borderId="41" xfId="0" applyFont="true" applyBorder="true" applyAlignment="true" applyProtection="false">
      <alignment horizontal="right" vertical="center" textRotation="0" wrapText="false" indent="0" shrinkToFit="false"/>
      <protection locked="true" hidden="false"/>
    </xf>
    <xf numFmtId="167" fontId="10" fillId="3" borderId="42" xfId="0" applyFont="true" applyBorder="true" applyAlignment="true" applyProtection="false">
      <alignment horizontal="center" vertical="center" textRotation="0" wrapText="false" indent="0" shrinkToFit="false"/>
      <protection locked="true" hidden="false"/>
    </xf>
    <xf numFmtId="173" fontId="34" fillId="3" borderId="27" xfId="0" applyFont="true" applyBorder="true" applyAlignment="true" applyProtection="false">
      <alignment horizontal="center" vertical="bottom" textRotation="0" wrapText="false" indent="0" shrinkToFit="false"/>
      <protection locked="true" hidden="false"/>
    </xf>
    <xf numFmtId="173" fontId="34" fillId="3" borderId="0" xfId="0" applyFont="true" applyBorder="true" applyAlignment="true" applyProtection="false">
      <alignment horizontal="center" vertical="bottom" textRotation="0" wrapText="false" indent="0" shrinkToFit="false"/>
      <protection locked="true" hidden="false"/>
    </xf>
    <xf numFmtId="176" fontId="33" fillId="3" borderId="21" xfId="0" applyFont="true" applyBorder="true" applyAlignment="true" applyProtection="false">
      <alignment horizontal="center" vertical="center" textRotation="0" wrapText="true" indent="0" shrinkToFit="false"/>
      <protection locked="true" hidden="false"/>
    </xf>
    <xf numFmtId="175" fontId="34" fillId="3" borderId="43" xfId="0" applyFont="true" applyBorder="true" applyAlignment="true" applyProtection="false">
      <alignment horizontal="center" vertical="bottom" textRotation="0" wrapText="false" indent="0" shrinkToFit="false"/>
      <protection locked="true" hidden="false"/>
    </xf>
    <xf numFmtId="173" fontId="34" fillId="3" borderId="21" xfId="0" applyFont="true" applyBorder="true" applyAlignment="true" applyProtection="false">
      <alignment horizontal="center" vertical="bottom" textRotation="0" wrapText="false" indent="0" shrinkToFit="false"/>
      <protection locked="true" hidden="false"/>
    </xf>
    <xf numFmtId="171" fontId="33" fillId="3"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7" fontId="33" fillId="3" borderId="25" xfId="0" applyFont="true" applyBorder="true" applyAlignment="true" applyProtection="false">
      <alignment horizontal="center" vertical="center" textRotation="0" wrapText="true" indent="0" shrinkToFit="false"/>
      <protection locked="true" hidden="false"/>
    </xf>
    <xf numFmtId="164" fontId="33" fillId="3" borderId="25" xfId="0" applyFont="true" applyBorder="true" applyAlignment="true" applyProtection="false">
      <alignment horizontal="center" vertical="center" textRotation="0" wrapText="true" indent="0" shrinkToFit="false"/>
      <protection locked="true" hidden="false"/>
    </xf>
    <xf numFmtId="173" fontId="33" fillId="3" borderId="21" xfId="0" applyFont="true" applyBorder="true" applyAlignment="true" applyProtection="false">
      <alignment horizontal="center" vertical="center" textRotation="0" wrapText="true" indent="0" shrinkToFit="false"/>
      <protection locked="true" hidden="false"/>
    </xf>
    <xf numFmtId="171" fontId="12" fillId="3" borderId="21" xfId="0" applyFont="true" applyBorder="true" applyAlignment="true" applyProtection="false">
      <alignment horizontal="center" vertical="center" textRotation="0" wrapText="true" indent="0" shrinkToFit="false"/>
      <protection locked="true" hidden="false"/>
    </xf>
    <xf numFmtId="176" fontId="34" fillId="3" borderId="21" xfId="0" applyFont="true" applyBorder="true" applyAlignment="true" applyProtection="false">
      <alignment horizontal="center" vertical="bottom" textRotation="0" wrapText="false" indent="0" shrinkToFit="false"/>
      <protection locked="true" hidden="false"/>
    </xf>
    <xf numFmtId="177" fontId="33" fillId="0" borderId="0" xfId="0" applyFont="true" applyBorder="false" applyAlignment="false" applyProtection="false">
      <alignment horizontal="general" vertical="bottom" textRotation="0" wrapText="false" indent="0" shrinkToFit="false"/>
      <protection locked="true" hidden="false"/>
    </xf>
    <xf numFmtId="171"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false" applyProtection="false">
      <alignment horizontal="general" vertical="bottom" textRotation="0" wrapText="false" indent="0" shrinkToFit="false"/>
      <protection locked="true" hidden="false"/>
    </xf>
    <xf numFmtId="176" fontId="33" fillId="3" borderId="44" xfId="0" applyFont="true" applyBorder="true" applyAlignment="true" applyProtection="false">
      <alignment horizontal="center" vertical="bottom" textRotation="0" wrapText="false" indent="0" shrinkToFit="false"/>
      <protection locked="true" hidden="false"/>
    </xf>
    <xf numFmtId="164" fontId="0" fillId="3" borderId="44" xfId="0" applyFont="fals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3" fontId="33" fillId="3"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false" applyProtection="false">
      <alignment horizontal="general" vertical="bottom" textRotation="0" wrapText="false" indent="0" shrinkToFit="false"/>
      <protection locked="true" hidden="false"/>
    </xf>
    <xf numFmtId="164" fontId="9" fillId="5" borderId="41" xfId="0" applyFont="true" applyBorder="true" applyAlignment="true" applyProtection="false">
      <alignment horizontal="right" vertical="center" textRotation="0" wrapText="false" indent="0" shrinkToFit="false"/>
      <protection locked="true" hidden="false"/>
    </xf>
    <xf numFmtId="171" fontId="9" fillId="5" borderId="42"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1" fontId="33" fillId="3" borderId="0" xfId="0" applyFont="true" applyBorder="false" applyAlignment="false" applyProtection="false">
      <alignment horizontal="general" vertical="bottom" textRotation="0" wrapText="false" indent="0" shrinkToFit="false"/>
      <protection locked="true" hidden="false"/>
    </xf>
    <xf numFmtId="171" fontId="33" fillId="0" borderId="25" xfId="0" applyFont="true" applyBorder="true" applyAlignment="false" applyProtection="false">
      <alignment horizontal="general"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3" fontId="33" fillId="0" borderId="25" xfId="0" applyFont="true" applyBorder="true" applyAlignment="false" applyProtection="false">
      <alignment horizontal="general" vertical="bottom" textRotation="0" wrapText="false" indent="0" shrinkToFit="false"/>
      <protection locked="true" hidden="false"/>
    </xf>
    <xf numFmtId="172" fontId="33" fillId="0" borderId="21" xfId="0" applyFont="true" applyBorder="true" applyAlignment="true" applyProtection="false">
      <alignment horizontal="center" vertical="bottom" textRotation="0" wrapText="false" indent="0" shrinkToFit="false"/>
      <protection locked="true" hidden="false"/>
    </xf>
    <xf numFmtId="172" fontId="33" fillId="3" borderId="0" xfId="0" applyFont="true" applyBorder="false" applyAlignment="true" applyProtection="false">
      <alignment horizontal="center" vertical="center" textRotation="0" wrapText="false" indent="0" shrinkToFit="false"/>
      <protection locked="true" hidden="false"/>
    </xf>
    <xf numFmtId="171" fontId="33" fillId="0" borderId="21" xfId="0" applyFont="true" applyBorder="true" applyAlignment="false" applyProtection="false">
      <alignment horizontal="general" vertical="bottom" textRotation="0" wrapText="false" indent="0" shrinkToFit="false"/>
      <protection locked="true" hidden="false"/>
    </xf>
    <xf numFmtId="173" fontId="33" fillId="0" borderId="21" xfId="0" applyFont="true" applyBorder="true" applyAlignment="false" applyProtection="false">
      <alignment horizontal="general" vertical="bottom" textRotation="0" wrapText="false" indent="0" shrinkToFit="false"/>
      <protection locked="true" hidden="false"/>
    </xf>
    <xf numFmtId="164" fontId="33" fillId="0" borderId="21" xfId="0" applyFont="true" applyBorder="true" applyAlignment="false" applyProtection="false">
      <alignment horizontal="general" vertical="bottom" textRotation="0" wrapText="false" indent="0" shrinkToFit="false"/>
      <protection locked="true" hidden="false"/>
    </xf>
    <xf numFmtId="171" fontId="33" fillId="0" borderId="24" xfId="0" applyFont="true" applyBorder="true" applyAlignment="false" applyProtection="false">
      <alignment horizontal="general" vertical="bottom" textRotation="0" wrapText="false" indent="0" shrinkToFit="false"/>
      <protection locked="true" hidden="false"/>
    </xf>
    <xf numFmtId="164" fontId="33" fillId="0" borderId="24" xfId="0" applyFont="true" applyBorder="true" applyAlignment="false" applyProtection="false">
      <alignment horizontal="general" vertical="bottom" textRotation="0" wrapText="false" indent="0" shrinkToFit="false"/>
      <protection locked="true" hidden="false"/>
    </xf>
    <xf numFmtId="173" fontId="33" fillId="0" borderId="24" xfId="0" applyFont="true" applyBorder="true" applyAlignment="false" applyProtection="false">
      <alignment horizontal="general"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false" indent="0" shrinkToFit="false"/>
      <protection locked="true" hidden="false"/>
    </xf>
    <xf numFmtId="171" fontId="33" fillId="5" borderId="45" xfId="0" applyFont="true" applyBorder="true" applyAlignment="true" applyProtection="false">
      <alignment horizontal="left" vertical="bottom" textRotation="0" wrapText="false" indent="0" shrinkToFit="false"/>
      <protection locked="true" hidden="false"/>
    </xf>
    <xf numFmtId="173" fontId="33" fillId="3" borderId="21" xfId="0" applyFont="true" applyBorder="true" applyAlignment="false" applyProtection="false">
      <alignment horizontal="general" vertical="bottom" textRotation="0" wrapText="false" indent="0" shrinkToFit="false"/>
      <protection locked="true" hidden="false"/>
    </xf>
    <xf numFmtId="172" fontId="33" fillId="3" borderId="21" xfId="0" applyFont="true" applyBorder="true" applyAlignment="true" applyProtection="false">
      <alignment horizontal="center" vertical="bottom" textRotation="0" wrapText="false" indent="0" shrinkToFit="false"/>
      <protection locked="true" hidden="false"/>
    </xf>
    <xf numFmtId="173" fontId="33" fillId="3" borderId="21" xfId="0" applyFont="true" applyBorder="true" applyAlignment="true" applyProtection="false">
      <alignment horizontal="center"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9" fillId="5" borderId="42" xfId="0" applyFont="true" applyBorder="true" applyAlignment="true" applyProtection="false">
      <alignment horizontal="left" vertical="bottom" textRotation="0" wrapText="false" indent="0" shrinkToFit="false"/>
      <protection locked="true" hidden="false"/>
    </xf>
    <xf numFmtId="176" fontId="33" fillId="0" borderId="21" xfId="0" applyFont="true" applyBorder="true" applyAlignment="true" applyProtection="false">
      <alignment horizontal="center"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true" indent="0" shrinkToFit="false"/>
      <protection locked="true" hidden="false"/>
    </xf>
    <xf numFmtId="171" fontId="33" fillId="5" borderId="42" xfId="0" applyFont="true" applyBorder="true" applyAlignment="true" applyProtection="false">
      <alignment horizontal="left" vertical="bottom" textRotation="0" wrapText="false" indent="0" shrinkToFit="false"/>
      <protection locked="true" hidden="false"/>
    </xf>
    <xf numFmtId="173" fontId="33" fillId="3" borderId="27" xfId="0" applyFont="true" applyBorder="true" applyAlignment="false" applyProtection="false">
      <alignment horizontal="general" vertical="bottom" textRotation="0" wrapText="false" indent="0" shrinkToFit="false"/>
      <protection locked="true" hidden="false"/>
    </xf>
    <xf numFmtId="164" fontId="10" fillId="5" borderId="41" xfId="0" applyFont="true" applyBorder="true" applyAlignment="true" applyProtection="false">
      <alignment horizontal="right" vertical="center" textRotation="0" wrapText="false" indent="0" shrinkToFit="false"/>
      <protection locked="true" hidden="false"/>
    </xf>
    <xf numFmtId="167" fontId="10" fillId="5" borderId="42" xfId="0" applyFont="true" applyBorder="true" applyAlignment="true" applyProtection="false">
      <alignment horizontal="center" vertical="center" textRotation="0" wrapText="false" indent="0" shrinkToFit="false"/>
      <protection locked="true" hidden="false"/>
    </xf>
    <xf numFmtId="173" fontId="33" fillId="3" borderId="23" xfId="0" applyFont="true" applyBorder="true" applyAlignment="false" applyProtection="false">
      <alignment horizontal="general" vertical="bottom" textRotation="0" wrapText="false" indent="0" shrinkToFit="false"/>
      <protection locked="true" hidden="false"/>
    </xf>
    <xf numFmtId="172" fontId="33" fillId="3" borderId="23" xfId="0" applyFont="true" applyBorder="true" applyAlignment="true" applyProtection="false">
      <alignment horizontal="center" vertical="bottom" textRotation="0" wrapText="false" indent="0" shrinkToFit="false"/>
      <protection locked="true" hidden="false"/>
    </xf>
    <xf numFmtId="173" fontId="33" fillId="3" borderId="23" xfId="0" applyFont="true" applyBorder="true" applyAlignment="true" applyProtection="false">
      <alignment horizontal="center" vertical="bottom" textRotation="0" wrapText="false" indent="0" shrinkToFit="false"/>
      <protection locked="true" hidden="false"/>
    </xf>
    <xf numFmtId="171" fontId="10" fillId="3" borderId="0" xfId="0" applyFont="true" applyBorder="false" applyAlignment="true" applyProtection="false">
      <alignment horizontal="center" vertical="bottom" textRotation="0" wrapText="true" indent="0" shrinkToFit="false"/>
      <protection locked="true" hidden="false"/>
    </xf>
    <xf numFmtId="164" fontId="35"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9" fillId="6" borderId="41" xfId="0" applyFont="true" applyBorder="true" applyAlignment="true" applyProtection="false">
      <alignment horizontal="right" vertical="center" textRotation="0" wrapText="false" indent="0" shrinkToFit="false"/>
      <protection locked="true" hidden="false"/>
    </xf>
    <xf numFmtId="171" fontId="9" fillId="6" borderId="42" xfId="0" applyFont="true" applyBorder="true" applyAlignment="true" applyProtection="false">
      <alignment horizontal="left" vertical="bottom" textRotation="0" wrapText="false" indent="0" shrinkToFit="false"/>
      <protection locked="true" hidden="false"/>
    </xf>
    <xf numFmtId="164" fontId="34" fillId="0" borderId="25" xfId="0" applyFont="tru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center" textRotation="0" wrapText="false" indent="0" shrinkToFit="false"/>
      <protection locked="true" hidden="false"/>
    </xf>
    <xf numFmtId="164" fontId="34" fillId="0" borderId="21" xfId="0" applyFont="true" applyBorder="true" applyAlignment="false" applyProtection="false">
      <alignment horizontal="general" vertical="bottom" textRotation="0" wrapText="false" indent="0" shrinkToFit="false"/>
      <protection locked="true" hidden="false"/>
    </xf>
    <xf numFmtId="164" fontId="34" fillId="0" borderId="24" xfId="0" applyFont="true" applyBorder="true" applyAlignment="false" applyProtection="false">
      <alignment horizontal="general"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false" indent="0" shrinkToFit="false"/>
      <protection locked="true" hidden="false"/>
    </xf>
    <xf numFmtId="171" fontId="33" fillId="6" borderId="45"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9" fillId="6" borderId="42" xfId="0" applyFont="true" applyBorder="true" applyAlignment="true" applyProtection="false">
      <alignment horizontal="left"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true" indent="0" shrinkToFit="false"/>
      <protection locked="true" hidden="false"/>
    </xf>
    <xf numFmtId="171" fontId="33" fillId="6" borderId="42" xfId="0" applyFont="true" applyBorder="true" applyAlignment="true" applyProtection="false">
      <alignment horizontal="left" vertical="bottom" textRotation="0" wrapText="false" indent="0" shrinkToFit="false"/>
      <protection locked="true" hidden="false"/>
    </xf>
    <xf numFmtId="173" fontId="33" fillId="3" borderId="26" xfId="0" applyFont="true" applyBorder="true" applyAlignment="false" applyProtection="false">
      <alignment horizontal="general" vertical="bottom" textRotation="0" wrapText="false" indent="0" shrinkToFit="false"/>
      <protection locked="true" hidden="false"/>
    </xf>
    <xf numFmtId="164" fontId="10" fillId="6" borderId="41" xfId="0" applyFont="true" applyBorder="true" applyAlignment="true" applyProtection="false">
      <alignment horizontal="right" vertical="center" textRotation="0" wrapText="false" indent="0" shrinkToFit="false"/>
      <protection locked="true" hidden="false"/>
    </xf>
    <xf numFmtId="165" fontId="5" fillId="6" borderId="42" xfId="0" applyFont="true" applyBorder="true" applyAlignment="true" applyProtection="false">
      <alignment horizontal="center" vertical="center" textRotation="0" wrapText="false" indent="0" shrinkToFit="false"/>
      <protection locked="true" hidden="false"/>
    </xf>
    <xf numFmtId="175" fontId="33" fillId="3" borderId="0" xfId="0" applyFont="true" applyBorder="false" applyAlignment="false" applyProtection="false">
      <alignment horizontal="general" vertical="bottom"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true"/>
    </xf>
    <xf numFmtId="173" fontId="26" fillId="0" borderId="0" xfId="0" applyFont="true" applyBorder="false" applyAlignment="true" applyProtection="true">
      <alignment horizontal="center" vertical="bottom" textRotation="0" wrapText="false" indent="0" shrinkToFit="false"/>
      <protection locked="true" hidden="true"/>
    </xf>
    <xf numFmtId="170" fontId="26" fillId="0" borderId="0" xfId="0" applyFont="true" applyBorder="false" applyAlignment="false" applyProtection="true">
      <alignment horizontal="general" vertical="bottom" textRotation="0" wrapText="false" indent="0" shrinkToFit="false"/>
      <protection locked="true" hidden="true"/>
    </xf>
    <xf numFmtId="174" fontId="26" fillId="3" borderId="0" xfId="0" applyFont="true" applyBorder="false" applyAlignment="true" applyProtection="true">
      <alignment horizontal="center" vertical="bottom" textRotation="0" wrapText="false" indent="0" shrinkToFit="false"/>
      <protection locked="true" hidden="true"/>
    </xf>
    <xf numFmtId="173" fontId="26" fillId="3" borderId="0" xfId="0" applyFont="true" applyBorder="false" applyAlignment="true" applyProtection="true">
      <alignment horizontal="center" vertical="bottom" textRotation="0" wrapText="false" indent="0" shrinkToFit="false"/>
      <protection locked="true" hidden="true"/>
    </xf>
    <xf numFmtId="170" fontId="26" fillId="3" borderId="0" xfId="0" applyFont="true" applyBorder="false" applyAlignment="false" applyProtection="true">
      <alignment horizontal="general" vertical="bottom" textRotation="0" wrapText="false" indent="0" shrinkToFit="false"/>
      <protection locked="true" hidden="true"/>
    </xf>
    <xf numFmtId="164" fontId="5" fillId="3" borderId="41" xfId="0" applyFont="true" applyBorder="true" applyAlignment="true" applyProtection="true">
      <alignment horizontal="left" vertical="center" textRotation="0" wrapText="true" indent="1" shrinkToFit="false"/>
      <protection locked="true" hidden="true"/>
    </xf>
    <xf numFmtId="165" fontId="5" fillId="3" borderId="42" xfId="0" applyFont="true" applyBorder="true" applyAlignment="true" applyProtection="false">
      <alignment horizontal="left" vertical="center" textRotation="0" wrapText="true" indent="1" shrinkToFit="false"/>
      <protection locked="true" hidden="false"/>
    </xf>
    <xf numFmtId="174" fontId="26" fillId="3" borderId="27" xfId="0" applyFont="true" applyBorder="true" applyAlignment="true" applyProtection="true">
      <alignment horizontal="center" vertical="center" textRotation="0" wrapText="true" indent="0" shrinkToFit="false"/>
      <protection locked="true" hidden="true"/>
    </xf>
    <xf numFmtId="172" fontId="26"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8" fontId="26" fillId="3" borderId="0" xfId="0" applyFont="true" applyBorder="false" applyAlignment="true" applyProtection="true">
      <alignment horizontal="center" vertical="bottom" textRotation="0" wrapText="false" indent="0" shrinkToFit="false"/>
      <protection locked="true" hidden="true"/>
    </xf>
    <xf numFmtId="164" fontId="26" fillId="3" borderId="21" xfId="0" applyFont="true" applyBorder="true" applyAlignment="true" applyProtection="true">
      <alignment horizontal="left" vertical="center" textRotation="0" wrapText="false" indent="1" shrinkToFit="false"/>
      <protection locked="true" hidden="true"/>
    </xf>
    <xf numFmtId="173" fontId="26" fillId="0" borderId="21" xfId="0" applyFont="true" applyBorder="true" applyAlignment="true" applyProtection="true">
      <alignment horizontal="center" vertical="bottom" textRotation="0" wrapText="false" indent="0" shrinkToFit="false"/>
      <protection locked="true" hidden="true"/>
    </xf>
    <xf numFmtId="173" fontId="26" fillId="0" borderId="0" xfId="0" applyFont="true" applyBorder="false" applyAlignment="false" applyProtection="true">
      <alignment horizontal="general" vertical="bottom" textRotation="0" wrapText="false" indent="0" shrinkToFit="false"/>
      <protection locked="true" hidden="true"/>
    </xf>
    <xf numFmtId="179" fontId="26" fillId="3" borderId="0" xfId="0" applyFont="true" applyBorder="false" applyAlignment="true" applyProtection="true">
      <alignment horizontal="center" vertical="bottom" textRotation="0" wrapText="false" indent="0" shrinkToFit="false"/>
      <protection locked="true" hidden="true"/>
    </xf>
    <xf numFmtId="176" fontId="26" fillId="3" borderId="0" xfId="0" applyFont="true" applyBorder="false" applyAlignment="true" applyProtection="true">
      <alignment horizontal="center" vertical="bottom" textRotation="0" wrapText="false" indent="0" shrinkToFit="false"/>
      <protection locked="true" hidden="true"/>
    </xf>
    <xf numFmtId="164" fontId="36" fillId="0" borderId="0" xfId="0" applyFont="true" applyBorder="false" applyAlignment="false" applyProtection="true">
      <alignment horizontal="general" vertical="bottom" textRotation="0" wrapText="false" indent="0" shrinkToFit="false"/>
      <protection locked="true" hidden="true"/>
    </xf>
    <xf numFmtId="164" fontId="26" fillId="3" borderId="23" xfId="0" applyFont="true" applyBorder="true" applyAlignment="true" applyProtection="true">
      <alignment horizontal="left" vertical="center" textRotation="0" wrapText="false" indent="1" shrinkToFit="false"/>
      <protection locked="true" hidden="true"/>
    </xf>
    <xf numFmtId="164" fontId="26"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3" fontId="32" fillId="0" borderId="23" xfId="0" applyFont="true" applyBorder="true" applyAlignment="true" applyProtection="true">
      <alignment horizontal="center" vertical="bottom" textRotation="0" wrapText="false" indent="0" shrinkToFit="false"/>
      <protection locked="true" hidden="true"/>
    </xf>
    <xf numFmtId="178" fontId="26" fillId="3" borderId="0" xfId="0" applyFont="true" applyBorder="false" applyAlignment="false" applyProtection="true">
      <alignment horizontal="general" vertical="bottom" textRotation="0" wrapText="false" indent="0" shrinkToFit="false"/>
      <protection locked="true" hidden="true"/>
    </xf>
    <xf numFmtId="170" fontId="37" fillId="3" borderId="0" xfId="0" applyFont="true" applyBorder="false" applyAlignment="true" applyProtection="true">
      <alignment horizontal="center" vertical="bottom" textRotation="0" wrapText="false" indent="0" shrinkToFit="false"/>
      <protection locked="true" hidden="true"/>
    </xf>
    <xf numFmtId="172" fontId="32" fillId="3" borderId="0" xfId="0" applyFont="true" applyBorder="false" applyAlignment="true" applyProtection="true">
      <alignment horizontal="center" vertical="bottom" textRotation="0" wrapText="false" indent="0" shrinkToFit="false"/>
      <protection locked="true" hidden="true"/>
    </xf>
    <xf numFmtId="164" fontId="38" fillId="3" borderId="0" xfId="0" applyFont="true" applyBorder="false" applyAlignment="true" applyProtection="true">
      <alignment horizontal="right" vertical="bottom" textRotation="0" wrapText="false" indent="0" shrinkToFit="false"/>
      <protection locked="true" hidden="true"/>
    </xf>
    <xf numFmtId="167" fontId="38" fillId="3" borderId="0" xfId="0" applyFont="true" applyBorder="true" applyAlignment="true" applyProtection="true">
      <alignment horizontal="left" vertical="bottom" textRotation="0" wrapText="false" indent="0" shrinkToFit="false"/>
      <protection locked="true" hidden="true"/>
    </xf>
    <xf numFmtId="171" fontId="26" fillId="3" borderId="0" xfId="0" applyFont="true" applyBorder="false" applyAlignment="true" applyProtection="true">
      <alignment horizontal="center" vertical="bottom" textRotation="0" wrapText="false" indent="0" shrinkToFit="false"/>
      <protection locked="true" hidden="true"/>
    </xf>
    <xf numFmtId="173" fontId="32" fillId="3" borderId="0" xfId="0" applyFont="true" applyBorder="false" applyAlignment="true" applyProtection="true">
      <alignment horizontal="center" vertical="bottom" textRotation="0" wrapText="false" indent="0" shrinkToFit="false"/>
      <protection locked="true" hidden="true"/>
    </xf>
    <xf numFmtId="164" fontId="26" fillId="3" borderId="23" xfId="0" applyFont="true" applyBorder="true" applyAlignment="true" applyProtection="true">
      <alignment horizontal="left" vertical="bottom" textRotation="0" wrapText="false" indent="1" shrinkToFit="false"/>
      <protection locked="true" hidden="true"/>
    </xf>
    <xf numFmtId="173" fontId="26" fillId="3" borderId="21" xfId="0" applyFont="true" applyBorder="true" applyAlignment="true" applyProtection="true">
      <alignment horizontal="center" vertical="bottom" textRotation="0" wrapText="false" indent="0" shrinkToFit="false"/>
      <protection locked="true" hidden="true"/>
    </xf>
    <xf numFmtId="164" fontId="32" fillId="3" borderId="23" xfId="0" applyFont="true" applyBorder="true" applyAlignment="true" applyProtection="true">
      <alignment horizontal="left" vertical="bottom" textRotation="0" wrapText="false" indent="1" shrinkToFit="false"/>
      <protection locked="true" hidden="true"/>
    </xf>
    <xf numFmtId="164" fontId="32" fillId="3" borderId="0" xfId="0" applyFont="true" applyBorder="false" applyAlignment="true" applyProtection="true">
      <alignment horizontal="center" vertical="bottom" textRotation="0" wrapText="false" indent="0" shrinkToFit="false"/>
      <protection locked="true" hidden="true"/>
    </xf>
    <xf numFmtId="164" fontId="26" fillId="3" borderId="41" xfId="0" applyFont="true" applyBorder="true" applyAlignment="true" applyProtection="true">
      <alignment horizontal="left" vertical="center" textRotation="0" wrapText="false" indent="1" shrinkToFit="false"/>
      <protection locked="true" hidden="true"/>
    </xf>
    <xf numFmtId="172" fontId="26" fillId="3" borderId="23" xfId="0" applyFont="true" applyBorder="true" applyAlignment="true" applyProtection="true">
      <alignment horizontal="center" vertical="center" textRotation="0" wrapText="true" indent="0" shrinkToFit="false"/>
      <protection locked="true" hidden="true"/>
    </xf>
    <xf numFmtId="164" fontId="26" fillId="3" borderId="0" xfId="0" applyFont="true" applyBorder="false" applyAlignment="true" applyProtection="true">
      <alignment horizontal="center" vertical="bottom" textRotation="0" wrapText="false" indent="0" shrinkToFit="false"/>
      <protection locked="true" hidden="true"/>
    </xf>
    <xf numFmtId="174" fontId="26" fillId="3" borderId="21" xfId="0" applyFont="true" applyBorder="true" applyAlignment="true" applyProtection="true">
      <alignment horizontal="center" vertical="bottom" textRotation="0" wrapText="true" indent="0" shrinkToFit="false"/>
      <protection locked="true" hidden="true"/>
    </xf>
    <xf numFmtId="173" fontId="26" fillId="3" borderId="21" xfId="0" applyFont="true" applyBorder="true" applyAlignment="true" applyProtection="true">
      <alignment horizontal="center" vertical="bottom" textRotation="0" wrapText="true" indent="0" shrinkToFit="false"/>
      <protection locked="true" hidden="true"/>
    </xf>
    <xf numFmtId="170" fontId="26" fillId="3" borderId="0" xfId="0" applyFont="true" applyBorder="false" applyAlignment="true" applyProtection="true">
      <alignment horizontal="center" vertical="bottom" textRotation="0" wrapText="false" indent="0" shrinkToFit="false"/>
      <protection locked="true" hidden="true"/>
    </xf>
    <xf numFmtId="164" fontId="26" fillId="0" borderId="0" xfId="0" applyFont="true" applyBorder="false" applyAlignment="true" applyProtection="true">
      <alignment horizontal="center" vertical="bottom" textRotation="0" wrapText="false" indent="0" shrinkToFit="false"/>
      <protection locked="true" hidden="true"/>
    </xf>
    <xf numFmtId="171" fontId="26" fillId="3" borderId="0" xfId="0" applyFont="true" applyBorder="false" applyAlignment="true" applyProtection="true">
      <alignment horizontal="left" vertical="bottom" textRotation="0" wrapText="false" indent="1" shrinkToFit="false"/>
      <protection locked="true" hidden="true"/>
    </xf>
    <xf numFmtId="174" fontId="26" fillId="3" borderId="21" xfId="0" applyFont="true" applyBorder="true" applyAlignment="true" applyProtection="true">
      <alignment horizontal="center" vertical="bottom" textRotation="0" wrapText="false" indent="0" shrinkToFit="false"/>
      <protection locked="true" hidden="true"/>
    </xf>
    <xf numFmtId="171" fontId="26" fillId="3" borderId="21" xfId="0" applyFont="true" applyBorder="true" applyAlignment="true" applyProtection="true">
      <alignment horizontal="center" vertical="bottom" textRotation="0" wrapText="false" indent="0" shrinkToFit="false"/>
      <protection locked="true" hidden="true"/>
    </xf>
    <xf numFmtId="164" fontId="33" fillId="3" borderId="21" xfId="0" applyFont="true" applyBorder="tru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3" fontId="32" fillId="3" borderId="0" xfId="0" applyFont="true" applyBorder="false" applyAlignment="false" applyProtection="true">
      <alignment horizontal="general" vertical="bottom" textRotation="0" wrapText="false" indent="0" shrinkToFit="false"/>
      <protection locked="true" hidden="true"/>
    </xf>
    <xf numFmtId="172" fontId="26" fillId="3" borderId="0" xfId="0" applyFont="true" applyBorder="false" applyAlignment="false" applyProtection="true">
      <alignment horizontal="general" vertical="bottom" textRotation="0" wrapText="false" indent="0" shrinkToFit="false"/>
      <protection locked="true" hidden="true"/>
    </xf>
    <xf numFmtId="171" fontId="33" fillId="3" borderId="0" xfId="0" applyFont="true" applyBorder="false" applyAlignment="true" applyProtection="true">
      <alignment horizontal="left" vertical="bottom" textRotation="0" wrapText="false" indent="1" shrinkToFit="false"/>
      <protection locked="true" hidden="true"/>
    </xf>
    <xf numFmtId="171" fontId="26" fillId="3" borderId="0" xfId="0" applyFont="true" applyBorder="false" applyAlignment="false" applyProtection="true">
      <alignment horizontal="general" vertical="bottom" textRotation="0" wrapText="false" indent="0" shrinkToFit="false"/>
      <protection locked="true" hidden="true"/>
    </xf>
    <xf numFmtId="171" fontId="34" fillId="3" borderId="0" xfId="0" applyFont="true" applyBorder="false" applyAlignment="true" applyProtection="true">
      <alignment horizontal="left" vertical="bottom" textRotation="0" wrapText="false" indent="1" shrinkToFit="false"/>
      <protection locked="true" hidden="true"/>
    </xf>
    <xf numFmtId="173" fontId="26" fillId="3" borderId="0" xfId="0" applyFont="true" applyBorder="false" applyAlignment="false" applyProtection="true">
      <alignment horizontal="general" vertical="bottom" textRotation="0" wrapText="false" indent="0" shrinkToFit="false"/>
      <protection locked="true" hidden="true"/>
    </xf>
    <xf numFmtId="169" fontId="33" fillId="3" borderId="0" xfId="0" applyFont="true" applyBorder="false" applyAlignment="false" applyProtection="false">
      <alignment horizontal="general" vertical="bottom" textRotation="0" wrapText="false" indent="0" shrinkToFit="false"/>
      <protection locked="true" hidden="false"/>
    </xf>
    <xf numFmtId="169" fontId="34" fillId="3" borderId="41" xfId="0" applyFont="true" applyBorder="true" applyAlignment="true" applyProtection="false">
      <alignment horizontal="center" vertical="center" textRotation="0" wrapText="true" indent="0" shrinkToFit="false"/>
      <protection locked="true" hidden="false"/>
    </xf>
    <xf numFmtId="164" fontId="33" fillId="3" borderId="46" xfId="0" applyFont="true" applyBorder="true" applyAlignment="true" applyProtection="false">
      <alignment horizontal="center" vertical="center" textRotation="0" wrapText="true" indent="0" shrinkToFit="false"/>
      <protection locked="true" hidden="false"/>
    </xf>
    <xf numFmtId="166" fontId="26" fillId="3" borderId="27" xfId="0" applyFont="true" applyBorder="true" applyAlignment="true" applyProtection="true">
      <alignment horizontal="center" vertical="center" textRotation="0" wrapText="true" indent="0" shrinkToFit="false"/>
      <protection locked="true" hidden="true"/>
    </xf>
    <xf numFmtId="166" fontId="26" fillId="3" borderId="21" xfId="0" applyFont="true" applyBorder="true" applyAlignment="true" applyProtection="true">
      <alignment horizontal="center" vertical="center" textRotation="0" wrapText="true" indent="0" shrinkToFit="false"/>
      <protection locked="true" hidden="true"/>
    </xf>
    <xf numFmtId="171" fontId="33" fillId="3" borderId="47" xfId="0" applyFont="true" applyBorder="true" applyAlignment="true" applyProtection="false">
      <alignment horizontal="center" vertical="center" textRotation="0" wrapText="true" indent="0" shrinkToFit="false"/>
      <protection locked="true" hidden="false"/>
    </xf>
    <xf numFmtId="169" fontId="33" fillId="3" borderId="32" xfId="0" applyFont="true" applyBorder="true" applyAlignment="true" applyProtection="false">
      <alignment horizontal="center" vertical="bottom" textRotation="0" wrapText="false" indent="0" shrinkToFit="false"/>
      <protection locked="true" hidden="false"/>
    </xf>
    <xf numFmtId="169" fontId="33" fillId="3" borderId="21" xfId="0" applyFont="true" applyBorder="true" applyAlignment="true" applyProtection="false">
      <alignment horizontal="center" vertical="bottom" textRotation="0" wrapText="false" indent="0" shrinkToFit="false"/>
      <protection locked="true" hidden="false"/>
    </xf>
    <xf numFmtId="169" fontId="33" fillId="3" borderId="26" xfId="0" applyFont="true" applyBorder="true" applyAlignment="true" applyProtection="false">
      <alignment horizontal="center" vertical="bottom" textRotation="0" wrapText="false" indent="0" shrinkToFit="false"/>
      <protection locked="true" hidden="false"/>
    </xf>
    <xf numFmtId="169" fontId="34" fillId="3" borderId="0" xfId="0" applyFont="true" applyBorder="false" applyAlignment="true" applyProtection="false">
      <alignment horizontal="right" vertical="bottom" textRotation="0" wrapText="false" indent="1" shrinkToFit="false"/>
      <protection locked="true" hidden="false"/>
    </xf>
    <xf numFmtId="169" fontId="33" fillId="3" borderId="0" xfId="0" applyFont="true" applyBorder="false" applyAlignment="true" applyProtection="false">
      <alignment horizontal="left" vertical="bottom" textRotation="0" wrapText="false" indent="1" shrinkToFit="false"/>
      <protection locked="true" hidden="false"/>
    </xf>
    <xf numFmtId="172" fontId="33" fillId="0"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true" applyProtection="false">
      <alignment horizontal="left" vertical="bottom" textRotation="0" wrapText="false" indent="1" shrinkToFit="false"/>
      <protection locked="true" hidden="false"/>
    </xf>
    <xf numFmtId="172" fontId="34" fillId="3"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false" applyProtection="false">
      <alignment horizontal="general" vertical="bottom" textRotation="0" wrapText="false" indent="0" shrinkToFit="false"/>
      <protection locked="true" hidden="false"/>
    </xf>
    <xf numFmtId="169" fontId="34" fillId="3" borderId="23" xfId="0" applyFont="true" applyBorder="true" applyAlignment="true" applyProtection="false">
      <alignment horizontal="center" vertical="center" textRotation="0" wrapText="true" indent="0" shrinkToFit="false"/>
      <protection locked="true" hidden="false"/>
    </xf>
    <xf numFmtId="166" fontId="33" fillId="3" borderId="21" xfId="0" applyFont="true" applyBorder="true" applyAlignment="true" applyProtection="false">
      <alignment horizontal="center" vertical="center" textRotation="0" wrapText="true" indent="0" shrinkToFit="false"/>
      <protection locked="true" hidden="false"/>
    </xf>
    <xf numFmtId="169" fontId="33" fillId="3" borderId="27" xfId="0" applyFont="true" applyBorder="true" applyAlignment="true" applyProtection="false">
      <alignment horizontal="center" vertical="bottom" textRotation="0" wrapText="false" indent="0" shrinkToFit="false"/>
      <protection locked="true" hidden="false"/>
    </xf>
    <xf numFmtId="164" fontId="33" fillId="3" borderId="23" xfId="0" applyFont="true" applyBorder="true" applyAlignment="true" applyProtection="false">
      <alignment horizontal="left" vertical="bottom" textRotation="0" wrapText="true" indent="1" shrinkToFit="false"/>
      <protection locked="true" hidden="false"/>
    </xf>
    <xf numFmtId="169" fontId="33" fillId="3" borderId="40" xfId="0" applyFont="true" applyBorder="true" applyAlignment="true" applyProtection="false">
      <alignment horizontal="left" vertical="bottom" textRotation="0" wrapText="false" indent="1" shrinkToFit="false"/>
      <protection locked="true" hidden="false"/>
    </xf>
    <xf numFmtId="172" fontId="33" fillId="3" borderId="39" xfId="0" applyFont="true" applyBorder="true" applyAlignment="false" applyProtection="false">
      <alignment horizontal="general" vertical="bottom" textRotation="0" wrapText="false" indent="0" shrinkToFit="false"/>
      <protection locked="true" hidden="false"/>
    </xf>
    <xf numFmtId="164" fontId="39" fillId="3" borderId="0" xfId="0" applyFont="true" applyBorder="false" applyAlignment="false" applyProtection="false">
      <alignment horizontal="general" vertical="bottom" textRotation="0" wrapText="false" indent="0" shrinkToFit="false"/>
      <protection locked="true" hidden="false"/>
    </xf>
    <xf numFmtId="172" fontId="34" fillId="3" borderId="48" xfId="0" applyFont="true" applyBorder="true" applyAlignment="false" applyProtection="false">
      <alignment horizontal="general" vertical="bottom" textRotation="0" wrapText="false" indent="0" shrinkToFit="false"/>
      <protection locked="true" hidden="false"/>
    </xf>
    <xf numFmtId="164" fontId="33" fillId="3" borderId="33"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80" fontId="26"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center" vertical="bottom" textRotation="0" wrapText="false" indent="0" shrinkToFit="false"/>
      <protection locked="true" hidden="false"/>
    </xf>
    <xf numFmtId="171" fontId="26" fillId="3" borderId="21" xfId="0" applyFont="true" applyBorder="true" applyAlignment="true" applyProtection="false">
      <alignment horizontal="center" vertical="center" textRotation="0" wrapText="true" indent="0" shrinkToFit="false"/>
      <protection locked="true" hidden="false"/>
    </xf>
    <xf numFmtId="180" fontId="26" fillId="3" borderId="21" xfId="0" applyFont="true" applyBorder="true" applyAlignment="true" applyProtection="false">
      <alignment horizontal="center" vertical="center" textRotation="0" wrapText="true" indent="0" shrinkToFit="false"/>
      <protection locked="true" hidden="false"/>
    </xf>
    <xf numFmtId="173" fontId="32" fillId="3" borderId="21" xfId="0" applyFont="true" applyBorder="true" applyAlignment="true" applyProtection="false">
      <alignment horizontal="center" vertical="bottom" textRotation="0" wrapText="false" indent="0" shrinkToFit="false"/>
      <protection locked="true" hidden="false"/>
    </xf>
    <xf numFmtId="172" fontId="32" fillId="3" borderId="21" xfId="0" applyFont="true" applyBorder="true" applyAlignment="true" applyProtection="false">
      <alignment horizontal="center"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true" indent="0" shrinkToFit="false"/>
      <protection locked="true" hidden="false"/>
    </xf>
    <xf numFmtId="172" fontId="26" fillId="3" borderId="21" xfId="0" applyFont="true" applyBorder="true" applyAlignment="true" applyProtection="false">
      <alignment horizontal="center" vertical="center" textRotation="0" wrapText="true" indent="0" shrinkToFit="false"/>
      <protection locked="true" hidden="false"/>
    </xf>
    <xf numFmtId="173" fontId="26" fillId="0" borderId="0" xfId="0" applyFont="true" applyBorder="false" applyAlignment="true" applyProtection="false">
      <alignment horizontal="center" vertical="center" textRotation="0" wrapText="true" indent="0" shrinkToFit="false"/>
      <protection locked="true" hidden="false"/>
    </xf>
    <xf numFmtId="171" fontId="26" fillId="0" borderId="36" xfId="0" applyFont="true" applyBorder="true" applyAlignment="false" applyProtection="false">
      <alignment horizontal="general" vertical="bottom" textRotation="0" wrapText="false" indent="0" shrinkToFit="false"/>
      <protection locked="true" hidden="false"/>
    </xf>
    <xf numFmtId="180" fontId="26" fillId="0" borderId="37" xfId="0" applyFont="true" applyBorder="true" applyAlignment="false" applyProtection="false">
      <alignment horizontal="general" vertical="bottom" textRotation="0" wrapText="false" indent="0" shrinkToFit="false"/>
      <protection locked="true" hidden="false"/>
    </xf>
    <xf numFmtId="173" fontId="26" fillId="0" borderId="37" xfId="0" applyFont="true" applyBorder="true" applyAlignment="false" applyProtection="false">
      <alignment horizontal="general" vertical="bottom" textRotation="0" wrapText="false" indent="0" shrinkToFit="false"/>
      <protection locked="true" hidden="false"/>
    </xf>
    <xf numFmtId="172" fontId="26" fillId="0" borderId="37" xfId="0" applyFont="true" applyBorder="true" applyAlignment="true" applyProtection="false">
      <alignment horizontal="center" vertical="bottom" textRotation="0" wrapText="false" indent="0" shrinkToFit="false"/>
      <protection locked="true" hidden="false"/>
    </xf>
    <xf numFmtId="173" fontId="26" fillId="0" borderId="37" xfId="0" applyFont="true" applyBorder="true" applyAlignment="true" applyProtection="false">
      <alignment horizontal="center" vertical="bottom" textRotation="0" wrapText="false" indent="0" shrinkToFit="false"/>
      <protection locked="true" hidden="false"/>
    </xf>
    <xf numFmtId="173" fontId="26" fillId="0" borderId="38" xfId="0" applyFont="true" applyBorder="true" applyAlignment="false" applyProtection="false">
      <alignment horizontal="general" vertical="bottom" textRotation="0" wrapText="false" indent="0" shrinkToFit="false"/>
      <protection locked="true" hidden="false"/>
    </xf>
    <xf numFmtId="171" fontId="26" fillId="0" borderId="40" xfId="0" applyFont="true" applyBorder="true" applyAlignment="false" applyProtection="false">
      <alignment horizontal="general" vertical="bottom" textRotation="0" wrapText="false" indent="0" shrinkToFit="false"/>
      <protection locked="true" hidden="false"/>
    </xf>
    <xf numFmtId="173" fontId="26" fillId="0" borderId="39" xfId="0" applyFont="true" applyBorder="true" applyAlignment="false" applyProtection="false">
      <alignment horizontal="general" vertical="bottom" textRotation="0" wrapText="false" indent="0" shrinkToFit="false"/>
      <protection locked="true" hidden="false"/>
    </xf>
    <xf numFmtId="171" fontId="26" fillId="0" borderId="33" xfId="0" applyFont="true" applyBorder="true" applyAlignment="false" applyProtection="false">
      <alignment horizontal="general" vertical="bottom" textRotation="0" wrapText="false" indent="0" shrinkToFit="false"/>
      <protection locked="true" hidden="false"/>
    </xf>
    <xf numFmtId="180" fontId="26" fillId="0" borderId="34" xfId="0" applyFont="true" applyBorder="true" applyAlignment="false" applyProtection="false">
      <alignment horizontal="general" vertical="bottom" textRotation="0" wrapText="false" indent="0" shrinkToFit="false"/>
      <protection locked="true" hidden="false"/>
    </xf>
    <xf numFmtId="173" fontId="26" fillId="0" borderId="34" xfId="0" applyFont="true" applyBorder="true" applyAlignment="false" applyProtection="false">
      <alignment horizontal="general" vertical="bottom" textRotation="0" wrapText="false" indent="0" shrinkToFit="false"/>
      <protection locked="true" hidden="false"/>
    </xf>
    <xf numFmtId="172" fontId="26" fillId="0" borderId="34" xfId="0" applyFont="true" applyBorder="true" applyAlignment="true" applyProtection="false">
      <alignment horizontal="center" vertical="bottom" textRotation="0" wrapText="false" indent="0" shrinkToFit="false"/>
      <protection locked="true" hidden="false"/>
    </xf>
    <xf numFmtId="173" fontId="26" fillId="0" borderId="49" xfId="0" applyFont="true" applyBorder="true" applyAlignment="false" applyProtection="false">
      <alignment horizontal="general" vertical="bottom" textRotation="0" wrapText="false" indent="0" shrinkToFit="false"/>
      <protection locked="true" hidden="false"/>
    </xf>
    <xf numFmtId="173" fontId="26" fillId="0" borderId="50"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right" vertical="bottom" textRotation="0" wrapText="false" indent="0" shrinkToFit="false"/>
      <protection locked="true" hidden="false"/>
    </xf>
    <xf numFmtId="173" fontId="33" fillId="3" borderId="21" xfId="0" applyFont="true" applyBorder="true" applyAlignment="true" applyProtection="false">
      <alignment horizontal="center" vertical="center" textRotation="0" wrapText="false" indent="0" shrinkToFit="false"/>
      <protection locked="true" hidden="false"/>
    </xf>
    <xf numFmtId="173" fontId="34" fillId="3" borderId="21" xfId="0" applyFont="true" applyBorder="true" applyAlignment="true" applyProtection="false">
      <alignment horizontal="center" vertical="center" textRotation="0" wrapText="true" indent="0" shrinkToFit="false"/>
      <protection locked="true" hidden="false"/>
    </xf>
    <xf numFmtId="165" fontId="40" fillId="3" borderId="21" xfId="0" applyFont="true" applyBorder="true" applyAlignment="true" applyProtection="false">
      <alignment horizontal="center" vertical="center" textRotation="0" wrapText="true" indent="0" shrinkToFit="false"/>
      <protection locked="true" hidden="false"/>
    </xf>
    <xf numFmtId="173" fontId="34" fillId="5" borderId="21" xfId="0" applyFont="true" applyBorder="true" applyAlignment="true" applyProtection="false">
      <alignment horizontal="center" vertical="bottom" textRotation="0" wrapText="false" indent="0" shrinkToFit="false"/>
      <protection locked="true" hidden="false"/>
    </xf>
    <xf numFmtId="173" fontId="33" fillId="5" borderId="21" xfId="0" applyFont="true" applyBorder="true" applyAlignment="false" applyProtection="false">
      <alignment horizontal="general" vertical="bottom" textRotation="0" wrapText="false" indent="0" shrinkToFit="false"/>
      <protection locked="true" hidden="false"/>
    </xf>
    <xf numFmtId="164" fontId="33" fillId="3" borderId="21" xfId="0" applyFont="true" applyBorder="true" applyAlignment="true" applyProtection="false">
      <alignment horizontal="center" vertical="center" textRotation="0" wrapText="true" indent="0" shrinkToFit="false"/>
      <protection locked="true" hidden="false"/>
    </xf>
    <xf numFmtId="173" fontId="34" fillId="3" borderId="26" xfId="0" applyFont="true" applyBorder="true" applyAlignment="true" applyProtection="false">
      <alignment horizontal="center" vertical="center" textRotation="0" wrapText="true" indent="0" shrinkToFit="false"/>
      <protection locked="true" hidden="false"/>
    </xf>
    <xf numFmtId="173" fontId="34" fillId="3" borderId="27" xfId="0" applyFont="true" applyBorder="true" applyAlignment="true" applyProtection="false">
      <alignment horizontal="center" vertical="center" textRotation="0" wrapText="true" indent="0" shrinkToFit="false"/>
      <protection locked="true" hidden="false"/>
    </xf>
    <xf numFmtId="173" fontId="33" fillId="5" borderId="21" xfId="0" applyFont="true" applyBorder="true" applyAlignment="true" applyProtection="false">
      <alignment horizontal="center" vertical="center" textRotation="0" wrapText="true" indent="0" shrinkToFit="false"/>
      <protection locked="true" hidden="false"/>
    </xf>
    <xf numFmtId="165" fontId="33" fillId="5" borderId="21" xfId="0" applyFont="true" applyBorder="true" applyAlignment="true" applyProtection="false">
      <alignment horizontal="center" vertical="center" textRotation="0" wrapText="true" indent="0" shrinkToFit="false"/>
      <protection locked="true" hidden="false"/>
    </xf>
    <xf numFmtId="171" fontId="33" fillId="3" borderId="24"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1" fontId="33" fillId="3" borderId="21" xfId="0" applyFont="true" applyBorder="true" applyAlignment="true" applyProtection="false">
      <alignment horizontal="center" vertical="bottom" textRotation="0" wrapText="false" indent="0" shrinkToFit="false"/>
      <protection locked="true" hidden="false"/>
    </xf>
    <xf numFmtId="173" fontId="34" fillId="5"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72" fontId="26" fillId="3" borderId="21" xfId="0" applyFont="true" applyBorder="true" applyAlignment="true" applyProtection="false">
      <alignment horizontal="center"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false" indent="0" shrinkToFit="false"/>
      <protection locked="true" hidden="false"/>
    </xf>
    <xf numFmtId="173" fontId="32" fillId="3" borderId="21" xfId="0" applyFont="true" applyBorder="true" applyAlignment="true" applyProtection="false">
      <alignment horizontal="center" vertical="center" textRotation="0" wrapText="true" indent="0" shrinkToFit="false"/>
      <protection locked="true" hidden="false"/>
    </xf>
    <xf numFmtId="173" fontId="32" fillId="5" borderId="21" xfId="0" applyFont="true" applyBorder="true" applyAlignment="true" applyProtection="false">
      <alignment horizontal="center" vertical="bottom" textRotation="0" wrapText="false" indent="0" shrinkToFit="false"/>
      <protection locked="true" hidden="false"/>
    </xf>
    <xf numFmtId="173" fontId="26" fillId="5" borderId="21" xfId="0" applyFont="true" applyBorder="tru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71" fontId="12" fillId="0" borderId="0" xfId="0" applyFont="true" applyBorder="false" applyAlignment="true" applyProtection="true">
      <alignment horizontal="center" vertical="bottom" textRotation="0" wrapText="false" indent="0" shrinkToFit="false"/>
      <protection locked="true" hidden="true"/>
    </xf>
    <xf numFmtId="164" fontId="9" fillId="0" borderId="0" xfId="0" applyFont="true" applyBorder="false" applyAlignment="true" applyProtection="true">
      <alignment horizontal="center" vertical="bottom" textRotation="0" wrapText="false" indent="0" shrinkToFit="false"/>
      <protection locked="true" hidden="true"/>
    </xf>
    <xf numFmtId="171" fontId="12" fillId="3" borderId="34"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71" fontId="12" fillId="0" borderId="46"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bottom" textRotation="0" wrapText="false" indent="1" shrinkToFit="false"/>
      <protection locked="true" hidden="true"/>
    </xf>
    <xf numFmtId="171" fontId="10" fillId="0" borderId="21"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center" textRotation="0" wrapText="false" indent="1" shrinkToFit="false"/>
      <protection locked="true" hidden="true"/>
    </xf>
    <xf numFmtId="165" fontId="10"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false" indent="0" shrinkToFit="false"/>
      <protection locked="true" hidden="true"/>
    </xf>
    <xf numFmtId="171" fontId="12" fillId="0" borderId="23"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false" applyProtection="true">
      <alignment horizontal="general" vertical="bottom" textRotation="0" wrapText="false" indent="0" shrinkToFit="false"/>
      <protection locked="true" hidden="true"/>
    </xf>
    <xf numFmtId="176" fontId="9" fillId="0" borderId="21" xfId="0" applyFont="true" applyBorder="true" applyAlignment="true" applyProtection="true">
      <alignment horizontal="center" vertical="bottom" textRotation="0" wrapText="false" indent="0" shrinkToFit="false"/>
      <protection locked="true" hidden="true"/>
    </xf>
    <xf numFmtId="170" fontId="9" fillId="0" borderId="21"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true" indent="0" shrinkToFit="false"/>
      <protection locked="true" hidden="true"/>
    </xf>
    <xf numFmtId="164" fontId="9" fillId="3" borderId="0" xfId="0" applyFont="true" applyBorder="false" applyAlignment="true" applyProtection="true">
      <alignment horizontal="center" vertical="bottom" textRotation="0" wrapText="true" indent="0" shrinkToFit="false"/>
      <protection locked="true" hidden="true"/>
    </xf>
    <xf numFmtId="176" fontId="9" fillId="3" borderId="0" xfId="0" applyFont="true" applyBorder="false" applyAlignment="true" applyProtection="true">
      <alignment horizontal="center" vertical="bottom" textRotation="0" wrapText="false" indent="0" shrinkToFit="false"/>
      <protection locked="true" hidden="true"/>
    </xf>
    <xf numFmtId="174" fontId="9" fillId="0" borderId="21" xfId="0" applyFont="true" applyBorder="true" applyAlignment="true" applyProtection="true">
      <alignment horizontal="center" vertical="bottom" textRotation="0" wrapText="false" indent="0" shrinkToFit="false"/>
      <protection locked="true" hidden="true"/>
    </xf>
    <xf numFmtId="174" fontId="9"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general" vertical="bottom" textRotation="0" wrapText="true" indent="0" shrinkToFit="false"/>
      <protection locked="true" hidden="true"/>
    </xf>
    <xf numFmtId="164" fontId="9" fillId="3" borderId="0" xfId="0" applyFont="true" applyBorder="true" applyAlignment="true" applyProtection="true">
      <alignment horizontal="left" vertical="center" textRotation="0" wrapText="true" indent="1" shrinkToFit="false"/>
      <protection locked="true" hidden="true"/>
    </xf>
    <xf numFmtId="181"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general" vertical="bottom" textRotation="0" wrapText="true" indent="0" shrinkToFit="false"/>
      <protection locked="true" hidden="true"/>
    </xf>
    <xf numFmtId="171" fontId="12"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c r="C3" s="3"/>
      <c r="D3" s="3"/>
      <c r="E3" s="3"/>
    </row>
    <row r="4" s="4" customFormat="true" ht="54.75" hidden="false" customHeight="true" outlineLevel="0" collapsed="false">
      <c r="B4" s="5" t="s">
        <v>1</v>
      </c>
      <c r="C4" s="5"/>
      <c r="D4" s="5"/>
      <c r="E4" s="5"/>
    </row>
    <row r="5" customFormat="false" ht="15" hidden="false" customHeight="true" outlineLevel="0" collapsed="false">
      <c r="B5" s="3"/>
      <c r="C5" s="3"/>
      <c r="D5" s="3"/>
      <c r="E5" s="3"/>
    </row>
    <row r="6" customFormat="false" ht="12.75" hidden="false" customHeight="false" outlineLevel="0" collapsed="false">
      <c r="B6" s="6" t="s">
        <v>2</v>
      </c>
      <c r="C6" s="6" t="s">
        <v>3</v>
      </c>
      <c r="D6" s="6" t="s">
        <v>4</v>
      </c>
      <c r="E6" s="6" t="s">
        <v>5</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9" t="s">
        <v>6</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7</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8</v>
      </c>
      <c r="D3" s="17"/>
      <c r="E3" s="17"/>
      <c r="F3" s="16"/>
      <c r="G3" s="16"/>
      <c r="H3" s="16"/>
      <c r="I3" s="16"/>
      <c r="J3" s="16"/>
      <c r="K3" s="16"/>
      <c r="L3" s="16"/>
      <c r="M3" s="16"/>
      <c r="N3" s="17" t="s">
        <v>9</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10</v>
      </c>
      <c r="D7" s="17"/>
      <c r="E7" s="17"/>
      <c r="F7" s="16"/>
      <c r="G7" s="16"/>
      <c r="H7" s="16"/>
      <c r="I7" s="16"/>
      <c r="J7" s="16"/>
      <c r="K7" s="16"/>
      <c r="L7" s="22" t="n">
        <v>4</v>
      </c>
      <c r="M7" s="16"/>
      <c r="N7" s="17" t="s">
        <v>11</v>
      </c>
      <c r="O7" s="17"/>
      <c r="P7" s="17"/>
      <c r="Q7" s="17"/>
      <c r="R7" s="23"/>
      <c r="S7" s="24"/>
      <c r="T7" s="24"/>
      <c r="U7" s="24"/>
      <c r="V7" s="17"/>
      <c r="W7" s="25"/>
    </row>
    <row r="8" customFormat="false" ht="15" hidden="false" customHeight="true" outlineLevel="0" collapsed="false">
      <c r="A8" s="26"/>
      <c r="B8" s="16"/>
      <c r="C8" s="19" t="s">
        <v>12</v>
      </c>
      <c r="D8" s="19"/>
      <c r="E8" s="19"/>
      <c r="F8" s="19"/>
      <c r="G8" s="19"/>
      <c r="H8" s="19"/>
      <c r="I8" s="19"/>
      <c r="J8" s="19"/>
      <c r="K8" s="16"/>
      <c r="L8" s="16"/>
      <c r="M8" s="16"/>
      <c r="N8" s="27" t="s">
        <v>13</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14</v>
      </c>
      <c r="O12" s="17"/>
      <c r="P12" s="17"/>
      <c r="Q12" s="17"/>
      <c r="R12" s="23"/>
      <c r="S12" s="31" t="n">
        <f aca="false">Admin!B4</f>
        <v>45022</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15</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16</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17</v>
      </c>
      <c r="O18" s="37"/>
      <c r="P18" s="17"/>
      <c r="Q18" s="17"/>
      <c r="R18" s="17"/>
      <c r="S18" s="31" t="n">
        <f aca="false">Admin!B17</f>
        <v>45387</v>
      </c>
      <c r="T18" s="31"/>
      <c r="U18" s="31"/>
      <c r="V18" s="31"/>
      <c r="W18" s="25"/>
    </row>
    <row r="19" customFormat="false" ht="12" hidden="false" customHeight="false" outlineLevel="0" collapsed="false">
      <c r="A19" s="22" t="n">
        <v>3</v>
      </c>
      <c r="B19" s="16"/>
      <c r="C19" s="17" t="s">
        <v>18</v>
      </c>
      <c r="D19" s="16"/>
      <c r="E19" s="16"/>
      <c r="F19" s="16"/>
      <c r="G19" s="16"/>
      <c r="H19" s="16"/>
      <c r="I19" s="16"/>
      <c r="J19" s="16"/>
      <c r="K19" s="16"/>
      <c r="L19" s="16"/>
      <c r="M19" s="17"/>
      <c r="N19" s="27" t="s">
        <v>19</v>
      </c>
      <c r="O19" s="28"/>
      <c r="P19" s="28"/>
      <c r="Q19" s="28"/>
      <c r="R19" s="16"/>
      <c r="S19" s="16"/>
      <c r="T19" s="16"/>
      <c r="U19" s="16"/>
      <c r="V19" s="16"/>
      <c r="W19" s="29"/>
    </row>
    <row r="20" customFormat="false" ht="12" hidden="false" customHeight="false" outlineLevel="0" collapsed="false">
      <c r="A20" s="26"/>
      <c r="B20" s="16"/>
      <c r="C20" s="17" t="s">
        <v>20</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21</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22</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23</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24</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45387</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25</v>
      </c>
      <c r="D27" s="16"/>
      <c r="E27" s="16"/>
      <c r="F27" s="16"/>
      <c r="G27" s="16"/>
      <c r="H27" s="16"/>
      <c r="I27" s="16"/>
      <c r="J27" s="16"/>
      <c r="K27" s="16"/>
      <c r="L27" s="22" t="n">
        <v>24</v>
      </c>
      <c r="M27" s="16"/>
      <c r="N27" s="40" t="s">
        <v>26</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27</v>
      </c>
      <c r="O28" s="17"/>
      <c r="P28" s="17"/>
      <c r="Q28" s="17"/>
      <c r="R28" s="17"/>
      <c r="S28" s="17"/>
      <c r="T28" s="17"/>
      <c r="U28" s="17"/>
      <c r="V28" s="17"/>
      <c r="W28" s="29"/>
    </row>
    <row r="29" customFormat="false" ht="15" hidden="false" customHeight="true" outlineLevel="0" collapsed="false">
      <c r="A29" s="16"/>
      <c r="B29" s="16"/>
      <c r="C29" s="41" t="s">
        <v>28</v>
      </c>
      <c r="D29" s="42"/>
      <c r="E29" s="42"/>
      <c r="F29" s="42"/>
      <c r="G29" s="43" t="s">
        <v>29</v>
      </c>
      <c r="H29" s="44" t="n">
        <v>0</v>
      </c>
      <c r="I29" s="44" t="n">
        <v>0</v>
      </c>
      <c r="J29" s="16"/>
      <c r="K29" s="16"/>
      <c r="L29" s="17"/>
      <c r="M29" s="16"/>
      <c r="N29" s="41" t="s">
        <v>28</v>
      </c>
      <c r="O29" s="42"/>
      <c r="P29" s="42"/>
      <c r="Q29" s="42"/>
      <c r="R29" s="43" t="s">
        <v>29</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30</v>
      </c>
      <c r="D31" s="46"/>
      <c r="E31" s="46"/>
      <c r="F31" s="46"/>
      <c r="G31" s="43"/>
      <c r="H31" s="47"/>
      <c r="I31" s="47"/>
      <c r="J31" s="28"/>
      <c r="K31" s="28"/>
      <c r="L31" s="28"/>
      <c r="M31" s="28"/>
      <c r="N31" s="27" t="s">
        <v>31</v>
      </c>
      <c r="O31" s="28"/>
      <c r="P31" s="28"/>
      <c r="Q31" s="28"/>
      <c r="R31" s="28"/>
      <c r="S31" s="28"/>
      <c r="T31" s="28"/>
      <c r="U31" s="28"/>
      <c r="V31" s="28"/>
      <c r="W31" s="48"/>
    </row>
    <row r="32" s="49" customFormat="true" ht="12" hidden="false" customHeight="true" outlineLevel="0" collapsed="false">
      <c r="A32" s="28"/>
      <c r="B32" s="28"/>
      <c r="C32" s="50" t="s">
        <v>32</v>
      </c>
      <c r="D32" s="46"/>
      <c r="E32" s="46"/>
      <c r="F32" s="46"/>
      <c r="G32" s="43"/>
      <c r="H32" s="47"/>
      <c r="I32" s="47"/>
      <c r="J32" s="28"/>
      <c r="K32" s="28"/>
      <c r="L32" s="28"/>
      <c r="M32" s="28"/>
      <c r="N32" s="50" t="s">
        <v>32</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28</v>
      </c>
      <c r="D34" s="51" t="n">
        <f aca="false">'SE Short'!O94</f>
        <v>0</v>
      </c>
      <c r="E34" s="51"/>
      <c r="F34" s="51"/>
      <c r="G34" s="43" t="s">
        <v>29</v>
      </c>
      <c r="H34" s="44" t="n">
        <v>0</v>
      </c>
      <c r="I34" s="44" t="n">
        <v>0</v>
      </c>
      <c r="J34" s="16"/>
      <c r="K34" s="16"/>
      <c r="L34" s="16"/>
      <c r="M34" s="16"/>
      <c r="N34" s="41" t="s">
        <v>28</v>
      </c>
      <c r="O34" s="51" t="n">
        <f aca="false">D29-D34+'SE Short'!O106</f>
        <v>0</v>
      </c>
      <c r="P34" s="51"/>
      <c r="Q34" s="51"/>
      <c r="R34" s="43" t="s">
        <v>29</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4.82"/>
    <col collapsed="false" customWidth="false" hidden="false" outlineLevel="0" max="257" min="24" style="55" width="9.15"/>
  </cols>
  <sheetData>
    <row r="1" customFormat="false" ht="30" hidden="false" customHeight="true" outlineLevel="0" collapsed="false">
      <c r="A1" s="56" t="s">
        <v>33</v>
      </c>
      <c r="B1" s="56"/>
      <c r="C1" s="56"/>
      <c r="D1" s="56"/>
      <c r="E1" s="56"/>
      <c r="F1" s="56"/>
      <c r="G1" s="57" t="s">
        <v>34</v>
      </c>
      <c r="H1" s="57"/>
      <c r="I1" s="57"/>
      <c r="J1" s="57"/>
      <c r="K1" s="57"/>
      <c r="L1" s="57"/>
      <c r="M1" s="57"/>
      <c r="N1" s="57"/>
      <c r="O1" s="58" t="s">
        <v>35</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36</v>
      </c>
      <c r="P2" s="59"/>
      <c r="Q2" s="60" t="n">
        <f aca="false">Admin!B4</f>
        <v>45022</v>
      </c>
      <c r="R2" s="60"/>
      <c r="S2" s="60"/>
      <c r="T2" s="60"/>
      <c r="U2" s="61" t="s">
        <v>37</v>
      </c>
      <c r="V2" s="60" t="n">
        <f aca="false">Admin!B17</f>
        <v>45387</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8</v>
      </c>
      <c r="D6" s="69"/>
      <c r="E6" s="69"/>
      <c r="F6" s="68"/>
      <c r="G6" s="68"/>
      <c r="H6" s="68"/>
      <c r="I6" s="68"/>
      <c r="J6" s="68"/>
      <c r="K6" s="68"/>
      <c r="L6" s="68"/>
      <c r="M6" s="68"/>
      <c r="N6" s="69" t="s">
        <v>9</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72"/>
      <c r="L8" s="72"/>
      <c r="M8" s="72"/>
      <c r="N8" s="72"/>
      <c r="O8" s="73" t="str">
        <f aca="false">IF('Business Details'!O5&gt;0,'Business Details'!O5," ")</f>
        <v> </v>
      </c>
      <c r="P8" s="73"/>
      <c r="Q8" s="72"/>
      <c r="R8" s="73" t="str">
        <f aca="false">IF('Business Details'!R5&gt;0,'Business Details'!R5," ")</f>
        <v> </v>
      </c>
      <c r="S8" s="73"/>
      <c r="T8" s="73"/>
      <c r="U8" s="73"/>
      <c r="V8" s="68"/>
      <c r="W8" s="74"/>
    </row>
    <row r="9" customFormat="false" ht="6" hidden="false" customHeight="true" outlineLevel="0" collapsed="false">
      <c r="A9" s="75"/>
      <c r="B9" s="76"/>
      <c r="C9" s="76"/>
      <c r="D9" s="76"/>
      <c r="E9" s="76"/>
      <c r="F9" s="76"/>
      <c r="G9" s="76"/>
      <c r="H9" s="76"/>
      <c r="I9" s="76"/>
      <c r="J9" s="76"/>
      <c r="K9" s="76"/>
      <c r="L9" s="76"/>
      <c r="M9" s="76"/>
      <c r="N9" s="76"/>
      <c r="O9" s="76"/>
      <c r="P9" s="76"/>
      <c r="Q9" s="76"/>
      <c r="R9" s="76"/>
      <c r="S9" s="76"/>
      <c r="T9" s="76"/>
      <c r="U9" s="76"/>
      <c r="V9" s="76"/>
      <c r="W9" s="77"/>
    </row>
    <row r="10" customFormat="false" ht="24.75" hidden="false" customHeight="true" outlineLevel="0" collapsed="false">
      <c r="A10" s="78" t="s">
        <v>38</v>
      </c>
      <c r="B10" s="78"/>
      <c r="C10" s="78"/>
      <c r="D10" s="78"/>
      <c r="E10" s="78"/>
      <c r="F10" s="78"/>
      <c r="G10" s="78"/>
      <c r="H10" s="78"/>
      <c r="I10" s="78"/>
      <c r="J10" s="78"/>
      <c r="K10" s="78"/>
      <c r="L10" s="78"/>
      <c r="M10" s="78"/>
      <c r="N10" s="78"/>
      <c r="O10" s="78"/>
      <c r="P10" s="78"/>
      <c r="Q10" s="78"/>
      <c r="R10" s="78"/>
      <c r="S10" s="78"/>
      <c r="T10" s="78"/>
      <c r="U10" s="78"/>
      <c r="V10" s="78"/>
      <c r="W10" s="78"/>
    </row>
    <row r="11" customFormat="false" ht="7.5" hidden="false" customHeight="true" outlineLevel="0" collapsed="false">
      <c r="A11" s="79"/>
      <c r="B11" s="80"/>
      <c r="C11" s="80"/>
      <c r="D11" s="80"/>
      <c r="E11" s="80"/>
      <c r="F11" s="80"/>
      <c r="G11" s="80"/>
      <c r="H11" s="80"/>
      <c r="I11" s="80"/>
      <c r="J11" s="80"/>
      <c r="K11" s="80"/>
      <c r="L11" s="80"/>
      <c r="M11" s="80"/>
      <c r="N11" s="80"/>
      <c r="O11" s="80"/>
      <c r="P11" s="80"/>
      <c r="Q11" s="80"/>
      <c r="R11" s="80"/>
      <c r="S11" s="80"/>
      <c r="T11" s="80"/>
      <c r="U11" s="80"/>
      <c r="V11" s="80"/>
      <c r="W11" s="81"/>
    </row>
    <row r="12" customFormat="false" ht="12.65" hidden="false" customHeight="false" outlineLevel="0" collapsed="false">
      <c r="A12" s="82" t="n">
        <v>1</v>
      </c>
      <c r="B12" s="68"/>
      <c r="C12" s="69" t="s">
        <v>10</v>
      </c>
      <c r="D12" s="69"/>
      <c r="E12" s="69"/>
      <c r="F12" s="68"/>
      <c r="G12" s="68"/>
      <c r="H12" s="68"/>
      <c r="I12" s="68"/>
      <c r="J12" s="68"/>
      <c r="K12" s="68"/>
      <c r="L12" s="82" t="n">
        <v>4</v>
      </c>
      <c r="M12" s="68"/>
      <c r="N12" s="69" t="s">
        <v>11</v>
      </c>
      <c r="O12" s="69"/>
      <c r="P12" s="69"/>
      <c r="Q12" s="69"/>
      <c r="R12" s="83"/>
      <c r="S12" s="84"/>
      <c r="T12" s="84"/>
      <c r="U12" s="84"/>
      <c r="V12" s="69"/>
      <c r="W12" s="85"/>
    </row>
    <row r="13" customFormat="false" ht="15" hidden="false" customHeight="true" outlineLevel="0" collapsed="false">
      <c r="A13" s="86"/>
      <c r="B13" s="68"/>
      <c r="C13" s="71" t="str">
        <f aca="false">IF('Business Details'!C8&gt;0,'Business Details'!C8," ")</f>
        <v>Taxi Driver</v>
      </c>
      <c r="D13" s="71"/>
      <c r="E13" s="71"/>
      <c r="F13" s="71"/>
      <c r="G13" s="71"/>
      <c r="H13" s="71"/>
      <c r="I13" s="71"/>
      <c r="J13" s="71"/>
      <c r="K13" s="68"/>
      <c r="L13" s="68"/>
      <c r="M13" s="68"/>
      <c r="N13" s="87" t="s">
        <v>13</v>
      </c>
      <c r="O13" s="69"/>
      <c r="P13" s="69"/>
      <c r="Q13" s="69"/>
      <c r="R13" s="69"/>
      <c r="S13" s="69"/>
      <c r="T13" s="69"/>
      <c r="U13" s="69"/>
      <c r="V13" s="69"/>
      <c r="W13" s="85"/>
    </row>
    <row r="14" customFormat="false" ht="7.5" hidden="false" customHeight="true" outlineLevel="0" collapsed="false">
      <c r="A14" s="86"/>
      <c r="B14" s="68"/>
      <c r="C14" s="72"/>
      <c r="D14" s="72"/>
      <c r="E14" s="72"/>
      <c r="F14" s="72"/>
      <c r="G14" s="72"/>
      <c r="H14" s="72"/>
      <c r="I14" s="72"/>
      <c r="J14" s="72"/>
      <c r="K14" s="68"/>
      <c r="L14" s="68"/>
      <c r="M14" s="68"/>
      <c r="N14" s="88"/>
      <c r="O14" s="88"/>
      <c r="P14" s="88"/>
      <c r="Q14" s="88"/>
      <c r="R14" s="68"/>
      <c r="S14" s="68"/>
      <c r="T14" s="68"/>
      <c r="U14" s="68"/>
      <c r="V14" s="68"/>
      <c r="W14" s="89"/>
    </row>
    <row r="15" customFormat="false" ht="15" hidden="false" customHeight="true" outlineLevel="0" collapsed="false">
      <c r="A15" s="86"/>
      <c r="B15" s="68"/>
      <c r="C15" s="71" t="str">
        <f aca="false">IF('Business Details'!C10&gt;0,'Business Details'!C10," ")</f>
        <v> </v>
      </c>
      <c r="D15" s="71"/>
      <c r="E15" s="71"/>
      <c r="F15" s="71"/>
      <c r="G15" s="71"/>
      <c r="H15" s="71"/>
      <c r="I15" s="71"/>
      <c r="J15" s="71"/>
      <c r="K15" s="68"/>
      <c r="L15" s="68"/>
      <c r="M15" s="68"/>
      <c r="N15" s="90"/>
      <c r="O15" s="88"/>
      <c r="P15" s="88"/>
      <c r="Q15" s="88"/>
      <c r="R15" s="68"/>
      <c r="S15" s="68"/>
      <c r="T15" s="68"/>
      <c r="U15" s="68"/>
      <c r="V15" s="68"/>
      <c r="W15" s="89"/>
    </row>
    <row r="16" customFormat="false" ht="7.5" hidden="false" customHeight="true" outlineLevel="0" collapsed="false">
      <c r="A16" s="86"/>
      <c r="B16" s="68"/>
      <c r="C16" s="72"/>
      <c r="D16" s="72"/>
      <c r="E16" s="72"/>
      <c r="F16" s="72"/>
      <c r="G16" s="72"/>
      <c r="H16" s="72"/>
      <c r="I16" s="72"/>
      <c r="J16" s="72"/>
      <c r="K16" s="68"/>
      <c r="L16" s="68"/>
      <c r="M16" s="68"/>
      <c r="N16" s="68"/>
      <c r="O16" s="68"/>
      <c r="P16" s="68"/>
      <c r="Q16" s="68"/>
      <c r="R16" s="68"/>
      <c r="S16" s="68"/>
      <c r="T16" s="68"/>
      <c r="U16" s="68"/>
      <c r="V16" s="68"/>
      <c r="W16" s="89"/>
    </row>
    <row r="17" customFormat="false" ht="15" hidden="false" customHeight="true" outlineLevel="0" collapsed="false">
      <c r="A17" s="86"/>
      <c r="B17" s="68"/>
      <c r="C17" s="71" t="str">
        <f aca="false">IF('Business Details'!C12&gt;0,'Business Details'!C12," ")</f>
        <v> </v>
      </c>
      <c r="D17" s="71"/>
      <c r="E17" s="71"/>
      <c r="F17" s="71"/>
      <c r="G17" s="71"/>
      <c r="H17" s="71"/>
      <c r="I17" s="71"/>
      <c r="J17" s="71"/>
      <c r="K17" s="68"/>
      <c r="L17" s="82" t="n">
        <v>5</v>
      </c>
      <c r="M17" s="68"/>
      <c r="N17" s="69" t="s">
        <v>14</v>
      </c>
      <c r="O17" s="69"/>
      <c r="P17" s="69"/>
      <c r="Q17" s="69"/>
      <c r="R17" s="83"/>
      <c r="S17" s="91" t="n">
        <f aca="false">Admin!B4</f>
        <v>45022</v>
      </c>
      <c r="T17" s="91"/>
      <c r="U17" s="91"/>
      <c r="V17" s="91"/>
      <c r="W17" s="85"/>
    </row>
    <row r="18" customFormat="false" ht="12" hidden="false" customHeight="true" outlineLevel="0" collapsed="false">
      <c r="A18" s="86"/>
      <c r="B18" s="68"/>
      <c r="C18" s="68"/>
      <c r="D18" s="68"/>
      <c r="E18" s="68"/>
      <c r="F18" s="68"/>
      <c r="G18" s="68"/>
      <c r="H18" s="68"/>
      <c r="I18" s="68"/>
      <c r="J18" s="68"/>
      <c r="K18" s="68"/>
      <c r="L18" s="68"/>
      <c r="M18" s="68"/>
      <c r="N18" s="92" t="s">
        <v>39</v>
      </c>
      <c r="O18" s="92"/>
      <c r="P18" s="92"/>
      <c r="Q18" s="92"/>
      <c r="R18" s="92"/>
      <c r="S18" s="92"/>
      <c r="T18" s="92"/>
      <c r="U18" s="92"/>
      <c r="V18" s="92"/>
      <c r="W18" s="93"/>
    </row>
    <row r="19" customFormat="false" ht="7.5" hidden="false" customHeight="true" outlineLevel="0" collapsed="false">
      <c r="A19" s="86"/>
      <c r="B19" s="68"/>
      <c r="C19" s="68"/>
      <c r="D19" s="68"/>
      <c r="E19" s="68"/>
      <c r="F19" s="68"/>
      <c r="G19" s="68"/>
      <c r="H19" s="68"/>
      <c r="I19" s="68"/>
      <c r="J19" s="68"/>
      <c r="K19" s="68"/>
      <c r="L19" s="68"/>
      <c r="M19" s="68"/>
      <c r="N19" s="68"/>
      <c r="O19" s="68"/>
      <c r="P19" s="68"/>
      <c r="Q19" s="68"/>
      <c r="R19" s="68"/>
      <c r="S19" s="68"/>
      <c r="T19" s="68"/>
      <c r="U19" s="68"/>
      <c r="V19" s="68"/>
      <c r="W19" s="89"/>
    </row>
    <row r="20" customFormat="false" ht="13.5" hidden="false" customHeight="false" outlineLevel="0" collapsed="false">
      <c r="A20" s="82" t="n">
        <v>2</v>
      </c>
      <c r="B20" s="68"/>
      <c r="C20" s="69" t="s">
        <v>16</v>
      </c>
      <c r="D20" s="69"/>
      <c r="E20" s="69"/>
      <c r="F20" s="68"/>
      <c r="G20" s="68"/>
      <c r="H20" s="68"/>
      <c r="I20" s="68"/>
      <c r="J20" s="68"/>
      <c r="K20" s="68"/>
      <c r="L20" s="68"/>
      <c r="M20" s="68"/>
      <c r="N20" s="94" t="str">
        <f aca="false">IF('Business Details'!N15&gt;0,'Business Details'!N15," ")</f>
        <v> </v>
      </c>
      <c r="O20" s="94"/>
      <c r="P20" s="94"/>
      <c r="Q20" s="94"/>
      <c r="R20" s="69"/>
      <c r="S20" s="69"/>
      <c r="T20" s="69"/>
      <c r="U20" s="69"/>
      <c r="V20" s="69"/>
      <c r="W20" s="85"/>
    </row>
    <row r="21" customFormat="false" ht="7.5" hidden="false" customHeight="true" outlineLevel="0" collapsed="false">
      <c r="A21" s="86"/>
      <c r="B21" s="68"/>
      <c r="C21" s="68"/>
      <c r="D21" s="68"/>
      <c r="E21" s="68"/>
      <c r="F21" s="68"/>
      <c r="G21" s="68"/>
      <c r="H21" s="68"/>
      <c r="I21" s="68"/>
      <c r="J21" s="68"/>
      <c r="K21" s="68"/>
      <c r="L21" s="68"/>
      <c r="M21" s="68"/>
      <c r="N21" s="68"/>
      <c r="O21" s="68"/>
      <c r="P21" s="68"/>
      <c r="Q21" s="68"/>
      <c r="R21" s="68"/>
      <c r="S21" s="68"/>
      <c r="T21" s="68"/>
      <c r="U21" s="68"/>
      <c r="V21" s="68"/>
      <c r="W21" s="89"/>
    </row>
    <row r="22" customFormat="false" ht="15" hidden="false" customHeight="true" outlineLevel="0" collapsed="false">
      <c r="A22" s="86"/>
      <c r="B22" s="68"/>
      <c r="C22" s="95" t="str">
        <f aca="false">IF('Business Details'!C17&gt;0,'Business Details'!C17," ")</f>
        <v> </v>
      </c>
      <c r="D22" s="95"/>
      <c r="E22" s="72"/>
      <c r="F22" s="96" t="str">
        <f aca="false">IF('Business Details'!F17&gt;0,'Business Details'!F17," ")</f>
        <v> </v>
      </c>
      <c r="G22" s="68"/>
      <c r="H22" s="68"/>
      <c r="I22" s="68"/>
      <c r="J22" s="68"/>
      <c r="K22" s="68"/>
      <c r="L22" s="68"/>
      <c r="M22" s="68"/>
      <c r="N22" s="69"/>
      <c r="O22" s="69"/>
      <c r="P22" s="69"/>
      <c r="Q22" s="69"/>
      <c r="R22" s="69"/>
      <c r="S22" s="69"/>
      <c r="T22" s="69"/>
      <c r="U22" s="69"/>
      <c r="V22" s="69"/>
      <c r="W22" s="85"/>
    </row>
    <row r="23" customFormat="false" ht="12" hidden="false" customHeight="false" outlineLevel="0" collapsed="false">
      <c r="A23" s="86"/>
      <c r="B23" s="68"/>
      <c r="C23" s="68"/>
      <c r="D23" s="68"/>
      <c r="E23" s="68"/>
      <c r="F23" s="68"/>
      <c r="G23" s="68"/>
      <c r="H23" s="68"/>
      <c r="I23" s="68"/>
      <c r="J23" s="68"/>
      <c r="K23" s="68"/>
      <c r="L23" s="82" t="n">
        <v>6</v>
      </c>
      <c r="M23" s="69"/>
      <c r="N23" s="69" t="s">
        <v>17</v>
      </c>
      <c r="O23" s="97"/>
      <c r="P23" s="69"/>
      <c r="Q23" s="69"/>
      <c r="R23" s="69"/>
      <c r="S23" s="91" t="n">
        <f aca="false">Admin!B17</f>
        <v>45387</v>
      </c>
      <c r="T23" s="91"/>
      <c r="U23" s="91"/>
      <c r="V23" s="91"/>
      <c r="W23" s="85"/>
    </row>
    <row r="24" customFormat="false" ht="12" hidden="false" customHeight="false" outlineLevel="0" collapsed="false">
      <c r="A24" s="82" t="n">
        <v>3</v>
      </c>
      <c r="B24" s="68"/>
      <c r="C24" s="69" t="s">
        <v>18</v>
      </c>
      <c r="D24" s="68"/>
      <c r="E24" s="68"/>
      <c r="F24" s="68"/>
      <c r="G24" s="68"/>
      <c r="H24" s="68"/>
      <c r="I24" s="68"/>
      <c r="J24" s="68"/>
      <c r="K24" s="68"/>
      <c r="L24" s="68"/>
      <c r="M24" s="69"/>
      <c r="N24" s="87" t="s">
        <v>19</v>
      </c>
      <c r="O24" s="88"/>
      <c r="P24" s="88"/>
      <c r="Q24" s="88"/>
      <c r="R24" s="68"/>
      <c r="S24" s="68"/>
      <c r="T24" s="68"/>
      <c r="U24" s="68"/>
      <c r="V24" s="68"/>
      <c r="W24" s="89"/>
    </row>
    <row r="25" customFormat="false" ht="12" hidden="false" customHeight="false" outlineLevel="0" collapsed="false">
      <c r="A25" s="86"/>
      <c r="B25" s="68"/>
      <c r="C25" s="69" t="s">
        <v>20</v>
      </c>
      <c r="D25" s="68"/>
      <c r="E25" s="68"/>
      <c r="F25" s="68"/>
      <c r="G25" s="68"/>
      <c r="H25" s="68"/>
      <c r="I25" s="68"/>
      <c r="J25" s="68"/>
      <c r="K25" s="68"/>
      <c r="L25" s="68"/>
      <c r="M25" s="68"/>
      <c r="N25" s="88"/>
      <c r="O25" s="88"/>
      <c r="P25" s="88"/>
      <c r="Q25" s="88"/>
      <c r="R25" s="68"/>
      <c r="S25" s="68"/>
      <c r="T25" s="68"/>
      <c r="U25" s="68"/>
      <c r="V25" s="68"/>
      <c r="W25" s="89"/>
    </row>
    <row r="26" customFormat="false" ht="13.5" hidden="false" customHeight="false" outlineLevel="0" collapsed="false">
      <c r="A26" s="86"/>
      <c r="B26" s="68"/>
      <c r="C26" s="87" t="s">
        <v>21</v>
      </c>
      <c r="D26" s="88"/>
      <c r="E26" s="88"/>
      <c r="F26" s="88"/>
      <c r="G26" s="88"/>
      <c r="H26" s="88"/>
      <c r="I26" s="88"/>
      <c r="J26" s="88"/>
      <c r="K26" s="88"/>
      <c r="L26" s="68"/>
      <c r="M26" s="68"/>
      <c r="N26" s="94" t="str">
        <f aca="false">IF('Business Details'!N21&gt;0,'Business Details'!N21," ")</f>
        <v> </v>
      </c>
      <c r="O26" s="94"/>
      <c r="P26" s="94"/>
      <c r="Q26" s="94"/>
      <c r="R26" s="68"/>
      <c r="S26" s="68"/>
      <c r="T26" s="68"/>
      <c r="U26" s="68"/>
      <c r="V26" s="68"/>
      <c r="W26" s="89"/>
    </row>
    <row r="27" customFormat="false" ht="12" hidden="false" customHeight="false" outlineLevel="0" collapsed="false">
      <c r="A27" s="86"/>
      <c r="B27" s="68"/>
      <c r="C27" s="87" t="s">
        <v>22</v>
      </c>
      <c r="D27" s="68"/>
      <c r="E27" s="68"/>
      <c r="F27" s="68"/>
      <c r="G27" s="68"/>
      <c r="H27" s="68"/>
      <c r="I27" s="68"/>
      <c r="J27" s="68"/>
      <c r="K27" s="68"/>
      <c r="L27" s="68"/>
      <c r="M27" s="68"/>
      <c r="N27" s="88"/>
      <c r="O27" s="88"/>
      <c r="P27" s="88"/>
      <c r="Q27" s="88"/>
      <c r="R27" s="68"/>
      <c r="S27" s="68"/>
      <c r="T27" s="68"/>
      <c r="U27" s="68"/>
      <c r="V27" s="68"/>
      <c r="W27" s="89"/>
    </row>
    <row r="28" customFormat="false" ht="12" hidden="false" customHeight="false" outlineLevel="0" collapsed="false">
      <c r="A28" s="86"/>
      <c r="B28" s="68"/>
      <c r="C28" s="88"/>
      <c r="D28" s="68"/>
      <c r="E28" s="68"/>
      <c r="F28" s="68"/>
      <c r="G28" s="68"/>
      <c r="H28" s="68"/>
      <c r="I28" s="68"/>
      <c r="J28" s="68"/>
      <c r="K28" s="68"/>
      <c r="L28" s="82" t="n">
        <v>7</v>
      </c>
      <c r="M28" s="68"/>
      <c r="N28" s="87" t="s">
        <v>23</v>
      </c>
      <c r="O28" s="88"/>
      <c r="P28" s="88"/>
      <c r="Q28" s="88"/>
      <c r="R28" s="68"/>
      <c r="S28" s="68"/>
      <c r="T28" s="68"/>
      <c r="U28" s="68"/>
      <c r="V28" s="68"/>
      <c r="W28" s="89"/>
    </row>
    <row r="29" customFormat="false" ht="15" hidden="false" customHeight="true" outlineLevel="0" collapsed="false">
      <c r="A29" s="86"/>
      <c r="B29" s="68"/>
      <c r="C29" s="90" t="str">
        <f aca="false">IF('Business Details'!C24="x","x"," ")</f>
        <v> </v>
      </c>
      <c r="D29" s="68"/>
      <c r="E29" s="68"/>
      <c r="F29" s="68"/>
      <c r="G29" s="68"/>
      <c r="H29" s="68"/>
      <c r="I29" s="68"/>
      <c r="J29" s="68"/>
      <c r="K29" s="68"/>
      <c r="L29" s="68"/>
      <c r="M29" s="68"/>
      <c r="N29" s="98" t="s">
        <v>24</v>
      </c>
      <c r="O29" s="88"/>
      <c r="P29" s="88"/>
      <c r="Q29" s="88"/>
      <c r="R29" s="68"/>
      <c r="S29" s="68"/>
      <c r="T29" s="68"/>
      <c r="U29" s="68"/>
      <c r="V29" s="68"/>
      <c r="W29" s="89"/>
    </row>
    <row r="30" customFormat="false" ht="7.5" hidden="false" customHeight="true" outlineLevel="0" collapsed="false">
      <c r="A30" s="86"/>
      <c r="B30" s="68"/>
      <c r="C30" s="68"/>
      <c r="D30" s="68"/>
      <c r="E30" s="68"/>
      <c r="F30" s="68"/>
      <c r="G30" s="68"/>
      <c r="H30" s="68"/>
      <c r="I30" s="68"/>
      <c r="J30" s="68"/>
      <c r="K30" s="68"/>
      <c r="L30" s="68"/>
      <c r="M30" s="68"/>
      <c r="N30" s="98"/>
      <c r="O30" s="88"/>
      <c r="P30" s="88"/>
      <c r="Q30" s="88"/>
      <c r="R30" s="68"/>
      <c r="S30" s="68"/>
      <c r="T30" s="68"/>
      <c r="U30" s="68"/>
      <c r="V30" s="68"/>
      <c r="W30" s="89"/>
    </row>
    <row r="31" customFormat="false" ht="13.5" hidden="false" customHeight="false" outlineLevel="0" collapsed="false">
      <c r="A31" s="86"/>
      <c r="B31" s="68"/>
      <c r="C31" s="68"/>
      <c r="D31" s="68"/>
      <c r="E31" s="68"/>
      <c r="F31" s="68"/>
      <c r="G31" s="68"/>
      <c r="H31" s="68"/>
      <c r="I31" s="68"/>
      <c r="J31" s="68"/>
      <c r="K31" s="68"/>
      <c r="L31" s="68"/>
      <c r="M31" s="68"/>
      <c r="N31" s="94" t="n">
        <f aca="false">Admin!B17</f>
        <v>45387</v>
      </c>
      <c r="O31" s="94"/>
      <c r="P31" s="94"/>
      <c r="Q31" s="94"/>
      <c r="R31" s="68"/>
      <c r="S31" s="68"/>
      <c r="T31" s="68"/>
      <c r="U31" s="68"/>
      <c r="V31" s="68"/>
      <c r="W31" s="89"/>
    </row>
    <row r="32" customFormat="false" ht="7.5" hidden="false" customHeight="true" outlineLevel="0" collapsed="false">
      <c r="A32" s="99"/>
      <c r="B32" s="100"/>
      <c r="C32" s="100"/>
      <c r="D32" s="100"/>
      <c r="E32" s="100"/>
      <c r="F32" s="100"/>
      <c r="G32" s="100"/>
      <c r="H32" s="100"/>
      <c r="I32" s="100"/>
      <c r="J32" s="100"/>
      <c r="K32" s="100"/>
      <c r="L32" s="100"/>
      <c r="M32" s="100"/>
      <c r="N32" s="100"/>
      <c r="O32" s="100"/>
      <c r="P32" s="100"/>
      <c r="Q32" s="100"/>
      <c r="R32" s="100"/>
      <c r="S32" s="100"/>
      <c r="T32" s="100"/>
      <c r="U32" s="100"/>
      <c r="V32" s="100"/>
      <c r="W32" s="101"/>
    </row>
    <row r="33" customFormat="false" ht="24.75" hidden="false" customHeight="true" outlineLevel="0" collapsed="false">
      <c r="A33" s="102" t="str">
        <f aca="false">"Business income - if your annual turnover was below £"&amp;Admin!F26&amp;" VAT threshold"</f>
        <v>Business income - if your annual turnover was below £85000 VAT threshold</v>
      </c>
      <c r="B33" s="102"/>
      <c r="C33" s="102"/>
      <c r="D33" s="102"/>
      <c r="E33" s="102"/>
      <c r="F33" s="102"/>
      <c r="G33" s="102"/>
      <c r="H33" s="102"/>
      <c r="I33" s="102"/>
      <c r="J33" s="102"/>
      <c r="K33" s="102"/>
      <c r="L33" s="102"/>
      <c r="M33" s="102"/>
      <c r="N33" s="102"/>
      <c r="O33" s="102"/>
      <c r="P33" s="102"/>
      <c r="Q33" s="102"/>
      <c r="R33" s="102"/>
      <c r="S33" s="102"/>
      <c r="T33" s="102"/>
      <c r="U33" s="102"/>
      <c r="V33" s="102"/>
      <c r="W33" s="102"/>
    </row>
    <row r="34" customFormat="false" ht="7.5" hidden="false" customHeight="true" outlineLevel="0" collapsed="false">
      <c r="A34" s="79"/>
      <c r="B34" s="80"/>
      <c r="C34" s="80"/>
      <c r="D34" s="80"/>
      <c r="E34" s="80"/>
      <c r="F34" s="80"/>
      <c r="G34" s="80"/>
      <c r="H34" s="80"/>
      <c r="I34" s="80"/>
      <c r="J34" s="80"/>
      <c r="K34" s="80"/>
      <c r="L34" s="80"/>
      <c r="M34" s="80"/>
      <c r="N34" s="80"/>
      <c r="O34" s="80"/>
      <c r="P34" s="80"/>
      <c r="Q34" s="80"/>
      <c r="R34" s="80"/>
      <c r="S34" s="80"/>
      <c r="T34" s="80"/>
      <c r="U34" s="80"/>
      <c r="V34" s="80"/>
      <c r="W34" s="81"/>
    </row>
    <row r="35" customFormat="false" ht="12" hidden="false" customHeight="false" outlineLevel="0" collapsed="false">
      <c r="A35" s="82" t="n">
        <v>8</v>
      </c>
      <c r="B35" s="68"/>
      <c r="C35" s="69" t="s">
        <v>40</v>
      </c>
      <c r="D35" s="69"/>
      <c r="E35" s="69"/>
      <c r="F35" s="69"/>
      <c r="G35" s="69"/>
      <c r="H35" s="69"/>
      <c r="I35" s="69"/>
      <c r="J35" s="69"/>
      <c r="K35" s="69"/>
      <c r="L35" s="82" t="n">
        <v>9</v>
      </c>
      <c r="M35" s="68"/>
      <c r="N35" s="69" t="s">
        <v>41</v>
      </c>
      <c r="O35" s="69"/>
      <c r="P35" s="69"/>
      <c r="Q35" s="69"/>
      <c r="R35" s="69"/>
      <c r="S35" s="69"/>
      <c r="T35" s="69"/>
      <c r="U35" s="69"/>
      <c r="V35" s="69"/>
      <c r="W35" s="85"/>
    </row>
    <row r="36" customFormat="false" ht="12" hidden="false" customHeight="false" outlineLevel="0" collapsed="false">
      <c r="A36" s="86"/>
      <c r="B36" s="68"/>
      <c r="C36" s="97" t="s">
        <v>42</v>
      </c>
      <c r="D36" s="68"/>
      <c r="E36" s="68"/>
      <c r="F36" s="68"/>
      <c r="G36" s="68"/>
      <c r="H36" s="68"/>
      <c r="I36" s="68"/>
      <c r="J36" s="68"/>
      <c r="K36" s="68"/>
      <c r="L36" s="68"/>
      <c r="M36" s="68"/>
      <c r="N36" s="97" t="s">
        <v>43</v>
      </c>
      <c r="O36" s="68"/>
      <c r="P36" s="68"/>
      <c r="Q36" s="68"/>
      <c r="R36" s="68"/>
      <c r="S36" s="68"/>
      <c r="T36" s="68"/>
      <c r="U36" s="68"/>
      <c r="V36" s="68"/>
      <c r="W36" s="89"/>
    </row>
    <row r="37" customFormat="false" ht="6" hidden="false" customHeight="true" outlineLevel="0" collapsed="false">
      <c r="A37" s="86"/>
      <c r="B37" s="68"/>
      <c r="C37" s="68"/>
      <c r="D37" s="68"/>
      <c r="E37" s="68"/>
      <c r="F37" s="68"/>
      <c r="G37" s="68"/>
      <c r="H37" s="68"/>
      <c r="I37" s="68"/>
      <c r="J37" s="68"/>
      <c r="K37" s="68"/>
      <c r="L37" s="68"/>
      <c r="M37" s="68"/>
      <c r="N37" s="68"/>
      <c r="O37" s="68"/>
      <c r="P37" s="68"/>
      <c r="Q37" s="68"/>
      <c r="R37" s="68"/>
      <c r="S37" s="68"/>
      <c r="T37" s="68"/>
      <c r="U37" s="68"/>
      <c r="V37" s="68"/>
      <c r="W37" s="89"/>
    </row>
    <row r="38" customFormat="false" ht="15" hidden="false" customHeight="false" outlineLevel="0" collapsed="false">
      <c r="A38" s="86"/>
      <c r="B38" s="68"/>
      <c r="C38" s="103" t="s">
        <v>28</v>
      </c>
      <c r="D38" s="104" t="n">
        <f aca="false">'Profit &amp; Loss Acc'!B5</f>
        <v>36000</v>
      </c>
      <c r="E38" s="104"/>
      <c r="F38" s="104"/>
      <c r="G38" s="105" t="s">
        <v>29</v>
      </c>
      <c r="H38" s="106" t="n">
        <v>0</v>
      </c>
      <c r="I38" s="106" t="n">
        <v>0</v>
      </c>
      <c r="J38" s="68"/>
      <c r="K38" s="68"/>
      <c r="L38" s="68"/>
      <c r="M38" s="68"/>
      <c r="N38" s="103" t="s">
        <v>28</v>
      </c>
      <c r="O38" s="104"/>
      <c r="P38" s="104"/>
      <c r="Q38" s="104"/>
      <c r="R38" s="105" t="s">
        <v>29</v>
      </c>
      <c r="S38" s="106" t="n">
        <v>0</v>
      </c>
      <c r="T38" s="106" t="n">
        <v>0</v>
      </c>
      <c r="U38" s="107"/>
      <c r="V38" s="108"/>
      <c r="W38" s="89"/>
    </row>
    <row r="39" customFormat="false" ht="7.5" hidden="false" customHeight="true" outlineLevel="0" collapsed="false">
      <c r="A39" s="99"/>
      <c r="B39" s="100"/>
      <c r="C39" s="100"/>
      <c r="D39" s="100"/>
      <c r="E39" s="100"/>
      <c r="F39" s="100"/>
      <c r="G39" s="100"/>
      <c r="H39" s="100"/>
      <c r="I39" s="100"/>
      <c r="J39" s="100"/>
      <c r="K39" s="100"/>
      <c r="L39" s="100"/>
      <c r="M39" s="100"/>
      <c r="N39" s="100"/>
      <c r="O39" s="100"/>
      <c r="P39" s="100"/>
      <c r="Q39" s="100"/>
      <c r="R39" s="100"/>
      <c r="S39" s="100"/>
      <c r="T39" s="100"/>
      <c r="U39" s="100"/>
      <c r="V39" s="100"/>
      <c r="W39" s="101"/>
    </row>
    <row r="40" customFormat="false" ht="24.75" hidden="false" customHeight="true" outlineLevel="0" collapsed="false">
      <c r="A40" s="109" t="s">
        <v>44</v>
      </c>
      <c r="B40" s="109"/>
      <c r="C40" s="109"/>
      <c r="D40" s="109"/>
      <c r="E40" s="109"/>
      <c r="F40" s="109"/>
      <c r="G40" s="109"/>
      <c r="H40" s="109"/>
      <c r="I40" s="109"/>
      <c r="J40" s="109"/>
      <c r="K40" s="109"/>
      <c r="L40" s="109"/>
      <c r="M40" s="109"/>
      <c r="N40" s="109"/>
      <c r="O40" s="109"/>
      <c r="P40" s="109"/>
      <c r="Q40" s="109"/>
      <c r="R40" s="109"/>
      <c r="S40" s="109"/>
      <c r="T40" s="109"/>
      <c r="U40" s="109"/>
      <c r="V40" s="109"/>
      <c r="W40" s="109"/>
    </row>
    <row r="41" s="111" customFormat="true" ht="13.5" hidden="false" customHeight="true" outlineLevel="0" collapsed="false">
      <c r="A41" s="110" t="s">
        <v>45</v>
      </c>
      <c r="B41" s="110"/>
      <c r="C41" s="110"/>
      <c r="D41" s="110"/>
      <c r="E41" s="110"/>
      <c r="F41" s="110"/>
      <c r="G41" s="110"/>
      <c r="H41" s="110"/>
      <c r="I41" s="110"/>
      <c r="J41" s="110"/>
      <c r="K41" s="110"/>
      <c r="L41" s="110"/>
      <c r="M41" s="110"/>
      <c r="N41" s="110"/>
      <c r="O41" s="110"/>
      <c r="P41" s="110"/>
      <c r="Q41" s="110"/>
      <c r="R41" s="110"/>
      <c r="S41" s="110"/>
      <c r="T41" s="110"/>
      <c r="U41" s="110"/>
      <c r="V41" s="110"/>
      <c r="W41" s="110"/>
    </row>
    <row r="42" s="111" customFormat="true" ht="13.5" hidden="false" customHeight="true" outlineLevel="0" collapsed="false">
      <c r="A42" s="112" t="s">
        <v>46</v>
      </c>
      <c r="B42" s="112"/>
      <c r="C42" s="112"/>
      <c r="D42" s="112"/>
      <c r="E42" s="112"/>
      <c r="F42" s="112"/>
      <c r="G42" s="112"/>
      <c r="H42" s="112"/>
      <c r="I42" s="112"/>
      <c r="J42" s="112"/>
      <c r="K42" s="112"/>
      <c r="L42" s="112"/>
      <c r="M42" s="112"/>
      <c r="N42" s="112"/>
      <c r="O42" s="112"/>
      <c r="P42" s="112"/>
      <c r="Q42" s="112"/>
      <c r="R42" s="112"/>
      <c r="S42" s="112"/>
      <c r="T42" s="112"/>
      <c r="U42" s="112"/>
      <c r="V42" s="112"/>
      <c r="W42" s="112"/>
    </row>
    <row r="43" customFormat="false" ht="7.5" hidden="false" customHeight="true" outlineLevel="0" collapsed="false">
      <c r="A43" s="79"/>
      <c r="B43" s="80"/>
      <c r="C43" s="80"/>
      <c r="D43" s="80"/>
      <c r="E43" s="80"/>
      <c r="F43" s="80"/>
      <c r="G43" s="80"/>
      <c r="H43" s="80"/>
      <c r="I43" s="80"/>
      <c r="J43" s="80"/>
      <c r="K43" s="80"/>
      <c r="L43" s="80"/>
      <c r="M43" s="80"/>
      <c r="N43" s="80"/>
      <c r="O43" s="80"/>
      <c r="P43" s="80"/>
      <c r="Q43" s="80"/>
      <c r="R43" s="80"/>
      <c r="S43" s="80"/>
      <c r="T43" s="80"/>
      <c r="U43" s="80"/>
      <c r="V43" s="80"/>
      <c r="W43" s="81"/>
    </row>
    <row r="44" customFormat="false" ht="12" hidden="false" customHeight="false" outlineLevel="0" collapsed="false">
      <c r="A44" s="82" t="n">
        <v>10</v>
      </c>
      <c r="B44" s="68"/>
      <c r="C44" s="69" t="s">
        <v>47</v>
      </c>
      <c r="D44" s="69"/>
      <c r="E44" s="69"/>
      <c r="F44" s="69"/>
      <c r="G44" s="69"/>
      <c r="H44" s="69"/>
      <c r="I44" s="69"/>
      <c r="J44" s="69"/>
      <c r="K44" s="69"/>
      <c r="L44" s="82" t="n">
        <v>15</v>
      </c>
      <c r="M44" s="68"/>
      <c r="N44" s="69" t="s">
        <v>48</v>
      </c>
      <c r="O44" s="68"/>
      <c r="P44" s="68"/>
      <c r="Q44" s="68"/>
      <c r="R44" s="68"/>
      <c r="S44" s="68"/>
      <c r="T44" s="68"/>
      <c r="U44" s="68"/>
      <c r="V44" s="68"/>
      <c r="W44" s="89"/>
    </row>
    <row r="45" customFormat="false" ht="6" hidden="false" customHeight="true" outlineLevel="0" collapsed="false">
      <c r="A45" s="113"/>
      <c r="B45" s="68"/>
      <c r="C45" s="69"/>
      <c r="D45" s="69"/>
      <c r="E45" s="69"/>
      <c r="F45" s="69"/>
      <c r="G45" s="69"/>
      <c r="H45" s="69"/>
      <c r="I45" s="69"/>
      <c r="J45" s="69"/>
      <c r="K45" s="69"/>
      <c r="L45" s="69"/>
      <c r="M45" s="68"/>
      <c r="N45" s="68"/>
      <c r="O45" s="68"/>
      <c r="P45" s="68"/>
      <c r="Q45" s="68"/>
      <c r="R45" s="68"/>
      <c r="S45" s="68"/>
      <c r="T45" s="68"/>
      <c r="U45" s="68"/>
      <c r="V45" s="68"/>
      <c r="W45" s="89"/>
    </row>
    <row r="46" customFormat="false" ht="15" hidden="false" customHeight="false" outlineLevel="0" collapsed="false">
      <c r="A46" s="86"/>
      <c r="B46" s="68"/>
      <c r="C46" s="103" t="s">
        <v>28</v>
      </c>
      <c r="D46" s="104" t="n">
        <f aca="false">IF(('Profit &amp; Loss Acc'!B5&lt;30000)," ",'Profit &amp; Loss Acc'!B12-'Profit &amp; Loss Acc'!B10)</f>
        <v>4980</v>
      </c>
      <c r="E46" s="104"/>
      <c r="F46" s="104"/>
      <c r="G46" s="105" t="s">
        <v>29</v>
      </c>
      <c r="H46" s="106" t="n">
        <v>0</v>
      </c>
      <c r="I46" s="106" t="n">
        <v>0</v>
      </c>
      <c r="J46" s="68"/>
      <c r="K46" s="68"/>
      <c r="L46" s="68"/>
      <c r="M46" s="68"/>
      <c r="N46" s="103" t="s">
        <v>28</v>
      </c>
      <c r="O46" s="104" t="n">
        <f aca="false">IF(('Profit &amp; Loss Acc'!B5&lt;30000)," ",'Profit &amp; Loss Acc'!B18)</f>
        <v>900</v>
      </c>
      <c r="P46" s="104"/>
      <c r="Q46" s="104"/>
      <c r="R46" s="105" t="s">
        <v>29</v>
      </c>
      <c r="S46" s="106" t="n">
        <v>0</v>
      </c>
      <c r="T46" s="106" t="n">
        <v>0</v>
      </c>
      <c r="U46" s="68"/>
      <c r="V46" s="68"/>
      <c r="W46" s="89"/>
    </row>
    <row r="47" customFormat="false" ht="12" hidden="false" customHeight="false" outlineLevel="0" collapsed="false">
      <c r="A47" s="86"/>
      <c r="B47" s="68"/>
      <c r="C47" s="68"/>
      <c r="D47" s="68"/>
      <c r="E47" s="68"/>
      <c r="F47" s="68"/>
      <c r="G47" s="68"/>
      <c r="H47" s="68"/>
      <c r="I47" s="68"/>
      <c r="J47" s="68"/>
      <c r="K47" s="68"/>
      <c r="L47" s="68"/>
      <c r="M47" s="68"/>
      <c r="N47" s="68"/>
      <c r="O47" s="68"/>
      <c r="P47" s="68"/>
      <c r="Q47" s="68"/>
      <c r="R47" s="68"/>
      <c r="S47" s="68"/>
      <c r="T47" s="68"/>
      <c r="U47" s="68"/>
      <c r="V47" s="68"/>
      <c r="W47" s="89"/>
    </row>
    <row r="48" customFormat="false" ht="12" hidden="false" customHeight="false" outlineLevel="0" collapsed="false">
      <c r="A48" s="82" t="n">
        <v>11</v>
      </c>
      <c r="B48" s="68"/>
      <c r="C48" s="69" t="s">
        <v>49</v>
      </c>
      <c r="D48" s="69"/>
      <c r="E48" s="69"/>
      <c r="F48" s="69"/>
      <c r="G48" s="69"/>
      <c r="H48" s="69"/>
      <c r="I48" s="69"/>
      <c r="J48" s="69"/>
      <c r="K48" s="69"/>
      <c r="L48" s="82" t="n">
        <v>16</v>
      </c>
      <c r="M48" s="68"/>
      <c r="N48" s="69" t="s">
        <v>50</v>
      </c>
      <c r="O48" s="68"/>
      <c r="P48" s="68"/>
      <c r="Q48" s="68"/>
      <c r="R48" s="68"/>
      <c r="S48" s="68"/>
      <c r="T48" s="68"/>
      <c r="U48" s="68"/>
      <c r="V48" s="68"/>
      <c r="W48" s="89"/>
    </row>
    <row r="49" customFormat="false" ht="12.75" hidden="false" customHeight="true" outlineLevel="0" collapsed="false">
      <c r="A49" s="86"/>
      <c r="B49" s="68"/>
      <c r="C49" s="97" t="s">
        <v>51</v>
      </c>
      <c r="D49" s="68"/>
      <c r="E49" s="68"/>
      <c r="F49" s="68"/>
      <c r="G49" s="68"/>
      <c r="H49" s="68"/>
      <c r="I49" s="68"/>
      <c r="J49" s="68"/>
      <c r="K49" s="68"/>
      <c r="L49" s="68"/>
      <c r="M49" s="68"/>
      <c r="N49" s="68"/>
      <c r="O49" s="68"/>
      <c r="P49" s="68"/>
      <c r="Q49" s="68"/>
      <c r="R49" s="68"/>
      <c r="S49" s="68"/>
      <c r="T49" s="68"/>
      <c r="U49" s="68"/>
      <c r="V49" s="68"/>
      <c r="W49" s="89"/>
    </row>
    <row r="50" customFormat="false" ht="6" hidden="false" customHeight="true" outlineLevel="0" collapsed="false">
      <c r="A50" s="113"/>
      <c r="B50" s="68"/>
      <c r="C50" s="69"/>
      <c r="D50" s="69"/>
      <c r="E50" s="69"/>
      <c r="F50" s="69"/>
      <c r="G50" s="69"/>
      <c r="H50" s="69"/>
      <c r="I50" s="69"/>
      <c r="J50" s="69"/>
      <c r="K50" s="69"/>
      <c r="L50" s="69"/>
      <c r="M50" s="68"/>
      <c r="N50" s="68"/>
      <c r="O50" s="68"/>
      <c r="P50" s="68"/>
      <c r="Q50" s="68"/>
      <c r="R50" s="68"/>
      <c r="S50" s="68"/>
      <c r="T50" s="68"/>
      <c r="U50" s="68"/>
      <c r="V50" s="68"/>
      <c r="W50" s="89"/>
    </row>
    <row r="51" customFormat="false" ht="15" hidden="false" customHeight="false" outlineLevel="0" collapsed="false">
      <c r="A51" s="86"/>
      <c r="B51" s="68"/>
      <c r="C51" s="103" t="s">
        <v>28</v>
      </c>
      <c r="D51" s="104"/>
      <c r="E51" s="104"/>
      <c r="F51" s="104"/>
      <c r="G51" s="105" t="s">
        <v>29</v>
      </c>
      <c r="H51" s="106" t="n">
        <v>0</v>
      </c>
      <c r="I51" s="106" t="n">
        <v>0</v>
      </c>
      <c r="J51" s="68"/>
      <c r="K51" s="68"/>
      <c r="L51" s="68"/>
      <c r="M51" s="68"/>
      <c r="N51" s="103" t="s">
        <v>28</v>
      </c>
      <c r="O51" s="104" t="n">
        <f aca="false">IF(('Profit &amp; Loss Acc'!B5&lt;30000)," ",'Profit &amp; Loss Acc'!B19+'Profit &amp; Loss Acc'!B20)</f>
        <v>0</v>
      </c>
      <c r="P51" s="104"/>
      <c r="Q51" s="104"/>
      <c r="R51" s="105" t="s">
        <v>29</v>
      </c>
      <c r="S51" s="106" t="n">
        <v>0</v>
      </c>
      <c r="T51" s="106" t="n">
        <v>0</v>
      </c>
      <c r="U51" s="68"/>
      <c r="V51" s="68"/>
      <c r="W51" s="89"/>
    </row>
    <row r="52" customFormat="false" ht="12.75" hidden="false" customHeight="true" outlineLevel="0" collapsed="false">
      <c r="A52" s="86"/>
      <c r="B52" s="68"/>
      <c r="C52" s="68"/>
      <c r="D52" s="68"/>
      <c r="E52" s="68"/>
      <c r="F52" s="68"/>
      <c r="G52" s="68"/>
      <c r="H52" s="68"/>
      <c r="I52" s="68"/>
      <c r="J52" s="68"/>
      <c r="K52" s="68"/>
      <c r="L52" s="68"/>
      <c r="M52" s="68"/>
      <c r="N52" s="68"/>
      <c r="O52" s="68"/>
      <c r="P52" s="68"/>
      <c r="Q52" s="68"/>
      <c r="R52" s="68"/>
      <c r="S52" s="68"/>
      <c r="T52" s="68"/>
      <c r="U52" s="68"/>
      <c r="V52" s="68"/>
      <c r="W52" s="89"/>
    </row>
    <row r="53" customFormat="false" ht="12" hidden="false" customHeight="false" outlineLevel="0" collapsed="false">
      <c r="A53" s="82" t="n">
        <v>12</v>
      </c>
      <c r="B53" s="68"/>
      <c r="C53" s="69" t="s">
        <v>52</v>
      </c>
      <c r="D53" s="69"/>
      <c r="E53" s="69"/>
      <c r="F53" s="69"/>
      <c r="G53" s="69"/>
      <c r="H53" s="69"/>
      <c r="I53" s="69"/>
      <c r="J53" s="69"/>
      <c r="K53" s="69"/>
      <c r="L53" s="82" t="n">
        <v>17</v>
      </c>
      <c r="M53" s="68"/>
      <c r="N53" s="69" t="s">
        <v>53</v>
      </c>
      <c r="O53" s="68"/>
      <c r="P53" s="68"/>
      <c r="Q53" s="68"/>
      <c r="R53" s="68"/>
      <c r="S53" s="68"/>
      <c r="T53" s="68"/>
      <c r="U53" s="68"/>
      <c r="V53" s="68"/>
      <c r="W53" s="89"/>
    </row>
    <row r="54" customFormat="false" ht="6" hidden="false" customHeight="true" outlineLevel="0" collapsed="false">
      <c r="A54" s="113"/>
      <c r="B54" s="68"/>
      <c r="C54" s="69"/>
      <c r="D54" s="69"/>
      <c r="E54" s="69"/>
      <c r="F54" s="69"/>
      <c r="G54" s="69"/>
      <c r="H54" s="69"/>
      <c r="I54" s="69"/>
      <c r="J54" s="69"/>
      <c r="K54" s="69"/>
      <c r="L54" s="69"/>
      <c r="M54" s="68"/>
      <c r="N54" s="68"/>
      <c r="O54" s="68"/>
      <c r="P54" s="68"/>
      <c r="Q54" s="68"/>
      <c r="R54" s="68"/>
      <c r="S54" s="68"/>
      <c r="T54" s="68"/>
      <c r="U54" s="68"/>
      <c r="V54" s="68"/>
      <c r="W54" s="89"/>
    </row>
    <row r="55" customFormat="false" ht="15" hidden="false" customHeight="false" outlineLevel="0" collapsed="false">
      <c r="A55" s="86"/>
      <c r="B55" s="68"/>
      <c r="C55" s="103" t="s">
        <v>28</v>
      </c>
      <c r="D55" s="104" t="n">
        <f aca="false">IF(('Profit &amp; Loss Acc'!B5&lt;30000)," ",'Profit &amp; Loss Acc'!B14)</f>
        <v>0</v>
      </c>
      <c r="E55" s="104"/>
      <c r="F55" s="104"/>
      <c r="G55" s="105" t="s">
        <v>29</v>
      </c>
      <c r="H55" s="106" t="n">
        <v>0</v>
      </c>
      <c r="I55" s="106" t="n">
        <v>0</v>
      </c>
      <c r="J55" s="68"/>
      <c r="K55" s="68"/>
      <c r="L55" s="68"/>
      <c r="M55" s="68"/>
      <c r="N55" s="103" t="s">
        <v>28</v>
      </c>
      <c r="O55" s="104" t="n">
        <f aca="false">IF(('Profit &amp; Loss Acc'!B5&lt;30000)," ",'Profit &amp; Loss Acc'!B16)</f>
        <v>480</v>
      </c>
      <c r="P55" s="104"/>
      <c r="Q55" s="104"/>
      <c r="R55" s="105" t="s">
        <v>29</v>
      </c>
      <c r="S55" s="106" t="n">
        <v>0</v>
      </c>
      <c r="T55" s="106" t="n">
        <v>0</v>
      </c>
      <c r="U55" s="68"/>
      <c r="V55" s="68"/>
      <c r="W55" s="89"/>
    </row>
    <row r="56" customFormat="false" ht="12" hidden="false" customHeight="false" outlineLevel="0" collapsed="false">
      <c r="A56" s="86"/>
      <c r="B56" s="68"/>
      <c r="C56" s="68"/>
      <c r="D56" s="68"/>
      <c r="E56" s="68"/>
      <c r="F56" s="68"/>
      <c r="G56" s="68"/>
      <c r="H56" s="68"/>
      <c r="I56" s="68"/>
      <c r="J56" s="68"/>
      <c r="K56" s="68"/>
      <c r="L56" s="68"/>
      <c r="M56" s="68"/>
      <c r="N56" s="68"/>
      <c r="O56" s="68"/>
      <c r="P56" s="68"/>
      <c r="Q56" s="68"/>
      <c r="R56" s="68"/>
      <c r="S56" s="68"/>
      <c r="T56" s="68"/>
      <c r="U56" s="68"/>
      <c r="V56" s="68"/>
      <c r="W56" s="89"/>
    </row>
    <row r="57" customFormat="false" ht="12" hidden="false" customHeight="false" outlineLevel="0" collapsed="false">
      <c r="A57" s="82" t="n">
        <v>13</v>
      </c>
      <c r="B57" s="68"/>
      <c r="C57" s="69" t="s">
        <v>54</v>
      </c>
      <c r="D57" s="69"/>
      <c r="E57" s="69"/>
      <c r="F57" s="69"/>
      <c r="G57" s="69"/>
      <c r="H57" s="69"/>
      <c r="I57" s="69"/>
      <c r="J57" s="69"/>
      <c r="K57" s="69"/>
      <c r="L57" s="82" t="n">
        <v>18</v>
      </c>
      <c r="M57" s="68"/>
      <c r="N57" s="69" t="s">
        <v>55</v>
      </c>
      <c r="O57" s="68"/>
      <c r="P57" s="68"/>
      <c r="Q57" s="68"/>
      <c r="R57" s="68"/>
      <c r="S57" s="68"/>
      <c r="T57" s="68"/>
      <c r="U57" s="68"/>
      <c r="V57" s="68"/>
      <c r="W57" s="89"/>
    </row>
    <row r="58" customFormat="false" ht="12" hidden="false" customHeight="false" outlineLevel="0" collapsed="false">
      <c r="A58" s="86"/>
      <c r="B58" s="68"/>
      <c r="C58" s="68"/>
      <c r="D58" s="68"/>
      <c r="E58" s="68"/>
      <c r="F58" s="68"/>
      <c r="G58" s="68"/>
      <c r="H58" s="68"/>
      <c r="I58" s="68"/>
      <c r="J58" s="68"/>
      <c r="K58" s="68"/>
      <c r="L58" s="68"/>
      <c r="M58" s="68"/>
      <c r="N58" s="97" t="s">
        <v>56</v>
      </c>
      <c r="O58" s="68"/>
      <c r="P58" s="68"/>
      <c r="Q58" s="68"/>
      <c r="R58" s="68"/>
      <c r="S58" s="68"/>
      <c r="T58" s="68"/>
      <c r="U58" s="68"/>
      <c r="V58" s="68"/>
      <c r="W58" s="89"/>
    </row>
    <row r="59" customFormat="false" ht="6" hidden="false" customHeight="true" outlineLevel="0" collapsed="false">
      <c r="A59" s="113"/>
      <c r="B59" s="68"/>
      <c r="C59" s="69"/>
      <c r="D59" s="69"/>
      <c r="E59" s="69"/>
      <c r="F59" s="69"/>
      <c r="G59" s="69"/>
      <c r="H59" s="69"/>
      <c r="I59" s="69"/>
      <c r="J59" s="69"/>
      <c r="K59" s="69"/>
      <c r="L59" s="69"/>
      <c r="M59" s="68"/>
      <c r="N59" s="68"/>
      <c r="O59" s="68"/>
      <c r="P59" s="68"/>
      <c r="Q59" s="68"/>
      <c r="R59" s="68"/>
      <c r="S59" s="68"/>
      <c r="T59" s="68"/>
      <c r="U59" s="68"/>
      <c r="V59" s="68"/>
      <c r="W59" s="89"/>
    </row>
    <row r="60" customFormat="false" ht="15" hidden="false" customHeight="false" outlineLevel="0" collapsed="false">
      <c r="A60" s="86"/>
      <c r="B60" s="68"/>
      <c r="C60" s="103" t="s">
        <v>28</v>
      </c>
      <c r="D60" s="104" t="n">
        <f aca="false">IF(('Profit &amp; Loss Acc'!B5&lt;30000)," ",'Profit &amp; Loss Acc'!B15)</f>
        <v>0</v>
      </c>
      <c r="E60" s="104"/>
      <c r="F60" s="104"/>
      <c r="G60" s="105" t="s">
        <v>29</v>
      </c>
      <c r="H60" s="106" t="n">
        <v>0</v>
      </c>
      <c r="I60" s="106" t="n">
        <v>0</v>
      </c>
      <c r="J60" s="68"/>
      <c r="K60" s="68"/>
      <c r="L60" s="68"/>
      <c r="M60" s="68"/>
      <c r="N60" s="103" t="s">
        <v>28</v>
      </c>
      <c r="O60" s="104" t="n">
        <f aca="false">IF(('Profit &amp; Loss Acc'!B5&lt;30000)," ",'Profit &amp; Loss Acc'!B17+'Profit &amp; Loss Acc'!B21)</f>
        <v>0</v>
      </c>
      <c r="P60" s="104"/>
      <c r="Q60" s="104"/>
      <c r="R60" s="105" t="s">
        <v>29</v>
      </c>
      <c r="S60" s="106" t="n">
        <v>0</v>
      </c>
      <c r="T60" s="106" t="n">
        <v>0</v>
      </c>
      <c r="U60" s="68"/>
      <c r="V60" s="68"/>
      <c r="W60" s="89"/>
    </row>
    <row r="61" customFormat="false" ht="12" hidden="false" customHeight="false" outlineLevel="0" collapsed="false">
      <c r="A61" s="86"/>
      <c r="B61" s="68"/>
      <c r="C61" s="68"/>
      <c r="D61" s="68"/>
      <c r="E61" s="68"/>
      <c r="F61" s="68"/>
      <c r="G61" s="68"/>
      <c r="H61" s="68"/>
      <c r="I61" s="68"/>
      <c r="J61" s="68"/>
      <c r="K61" s="68"/>
      <c r="L61" s="68"/>
      <c r="M61" s="68"/>
      <c r="N61" s="68"/>
      <c r="O61" s="68"/>
      <c r="P61" s="68"/>
      <c r="Q61" s="68"/>
      <c r="R61" s="68"/>
      <c r="S61" s="68"/>
      <c r="T61" s="68"/>
      <c r="U61" s="68"/>
      <c r="V61" s="68"/>
      <c r="W61" s="89"/>
    </row>
    <row r="62" customFormat="false" ht="12" hidden="false" customHeight="false" outlineLevel="0" collapsed="false">
      <c r="A62" s="82" t="n">
        <v>14</v>
      </c>
      <c r="B62" s="68"/>
      <c r="C62" s="69" t="s">
        <v>57</v>
      </c>
      <c r="D62" s="69"/>
      <c r="E62" s="69"/>
      <c r="F62" s="69"/>
      <c r="G62" s="69"/>
      <c r="H62" s="69"/>
      <c r="I62" s="69"/>
      <c r="J62" s="69"/>
      <c r="K62" s="69"/>
      <c r="L62" s="82" t="n">
        <v>19</v>
      </c>
      <c r="M62" s="68"/>
      <c r="N62" s="69" t="s">
        <v>58</v>
      </c>
      <c r="O62" s="68"/>
      <c r="P62" s="68"/>
      <c r="Q62" s="68"/>
      <c r="R62" s="68"/>
      <c r="S62" s="68"/>
      <c r="T62" s="68"/>
      <c r="U62" s="68"/>
      <c r="V62" s="68"/>
      <c r="W62" s="89"/>
    </row>
    <row r="63" customFormat="false" ht="6" hidden="false" customHeight="true" outlineLevel="0" collapsed="false">
      <c r="A63" s="113"/>
      <c r="B63" s="68"/>
      <c r="C63" s="69"/>
      <c r="D63" s="69"/>
      <c r="E63" s="69"/>
      <c r="F63" s="69"/>
      <c r="G63" s="69"/>
      <c r="H63" s="69"/>
      <c r="I63" s="69"/>
      <c r="J63" s="69"/>
      <c r="K63" s="69"/>
      <c r="L63" s="69"/>
      <c r="M63" s="68"/>
      <c r="N63" s="68"/>
      <c r="O63" s="68"/>
      <c r="P63" s="68"/>
      <c r="Q63" s="68"/>
      <c r="R63" s="68"/>
      <c r="S63" s="68"/>
      <c r="T63" s="68"/>
      <c r="U63" s="68"/>
      <c r="V63" s="68"/>
      <c r="W63" s="89"/>
    </row>
    <row r="64" customFormat="false" ht="15" hidden="false" customHeight="false" outlineLevel="0" collapsed="false">
      <c r="A64" s="86"/>
      <c r="B64" s="68"/>
      <c r="C64" s="103" t="s">
        <v>28</v>
      </c>
      <c r="D64" s="104"/>
      <c r="E64" s="104"/>
      <c r="F64" s="104"/>
      <c r="G64" s="105" t="s">
        <v>29</v>
      </c>
      <c r="H64" s="106" t="n">
        <v>0</v>
      </c>
      <c r="I64" s="106" t="n">
        <v>0</v>
      </c>
      <c r="J64" s="68"/>
      <c r="K64" s="68"/>
      <c r="L64" s="68"/>
      <c r="M64" s="68"/>
      <c r="N64" s="103" t="s">
        <v>28</v>
      </c>
      <c r="O64" s="104" t="n">
        <f aca="false">'Profit &amp; Loss Acc'!B12+'Profit &amp; Loss Acc'!B22-'Profit &amp; Loss Acc'!B10</f>
        <v>6360</v>
      </c>
      <c r="P64" s="104"/>
      <c r="Q64" s="104"/>
      <c r="R64" s="105" t="s">
        <v>29</v>
      </c>
      <c r="S64" s="106" t="n">
        <v>0</v>
      </c>
      <c r="T64" s="106" t="n">
        <v>0</v>
      </c>
      <c r="U64" s="68"/>
      <c r="V64" s="68"/>
      <c r="W64" s="89"/>
    </row>
    <row r="65" customFormat="false" ht="7.5" hidden="false" customHeight="true" outlineLevel="0" collapsed="false">
      <c r="A65" s="99"/>
      <c r="B65" s="100"/>
      <c r="C65" s="100"/>
      <c r="D65" s="100"/>
      <c r="E65" s="100"/>
      <c r="F65" s="100"/>
      <c r="G65" s="100"/>
      <c r="H65" s="100"/>
      <c r="I65" s="100"/>
      <c r="J65" s="100"/>
      <c r="K65" s="100"/>
      <c r="L65" s="100"/>
      <c r="M65" s="100"/>
      <c r="N65" s="100"/>
      <c r="O65" s="100"/>
      <c r="P65" s="100"/>
      <c r="Q65" s="100"/>
      <c r="R65" s="100"/>
      <c r="S65" s="100"/>
      <c r="T65" s="100"/>
      <c r="U65" s="100"/>
      <c r="V65" s="100"/>
      <c r="W65" s="101"/>
    </row>
    <row r="66" customFormat="false" ht="24.75" hidden="false" customHeight="true" outlineLevel="0" collapsed="false">
      <c r="A66" s="114" t="s">
        <v>59</v>
      </c>
      <c r="B66" s="114"/>
      <c r="C66" s="114"/>
      <c r="D66" s="114"/>
      <c r="E66" s="114"/>
      <c r="F66" s="114"/>
      <c r="G66" s="114"/>
      <c r="H66" s="114"/>
      <c r="I66" s="114"/>
      <c r="J66" s="114"/>
      <c r="K66" s="114"/>
      <c r="L66" s="114"/>
      <c r="M66" s="114"/>
      <c r="N66" s="114"/>
      <c r="O66" s="114"/>
      <c r="P66" s="114"/>
      <c r="Q66" s="114"/>
      <c r="R66" s="114"/>
      <c r="S66" s="114"/>
      <c r="T66" s="114"/>
      <c r="U66" s="114"/>
      <c r="V66" s="114"/>
      <c r="W66" s="114"/>
    </row>
    <row r="67" customFormat="false" ht="7.5" hidden="false" customHeight="true" outlineLevel="0" collapsed="false">
      <c r="A67" s="79"/>
      <c r="B67" s="80"/>
      <c r="C67" s="80"/>
      <c r="D67" s="80"/>
      <c r="E67" s="80"/>
      <c r="F67" s="80"/>
      <c r="G67" s="80"/>
      <c r="H67" s="80"/>
      <c r="I67" s="80"/>
      <c r="J67" s="80"/>
      <c r="K67" s="80"/>
      <c r="L67" s="80"/>
      <c r="M67" s="80"/>
      <c r="N67" s="80"/>
      <c r="O67" s="80"/>
      <c r="P67" s="80"/>
      <c r="Q67" s="80"/>
      <c r="R67" s="80"/>
      <c r="S67" s="80"/>
      <c r="T67" s="80"/>
      <c r="U67" s="80"/>
      <c r="V67" s="80"/>
      <c r="W67" s="81"/>
    </row>
    <row r="68" customFormat="false" ht="12" hidden="false" customHeight="false" outlineLevel="0" collapsed="false">
      <c r="A68" s="82" t="n">
        <v>20</v>
      </c>
      <c r="B68" s="68"/>
      <c r="C68" s="69" t="s">
        <v>60</v>
      </c>
      <c r="D68" s="69"/>
      <c r="E68" s="69"/>
      <c r="F68" s="69"/>
      <c r="G68" s="69"/>
      <c r="H68" s="69"/>
      <c r="I68" s="69"/>
      <c r="J68" s="69"/>
      <c r="K68" s="69"/>
      <c r="L68" s="82" t="n">
        <v>21</v>
      </c>
      <c r="M68" s="68"/>
      <c r="N68" s="69" t="s">
        <v>61</v>
      </c>
      <c r="O68" s="68"/>
      <c r="P68" s="68"/>
      <c r="Q68" s="68"/>
      <c r="R68" s="68"/>
      <c r="S68" s="68"/>
      <c r="T68" s="68"/>
      <c r="U68" s="68"/>
      <c r="V68" s="68"/>
      <c r="W68" s="89"/>
    </row>
    <row r="69" customFormat="false" ht="12" hidden="false" customHeight="false" outlineLevel="0" collapsed="false">
      <c r="A69" s="86"/>
      <c r="B69" s="68"/>
      <c r="C69" s="97" t="s">
        <v>62</v>
      </c>
      <c r="D69" s="69"/>
      <c r="E69" s="69"/>
      <c r="F69" s="69"/>
      <c r="G69" s="69"/>
      <c r="H69" s="69"/>
      <c r="I69" s="69"/>
      <c r="J69" s="69"/>
      <c r="K69" s="69"/>
      <c r="L69" s="68"/>
      <c r="M69" s="68"/>
      <c r="N69" s="97" t="s">
        <v>63</v>
      </c>
      <c r="O69" s="68"/>
      <c r="P69" s="68"/>
      <c r="Q69" s="68"/>
      <c r="R69" s="68"/>
      <c r="S69" s="68"/>
      <c r="T69" s="68"/>
      <c r="U69" s="68"/>
      <c r="V69" s="68"/>
      <c r="W69" s="89"/>
    </row>
    <row r="70" customFormat="false" ht="6" hidden="false" customHeight="true" outlineLevel="0" collapsed="false">
      <c r="A70" s="113"/>
      <c r="B70" s="68"/>
      <c r="C70" s="69"/>
      <c r="D70" s="69"/>
      <c r="E70" s="69"/>
      <c r="F70" s="69"/>
      <c r="G70" s="69"/>
      <c r="H70" s="69"/>
      <c r="I70" s="69"/>
      <c r="J70" s="69"/>
      <c r="K70" s="69"/>
      <c r="L70" s="69"/>
      <c r="M70" s="68"/>
      <c r="N70" s="68"/>
      <c r="O70" s="68"/>
      <c r="P70" s="68"/>
      <c r="Q70" s="68"/>
      <c r="R70" s="68"/>
      <c r="S70" s="68"/>
      <c r="T70" s="68"/>
      <c r="U70" s="68"/>
      <c r="V70" s="68"/>
      <c r="W70" s="89"/>
    </row>
    <row r="71" customFormat="false" ht="15" hidden="false" customHeight="false" outlineLevel="0" collapsed="false">
      <c r="A71" s="86"/>
      <c r="B71" s="68"/>
      <c r="C71" s="103" t="s">
        <v>28</v>
      </c>
      <c r="D71" s="104" t="n">
        <f aca="false">IF((D38+O38-O64)&gt;=0,D38+O38-O64,0)</f>
        <v>29640</v>
      </c>
      <c r="E71" s="104"/>
      <c r="F71" s="104"/>
      <c r="G71" s="105" t="s">
        <v>29</v>
      </c>
      <c r="H71" s="106" t="n">
        <v>0</v>
      </c>
      <c r="I71" s="106" t="n">
        <v>0</v>
      </c>
      <c r="J71" s="68"/>
      <c r="K71" s="68"/>
      <c r="L71" s="68"/>
      <c r="M71" s="68"/>
      <c r="N71" s="103" t="s">
        <v>28</v>
      </c>
      <c r="O71" s="104" t="n">
        <f aca="false">IF((D38+O38-O64)&lt;0,-D38-O38+O64,0)</f>
        <v>0</v>
      </c>
      <c r="P71" s="104"/>
      <c r="Q71" s="104"/>
      <c r="R71" s="105" t="s">
        <v>29</v>
      </c>
      <c r="S71" s="106" t="n">
        <v>0</v>
      </c>
      <c r="T71" s="106" t="n">
        <v>0</v>
      </c>
      <c r="U71" s="68"/>
      <c r="V71" s="68"/>
      <c r="W71" s="115"/>
      <c r="Y71" s="116"/>
      <c r="Z71" s="116"/>
    </row>
    <row r="72" customFormat="false" ht="7.5" hidden="false" customHeight="true" outlineLevel="0" collapsed="false">
      <c r="A72" s="99"/>
      <c r="B72" s="100"/>
      <c r="C72" s="100"/>
      <c r="D72" s="100"/>
      <c r="E72" s="100"/>
      <c r="F72" s="100"/>
      <c r="G72" s="100"/>
      <c r="H72" s="100"/>
      <c r="I72" s="100"/>
      <c r="J72" s="100"/>
      <c r="K72" s="100"/>
      <c r="L72" s="100"/>
      <c r="M72" s="100"/>
      <c r="N72" s="100"/>
      <c r="O72" s="100"/>
      <c r="P72" s="100"/>
      <c r="Q72" s="100"/>
      <c r="R72" s="100"/>
      <c r="S72" s="100"/>
      <c r="T72" s="100"/>
      <c r="U72" s="100"/>
      <c r="V72" s="100"/>
      <c r="W72" s="101"/>
    </row>
    <row r="73" customFormat="false" ht="24.75" hidden="false" customHeight="true" outlineLevel="0" collapsed="false">
      <c r="A73" s="117" t="s">
        <v>64</v>
      </c>
      <c r="B73" s="117"/>
      <c r="C73" s="117"/>
      <c r="D73" s="117"/>
      <c r="E73" s="117"/>
      <c r="F73" s="117"/>
      <c r="G73" s="117"/>
      <c r="H73" s="117"/>
      <c r="I73" s="117"/>
      <c r="J73" s="117"/>
      <c r="K73" s="117"/>
      <c r="L73" s="117"/>
      <c r="M73" s="117"/>
      <c r="N73" s="117"/>
      <c r="O73" s="117"/>
      <c r="P73" s="117"/>
      <c r="Q73" s="117"/>
      <c r="R73" s="117"/>
      <c r="S73" s="117"/>
      <c r="T73" s="117"/>
      <c r="U73" s="117"/>
      <c r="V73" s="117"/>
      <c r="W73" s="117"/>
      <c r="Y73" s="116"/>
      <c r="Z73" s="116"/>
    </row>
    <row r="74" customFormat="false" ht="13.5" hidden="false" customHeight="true" outlineLevel="0" collapsed="false">
      <c r="A74" s="110" t="s">
        <v>65</v>
      </c>
      <c r="B74" s="110"/>
      <c r="C74" s="110"/>
      <c r="D74" s="110"/>
      <c r="E74" s="110"/>
      <c r="F74" s="110"/>
      <c r="G74" s="110"/>
      <c r="H74" s="110"/>
      <c r="I74" s="110"/>
      <c r="J74" s="110"/>
      <c r="K74" s="110"/>
      <c r="L74" s="110"/>
      <c r="M74" s="110"/>
      <c r="N74" s="110"/>
      <c r="O74" s="110"/>
      <c r="P74" s="110"/>
      <c r="Q74" s="110"/>
      <c r="R74" s="110"/>
      <c r="S74" s="110"/>
      <c r="T74" s="110"/>
      <c r="U74" s="110"/>
      <c r="V74" s="110"/>
      <c r="W74" s="110"/>
    </row>
    <row r="75" customFormat="false" ht="13.5" hidden="false" customHeight="true" outlineLevel="0" collapsed="false">
      <c r="A75" s="110" t="s">
        <v>66</v>
      </c>
      <c r="B75" s="110"/>
      <c r="C75" s="110"/>
      <c r="D75" s="110"/>
      <c r="E75" s="110"/>
      <c r="F75" s="110"/>
      <c r="G75" s="110"/>
      <c r="H75" s="110"/>
      <c r="I75" s="110"/>
      <c r="J75" s="110"/>
      <c r="K75" s="110"/>
      <c r="L75" s="110"/>
      <c r="M75" s="110"/>
      <c r="N75" s="110"/>
      <c r="O75" s="110"/>
      <c r="P75" s="110"/>
      <c r="Q75" s="110"/>
      <c r="R75" s="110"/>
      <c r="S75" s="110"/>
      <c r="T75" s="110"/>
      <c r="U75" s="110"/>
      <c r="V75" s="110"/>
      <c r="W75" s="110"/>
      <c r="Y75" s="116"/>
      <c r="Z75" s="116"/>
    </row>
    <row r="76" customFormat="false" ht="13.5" hidden="false" customHeight="true" outlineLevel="0" collapsed="false">
      <c r="A76" s="110" t="s">
        <v>67</v>
      </c>
      <c r="B76" s="110"/>
      <c r="C76" s="110"/>
      <c r="D76" s="110"/>
      <c r="E76" s="110"/>
      <c r="F76" s="110"/>
      <c r="G76" s="110"/>
      <c r="H76" s="110"/>
      <c r="I76" s="110"/>
      <c r="J76" s="110"/>
      <c r="K76" s="110"/>
      <c r="L76" s="110"/>
      <c r="M76" s="110"/>
      <c r="N76" s="110"/>
      <c r="O76" s="110"/>
      <c r="P76" s="110"/>
      <c r="Q76" s="110"/>
      <c r="R76" s="110"/>
      <c r="S76" s="110"/>
      <c r="T76" s="110"/>
      <c r="U76" s="110"/>
      <c r="V76" s="110"/>
      <c r="W76" s="110"/>
    </row>
    <row r="77" customFormat="false" ht="7.5" hidden="false" customHeight="true" outlineLevel="0" collapsed="false">
      <c r="A77" s="79"/>
      <c r="B77" s="80"/>
      <c r="C77" s="80"/>
      <c r="D77" s="80"/>
      <c r="E77" s="80"/>
      <c r="F77" s="80"/>
      <c r="G77" s="80"/>
      <c r="H77" s="80"/>
      <c r="I77" s="80"/>
      <c r="J77" s="80"/>
      <c r="K77" s="80"/>
      <c r="L77" s="80"/>
      <c r="M77" s="80"/>
      <c r="N77" s="80"/>
      <c r="O77" s="80"/>
      <c r="P77" s="80"/>
      <c r="Q77" s="80"/>
      <c r="R77" s="80"/>
      <c r="S77" s="80"/>
      <c r="T77" s="80"/>
      <c r="U77" s="80"/>
      <c r="V77" s="80"/>
      <c r="W77" s="81"/>
    </row>
    <row r="78" customFormat="false" ht="12" hidden="false" customHeight="false" outlineLevel="0" collapsed="false">
      <c r="A78" s="82" t="n">
        <v>22</v>
      </c>
      <c r="B78" s="68"/>
      <c r="C78" s="69" t="s">
        <v>68</v>
      </c>
      <c r="D78" s="69"/>
      <c r="E78" s="69"/>
      <c r="F78" s="69"/>
      <c r="G78" s="69"/>
      <c r="H78" s="69"/>
      <c r="I78" s="69"/>
      <c r="J78" s="69"/>
      <c r="K78" s="69"/>
      <c r="L78" s="82" t="n">
        <v>24</v>
      </c>
      <c r="M78" s="68"/>
      <c r="N78" s="69" t="s">
        <v>69</v>
      </c>
      <c r="O78" s="68"/>
      <c r="P78" s="68"/>
      <c r="Q78" s="68"/>
      <c r="R78" s="68"/>
      <c r="S78" s="68"/>
      <c r="T78" s="68"/>
      <c r="U78" s="68"/>
      <c r="V78" s="68"/>
      <c r="W78" s="89"/>
    </row>
    <row r="79" customFormat="false" ht="12" hidden="false" customHeight="false" outlineLevel="0" collapsed="false">
      <c r="A79" s="113"/>
      <c r="B79" s="68"/>
      <c r="C79" s="69"/>
      <c r="D79" s="69"/>
      <c r="E79" s="69"/>
      <c r="F79" s="69"/>
      <c r="G79" s="69"/>
      <c r="H79" s="69"/>
      <c r="I79" s="69"/>
      <c r="J79" s="69"/>
      <c r="K79" s="69"/>
      <c r="L79" s="68"/>
      <c r="M79" s="68"/>
      <c r="N79" s="68"/>
      <c r="O79" s="68"/>
      <c r="P79" s="68"/>
      <c r="Q79" s="68"/>
      <c r="R79" s="68"/>
      <c r="S79" s="118"/>
      <c r="T79" s="118"/>
      <c r="U79" s="118"/>
      <c r="V79" s="118"/>
      <c r="W79" s="89"/>
    </row>
    <row r="80" customFormat="false" ht="15" hidden="false" customHeight="true" outlineLevel="0" collapsed="false">
      <c r="A80" s="113"/>
      <c r="B80" s="68"/>
      <c r="C80" s="103" t="s">
        <v>28</v>
      </c>
      <c r="D80" s="104" t="n">
        <f aca="false">IF(('Fixed Assets'!I1)&gt;0,'Fixed Assets'!I1,0)</f>
        <v>0</v>
      </c>
      <c r="E80" s="104"/>
      <c r="F80" s="104"/>
      <c r="G80" s="105" t="s">
        <v>29</v>
      </c>
      <c r="H80" s="106" t="n">
        <v>0</v>
      </c>
      <c r="I80" s="106" t="n">
        <v>0</v>
      </c>
      <c r="J80" s="69"/>
      <c r="K80" s="69"/>
      <c r="L80" s="69"/>
      <c r="M80" s="68"/>
      <c r="N80" s="103" t="s">
        <v>28</v>
      </c>
      <c r="O80" s="104" t="n">
        <f aca="false">IF(('Fixed Assets'!J1+'Fixed Assets'!P1)&gt;0,'Fixed Assets'!J1+'Fixed Assets'!P1,0)</f>
        <v>0</v>
      </c>
      <c r="P80" s="104"/>
      <c r="Q80" s="104"/>
      <c r="R80" s="105" t="s">
        <v>29</v>
      </c>
      <c r="S80" s="106" t="n">
        <v>0</v>
      </c>
      <c r="T80" s="106" t="n">
        <v>0</v>
      </c>
      <c r="U80" s="68"/>
      <c r="V80" s="68"/>
      <c r="W80" s="89"/>
    </row>
    <row r="81" customFormat="false" ht="6" hidden="false" customHeight="true" outlineLevel="0" collapsed="false">
      <c r="A81" s="113"/>
      <c r="B81" s="68"/>
      <c r="C81" s="69"/>
      <c r="D81" s="69"/>
      <c r="E81" s="69"/>
      <c r="F81" s="69"/>
      <c r="G81" s="69"/>
      <c r="H81" s="69"/>
      <c r="I81" s="69"/>
      <c r="J81" s="69"/>
      <c r="K81" s="69"/>
      <c r="L81" s="69"/>
      <c r="M81" s="68"/>
      <c r="N81" s="68"/>
      <c r="O81" s="68"/>
      <c r="P81" s="68"/>
      <c r="Q81" s="68"/>
      <c r="R81" s="68"/>
      <c r="S81" s="68"/>
      <c r="T81" s="68"/>
      <c r="U81" s="68"/>
      <c r="V81" s="68"/>
      <c r="W81" s="89"/>
    </row>
    <row r="82" customFormat="false" ht="12" hidden="false" customHeight="false" outlineLevel="0" collapsed="false">
      <c r="A82" s="82" t="n">
        <v>23</v>
      </c>
      <c r="B82" s="68"/>
      <c r="C82" s="69" t="s">
        <v>70</v>
      </c>
      <c r="D82" s="68"/>
      <c r="E82" s="68"/>
      <c r="F82" s="68"/>
      <c r="G82" s="68"/>
      <c r="H82" s="68"/>
      <c r="I82" s="68"/>
      <c r="J82" s="68"/>
      <c r="K82" s="68"/>
      <c r="L82" s="82" t="n">
        <v>25</v>
      </c>
      <c r="M82" s="68"/>
      <c r="N82" s="69" t="s">
        <v>71</v>
      </c>
      <c r="O82" s="68"/>
      <c r="P82" s="68"/>
      <c r="Q82" s="68"/>
      <c r="R82" s="68"/>
      <c r="S82" s="68"/>
      <c r="T82" s="68"/>
      <c r="U82" s="68"/>
      <c r="V82" s="68"/>
      <c r="W82" s="89"/>
    </row>
    <row r="83" customFormat="false" ht="11.25" hidden="false" customHeight="true" outlineLevel="0" collapsed="false">
      <c r="A83" s="86"/>
      <c r="B83" s="68"/>
      <c r="C83" s="69" t="s">
        <v>72</v>
      </c>
      <c r="D83" s="68"/>
      <c r="E83" s="68"/>
      <c r="F83" s="68"/>
      <c r="G83" s="68"/>
      <c r="H83" s="68"/>
      <c r="I83" s="68"/>
      <c r="J83" s="68"/>
      <c r="K83" s="68"/>
      <c r="L83" s="69"/>
      <c r="M83" s="68"/>
      <c r="N83" s="69" t="s">
        <v>73</v>
      </c>
      <c r="O83" s="118"/>
      <c r="P83" s="118"/>
      <c r="Q83" s="118"/>
      <c r="R83" s="118"/>
      <c r="S83" s="100"/>
      <c r="T83" s="100"/>
      <c r="U83" s="100"/>
      <c r="V83" s="100"/>
      <c r="W83" s="101"/>
    </row>
    <row r="84" customFormat="false" ht="6" hidden="false" customHeight="true" outlineLevel="0" collapsed="false">
      <c r="A84" s="113"/>
      <c r="B84" s="68"/>
      <c r="C84" s="69"/>
      <c r="D84" s="69"/>
      <c r="E84" s="69"/>
      <c r="F84" s="69"/>
      <c r="G84" s="69"/>
      <c r="H84" s="69"/>
      <c r="I84" s="69"/>
      <c r="J84" s="69"/>
      <c r="K84" s="69"/>
      <c r="L84" s="69"/>
      <c r="M84" s="68"/>
      <c r="N84" s="68"/>
      <c r="O84" s="68"/>
      <c r="P84" s="68"/>
      <c r="Q84" s="68"/>
      <c r="R84" s="68"/>
      <c r="S84" s="68"/>
      <c r="T84" s="68"/>
      <c r="U84" s="68"/>
      <c r="V84" s="68"/>
      <c r="W84" s="89"/>
    </row>
    <row r="85" customFormat="false" ht="15" hidden="false" customHeight="false" outlineLevel="0" collapsed="false">
      <c r="A85" s="113"/>
      <c r="B85" s="68"/>
      <c r="C85" s="103" t="s">
        <v>28</v>
      </c>
      <c r="D85" s="104" t="n">
        <f aca="false">IF(('Fixed Assets'!K1+'Fixed Assets'!J1)&lt;1000,'Fixed Assets'!K1,0)</f>
        <v>0</v>
      </c>
      <c r="E85" s="104"/>
      <c r="F85" s="104"/>
      <c r="G85" s="105" t="s">
        <v>29</v>
      </c>
      <c r="H85" s="106" t="n">
        <v>0</v>
      </c>
      <c r="I85" s="106" t="n">
        <v>0</v>
      </c>
      <c r="J85" s="69"/>
      <c r="K85" s="69"/>
      <c r="L85" s="68"/>
      <c r="M85" s="68"/>
      <c r="N85" s="103" t="s">
        <v>28</v>
      </c>
      <c r="O85" s="104" t="n">
        <f aca="false">IF('Fixed Assets'!Q1&gt;0,'Fixed Assets'!Q1,0)</f>
        <v>0</v>
      </c>
      <c r="P85" s="104"/>
      <c r="Q85" s="104"/>
      <c r="R85" s="105" t="s">
        <v>29</v>
      </c>
      <c r="S85" s="106" t="n">
        <v>0</v>
      </c>
      <c r="T85" s="106" t="n">
        <v>0</v>
      </c>
      <c r="U85" s="68"/>
      <c r="V85" s="68"/>
      <c r="W85" s="89"/>
    </row>
    <row r="86" customFormat="false" ht="7.5" hidden="false" customHeight="true" outlineLevel="0" collapsed="false">
      <c r="A86" s="99"/>
      <c r="B86" s="100"/>
      <c r="C86" s="100"/>
      <c r="D86" s="100"/>
      <c r="E86" s="100"/>
      <c r="F86" s="100"/>
      <c r="G86" s="100"/>
      <c r="H86" s="100"/>
      <c r="I86" s="100"/>
      <c r="J86" s="100"/>
      <c r="K86" s="100"/>
      <c r="L86" s="100"/>
      <c r="M86" s="100"/>
      <c r="N86" s="100"/>
      <c r="O86" s="100"/>
      <c r="P86" s="100"/>
      <c r="Q86" s="100"/>
      <c r="R86" s="100"/>
      <c r="S86" s="100"/>
      <c r="T86" s="100"/>
      <c r="U86" s="100"/>
      <c r="V86" s="100"/>
      <c r="W86" s="101"/>
    </row>
    <row r="87" customFormat="false" ht="24.75" hidden="false" customHeight="true" outlineLevel="0" collapsed="false">
      <c r="A87" s="109" t="s">
        <v>74</v>
      </c>
      <c r="B87" s="109"/>
      <c r="C87" s="109"/>
      <c r="D87" s="109"/>
      <c r="E87" s="109"/>
      <c r="F87" s="109"/>
      <c r="G87" s="109"/>
      <c r="H87" s="109"/>
      <c r="I87" s="109"/>
      <c r="J87" s="109"/>
      <c r="K87" s="109"/>
      <c r="L87" s="109"/>
      <c r="M87" s="109"/>
      <c r="N87" s="109"/>
      <c r="O87" s="109"/>
      <c r="P87" s="109"/>
      <c r="Q87" s="109"/>
      <c r="R87" s="109"/>
      <c r="S87" s="109"/>
      <c r="T87" s="109"/>
      <c r="U87" s="109"/>
      <c r="V87" s="109"/>
      <c r="W87" s="109"/>
    </row>
    <row r="88" customFormat="false" ht="15.75" hidden="false" customHeight="true" outlineLevel="0" collapsed="false">
      <c r="A88" s="110" t="s">
        <v>75</v>
      </c>
      <c r="B88" s="110"/>
      <c r="C88" s="110"/>
      <c r="D88" s="110"/>
      <c r="E88" s="110"/>
      <c r="F88" s="110"/>
      <c r="G88" s="110"/>
      <c r="H88" s="110"/>
      <c r="I88" s="110"/>
      <c r="J88" s="110"/>
      <c r="K88" s="110"/>
      <c r="L88" s="110"/>
      <c r="M88" s="110"/>
      <c r="N88" s="110"/>
      <c r="O88" s="110"/>
      <c r="P88" s="110"/>
      <c r="Q88" s="110"/>
      <c r="R88" s="110"/>
      <c r="S88" s="110"/>
      <c r="T88" s="110"/>
      <c r="U88" s="110"/>
      <c r="V88" s="110"/>
      <c r="W88" s="110"/>
    </row>
    <row r="89" customFormat="false" ht="15.75" hidden="false" customHeight="true" outlineLevel="0" collapsed="false">
      <c r="A89" s="110" t="s">
        <v>76</v>
      </c>
      <c r="B89" s="110"/>
      <c r="C89" s="110"/>
      <c r="D89" s="110"/>
      <c r="E89" s="110"/>
      <c r="F89" s="110"/>
      <c r="G89" s="110"/>
      <c r="H89" s="110"/>
      <c r="I89" s="110"/>
      <c r="J89" s="110"/>
      <c r="K89" s="110"/>
      <c r="L89" s="110"/>
      <c r="M89" s="110"/>
      <c r="N89" s="110"/>
      <c r="O89" s="110"/>
      <c r="P89" s="110"/>
      <c r="Q89" s="110"/>
      <c r="R89" s="110"/>
      <c r="S89" s="110"/>
      <c r="T89" s="110"/>
      <c r="U89" s="110"/>
      <c r="V89" s="110"/>
      <c r="W89" s="110"/>
    </row>
    <row r="90" customFormat="false" ht="7.5" hidden="false" customHeight="true" outlineLevel="0" collapsed="false">
      <c r="A90" s="79"/>
      <c r="B90" s="80"/>
      <c r="C90" s="80"/>
      <c r="D90" s="80"/>
      <c r="E90" s="80"/>
      <c r="F90" s="80"/>
      <c r="G90" s="80"/>
      <c r="H90" s="80"/>
      <c r="I90" s="80"/>
      <c r="J90" s="80"/>
      <c r="K90" s="80"/>
      <c r="L90" s="80"/>
      <c r="M90" s="80"/>
      <c r="N90" s="80"/>
      <c r="O90" s="80"/>
      <c r="P90" s="80"/>
      <c r="Q90" s="80"/>
      <c r="R90" s="80"/>
      <c r="S90" s="80"/>
      <c r="T90" s="80"/>
      <c r="U90" s="80"/>
      <c r="V90" s="80"/>
      <c r="W90" s="81"/>
    </row>
    <row r="91" customFormat="false" ht="12" hidden="false" customHeight="false" outlineLevel="0" collapsed="false">
      <c r="A91" s="82" t="n">
        <v>26</v>
      </c>
      <c r="B91" s="68"/>
      <c r="C91" s="69" t="s">
        <v>77</v>
      </c>
      <c r="D91" s="69"/>
      <c r="E91" s="69"/>
      <c r="F91" s="69"/>
      <c r="G91" s="69"/>
      <c r="H91" s="69"/>
      <c r="I91" s="69"/>
      <c r="J91" s="69"/>
      <c r="K91" s="69"/>
      <c r="L91" s="82" t="n">
        <v>28</v>
      </c>
      <c r="M91" s="68"/>
      <c r="N91" s="69" t="s">
        <v>78</v>
      </c>
      <c r="O91" s="68"/>
      <c r="P91" s="68"/>
      <c r="Q91" s="68"/>
      <c r="R91" s="68"/>
      <c r="S91" s="68"/>
      <c r="T91" s="68"/>
      <c r="U91" s="68"/>
      <c r="V91" s="68"/>
      <c r="W91" s="89"/>
    </row>
    <row r="92" customFormat="false" ht="12" hidden="false" customHeight="false" outlineLevel="0" collapsed="false">
      <c r="A92" s="69"/>
      <c r="B92" s="68"/>
      <c r="C92" s="97" t="s">
        <v>79</v>
      </c>
      <c r="D92" s="69"/>
      <c r="E92" s="69"/>
      <c r="F92" s="69"/>
      <c r="G92" s="69"/>
      <c r="H92" s="69"/>
      <c r="I92" s="69"/>
      <c r="J92" s="69"/>
      <c r="K92" s="69"/>
      <c r="L92" s="69"/>
      <c r="M92" s="68"/>
      <c r="N92" s="69" t="s">
        <v>80</v>
      </c>
      <c r="O92" s="118"/>
      <c r="P92" s="118"/>
      <c r="Q92" s="118"/>
      <c r="R92" s="118"/>
      <c r="S92" s="118"/>
      <c r="T92" s="118"/>
      <c r="U92" s="118"/>
      <c r="V92" s="118"/>
      <c r="W92" s="89"/>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9"/>
    </row>
    <row r="94" customFormat="false" ht="15" hidden="false" customHeight="false" outlineLevel="0" collapsed="false">
      <c r="A94" s="68"/>
      <c r="B94" s="68"/>
      <c r="C94" s="103" t="s">
        <v>28</v>
      </c>
      <c r="D94" s="104" t="n">
        <f aca="false">'Business Details'!O29</f>
        <v>0</v>
      </c>
      <c r="E94" s="104"/>
      <c r="F94" s="104"/>
      <c r="G94" s="105" t="s">
        <v>29</v>
      </c>
      <c r="H94" s="106" t="n">
        <v>0</v>
      </c>
      <c r="I94" s="106" t="n">
        <v>0</v>
      </c>
      <c r="J94" s="68"/>
      <c r="K94" s="68"/>
      <c r="L94" s="68"/>
      <c r="M94" s="68"/>
      <c r="N94" s="103" t="s">
        <v>28</v>
      </c>
      <c r="O94" s="104" t="n">
        <f aca="false">IF(O106&gt;0,0,IF('Business Details'!D29=0,0,IF(D99&gt;'Business Details'!D29,'Business Details'!D29,D99)))</f>
        <v>0</v>
      </c>
      <c r="P94" s="104"/>
      <c r="Q94" s="104"/>
      <c r="R94" s="105" t="s">
        <v>29</v>
      </c>
      <c r="S94" s="106" t="n">
        <v>0</v>
      </c>
      <c r="T94" s="106" t="n">
        <v>0</v>
      </c>
      <c r="U94" s="68"/>
      <c r="V94" s="68"/>
      <c r="W94" s="89"/>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9"/>
    </row>
    <row r="96" customFormat="false" ht="12" hidden="false" customHeight="false" outlineLevel="0" collapsed="false">
      <c r="A96" s="82" t="n">
        <v>27</v>
      </c>
      <c r="B96" s="68"/>
      <c r="C96" s="69" t="s">
        <v>81</v>
      </c>
      <c r="D96" s="69"/>
      <c r="E96" s="69"/>
      <c r="F96" s="69"/>
      <c r="G96" s="69"/>
      <c r="H96" s="69"/>
      <c r="I96" s="69"/>
      <c r="J96" s="69"/>
      <c r="K96" s="69"/>
      <c r="L96" s="82" t="n">
        <v>29</v>
      </c>
      <c r="M96" s="68"/>
      <c r="N96" s="69" t="s">
        <v>82</v>
      </c>
      <c r="O96" s="68"/>
      <c r="P96" s="68"/>
      <c r="Q96" s="68"/>
      <c r="R96" s="68"/>
      <c r="S96" s="68"/>
      <c r="T96" s="68"/>
      <c r="U96" s="68"/>
      <c r="V96" s="68"/>
      <c r="W96" s="89"/>
    </row>
    <row r="97" customFormat="false" ht="12" hidden="false" customHeight="true" outlineLevel="0" collapsed="false">
      <c r="A97" s="113"/>
      <c r="B97" s="68"/>
      <c r="C97" s="69" t="s">
        <v>83</v>
      </c>
      <c r="D97" s="69"/>
      <c r="E97" s="69"/>
      <c r="F97" s="69"/>
      <c r="G97" s="69"/>
      <c r="H97" s="69"/>
      <c r="I97" s="69"/>
      <c r="J97" s="69"/>
      <c r="K97" s="69"/>
      <c r="L97" s="69"/>
      <c r="M97" s="68"/>
      <c r="N97" s="97" t="s">
        <v>84</v>
      </c>
      <c r="O97" s="68"/>
      <c r="P97" s="68"/>
      <c r="Q97" s="68"/>
      <c r="R97" s="68"/>
      <c r="S97" s="68"/>
      <c r="T97" s="68"/>
      <c r="U97" s="68"/>
      <c r="V97" s="68"/>
      <c r="W97" s="89"/>
    </row>
    <row r="98" customFormat="false" ht="6" hidden="false" customHeight="true" outlineLevel="0" collapsed="false">
      <c r="A98" s="113"/>
      <c r="B98" s="68"/>
      <c r="C98" s="69"/>
      <c r="D98" s="69"/>
      <c r="E98" s="69"/>
      <c r="F98" s="69"/>
      <c r="G98" s="69"/>
      <c r="H98" s="69"/>
      <c r="I98" s="69"/>
      <c r="J98" s="69"/>
      <c r="K98" s="69"/>
      <c r="L98" s="69"/>
      <c r="M98" s="68"/>
      <c r="N98" s="68"/>
      <c r="O98" s="68"/>
      <c r="P98" s="68"/>
      <c r="Q98" s="68"/>
      <c r="R98" s="68"/>
      <c r="S98" s="68"/>
      <c r="T98" s="68"/>
      <c r="U98" s="68"/>
      <c r="V98" s="68"/>
      <c r="W98" s="89"/>
    </row>
    <row r="99" customFormat="false" ht="15" hidden="false" customHeight="false" outlineLevel="0" collapsed="false">
      <c r="A99" s="86"/>
      <c r="B99" s="68"/>
      <c r="C99" s="103" t="s">
        <v>28</v>
      </c>
      <c r="D99" s="104" t="n">
        <f aca="false">IF((D71+O85+D94-O71-D80-D85-O80)&gt;0,D71+O85+D94-O71-D80-D85-O80,0)</f>
        <v>29640</v>
      </c>
      <c r="E99" s="104"/>
      <c r="F99" s="104"/>
      <c r="G99" s="105" t="s">
        <v>29</v>
      </c>
      <c r="H99" s="106" t="n">
        <v>0</v>
      </c>
      <c r="I99" s="106" t="n">
        <v>0</v>
      </c>
      <c r="J99" s="68"/>
      <c r="K99" s="68"/>
      <c r="L99" s="69"/>
      <c r="M99" s="68"/>
      <c r="N99" s="103" t="s">
        <v>28</v>
      </c>
      <c r="O99" s="104" t="n">
        <f aca="false">'Profit &amp; Loss Acc'!B24</f>
        <v>0</v>
      </c>
      <c r="P99" s="104"/>
      <c r="Q99" s="104"/>
      <c r="R99" s="105" t="s">
        <v>29</v>
      </c>
      <c r="S99" s="106" t="n">
        <v>0</v>
      </c>
      <c r="T99" s="106" t="n">
        <v>0</v>
      </c>
      <c r="U99" s="68"/>
      <c r="V99" s="68"/>
      <c r="W99" s="89"/>
      <c r="Y99" s="116"/>
      <c r="Z99" s="116"/>
    </row>
    <row r="100" customFormat="false" ht="12" hidden="false" customHeight="true" outlineLevel="0" collapsed="false">
      <c r="A100" s="99"/>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1"/>
    </row>
    <row r="101" customFormat="false" ht="24.75" hidden="false" customHeight="true" outlineLevel="0" collapsed="false">
      <c r="A101" s="117" t="s">
        <v>85</v>
      </c>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row>
    <row r="102" customFormat="false" ht="7.5" hidden="false" customHeight="true" outlineLevel="0" collapsed="false">
      <c r="A102" s="79"/>
      <c r="B102" s="80"/>
      <c r="C102" s="80"/>
      <c r="D102" s="80"/>
      <c r="E102" s="80"/>
      <c r="F102" s="80"/>
      <c r="G102" s="80"/>
      <c r="H102" s="80"/>
      <c r="I102" s="80"/>
      <c r="J102" s="80"/>
      <c r="K102" s="80"/>
      <c r="L102" s="80"/>
      <c r="M102" s="80"/>
      <c r="N102" s="80"/>
      <c r="O102" s="80"/>
      <c r="P102" s="80"/>
      <c r="Q102" s="80"/>
      <c r="R102" s="80"/>
      <c r="S102" s="80"/>
      <c r="T102" s="80"/>
      <c r="U102" s="80"/>
      <c r="V102" s="80"/>
      <c r="W102" s="81"/>
    </row>
    <row r="103" customFormat="false" ht="12" hidden="false" customHeight="false" outlineLevel="0" collapsed="false">
      <c r="A103" s="82" t="n">
        <v>30</v>
      </c>
      <c r="B103" s="68"/>
      <c r="C103" s="69" t="s">
        <v>86</v>
      </c>
      <c r="D103" s="69"/>
      <c r="E103" s="69"/>
      <c r="F103" s="69"/>
      <c r="G103" s="69"/>
      <c r="H103" s="69"/>
      <c r="I103" s="69"/>
      <c r="J103" s="69"/>
      <c r="K103" s="69"/>
      <c r="L103" s="82" t="n">
        <v>31</v>
      </c>
      <c r="M103" s="68"/>
      <c r="N103" s="69" t="s">
        <v>87</v>
      </c>
      <c r="O103" s="68"/>
      <c r="P103" s="68"/>
      <c r="Q103" s="68"/>
      <c r="R103" s="68"/>
      <c r="S103" s="68"/>
      <c r="T103" s="68"/>
      <c r="U103" s="68"/>
      <c r="V103" s="68"/>
      <c r="W103" s="89"/>
    </row>
    <row r="104" customFormat="false" ht="12" hidden="false" customHeight="true" outlineLevel="0" collapsed="false">
      <c r="A104" s="86"/>
      <c r="B104" s="68"/>
      <c r="C104" s="87" t="s">
        <v>88</v>
      </c>
      <c r="D104" s="119"/>
      <c r="E104" s="119"/>
      <c r="F104" s="119"/>
      <c r="G104" s="105"/>
      <c r="H104" s="108"/>
      <c r="I104" s="108"/>
      <c r="J104" s="68"/>
      <c r="K104" s="68"/>
      <c r="L104" s="69"/>
      <c r="M104" s="68"/>
      <c r="N104" s="69" t="s">
        <v>89</v>
      </c>
      <c r="O104" s="68"/>
      <c r="P104" s="68"/>
      <c r="Q104" s="68"/>
      <c r="R104" s="68"/>
      <c r="S104" s="68"/>
      <c r="T104" s="68"/>
      <c r="U104" s="68"/>
      <c r="V104" s="68"/>
      <c r="W104" s="89"/>
    </row>
    <row r="105" customFormat="false" ht="6" hidden="false" customHeight="true" outlineLevel="0" collapsed="false">
      <c r="A105" s="113"/>
      <c r="B105" s="68"/>
      <c r="C105" s="69"/>
      <c r="D105" s="69"/>
      <c r="E105" s="69"/>
      <c r="F105" s="69"/>
      <c r="G105" s="69"/>
      <c r="H105" s="69"/>
      <c r="I105" s="69"/>
      <c r="J105" s="69"/>
      <c r="K105" s="69"/>
      <c r="L105" s="69"/>
      <c r="M105" s="68"/>
      <c r="N105" s="68"/>
      <c r="O105" s="68"/>
      <c r="P105" s="68"/>
      <c r="Q105" s="68"/>
      <c r="R105" s="68"/>
      <c r="S105" s="68"/>
      <c r="T105" s="68"/>
      <c r="U105" s="68"/>
      <c r="V105" s="68"/>
      <c r="W105" s="89"/>
    </row>
    <row r="106" customFormat="false" ht="15" hidden="false" customHeight="false" outlineLevel="0" collapsed="false">
      <c r="A106" s="113"/>
      <c r="B106" s="68"/>
      <c r="C106" s="103" t="s">
        <v>28</v>
      </c>
      <c r="D106" s="104" t="n">
        <f aca="false">IF((D99+O99-O94)&gt;0,D99+O99-O94,0)</f>
        <v>29640</v>
      </c>
      <c r="E106" s="104"/>
      <c r="F106" s="104"/>
      <c r="G106" s="105" t="s">
        <v>29</v>
      </c>
      <c r="H106" s="106" t="n">
        <v>0</v>
      </c>
      <c r="I106" s="106" t="n">
        <v>0</v>
      </c>
      <c r="J106" s="69"/>
      <c r="K106" s="69"/>
      <c r="L106" s="69"/>
      <c r="M106" s="68"/>
      <c r="N106" s="103" t="s">
        <v>28</v>
      </c>
      <c r="O106" s="104" t="n">
        <f aca="false">IF((O71+D80+D85+O80-D71-O85-D94)&gt;=0,O71+D80+D85+O80-D71-O85-D94,0)</f>
        <v>0</v>
      </c>
      <c r="P106" s="104"/>
      <c r="Q106" s="104"/>
      <c r="R106" s="105" t="s">
        <v>29</v>
      </c>
      <c r="S106" s="106" t="n">
        <v>0</v>
      </c>
      <c r="T106" s="106" t="n">
        <v>0</v>
      </c>
      <c r="U106" s="68"/>
      <c r="V106" s="68"/>
      <c r="W106" s="89"/>
    </row>
    <row r="107" customFormat="false" ht="6" hidden="false" customHeight="true" outlineLevel="0" collapsed="false">
      <c r="A107" s="99"/>
      <c r="B107" s="100"/>
      <c r="C107" s="100"/>
      <c r="D107" s="100"/>
      <c r="E107" s="100"/>
      <c r="F107" s="100"/>
      <c r="G107" s="100"/>
      <c r="H107" s="100"/>
      <c r="I107" s="100"/>
      <c r="J107" s="100"/>
      <c r="K107" s="100"/>
      <c r="L107" s="100"/>
      <c r="M107" s="100"/>
      <c r="N107" s="120"/>
      <c r="O107" s="100"/>
      <c r="P107" s="100"/>
      <c r="Q107" s="100"/>
      <c r="R107" s="100"/>
      <c r="S107" s="100"/>
      <c r="T107" s="100"/>
      <c r="U107" s="100"/>
      <c r="V107" s="100"/>
      <c r="W107" s="101"/>
    </row>
    <row r="108" customFormat="false" ht="24.75" hidden="false" customHeight="true" outlineLevel="0" collapsed="false">
      <c r="A108" s="109" t="s">
        <v>90</v>
      </c>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row>
    <row r="109" customFormat="false" ht="15.75" hidden="false" customHeight="true" outlineLevel="0" collapsed="false">
      <c r="A109" s="110" t="s">
        <v>91</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row>
    <row r="110" customFormat="false" ht="7.5" hidden="false" customHeight="true" outlineLevel="0" collapsed="false">
      <c r="A110" s="79"/>
      <c r="B110" s="80"/>
      <c r="C110" s="80"/>
      <c r="D110" s="80"/>
      <c r="E110" s="80"/>
      <c r="F110" s="80"/>
      <c r="G110" s="80"/>
      <c r="H110" s="80"/>
      <c r="I110" s="80"/>
      <c r="J110" s="80"/>
      <c r="K110" s="80"/>
      <c r="L110" s="80"/>
      <c r="M110" s="80"/>
      <c r="N110" s="80"/>
      <c r="O110" s="80"/>
      <c r="P110" s="80"/>
      <c r="Q110" s="80"/>
      <c r="R110" s="80"/>
      <c r="S110" s="80"/>
      <c r="T110" s="80"/>
      <c r="U110" s="80"/>
      <c r="V110" s="80"/>
      <c r="W110" s="81"/>
    </row>
    <row r="111" customFormat="false" ht="12" hidden="false" customHeight="false" outlineLevel="0" collapsed="false">
      <c r="A111" s="82" t="n">
        <v>32</v>
      </c>
      <c r="B111" s="68"/>
      <c r="C111" s="69" t="s">
        <v>92</v>
      </c>
      <c r="D111" s="69"/>
      <c r="E111" s="69"/>
      <c r="F111" s="69"/>
      <c r="G111" s="69"/>
      <c r="H111" s="69"/>
      <c r="I111" s="69"/>
      <c r="J111" s="69"/>
      <c r="K111" s="69"/>
      <c r="L111" s="82" t="n">
        <v>35</v>
      </c>
      <c r="M111" s="68"/>
      <c r="N111" s="69" t="s">
        <v>93</v>
      </c>
      <c r="O111" s="68"/>
      <c r="P111" s="68"/>
      <c r="Q111" s="68"/>
      <c r="R111" s="68"/>
      <c r="S111" s="68"/>
      <c r="T111" s="68"/>
      <c r="U111" s="68"/>
      <c r="V111" s="68"/>
      <c r="W111" s="89"/>
    </row>
    <row r="112" customFormat="false" ht="12" hidden="false" customHeight="false" outlineLevel="0" collapsed="false">
      <c r="A112" s="113"/>
      <c r="B112" s="68"/>
      <c r="C112" s="69" t="s">
        <v>94</v>
      </c>
      <c r="D112" s="121" t="str">
        <f aca="false">Admin!G$2</f>
        <v>2023-24</v>
      </c>
      <c r="E112" s="121"/>
      <c r="F112" s="121"/>
      <c r="G112" s="69"/>
      <c r="H112" s="69"/>
      <c r="I112" s="69"/>
      <c r="J112" s="69"/>
      <c r="K112" s="69"/>
      <c r="L112" s="69"/>
      <c r="M112" s="68"/>
      <c r="N112" s="69" t="s">
        <v>95</v>
      </c>
      <c r="O112" s="118"/>
      <c r="P112" s="118"/>
      <c r="Q112" s="118"/>
      <c r="R112" s="118"/>
      <c r="S112" s="118"/>
      <c r="T112" s="118"/>
      <c r="U112" s="118"/>
      <c r="V112" s="118"/>
      <c r="W112" s="89"/>
    </row>
    <row r="113" customFormat="false" ht="6" hidden="false" customHeight="true" outlineLevel="0" collapsed="false">
      <c r="A113" s="113"/>
      <c r="B113" s="68"/>
      <c r="C113" s="69"/>
      <c r="D113" s="69"/>
      <c r="E113" s="69"/>
      <c r="F113" s="69"/>
      <c r="G113" s="69"/>
      <c r="H113" s="69"/>
      <c r="I113" s="69"/>
      <c r="J113" s="69"/>
      <c r="K113" s="69"/>
      <c r="L113" s="69"/>
      <c r="M113" s="68"/>
      <c r="N113" s="68"/>
      <c r="O113" s="68"/>
      <c r="P113" s="68"/>
      <c r="Q113" s="68"/>
      <c r="R113" s="68"/>
      <c r="S113" s="68"/>
      <c r="T113" s="68"/>
      <c r="U113" s="68"/>
      <c r="V113" s="68"/>
      <c r="W113" s="89"/>
    </row>
    <row r="114" customFormat="false" ht="15" hidden="false" customHeight="false" outlineLevel="0" collapsed="false">
      <c r="A114" s="86"/>
      <c r="B114" s="68"/>
      <c r="C114" s="103" t="s">
        <v>28</v>
      </c>
      <c r="D114" s="104"/>
      <c r="E114" s="104"/>
      <c r="F114" s="104"/>
      <c r="G114" s="105" t="s">
        <v>29</v>
      </c>
      <c r="H114" s="106" t="n">
        <v>0</v>
      </c>
      <c r="I114" s="106" t="n">
        <v>0</v>
      </c>
      <c r="J114" s="68"/>
      <c r="K114" s="68"/>
      <c r="L114" s="68"/>
      <c r="M114" s="68"/>
      <c r="N114" s="82"/>
      <c r="O114" s="119"/>
      <c r="P114" s="119"/>
      <c r="Q114" s="119"/>
      <c r="R114" s="105"/>
      <c r="S114" s="108"/>
      <c r="T114" s="108"/>
      <c r="U114" s="68"/>
      <c r="V114" s="68"/>
      <c r="W114" s="89"/>
    </row>
    <row r="115" customFormat="false" ht="12" hidden="false" customHeight="false" outlineLevel="0" collapsed="false">
      <c r="A115" s="86"/>
      <c r="B115" s="68"/>
      <c r="C115" s="68"/>
      <c r="D115" s="68"/>
      <c r="E115" s="68"/>
      <c r="F115" s="68"/>
      <c r="G115" s="68"/>
      <c r="H115" s="68"/>
      <c r="I115" s="68"/>
      <c r="J115" s="68"/>
      <c r="K115" s="68"/>
      <c r="L115" s="68"/>
      <c r="M115" s="68"/>
      <c r="N115" s="68"/>
      <c r="O115" s="68"/>
      <c r="P115" s="68"/>
      <c r="Q115" s="68"/>
      <c r="R115" s="68"/>
      <c r="S115" s="68"/>
      <c r="T115" s="68"/>
      <c r="U115" s="68"/>
      <c r="V115" s="68"/>
      <c r="W115" s="89"/>
    </row>
    <row r="116" customFormat="false" ht="12" hidden="false" customHeight="false" outlineLevel="0" collapsed="false">
      <c r="A116" s="82" t="n">
        <v>33</v>
      </c>
      <c r="B116" s="68"/>
      <c r="C116" s="69" t="s">
        <v>96</v>
      </c>
      <c r="D116" s="69"/>
      <c r="E116" s="69"/>
      <c r="F116" s="69"/>
      <c r="G116" s="69"/>
      <c r="H116" s="69"/>
      <c r="I116" s="69"/>
      <c r="J116" s="69"/>
      <c r="K116" s="69"/>
      <c r="L116" s="82" t="n">
        <v>36</v>
      </c>
      <c r="M116" s="68"/>
      <c r="N116" s="69" t="s">
        <v>97</v>
      </c>
      <c r="O116" s="68"/>
      <c r="P116" s="68"/>
      <c r="Q116" s="68"/>
      <c r="R116" s="121" t="str">
        <f aca="false">Admin!G$2</f>
        <v>2023-24</v>
      </c>
      <c r="S116" s="121"/>
      <c r="T116" s="121"/>
      <c r="U116" s="69" t="s">
        <v>98</v>
      </c>
      <c r="V116" s="68"/>
      <c r="W116" s="89"/>
    </row>
    <row r="117" customFormat="false" ht="12" hidden="false" customHeight="true" outlineLevel="0" collapsed="false">
      <c r="A117" s="113"/>
      <c r="B117" s="68"/>
      <c r="C117" s="69" t="s">
        <v>99</v>
      </c>
      <c r="D117" s="69"/>
      <c r="E117" s="69"/>
      <c r="F117" s="69"/>
      <c r="G117" s="69"/>
      <c r="H117" s="69"/>
      <c r="I117" s="69"/>
      <c r="J117" s="69"/>
      <c r="K117" s="69"/>
      <c r="L117" s="69"/>
      <c r="M117" s="68"/>
      <c r="N117" s="69" t="s">
        <v>100</v>
      </c>
      <c r="O117" s="68"/>
      <c r="P117" s="68"/>
      <c r="Q117" s="68"/>
      <c r="R117" s="68"/>
      <c r="S117" s="68"/>
      <c r="T117" s="68"/>
      <c r="U117" s="68"/>
      <c r="V117" s="68"/>
      <c r="W117" s="89"/>
    </row>
    <row r="118" customFormat="false" ht="12" hidden="false" customHeight="true" outlineLevel="0" collapsed="false">
      <c r="A118" s="113"/>
      <c r="B118" s="68"/>
      <c r="C118" s="69"/>
      <c r="D118" s="69"/>
      <c r="E118" s="69"/>
      <c r="F118" s="69"/>
      <c r="G118" s="69"/>
      <c r="H118" s="69"/>
      <c r="I118" s="69"/>
      <c r="J118" s="69"/>
      <c r="K118" s="69"/>
      <c r="L118" s="69"/>
      <c r="M118" s="68"/>
      <c r="N118" s="98" t="s">
        <v>101</v>
      </c>
      <c r="O118" s="68"/>
      <c r="P118" s="68"/>
      <c r="Q118" s="68"/>
      <c r="R118" s="68"/>
      <c r="S118" s="68"/>
      <c r="T118" s="68"/>
      <c r="U118" s="68"/>
      <c r="V118" s="68"/>
      <c r="W118" s="89"/>
    </row>
    <row r="119" customFormat="false" ht="15" hidden="false" customHeight="false" outlineLevel="0" collapsed="false">
      <c r="A119" s="86"/>
      <c r="B119" s="68"/>
      <c r="C119" s="103" t="s">
        <v>28</v>
      </c>
      <c r="D119" s="104"/>
      <c r="E119" s="104"/>
      <c r="F119" s="104"/>
      <c r="G119" s="105" t="s">
        <v>29</v>
      </c>
      <c r="H119" s="106" t="n">
        <v>0</v>
      </c>
      <c r="I119" s="106" t="n">
        <v>0</v>
      </c>
      <c r="J119" s="68"/>
      <c r="K119" s="68"/>
      <c r="L119" s="69"/>
      <c r="M119" s="68"/>
      <c r="N119" s="82"/>
      <c r="O119" s="68"/>
      <c r="P119" s="68"/>
      <c r="Q119" s="68"/>
      <c r="R119" s="68"/>
      <c r="S119" s="68"/>
      <c r="T119" s="68"/>
      <c r="U119" s="68"/>
      <c r="V119" s="68"/>
      <c r="W119" s="89"/>
    </row>
    <row r="120" customFormat="false" ht="12" hidden="false" customHeight="false" outlineLevel="0" collapsed="false">
      <c r="A120" s="82" t="n">
        <v>34</v>
      </c>
      <c r="B120" s="68"/>
      <c r="C120" s="69" t="s">
        <v>102</v>
      </c>
      <c r="D120" s="69"/>
      <c r="E120" s="69"/>
      <c r="F120" s="69"/>
      <c r="G120" s="69"/>
      <c r="H120" s="69"/>
      <c r="I120" s="69"/>
      <c r="J120" s="69"/>
      <c r="K120" s="69"/>
      <c r="L120" s="82" t="n">
        <v>37</v>
      </c>
      <c r="M120" s="68"/>
      <c r="N120" s="69" t="s">
        <v>103</v>
      </c>
      <c r="O120" s="68"/>
      <c r="P120" s="68"/>
      <c r="Q120" s="68"/>
      <c r="R120" s="68"/>
      <c r="S120" s="68"/>
      <c r="T120" s="68"/>
      <c r="U120" s="68"/>
      <c r="V120" s="68"/>
      <c r="W120" s="89"/>
    </row>
    <row r="121" customFormat="false" ht="12" hidden="false" customHeight="true" outlineLevel="0" collapsed="false">
      <c r="A121" s="113"/>
      <c r="B121" s="68"/>
      <c r="C121" s="97" t="s">
        <v>104</v>
      </c>
      <c r="D121" s="69"/>
      <c r="E121" s="69"/>
      <c r="F121" s="69"/>
      <c r="G121" s="69"/>
      <c r="H121" s="69"/>
      <c r="I121" s="69"/>
      <c r="J121" s="69"/>
      <c r="K121" s="69"/>
      <c r="L121" s="69"/>
      <c r="M121" s="68"/>
      <c r="N121" s="69" t="s">
        <v>105</v>
      </c>
      <c r="O121" s="68"/>
      <c r="P121" s="68"/>
      <c r="Q121" s="68"/>
      <c r="R121" s="68"/>
      <c r="S121" s="68"/>
      <c r="T121" s="68"/>
      <c r="U121" s="68"/>
      <c r="V121" s="68"/>
      <c r="W121" s="89"/>
    </row>
    <row r="122" customFormat="false" ht="6" hidden="false" customHeight="true" outlineLevel="0" collapsed="false">
      <c r="A122" s="113"/>
      <c r="B122" s="68"/>
      <c r="C122" s="69"/>
      <c r="D122" s="69"/>
      <c r="E122" s="69"/>
      <c r="F122" s="69"/>
      <c r="G122" s="69"/>
      <c r="H122" s="69"/>
      <c r="I122" s="69"/>
      <c r="J122" s="69"/>
      <c r="K122" s="69"/>
      <c r="L122" s="69"/>
      <c r="M122" s="68"/>
      <c r="N122" s="68"/>
      <c r="O122" s="68"/>
      <c r="P122" s="68"/>
      <c r="Q122" s="68"/>
      <c r="R122" s="68"/>
      <c r="S122" s="68"/>
      <c r="T122" s="68"/>
      <c r="U122" s="68"/>
      <c r="V122" s="68"/>
      <c r="W122" s="89"/>
    </row>
    <row r="123" customFormat="false" ht="15" hidden="false" customHeight="false" outlineLevel="0" collapsed="false">
      <c r="A123" s="86"/>
      <c r="B123" s="68"/>
      <c r="C123" s="103" t="s">
        <v>28</v>
      </c>
      <c r="D123" s="104" t="n">
        <f aca="false">'Business Details'!O34</f>
        <v>0</v>
      </c>
      <c r="E123" s="104"/>
      <c r="F123" s="104"/>
      <c r="G123" s="105" t="s">
        <v>29</v>
      </c>
      <c r="H123" s="106" t="n">
        <v>0</v>
      </c>
      <c r="I123" s="106" t="n">
        <v>0</v>
      </c>
      <c r="J123" s="68"/>
      <c r="K123" s="68"/>
      <c r="L123" s="69"/>
      <c r="M123" s="68"/>
      <c r="N123" s="103" t="s">
        <v>28</v>
      </c>
      <c r="O123" s="104" t="n">
        <v>0</v>
      </c>
      <c r="P123" s="104"/>
      <c r="Q123" s="104"/>
      <c r="R123" s="105" t="s">
        <v>29</v>
      </c>
      <c r="S123" s="106" t="n">
        <v>0</v>
      </c>
      <c r="T123" s="106" t="n">
        <v>0</v>
      </c>
      <c r="U123" s="68"/>
      <c r="V123" s="68"/>
      <c r="W123" s="89"/>
    </row>
    <row r="124" customFormat="false" ht="12" hidden="false" customHeight="true" outlineLevel="0" collapsed="false">
      <c r="A124" s="99"/>
      <c r="B124" s="100"/>
      <c r="C124" s="100"/>
      <c r="D124" s="100"/>
      <c r="E124" s="100"/>
      <c r="F124" s="100"/>
      <c r="G124" s="100"/>
      <c r="H124" s="100"/>
      <c r="I124" s="100"/>
      <c r="J124" s="100"/>
      <c r="K124" s="100"/>
      <c r="L124" s="120"/>
      <c r="M124" s="100"/>
      <c r="N124" s="122"/>
      <c r="O124" s="123"/>
      <c r="P124" s="123"/>
      <c r="Q124" s="123"/>
      <c r="R124" s="124"/>
      <c r="S124" s="125"/>
      <c r="T124" s="125"/>
      <c r="U124" s="100"/>
      <c r="V124" s="100"/>
      <c r="W124" s="101"/>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4.5"/>
    <col collapsed="false" customWidth="true" hidden="false" outlineLevel="0" max="2" min="2" style="127" width="8.66"/>
    <col collapsed="false" customWidth="true" hidden="false" outlineLevel="0" max="3" min="3" style="127" width="10.82"/>
    <col collapsed="false" customWidth="true" hidden="false" outlineLevel="0" max="8" min="4" style="127" width="8.33"/>
    <col collapsed="false" customWidth="true" hidden="false" outlineLevel="0" max="9" min="9" style="127" width="11.32"/>
    <col collapsed="false" customWidth="true" hidden="false" outlineLevel="0" max="10" min="10" style="127" width="8.66"/>
    <col collapsed="false" customWidth="true" hidden="false" outlineLevel="0" max="14" min="11" style="127" width="8.33"/>
    <col collapsed="false" customWidth="true" hidden="false" outlineLevel="0" max="15" min="15" style="126" width="1.66"/>
    <col collapsed="false" customWidth="false" hidden="false" outlineLevel="0" max="16" min="16" style="126" width="9.15"/>
    <col collapsed="false" customWidth="false" hidden="false" outlineLevel="0" max="17" min="17" style="128" width="9.15"/>
    <col collapsed="false" customWidth="false" hidden="false" outlineLevel="0" max="27" min="27" style="128" width="9.15"/>
    <col collapsed="false" customWidth="false" hidden="false" outlineLevel="0" max="257" min="28" style="126" width="9.15"/>
  </cols>
  <sheetData>
    <row r="1" customFormat="false" ht="42" hidden="false" customHeight="true" outlineLevel="0" collapsed="false">
      <c r="A1" s="129" t="s">
        <v>106</v>
      </c>
      <c r="B1" s="130" t="n">
        <f aca="false">ROUND(PurchasesMar!$A$2,0)</f>
        <v>0</v>
      </c>
      <c r="C1" s="131" t="str">
        <f aca="false">IF(B1&gt;J1,"MILEAGE ALLOWANCE"," ")</f>
        <v> </v>
      </c>
      <c r="D1" s="132" t="str">
        <f aca="false">IF(J1&gt;=B1,"CABSMART                                                                          MOST TAX EFFICIENT OPTION IS  &gt; &gt; &gt; &gt;","CABSMART                                                                            &lt; &lt; &lt; &lt;  MOST TAX EFFICIENT OPTION IS")</f>
        <v>CABSMART                                                                          MOST TAX EFFICIENT OPTION IS  &gt; &gt; &gt; &gt;</v>
      </c>
      <c r="E1" s="132"/>
      <c r="F1" s="132"/>
      <c r="G1" s="132"/>
      <c r="H1" s="132"/>
      <c r="I1" s="133" t="str">
        <f aca="false">IF(J1&gt;=B1,"VEHICLE EXPENSES"," ")</f>
        <v>VEHICLE EXPENSES</v>
      </c>
      <c r="J1" s="134" t="n">
        <f aca="false">ROUND(PurchasesMar!$I$2+'Fixed Assets'!I1-'Fixed Assets'!I15-'Fixed Assets'!I44+'Fixed Assets'!J1-'Fixed Assets'!J15-'Fixed Assets'!J44+'Fixed Assets'!P1-'Fixed Assets'!P15-'Fixed Assets'!P44-'Fixed Assets'!Q1+'Fixed Assets'!Q15+'Fixed Assets'!Q44,0)</f>
        <v>4980</v>
      </c>
      <c r="K1" s="129" t="s">
        <v>107</v>
      </c>
      <c r="L1" s="129"/>
      <c r="M1" s="129"/>
      <c r="N1" s="129"/>
      <c r="O1" s="135"/>
      <c r="Q1" s="136"/>
      <c r="AA1" s="136"/>
    </row>
    <row r="2" s="141" customFormat="true" ht="12.75" hidden="false" customHeight="true" outlineLevel="0" collapsed="false">
      <c r="A2" s="137" t="s">
        <v>108</v>
      </c>
      <c r="B2" s="138" t="s">
        <v>109</v>
      </c>
      <c r="C2" s="139" t="n">
        <f aca="false">Admin!B$5</f>
        <v>45046</v>
      </c>
      <c r="D2" s="139" t="n">
        <f aca="false">Admin!B$6</f>
        <v>45077</v>
      </c>
      <c r="E2" s="139" t="n">
        <f aca="false">Admin!B$7</f>
        <v>45107</v>
      </c>
      <c r="F2" s="139" t="n">
        <f aca="false">Admin!B$8</f>
        <v>45138</v>
      </c>
      <c r="G2" s="139" t="n">
        <f aca="false">Admin!B$9</f>
        <v>45169</v>
      </c>
      <c r="H2" s="139" t="n">
        <f aca="false">Admin!B$10</f>
        <v>45199</v>
      </c>
      <c r="I2" s="139" t="n">
        <f aca="false">Admin!B$11</f>
        <v>45230</v>
      </c>
      <c r="J2" s="139" t="n">
        <f aca="false">Admin!B$12</f>
        <v>45260</v>
      </c>
      <c r="K2" s="139" t="n">
        <f aca="false">Admin!B$13</f>
        <v>45291</v>
      </c>
      <c r="L2" s="139" t="n">
        <f aca="false">Admin!B$14</f>
        <v>45322</v>
      </c>
      <c r="M2" s="139" t="n">
        <f aca="false">Admin!B$15</f>
        <v>45351</v>
      </c>
      <c r="N2" s="139" t="n">
        <f aca="false">Admin!B$16</f>
        <v>45382</v>
      </c>
      <c r="O2" s="140"/>
      <c r="Q2" s="128"/>
      <c r="AA2" s="128"/>
    </row>
    <row r="3" s="55" customFormat="true" ht="12.75" hidden="false" customHeight="false" outlineLevel="0" collapsed="false">
      <c r="A3" s="137"/>
      <c r="B3" s="142" t="str">
        <f aca="false">Admin!G$2</f>
        <v>2023-24</v>
      </c>
      <c r="C3" s="139"/>
      <c r="D3" s="139"/>
      <c r="E3" s="139"/>
      <c r="F3" s="139"/>
      <c r="G3" s="139"/>
      <c r="H3" s="139"/>
      <c r="I3" s="139"/>
      <c r="J3" s="139"/>
      <c r="K3" s="139"/>
      <c r="L3" s="139"/>
      <c r="M3" s="139"/>
      <c r="N3" s="139"/>
      <c r="O3" s="68"/>
      <c r="Q3" s="143"/>
      <c r="AA3" s="143"/>
    </row>
    <row r="4" s="147" customFormat="true" ht="13.5" hidden="false" customHeight="true" outlineLevel="0" collapsed="false">
      <c r="A4" s="144" t="str">
        <f aca="false">IF(B4=" "," ","Purchase analysis errors")</f>
        <v> </v>
      </c>
      <c r="B4" s="145" t="str">
        <f aca="false">IF((SUM(C4:N4)&gt;1),ROUND(SUM(C4:N4),0)," ")</f>
        <v> </v>
      </c>
      <c r="C4" s="145" t="str">
        <f aca="false">IF((PurchasesApr!$D$1&lt;&gt;0),PurchasesApr!$D$1," ")</f>
        <v> </v>
      </c>
      <c r="D4" s="145" t="str">
        <f aca="false">IF((PurchasesMay!$D$1&lt;&gt;0),PurchasesMay!$D$1," ")</f>
        <v> </v>
      </c>
      <c r="E4" s="145" t="str">
        <f aca="false">IF((PurchasesJun!$D$1&lt;&gt;0),PurchasesJun!$D$1," ")</f>
        <v> </v>
      </c>
      <c r="F4" s="145" t="str">
        <f aca="false">IF((PurchasesJul!$D$1&lt;&gt;0),PurchasesJul!$D$1," ")</f>
        <v> </v>
      </c>
      <c r="G4" s="145" t="str">
        <f aca="false">IF((PurchasesAug!$D$1&lt;&gt;0),PurchasesAug!$D$1," ")</f>
        <v> </v>
      </c>
      <c r="H4" s="145" t="str">
        <f aca="false">IF((PurchasesSep!$D$1&lt;&gt;0),PurchasesSep!$D$1," ")</f>
        <v> </v>
      </c>
      <c r="I4" s="145" t="str">
        <f aca="false">IF((PurchasesOct!$D$1&lt;&gt;0),PurchasesOct!$D$1," ")</f>
        <v> </v>
      </c>
      <c r="J4" s="145" t="str">
        <f aca="false">IF((PurchasesNov!$D$1&lt;&gt;0),PurchasesNov!$D$1," ")</f>
        <v> </v>
      </c>
      <c r="K4" s="145" t="str">
        <f aca="false">IF((PurchasesDec!$D$1&lt;&gt;0),PurchasesDec!$D$1," ")</f>
        <v> </v>
      </c>
      <c r="L4" s="145" t="str">
        <f aca="false">IF((PurchasesJan!$D$1&lt;&gt;0),PurchasesJan!$D$1," ")</f>
        <v> </v>
      </c>
      <c r="M4" s="145" t="str">
        <f aca="false">IF((PurchasesFeb!$D$1&lt;&gt;0),PurchasesFeb!$D$1," ")</f>
        <v> </v>
      </c>
      <c r="N4" s="145" t="str">
        <f aca="false">IF((PurchasesMar!$D$1&lt;&gt;0),PurchasesMar!$D$1," ")</f>
        <v> </v>
      </c>
      <c r="O4" s="146"/>
      <c r="Q4" s="128"/>
      <c r="AA4" s="128"/>
    </row>
    <row r="5" customFormat="false" ht="12.75" hidden="false" customHeight="false" outlineLevel="0" collapsed="false">
      <c r="A5" s="148" t="s">
        <v>110</v>
      </c>
      <c r="B5" s="149" t="n">
        <f aca="false">ROUNDDOWN(SUM(C5:N5),0)</f>
        <v>36000</v>
      </c>
      <c r="C5" s="150" t="n">
        <f aca="false">SalesApr!$E$1</f>
        <v>3000</v>
      </c>
      <c r="D5" s="150" t="n">
        <f aca="false">SalesMay!$E$1</f>
        <v>3000</v>
      </c>
      <c r="E5" s="150" t="n">
        <f aca="false">SalesJun!$E$1</f>
        <v>3000</v>
      </c>
      <c r="F5" s="151" t="n">
        <f aca="false">SalesJul!$E$1</f>
        <v>3000</v>
      </c>
      <c r="G5" s="150" t="n">
        <f aca="false">SalesAug!$E$1</f>
        <v>3000</v>
      </c>
      <c r="H5" s="150" t="n">
        <f aca="false">SalesSep!$E$1</f>
        <v>3000</v>
      </c>
      <c r="I5" s="151" t="n">
        <f aca="false">SalesOct!$E$1</f>
        <v>3000</v>
      </c>
      <c r="J5" s="150" t="n">
        <f aca="false">SalesNov!$E$1</f>
        <v>3000</v>
      </c>
      <c r="K5" s="150" t="n">
        <f aca="false">SalesDec!$E$1</f>
        <v>3000</v>
      </c>
      <c r="L5" s="151" t="n">
        <f aca="false">SalesJan!$E$1</f>
        <v>3000</v>
      </c>
      <c r="M5" s="150" t="n">
        <f aca="false">SalesFeb!$E$1</f>
        <v>3000</v>
      </c>
      <c r="N5" s="150" t="n">
        <f aca="false">SalesMar!$E$1</f>
        <v>3000</v>
      </c>
      <c r="O5" s="135"/>
    </row>
    <row r="6" customFormat="false" ht="12.75" hidden="false" customHeight="false" outlineLevel="0" collapsed="false">
      <c r="A6" s="144" t="s">
        <v>111</v>
      </c>
      <c r="B6" s="127" t="n">
        <f aca="false">ROUNDUP(SUM(C6:N6),0)</f>
        <v>3600</v>
      </c>
      <c r="C6" s="152" t="n">
        <f aca="false">IF((C1="mileage allowance"),0,(PurchasesApr!$G$1))</f>
        <v>300</v>
      </c>
      <c r="D6" s="127" t="n">
        <f aca="false">IF((C1="mileage allowance"),0,(PurchasesMay!$G$1))</f>
        <v>300</v>
      </c>
      <c r="E6" s="153" t="n">
        <f aca="false">IF((C1="mileage allowance"),0,(PurchasesJun!$G$1))</f>
        <v>300</v>
      </c>
      <c r="F6" s="127" t="n">
        <f aca="false">IF((C1="mileage allowance"),0,(PurchasesJul!$G$1))</f>
        <v>300</v>
      </c>
      <c r="G6" s="127" t="n">
        <f aca="false">IF((C1="mileage allowance"),0,(PurchasesAug!$G$1))</f>
        <v>300</v>
      </c>
      <c r="H6" s="153" t="n">
        <f aca="false">IF((C1="mileage allowance"),0,(PurchasesSep!$G$1))</f>
        <v>300</v>
      </c>
      <c r="I6" s="127" t="n">
        <f aca="false">IF((C1="mileage allowance"),0,(PurchasesOct!$G$1))</f>
        <v>300</v>
      </c>
      <c r="J6" s="127" t="n">
        <f aca="false">IF((C1="mileage allowance"),0,(PurchasesNov!$G$1))</f>
        <v>300</v>
      </c>
      <c r="K6" s="153" t="n">
        <f aca="false">IF((C1="mileage allowance"),0,(PurchasesDec!$G$1))</f>
        <v>300</v>
      </c>
      <c r="L6" s="127" t="n">
        <f aca="false">IF((C1="mileage allowance"),0,(PurchasesJan!$G$1))</f>
        <v>300</v>
      </c>
      <c r="M6" s="127" t="n">
        <f aca="false">IF((C1="mileage allowance"),0,(PurchasesFeb!$G$1))</f>
        <v>300</v>
      </c>
      <c r="N6" s="153" t="n">
        <f aca="false">IF((C1="mileage allowance"),0,(PurchasesMar!$G$1))</f>
        <v>300</v>
      </c>
      <c r="O6" s="135"/>
    </row>
    <row r="7" customFormat="false" ht="12.75" hidden="false" customHeight="false" outlineLevel="0" collapsed="false">
      <c r="A7" s="144" t="s">
        <v>112</v>
      </c>
      <c r="B7" s="127" t="n">
        <f aca="false">ROUNDUP(SUM(C7:N7),0)</f>
        <v>0</v>
      </c>
      <c r="C7" s="152" t="n">
        <f aca="false">IF((C1="mileage allowance"),0,(PurchasesApr!$H$1))</f>
        <v>0</v>
      </c>
      <c r="D7" s="127" t="n">
        <f aca="false">IF((C1="mileage allowance"),0,(PurchasesMay!$H$1))</f>
        <v>0</v>
      </c>
      <c r="E7" s="153" t="n">
        <f aca="false">IF((C1="mileage allowance"),0,(PurchasesJun!$H$1))</f>
        <v>0</v>
      </c>
      <c r="F7" s="127" t="n">
        <f aca="false">IF((C1="mileage allowance"),0,(PurchasesJul!$H$1))</f>
        <v>0</v>
      </c>
      <c r="G7" s="127" t="n">
        <f aca="false">IF((C1="mileage allowance"),0,(PurchasesAug!$H$1))</f>
        <v>0</v>
      </c>
      <c r="H7" s="153" t="n">
        <f aca="false">IF((C1="mileage allowance"),0,(PurchasesSep!$H$1))</f>
        <v>0</v>
      </c>
      <c r="I7" s="127" t="n">
        <f aca="false">IF((C1="mileage allowance"),0,(PurchasesOct!$H$1))</f>
        <v>0</v>
      </c>
      <c r="J7" s="127" t="n">
        <f aca="false">IF((C1="mileage allowance"),0,(PurchasesNov!$H$1))</f>
        <v>0</v>
      </c>
      <c r="K7" s="153" t="n">
        <f aca="false">IF((C1="mileage allowance"),0,(PurchasesDec!$H$1))</f>
        <v>0</v>
      </c>
      <c r="L7" s="127" t="n">
        <f aca="false">IF((C1="mileage allowance"),0,(PurchasesJan!$H$1))</f>
        <v>0</v>
      </c>
      <c r="M7" s="127" t="n">
        <f aca="false">IF((C1="mileage allowance"),0,(PurchasesFeb!$H$1))</f>
        <v>0</v>
      </c>
      <c r="N7" s="153" t="n">
        <f aca="false">IF((C1="mileage allowance"),0,(PurchasesMar!$H$1))</f>
        <v>0</v>
      </c>
      <c r="O7" s="135"/>
      <c r="Q7" s="154"/>
      <c r="AA7" s="154"/>
    </row>
    <row r="8" customFormat="false" ht="12.75" hidden="false" customHeight="false" outlineLevel="0" collapsed="false">
      <c r="A8" s="144" t="s">
        <v>113</v>
      </c>
      <c r="B8" s="127" t="n">
        <f aca="false">ROUNDUP(SUM(C8:N8),0)</f>
        <v>0</v>
      </c>
      <c r="C8" s="152" t="n">
        <f aca="false">IF((C1="mileage allowance"),0,(PurchasesApr!$I$1))</f>
        <v>0</v>
      </c>
      <c r="D8" s="127" t="n">
        <f aca="false">IF((C1="mileage allowance"),0,(PurchasesMay!$I$1))</f>
        <v>0</v>
      </c>
      <c r="E8" s="153" t="n">
        <f aca="false">IF((C1="mileage allowance"),0,(PurchasesJun!$I$1))</f>
        <v>0</v>
      </c>
      <c r="F8" s="127" t="n">
        <f aca="false">IF((C1="mileage allowance"),0,(PurchasesJul!$I$1))</f>
        <v>0</v>
      </c>
      <c r="G8" s="127" t="n">
        <f aca="false">IF((C1="mileage allowance"),0,(PurchasesAug!$I$1))</f>
        <v>0</v>
      </c>
      <c r="H8" s="153" t="n">
        <f aca="false">IF((C1="mileage allowance"),0,(PurchasesSep!$I$1))</f>
        <v>0</v>
      </c>
      <c r="I8" s="127" t="n">
        <f aca="false">IF((C1="mileage allowance"),0,(PurchasesOct!$I$1))</f>
        <v>0</v>
      </c>
      <c r="J8" s="127" t="n">
        <f aca="false">IF((C1="mileage allowance"),0,(PurchasesNov!$I$1))</f>
        <v>0</v>
      </c>
      <c r="K8" s="153" t="n">
        <f aca="false">IF((C1="mileage allowance"),0,(PurchasesDec!$I$1))</f>
        <v>0</v>
      </c>
      <c r="L8" s="127" t="n">
        <f aca="false">IF((C1="mileage allowance"),0,(PurchasesJan!$I$1))</f>
        <v>0</v>
      </c>
      <c r="M8" s="127" t="n">
        <f aca="false">IF((C1="mileage allowance"),0,(PurchasesFeb!$I$1))</f>
        <v>0</v>
      </c>
      <c r="N8" s="153" t="n">
        <f aca="false">IF((C1="mileage allowance"),0,(PurchasesMar!$I$1))</f>
        <v>0</v>
      </c>
      <c r="O8" s="135"/>
    </row>
    <row r="9" customFormat="false" ht="12.75" hidden="false" customHeight="false" outlineLevel="0" collapsed="false">
      <c r="A9" s="144" t="s">
        <v>114</v>
      </c>
      <c r="B9" s="127" t="n">
        <f aca="false">ROUNDUP(SUM(C9:N9),0)</f>
        <v>1380</v>
      </c>
      <c r="C9" s="152" t="n">
        <f aca="false">IF((C1="mileage allowance"),0,(PurchasesApr!$J$1))</f>
        <v>1380</v>
      </c>
      <c r="D9" s="127" t="n">
        <f aca="false">IF((C1="mileage allowance"),0,(PurchasesMay!$J$1))</f>
        <v>0</v>
      </c>
      <c r="E9" s="153" t="n">
        <f aca="false">IF((C1="mileage allowance"),0,(PurchasesJun!$J$1))</f>
        <v>0</v>
      </c>
      <c r="F9" s="127" t="n">
        <f aca="false">IF((C1="mileage allowance"),0,(PurchasesJul!$J$1))</f>
        <v>0</v>
      </c>
      <c r="G9" s="127" t="n">
        <f aca="false">IF((C1="mileage allowance"),0,(PurchasesAug!$J$1))</f>
        <v>0</v>
      </c>
      <c r="H9" s="153" t="n">
        <f aca="false">IF((C1="mileage allowance"),0,(PurchasesSep!$J$1))</f>
        <v>0</v>
      </c>
      <c r="I9" s="127" t="n">
        <f aca="false">IF((C1="mileage allowance"),0,(PurchasesOct!$J$1))</f>
        <v>0</v>
      </c>
      <c r="J9" s="127" t="n">
        <f aca="false">IF((C1="mileage allowance"),0,(PurchasesNov!$J$1))</f>
        <v>0</v>
      </c>
      <c r="K9" s="153" t="n">
        <f aca="false">IF((C1="mileage allowance"),0,(PurchasesDec!$J$1))</f>
        <v>0</v>
      </c>
      <c r="L9" s="127" t="n">
        <f aca="false">IF((C1="mileage allowance"),0,(PurchasesJan!$J$1))</f>
        <v>0</v>
      </c>
      <c r="M9" s="127" t="n">
        <f aca="false">IF((C1="mileage allowance"),0,(PurchasesFeb!$J$1))</f>
        <v>0</v>
      </c>
      <c r="N9" s="153" t="n">
        <f aca="false">IF((C1="mileage allowance"),0,(PurchasesMar!$J$1))</f>
        <v>0</v>
      </c>
      <c r="O9" s="135"/>
    </row>
    <row r="10" customFormat="false" ht="12.75" hidden="false" customHeight="false" outlineLevel="0" collapsed="false">
      <c r="A10" s="155" t="s">
        <v>115</v>
      </c>
      <c r="B10" s="127" t="n">
        <f aca="false">IF((C1="mileage allowance"),0,('Fixed Assets'!I1+'Fixed Assets'!J1+'Fixed Assets'!P1-'Fixed Assets'!Q1))</f>
        <v>0</v>
      </c>
      <c r="C10" s="152" t="n">
        <f aca="false">B10/12</f>
        <v>0</v>
      </c>
      <c r="D10" s="127" t="n">
        <f aca="false">B10/12</f>
        <v>0</v>
      </c>
      <c r="E10" s="153" t="n">
        <f aca="false">B10/12</f>
        <v>0</v>
      </c>
      <c r="F10" s="127" t="n">
        <f aca="false">B10/12</f>
        <v>0</v>
      </c>
      <c r="G10" s="127" t="n">
        <f aca="false">B10/12</f>
        <v>0</v>
      </c>
      <c r="H10" s="153" t="n">
        <f aca="false">B10/12</f>
        <v>0</v>
      </c>
      <c r="I10" s="127" t="n">
        <f aca="false">B10/12</f>
        <v>0</v>
      </c>
      <c r="J10" s="127" t="n">
        <f aca="false">B10/12</f>
        <v>0</v>
      </c>
      <c r="K10" s="153" t="n">
        <f aca="false">B10/12</f>
        <v>0</v>
      </c>
      <c r="L10" s="127" t="n">
        <f aca="false">B10/12</f>
        <v>0</v>
      </c>
      <c r="M10" s="127" t="n">
        <f aca="false">B10/12</f>
        <v>0</v>
      </c>
      <c r="N10" s="153" t="n">
        <f aca="false">B10/12</f>
        <v>0</v>
      </c>
      <c r="O10" s="135"/>
    </row>
    <row r="11" customFormat="false" ht="12.75" hidden="false" customHeight="false" outlineLevel="0" collapsed="false">
      <c r="A11" s="144" t="s">
        <v>116</v>
      </c>
      <c r="B11" s="156" t="n">
        <f aca="false">ROUNDUP(SUM(C11:N11),0)</f>
        <v>0</v>
      </c>
      <c r="C11" s="157" t="n">
        <f aca="false">IF((C1="mileage allowance"),(PurchasesApr!$U$1),0)</f>
        <v>0</v>
      </c>
      <c r="D11" s="156" t="n">
        <f aca="false">IF((C1="mileage allowance"),(PurchasesMay!$U$1),0)</f>
        <v>0</v>
      </c>
      <c r="E11" s="158" t="n">
        <f aca="false">IF((C1="mileage allowance"),(PurchasesJun!$U$1),0)</f>
        <v>0</v>
      </c>
      <c r="F11" s="156" t="n">
        <f aca="false">IF((C1="mileage allowance"),(PurchasesJul!$U$1),0)</f>
        <v>0</v>
      </c>
      <c r="G11" s="156" t="n">
        <f aca="false">IF((C1="mileage allowance"),(PurchasesAug!$U$1),0)</f>
        <v>0</v>
      </c>
      <c r="H11" s="158" t="n">
        <f aca="false">IF((C1="mileage allowance"),(PurchasesSep!$U$1),0)</f>
        <v>0</v>
      </c>
      <c r="I11" s="156" t="n">
        <f aca="false">IF((C1="mileage allowance"),(PurchasesOct!$U$1),0)</f>
        <v>0</v>
      </c>
      <c r="J11" s="156" t="n">
        <f aca="false">IF((C1="mileage allowance"),(PurchasesNov!$U$1),0)</f>
        <v>0</v>
      </c>
      <c r="K11" s="158" t="n">
        <f aca="false">IF((C1="mileage allowance"),(PurchasesDec!$U$1),0)</f>
        <v>0</v>
      </c>
      <c r="L11" s="156" t="n">
        <f aca="false">IF((C1="mileage allowance"),(PurchasesJan!$U$1),0)</f>
        <v>0</v>
      </c>
      <c r="M11" s="156" t="n">
        <f aca="false">IF((C1="mileage allowance"),(PurchasesFeb!$U$1),0)</f>
        <v>0</v>
      </c>
      <c r="N11" s="158" t="n">
        <f aca="false">IF((C1="mileage allowance"),(PurchasesMar!$U$1),0)</f>
        <v>0</v>
      </c>
      <c r="O11" s="135"/>
    </row>
    <row r="12" customFormat="false" ht="12.75" hidden="false" customHeight="false" outlineLevel="0" collapsed="false">
      <c r="A12" s="159" t="s">
        <v>117</v>
      </c>
      <c r="B12" s="149" t="n">
        <f aca="false">ROUNDUP(SUM(B6:B11),0)</f>
        <v>4980</v>
      </c>
      <c r="C12" s="150" t="n">
        <f aca="false">SUM(C6:C11)</f>
        <v>1680</v>
      </c>
      <c r="D12" s="150" t="n">
        <f aca="false">SUM(D6:D11)</f>
        <v>300</v>
      </c>
      <c r="E12" s="150" t="n">
        <f aca="false">SUM(E6:E11)</f>
        <v>300</v>
      </c>
      <c r="F12" s="151" t="n">
        <f aca="false">SUM(F6:F11)</f>
        <v>300</v>
      </c>
      <c r="G12" s="150" t="n">
        <f aca="false">SUM(G6:G11)</f>
        <v>300</v>
      </c>
      <c r="H12" s="150" t="n">
        <f aca="false">SUM(H6:H11)</f>
        <v>300</v>
      </c>
      <c r="I12" s="151" t="n">
        <f aca="false">SUM(I6:I11)</f>
        <v>300</v>
      </c>
      <c r="J12" s="150" t="n">
        <f aca="false">SUM(J6:J11)</f>
        <v>300</v>
      </c>
      <c r="K12" s="150" t="n">
        <f aca="false">SUM(K6:K11)</f>
        <v>300</v>
      </c>
      <c r="L12" s="151" t="n">
        <f aca="false">SUM(L6:L11)</f>
        <v>300</v>
      </c>
      <c r="M12" s="150" t="n">
        <f aca="false">SUM(M6:M11)</f>
        <v>300</v>
      </c>
      <c r="N12" s="150" t="n">
        <f aca="false">SUM(N6:N11)</f>
        <v>300</v>
      </c>
      <c r="O12" s="135"/>
    </row>
    <row r="13" customFormat="false" ht="12.75" hidden="false" customHeight="false" outlineLevel="0" collapsed="false">
      <c r="A13" s="159" t="s">
        <v>118</v>
      </c>
      <c r="B13" s="149" t="n">
        <f aca="false">ROUNDUP(B5-B12,0)</f>
        <v>31020</v>
      </c>
      <c r="C13" s="150" t="n">
        <f aca="false">C5-C12</f>
        <v>1320</v>
      </c>
      <c r="D13" s="150" t="n">
        <f aca="false">D5-D12</f>
        <v>2700</v>
      </c>
      <c r="E13" s="150" t="n">
        <f aca="false">E5-E12</f>
        <v>2700</v>
      </c>
      <c r="F13" s="151" t="n">
        <f aca="false">F5-F12</f>
        <v>2700</v>
      </c>
      <c r="G13" s="150" t="n">
        <f aca="false">G5-G12</f>
        <v>2700</v>
      </c>
      <c r="H13" s="150" t="n">
        <f aca="false">H5-H12</f>
        <v>2700</v>
      </c>
      <c r="I13" s="151" t="n">
        <f aca="false">I5-I12</f>
        <v>2700</v>
      </c>
      <c r="J13" s="150" t="n">
        <f aca="false">J5-J12</f>
        <v>2700</v>
      </c>
      <c r="K13" s="150" t="n">
        <f aca="false">K5-K12</f>
        <v>2700</v>
      </c>
      <c r="L13" s="151" t="n">
        <f aca="false">L5-L12</f>
        <v>2700</v>
      </c>
      <c r="M13" s="150" t="n">
        <f aca="false">M5-M12</f>
        <v>2700</v>
      </c>
      <c r="N13" s="150" t="n">
        <f aca="false">N5-N12</f>
        <v>2700</v>
      </c>
      <c r="O13" s="135"/>
    </row>
    <row r="14" customFormat="false" ht="12.75" hidden="false" customHeight="false" outlineLevel="0" collapsed="false">
      <c r="A14" s="144" t="s">
        <v>119</v>
      </c>
      <c r="B14" s="127" t="n">
        <f aca="false">ROUNDUP(SUM(C14:N14),0)</f>
        <v>0</v>
      </c>
      <c r="C14" s="152" t="n">
        <f aca="false">PurchasesApr!$K$1</f>
        <v>0</v>
      </c>
      <c r="D14" s="127" t="n">
        <f aca="false">PurchasesMay!$K$1</f>
        <v>0</v>
      </c>
      <c r="E14" s="153" t="n">
        <f aca="false">PurchasesJun!$K$1</f>
        <v>0</v>
      </c>
      <c r="F14" s="127" t="n">
        <f aca="false">PurchasesJul!$K$1</f>
        <v>0</v>
      </c>
      <c r="G14" s="127" t="n">
        <f aca="false">PurchasesAug!$K$1</f>
        <v>0</v>
      </c>
      <c r="H14" s="153" t="n">
        <f aca="false">PurchasesSep!$K$1</f>
        <v>0</v>
      </c>
      <c r="I14" s="127" t="n">
        <f aca="false">PurchasesOct!$K$1</f>
        <v>0</v>
      </c>
      <c r="J14" s="127" t="n">
        <f aca="false">PurchasesNov!$K$1</f>
        <v>0</v>
      </c>
      <c r="K14" s="153" t="n">
        <f aca="false">PurchasesDec!$K$1</f>
        <v>0</v>
      </c>
      <c r="L14" s="127" t="n">
        <f aca="false">PurchasesJan!$K$1</f>
        <v>0</v>
      </c>
      <c r="M14" s="127" t="n">
        <f aca="false">PurchasesFeb!$K$1</f>
        <v>0</v>
      </c>
      <c r="N14" s="153" t="n">
        <f aca="false">PurchasesMar!$K$1</f>
        <v>0</v>
      </c>
      <c r="O14" s="135"/>
    </row>
    <row r="15" customFormat="false" ht="12.75" hidden="false" customHeight="false" outlineLevel="0" collapsed="false">
      <c r="A15" s="144" t="s">
        <v>120</v>
      </c>
      <c r="B15" s="127" t="n">
        <f aca="false">ROUNDUP(SUM(C15:N15),0)</f>
        <v>0</v>
      </c>
      <c r="C15" s="152" t="n">
        <f aca="false">PurchasesApr!$L$1</f>
        <v>0</v>
      </c>
      <c r="D15" s="127" t="n">
        <f aca="false">PurchasesMay!$L$1</f>
        <v>0</v>
      </c>
      <c r="E15" s="153" t="n">
        <f aca="false">PurchasesJun!$L$1</f>
        <v>0</v>
      </c>
      <c r="F15" s="127" t="n">
        <f aca="false">PurchasesJul!$L$1</f>
        <v>0</v>
      </c>
      <c r="G15" s="127" t="n">
        <f aca="false">PurchasesAug!$L$1</f>
        <v>0</v>
      </c>
      <c r="H15" s="153" t="n">
        <f aca="false">PurchasesSep!$L$1</f>
        <v>0</v>
      </c>
      <c r="I15" s="127" t="n">
        <f aca="false">PurchasesOct!$L$1</f>
        <v>0</v>
      </c>
      <c r="J15" s="127" t="n">
        <f aca="false">PurchasesNov!$L$1</f>
        <v>0</v>
      </c>
      <c r="K15" s="153" t="n">
        <f aca="false">PurchasesDec!$L$1</f>
        <v>0</v>
      </c>
      <c r="L15" s="127" t="n">
        <f aca="false">PurchasesJan!$L$1</f>
        <v>0</v>
      </c>
      <c r="M15" s="127" t="n">
        <f aca="false">PurchasesFeb!$L$1</f>
        <v>0</v>
      </c>
      <c r="N15" s="153" t="n">
        <f aca="false">PurchasesMar!$L$1</f>
        <v>0</v>
      </c>
      <c r="O15" s="135"/>
    </row>
    <row r="16" customFormat="false" ht="12.75" hidden="false" customHeight="false" outlineLevel="0" collapsed="false">
      <c r="A16" s="144" t="s">
        <v>121</v>
      </c>
      <c r="B16" s="127" t="n">
        <f aca="false">ROUNDUP(SUM(C16:N16),0)</f>
        <v>480</v>
      </c>
      <c r="C16" s="152" t="n">
        <f aca="false">PurchasesApr!$M$1</f>
        <v>120</v>
      </c>
      <c r="D16" s="127" t="n">
        <f aca="false">PurchasesMay!$M$1</f>
        <v>0</v>
      </c>
      <c r="E16" s="153" t="n">
        <f aca="false">PurchasesJun!$M$1</f>
        <v>0</v>
      </c>
      <c r="F16" s="127" t="n">
        <f aca="false">PurchasesJul!$M$1</f>
        <v>120</v>
      </c>
      <c r="G16" s="127" t="n">
        <f aca="false">PurchasesAug!$M$1</f>
        <v>0</v>
      </c>
      <c r="H16" s="153" t="n">
        <f aca="false">PurchasesSep!$M$1</f>
        <v>0</v>
      </c>
      <c r="I16" s="127" t="n">
        <f aca="false">PurchasesOct!$M$1</f>
        <v>120</v>
      </c>
      <c r="J16" s="127" t="n">
        <f aca="false">PurchasesNov!$M$1</f>
        <v>0</v>
      </c>
      <c r="K16" s="153" t="n">
        <f aca="false">PurchasesDec!$M$1</f>
        <v>0</v>
      </c>
      <c r="L16" s="127" t="n">
        <f aca="false">PurchasesJan!$M$1</f>
        <v>120</v>
      </c>
      <c r="M16" s="127" t="n">
        <f aca="false">PurchasesFeb!$M$1</f>
        <v>0</v>
      </c>
      <c r="N16" s="153" t="n">
        <f aca="false">PurchasesMar!$M$1</f>
        <v>0</v>
      </c>
      <c r="O16" s="135"/>
    </row>
    <row r="17" customFormat="false" ht="12.75" hidden="false" customHeight="false" outlineLevel="0" collapsed="false">
      <c r="A17" s="144" t="s">
        <v>122</v>
      </c>
      <c r="B17" s="127" t="n">
        <f aca="false">ROUNDUP(SUM(C17:N17),0)</f>
        <v>0</v>
      </c>
      <c r="C17" s="152" t="n">
        <f aca="false">PurchasesApr!$N$1</f>
        <v>0</v>
      </c>
      <c r="D17" s="127" t="n">
        <f aca="false">PurchasesMay!$N$1</f>
        <v>0</v>
      </c>
      <c r="E17" s="153" t="n">
        <f aca="false">PurchasesJun!$N$1</f>
        <v>0</v>
      </c>
      <c r="F17" s="127" t="n">
        <f aca="false">PurchasesJul!$N$1</f>
        <v>0</v>
      </c>
      <c r="G17" s="127" t="n">
        <f aca="false">PurchasesAug!$N$1</f>
        <v>0</v>
      </c>
      <c r="H17" s="153" t="n">
        <f aca="false">PurchasesSep!$N$1</f>
        <v>0</v>
      </c>
      <c r="I17" s="127" t="n">
        <f aca="false">PurchasesOct!$N$1</f>
        <v>0</v>
      </c>
      <c r="J17" s="127" t="n">
        <f aca="false">PurchasesNov!$N$1</f>
        <v>0</v>
      </c>
      <c r="K17" s="153" t="n">
        <f aca="false">PurchasesDec!$N$1</f>
        <v>0</v>
      </c>
      <c r="L17" s="127" t="n">
        <f aca="false">PurchasesJan!$N$1</f>
        <v>0</v>
      </c>
      <c r="M17" s="127" t="n">
        <f aca="false">PurchasesFeb!$N$1</f>
        <v>0</v>
      </c>
      <c r="N17" s="153" t="n">
        <f aca="false">PurchasesMar!$N$1</f>
        <v>0</v>
      </c>
      <c r="O17" s="135"/>
    </row>
    <row r="18" customFormat="false" ht="12.75" hidden="false" customHeight="false" outlineLevel="0" collapsed="false">
      <c r="A18" s="144" t="s">
        <v>123</v>
      </c>
      <c r="B18" s="127" t="n">
        <f aca="false">ROUNDUP(SUM(C18:N18),0)</f>
        <v>900</v>
      </c>
      <c r="C18" s="152" t="n">
        <f aca="false">PurchasesApr!$O$1</f>
        <v>400</v>
      </c>
      <c r="D18" s="127" t="n">
        <f aca="false">PurchasesMay!$O$1</f>
        <v>0</v>
      </c>
      <c r="E18" s="153" t="n">
        <f aca="false">PurchasesJun!$O$1</f>
        <v>0</v>
      </c>
      <c r="F18" s="127" t="n">
        <f aca="false">PurchasesJul!$O$1</f>
        <v>0</v>
      </c>
      <c r="G18" s="127" t="n">
        <f aca="false">PurchasesAug!$O$1</f>
        <v>0</v>
      </c>
      <c r="H18" s="153" t="n">
        <f aca="false">PurchasesSep!$O$1</f>
        <v>0</v>
      </c>
      <c r="I18" s="127" t="n">
        <f aca="false">PurchasesOct!$O$1</f>
        <v>0</v>
      </c>
      <c r="J18" s="127" t="n">
        <f aca="false">PurchasesNov!$O$1</f>
        <v>0</v>
      </c>
      <c r="K18" s="153" t="n">
        <f aca="false">PurchasesDec!$O$1</f>
        <v>0</v>
      </c>
      <c r="L18" s="127" t="n">
        <f aca="false">PurchasesJan!$O$1</f>
        <v>500</v>
      </c>
      <c r="M18" s="127" t="n">
        <f aca="false">PurchasesFeb!$O$1</f>
        <v>0</v>
      </c>
      <c r="N18" s="153" t="n">
        <f aca="false">PurchasesMar!$O$1</f>
        <v>0</v>
      </c>
      <c r="O18" s="135"/>
    </row>
    <row r="19" customFormat="false" ht="12.75" hidden="false" customHeight="false" outlineLevel="0" collapsed="false">
      <c r="A19" s="144" t="s">
        <v>124</v>
      </c>
      <c r="B19" s="127" t="n">
        <f aca="false">ROUNDUP(SUM(C19:N19),0)</f>
        <v>0</v>
      </c>
      <c r="C19" s="152" t="n">
        <f aca="false">PurchasesApr!$P$1</f>
        <v>0</v>
      </c>
      <c r="D19" s="127" t="n">
        <f aca="false">PurchasesMay!$P$1</f>
        <v>0</v>
      </c>
      <c r="E19" s="153" t="n">
        <f aca="false">PurchasesJun!$P$1</f>
        <v>0</v>
      </c>
      <c r="F19" s="127" t="n">
        <f aca="false">PurchasesJul!$P$1</f>
        <v>0</v>
      </c>
      <c r="G19" s="127" t="n">
        <f aca="false">PurchasesAug!$P$1</f>
        <v>0</v>
      </c>
      <c r="H19" s="153" t="n">
        <f aca="false">PurchasesSep!$P$1</f>
        <v>0</v>
      </c>
      <c r="I19" s="127" t="n">
        <f aca="false">PurchasesOct!$P$1</f>
        <v>0</v>
      </c>
      <c r="J19" s="127" t="n">
        <f aca="false">PurchasesNov!$P$1</f>
        <v>0</v>
      </c>
      <c r="K19" s="153" t="n">
        <f aca="false">PurchasesDec!$P$1</f>
        <v>0</v>
      </c>
      <c r="L19" s="127" t="n">
        <f aca="false">PurchasesJan!$P$1</f>
        <v>0</v>
      </c>
      <c r="M19" s="127" t="n">
        <f aca="false">PurchasesFeb!$P$1</f>
        <v>0</v>
      </c>
      <c r="N19" s="153" t="n">
        <f aca="false">PurchasesMar!$P$1</f>
        <v>0</v>
      </c>
      <c r="O19" s="135"/>
    </row>
    <row r="20" customFormat="false" ht="12.75" hidden="false" customHeight="false" outlineLevel="0" collapsed="false">
      <c r="A20" s="144" t="s">
        <v>125</v>
      </c>
      <c r="B20" s="127" t="n">
        <f aca="false">ROUNDUP(SUM(C20:N20),0)</f>
        <v>0</v>
      </c>
      <c r="C20" s="152" t="n">
        <f aca="false">PurchasesApr!$Q$1</f>
        <v>0</v>
      </c>
      <c r="D20" s="127" t="n">
        <f aca="false">PurchasesMay!$Q$1</f>
        <v>0</v>
      </c>
      <c r="E20" s="153" t="n">
        <f aca="false">PurchasesJun!$Q$1</f>
        <v>0</v>
      </c>
      <c r="F20" s="127" t="n">
        <f aca="false">PurchasesJul!$Q$1</f>
        <v>0</v>
      </c>
      <c r="G20" s="127" t="n">
        <f aca="false">PurchasesAug!$Q$1</f>
        <v>0</v>
      </c>
      <c r="H20" s="153" t="n">
        <f aca="false">PurchasesSep!$Q$1</f>
        <v>0</v>
      </c>
      <c r="I20" s="127" t="n">
        <f aca="false">PurchasesOct!$Q$1</f>
        <v>0</v>
      </c>
      <c r="J20" s="127" t="n">
        <f aca="false">PurchasesNov!$Q$1</f>
        <v>0</v>
      </c>
      <c r="K20" s="153" t="n">
        <f aca="false">PurchasesDec!$Q$1</f>
        <v>0</v>
      </c>
      <c r="L20" s="127" t="n">
        <f aca="false">PurchasesJan!$Q$1</f>
        <v>0</v>
      </c>
      <c r="M20" s="127" t="n">
        <f aca="false">PurchasesFeb!$Q$1</f>
        <v>0</v>
      </c>
      <c r="N20" s="153" t="n">
        <f aca="false">PurchasesMar!$Q$1</f>
        <v>0</v>
      </c>
      <c r="O20" s="135"/>
    </row>
    <row r="21" customFormat="false" ht="12.75" hidden="false" customHeight="false" outlineLevel="0" collapsed="false">
      <c r="A21" s="144" t="s">
        <v>126</v>
      </c>
      <c r="B21" s="127" t="n">
        <f aca="false">ROUNDUP(SUM(C21:N21),0)</f>
        <v>0</v>
      </c>
      <c r="C21" s="152" t="n">
        <f aca="false">PurchasesApr!$R$1</f>
        <v>0</v>
      </c>
      <c r="D21" s="127" t="n">
        <f aca="false">PurchasesMay!$R$1</f>
        <v>0</v>
      </c>
      <c r="E21" s="153" t="n">
        <f aca="false">PurchasesJun!$R$1</f>
        <v>0</v>
      </c>
      <c r="F21" s="127" t="n">
        <f aca="false">PurchasesJul!$R$1</f>
        <v>0</v>
      </c>
      <c r="G21" s="127" t="n">
        <f aca="false">PurchasesAug!$R$1</f>
        <v>0</v>
      </c>
      <c r="H21" s="153" t="n">
        <f aca="false">PurchasesSep!$R$1</f>
        <v>0</v>
      </c>
      <c r="I21" s="127" t="n">
        <f aca="false">PurchasesOct!$R$1</f>
        <v>0</v>
      </c>
      <c r="J21" s="127" t="n">
        <f aca="false">PurchasesNov!$R$1</f>
        <v>0</v>
      </c>
      <c r="K21" s="153" t="n">
        <f aca="false">PurchasesDec!$R$1</f>
        <v>0</v>
      </c>
      <c r="L21" s="127" t="n">
        <f aca="false">PurchasesJan!$R$1</f>
        <v>0</v>
      </c>
      <c r="M21" s="127" t="n">
        <f aca="false">PurchasesFeb!$R$1</f>
        <v>0</v>
      </c>
      <c r="N21" s="153" t="n">
        <f aca="false">PurchasesMar!$R$1</f>
        <v>0</v>
      </c>
      <c r="O21" s="135"/>
    </row>
    <row r="22" customFormat="false" ht="12.75" hidden="false" customHeight="false" outlineLevel="0" collapsed="false">
      <c r="A22" s="159" t="s">
        <v>127</v>
      </c>
      <c r="B22" s="149" t="n">
        <f aca="false">ROUNDUP(SUM(B14:B21),0)</f>
        <v>1380</v>
      </c>
      <c r="C22" s="150" t="n">
        <f aca="false">SUM(C14:C21)</f>
        <v>520</v>
      </c>
      <c r="D22" s="150" t="n">
        <f aca="false">SUM(D14:D21)</f>
        <v>0</v>
      </c>
      <c r="E22" s="150" t="n">
        <f aca="false">SUM(E14:E21)</f>
        <v>0</v>
      </c>
      <c r="F22" s="151" t="n">
        <f aca="false">SUM(F14:F21)</f>
        <v>120</v>
      </c>
      <c r="G22" s="150" t="n">
        <f aca="false">SUM(G14:G21)</f>
        <v>0</v>
      </c>
      <c r="H22" s="150" t="n">
        <f aca="false">SUM(H14:H21)</f>
        <v>0</v>
      </c>
      <c r="I22" s="151" t="n">
        <f aca="false">SUM(I14:I21)</f>
        <v>120</v>
      </c>
      <c r="J22" s="150" t="n">
        <f aca="false">SUM(J14:J21)</f>
        <v>0</v>
      </c>
      <c r="K22" s="150" t="n">
        <f aca="false">SUM(K14:K21)</f>
        <v>0</v>
      </c>
      <c r="L22" s="151" t="n">
        <f aca="false">SUM(L14:L21)</f>
        <v>620</v>
      </c>
      <c r="M22" s="150" t="n">
        <f aca="false">SUM(M14:M21)</f>
        <v>0</v>
      </c>
      <c r="N22" s="150" t="n">
        <f aca="false">SUM(N14:N21)</f>
        <v>0</v>
      </c>
      <c r="O22" s="135"/>
    </row>
    <row r="23" customFormat="false" ht="12.75" hidden="false" customHeight="false" outlineLevel="0" collapsed="false">
      <c r="A23" s="159" t="s">
        <v>128</v>
      </c>
      <c r="B23" s="149" t="n">
        <f aca="false">ROUNDDOWN((B13-B22),0)</f>
        <v>29640</v>
      </c>
      <c r="C23" s="150" t="n">
        <f aca="false">C13-C22</f>
        <v>800</v>
      </c>
      <c r="D23" s="150" t="n">
        <f aca="false">D13-D22</f>
        <v>2700</v>
      </c>
      <c r="E23" s="150" t="n">
        <f aca="false">E13-E22</f>
        <v>2700</v>
      </c>
      <c r="F23" s="151" t="n">
        <f aca="false">F13-F22</f>
        <v>2580</v>
      </c>
      <c r="G23" s="150" t="n">
        <f aca="false">G13-G22</f>
        <v>2700</v>
      </c>
      <c r="H23" s="150" t="n">
        <f aca="false">H13-H22</f>
        <v>2700</v>
      </c>
      <c r="I23" s="151" t="n">
        <f aca="false">I13-I22</f>
        <v>2580</v>
      </c>
      <c r="J23" s="150" t="n">
        <f aca="false">J13-J22</f>
        <v>2700</v>
      </c>
      <c r="K23" s="150" t="n">
        <f aca="false">K13-K22</f>
        <v>2700</v>
      </c>
      <c r="L23" s="151" t="n">
        <f aca="false">L13-L22</f>
        <v>2080</v>
      </c>
      <c r="M23" s="150" t="n">
        <f aca="false">M13-M22</f>
        <v>2700</v>
      </c>
      <c r="N23" s="150" t="n">
        <f aca="false">N13-N22</f>
        <v>2700</v>
      </c>
      <c r="O23" s="135"/>
    </row>
    <row r="24" customFormat="false" ht="12.75" hidden="false" customHeight="false" outlineLevel="0" collapsed="false">
      <c r="A24" s="160" t="s">
        <v>129</v>
      </c>
      <c r="B24" s="157" t="n">
        <f aca="false">ROUNDDOWN(SUM(C24:N24),0)</f>
        <v>0</v>
      </c>
      <c r="C24" s="161" t="n">
        <f aca="false">SalesApr!$F$1</f>
        <v>0</v>
      </c>
      <c r="D24" s="161" t="n">
        <f aca="false">SalesMay!$F$1</f>
        <v>0</v>
      </c>
      <c r="E24" s="161" t="n">
        <f aca="false">SalesJun!$F$1</f>
        <v>0</v>
      </c>
      <c r="F24" s="158" t="n">
        <f aca="false">SalesJul!$F$1</f>
        <v>0</v>
      </c>
      <c r="G24" s="161" t="n">
        <f aca="false">SalesAug!$F$1</f>
        <v>0</v>
      </c>
      <c r="H24" s="161" t="n">
        <f aca="false">SalesSep!$F$1</f>
        <v>0</v>
      </c>
      <c r="I24" s="158" t="n">
        <f aca="false">SalesOct!$F$1</f>
        <v>0</v>
      </c>
      <c r="J24" s="161" t="n">
        <f aca="false">SalesNov!$F$1</f>
        <v>0</v>
      </c>
      <c r="K24" s="161" t="n">
        <f aca="false">SalesDec!$F$1</f>
        <v>0</v>
      </c>
      <c r="L24" s="158" t="n">
        <f aca="false">SalesJan!$F$1</f>
        <v>0</v>
      </c>
      <c r="M24" s="161" t="n">
        <f aca="false">SalesFeb!$F$1</f>
        <v>0</v>
      </c>
      <c r="N24" s="161" t="n">
        <f aca="false">SalesMar!$F$1</f>
        <v>0</v>
      </c>
      <c r="O24" s="135"/>
    </row>
    <row r="25" s="165" customFormat="true" ht="12.75" hidden="false" customHeight="true" outlineLevel="0" collapsed="false">
      <c r="A25" s="162"/>
      <c r="B25" s="163"/>
      <c r="C25" s="163"/>
      <c r="D25" s="163"/>
      <c r="E25" s="163"/>
      <c r="F25" s="163"/>
      <c r="G25" s="163"/>
      <c r="H25" s="163"/>
      <c r="I25" s="163"/>
      <c r="J25" s="163"/>
      <c r="K25" s="163"/>
      <c r="L25" s="163"/>
      <c r="M25" s="163"/>
      <c r="N25" s="163"/>
      <c r="O25" s="164"/>
      <c r="Q25" s="128"/>
      <c r="AA25" s="128"/>
    </row>
    <row r="26" s="165" customFormat="true" ht="12.75" hidden="false" customHeight="false" outlineLevel="0" collapsed="false">
      <c r="A26" s="166" t="s">
        <v>130</v>
      </c>
      <c r="B26" s="167"/>
      <c r="C26" s="168"/>
      <c r="D26" s="168"/>
      <c r="E26" s="168"/>
      <c r="F26" s="168"/>
      <c r="G26" s="168"/>
      <c r="H26" s="168"/>
      <c r="I26" s="168"/>
      <c r="J26" s="168"/>
      <c r="K26" s="168"/>
      <c r="L26" s="168"/>
      <c r="M26" s="168"/>
      <c r="N26" s="168"/>
      <c r="O26" s="169"/>
      <c r="Q26" s="128"/>
      <c r="AA26" s="128"/>
    </row>
    <row r="27" s="165" customFormat="true" ht="12.75" hidden="false" customHeight="false" outlineLevel="0" collapsed="false">
      <c r="A27" s="170" t="s">
        <v>131</v>
      </c>
      <c r="B27" s="171" t="n">
        <f aca="false">SUM(C27:N27)</f>
        <v>29640</v>
      </c>
      <c r="C27" s="172" t="n">
        <f aca="false">'Wages Forecast'!D30</f>
        <v>800</v>
      </c>
      <c r="D27" s="172" t="n">
        <f aca="false">'Wages Forecast'!E30</f>
        <v>2700</v>
      </c>
      <c r="E27" s="172" t="n">
        <f aca="false">'Wages Forecast'!F30</f>
        <v>2700</v>
      </c>
      <c r="F27" s="172" t="n">
        <f aca="false">'Wages Forecast'!G30</f>
        <v>2580</v>
      </c>
      <c r="G27" s="172" t="n">
        <f aca="false">'Wages Forecast'!H30</f>
        <v>2700</v>
      </c>
      <c r="H27" s="172" t="n">
        <f aca="false">'Wages Forecast'!I30</f>
        <v>2700</v>
      </c>
      <c r="I27" s="172" t="n">
        <f aca="false">'Wages Forecast'!J30</f>
        <v>2580</v>
      </c>
      <c r="J27" s="172" t="n">
        <f aca="false">'Wages Forecast'!K30</f>
        <v>2700</v>
      </c>
      <c r="K27" s="172" t="n">
        <f aca="false">'Wages Forecast'!L30</f>
        <v>2700</v>
      </c>
      <c r="L27" s="172" t="n">
        <f aca="false">'Wages Forecast'!M30</f>
        <v>2080</v>
      </c>
      <c r="M27" s="172" t="n">
        <f aca="false">'Wages Forecast'!N30</f>
        <v>2700</v>
      </c>
      <c r="N27" s="172" t="n">
        <f aca="false">'Wages Forecast'!O30</f>
        <v>2700</v>
      </c>
      <c r="O27" s="173"/>
      <c r="Q27" s="128"/>
      <c r="AA27" s="128"/>
    </row>
    <row r="28" s="165" customFormat="true" ht="12.75" hidden="false" customHeight="false" outlineLevel="0" collapsed="false">
      <c r="A28" s="174" t="s">
        <v>132</v>
      </c>
      <c r="B28" s="175" t="n">
        <f aca="false">SUM(C28:N28)</f>
        <v>0</v>
      </c>
      <c r="C28" s="176"/>
      <c r="D28" s="176"/>
      <c r="E28" s="176"/>
      <c r="F28" s="176"/>
      <c r="G28" s="176"/>
      <c r="H28" s="176"/>
      <c r="I28" s="176"/>
      <c r="J28" s="176"/>
      <c r="K28" s="176"/>
      <c r="L28" s="176"/>
      <c r="M28" s="176"/>
      <c r="N28" s="176"/>
      <c r="O28" s="173"/>
      <c r="Q28" s="128"/>
      <c r="AA28" s="128"/>
    </row>
    <row r="29" s="165" customFormat="true" ht="12.75" hidden="false" customHeight="false" outlineLevel="0" collapsed="false">
      <c r="A29" s="174" t="s">
        <v>133</v>
      </c>
      <c r="B29" s="175" t="n">
        <f aca="false">SUM(C29:N29)</f>
        <v>0</v>
      </c>
      <c r="C29" s="176"/>
      <c r="D29" s="176"/>
      <c r="E29" s="176"/>
      <c r="F29" s="176"/>
      <c r="G29" s="176"/>
      <c r="H29" s="176"/>
      <c r="I29" s="176"/>
      <c r="J29" s="176"/>
      <c r="K29" s="176"/>
      <c r="L29" s="176"/>
      <c r="M29" s="176"/>
      <c r="N29" s="176"/>
      <c r="O29" s="173"/>
      <c r="Q29" s="128"/>
      <c r="AA29" s="128"/>
    </row>
    <row r="30" s="165" customFormat="true" ht="12.75" hidden="false" customHeight="false" outlineLevel="0" collapsed="false">
      <c r="A30" s="174" t="s">
        <v>134</v>
      </c>
      <c r="B30" s="175" t="n">
        <f aca="false">SUM(C30:N30)</f>
        <v>0</v>
      </c>
      <c r="C30" s="176"/>
      <c r="D30" s="176"/>
      <c r="E30" s="176"/>
      <c r="F30" s="176"/>
      <c r="G30" s="176"/>
      <c r="H30" s="176"/>
      <c r="I30" s="176"/>
      <c r="J30" s="176"/>
      <c r="K30" s="176"/>
      <c r="L30" s="176"/>
      <c r="M30" s="176"/>
      <c r="N30" s="176"/>
      <c r="O30" s="173"/>
      <c r="Q30" s="128"/>
      <c r="AA30" s="128"/>
    </row>
    <row r="31" s="165" customFormat="true" ht="12.75" hidden="false" customHeight="false" outlineLevel="0" collapsed="false">
      <c r="A31" s="174" t="s">
        <v>135</v>
      </c>
      <c r="B31" s="175" t="n">
        <f aca="false">SUM(C31:N31)</f>
        <v>0</v>
      </c>
      <c r="C31" s="176"/>
      <c r="D31" s="176"/>
      <c r="E31" s="176"/>
      <c r="F31" s="176"/>
      <c r="G31" s="176"/>
      <c r="H31" s="176"/>
      <c r="I31" s="176"/>
      <c r="J31" s="176"/>
      <c r="K31" s="176"/>
      <c r="L31" s="176"/>
      <c r="M31" s="176"/>
      <c r="N31" s="176"/>
      <c r="O31" s="173"/>
      <c r="Q31" s="128"/>
      <c r="AA31" s="128"/>
    </row>
    <row r="32" s="165" customFormat="true" ht="12.75" hidden="false" customHeight="false" outlineLevel="0" collapsed="false">
      <c r="A32" s="174" t="s">
        <v>136</v>
      </c>
      <c r="B32" s="175" t="n">
        <f aca="false">SUM(C32:N32)</f>
        <v>4950.3</v>
      </c>
      <c r="C32" s="172" t="n">
        <f aca="false">'Wages Forecast'!C$41/12</f>
        <v>412.525</v>
      </c>
      <c r="D32" s="172" t="n">
        <f aca="false">'Wages Forecast'!C$41/12</f>
        <v>412.525</v>
      </c>
      <c r="E32" s="172" t="n">
        <f aca="false">'Wages Forecast'!C$41/12</f>
        <v>412.525</v>
      </c>
      <c r="F32" s="172" t="n">
        <f aca="false">'Wages Forecast'!C$41/12</f>
        <v>412.525</v>
      </c>
      <c r="G32" s="172" t="n">
        <f aca="false">'Wages Forecast'!C$41/12</f>
        <v>412.525</v>
      </c>
      <c r="H32" s="172" t="n">
        <f aca="false">'Wages Forecast'!C$41/12</f>
        <v>412.525</v>
      </c>
      <c r="I32" s="172" t="n">
        <f aca="false">'Wages Forecast'!C$41/12</f>
        <v>412.525</v>
      </c>
      <c r="J32" s="172" t="n">
        <f aca="false">'Wages Forecast'!C$41/12</f>
        <v>412.525</v>
      </c>
      <c r="K32" s="172" t="n">
        <f aca="false">'Wages Forecast'!C$41/12</f>
        <v>412.525</v>
      </c>
      <c r="L32" s="172" t="n">
        <f aca="false">'Wages Forecast'!C$41/12</f>
        <v>412.525</v>
      </c>
      <c r="M32" s="172" t="n">
        <f aca="false">'Wages Forecast'!C$41/12</f>
        <v>412.525</v>
      </c>
      <c r="N32" s="172" t="n">
        <f aca="false">'Wages Forecast'!C$41/12</f>
        <v>412.525</v>
      </c>
      <c r="O32" s="173"/>
      <c r="Q32" s="128"/>
      <c r="AA32" s="128"/>
    </row>
    <row r="33" s="165" customFormat="true" ht="12.75" hidden="false" customHeight="false" outlineLevel="0" collapsed="false">
      <c r="A33" s="170" t="s">
        <v>137</v>
      </c>
      <c r="B33" s="171" t="n">
        <f aca="false">SUM(C33:N33)</f>
        <v>24689.7</v>
      </c>
      <c r="C33" s="177" t="n">
        <f aca="false">C27-SUM(C28:C31)-C32</f>
        <v>387.475</v>
      </c>
      <c r="D33" s="177" t="n">
        <f aca="false">D27-SUM(D28:D31)-D32</f>
        <v>2287.475</v>
      </c>
      <c r="E33" s="177" t="n">
        <f aca="false">E27-SUM(E28:E31)-E32</f>
        <v>2287.475</v>
      </c>
      <c r="F33" s="177" t="n">
        <f aca="false">F27-SUM(F28:F31)-F32</f>
        <v>2167.475</v>
      </c>
      <c r="G33" s="177" t="n">
        <f aca="false">G27-SUM(G28:G31)-G32</f>
        <v>2287.475</v>
      </c>
      <c r="H33" s="177" t="n">
        <f aca="false">H27-SUM(H28:H31)-H32</f>
        <v>2287.475</v>
      </c>
      <c r="I33" s="177" t="n">
        <f aca="false">I27-SUM(I28:I31)-I32</f>
        <v>2167.475</v>
      </c>
      <c r="J33" s="177" t="n">
        <f aca="false">J27-SUM(J28:J31)-J32</f>
        <v>2287.475</v>
      </c>
      <c r="K33" s="177" t="n">
        <f aca="false">K27-SUM(K28:K31)-K32</f>
        <v>2287.475</v>
      </c>
      <c r="L33" s="177" t="n">
        <f aca="false">L27-SUM(L28:L31)-L32</f>
        <v>1667.475</v>
      </c>
      <c r="M33" s="177" t="n">
        <f aca="false">M27-SUM(M28:M31)-M32</f>
        <v>2287.475</v>
      </c>
      <c r="N33" s="177" t="n">
        <f aca="false">N27-SUM(N28:N31)-N32</f>
        <v>2287.475</v>
      </c>
      <c r="O33" s="173"/>
      <c r="Q33" s="128"/>
      <c r="AA33" s="128"/>
    </row>
    <row r="34" s="165" customFormat="true" ht="6" hidden="false" customHeight="true" outlineLevel="0" collapsed="false">
      <c r="A34" s="162"/>
      <c r="B34" s="178"/>
      <c r="C34" s="179"/>
      <c r="D34" s="179"/>
      <c r="E34" s="179"/>
      <c r="F34" s="179"/>
      <c r="G34" s="179"/>
      <c r="H34" s="179"/>
      <c r="I34" s="179"/>
      <c r="J34" s="179"/>
      <c r="K34" s="179"/>
      <c r="L34" s="179"/>
      <c r="M34" s="179"/>
      <c r="N34" s="179"/>
      <c r="O34" s="164"/>
      <c r="Q34" s="128"/>
      <c r="AA34" s="128"/>
    </row>
    <row r="35" s="180" customFormat="true" ht="12.75" hidden="false" customHeight="false" outlineLevel="0" collapsed="false">
      <c r="B35" s="181"/>
      <c r="C35" s="181"/>
      <c r="D35" s="181"/>
      <c r="E35" s="181"/>
      <c r="F35" s="181"/>
      <c r="G35" s="181"/>
      <c r="H35" s="181"/>
      <c r="I35" s="181"/>
      <c r="J35" s="181"/>
      <c r="K35" s="181"/>
      <c r="L35" s="181"/>
      <c r="M35" s="181"/>
      <c r="N35" s="181"/>
      <c r="O35" s="181"/>
      <c r="Q35" s="128"/>
      <c r="AA35" s="128"/>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8" width="1.66"/>
    <col collapsed="false" customWidth="true" hidden="false" outlineLevel="0" max="2" min="2" style="128" width="22.32"/>
    <col collapsed="false" customWidth="false" hidden="false" outlineLevel="0" max="3" min="3" style="128" width="9.15"/>
    <col collapsed="false" customWidth="true" hidden="false" outlineLevel="0" max="4" min="4" style="128" width="10.15"/>
    <col collapsed="false" customWidth="false" hidden="false" outlineLevel="0" max="7" min="5" style="128" width="9.15"/>
    <col collapsed="false" customWidth="true" hidden="false" outlineLevel="0" max="8" min="8" style="128" width="23.66"/>
    <col collapsed="false" customWidth="true" hidden="false" outlineLevel="0" max="9" min="9" style="128" width="1.66"/>
    <col collapsed="false" customWidth="false" hidden="false" outlineLevel="0" max="257" min="19" style="128" width="9.15"/>
  </cols>
  <sheetData>
    <row r="1" customFormat="false" ht="4.5" hidden="false" customHeight="true" outlineLevel="0" collapsed="false">
      <c r="A1" s="182"/>
      <c r="B1" s="182"/>
      <c r="C1" s="182"/>
      <c r="D1" s="182"/>
      <c r="E1" s="182"/>
      <c r="F1" s="182"/>
      <c r="G1" s="182"/>
      <c r="H1" s="182"/>
      <c r="I1" s="182"/>
    </row>
    <row r="2" s="136" customFormat="true" ht="12.75" hidden="false" customHeight="false" outlineLevel="0" collapsed="false">
      <c r="A2" s="182"/>
      <c r="B2" s="183" t="s">
        <v>138</v>
      </c>
      <c r="C2" s="183" t="s">
        <v>139</v>
      </c>
      <c r="D2" s="183" t="s">
        <v>140</v>
      </c>
      <c r="E2" s="183" t="s">
        <v>141</v>
      </c>
      <c r="F2" s="183" t="s">
        <v>142</v>
      </c>
      <c r="G2" s="183" t="s">
        <v>143</v>
      </c>
      <c r="H2" s="183" t="s">
        <v>144</v>
      </c>
      <c r="I2" s="182"/>
    </row>
    <row r="3" customFormat="false" ht="12.75" hidden="false" customHeight="false" outlineLevel="0" collapsed="false">
      <c r="A3" s="182"/>
      <c r="B3" s="183"/>
      <c r="C3" s="183"/>
      <c r="D3" s="183"/>
      <c r="E3" s="183"/>
      <c r="F3" s="183"/>
      <c r="G3" s="183"/>
      <c r="H3" s="183"/>
      <c r="I3" s="182"/>
    </row>
    <row r="4" s="143" customFormat="true" ht="12.75" hidden="false" customHeight="false" outlineLevel="0" collapsed="false">
      <c r="A4" s="182"/>
      <c r="B4" s="182"/>
      <c r="C4" s="182"/>
      <c r="D4" s="182"/>
      <c r="E4" s="182"/>
      <c r="F4" s="182"/>
      <c r="G4" s="182"/>
      <c r="H4" s="182"/>
      <c r="I4" s="182"/>
    </row>
    <row r="5" customFormat="false" ht="12.75" hidden="false" customHeight="false" outlineLevel="0" collapsed="false">
      <c r="A5" s="182"/>
      <c r="B5" s="182" t="s">
        <v>145</v>
      </c>
      <c r="C5" s="184" t="n">
        <f aca="false">SUM('Profit &amp; Loss Acc'!C5:E5)</f>
        <v>9000</v>
      </c>
      <c r="D5" s="184" t="n">
        <f aca="false">SUM('Profit &amp; Loss Acc'!F5:H5)</f>
        <v>9000</v>
      </c>
      <c r="E5" s="184" t="n">
        <f aca="false">SUM('Profit &amp; Loss Acc'!I5:K5)</f>
        <v>9000</v>
      </c>
      <c r="F5" s="184" t="n">
        <f aca="false">SUM('Profit &amp; Loss Acc'!L5:N5)</f>
        <v>9000</v>
      </c>
      <c r="G5" s="185" t="n">
        <f aca="false">SUM(C5:F5)</f>
        <v>36000</v>
      </c>
      <c r="H5" s="182"/>
      <c r="I5" s="182"/>
    </row>
    <row r="6" customFormat="false" ht="12.75" hidden="false" customHeight="false" outlineLevel="0" collapsed="false">
      <c r="A6" s="182"/>
      <c r="B6" s="182" t="s">
        <v>146</v>
      </c>
      <c r="C6" s="184" t="n">
        <f aca="false">SUM('Profit &amp; Loss Acc'!C24:E24)</f>
        <v>0</v>
      </c>
      <c r="D6" s="184" t="n">
        <f aca="false">SUM('Profit &amp; Loss Acc'!F24:H24)</f>
        <v>0</v>
      </c>
      <c r="E6" s="184" t="n">
        <f aca="false">SUM('Profit &amp; Loss Acc'!I24:K24)</f>
        <v>0</v>
      </c>
      <c r="F6" s="184" t="n">
        <f aca="false">SUM('Profit &amp; Loss Acc'!L24:N24)</f>
        <v>0</v>
      </c>
      <c r="G6" s="185" t="n">
        <f aca="false">SUM(C6:F6)</f>
        <v>0</v>
      </c>
      <c r="H6" s="182"/>
      <c r="I6" s="182"/>
    </row>
    <row r="7" customFormat="false" ht="12.75" hidden="false" customHeight="false" outlineLevel="0" collapsed="false">
      <c r="A7" s="182"/>
      <c r="B7" s="182" t="s">
        <v>147</v>
      </c>
      <c r="C7" s="184" t="n">
        <f aca="false">SUM('Profit &amp; Loss Acc'!C11:E11)</f>
        <v>0</v>
      </c>
      <c r="D7" s="184" t="n">
        <f aca="false">SUM('Profit &amp; Loss Acc'!F11:H11)</f>
        <v>0</v>
      </c>
      <c r="E7" s="184" t="n">
        <f aca="false">SUM('Profit &amp; Loss Acc'!I11:K11)</f>
        <v>0</v>
      </c>
      <c r="F7" s="184" t="n">
        <f aca="false">SUM('Profit &amp; Loss Acc'!L11:N11)</f>
        <v>0</v>
      </c>
      <c r="G7" s="185" t="n">
        <f aca="false">SUM(C7:F7)</f>
        <v>0</v>
      </c>
      <c r="H7" s="182"/>
      <c r="I7" s="182"/>
    </row>
    <row r="8" s="154" customFormat="true" ht="12.75" hidden="false" customHeight="false" outlineLevel="0" collapsed="false">
      <c r="A8" s="182"/>
      <c r="B8" s="182"/>
      <c r="C8" s="182"/>
      <c r="D8" s="182"/>
      <c r="E8" s="182"/>
      <c r="F8" s="182"/>
      <c r="G8" s="182"/>
      <c r="H8" s="182"/>
      <c r="I8" s="182"/>
    </row>
    <row r="9" customFormat="false" ht="12.75" hidden="false" customHeight="false" outlineLevel="0" collapsed="false">
      <c r="A9" s="182"/>
      <c r="B9" s="182"/>
      <c r="C9" s="182"/>
      <c r="D9" s="182"/>
      <c r="E9" s="182"/>
      <c r="F9" s="182"/>
      <c r="G9" s="182"/>
      <c r="H9" s="182"/>
      <c r="I9" s="182"/>
    </row>
    <row r="10" customFormat="false" ht="12.75" hidden="false" customHeight="false" outlineLevel="0" collapsed="false">
      <c r="A10" s="182"/>
      <c r="B10" s="186" t="s">
        <v>148</v>
      </c>
      <c r="C10" s="182"/>
      <c r="D10" s="182"/>
      <c r="E10" s="182"/>
      <c r="F10" s="182"/>
      <c r="G10" s="182"/>
      <c r="H10" s="182"/>
      <c r="I10" s="182"/>
    </row>
    <row r="11" customFormat="false" ht="12.75" hidden="false" customHeight="false" outlineLevel="0" collapsed="false">
      <c r="A11" s="182"/>
      <c r="B11" s="182"/>
      <c r="C11" s="182"/>
      <c r="D11" s="182"/>
      <c r="E11" s="182"/>
      <c r="F11" s="182"/>
      <c r="G11" s="182"/>
      <c r="H11" s="182"/>
      <c r="I11" s="182"/>
    </row>
    <row r="12" customFormat="false" ht="12.75" hidden="false" customHeight="false" outlineLevel="0" collapsed="false">
      <c r="A12" s="182"/>
      <c r="B12" s="182" t="s">
        <v>149</v>
      </c>
      <c r="C12" s="185" t="n">
        <f aca="false">SUM('Profit &amp; Loss Acc'!C14:E14)</f>
        <v>0</v>
      </c>
      <c r="D12" s="185" t="n">
        <f aca="false">SUM('Profit &amp; Loss Acc'!F14:H14)</f>
        <v>0</v>
      </c>
      <c r="E12" s="185" t="n">
        <f aca="false">SUM('Profit &amp; Loss Acc'!I14:K14)</f>
        <v>0</v>
      </c>
      <c r="F12" s="185" t="n">
        <f aca="false">SUM('Profit &amp; Loss Acc'!L14:N14)</f>
        <v>0</v>
      </c>
      <c r="G12" s="185" t="n">
        <f aca="false">SUM(C12:F12)</f>
        <v>0</v>
      </c>
      <c r="H12" s="182"/>
      <c r="I12" s="182"/>
    </row>
    <row r="13" customFormat="false" ht="12.75" hidden="false" customHeight="false" outlineLevel="0" collapsed="false">
      <c r="A13" s="182"/>
      <c r="B13" s="182" t="s">
        <v>150</v>
      </c>
      <c r="C13" s="185" t="n">
        <f aca="false">SUM('Profit &amp; Loss Acc'!C15:E15)</f>
        <v>0</v>
      </c>
      <c r="D13" s="185" t="n">
        <f aca="false">SUM('Profit &amp; Loss Acc'!F15:H15)</f>
        <v>0</v>
      </c>
      <c r="E13" s="185" t="n">
        <f aca="false">SUM('Profit &amp; Loss Acc'!I15:K15)</f>
        <v>0</v>
      </c>
      <c r="F13" s="185" t="n">
        <f aca="false">SUM('Profit &amp; Loss Acc'!L15:N15)</f>
        <v>0</v>
      </c>
      <c r="G13" s="185" t="n">
        <f aca="false">SUM(C13:F13)</f>
        <v>0</v>
      </c>
      <c r="H13" s="182"/>
      <c r="I13" s="182"/>
    </row>
    <row r="14" customFormat="false" ht="12.75" hidden="false" customHeight="false" outlineLevel="0" collapsed="false">
      <c r="A14" s="182"/>
      <c r="B14" s="182" t="s">
        <v>151</v>
      </c>
      <c r="C14" s="185" t="n">
        <f aca="false">SUM('Profit &amp; Loss Acc'!C8:E9)</f>
        <v>1380</v>
      </c>
      <c r="D14" s="185" t="n">
        <f aca="false">SUM('Profit &amp; Loss Acc'!F8:H9)</f>
        <v>0</v>
      </c>
      <c r="E14" s="185" t="n">
        <f aca="false">SUM('Profit &amp; Loss Acc'!I8:K9)</f>
        <v>0</v>
      </c>
      <c r="F14" s="185" t="n">
        <f aca="false">SUM('Profit &amp; Loss Acc'!L8:N9)</f>
        <v>0</v>
      </c>
      <c r="G14" s="185" t="n">
        <f aca="false">SUM(C14:F14)</f>
        <v>1380</v>
      </c>
      <c r="H14" s="182"/>
      <c r="I14" s="182"/>
    </row>
    <row r="15" customFormat="false" ht="12.75" hidden="false" customHeight="false" outlineLevel="0" collapsed="false">
      <c r="A15" s="182"/>
      <c r="B15" s="182" t="s">
        <v>152</v>
      </c>
      <c r="C15" s="185" t="n">
        <f aca="false">SUM('Profit &amp; Loss Acc'!C16:E16)</f>
        <v>120</v>
      </c>
      <c r="D15" s="185" t="n">
        <f aca="false">SUM('Profit &amp; Loss Acc'!F16:H16)</f>
        <v>120</v>
      </c>
      <c r="E15" s="185" t="n">
        <f aca="false">SUM('Profit &amp; Loss Acc'!I16:K16)</f>
        <v>120</v>
      </c>
      <c r="F15" s="185" t="n">
        <f aca="false">SUM('Profit &amp; Loss Acc'!L16:N16)</f>
        <v>120</v>
      </c>
      <c r="G15" s="185" t="n">
        <f aca="false">SUM(C15:F15)</f>
        <v>480</v>
      </c>
      <c r="H15" s="182"/>
      <c r="I15" s="182"/>
    </row>
    <row r="16" customFormat="false" ht="12.75" hidden="false" customHeight="false" outlineLevel="0" collapsed="false">
      <c r="A16" s="182"/>
      <c r="B16" s="182" t="s">
        <v>153</v>
      </c>
      <c r="C16" s="185" t="n">
        <f aca="false">SUM('Profit &amp; Loss Acc'!C20:E20)</f>
        <v>0</v>
      </c>
      <c r="D16" s="185" t="n">
        <f aca="false">SUM('Profit &amp; Loss Acc'!F20:H20)</f>
        <v>0</v>
      </c>
      <c r="E16" s="185" t="n">
        <f aca="false">SUM('Profit &amp; Loss Acc'!I20:K20)</f>
        <v>0</v>
      </c>
      <c r="F16" s="185" t="n">
        <f aca="false">SUM('Profit &amp; Loss Acc'!L20:N20)</f>
        <v>0</v>
      </c>
      <c r="G16" s="185" t="n">
        <f aca="false">SUM(C16:F16)</f>
        <v>0</v>
      </c>
      <c r="H16" s="182"/>
      <c r="I16" s="182"/>
    </row>
    <row r="17" customFormat="false" ht="12.75" hidden="false" customHeight="false" outlineLevel="0" collapsed="false">
      <c r="A17" s="182"/>
      <c r="B17" s="182" t="s">
        <v>154</v>
      </c>
      <c r="C17" s="185" t="n">
        <f aca="false">SUM('Profit &amp; Loss Acc'!C6:E7)</f>
        <v>900</v>
      </c>
      <c r="D17" s="185" t="n">
        <f aca="false">SUM('Profit &amp; Loss Acc'!F6:H7)</f>
        <v>900</v>
      </c>
      <c r="E17" s="185" t="n">
        <f aca="false">SUM('Profit &amp; Loss Acc'!I6:K7)</f>
        <v>900</v>
      </c>
      <c r="F17" s="185" t="n">
        <f aca="false">SUM('Profit &amp; Loss Acc'!L6:N7)</f>
        <v>900</v>
      </c>
      <c r="G17" s="185" t="n">
        <f aca="false">SUM(C17:F17)</f>
        <v>3600</v>
      </c>
      <c r="H17" s="182"/>
      <c r="I17" s="182"/>
    </row>
    <row r="18" customFormat="false" ht="12.75" hidden="false" customHeight="false" outlineLevel="0" collapsed="false">
      <c r="A18" s="182"/>
      <c r="B18" s="182" t="s">
        <v>155</v>
      </c>
      <c r="C18" s="185" t="n">
        <f aca="false">SUM('Profit &amp; Loss Acc'!C17:E17)</f>
        <v>0</v>
      </c>
      <c r="D18" s="185" t="n">
        <f aca="false">SUM('Profit &amp; Loss Acc'!F17:H17)</f>
        <v>0</v>
      </c>
      <c r="E18" s="185" t="n">
        <f aca="false">SUM('Profit &amp; Loss Acc'!I17:K17)</f>
        <v>0</v>
      </c>
      <c r="F18" s="185" t="n">
        <f aca="false">SUM('Profit &amp; Loss Acc'!L17:N17)</f>
        <v>0</v>
      </c>
      <c r="G18" s="185" t="n">
        <f aca="false">SUM(C18:F18)</f>
        <v>0</v>
      </c>
      <c r="H18" s="182"/>
      <c r="I18" s="182"/>
    </row>
    <row r="19" customFormat="false" ht="12.75" hidden="false" customHeight="false" outlineLevel="0" collapsed="false">
      <c r="A19" s="182"/>
      <c r="B19" s="182" t="s">
        <v>156</v>
      </c>
      <c r="C19" s="185" t="n">
        <f aca="false">SUM('Profit &amp; Loss Acc'!C18:E18)</f>
        <v>400</v>
      </c>
      <c r="D19" s="185" t="n">
        <f aca="false">SUM('Profit &amp; Loss Acc'!F18:H18)</f>
        <v>0</v>
      </c>
      <c r="E19" s="185" t="n">
        <f aca="false">SUM('Profit &amp; Loss Acc'!I18:K18)</f>
        <v>0</v>
      </c>
      <c r="F19" s="185" t="n">
        <f aca="false">SUM('Profit &amp; Loss Acc'!L18:N18)</f>
        <v>500</v>
      </c>
      <c r="G19" s="185" t="n">
        <f aca="false">SUM(C19:F19)</f>
        <v>900</v>
      </c>
      <c r="H19" s="182"/>
      <c r="I19" s="182"/>
    </row>
    <row r="20" customFormat="false" ht="12.75" hidden="false" customHeight="false" outlineLevel="0" collapsed="false">
      <c r="A20" s="182"/>
      <c r="B20" s="182" t="s">
        <v>157</v>
      </c>
      <c r="C20" s="185" t="n">
        <v>0</v>
      </c>
      <c r="D20" s="185" t="n">
        <v>0</v>
      </c>
      <c r="E20" s="185" t="n">
        <v>0</v>
      </c>
      <c r="F20" s="185" t="n">
        <v>0</v>
      </c>
      <c r="G20" s="185" t="n">
        <f aca="false">SUM(C20:F20)</f>
        <v>0</v>
      </c>
      <c r="H20" s="182" t="s">
        <v>158</v>
      </c>
      <c r="I20" s="182"/>
    </row>
    <row r="21" customFormat="false" ht="12.75" hidden="false" customHeight="false" outlineLevel="0" collapsed="false">
      <c r="A21" s="182"/>
      <c r="B21" s="182" t="s">
        <v>124</v>
      </c>
      <c r="C21" s="185" t="n">
        <f aca="false">SUM('Profit &amp; Loss Acc'!C19:E19)</f>
        <v>0</v>
      </c>
      <c r="D21" s="185" t="n">
        <f aca="false">SUM('Profit &amp; Loss Acc'!F19:H19)</f>
        <v>0</v>
      </c>
      <c r="E21" s="185" t="n">
        <f aca="false">SUM('Profit &amp; Loss Acc'!I19:K19)</f>
        <v>0</v>
      </c>
      <c r="F21" s="185" t="n">
        <f aca="false">SUM('Profit &amp; Loss Acc'!L19:N19)</f>
        <v>0</v>
      </c>
      <c r="G21" s="185" t="n">
        <f aca="false">SUM(C21:F21)</f>
        <v>0</v>
      </c>
      <c r="H21" s="182"/>
      <c r="I21" s="182"/>
    </row>
    <row r="22" customFormat="false" ht="12.75" hidden="false" customHeight="false" outlineLevel="0" collapsed="false">
      <c r="A22" s="182"/>
      <c r="B22" s="182" t="s">
        <v>159</v>
      </c>
      <c r="C22" s="185" t="n">
        <f aca="false">SUM('Profit &amp; Loss Acc'!C21:E21)</f>
        <v>0</v>
      </c>
      <c r="D22" s="185" t="n">
        <f aca="false">SUM('Profit &amp; Loss Acc'!F21:H21)</f>
        <v>0</v>
      </c>
      <c r="E22" s="185" t="n">
        <f aca="false">SUM('Profit &amp; Loss Acc'!I21:K21)</f>
        <v>0</v>
      </c>
      <c r="F22" s="185" t="n">
        <f aca="false">SUM('Profit &amp; Loss Acc'!L21:N21)</f>
        <v>0</v>
      </c>
      <c r="G22" s="185" t="n">
        <f aca="false">SUM(C22:F22)</f>
        <v>0</v>
      </c>
      <c r="H22" s="182"/>
      <c r="I22" s="182"/>
    </row>
    <row r="23" customFormat="false" ht="12.75" hidden="false" customHeight="false" outlineLevel="0" collapsed="false">
      <c r="A23" s="182"/>
      <c r="B23" s="182"/>
      <c r="C23" s="182"/>
      <c r="D23" s="182"/>
      <c r="E23" s="182"/>
      <c r="F23" s="182"/>
      <c r="G23" s="182"/>
      <c r="H23" s="182"/>
      <c r="I23" s="182"/>
    </row>
    <row r="24" customFormat="false" ht="12.75" hidden="false" customHeight="false" outlineLevel="0" collapsed="false">
      <c r="A24" s="182"/>
      <c r="B24" s="182" t="s">
        <v>160</v>
      </c>
      <c r="C24" s="185" t="n">
        <v>0</v>
      </c>
      <c r="D24" s="185" t="n">
        <v>0</v>
      </c>
      <c r="E24" s="185" t="n">
        <v>0</v>
      </c>
      <c r="F24" s="185" t="n">
        <v>0</v>
      </c>
      <c r="G24" s="185" t="n">
        <f aca="false">SUM(C24:F24)</f>
        <v>0</v>
      </c>
      <c r="H24" s="182" t="s">
        <v>158</v>
      </c>
      <c r="I24" s="182"/>
    </row>
    <row r="25" customFormat="false" ht="12.75" hidden="false" customHeight="false" outlineLevel="0" collapsed="false">
      <c r="A25" s="182"/>
      <c r="B25" s="182" t="s">
        <v>161</v>
      </c>
      <c r="C25" s="185" t="n">
        <v>0</v>
      </c>
      <c r="D25" s="185" t="n">
        <v>0</v>
      </c>
      <c r="E25" s="185" t="n">
        <v>0</v>
      </c>
      <c r="F25" s="185" t="n">
        <v>0</v>
      </c>
      <c r="G25" s="185" t="n">
        <f aca="false">SUM(C25:F25)</f>
        <v>0</v>
      </c>
      <c r="H25" s="182" t="s">
        <v>158</v>
      </c>
      <c r="I25" s="182"/>
    </row>
    <row r="26" customFormat="false" ht="12.75" hidden="false" customHeight="false" outlineLevel="0" collapsed="false">
      <c r="A26" s="182"/>
      <c r="B26" s="182" t="s">
        <v>162</v>
      </c>
      <c r="C26" s="185" t="n">
        <f aca="false">SUM('Profit &amp; Loss Acc'!C10:E10)</f>
        <v>0</v>
      </c>
      <c r="D26" s="185" t="n">
        <f aca="false">SUM('Profit &amp; Loss Acc'!F10:H10)</f>
        <v>0</v>
      </c>
      <c r="E26" s="185" t="n">
        <f aca="false">SUM('Profit &amp; Loss Acc'!I10:K10)</f>
        <v>0</v>
      </c>
      <c r="F26" s="185" t="n">
        <f aca="false">SUM('Profit &amp; Loss Acc'!L10:N10)</f>
        <v>0</v>
      </c>
      <c r="G26" s="185" t="n">
        <f aca="false">SUM(C26:F26)</f>
        <v>0</v>
      </c>
      <c r="H26" s="182"/>
      <c r="I26" s="182"/>
    </row>
    <row r="27" customFormat="false" ht="12.75" hidden="false" customHeight="false" outlineLevel="0" collapsed="false">
      <c r="A27" s="182"/>
      <c r="B27" s="182"/>
      <c r="C27" s="182"/>
      <c r="D27" s="182"/>
      <c r="E27" s="182"/>
      <c r="F27" s="182"/>
      <c r="G27" s="182"/>
      <c r="H27" s="182"/>
      <c r="I27" s="182"/>
    </row>
    <row r="28" customFormat="false" ht="12.75" hidden="false" customHeight="false" outlineLevel="0" collapsed="false">
      <c r="A28" s="182"/>
      <c r="B28" s="182"/>
      <c r="C28" s="182"/>
      <c r="D28" s="182"/>
      <c r="E28" s="182"/>
      <c r="F28" s="182"/>
      <c r="G28" s="182"/>
      <c r="H28" s="182"/>
      <c r="I28" s="182"/>
    </row>
    <row r="29" customFormat="false" ht="12.75" hidden="false" customHeight="false" outlineLevel="0" collapsed="false">
      <c r="A29" s="182"/>
      <c r="B29" s="186" t="s">
        <v>163</v>
      </c>
      <c r="C29" s="187" t="n">
        <f aca="false">SUM(C7,C12,C13,C14,C15,C16,C17,C18,C19,C20,C21,C22,C24,C25,C26)</f>
        <v>2800</v>
      </c>
      <c r="D29" s="187" t="n">
        <f aca="false">SUM(D7,D12,D13,D14,D15,D16,D17,D18,D19,D20,D21,D22,D24,D25,D26)</f>
        <v>1020</v>
      </c>
      <c r="E29" s="187" t="n">
        <f aca="false">SUM(E7,E12,E13,E14,E15,E16,E17,E18,E19,E20,E21,E22,E24,E25,E26)</f>
        <v>1020</v>
      </c>
      <c r="F29" s="187" t="n">
        <f aca="false">SUM(F7,F12,F13,F14,F15,F16,F17,F18,F19,F20,F21,F22,F24,F25,F26)</f>
        <v>1520</v>
      </c>
      <c r="G29" s="187" t="n">
        <f aca="false">SUM(G7,G12,G13,G14,G15,G16,G17,G18,G19,G20,G21,G22,G24,G25,G26)</f>
        <v>6360</v>
      </c>
      <c r="H29" s="188"/>
      <c r="I29" s="182"/>
    </row>
    <row r="30" customFormat="false" ht="12.75" hidden="false" customHeight="false" outlineLevel="0" collapsed="false">
      <c r="A30" s="182"/>
      <c r="B30" s="182"/>
      <c r="C30" s="182"/>
      <c r="D30" s="182"/>
      <c r="E30" s="182"/>
      <c r="F30" s="182"/>
      <c r="G30" s="182"/>
      <c r="H30" s="182"/>
      <c r="I30" s="182"/>
    </row>
    <row r="31" customFormat="false" ht="12.75" hidden="false" customHeight="false" outlineLevel="0" collapsed="false">
      <c r="A31" s="182"/>
      <c r="B31" s="182"/>
      <c r="C31" s="182"/>
      <c r="D31" s="182"/>
      <c r="E31" s="182"/>
      <c r="F31" s="182"/>
      <c r="G31" s="182"/>
      <c r="H31" s="182"/>
      <c r="I31" s="182"/>
    </row>
    <row r="32" customFormat="false" ht="12.75" hidden="false" customHeight="false" outlineLevel="0" collapsed="false">
      <c r="A32" s="182"/>
      <c r="B32" s="182"/>
      <c r="C32" s="182"/>
      <c r="D32" s="182"/>
      <c r="E32" s="182"/>
      <c r="F32" s="182"/>
      <c r="G32" s="182"/>
      <c r="H32" s="182"/>
      <c r="I32" s="182"/>
    </row>
    <row r="33" customFormat="false" ht="12.75" hidden="false" customHeight="false" outlineLevel="0" collapsed="false">
      <c r="A33" s="182"/>
      <c r="B33" s="182"/>
      <c r="C33" s="182"/>
      <c r="D33" s="182"/>
      <c r="E33" s="182"/>
      <c r="F33" s="182"/>
      <c r="G33" s="182"/>
      <c r="H33" s="182"/>
      <c r="I33" s="182"/>
    </row>
    <row r="34" customFormat="false" ht="12.75" hidden="false" customHeight="false" outlineLevel="0" collapsed="false">
      <c r="A34" s="182"/>
      <c r="B34" s="186" t="s">
        <v>164</v>
      </c>
      <c r="C34" s="182"/>
      <c r="D34" s="182"/>
      <c r="E34" s="182"/>
      <c r="F34" s="182"/>
      <c r="G34" s="182"/>
      <c r="H34" s="182"/>
      <c r="I34" s="182"/>
    </row>
    <row r="35" customFormat="false" ht="12.75" hidden="false" customHeight="false" outlineLevel="0" collapsed="false">
      <c r="A35" s="182"/>
      <c r="B35" s="182"/>
      <c r="C35" s="182"/>
      <c r="D35" s="182"/>
      <c r="E35" s="182"/>
      <c r="F35" s="182"/>
      <c r="G35" s="182"/>
      <c r="H35" s="182"/>
      <c r="I35" s="182"/>
    </row>
    <row r="36" customFormat="false" ht="12.75" hidden="false" customHeight="false" outlineLevel="0" collapsed="false">
      <c r="A36" s="182"/>
      <c r="B36" s="182" t="s">
        <v>147</v>
      </c>
      <c r="C36" s="185" t="n">
        <v>0</v>
      </c>
      <c r="D36" s="185" t="n">
        <v>0</v>
      </c>
      <c r="E36" s="185" t="n">
        <v>0</v>
      </c>
      <c r="F36" s="185" t="n">
        <v>0</v>
      </c>
      <c r="G36" s="185" t="n">
        <f aca="false">SUM(C36:F36)</f>
        <v>0</v>
      </c>
      <c r="H36" s="182" t="s">
        <v>158</v>
      </c>
      <c r="I36" s="182"/>
    </row>
    <row r="37" customFormat="false" ht="12.75" hidden="false" customHeight="false" outlineLevel="0" collapsed="false">
      <c r="A37" s="182"/>
      <c r="B37" s="182" t="s">
        <v>160</v>
      </c>
      <c r="C37" s="185" t="n">
        <v>0</v>
      </c>
      <c r="D37" s="185" t="n">
        <v>0</v>
      </c>
      <c r="E37" s="185" t="n">
        <v>0</v>
      </c>
      <c r="F37" s="185" t="n">
        <v>0</v>
      </c>
      <c r="G37" s="185" t="n">
        <f aca="false">SUM(C37:F37)</f>
        <v>0</v>
      </c>
      <c r="H37" s="182" t="s">
        <v>158</v>
      </c>
      <c r="I37" s="182"/>
    </row>
    <row r="38" customFormat="false" ht="12.75" hidden="false" customHeight="false" outlineLevel="0" collapsed="false">
      <c r="A38" s="182"/>
      <c r="B38" s="182" t="s">
        <v>149</v>
      </c>
      <c r="C38" s="185" t="n">
        <v>0</v>
      </c>
      <c r="D38" s="185" t="n">
        <v>0</v>
      </c>
      <c r="E38" s="185" t="n">
        <v>0</v>
      </c>
      <c r="F38" s="185" t="n">
        <v>0</v>
      </c>
      <c r="G38" s="185" t="n">
        <f aca="false">SUM(C38:F38)</f>
        <v>0</v>
      </c>
      <c r="H38" s="182" t="s">
        <v>158</v>
      </c>
      <c r="I38" s="182"/>
    </row>
    <row r="39" customFormat="false" ht="12.75" hidden="false" customHeight="false" outlineLevel="0" collapsed="false">
      <c r="A39" s="182"/>
      <c r="B39" s="182" t="s">
        <v>165</v>
      </c>
      <c r="C39" s="185" t="n">
        <v>0</v>
      </c>
      <c r="D39" s="185" t="n">
        <v>0</v>
      </c>
      <c r="E39" s="185" t="n">
        <v>0</v>
      </c>
      <c r="F39" s="185" t="n">
        <v>0</v>
      </c>
      <c r="G39" s="185" t="n">
        <f aca="false">SUM(C39:F39)</f>
        <v>0</v>
      </c>
      <c r="H39" s="182" t="s">
        <v>158</v>
      </c>
      <c r="I39" s="182"/>
    </row>
    <row r="40" customFormat="false" ht="12.75" hidden="false" customHeight="false" outlineLevel="0" collapsed="false">
      <c r="A40" s="182"/>
      <c r="B40" s="182" t="s">
        <v>150</v>
      </c>
      <c r="C40" s="185" t="n">
        <v>0</v>
      </c>
      <c r="D40" s="185" t="n">
        <v>0</v>
      </c>
      <c r="E40" s="185" t="n">
        <v>0</v>
      </c>
      <c r="F40" s="185" t="n">
        <v>0</v>
      </c>
      <c r="G40" s="185" t="n">
        <f aca="false">SUM(C40:F40)</f>
        <v>0</v>
      </c>
      <c r="H40" s="182" t="s">
        <v>158</v>
      </c>
      <c r="I40" s="182"/>
    </row>
    <row r="41" customFormat="false" ht="12.75" hidden="false" customHeight="false" outlineLevel="0" collapsed="false">
      <c r="A41" s="182"/>
      <c r="B41" s="182" t="s">
        <v>151</v>
      </c>
      <c r="C41" s="185" t="n">
        <v>0</v>
      </c>
      <c r="D41" s="185" t="n">
        <v>0</v>
      </c>
      <c r="E41" s="185" t="n">
        <v>0</v>
      </c>
      <c r="F41" s="185" t="n">
        <v>0</v>
      </c>
      <c r="G41" s="185" t="n">
        <f aca="false">SUM(C41:F41)</f>
        <v>0</v>
      </c>
      <c r="H41" s="182" t="s">
        <v>158</v>
      </c>
      <c r="I41" s="182"/>
    </row>
    <row r="42" customFormat="false" ht="12.75" hidden="false" customHeight="false" outlineLevel="0" collapsed="false">
      <c r="A42" s="182"/>
      <c r="B42" s="182" t="s">
        <v>152</v>
      </c>
      <c r="C42" s="185" t="n">
        <v>0</v>
      </c>
      <c r="D42" s="185" t="n">
        <v>0</v>
      </c>
      <c r="E42" s="185" t="n">
        <v>0</v>
      </c>
      <c r="F42" s="185" t="n">
        <v>0</v>
      </c>
      <c r="G42" s="185" t="n">
        <f aca="false">SUM(C42:F42)</f>
        <v>0</v>
      </c>
      <c r="H42" s="182" t="s">
        <v>158</v>
      </c>
      <c r="I42" s="182"/>
    </row>
    <row r="43" customFormat="false" ht="12.75" hidden="false" customHeight="false" outlineLevel="0" collapsed="false">
      <c r="A43" s="182"/>
      <c r="B43" s="182" t="s">
        <v>155</v>
      </c>
      <c r="C43" s="185" t="n">
        <v>0</v>
      </c>
      <c r="D43" s="185" t="n">
        <v>0</v>
      </c>
      <c r="E43" s="185" t="n">
        <v>0</v>
      </c>
      <c r="F43" s="185" t="n">
        <v>0</v>
      </c>
      <c r="G43" s="185" t="n">
        <f aca="false">SUM(C43:F43)</f>
        <v>0</v>
      </c>
      <c r="H43" s="182" t="s">
        <v>158</v>
      </c>
      <c r="I43" s="182"/>
    </row>
    <row r="44" customFormat="false" ht="12.75" hidden="false" customHeight="false" outlineLevel="0" collapsed="false">
      <c r="A44" s="182"/>
      <c r="B44" s="182" t="s">
        <v>161</v>
      </c>
      <c r="C44" s="185" t="n">
        <v>0</v>
      </c>
      <c r="D44" s="185" t="n">
        <v>0</v>
      </c>
      <c r="E44" s="185" t="n">
        <v>0</v>
      </c>
      <c r="F44" s="185" t="n">
        <v>0</v>
      </c>
      <c r="G44" s="185" t="n">
        <f aca="false">SUM(C44:F44)</f>
        <v>0</v>
      </c>
      <c r="H44" s="182" t="s">
        <v>158</v>
      </c>
      <c r="I44" s="182"/>
    </row>
    <row r="45" customFormat="false" ht="12.75" hidden="false" customHeight="false" outlineLevel="0" collapsed="false">
      <c r="A45" s="182"/>
      <c r="B45" s="182" t="s">
        <v>124</v>
      </c>
      <c r="C45" s="185" t="n">
        <v>0</v>
      </c>
      <c r="D45" s="185" t="n">
        <v>0</v>
      </c>
      <c r="E45" s="185" t="n">
        <v>0</v>
      </c>
      <c r="F45" s="185" t="n">
        <v>0</v>
      </c>
      <c r="G45" s="185" t="n">
        <f aca="false">SUM(C45:F45)</f>
        <v>0</v>
      </c>
      <c r="H45" s="182" t="s">
        <v>158</v>
      </c>
      <c r="I45" s="182"/>
    </row>
    <row r="46" customFormat="false" ht="12.75" hidden="false" customHeight="false" outlineLevel="0" collapsed="false">
      <c r="A46" s="182"/>
      <c r="B46" s="182" t="s">
        <v>166</v>
      </c>
      <c r="C46" s="185" t="n">
        <v>0</v>
      </c>
      <c r="D46" s="185" t="n">
        <v>0</v>
      </c>
      <c r="E46" s="185" t="n">
        <v>0</v>
      </c>
      <c r="F46" s="185" t="n">
        <v>0</v>
      </c>
      <c r="G46" s="185" t="n">
        <f aca="false">SUM(C46:F46)</f>
        <v>0</v>
      </c>
      <c r="H46" s="182" t="s">
        <v>158</v>
      </c>
      <c r="I46" s="182"/>
    </row>
    <row r="47" customFormat="false" ht="12.75" hidden="false" customHeight="false" outlineLevel="0" collapsed="false">
      <c r="A47" s="182"/>
      <c r="B47" s="182" t="s">
        <v>167</v>
      </c>
      <c r="C47" s="185" t="n">
        <v>0</v>
      </c>
      <c r="D47" s="185" t="n">
        <v>0</v>
      </c>
      <c r="E47" s="185" t="n">
        <v>0</v>
      </c>
      <c r="F47" s="185" t="n">
        <v>0</v>
      </c>
      <c r="G47" s="185" t="n">
        <f aca="false">SUM(C47:F47)</f>
        <v>0</v>
      </c>
      <c r="H47" s="182" t="s">
        <v>158</v>
      </c>
      <c r="I47" s="182"/>
    </row>
    <row r="48" customFormat="false" ht="12.75" hidden="false" customHeight="false" outlineLevel="0" collapsed="false">
      <c r="A48" s="182"/>
      <c r="B48" s="182" t="s">
        <v>156</v>
      </c>
      <c r="C48" s="185" t="n">
        <v>0</v>
      </c>
      <c r="D48" s="185" t="n">
        <v>0</v>
      </c>
      <c r="E48" s="185" t="n">
        <v>0</v>
      </c>
      <c r="F48" s="185" t="n">
        <v>0</v>
      </c>
      <c r="G48" s="185" t="n">
        <f aca="false">SUM(C48:F48)</f>
        <v>0</v>
      </c>
      <c r="H48" s="182" t="s">
        <v>158</v>
      </c>
      <c r="I48" s="182"/>
    </row>
    <row r="49" customFormat="false" ht="12.75" hidden="false" customHeight="false" outlineLevel="0" collapsed="false">
      <c r="A49" s="182"/>
      <c r="B49" s="182" t="s">
        <v>162</v>
      </c>
      <c r="C49" s="185" t="n">
        <v>0</v>
      </c>
      <c r="D49" s="185" t="n">
        <v>0</v>
      </c>
      <c r="E49" s="185" t="n">
        <v>0</v>
      </c>
      <c r="F49" s="185" t="n">
        <v>0</v>
      </c>
      <c r="G49" s="185" t="n">
        <f aca="false">SUM(C49:F49)</f>
        <v>0</v>
      </c>
      <c r="H49" s="182" t="s">
        <v>158</v>
      </c>
      <c r="I49" s="182"/>
    </row>
    <row r="50" customFormat="false" ht="12.75" hidden="false" customHeight="false" outlineLevel="0" collapsed="false">
      <c r="A50" s="182"/>
      <c r="B50" s="182" t="s">
        <v>159</v>
      </c>
      <c r="C50" s="185" t="n">
        <v>0</v>
      </c>
      <c r="D50" s="185" t="n">
        <v>0</v>
      </c>
      <c r="E50" s="185" t="n">
        <v>0</v>
      </c>
      <c r="F50" s="185" t="n">
        <v>0</v>
      </c>
      <c r="G50" s="185" t="n">
        <f aca="false">SUM(C50:F50)</f>
        <v>0</v>
      </c>
      <c r="H50" s="182" t="s">
        <v>158</v>
      </c>
      <c r="I50" s="182"/>
    </row>
    <row r="51" customFormat="false" ht="12.75" hidden="false" customHeight="false" outlineLevel="0" collapsed="false">
      <c r="A51" s="182"/>
      <c r="B51" s="182"/>
      <c r="C51" s="182"/>
      <c r="D51" s="182"/>
      <c r="E51" s="182"/>
      <c r="F51" s="182"/>
      <c r="G51" s="182"/>
      <c r="H51" s="182"/>
      <c r="I51" s="182"/>
    </row>
    <row r="52" customFormat="false" ht="12.75" hidden="false" customHeight="false" outlineLevel="0" collapsed="false">
      <c r="A52" s="189"/>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90" width="8.49"/>
    <col collapsed="false" customWidth="true" hidden="false" outlineLevel="0" max="2" min="2" style="165" width="26.82"/>
    <col collapsed="false" customWidth="true" hidden="false" outlineLevel="0" max="3" min="3" style="165" width="19.66"/>
    <col collapsed="false" customWidth="true" hidden="false" outlineLevel="0" max="4" min="4" style="191" width="10.82"/>
    <col collapsed="false" customWidth="true" hidden="false" outlineLevel="0" max="5" min="5" style="191" width="1.32"/>
    <col collapsed="false" customWidth="true" hidden="false" outlineLevel="0" max="6" min="6" style="192" width="6.99"/>
    <col collapsed="false" customWidth="true" hidden="false" outlineLevel="0" max="7" min="7" style="193" width="1.32"/>
    <col collapsed="false" customWidth="true" hidden="false" outlineLevel="0" max="8" min="8" style="191" width="8.49"/>
    <col collapsed="false" customWidth="true" hidden="false" outlineLevel="0" max="9" min="9" style="194" width="8.66"/>
    <col collapsed="false" customWidth="false" hidden="false" outlineLevel="0" max="10" min="10" style="194" width="9.15"/>
    <col collapsed="false" customWidth="true" hidden="false" outlineLevel="0" max="11" min="11" style="194" width="8.49"/>
    <col collapsed="false" customWidth="true" hidden="false" outlineLevel="0" max="12" min="12" style="193" width="1.32"/>
    <col collapsed="false" customWidth="true" hidden="false" outlineLevel="0" max="13" min="13" style="190" width="8.66"/>
    <col collapsed="false" customWidth="true" hidden="false" outlineLevel="0" max="14" min="14" style="191" width="8.66"/>
    <col collapsed="false" customWidth="true" hidden="false" outlineLevel="0" max="15" min="15" style="193" width="1.32"/>
    <col collapsed="false" customWidth="true" hidden="false" outlineLevel="0" max="17" min="16" style="194" width="8.66"/>
    <col collapsed="false" customWidth="false" hidden="false" outlineLevel="0" max="257" min="18" style="165" width="9.15"/>
  </cols>
  <sheetData>
    <row r="1" s="204" customFormat="true" ht="13.5" hidden="false" customHeight="true" outlineLevel="0" collapsed="false">
      <c r="A1" s="195" t="s">
        <v>168</v>
      </c>
      <c r="B1" s="196" t="s">
        <v>169</v>
      </c>
      <c r="C1" s="197" t="n">
        <f aca="false">Admin!B17</f>
        <v>45387</v>
      </c>
      <c r="D1" s="198" t="n">
        <f aca="false">D33+D62</f>
        <v>0</v>
      </c>
      <c r="E1" s="199"/>
      <c r="F1" s="200" t="s">
        <v>170</v>
      </c>
      <c r="G1" s="201"/>
      <c r="H1" s="202" t="n">
        <f aca="false">H33+H62</f>
        <v>0</v>
      </c>
      <c r="I1" s="202" t="n">
        <f aca="false">I33+I62</f>
        <v>0</v>
      </c>
      <c r="J1" s="202" t="n">
        <f aca="false">J33+J62</f>
        <v>0</v>
      </c>
      <c r="K1" s="202" t="n">
        <f aca="false">K33+K62</f>
        <v>0</v>
      </c>
      <c r="L1" s="201"/>
      <c r="M1" s="203" t="s">
        <v>171</v>
      </c>
      <c r="N1" s="202" t="n">
        <f aca="false">N33+N62</f>
        <v>0</v>
      </c>
      <c r="O1" s="201"/>
      <c r="P1" s="202" t="n">
        <f aca="false">P33+P62</f>
        <v>0</v>
      </c>
      <c r="Q1" s="202" t="n">
        <f aca="false">Q33+Q62</f>
        <v>0</v>
      </c>
    </row>
    <row r="2" customFormat="false" ht="12" hidden="false" customHeight="true" outlineLevel="0" collapsed="false">
      <c r="A2" s="195"/>
      <c r="B2" s="205" t="s">
        <v>172</v>
      </c>
      <c r="C2" s="206" t="s">
        <v>173</v>
      </c>
      <c r="D2" s="207" t="s">
        <v>174</v>
      </c>
      <c r="E2" s="199"/>
      <c r="F2" s="200"/>
      <c r="G2" s="201"/>
      <c r="H2" s="207" t="s">
        <v>175</v>
      </c>
      <c r="I2" s="207" t="s">
        <v>68</v>
      </c>
      <c r="J2" s="207" t="s">
        <v>176</v>
      </c>
      <c r="K2" s="207" t="s">
        <v>175</v>
      </c>
      <c r="L2" s="201"/>
      <c r="M2" s="203"/>
      <c r="N2" s="207" t="s">
        <v>177</v>
      </c>
      <c r="O2" s="201"/>
      <c r="P2" s="207" t="s">
        <v>178</v>
      </c>
      <c r="Q2" s="207" t="s">
        <v>179</v>
      </c>
    </row>
    <row r="3" customFormat="false" ht="24.75" hidden="false" customHeight="true" outlineLevel="0" collapsed="false">
      <c r="A3" s="195"/>
      <c r="B3" s="205"/>
      <c r="C3" s="205"/>
      <c r="D3" s="207"/>
      <c r="E3" s="199"/>
      <c r="F3" s="200"/>
      <c r="G3" s="201"/>
      <c r="H3" s="207"/>
      <c r="I3" s="207"/>
      <c r="J3" s="207"/>
      <c r="K3" s="207"/>
      <c r="L3" s="201"/>
      <c r="M3" s="203"/>
      <c r="N3" s="207"/>
      <c r="O3" s="201"/>
      <c r="P3" s="207"/>
      <c r="Q3" s="207"/>
    </row>
    <row r="4" s="210" customFormat="true" ht="12" hidden="false" customHeight="true" outlineLevel="0" collapsed="false">
      <c r="A4" s="195"/>
      <c r="B4" s="205"/>
      <c r="C4" s="205"/>
      <c r="D4" s="207"/>
      <c r="E4" s="199"/>
      <c r="F4" s="200"/>
      <c r="G4" s="201"/>
      <c r="H4" s="208" t="n">
        <f aca="false">Admin!B$4</f>
        <v>45022</v>
      </c>
      <c r="I4" s="209" t="n">
        <f aca="false">Admin!G$4</f>
        <v>1</v>
      </c>
      <c r="J4" s="209" t="n">
        <f aca="false">Admin!G$5</f>
        <v>0.18</v>
      </c>
      <c r="K4" s="208" t="n">
        <f aca="false">Admin!B$17</f>
        <v>45387</v>
      </c>
      <c r="L4" s="201"/>
      <c r="M4" s="203"/>
      <c r="N4" s="207"/>
      <c r="O4" s="201"/>
      <c r="P4" s="207"/>
      <c r="Q4" s="207"/>
    </row>
    <row r="5" s="219" customFormat="true" ht="12.75" hidden="false" customHeight="true" outlineLevel="0" collapsed="false">
      <c r="A5" s="211"/>
      <c r="B5" s="212"/>
      <c r="C5" s="213"/>
      <c r="D5" s="214"/>
      <c r="E5" s="215"/>
      <c r="F5" s="216"/>
      <c r="G5" s="217"/>
      <c r="H5" s="218"/>
      <c r="I5" s="215"/>
      <c r="J5" s="215"/>
      <c r="K5" s="215"/>
      <c r="L5" s="217"/>
      <c r="M5" s="211"/>
      <c r="N5" s="218"/>
      <c r="O5" s="217"/>
      <c r="P5" s="215"/>
      <c r="Q5" s="215"/>
    </row>
    <row r="6" customFormat="false" ht="13.5" hidden="false" customHeight="true" outlineLevel="0" collapsed="false">
      <c r="A6" s="220" t="s">
        <v>180</v>
      </c>
      <c r="B6" s="220"/>
      <c r="C6" s="220"/>
      <c r="D6" s="221" t="n">
        <f aca="false">Admin!B$4</f>
        <v>45022</v>
      </c>
      <c r="E6" s="222"/>
      <c r="F6" s="223"/>
      <c r="G6" s="217"/>
      <c r="H6" s="218"/>
      <c r="I6" s="215"/>
      <c r="J6" s="215"/>
      <c r="K6" s="215"/>
      <c r="L6" s="217"/>
      <c r="M6" s="224"/>
      <c r="N6" s="218"/>
      <c r="O6" s="217"/>
      <c r="P6" s="215"/>
      <c r="Q6" s="215"/>
    </row>
    <row r="7" customFormat="false" ht="12.65" hidden="false" customHeight="false" outlineLevel="0" collapsed="false">
      <c r="A7" s="225"/>
      <c r="B7" s="226"/>
      <c r="C7" s="226"/>
      <c r="D7" s="227"/>
      <c r="E7" s="218"/>
      <c r="F7" s="216"/>
      <c r="G7" s="217"/>
      <c r="H7" s="228"/>
      <c r="I7" s="175" t="n">
        <v>0</v>
      </c>
      <c r="J7" s="229" t="str">
        <f aca="false">IF((H7&gt;0),H7*J$4," ")</f>
        <v> </v>
      </c>
      <c r="K7" s="215" t="str">
        <f aca="false">IF(H7&gt;0,H7-H7*J$4," ")</f>
        <v> </v>
      </c>
      <c r="L7" s="217"/>
      <c r="M7" s="230"/>
      <c r="N7" s="231"/>
      <c r="O7" s="217"/>
      <c r="P7" s="215" t="str">
        <f aca="false">IF((M7+N7)&gt;0,IF(N7&lt;K7,(K7-N7)," ")," ")</f>
        <v> </v>
      </c>
      <c r="Q7" s="215" t="str">
        <f aca="false">IF((M7+N7)&gt;0,IF(N7&gt;K7,(N7-K7)," ")," ")</f>
        <v> </v>
      </c>
    </row>
    <row r="8" customFormat="false" ht="12.65" hidden="false" customHeight="false" outlineLevel="0" collapsed="false">
      <c r="A8" s="230"/>
      <c r="B8" s="232"/>
      <c r="C8" s="232"/>
      <c r="D8" s="231"/>
      <c r="E8" s="218"/>
      <c r="F8" s="216"/>
      <c r="G8" s="217"/>
      <c r="H8" s="228"/>
      <c r="I8" s="175" t="n">
        <v>0</v>
      </c>
      <c r="J8" s="229" t="str">
        <f aca="false">IF((H8&gt;0),H8*J$4," ")</f>
        <v> </v>
      </c>
      <c r="K8" s="215" t="str">
        <f aca="false">IF(H8&gt;0,H8-H8*J$4," ")</f>
        <v> </v>
      </c>
      <c r="L8" s="217"/>
      <c r="M8" s="230"/>
      <c r="N8" s="231"/>
      <c r="O8" s="217"/>
      <c r="P8" s="215" t="str">
        <f aca="false">IF((M8+N8)&gt;0,IF(N8&lt;K8,(K8-N8)," ")," ")</f>
        <v> </v>
      </c>
      <c r="Q8" s="215" t="str">
        <f aca="false">IF((M8+N8)&gt;0,IF(N8&gt;K8,(N8-K8)," ")," ")</f>
        <v> </v>
      </c>
    </row>
    <row r="9" customFormat="false" ht="12.65" hidden="false" customHeight="false" outlineLevel="0" collapsed="false">
      <c r="A9" s="230"/>
      <c r="B9" s="232"/>
      <c r="C9" s="232"/>
      <c r="D9" s="231"/>
      <c r="E9" s="218"/>
      <c r="F9" s="216"/>
      <c r="G9" s="217"/>
      <c r="H9" s="228"/>
      <c r="I9" s="175" t="n">
        <v>0</v>
      </c>
      <c r="J9" s="229" t="str">
        <f aca="false">IF((H9&gt;0),H9*J$4," ")</f>
        <v> </v>
      </c>
      <c r="K9" s="215" t="str">
        <f aca="false">IF(H9&gt;0,H9-H9*J$4," ")</f>
        <v> </v>
      </c>
      <c r="L9" s="217"/>
      <c r="M9" s="230"/>
      <c r="N9" s="231"/>
      <c r="O9" s="217"/>
      <c r="P9" s="215" t="str">
        <f aca="false">IF((M9+N9)&gt;0,IF(N9&lt;K9,(K9-N9)," ")," ")</f>
        <v> </v>
      </c>
      <c r="Q9" s="215" t="str">
        <f aca="false">IF((M9+N9)&gt;0,IF(N9&gt;K9,(N9-K9)," ")," ")</f>
        <v> </v>
      </c>
    </row>
    <row r="10" customFormat="false" ht="12.65" hidden="false" customHeight="false" outlineLevel="0" collapsed="false">
      <c r="A10" s="230"/>
      <c r="B10" s="232"/>
      <c r="C10" s="232"/>
      <c r="D10" s="231"/>
      <c r="E10" s="218"/>
      <c r="F10" s="216"/>
      <c r="G10" s="217"/>
      <c r="H10" s="228"/>
      <c r="I10" s="175" t="n">
        <v>0</v>
      </c>
      <c r="J10" s="229" t="str">
        <f aca="false">IF((H10&gt;0),H10*J$4," ")</f>
        <v> </v>
      </c>
      <c r="K10" s="215" t="str">
        <f aca="false">IF(H10&gt;0,H10-H10*J$4," ")</f>
        <v> </v>
      </c>
      <c r="L10" s="217"/>
      <c r="M10" s="230"/>
      <c r="N10" s="231"/>
      <c r="O10" s="217"/>
      <c r="P10" s="215" t="str">
        <f aca="false">IF((M10+N10)&gt;0,IF(N10&lt;K10,(K10-N10)," ")," ")</f>
        <v> </v>
      </c>
      <c r="Q10" s="215" t="str">
        <f aca="false">IF((M10+N10)&gt;0,IF(N10&gt;K10,(N10-K10)," ")," ")</f>
        <v> </v>
      </c>
    </row>
    <row r="11" customFormat="false" ht="12.65" hidden="false" customHeight="false" outlineLevel="0" collapsed="false">
      <c r="A11" s="230"/>
      <c r="B11" s="232"/>
      <c r="C11" s="232"/>
      <c r="D11" s="231"/>
      <c r="E11" s="218"/>
      <c r="F11" s="216"/>
      <c r="G11" s="217"/>
      <c r="H11" s="228"/>
      <c r="I11" s="175" t="n">
        <v>0</v>
      </c>
      <c r="J11" s="229" t="str">
        <f aca="false">IF((H11&gt;0),H11*J$4," ")</f>
        <v> </v>
      </c>
      <c r="K11" s="215" t="str">
        <f aca="false">IF(H11&gt;0,H11-H11*J$4," ")</f>
        <v> </v>
      </c>
      <c r="L11" s="217"/>
      <c r="M11" s="230"/>
      <c r="N11" s="231"/>
      <c r="O11" s="217"/>
      <c r="P11" s="215" t="str">
        <f aca="false">IF((M11+N11)&gt;0,IF(N11&lt;K11,(K11-N11)," ")," ")</f>
        <v> </v>
      </c>
      <c r="Q11" s="215" t="str">
        <f aca="false">IF((M11+N11)&gt;0,IF(N11&gt;K11,(N11-K11)," ")," ")</f>
        <v> </v>
      </c>
    </row>
    <row r="12" customFormat="false" ht="12.65" hidden="false" customHeight="false" outlineLevel="0" collapsed="false">
      <c r="A12" s="230"/>
      <c r="B12" s="232"/>
      <c r="C12" s="232"/>
      <c r="D12" s="231"/>
      <c r="E12" s="218"/>
      <c r="F12" s="216"/>
      <c r="G12" s="217"/>
      <c r="H12" s="228"/>
      <c r="I12" s="175" t="n">
        <v>0</v>
      </c>
      <c r="J12" s="229" t="str">
        <f aca="false">IF((H12&gt;0),H12*J$4," ")</f>
        <v> </v>
      </c>
      <c r="K12" s="215" t="str">
        <f aca="false">IF(H12&gt;0,H12-H12*J$4," ")</f>
        <v> </v>
      </c>
      <c r="L12" s="217"/>
      <c r="M12" s="230"/>
      <c r="N12" s="231"/>
      <c r="O12" s="217"/>
      <c r="P12" s="215" t="str">
        <f aca="false">IF((M12+N12)&gt;0,IF(N12&lt;K12,(K12-N12)," ")," ")</f>
        <v> </v>
      </c>
      <c r="Q12" s="215" t="str">
        <f aca="false">IF((M12+N12)&gt;0,IF(N12&gt;K12,(N12-K12)," ")," ")</f>
        <v> </v>
      </c>
    </row>
    <row r="13" customFormat="false" ht="12.65" hidden="false" customHeight="false" outlineLevel="0" collapsed="false">
      <c r="A13" s="230"/>
      <c r="B13" s="232"/>
      <c r="C13" s="232"/>
      <c r="D13" s="231"/>
      <c r="E13" s="218"/>
      <c r="F13" s="216"/>
      <c r="G13" s="217"/>
      <c r="H13" s="228"/>
      <c r="I13" s="175" t="n">
        <v>0</v>
      </c>
      <c r="J13" s="229" t="str">
        <f aca="false">IF((H13&gt;0),H13*J$4," ")</f>
        <v> </v>
      </c>
      <c r="K13" s="215" t="str">
        <f aca="false">IF(H13&gt;0,H13-H13*J$4," ")</f>
        <v> </v>
      </c>
      <c r="L13" s="217"/>
      <c r="M13" s="230"/>
      <c r="N13" s="231"/>
      <c r="O13" s="217"/>
      <c r="P13" s="215" t="str">
        <f aca="false">IF((M13+N13)&gt;0,IF(N13&lt;K13,(K13-N13)," ")," ")</f>
        <v> </v>
      </c>
      <c r="Q13" s="215" t="str">
        <f aca="false">IF((M13+N13)&gt;0,IF(N13&gt;K13,(N13-K13)," ")," ")</f>
        <v> </v>
      </c>
    </row>
    <row r="14" customFormat="false" ht="12.65" hidden="false" customHeight="false" outlineLevel="0" collapsed="false">
      <c r="A14" s="233"/>
      <c r="B14" s="234"/>
      <c r="C14" s="234"/>
      <c r="D14" s="235"/>
      <c r="E14" s="218"/>
      <c r="F14" s="216"/>
      <c r="G14" s="217"/>
      <c r="H14" s="228"/>
      <c r="I14" s="175" t="n">
        <v>0</v>
      </c>
      <c r="J14" s="229" t="str">
        <f aca="false">IF((H14&gt;0),H14*J$4," ")</f>
        <v> </v>
      </c>
      <c r="K14" s="215" t="str">
        <f aca="false">IF(H14&gt;0,H14-H14*J$4," ")</f>
        <v> </v>
      </c>
      <c r="L14" s="217"/>
      <c r="M14" s="230"/>
      <c r="N14" s="231"/>
      <c r="O14" s="217"/>
      <c r="P14" s="215" t="str">
        <f aca="false">IF((M14+N14)&gt;0,IF(N14&lt;K14,(K14-N14)," ")," ")</f>
        <v> </v>
      </c>
      <c r="Q14" s="215" t="str">
        <f aca="false">IF((M14+N14)&gt;0,IF(N14&gt;K14,(N14-K14)," ")," ")</f>
        <v> </v>
      </c>
    </row>
    <row r="15" customFormat="false" ht="12.65" hidden="false" customHeight="false" outlineLevel="0" collapsed="false">
      <c r="A15" s="236" t="s">
        <v>181</v>
      </c>
      <c r="B15" s="236"/>
      <c r="C15" s="237" t="n">
        <f aca="false">Admin!B$4</f>
        <v>45022</v>
      </c>
      <c r="D15" s="238" t="n">
        <f aca="false">SUM(D7:D14)</f>
        <v>0</v>
      </c>
      <c r="E15" s="218"/>
      <c r="F15" s="216"/>
      <c r="G15" s="217"/>
      <c r="H15" s="239" t="n">
        <f aca="false">SUM(H7:H14)</f>
        <v>0</v>
      </c>
      <c r="I15" s="240" t="n">
        <f aca="false">SUM(I7:I14)</f>
        <v>0</v>
      </c>
      <c r="J15" s="239" t="n">
        <f aca="false">SUM(J7:J14)</f>
        <v>0</v>
      </c>
      <c r="K15" s="238" t="n">
        <f aca="false">SUM(K7:K14)</f>
        <v>0</v>
      </c>
      <c r="L15" s="217"/>
      <c r="M15" s="224"/>
      <c r="N15" s="238" t="n">
        <f aca="false">SUM(N7:N14)</f>
        <v>0</v>
      </c>
      <c r="O15" s="217"/>
      <c r="P15" s="238" t="n">
        <f aca="false">SUM(P7:P14)</f>
        <v>0</v>
      </c>
      <c r="Q15" s="238" t="n">
        <f aca="false">SUM(Q7:Q14)</f>
        <v>0</v>
      </c>
    </row>
    <row r="16" customFormat="false" ht="12.65" hidden="false" customHeight="false" outlineLevel="0" collapsed="false">
      <c r="A16" s="224"/>
      <c r="B16" s="241"/>
      <c r="C16" s="241"/>
      <c r="D16" s="218"/>
      <c r="E16" s="218"/>
      <c r="F16" s="216"/>
      <c r="G16" s="217"/>
      <c r="H16" s="175"/>
      <c r="I16" s="215"/>
      <c r="J16" s="229"/>
      <c r="K16" s="215"/>
      <c r="L16" s="217"/>
      <c r="M16" s="224"/>
      <c r="N16" s="218"/>
      <c r="O16" s="217"/>
      <c r="P16" s="215"/>
      <c r="Q16" s="215"/>
    </row>
    <row r="17" customFormat="false" ht="12.65" hidden="false" customHeight="false" outlineLevel="0" collapsed="false">
      <c r="A17" s="236" t="s">
        <v>182</v>
      </c>
      <c r="B17" s="236"/>
      <c r="C17" s="237" t="n">
        <f aca="false">Admin!B$4</f>
        <v>45022</v>
      </c>
      <c r="D17" s="242"/>
      <c r="E17" s="222"/>
      <c r="F17" s="223"/>
      <c r="G17" s="217"/>
      <c r="H17" s="175"/>
      <c r="I17" s="215"/>
      <c r="J17" s="229"/>
      <c r="K17" s="215"/>
      <c r="L17" s="217"/>
      <c r="M17" s="224"/>
      <c r="N17" s="218"/>
      <c r="O17" s="217"/>
      <c r="P17" s="215"/>
      <c r="Q17" s="215"/>
    </row>
    <row r="18" customFormat="false" ht="12.65" hidden="false" customHeight="false" outlineLevel="0" collapsed="false">
      <c r="A18" s="225"/>
      <c r="B18" s="226"/>
      <c r="C18" s="226"/>
      <c r="D18" s="227"/>
      <c r="E18" s="218"/>
      <c r="F18" s="243"/>
      <c r="G18" s="217"/>
      <c r="H18" s="228"/>
      <c r="I18" s="175" t="n">
        <v>0</v>
      </c>
      <c r="J18" s="215" t="str">
        <f aca="false">IF(H18&gt;0,MIN(H18*J$4*(1-F18),Admin!G$8*(1-F18))," ")</f>
        <v> </v>
      </c>
      <c r="K18" s="215" t="str">
        <f aca="false">IF(H18&gt;0,H18-J18," ")</f>
        <v> </v>
      </c>
      <c r="L18" s="217"/>
      <c r="M18" s="230"/>
      <c r="N18" s="231"/>
      <c r="O18" s="217"/>
      <c r="P18" s="215" t="str">
        <f aca="false">IF((M18+N18)&gt;0,IF(N18&lt;K18,(K18-N18)*(1-F18)," ")," ")</f>
        <v> </v>
      </c>
      <c r="Q18" s="215" t="str">
        <f aca="false">IF((M18+N18)&gt;0,IF(N18&gt;K18,(N18-K18)*(1-F18)," ")," ")</f>
        <v> </v>
      </c>
    </row>
    <row r="19" customFormat="false" ht="12.65" hidden="false" customHeight="false" outlineLevel="0" collapsed="false">
      <c r="A19" s="230"/>
      <c r="B19" s="232"/>
      <c r="C19" s="232"/>
      <c r="D19" s="231"/>
      <c r="E19" s="218"/>
      <c r="F19" s="243"/>
      <c r="G19" s="217"/>
      <c r="H19" s="228"/>
      <c r="I19" s="175" t="n">
        <v>0</v>
      </c>
      <c r="J19" s="215" t="str">
        <f aca="false">IF(H19&gt;0,MIN(H19*J$4*(1-F19),Admin!G$8*(1-F19))," ")</f>
        <v> </v>
      </c>
      <c r="K19" s="215" t="str">
        <f aca="false">IF(H19&gt;0,H19-J19," ")</f>
        <v> </v>
      </c>
      <c r="L19" s="217"/>
      <c r="M19" s="230"/>
      <c r="N19" s="231"/>
      <c r="O19" s="217"/>
      <c r="P19" s="215" t="str">
        <f aca="false">IF((M19+N19)&gt;0,IF(N19&lt;K19,(K19-N19)*(1-F19)," ")," ")</f>
        <v> </v>
      </c>
      <c r="Q19" s="215" t="str">
        <f aca="false">IF((M19+N19)&gt;0,IF(N19&gt;K19,(N19-K19)*(1-F19)," ")," ")</f>
        <v> </v>
      </c>
    </row>
    <row r="20" customFormat="false" ht="12.65" hidden="false" customHeight="false" outlineLevel="0" collapsed="false">
      <c r="A20" s="230"/>
      <c r="B20" s="232"/>
      <c r="C20" s="232"/>
      <c r="D20" s="231"/>
      <c r="E20" s="218"/>
      <c r="F20" s="243"/>
      <c r="G20" s="217"/>
      <c r="H20" s="228"/>
      <c r="I20" s="175" t="n">
        <v>0</v>
      </c>
      <c r="J20" s="215" t="str">
        <f aca="false">IF(H20&gt;0,MIN(H20*J$4*(1-F20),Admin!G$8*(1-F20))," ")</f>
        <v> </v>
      </c>
      <c r="K20" s="215" t="str">
        <f aca="false">IF(H20&gt;0,H20-J20," ")</f>
        <v> </v>
      </c>
      <c r="L20" s="217"/>
      <c r="M20" s="230"/>
      <c r="N20" s="231"/>
      <c r="O20" s="217"/>
      <c r="P20" s="215" t="str">
        <f aca="false">IF((M20+N20)&gt;0,IF(N20&lt;K20,(K20-N20)*(1-F20)," ")," ")</f>
        <v> </v>
      </c>
      <c r="Q20" s="215" t="str">
        <f aca="false">IF((M20+N20)&gt;0,IF(N20&gt;K20,(N20-K20)*(1-F20)," ")," ")</f>
        <v> </v>
      </c>
    </row>
    <row r="21" customFormat="false" ht="12.65" hidden="false" customHeight="false" outlineLevel="0" collapsed="false">
      <c r="A21" s="230"/>
      <c r="B21" s="232"/>
      <c r="C21" s="232"/>
      <c r="D21" s="231"/>
      <c r="E21" s="218"/>
      <c r="F21" s="243"/>
      <c r="G21" s="217"/>
      <c r="H21" s="228"/>
      <c r="I21" s="175" t="n">
        <v>0</v>
      </c>
      <c r="J21" s="215" t="str">
        <f aca="false">IF(H21&gt;0,MIN(H21*J$4*(1-F21),Admin!G$8*(1-F21))," ")</f>
        <v> </v>
      </c>
      <c r="K21" s="215" t="str">
        <f aca="false">IF(H21&gt;0,H21-J21," ")</f>
        <v> </v>
      </c>
      <c r="L21" s="217"/>
      <c r="M21" s="230"/>
      <c r="N21" s="231"/>
      <c r="O21" s="217"/>
      <c r="P21" s="215" t="str">
        <f aca="false">IF((M21+N21)&gt;0,IF(N21&lt;K21,(K21-N21)*(1-F21)," ")," ")</f>
        <v> </v>
      </c>
      <c r="Q21" s="215" t="str">
        <f aca="false">IF((M21+N21)&gt;0,IF(N21&gt;K21,(N21-K21)*(1-F21)," ")," ")</f>
        <v> </v>
      </c>
    </row>
    <row r="22" customFormat="false" ht="12.65" hidden="false" customHeight="false" outlineLevel="0" collapsed="false">
      <c r="A22" s="233"/>
      <c r="B22" s="234"/>
      <c r="C22" s="234"/>
      <c r="D22" s="231"/>
      <c r="E22" s="218"/>
      <c r="F22" s="243"/>
      <c r="G22" s="217"/>
      <c r="H22" s="228"/>
      <c r="I22" s="175" t="n">
        <v>0</v>
      </c>
      <c r="J22" s="215" t="str">
        <f aca="false">IF(H22&gt;0,MIN(H22*J$4*(1-F22),Admin!G$8*(1-F22))," ")</f>
        <v> </v>
      </c>
      <c r="K22" s="215" t="str">
        <f aca="false">IF(H22&gt;0,H22-J22," ")</f>
        <v> </v>
      </c>
      <c r="L22" s="217"/>
      <c r="M22" s="230"/>
      <c r="N22" s="231"/>
      <c r="O22" s="217"/>
      <c r="P22" s="215" t="str">
        <f aca="false">IF((M22+N22)&gt;0,IF(N22&lt;K22,(K22-N22)*(1-F22)," ")," ")</f>
        <v> </v>
      </c>
      <c r="Q22" s="215" t="str">
        <f aca="false">IF((M22+N22)&gt;0,IF(N22&gt;K22,(N22-K22)*(1-F22)," ")," ")</f>
        <v> </v>
      </c>
    </row>
    <row r="23" customFormat="false" ht="12.65" hidden="false" customHeight="true" outlineLevel="0" collapsed="false">
      <c r="A23" s="244" t="s">
        <v>183</v>
      </c>
      <c r="B23" s="244"/>
      <c r="C23" s="245" t="n">
        <f aca="false">Admin!B$4</f>
        <v>45022</v>
      </c>
      <c r="D23" s="246" t="n">
        <f aca="false">SUM(D18:D22)</f>
        <v>0</v>
      </c>
      <c r="E23" s="218"/>
      <c r="F23" s="216"/>
      <c r="G23" s="217"/>
      <c r="H23" s="239" t="n">
        <f aca="false">SUM(H18:H22)</f>
        <v>0</v>
      </c>
      <c r="I23" s="240" t="n">
        <f aca="false">SUM(I18:I22)</f>
        <v>0</v>
      </c>
      <c r="J23" s="239" t="n">
        <f aca="false">SUM(J18:J22)</f>
        <v>0</v>
      </c>
      <c r="K23" s="238" t="n">
        <f aca="false">SUM(K18:K22)</f>
        <v>0</v>
      </c>
      <c r="L23" s="217"/>
      <c r="M23" s="224"/>
      <c r="N23" s="238" t="n">
        <f aca="false">SUM(N18:N22)</f>
        <v>0</v>
      </c>
      <c r="O23" s="217"/>
      <c r="P23" s="238" t="n">
        <f aca="false">SUM(P18:P22)</f>
        <v>0</v>
      </c>
      <c r="Q23" s="238" t="n">
        <f aca="false">SUM(Q18:Q22)</f>
        <v>0</v>
      </c>
    </row>
    <row r="24" customFormat="false" ht="12.65" hidden="false" customHeight="false" outlineLevel="0" collapsed="false">
      <c r="A24" s="224"/>
      <c r="B24" s="241"/>
      <c r="C24" s="241"/>
      <c r="D24" s="218"/>
      <c r="E24" s="218"/>
      <c r="F24" s="216"/>
      <c r="G24" s="217"/>
      <c r="H24" s="175"/>
      <c r="I24" s="175"/>
      <c r="J24" s="175"/>
      <c r="K24" s="215"/>
      <c r="L24" s="217"/>
      <c r="M24" s="224"/>
      <c r="N24" s="218"/>
      <c r="O24" s="217"/>
      <c r="P24" s="215"/>
      <c r="Q24" s="215"/>
    </row>
    <row r="25" customFormat="false" ht="12.65" hidden="false" customHeight="false" outlineLevel="0" collapsed="false">
      <c r="A25" s="236" t="s">
        <v>184</v>
      </c>
      <c r="B25" s="236"/>
      <c r="C25" s="237" t="n">
        <f aca="false">Admin!B$4</f>
        <v>45022</v>
      </c>
      <c r="D25" s="242"/>
      <c r="E25" s="222"/>
      <c r="F25" s="223"/>
      <c r="G25" s="217"/>
      <c r="H25" s="175"/>
      <c r="I25" s="175"/>
      <c r="J25" s="175"/>
      <c r="K25" s="215"/>
      <c r="L25" s="217"/>
      <c r="M25" s="224"/>
      <c r="N25" s="218"/>
      <c r="O25" s="217"/>
      <c r="P25" s="215"/>
      <c r="Q25" s="215"/>
    </row>
    <row r="26" customFormat="false" ht="12.65" hidden="false" customHeight="false" outlineLevel="0" collapsed="false">
      <c r="A26" s="225"/>
      <c r="B26" s="226"/>
      <c r="C26" s="226"/>
      <c r="D26" s="227"/>
      <c r="E26" s="218"/>
      <c r="F26" s="243"/>
      <c r="G26" s="217"/>
      <c r="H26" s="228"/>
      <c r="I26" s="175" t="n">
        <v>0</v>
      </c>
      <c r="J26" s="215" t="str">
        <f aca="false">IF(H26&gt;0,MIN(H26*J$4*(1-F26),Admin!G$8*(1-F26))," ")</f>
        <v> </v>
      </c>
      <c r="K26" s="215" t="str">
        <f aca="false">IF(H26&gt;0,H26-J26," ")</f>
        <v> </v>
      </c>
      <c r="L26" s="217"/>
      <c r="M26" s="230"/>
      <c r="N26" s="231"/>
      <c r="O26" s="217"/>
      <c r="P26" s="215" t="str">
        <f aca="false">IF((M26+N26)&gt;0,IF(N26&lt;K26,(K26-N26)*(1-F26)," ")," ")</f>
        <v> </v>
      </c>
      <c r="Q26" s="215" t="str">
        <f aca="false">IF((M26+N26)&gt;0,IF(N26&gt;K26,(N26-K26)*(1-F26)," ")," ")</f>
        <v> </v>
      </c>
    </row>
    <row r="27" customFormat="false" ht="12.65" hidden="false" customHeight="false" outlineLevel="0" collapsed="false">
      <c r="A27" s="230"/>
      <c r="B27" s="232"/>
      <c r="C27" s="232"/>
      <c r="D27" s="231"/>
      <c r="E27" s="218"/>
      <c r="F27" s="243"/>
      <c r="G27" s="217"/>
      <c r="H27" s="228"/>
      <c r="I27" s="175" t="n">
        <v>0</v>
      </c>
      <c r="J27" s="215" t="str">
        <f aca="false">IF(H27&gt;0,MIN(H27*J$4*(1-F27),Admin!G$8*(1-F27))," ")</f>
        <v> </v>
      </c>
      <c r="K27" s="215" t="str">
        <f aca="false">IF(H27&gt;0,H27-J27," ")</f>
        <v> </v>
      </c>
      <c r="L27" s="217"/>
      <c r="M27" s="230"/>
      <c r="N27" s="231"/>
      <c r="O27" s="217"/>
      <c r="P27" s="215" t="str">
        <f aca="false">IF((M27+N27)&gt;0,IF(N27&lt;K27,(K27-N27)*(1-F27)," ")," ")</f>
        <v> </v>
      </c>
      <c r="Q27" s="215" t="str">
        <f aca="false">IF((M27+N27)&gt;0,IF(N27&gt;K27,(N27-K27)*(1-F27)," ")," ")</f>
        <v> </v>
      </c>
    </row>
    <row r="28" customFormat="false" ht="12.65" hidden="false" customHeight="false" outlineLevel="0" collapsed="false">
      <c r="A28" s="230"/>
      <c r="B28" s="232"/>
      <c r="C28" s="232"/>
      <c r="D28" s="231"/>
      <c r="E28" s="218"/>
      <c r="F28" s="243"/>
      <c r="G28" s="217"/>
      <c r="H28" s="228"/>
      <c r="I28" s="175" t="n">
        <v>0</v>
      </c>
      <c r="J28" s="215" t="str">
        <f aca="false">IF(H28&gt;0,MIN(H28*J$4*(1-F28),Admin!G$8*(1-F28))," ")</f>
        <v> </v>
      </c>
      <c r="K28" s="215" t="str">
        <f aca="false">IF(H28&gt;0,H28-J28," ")</f>
        <v> </v>
      </c>
      <c r="L28" s="217"/>
      <c r="M28" s="230"/>
      <c r="N28" s="231"/>
      <c r="O28" s="217"/>
      <c r="P28" s="215" t="str">
        <f aca="false">IF((M28+N28)&gt;0,IF(N28&lt;K28,(K28-N28)*(1-F28)," ")," ")</f>
        <v> </v>
      </c>
      <c r="Q28" s="215" t="str">
        <f aca="false">IF((M28+N28)&gt;0,IF(N28&gt;K28,(N28-K28)*(1-F28)," ")," ")</f>
        <v> </v>
      </c>
    </row>
    <row r="29" customFormat="false" ht="12.65" hidden="false" customHeight="false" outlineLevel="0" collapsed="false">
      <c r="A29" s="230"/>
      <c r="B29" s="232"/>
      <c r="C29" s="232"/>
      <c r="D29" s="231"/>
      <c r="E29" s="218"/>
      <c r="F29" s="243"/>
      <c r="G29" s="217"/>
      <c r="H29" s="228"/>
      <c r="I29" s="175" t="n">
        <v>0</v>
      </c>
      <c r="J29" s="215" t="str">
        <f aca="false">IF(H29&gt;0,MIN(H29*J$4*(1-F29),Admin!G$8*(1-F29))," ")</f>
        <v> </v>
      </c>
      <c r="K29" s="215" t="str">
        <f aca="false">IF(H29&gt;0,H29-J29," ")</f>
        <v> </v>
      </c>
      <c r="L29" s="217"/>
      <c r="M29" s="230"/>
      <c r="N29" s="231"/>
      <c r="O29" s="217"/>
      <c r="P29" s="215" t="str">
        <f aca="false">IF((M29+N29)&gt;0,IF(N29&lt;K29,(K29-N29)*(1-F29)," ")," ")</f>
        <v> </v>
      </c>
      <c r="Q29" s="215" t="str">
        <f aca="false">IF((M29+N29)&gt;0,IF(N29&gt;K29,(N29-K29)*(1-F29)," ")," ")</f>
        <v> </v>
      </c>
    </row>
    <row r="30" customFormat="false" ht="12.65" hidden="false" customHeight="false" outlineLevel="0" collapsed="false">
      <c r="A30" s="230"/>
      <c r="B30" s="232"/>
      <c r="C30" s="232"/>
      <c r="D30" s="231"/>
      <c r="E30" s="218"/>
      <c r="F30" s="243"/>
      <c r="G30" s="217"/>
      <c r="H30" s="228"/>
      <c r="I30" s="175" t="n">
        <v>0</v>
      </c>
      <c r="J30" s="215" t="str">
        <f aca="false">IF(H30&gt;0,MIN(H30*J$4*(1-F30),Admin!G$8*(1-F30))," ")</f>
        <v> </v>
      </c>
      <c r="K30" s="215" t="str">
        <f aca="false">IF(H30&gt;0,H30-J30," ")</f>
        <v> </v>
      </c>
      <c r="L30" s="217"/>
      <c r="M30" s="230"/>
      <c r="N30" s="231"/>
      <c r="O30" s="217"/>
      <c r="P30" s="215" t="str">
        <f aca="false">IF((M30+N30)&gt;0,IF(N30&lt;K30,(K30-N30)*(1-F30)," ")," ")</f>
        <v> </v>
      </c>
      <c r="Q30" s="215" t="str">
        <f aca="false">IF((M30+N30)&gt;0,IF(N30&gt;K30,(N30-K30)*(1-F30)," ")," ")</f>
        <v> </v>
      </c>
    </row>
    <row r="31" customFormat="false" ht="12.65" hidden="false" customHeight="true" outlineLevel="0" collapsed="false">
      <c r="A31" s="244" t="s">
        <v>185</v>
      </c>
      <c r="B31" s="244"/>
      <c r="C31" s="245" t="n">
        <f aca="false">Admin!B$4</f>
        <v>45022</v>
      </c>
      <c r="D31" s="238" t="n">
        <f aca="false">SUM(D26:D30)</f>
        <v>0</v>
      </c>
      <c r="E31" s="218"/>
      <c r="F31" s="216"/>
      <c r="G31" s="217"/>
      <c r="H31" s="239" t="n">
        <f aca="false">SUM(H26:H30)</f>
        <v>0</v>
      </c>
      <c r="I31" s="240" t="n">
        <f aca="false">SUM(I26:I30)</f>
        <v>0</v>
      </c>
      <c r="J31" s="239" t="n">
        <f aca="false">SUM(J26:J30)</f>
        <v>0</v>
      </c>
      <c r="K31" s="238" t="n">
        <f aca="false">SUM(K26:K30)</f>
        <v>0</v>
      </c>
      <c r="L31" s="217"/>
      <c r="M31" s="224"/>
      <c r="N31" s="238" t="n">
        <f aca="false">SUM(N26:N30)</f>
        <v>0</v>
      </c>
      <c r="O31" s="217"/>
      <c r="P31" s="238" t="n">
        <f aca="false">SUM(P26:P30)</f>
        <v>0</v>
      </c>
      <c r="Q31" s="238" t="n">
        <f aca="false">SUM(Q26:Q30)</f>
        <v>0</v>
      </c>
    </row>
    <row r="32" customFormat="false" ht="12.65" hidden="false" customHeight="false" outlineLevel="0" collapsed="false">
      <c r="A32" s="224"/>
      <c r="B32" s="241"/>
      <c r="C32" s="241"/>
      <c r="D32" s="218"/>
      <c r="E32" s="218"/>
      <c r="F32" s="216"/>
      <c r="G32" s="217"/>
      <c r="H32" s="175"/>
      <c r="I32" s="175"/>
      <c r="J32" s="175"/>
      <c r="K32" s="215"/>
      <c r="L32" s="217"/>
      <c r="M32" s="224"/>
      <c r="N32" s="218"/>
      <c r="O32" s="217"/>
      <c r="P32" s="215"/>
      <c r="Q32" s="215"/>
    </row>
    <row r="33" customFormat="false" ht="12.65" hidden="false" customHeight="false" outlineLevel="0" collapsed="false">
      <c r="A33" s="247" t="s">
        <v>186</v>
      </c>
      <c r="B33" s="247"/>
      <c r="C33" s="248" t="n">
        <f aca="false">Admin!B4</f>
        <v>45022</v>
      </c>
      <c r="D33" s="249" t="n">
        <f aca="false">D15+D23+D31</f>
        <v>0</v>
      </c>
      <c r="E33" s="218"/>
      <c r="F33" s="216"/>
      <c r="G33" s="217"/>
      <c r="H33" s="250" t="n">
        <f aca="false">H15+H23+H31</f>
        <v>0</v>
      </c>
      <c r="I33" s="251" t="n">
        <f aca="false">I15+I23+I31</f>
        <v>0</v>
      </c>
      <c r="J33" s="250" t="n">
        <f aca="false">J15+J23+J31</f>
        <v>0</v>
      </c>
      <c r="K33" s="249" t="n">
        <f aca="false">K15+K23+K31</f>
        <v>0</v>
      </c>
      <c r="L33" s="217"/>
      <c r="M33" s="224"/>
      <c r="N33" s="249" t="n">
        <f aca="false">N15+N23+N31</f>
        <v>0</v>
      </c>
      <c r="O33" s="217"/>
      <c r="P33" s="249" t="n">
        <f aca="false">P15+P23+P31</f>
        <v>0</v>
      </c>
      <c r="Q33" s="249" t="n">
        <f aca="false">Q15+Q23+Q31</f>
        <v>0</v>
      </c>
    </row>
    <row r="34" customFormat="false" ht="12.65" hidden="false" customHeight="false" outlineLevel="0" collapsed="false">
      <c r="A34" s="252"/>
      <c r="B34" s="253"/>
      <c r="C34" s="254"/>
      <c r="D34" s="218"/>
      <c r="E34" s="218"/>
      <c r="F34" s="216"/>
      <c r="G34" s="217"/>
      <c r="H34" s="218"/>
      <c r="I34" s="215"/>
      <c r="J34" s="215"/>
      <c r="K34" s="215"/>
      <c r="L34" s="217"/>
      <c r="M34" s="224"/>
      <c r="N34" s="218"/>
      <c r="O34" s="217"/>
      <c r="P34" s="215"/>
      <c r="Q34" s="215"/>
    </row>
    <row r="35" customFormat="false" ht="12.65" hidden="false" customHeight="false" outlineLevel="0" collapsed="false">
      <c r="A35" s="255" t="s">
        <v>187</v>
      </c>
      <c r="B35" s="255"/>
      <c r="C35" s="255"/>
      <c r="D35" s="256" t="n">
        <f aca="false">Admin!B$4</f>
        <v>45022</v>
      </c>
      <c r="E35" s="222"/>
      <c r="F35" s="223"/>
      <c r="G35" s="217"/>
      <c r="H35" s="218"/>
      <c r="I35" s="215"/>
      <c r="J35" s="215"/>
      <c r="K35" s="215"/>
      <c r="L35" s="217"/>
      <c r="M35" s="224"/>
      <c r="N35" s="218"/>
      <c r="O35" s="217"/>
      <c r="P35" s="215"/>
      <c r="Q35" s="215"/>
    </row>
    <row r="36" customFormat="false" ht="12.65" hidden="false" customHeight="false" outlineLevel="0" collapsed="false">
      <c r="A36" s="225"/>
      <c r="B36" s="226"/>
      <c r="C36" s="257"/>
      <c r="D36" s="227"/>
      <c r="E36" s="218"/>
      <c r="F36" s="216"/>
      <c r="G36" s="217"/>
      <c r="H36" s="175" t="n">
        <v>0</v>
      </c>
      <c r="I36" s="258" t="str">
        <f aca="false">IF((D36&gt;0),D36*I$4," ")</f>
        <v> </v>
      </c>
      <c r="J36" s="175" t="n">
        <v>0</v>
      </c>
      <c r="K36" s="215" t="str">
        <f aca="false">IF(D36&gt;0,D36-D36*I$4," ")</f>
        <v> </v>
      </c>
      <c r="L36" s="217"/>
      <c r="M36" s="230"/>
      <c r="N36" s="231"/>
      <c r="O36" s="217"/>
      <c r="P36" s="215" t="str">
        <f aca="false">IF((M36+N36)&gt;0,IF(N36&lt;K36,(K36-N36)," ")," ")</f>
        <v> </v>
      </c>
      <c r="Q36" s="215" t="str">
        <f aca="false">IF((M36+N36)&gt;0,IF(N36&gt;K36,(N36-K36)," ")," ")</f>
        <v> </v>
      </c>
    </row>
    <row r="37" customFormat="false" ht="12.65" hidden="false" customHeight="false" outlineLevel="0" collapsed="false">
      <c r="A37" s="230"/>
      <c r="B37" s="232"/>
      <c r="C37" s="259"/>
      <c r="D37" s="231"/>
      <c r="E37" s="218"/>
      <c r="F37" s="216"/>
      <c r="G37" s="217"/>
      <c r="H37" s="175" t="n">
        <v>0</v>
      </c>
      <c r="I37" s="258" t="str">
        <f aca="false">IF((D37&gt;0),D37*I$4," ")</f>
        <v> </v>
      </c>
      <c r="J37" s="175" t="n">
        <v>0</v>
      </c>
      <c r="K37" s="215" t="str">
        <f aca="false">IF(D37&gt;0,D37-D37*I$4," ")</f>
        <v> </v>
      </c>
      <c r="L37" s="217"/>
      <c r="M37" s="230"/>
      <c r="N37" s="231"/>
      <c r="O37" s="217"/>
      <c r="P37" s="215" t="str">
        <f aca="false">IF((M37+N37)&gt;0,IF(N37&lt;K37,(K37-N37)," ")," ")</f>
        <v> </v>
      </c>
      <c r="Q37" s="215" t="str">
        <f aca="false">IF((M37+N37)&gt;0,IF(N37&gt;K37,(N37-K37)," ")," ")</f>
        <v> </v>
      </c>
    </row>
    <row r="38" customFormat="false" ht="12.65" hidden="false" customHeight="false" outlineLevel="0" collapsed="false">
      <c r="A38" s="230"/>
      <c r="B38" s="232"/>
      <c r="C38" s="259"/>
      <c r="D38" s="231"/>
      <c r="E38" s="218"/>
      <c r="F38" s="216"/>
      <c r="G38" s="217"/>
      <c r="H38" s="175" t="n">
        <v>0</v>
      </c>
      <c r="I38" s="258" t="str">
        <f aca="false">IF((D38&gt;0),D38*I$4," ")</f>
        <v> </v>
      </c>
      <c r="J38" s="175" t="n">
        <v>0</v>
      </c>
      <c r="K38" s="215" t="str">
        <f aca="false">IF(D38&gt;0,D38-D38*I$4," ")</f>
        <v> </v>
      </c>
      <c r="L38" s="217"/>
      <c r="M38" s="230"/>
      <c r="N38" s="231"/>
      <c r="O38" s="217"/>
      <c r="P38" s="215" t="str">
        <f aca="false">IF((M38+N38)&gt;0,IF(N38&lt;K38,(K38-N38)," ")," ")</f>
        <v> </v>
      </c>
      <c r="Q38" s="215" t="str">
        <f aca="false">IF((M38+N38)&gt;0,IF(N38&gt;K38,(N38-K38)," ")," ")</f>
        <v> </v>
      </c>
    </row>
    <row r="39" customFormat="false" ht="12.65" hidden="false" customHeight="false" outlineLevel="0" collapsed="false">
      <c r="A39" s="230"/>
      <c r="B39" s="232"/>
      <c r="C39" s="259"/>
      <c r="D39" s="231"/>
      <c r="E39" s="218"/>
      <c r="F39" s="216"/>
      <c r="G39" s="217"/>
      <c r="H39" s="175" t="n">
        <v>0</v>
      </c>
      <c r="I39" s="258" t="str">
        <f aca="false">IF((D39&gt;0),D39*I$4," ")</f>
        <v> </v>
      </c>
      <c r="J39" s="175" t="n">
        <v>0</v>
      </c>
      <c r="K39" s="215" t="str">
        <f aca="false">IF(D39&gt;0,D39-D39*I$4," ")</f>
        <v> </v>
      </c>
      <c r="L39" s="217"/>
      <c r="M39" s="230"/>
      <c r="N39" s="231"/>
      <c r="O39" s="217"/>
      <c r="P39" s="215" t="str">
        <f aca="false">IF((M39+N39)&gt;0,IF(N39&lt;K39,(K39-N39)," ")," ")</f>
        <v> </v>
      </c>
      <c r="Q39" s="215" t="str">
        <f aca="false">IF((M39+N39)&gt;0,IF(N39&gt;K39,(N39-K39)," ")," ")</f>
        <v> </v>
      </c>
    </row>
    <row r="40" customFormat="false" ht="12.65" hidden="false" customHeight="false" outlineLevel="0" collapsed="false">
      <c r="A40" s="230"/>
      <c r="B40" s="232"/>
      <c r="C40" s="259"/>
      <c r="D40" s="231"/>
      <c r="E40" s="218"/>
      <c r="F40" s="216"/>
      <c r="G40" s="217"/>
      <c r="H40" s="175" t="n">
        <v>0</v>
      </c>
      <c r="I40" s="258" t="str">
        <f aca="false">IF((D40&gt;0),D40*I$4," ")</f>
        <v> </v>
      </c>
      <c r="J40" s="175" t="n">
        <v>0</v>
      </c>
      <c r="K40" s="215" t="str">
        <f aca="false">IF(D40&gt;0,D40-D40*I$4," ")</f>
        <v> </v>
      </c>
      <c r="L40" s="217"/>
      <c r="M40" s="230"/>
      <c r="N40" s="231"/>
      <c r="O40" s="217"/>
      <c r="P40" s="215" t="str">
        <f aca="false">IF((M40+N40)&gt;0,IF(N40&lt;K40,(K40-N40)," ")," ")</f>
        <v> </v>
      </c>
      <c r="Q40" s="215" t="str">
        <f aca="false">IF((M40+N40)&gt;0,IF(N40&gt;K40,(N40-K40)," ")," ")</f>
        <v> </v>
      </c>
    </row>
    <row r="41" customFormat="false" ht="12.65" hidden="false" customHeight="false" outlineLevel="0" collapsed="false">
      <c r="A41" s="230"/>
      <c r="B41" s="232"/>
      <c r="C41" s="259"/>
      <c r="D41" s="231"/>
      <c r="E41" s="218"/>
      <c r="F41" s="216"/>
      <c r="G41" s="217"/>
      <c r="H41" s="175" t="n">
        <v>0</v>
      </c>
      <c r="I41" s="258" t="str">
        <f aca="false">IF((D41&gt;0),D41*I$4," ")</f>
        <v> </v>
      </c>
      <c r="J41" s="175" t="n">
        <v>0</v>
      </c>
      <c r="K41" s="215" t="str">
        <f aca="false">IF(D41&gt;0,D41-D41*I$4," ")</f>
        <v> </v>
      </c>
      <c r="L41" s="217"/>
      <c r="M41" s="230"/>
      <c r="N41" s="231"/>
      <c r="O41" s="217"/>
      <c r="P41" s="215" t="str">
        <f aca="false">IF((M41+N41)&gt;0,IF(N41&lt;K41,(K41-N41)," ")," ")</f>
        <v> </v>
      </c>
      <c r="Q41" s="215" t="str">
        <f aca="false">IF((M41+N41)&gt;0,IF(N41&gt;K41,(N41-K41)," ")," ")</f>
        <v> </v>
      </c>
    </row>
    <row r="42" customFormat="false" ht="12.65" hidden="false" customHeight="false" outlineLevel="0" collapsed="false">
      <c r="A42" s="230"/>
      <c r="B42" s="232"/>
      <c r="C42" s="259"/>
      <c r="D42" s="231"/>
      <c r="E42" s="218"/>
      <c r="F42" s="216"/>
      <c r="G42" s="217"/>
      <c r="H42" s="175" t="n">
        <v>0</v>
      </c>
      <c r="I42" s="258" t="str">
        <f aca="false">IF((D42&gt;0),D42*I$4," ")</f>
        <v> </v>
      </c>
      <c r="J42" s="175" t="n">
        <v>0</v>
      </c>
      <c r="K42" s="215" t="str">
        <f aca="false">IF(D42&gt;0,D42-D42*I$4," ")</f>
        <v> </v>
      </c>
      <c r="L42" s="217"/>
      <c r="M42" s="230"/>
      <c r="N42" s="231"/>
      <c r="O42" s="217"/>
      <c r="P42" s="215" t="str">
        <f aca="false">IF((M42+N42)&gt;0,IF(N42&lt;K42,(K42-N42)," ")," ")</f>
        <v> </v>
      </c>
      <c r="Q42" s="215" t="str">
        <f aca="false">IF((M42+N42)&gt;0,IF(N42&gt;K42,(N42-K42)," ")," ")</f>
        <v> </v>
      </c>
    </row>
    <row r="43" customFormat="false" ht="12.65" hidden="false" customHeight="false" outlineLevel="0" collapsed="false">
      <c r="A43" s="233"/>
      <c r="B43" s="234"/>
      <c r="C43" s="260"/>
      <c r="D43" s="235"/>
      <c r="E43" s="218"/>
      <c r="F43" s="216"/>
      <c r="G43" s="217"/>
      <c r="H43" s="175" t="n">
        <v>0</v>
      </c>
      <c r="I43" s="258" t="str">
        <f aca="false">IF((D43&gt;0),D43*I$4," ")</f>
        <v> </v>
      </c>
      <c r="J43" s="175" t="n">
        <v>0</v>
      </c>
      <c r="K43" s="215" t="str">
        <f aca="false">IF(D43&gt;0,D43-D43*I$4," ")</f>
        <v> </v>
      </c>
      <c r="L43" s="217"/>
      <c r="M43" s="230"/>
      <c r="N43" s="231"/>
      <c r="O43" s="217"/>
      <c r="P43" s="215" t="str">
        <f aca="false">IF((M43+N43)&gt;0,IF(N43&lt;K43,(K43-N43)," ")," ")</f>
        <v> </v>
      </c>
      <c r="Q43" s="215" t="str">
        <f aca="false">IF((M43+N43)&gt;0,IF(N43&gt;K43,(N43-K43)," ")," ")</f>
        <v> </v>
      </c>
    </row>
    <row r="44" customFormat="false" ht="12.75" hidden="false" customHeight="true" outlineLevel="0" collapsed="false">
      <c r="A44" s="261" t="s">
        <v>188</v>
      </c>
      <c r="B44" s="261"/>
      <c r="C44" s="262" t="n">
        <f aca="false">Admin!B$4</f>
        <v>45022</v>
      </c>
      <c r="D44" s="238" t="n">
        <f aca="false">SUM(D36:D43)</f>
        <v>0</v>
      </c>
      <c r="E44" s="218"/>
      <c r="F44" s="216"/>
      <c r="G44" s="217"/>
      <c r="H44" s="239" t="n">
        <f aca="false">SUM(H36:H43)</f>
        <v>0</v>
      </c>
      <c r="I44" s="240" t="n">
        <f aca="false">SUM(I36:I43)</f>
        <v>0</v>
      </c>
      <c r="J44" s="239" t="n">
        <f aca="false">SUM(J36:J43)</f>
        <v>0</v>
      </c>
      <c r="K44" s="238" t="n">
        <f aca="false">SUM(K36:K43)</f>
        <v>0</v>
      </c>
      <c r="L44" s="217"/>
      <c r="M44" s="224"/>
      <c r="N44" s="238" t="n">
        <f aca="false">SUM(N36:N43)</f>
        <v>0</v>
      </c>
      <c r="O44" s="217"/>
      <c r="P44" s="238" t="n">
        <f aca="false">SUM(P36:P43)</f>
        <v>0</v>
      </c>
      <c r="Q44" s="238" t="n">
        <f aca="false">SUM(Q36:Q43)</f>
        <v>0</v>
      </c>
    </row>
    <row r="45" customFormat="false" ht="12.65" hidden="false" customHeight="false" outlineLevel="0" collapsed="false">
      <c r="A45" s="224"/>
      <c r="B45" s="241"/>
      <c r="C45" s="263"/>
      <c r="D45" s="218"/>
      <c r="E45" s="218"/>
      <c r="F45" s="216"/>
      <c r="G45" s="217"/>
      <c r="H45" s="175"/>
      <c r="I45" s="258"/>
      <c r="J45" s="175"/>
      <c r="K45" s="215"/>
      <c r="L45" s="217"/>
      <c r="M45" s="224"/>
      <c r="N45" s="218"/>
      <c r="O45" s="217"/>
      <c r="P45" s="215"/>
      <c r="Q45" s="215"/>
    </row>
    <row r="46" customFormat="false" ht="12.65" hidden="false" customHeight="false" outlineLevel="0" collapsed="false">
      <c r="A46" s="261" t="s">
        <v>189</v>
      </c>
      <c r="B46" s="261"/>
      <c r="C46" s="262" t="n">
        <f aca="false">Admin!B$4</f>
        <v>45022</v>
      </c>
      <c r="D46" s="264"/>
      <c r="E46" s="222"/>
      <c r="F46" s="223"/>
      <c r="G46" s="217"/>
      <c r="H46" s="175"/>
      <c r="I46" s="258"/>
      <c r="J46" s="175"/>
      <c r="K46" s="215"/>
      <c r="L46" s="217"/>
      <c r="M46" s="224"/>
      <c r="N46" s="218"/>
      <c r="O46" s="217"/>
      <c r="P46" s="215"/>
      <c r="Q46" s="215"/>
    </row>
    <row r="47" customFormat="false" ht="12.65" hidden="false" customHeight="false" outlineLevel="0" collapsed="false">
      <c r="A47" s="225"/>
      <c r="B47" s="226"/>
      <c r="C47" s="257"/>
      <c r="D47" s="227"/>
      <c r="E47" s="218"/>
      <c r="F47" s="243"/>
      <c r="G47" s="217"/>
      <c r="H47" s="175" t="n">
        <v>0</v>
      </c>
      <c r="I47" s="175" t="n">
        <v>0</v>
      </c>
      <c r="J47" s="215" t="str">
        <f aca="false">IF(D47&gt;0,MIN(D47*J$4*(1-F47),Admin!G$8*(1-F47))," ")</f>
        <v> </v>
      </c>
      <c r="K47" s="215" t="str">
        <f aca="false">IF(D47&gt;0,D47-J47," ")</f>
        <v> </v>
      </c>
      <c r="L47" s="217"/>
      <c r="M47" s="230"/>
      <c r="N47" s="231"/>
      <c r="O47" s="217"/>
      <c r="P47" s="215" t="str">
        <f aca="false">IF((M47+N47)&gt;0,IF(N47&lt;K47,(K47-N47)*(1-F47)," ")," ")</f>
        <v> </v>
      </c>
      <c r="Q47" s="215" t="str">
        <f aca="false">IF((M47+N47)&gt;0,IF(N47&gt;K47,(N47-K47)*(1-F47)," ")," ")</f>
        <v> </v>
      </c>
    </row>
    <row r="48" customFormat="false" ht="12.65" hidden="false" customHeight="false" outlineLevel="0" collapsed="false">
      <c r="A48" s="230"/>
      <c r="B48" s="232"/>
      <c r="C48" s="259"/>
      <c r="D48" s="231"/>
      <c r="E48" s="218"/>
      <c r="F48" s="243"/>
      <c r="G48" s="217"/>
      <c r="H48" s="175" t="n">
        <v>0</v>
      </c>
      <c r="I48" s="175" t="n">
        <v>0</v>
      </c>
      <c r="J48" s="215" t="str">
        <f aca="false">IF(D48&gt;0,MIN(D48*J$4*(1-F48),Admin!G$8*(1-F48))," ")</f>
        <v> </v>
      </c>
      <c r="K48" s="215" t="str">
        <f aca="false">IF(D48&gt;0,D48-J48," ")</f>
        <v> </v>
      </c>
      <c r="L48" s="217"/>
      <c r="M48" s="230"/>
      <c r="N48" s="231"/>
      <c r="O48" s="217"/>
      <c r="P48" s="215" t="str">
        <f aca="false">IF((M48+N48)&gt;0,IF(N48&lt;K48,(K48-N48)*(1-F48)," ")," ")</f>
        <v> </v>
      </c>
      <c r="Q48" s="215" t="str">
        <f aca="false">IF((M48+N48)&gt;0,IF(N48&gt;K48,(N48-K48)*(1-F48)," ")," ")</f>
        <v> </v>
      </c>
    </row>
    <row r="49" customFormat="false" ht="12.65" hidden="false" customHeight="false" outlineLevel="0" collapsed="false">
      <c r="A49" s="230"/>
      <c r="B49" s="232"/>
      <c r="C49" s="259"/>
      <c r="D49" s="231"/>
      <c r="E49" s="218"/>
      <c r="F49" s="243"/>
      <c r="G49" s="217"/>
      <c r="H49" s="175" t="n">
        <v>0</v>
      </c>
      <c r="I49" s="175" t="n">
        <v>0</v>
      </c>
      <c r="J49" s="215" t="str">
        <f aca="false">IF(D49&gt;0,MIN(D49*J$4*(1-F49),Admin!G$8*(1-F49))," ")</f>
        <v> </v>
      </c>
      <c r="K49" s="215" t="str">
        <f aca="false">IF(D49&gt;0,D49-J49," ")</f>
        <v> </v>
      </c>
      <c r="L49" s="217"/>
      <c r="M49" s="230"/>
      <c r="N49" s="231"/>
      <c r="O49" s="217"/>
      <c r="P49" s="215" t="str">
        <f aca="false">IF((M49+N49)&gt;0,IF(N49&lt;K49,(K49-N49)*(1-F49)," ")," ")</f>
        <v> </v>
      </c>
      <c r="Q49" s="215" t="str">
        <f aca="false">IF((M49+N49)&gt;0,IF(N49&gt;K49,(N49-K49)*(1-F49)," ")," ")</f>
        <v> </v>
      </c>
    </row>
    <row r="50" customFormat="false" ht="12.65" hidden="false" customHeight="false" outlineLevel="0" collapsed="false">
      <c r="A50" s="230"/>
      <c r="B50" s="232"/>
      <c r="C50" s="259"/>
      <c r="D50" s="231"/>
      <c r="E50" s="218"/>
      <c r="F50" s="243"/>
      <c r="G50" s="217"/>
      <c r="H50" s="175" t="n">
        <v>0</v>
      </c>
      <c r="I50" s="175" t="n">
        <v>0</v>
      </c>
      <c r="J50" s="215" t="str">
        <f aca="false">IF(D50&gt;0,MIN(D50*J$4*(1-F50),Admin!G$8*(1-F50))," ")</f>
        <v> </v>
      </c>
      <c r="K50" s="215" t="str">
        <f aca="false">IF(D50&gt;0,D50-J50," ")</f>
        <v> </v>
      </c>
      <c r="L50" s="217"/>
      <c r="M50" s="230"/>
      <c r="N50" s="231"/>
      <c r="O50" s="217"/>
      <c r="P50" s="215" t="str">
        <f aca="false">IF((M50+N50)&gt;0,IF(N50&lt;K50,(K50-N50)*(1-F50)," ")," ")</f>
        <v> </v>
      </c>
      <c r="Q50" s="215" t="str">
        <f aca="false">IF((M50+N50)&gt;0,IF(N50&gt;K50,(N50-K50)*(1-F50)," ")," ")</f>
        <v> </v>
      </c>
    </row>
    <row r="51" customFormat="false" ht="12.65" hidden="false" customHeight="false" outlineLevel="0" collapsed="false">
      <c r="A51" s="230"/>
      <c r="B51" s="232"/>
      <c r="C51" s="259"/>
      <c r="D51" s="231"/>
      <c r="E51" s="218"/>
      <c r="F51" s="243"/>
      <c r="G51" s="217"/>
      <c r="H51" s="175" t="n">
        <v>0</v>
      </c>
      <c r="I51" s="175" t="n">
        <v>0</v>
      </c>
      <c r="J51" s="215" t="str">
        <f aca="false">IF(D51&gt;0,MIN(D51*J$4*(1-F51),Admin!G$8*(1-F51))," ")</f>
        <v> </v>
      </c>
      <c r="K51" s="215" t="str">
        <f aca="false">IF(D51&gt;0,D51-J51," ")</f>
        <v> </v>
      </c>
      <c r="L51" s="217"/>
      <c r="M51" s="230"/>
      <c r="N51" s="231"/>
      <c r="O51" s="217"/>
      <c r="P51" s="215" t="str">
        <f aca="false">IF((M51+N51)&gt;0,IF(N51&lt;K51,(K51-N51)*(1-F51)," ")," ")</f>
        <v> </v>
      </c>
      <c r="Q51" s="215" t="str">
        <f aca="false">IF((M51+N51)&gt;0,IF(N51&gt;K51,(N51-K51)*(1-F51)," ")," ")</f>
        <v> </v>
      </c>
    </row>
    <row r="52" customFormat="false" ht="12.75" hidden="false" customHeight="true" outlineLevel="0" collapsed="false">
      <c r="A52" s="265" t="s">
        <v>190</v>
      </c>
      <c r="B52" s="265"/>
      <c r="C52" s="266" t="n">
        <f aca="false">Admin!B$4</f>
        <v>45022</v>
      </c>
      <c r="D52" s="238" t="n">
        <f aca="false">SUM(D47:D51)</f>
        <v>0</v>
      </c>
      <c r="E52" s="218"/>
      <c r="F52" s="216"/>
      <c r="G52" s="217"/>
      <c r="H52" s="239" t="n">
        <f aca="false">SUM(H47:H51)</f>
        <v>0</v>
      </c>
      <c r="I52" s="240" t="n">
        <f aca="false">SUM(I47:I51)</f>
        <v>0</v>
      </c>
      <c r="J52" s="239" t="n">
        <f aca="false">SUM(J47:J51)</f>
        <v>0</v>
      </c>
      <c r="K52" s="238" t="n">
        <f aca="false">SUM(K47:K51)</f>
        <v>0</v>
      </c>
      <c r="L52" s="217"/>
      <c r="M52" s="224"/>
      <c r="N52" s="238" t="n">
        <f aca="false">SUM(N47:N51)</f>
        <v>0</v>
      </c>
      <c r="O52" s="217"/>
      <c r="P52" s="238" t="n">
        <f aca="false">SUM(P47:P51)</f>
        <v>0</v>
      </c>
      <c r="Q52" s="238" t="n">
        <f aca="false">SUM(Q47:Q51)</f>
        <v>0</v>
      </c>
    </row>
    <row r="53" customFormat="false" ht="12.65" hidden="false" customHeight="false" outlineLevel="0" collapsed="false">
      <c r="A53" s="224"/>
      <c r="B53" s="241"/>
      <c r="C53" s="241"/>
      <c r="D53" s="218"/>
      <c r="E53" s="218"/>
      <c r="F53" s="216"/>
      <c r="G53" s="217"/>
      <c r="H53" s="218"/>
      <c r="I53" s="175"/>
      <c r="J53" s="215"/>
      <c r="K53" s="215"/>
      <c r="L53" s="217"/>
      <c r="M53" s="224"/>
      <c r="N53" s="218"/>
      <c r="O53" s="217"/>
      <c r="P53" s="215"/>
      <c r="Q53" s="215"/>
    </row>
    <row r="54" customFormat="false" ht="12.65" hidden="false" customHeight="false" outlineLevel="0" collapsed="false">
      <c r="A54" s="261" t="s">
        <v>191</v>
      </c>
      <c r="B54" s="261"/>
      <c r="C54" s="262" t="n">
        <f aca="false">Admin!B$4</f>
        <v>45022</v>
      </c>
      <c r="D54" s="264"/>
      <c r="E54" s="222"/>
      <c r="F54" s="223"/>
      <c r="G54" s="217"/>
      <c r="H54" s="175"/>
      <c r="I54" s="215"/>
      <c r="J54" s="175"/>
      <c r="K54" s="215"/>
      <c r="L54" s="217"/>
      <c r="M54" s="224"/>
      <c r="N54" s="218"/>
      <c r="O54" s="217"/>
      <c r="P54" s="215"/>
      <c r="Q54" s="215"/>
    </row>
    <row r="55" customFormat="false" ht="12.65" hidden="false" customHeight="false" outlineLevel="0" collapsed="false">
      <c r="A55" s="225"/>
      <c r="B55" s="226"/>
      <c r="C55" s="257"/>
      <c r="D55" s="227"/>
      <c r="E55" s="218"/>
      <c r="F55" s="243"/>
      <c r="G55" s="217"/>
      <c r="H55" s="175" t="n">
        <v>0</v>
      </c>
      <c r="I55" s="175" t="n">
        <v>0</v>
      </c>
      <c r="J55" s="215" t="str">
        <f aca="false">IF(D55&gt;0,MIN(D55*J$4*(1-F55),Admin!G$8*(1-F55))," ")</f>
        <v> </v>
      </c>
      <c r="K55" s="215" t="str">
        <f aca="false">IF(D55&gt;0,D55-J55," ")</f>
        <v> </v>
      </c>
      <c r="L55" s="217"/>
      <c r="M55" s="230"/>
      <c r="N55" s="231"/>
      <c r="O55" s="217"/>
      <c r="P55" s="215" t="str">
        <f aca="false">IF((M55+N55)&gt;0,IF(N55&lt;K55,(K55-N55)*(1-F55)," ")," ")</f>
        <v> </v>
      </c>
      <c r="Q55" s="215" t="str">
        <f aca="false">IF((M55+N55)&gt;0,IF(N55&gt;K55,(N55-K55)*(1-F55)," ")," ")</f>
        <v> </v>
      </c>
    </row>
    <row r="56" customFormat="false" ht="12.65" hidden="false" customHeight="false" outlineLevel="0" collapsed="false">
      <c r="A56" s="230"/>
      <c r="B56" s="232"/>
      <c r="C56" s="259"/>
      <c r="D56" s="231"/>
      <c r="E56" s="218"/>
      <c r="F56" s="243"/>
      <c r="G56" s="217"/>
      <c r="H56" s="175" t="n">
        <v>0</v>
      </c>
      <c r="I56" s="175" t="n">
        <v>0</v>
      </c>
      <c r="J56" s="215" t="str">
        <f aca="false">IF(D56&gt;0,MIN(D56*J$4*(1-F56),Admin!G$8*(1-F56))," ")</f>
        <v> </v>
      </c>
      <c r="K56" s="215" t="str">
        <f aca="false">IF(D56&gt;0,D56-J56," ")</f>
        <v> </v>
      </c>
      <c r="L56" s="217"/>
      <c r="M56" s="230"/>
      <c r="N56" s="231"/>
      <c r="O56" s="217"/>
      <c r="P56" s="215" t="str">
        <f aca="false">IF((M56+N56)&gt;0,IF(N56&lt;K56,(K56-N56)*(1-F56)," ")," ")</f>
        <v> </v>
      </c>
      <c r="Q56" s="215" t="str">
        <f aca="false">IF((M56+N56)&gt;0,IF(N56&gt;K56,(N56-K56)*(1-F56)," ")," ")</f>
        <v> </v>
      </c>
    </row>
    <row r="57" customFormat="false" ht="12.65" hidden="false" customHeight="false" outlineLevel="0" collapsed="false">
      <c r="A57" s="230"/>
      <c r="B57" s="232"/>
      <c r="C57" s="259"/>
      <c r="D57" s="231"/>
      <c r="E57" s="218"/>
      <c r="F57" s="243"/>
      <c r="G57" s="217"/>
      <c r="H57" s="175" t="n">
        <v>0</v>
      </c>
      <c r="I57" s="175" t="n">
        <v>0</v>
      </c>
      <c r="J57" s="215" t="str">
        <f aca="false">IF(D57&gt;0,MIN(D57*J$4*(1-F57),Admin!G$8*(1-F57))," ")</f>
        <v> </v>
      </c>
      <c r="K57" s="215" t="str">
        <f aca="false">IF(D57&gt;0,D57-J57," ")</f>
        <v> </v>
      </c>
      <c r="L57" s="217"/>
      <c r="M57" s="230"/>
      <c r="N57" s="231"/>
      <c r="O57" s="217"/>
      <c r="P57" s="215" t="str">
        <f aca="false">IF((M57+N57)&gt;0,IF(N57&lt;K57,(K57-N57)*(1-F57)," ")," ")</f>
        <v> </v>
      </c>
      <c r="Q57" s="215" t="str">
        <f aca="false">IF((M57+N57)&gt;0,IF(N57&gt;K57,(N57-K57)*(1-F57)," ")," ")</f>
        <v> </v>
      </c>
    </row>
    <row r="58" customFormat="false" ht="12.65" hidden="false" customHeight="false" outlineLevel="0" collapsed="false">
      <c r="A58" s="230"/>
      <c r="B58" s="232"/>
      <c r="C58" s="259"/>
      <c r="D58" s="231"/>
      <c r="E58" s="218"/>
      <c r="F58" s="243"/>
      <c r="G58" s="217"/>
      <c r="H58" s="175" t="n">
        <v>0</v>
      </c>
      <c r="I58" s="175" t="n">
        <v>0</v>
      </c>
      <c r="J58" s="215" t="str">
        <f aca="false">IF(D58&gt;0,MIN(D58*J$4*(1-F58),Admin!G$8*(1-F58))," ")</f>
        <v> </v>
      </c>
      <c r="K58" s="215" t="str">
        <f aca="false">IF(D58&gt;0,D58-J58," ")</f>
        <v> </v>
      </c>
      <c r="L58" s="217"/>
      <c r="M58" s="230"/>
      <c r="N58" s="231"/>
      <c r="O58" s="217"/>
      <c r="P58" s="215" t="str">
        <f aca="false">IF((M58+N58)&gt;0,IF(N58&lt;K58,(K58-N58)*(1-F58)," ")," ")</f>
        <v> </v>
      </c>
      <c r="Q58" s="215" t="str">
        <f aca="false">IF((M58+N58)&gt;0,IF(N58&gt;K58,(N58-K58)*(1-F58)," ")," ")</f>
        <v> </v>
      </c>
    </row>
    <row r="59" customFormat="false" ht="12.65" hidden="false" customHeight="false" outlineLevel="0" collapsed="false">
      <c r="A59" s="230"/>
      <c r="B59" s="232"/>
      <c r="C59" s="259"/>
      <c r="D59" s="231"/>
      <c r="E59" s="218"/>
      <c r="F59" s="243"/>
      <c r="G59" s="217"/>
      <c r="H59" s="175" t="n">
        <v>0</v>
      </c>
      <c r="I59" s="175" t="n">
        <v>0</v>
      </c>
      <c r="J59" s="215" t="str">
        <f aca="false">IF(D59&gt;0,MIN(D59*J$4*(1-F59),Admin!G$8*(1-F59))," ")</f>
        <v> </v>
      </c>
      <c r="K59" s="215" t="str">
        <f aca="false">IF(D59&gt;0,D59-J59," ")</f>
        <v> </v>
      </c>
      <c r="L59" s="217"/>
      <c r="M59" s="230"/>
      <c r="N59" s="231"/>
      <c r="O59" s="217"/>
      <c r="P59" s="215" t="str">
        <f aca="false">IF((M59+N59)&gt;0,IF(N59&lt;K59,(K59-N59)*(1-F59)," ")," ")</f>
        <v> </v>
      </c>
      <c r="Q59" s="215" t="str">
        <f aca="false">IF((M59+N59)&gt;0,IF(N59&gt;K59,(N59-K59)*(1-F59)," ")," ")</f>
        <v> </v>
      </c>
    </row>
    <row r="60" customFormat="false" ht="12.65" hidden="false" customHeight="true" outlineLevel="0" collapsed="false">
      <c r="A60" s="265" t="s">
        <v>192</v>
      </c>
      <c r="B60" s="265"/>
      <c r="C60" s="266" t="n">
        <f aca="false">Admin!B$4</f>
        <v>45022</v>
      </c>
      <c r="D60" s="267" t="n">
        <f aca="false">SUM(D55:D59)</f>
        <v>0</v>
      </c>
      <c r="E60" s="218"/>
      <c r="F60" s="216"/>
      <c r="G60" s="217"/>
      <c r="H60" s="239" t="n">
        <f aca="false">SUM(H55:H59)</f>
        <v>0</v>
      </c>
      <c r="I60" s="240" t="n">
        <f aca="false">SUM(I55:I59)</f>
        <v>0</v>
      </c>
      <c r="J60" s="239" t="n">
        <f aca="false">SUM(J55:J59)</f>
        <v>0</v>
      </c>
      <c r="K60" s="238" t="n">
        <f aca="false">SUM(K55:K59)</f>
        <v>0</v>
      </c>
      <c r="L60" s="217"/>
      <c r="M60" s="224"/>
      <c r="N60" s="238" t="n">
        <f aca="false">SUM(N55:N59)</f>
        <v>0</v>
      </c>
      <c r="O60" s="217"/>
      <c r="P60" s="238" t="n">
        <f aca="false">SUM(P55:P59)</f>
        <v>0</v>
      </c>
      <c r="Q60" s="238" t="n">
        <f aca="false">SUM(Q55:Q59)</f>
        <v>0</v>
      </c>
    </row>
    <row r="61" customFormat="false" ht="12.65" hidden="false" customHeight="false" outlineLevel="0" collapsed="false">
      <c r="A61" s="224"/>
      <c r="B61" s="241"/>
      <c r="C61" s="263"/>
      <c r="D61" s="218"/>
      <c r="E61" s="218"/>
      <c r="F61" s="216"/>
      <c r="G61" s="217"/>
      <c r="H61" s="175"/>
      <c r="I61" s="215"/>
      <c r="J61" s="175"/>
      <c r="K61" s="215"/>
      <c r="L61" s="217"/>
      <c r="M61" s="224"/>
      <c r="N61" s="218"/>
      <c r="O61" s="217"/>
      <c r="P61" s="215"/>
      <c r="Q61" s="215"/>
    </row>
    <row r="62" customFormat="false" ht="12.65" hidden="false" customHeight="false" outlineLevel="0" collapsed="false">
      <c r="A62" s="268" t="s">
        <v>193</v>
      </c>
      <c r="B62" s="268"/>
      <c r="C62" s="269" t="str">
        <f aca="false">Admin!G$2</f>
        <v>2023-24</v>
      </c>
      <c r="D62" s="249" t="n">
        <f aca="false">D44+D52+D60</f>
        <v>0</v>
      </c>
      <c r="E62" s="218"/>
      <c r="F62" s="216"/>
      <c r="G62" s="217"/>
      <c r="H62" s="250" t="n">
        <f aca="false">H44+H52+H60</f>
        <v>0</v>
      </c>
      <c r="I62" s="251" t="n">
        <f aca="false">I44+I52+I60</f>
        <v>0</v>
      </c>
      <c r="J62" s="250" t="n">
        <f aca="false">J44+J52+J60</f>
        <v>0</v>
      </c>
      <c r="K62" s="249" t="n">
        <f aca="false">K44+K52+K60</f>
        <v>0</v>
      </c>
      <c r="L62" s="217"/>
      <c r="M62" s="224"/>
      <c r="N62" s="249" t="n">
        <f aca="false">N44+N52+N60</f>
        <v>0</v>
      </c>
      <c r="O62" s="217"/>
      <c r="P62" s="249" t="n">
        <f aca="false">P44+P52+P60</f>
        <v>0</v>
      </c>
      <c r="Q62" s="249" t="n">
        <f aca="false">Q44+Q52+Q60</f>
        <v>0</v>
      </c>
    </row>
    <row r="63" customFormat="false" ht="12" hidden="false" customHeight="false" outlineLevel="0" collapsed="false">
      <c r="A63" s="224"/>
      <c r="B63" s="241"/>
      <c r="C63" s="241"/>
      <c r="D63" s="218"/>
      <c r="E63" s="218"/>
      <c r="F63" s="216"/>
      <c r="G63" s="270"/>
      <c r="H63" s="218"/>
      <c r="I63" s="215"/>
      <c r="J63" s="215"/>
      <c r="K63" s="215"/>
      <c r="L63" s="270"/>
      <c r="M63" s="224"/>
      <c r="N63" s="218"/>
      <c r="O63" s="270"/>
      <c r="P63" s="215"/>
      <c r="Q63" s="215"/>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66"/>
    <col collapsed="false" customWidth="true" hidden="false" outlineLevel="0" max="2" min="2" style="126" width="25.99"/>
    <col collapsed="false" customWidth="true" hidden="false" outlineLevel="0" max="3" min="3" style="126" width="11.32"/>
    <col collapsed="false" customWidth="true" hidden="false" outlineLevel="0" max="4" min="4" style="271" width="13.49"/>
    <col collapsed="false" customWidth="true" hidden="false" outlineLevel="0" max="5" min="5" style="272" width="12.66"/>
    <col collapsed="false" customWidth="true" hidden="false" outlineLevel="0" max="6" min="6" style="273" width="4.15"/>
    <col collapsed="false" customWidth="true" hidden="false" outlineLevel="0" max="7" min="7" style="127" width="2.66"/>
    <col collapsed="false" customWidth="false" hidden="false" outlineLevel="0" max="257" min="8" style="126" width="9.15"/>
  </cols>
  <sheetData>
    <row r="1" customFormat="false" ht="12.75" hidden="false" customHeight="false" outlineLevel="0" collapsed="false">
      <c r="A1" s="135"/>
      <c r="B1" s="135"/>
      <c r="C1" s="135"/>
      <c r="D1" s="274"/>
      <c r="E1" s="275"/>
      <c r="F1" s="276"/>
      <c r="G1" s="135"/>
    </row>
    <row r="2" customFormat="false" ht="18" hidden="false" customHeight="true" outlineLevel="0" collapsed="false">
      <c r="A2" s="135"/>
      <c r="B2" s="277" t="s">
        <v>194</v>
      </c>
      <c r="C2" s="278" t="str">
        <f aca="false">Admin!K$2</f>
        <v>2023-24</v>
      </c>
      <c r="D2" s="279" t="s">
        <v>195</v>
      </c>
      <c r="E2" s="279"/>
      <c r="F2" s="279"/>
      <c r="G2" s="280"/>
    </row>
    <row r="3" customFormat="false" ht="18.75" hidden="false" customHeight="true" outlineLevel="0" collapsed="false">
      <c r="A3" s="135"/>
      <c r="B3" s="281"/>
      <c r="C3" s="281"/>
      <c r="D3" s="279"/>
      <c r="E3" s="279"/>
      <c r="F3" s="279"/>
      <c r="G3" s="280"/>
    </row>
    <row r="4" customFormat="false" ht="12.75" hidden="false" customHeight="false" outlineLevel="0" collapsed="false">
      <c r="A4" s="135"/>
      <c r="B4" s="144"/>
      <c r="C4" s="144"/>
      <c r="D4" s="282"/>
      <c r="E4" s="275"/>
      <c r="F4" s="276"/>
      <c r="G4" s="280"/>
    </row>
    <row r="5" customFormat="false" ht="12.75" hidden="false" customHeight="false" outlineLevel="0" collapsed="false">
      <c r="A5" s="135"/>
      <c r="B5" s="283" t="s">
        <v>196</v>
      </c>
      <c r="C5" s="283"/>
      <c r="D5" s="283"/>
      <c r="E5" s="284" t="n">
        <f aca="false">'SE Short'!D106</f>
        <v>29640</v>
      </c>
      <c r="F5" s="276"/>
      <c r="G5" s="280"/>
      <c r="K5" s="285"/>
    </row>
    <row r="6" customFormat="false" ht="12.75" hidden="false" customHeight="false" outlineLevel="0" collapsed="false">
      <c r="A6" s="135"/>
      <c r="B6" s="144" t="s">
        <v>197</v>
      </c>
      <c r="C6" s="144" t="str">
        <f aca="false">C2</f>
        <v>2023-24</v>
      </c>
      <c r="D6" s="286"/>
      <c r="E6" s="280" t="n">
        <f aca="false">IF((E5&gt;0),Admin!N$4,0)</f>
        <v>12570</v>
      </c>
      <c r="F6" s="276"/>
      <c r="G6" s="280"/>
      <c r="K6" s="285"/>
    </row>
    <row r="7" customFormat="false" ht="12.75" hidden="false" customHeight="false" outlineLevel="0" collapsed="false">
      <c r="A7" s="135"/>
      <c r="B7" s="283" t="s">
        <v>198</v>
      </c>
      <c r="C7" s="283"/>
      <c r="D7" s="283"/>
      <c r="E7" s="284" t="n">
        <f aca="false">IF((E5&gt;E6),(E5-E6),0)</f>
        <v>17070</v>
      </c>
      <c r="F7" s="276"/>
      <c r="G7" s="280"/>
      <c r="K7" s="285"/>
    </row>
    <row r="8" customFormat="false" ht="12.75" hidden="false" customHeight="false" outlineLevel="0" collapsed="false">
      <c r="A8" s="135"/>
      <c r="B8" s="144" t="s">
        <v>199</v>
      </c>
      <c r="C8" s="144" t="n">
        <f aca="false">Admin!N$11</f>
        <v>0</v>
      </c>
      <c r="D8" s="287" t="n">
        <f aca="false">Admin!N$6</f>
        <v>0</v>
      </c>
      <c r="E8" s="275" t="n">
        <f aca="false">IF((E7&gt;0),(IF((E7&lt;C9),E7*D8,C9*D8)),0)</f>
        <v>0</v>
      </c>
      <c r="F8" s="276"/>
      <c r="G8" s="280"/>
      <c r="H8" s="288"/>
      <c r="K8" s="285"/>
    </row>
    <row r="9" customFormat="false" ht="12.75" hidden="false" customHeight="false" outlineLevel="0" collapsed="false">
      <c r="A9" s="135"/>
      <c r="B9" s="144" t="s">
        <v>200</v>
      </c>
      <c r="C9" s="144" t="n">
        <f aca="false">Admin!N$12</f>
        <v>0</v>
      </c>
      <c r="D9" s="287" t="n">
        <f aca="false">Admin!N$7</f>
        <v>0.2</v>
      </c>
      <c r="E9" s="275" t="n">
        <f aca="false">IF((E7&gt;C9),((E7-C9)*D9),0)</f>
        <v>3414</v>
      </c>
      <c r="F9" s="276"/>
      <c r="G9" s="280"/>
      <c r="K9" s="285"/>
    </row>
    <row r="10" customFormat="false" ht="12.75" hidden="false" customHeight="false" outlineLevel="0" collapsed="false">
      <c r="A10" s="135"/>
      <c r="B10" s="289" t="s">
        <v>201</v>
      </c>
      <c r="C10" s="290"/>
      <c r="D10" s="291"/>
      <c r="E10" s="292" t="n">
        <f aca="false">SUM(E8:E9)</f>
        <v>3414</v>
      </c>
      <c r="F10" s="276"/>
      <c r="G10" s="280"/>
      <c r="K10" s="285"/>
    </row>
    <row r="11" customFormat="false" ht="12.75" hidden="false" customHeight="false" outlineLevel="0" collapsed="false">
      <c r="A11" s="135"/>
      <c r="B11" s="144"/>
      <c r="C11" s="144"/>
      <c r="D11" s="293"/>
      <c r="E11" s="275"/>
      <c r="F11" s="294"/>
      <c r="G11" s="295"/>
      <c r="K11" s="285"/>
    </row>
    <row r="12" customFormat="false" ht="12.75" hidden="false" customHeight="false" outlineLevel="0" collapsed="false">
      <c r="A12" s="135"/>
      <c r="B12" s="296" t="s">
        <v>202</v>
      </c>
      <c r="C12" s="297" t="n">
        <f aca="false">Admin!B$21</f>
        <v>45688</v>
      </c>
      <c r="D12" s="297"/>
      <c r="E12" s="275"/>
      <c r="F12" s="294"/>
      <c r="G12" s="295"/>
      <c r="K12" s="285"/>
    </row>
    <row r="13" customFormat="false" ht="9.75" hidden="false" customHeight="true" outlineLevel="0" collapsed="false">
      <c r="A13" s="135"/>
      <c r="B13" s="144"/>
      <c r="C13" s="144"/>
      <c r="D13" s="298"/>
      <c r="E13" s="299"/>
      <c r="F13" s="276"/>
      <c r="G13" s="295"/>
      <c r="K13" s="285"/>
    </row>
    <row r="14" customFormat="false" ht="12.75" hidden="false" customHeight="false" outlineLevel="0" collapsed="false">
      <c r="A14" s="135"/>
      <c r="B14" s="300" t="s">
        <v>203</v>
      </c>
      <c r="C14" s="300"/>
      <c r="D14" s="287" t="n">
        <f aca="false">Admin!L$20</f>
        <v>0.09</v>
      </c>
      <c r="E14" s="301" t="n">
        <f aca="false">IF(E5&gt;Admin!N20,IF(E5&lt;Admin!N$23,(E5-Admin!N20)*D14,(Admin!N$23-Admin!N20)*D14),0)</f>
        <v>1536.3</v>
      </c>
      <c r="F14" s="276"/>
      <c r="G14" s="295"/>
      <c r="K14" s="285"/>
    </row>
    <row r="15" customFormat="false" ht="12.75" hidden="false" customHeight="false" outlineLevel="0" collapsed="false">
      <c r="A15" s="135"/>
      <c r="B15" s="300" t="s">
        <v>204</v>
      </c>
      <c r="C15" s="300"/>
      <c r="D15" s="287" t="n">
        <f aca="false">Admin!L$23</f>
        <v>0.02</v>
      </c>
      <c r="E15" s="301" t="n">
        <f aca="false">IF((E5&gt;Admin!N$23),((E5-Admin!N$23)*D15),0)</f>
        <v>0</v>
      </c>
      <c r="F15" s="276"/>
      <c r="G15" s="295"/>
      <c r="K15" s="285"/>
    </row>
    <row r="16" customFormat="false" ht="12.75" hidden="false" customHeight="false" outlineLevel="0" collapsed="false">
      <c r="A16" s="135"/>
      <c r="B16" s="144"/>
      <c r="C16" s="144"/>
      <c r="D16" s="298"/>
      <c r="E16" s="299"/>
      <c r="F16" s="276"/>
      <c r="G16" s="295"/>
      <c r="K16" s="285"/>
    </row>
    <row r="17" customFormat="false" ht="12.75" hidden="false" customHeight="false" outlineLevel="0" collapsed="false">
      <c r="A17" s="135"/>
      <c r="B17" s="302" t="s">
        <v>205</v>
      </c>
      <c r="C17" s="302"/>
      <c r="D17" s="298"/>
      <c r="E17" s="292" t="n">
        <f aca="false">SUM(E10:E16)</f>
        <v>4950.3</v>
      </c>
      <c r="F17" s="276"/>
      <c r="G17" s="280"/>
      <c r="K17" s="285"/>
    </row>
    <row r="18" customFormat="false" ht="12.75" hidden="false" customHeight="false" outlineLevel="0" collapsed="false">
      <c r="A18" s="135"/>
      <c r="B18" s="303"/>
      <c r="C18" s="303"/>
      <c r="D18" s="298"/>
      <c r="E18" s="299"/>
      <c r="F18" s="276"/>
      <c r="G18" s="280"/>
    </row>
    <row r="19" customFormat="false" ht="12.75" hidden="false" customHeight="false" outlineLevel="0" collapsed="false">
      <c r="A19" s="135"/>
      <c r="B19" s="303"/>
      <c r="C19" s="303"/>
      <c r="D19" s="298"/>
      <c r="E19" s="299"/>
      <c r="F19" s="276"/>
      <c r="G19" s="280"/>
    </row>
    <row r="20" customFormat="false" ht="18" hidden="false" customHeight="true" outlineLevel="0" collapsed="false">
      <c r="A20" s="135"/>
      <c r="B20" s="289" t="s">
        <v>206</v>
      </c>
      <c r="C20" s="304"/>
      <c r="D20" s="305" t="s">
        <v>207</v>
      </c>
      <c r="E20" s="305"/>
      <c r="F20" s="305"/>
      <c r="G20" s="135"/>
    </row>
    <row r="21" customFormat="false" ht="12.75" hidden="false" customHeight="true" outlineLevel="0" collapsed="false">
      <c r="A21" s="135"/>
      <c r="B21" s="144"/>
      <c r="C21" s="144"/>
      <c r="D21" s="298"/>
      <c r="E21" s="299"/>
      <c r="F21" s="276"/>
      <c r="G21" s="295"/>
    </row>
    <row r="22" s="310" customFormat="true" ht="12.75" hidden="false" customHeight="true" outlineLevel="0" collapsed="false">
      <c r="A22" s="306"/>
      <c r="B22" s="144"/>
      <c r="C22" s="144"/>
      <c r="D22" s="307" t="s">
        <v>208</v>
      </c>
      <c r="E22" s="308" t="s">
        <v>209</v>
      </c>
      <c r="F22" s="309"/>
      <c r="G22" s="280"/>
    </row>
    <row r="23" s="310" customFormat="true" ht="12.75" hidden="false" customHeight="false" outlineLevel="0" collapsed="false">
      <c r="A23" s="306"/>
      <c r="B23" s="144"/>
      <c r="C23" s="144"/>
      <c r="D23" s="307"/>
      <c r="E23" s="307"/>
      <c r="F23" s="309"/>
      <c r="G23" s="280"/>
    </row>
    <row r="24" customFormat="false" ht="12.75" hidden="false" customHeight="false" outlineLevel="0" collapsed="false">
      <c r="A24" s="135"/>
      <c r="B24" s="144" t="s">
        <v>210</v>
      </c>
      <c r="C24" s="311" t="str">
        <f aca="false">Admin!B$24</f>
        <v>2024-25</v>
      </c>
      <c r="D24" s="312" t="s">
        <v>211</v>
      </c>
      <c r="E24" s="301" t="n">
        <f aca="false">E17</f>
        <v>4950.3</v>
      </c>
      <c r="F24" s="276"/>
      <c r="G24" s="280"/>
    </row>
    <row r="25" customFormat="false" ht="12.75" hidden="false" customHeight="false" outlineLevel="0" collapsed="false">
      <c r="A25" s="135"/>
      <c r="B25" s="144" t="s">
        <v>212</v>
      </c>
      <c r="C25" s="144"/>
      <c r="D25" s="313" t="n">
        <f aca="false">Admin!B$21</f>
        <v>45688</v>
      </c>
      <c r="E25" s="284" t="n">
        <f aca="false">E24/2</f>
        <v>2475.15</v>
      </c>
      <c r="F25" s="276"/>
      <c r="G25" s="280"/>
    </row>
    <row r="26" customFormat="false" ht="12.75" hidden="false" customHeight="false" outlineLevel="0" collapsed="false">
      <c r="A26" s="135"/>
      <c r="B26" s="144" t="s">
        <v>212</v>
      </c>
      <c r="C26" s="144"/>
      <c r="D26" s="313" t="n">
        <f aca="false">Admin!B$22</f>
        <v>45869</v>
      </c>
      <c r="E26" s="284" t="n">
        <f aca="false">E24/2</f>
        <v>2475.15</v>
      </c>
      <c r="F26" s="276"/>
      <c r="G26" s="280"/>
    </row>
    <row r="27" customFormat="false" ht="12.75" hidden="false" customHeight="false" outlineLevel="0" collapsed="false">
      <c r="A27" s="135"/>
      <c r="B27" s="135"/>
      <c r="C27" s="135"/>
      <c r="D27" s="298"/>
      <c r="E27" s="275"/>
      <c r="F27" s="276"/>
      <c r="G27" s="280"/>
    </row>
    <row r="28" customFormat="false" ht="12.75" hidden="false" customHeight="false" outlineLevel="0" collapsed="false">
      <c r="A28" s="135"/>
      <c r="B28" s="314" t="s">
        <v>213</v>
      </c>
      <c r="C28" s="160"/>
      <c r="D28" s="298"/>
      <c r="E28" s="275"/>
      <c r="F28" s="276"/>
      <c r="G28" s="280"/>
    </row>
    <row r="29" customFormat="false" ht="12.75" hidden="false" customHeight="false" outlineLevel="0" collapsed="false">
      <c r="A29" s="135"/>
      <c r="B29" s="315" t="s">
        <v>214</v>
      </c>
      <c r="C29" s="315"/>
      <c r="D29" s="135"/>
      <c r="E29" s="316"/>
      <c r="F29" s="276"/>
      <c r="G29" s="317"/>
    </row>
    <row r="30" customFormat="false" ht="12.75" hidden="false" customHeight="false" outlineLevel="0" collapsed="false">
      <c r="A30" s="135"/>
      <c r="B30" s="318" t="s">
        <v>215</v>
      </c>
      <c r="C30" s="318"/>
      <c r="D30" s="319"/>
      <c r="E30" s="316"/>
      <c r="F30" s="276"/>
      <c r="G30" s="317"/>
    </row>
    <row r="31" customFormat="false" ht="12.75" hidden="false" customHeight="false" outlineLevel="0" collapsed="false">
      <c r="A31" s="135"/>
      <c r="B31" s="320" t="s">
        <v>216</v>
      </c>
      <c r="C31" s="318"/>
      <c r="D31" s="319"/>
      <c r="E31" s="316"/>
      <c r="F31" s="276"/>
      <c r="G31" s="317"/>
    </row>
    <row r="32" customFormat="false" ht="12.75" hidden="false" customHeight="false" outlineLevel="0" collapsed="false">
      <c r="A32" s="135"/>
      <c r="B32" s="160" t="s">
        <v>217</v>
      </c>
      <c r="C32" s="160"/>
      <c r="D32" s="319"/>
      <c r="E32" s="321"/>
      <c r="F32" s="276"/>
      <c r="G32" s="317"/>
    </row>
    <row r="33" customFormat="false" ht="12.75" hidden="false" customHeight="false" outlineLevel="0" collapsed="false">
      <c r="A33" s="135"/>
      <c r="B33" s="160" t="s">
        <v>218</v>
      </c>
      <c r="C33" s="160"/>
      <c r="D33" s="319"/>
      <c r="E33" s="321"/>
      <c r="F33" s="276"/>
      <c r="G33" s="317"/>
    </row>
    <row r="34" customFormat="false" ht="12.75" hidden="false" customHeight="false" outlineLevel="0" collapsed="false">
      <c r="A34" s="135"/>
      <c r="B34" s="160" t="s">
        <v>219</v>
      </c>
      <c r="C34" s="160"/>
      <c r="D34" s="319"/>
      <c r="E34" s="321"/>
      <c r="F34" s="276"/>
      <c r="G34" s="317"/>
    </row>
    <row r="35" customFormat="false" ht="12.75" hidden="false" customHeight="false" outlineLevel="0" collapsed="false">
      <c r="A35" s="135"/>
      <c r="B35" s="135"/>
      <c r="C35" s="135"/>
      <c r="D35" s="319"/>
      <c r="E35" s="321"/>
      <c r="F35" s="276"/>
      <c r="G35" s="317"/>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65" width="1.66"/>
    <col collapsed="false" customWidth="true" hidden="false" outlineLevel="0" max="2" min="2" style="165" width="19.66"/>
    <col collapsed="false" customWidth="true" hidden="false" outlineLevel="0" max="15" min="3" style="165" width="8.66"/>
    <col collapsed="false" customWidth="true" hidden="false" outlineLevel="0" max="16" min="16" style="165" width="1.66"/>
    <col collapsed="false" customWidth="false" hidden="false" outlineLevel="0" max="257" min="17" style="165" width="9.15"/>
  </cols>
  <sheetData>
    <row r="1" customFormat="false" ht="6" hidden="false" customHeight="true" outlineLevel="0" collapsed="false">
      <c r="A1" s="241"/>
      <c r="B1" s="322"/>
      <c r="C1" s="178"/>
      <c r="D1" s="241"/>
      <c r="E1" s="241"/>
      <c r="F1" s="241"/>
      <c r="G1" s="241"/>
      <c r="H1" s="241"/>
      <c r="I1" s="241"/>
      <c r="J1" s="241"/>
      <c r="K1" s="241"/>
      <c r="L1" s="241"/>
      <c r="M1" s="241"/>
      <c r="N1" s="241"/>
      <c r="O1" s="241"/>
      <c r="P1" s="241"/>
    </row>
    <row r="2" customFormat="false" ht="12" hidden="false" customHeight="true" outlineLevel="0" collapsed="false">
      <c r="A2" s="241"/>
      <c r="B2" s="323" t="s">
        <v>220</v>
      </c>
      <c r="C2" s="324" t="s">
        <v>221</v>
      </c>
      <c r="D2" s="325" t="n">
        <f aca="false">Admin!B$5</f>
        <v>45046</v>
      </c>
      <c r="E2" s="326" t="n">
        <f aca="false">Admin!B$6</f>
        <v>45077</v>
      </c>
      <c r="F2" s="326" t="n">
        <f aca="false">Admin!B$7</f>
        <v>45107</v>
      </c>
      <c r="G2" s="326" t="n">
        <f aca="false">Admin!B$8</f>
        <v>45138</v>
      </c>
      <c r="H2" s="326" t="n">
        <f aca="false">Admin!B$9</f>
        <v>45169</v>
      </c>
      <c r="I2" s="326" t="n">
        <f aca="false">Admin!B$10</f>
        <v>45199</v>
      </c>
      <c r="J2" s="326" t="n">
        <f aca="false">Admin!B$11</f>
        <v>45230</v>
      </c>
      <c r="K2" s="326" t="n">
        <f aca="false">Admin!B$12</f>
        <v>45260</v>
      </c>
      <c r="L2" s="326" t="n">
        <f aca="false">Admin!B$13</f>
        <v>45291</v>
      </c>
      <c r="M2" s="326" t="n">
        <f aca="false">Admin!B$14</f>
        <v>45322</v>
      </c>
      <c r="N2" s="326" t="n">
        <f aca="false">Admin!B$15</f>
        <v>45351</v>
      </c>
      <c r="O2" s="326" t="n">
        <f aca="false">Admin!B$16</f>
        <v>45382</v>
      </c>
      <c r="P2" s="241"/>
    </row>
    <row r="3" customFormat="false" ht="12" hidden="false" customHeight="true" outlineLevel="0" collapsed="false">
      <c r="A3" s="241"/>
      <c r="B3" s="323"/>
      <c r="C3" s="327" t="n">
        <f aca="false">Admin!B$17</f>
        <v>45387</v>
      </c>
      <c r="D3" s="325"/>
      <c r="E3" s="326"/>
      <c r="F3" s="326"/>
      <c r="G3" s="326"/>
      <c r="H3" s="326"/>
      <c r="I3" s="326"/>
      <c r="J3" s="326"/>
      <c r="K3" s="326"/>
      <c r="L3" s="326"/>
      <c r="M3" s="326"/>
      <c r="N3" s="326"/>
      <c r="O3" s="326"/>
      <c r="P3" s="241"/>
    </row>
    <row r="4" customFormat="false" ht="12" hidden="false" customHeight="false" outlineLevel="0" collapsed="false">
      <c r="A4" s="241"/>
      <c r="B4" s="323"/>
      <c r="C4" s="328" t="s">
        <v>28</v>
      </c>
      <c r="D4" s="329" t="s">
        <v>28</v>
      </c>
      <c r="E4" s="329" t="s">
        <v>28</v>
      </c>
      <c r="F4" s="329" t="s">
        <v>28</v>
      </c>
      <c r="G4" s="329" t="s">
        <v>28</v>
      </c>
      <c r="H4" s="329" t="s">
        <v>28</v>
      </c>
      <c r="I4" s="329" t="s">
        <v>28</v>
      </c>
      <c r="J4" s="329" t="s">
        <v>28</v>
      </c>
      <c r="K4" s="329" t="s">
        <v>28</v>
      </c>
      <c r="L4" s="329" t="s">
        <v>28</v>
      </c>
      <c r="M4" s="329" t="s">
        <v>28</v>
      </c>
      <c r="N4" s="330" t="s">
        <v>28</v>
      </c>
      <c r="O4" s="329" t="s">
        <v>28</v>
      </c>
      <c r="P4" s="241"/>
    </row>
    <row r="5" s="204" customFormat="true" ht="12" hidden="false" customHeight="false" outlineLevel="0" collapsed="false">
      <c r="A5" s="263"/>
      <c r="B5" s="331" t="s">
        <v>110</v>
      </c>
      <c r="C5" s="176" t="n">
        <f aca="false">SUM(D5:O5)</f>
        <v>36000</v>
      </c>
      <c r="D5" s="176" t="n">
        <f aca="false">'Profit &amp; Loss Acc'!C5</f>
        <v>3000</v>
      </c>
      <c r="E5" s="176" t="n">
        <f aca="false">'Profit &amp; Loss Acc'!D5</f>
        <v>3000</v>
      </c>
      <c r="F5" s="176" t="n">
        <f aca="false">'Profit &amp; Loss Acc'!E5</f>
        <v>3000</v>
      </c>
      <c r="G5" s="176" t="n">
        <f aca="false">'Profit &amp; Loss Acc'!F5</f>
        <v>3000</v>
      </c>
      <c r="H5" s="176" t="n">
        <f aca="false">'Profit &amp; Loss Acc'!G5</f>
        <v>3000</v>
      </c>
      <c r="I5" s="176" t="n">
        <f aca="false">'Profit &amp; Loss Acc'!H5</f>
        <v>3000</v>
      </c>
      <c r="J5" s="176" t="n">
        <f aca="false">'Profit &amp; Loss Acc'!I5</f>
        <v>3000</v>
      </c>
      <c r="K5" s="176" t="n">
        <f aca="false">'Profit &amp; Loss Acc'!J5</f>
        <v>3000</v>
      </c>
      <c r="L5" s="176" t="n">
        <f aca="false">'Profit &amp; Loss Acc'!K5</f>
        <v>3000</v>
      </c>
      <c r="M5" s="176" t="n">
        <f aca="false">'Profit &amp; Loss Acc'!L5</f>
        <v>3000</v>
      </c>
      <c r="N5" s="176" t="n">
        <f aca="false">'Profit &amp; Loss Acc'!M5</f>
        <v>3000</v>
      </c>
      <c r="O5" s="176" t="n">
        <f aca="false">'Profit &amp; Loss Acc'!N5</f>
        <v>3000</v>
      </c>
      <c r="P5" s="263"/>
    </row>
    <row r="6" s="204" customFormat="true" ht="6" hidden="false" customHeight="true" outlineLevel="0" collapsed="false">
      <c r="A6" s="263"/>
      <c r="B6" s="331"/>
      <c r="C6" s="172"/>
      <c r="D6" s="172"/>
      <c r="E6" s="172"/>
      <c r="F6" s="172"/>
      <c r="G6" s="172"/>
      <c r="H6" s="172"/>
      <c r="I6" s="172"/>
      <c r="J6" s="172"/>
      <c r="K6" s="172"/>
      <c r="L6" s="172"/>
      <c r="M6" s="172"/>
      <c r="N6" s="172"/>
      <c r="O6" s="172"/>
      <c r="P6" s="263"/>
    </row>
    <row r="7" customFormat="false" ht="12" hidden="false" customHeight="false" outlineLevel="0" collapsed="false">
      <c r="A7" s="241"/>
      <c r="B7" s="332" t="s">
        <v>222</v>
      </c>
      <c r="C7" s="176" t="n">
        <f aca="false">SUM(D7:O7)</f>
        <v>0</v>
      </c>
      <c r="D7" s="333" t="n">
        <f aca="false">'Profit &amp; Loss Acc'!C24</f>
        <v>0</v>
      </c>
      <c r="E7" s="333" t="n">
        <f aca="false">'Profit &amp; Loss Acc'!D24</f>
        <v>0</v>
      </c>
      <c r="F7" s="333" t="n">
        <f aca="false">'Profit &amp; Loss Acc'!E24</f>
        <v>0</v>
      </c>
      <c r="G7" s="333" t="n">
        <f aca="false">'Profit &amp; Loss Acc'!F24</f>
        <v>0</v>
      </c>
      <c r="H7" s="333" t="n">
        <f aca="false">'Profit &amp; Loss Acc'!G24</f>
        <v>0</v>
      </c>
      <c r="I7" s="333" t="n">
        <f aca="false">'Profit &amp; Loss Acc'!H24</f>
        <v>0</v>
      </c>
      <c r="J7" s="333" t="n">
        <f aca="false">'Profit &amp; Loss Acc'!I24</f>
        <v>0</v>
      </c>
      <c r="K7" s="333" t="n">
        <f aca="false">'Profit &amp; Loss Acc'!J24</f>
        <v>0</v>
      </c>
      <c r="L7" s="333" t="n">
        <f aca="false">'Profit &amp; Loss Acc'!K24</f>
        <v>0</v>
      </c>
      <c r="M7" s="333" t="n">
        <f aca="false">'Profit &amp; Loss Acc'!L24</f>
        <v>0</v>
      </c>
      <c r="N7" s="333" t="n">
        <f aca="false">'Profit &amp; Loss Acc'!M24</f>
        <v>0</v>
      </c>
      <c r="O7" s="333" t="n">
        <f aca="false">'Profit &amp; Loss Acc'!N24</f>
        <v>0</v>
      </c>
      <c r="P7" s="241"/>
    </row>
    <row r="8" customFormat="false" ht="6" hidden="false" customHeight="true" outlineLevel="0" collapsed="false">
      <c r="A8" s="241"/>
      <c r="B8" s="332"/>
      <c r="C8" s="172"/>
      <c r="D8" s="172"/>
      <c r="E8" s="172"/>
      <c r="F8" s="172"/>
      <c r="G8" s="172"/>
      <c r="H8" s="172"/>
      <c r="I8" s="172"/>
      <c r="J8" s="172"/>
      <c r="K8" s="172"/>
      <c r="L8" s="172"/>
      <c r="M8" s="172"/>
      <c r="N8" s="172"/>
      <c r="O8" s="172"/>
      <c r="P8" s="241"/>
    </row>
    <row r="9" s="204" customFormat="true" ht="12" hidden="false" customHeight="false" outlineLevel="0" collapsed="false">
      <c r="A9" s="263"/>
      <c r="B9" s="331" t="s">
        <v>117</v>
      </c>
      <c r="C9" s="176" t="n">
        <f aca="false">SUM(D9:O9)</f>
        <v>4980</v>
      </c>
      <c r="D9" s="176" t="n">
        <f aca="false">'Profit &amp; Loss Acc'!C12</f>
        <v>1680</v>
      </c>
      <c r="E9" s="176" t="n">
        <f aca="false">'Profit &amp; Loss Acc'!D12</f>
        <v>300</v>
      </c>
      <c r="F9" s="176" t="n">
        <f aca="false">'Profit &amp; Loss Acc'!E12</f>
        <v>300</v>
      </c>
      <c r="G9" s="176" t="n">
        <f aca="false">'Profit &amp; Loss Acc'!F12</f>
        <v>300</v>
      </c>
      <c r="H9" s="176" t="n">
        <f aca="false">'Profit &amp; Loss Acc'!G12</f>
        <v>300</v>
      </c>
      <c r="I9" s="176" t="n">
        <f aca="false">'Profit &amp; Loss Acc'!H12</f>
        <v>300</v>
      </c>
      <c r="J9" s="176" t="n">
        <f aca="false">'Profit &amp; Loss Acc'!I12</f>
        <v>300</v>
      </c>
      <c r="K9" s="176" t="n">
        <f aca="false">'Profit &amp; Loss Acc'!J12</f>
        <v>300</v>
      </c>
      <c r="L9" s="176" t="n">
        <f aca="false">'Profit &amp; Loss Acc'!K12</f>
        <v>300</v>
      </c>
      <c r="M9" s="176" t="n">
        <f aca="false">'Profit &amp; Loss Acc'!L12</f>
        <v>300</v>
      </c>
      <c r="N9" s="176" t="n">
        <f aca="false">'Profit &amp; Loss Acc'!M12</f>
        <v>300</v>
      </c>
      <c r="O9" s="176" t="n">
        <f aca="false">'Profit &amp; Loss Acc'!N12</f>
        <v>300</v>
      </c>
      <c r="P9" s="263"/>
    </row>
    <row r="10" s="204" customFormat="true" ht="6" hidden="false" customHeight="true" outlineLevel="0" collapsed="false">
      <c r="A10" s="263"/>
      <c r="B10" s="331"/>
      <c r="C10" s="172"/>
      <c r="D10" s="172"/>
      <c r="E10" s="172"/>
      <c r="F10" s="172"/>
      <c r="G10" s="172"/>
      <c r="H10" s="172"/>
      <c r="I10" s="172"/>
      <c r="J10" s="172"/>
      <c r="K10" s="172"/>
      <c r="L10" s="172"/>
      <c r="M10" s="172"/>
      <c r="N10" s="172"/>
      <c r="O10" s="172"/>
      <c r="P10" s="263"/>
    </row>
    <row r="11" s="204" customFormat="true" ht="12" hidden="false" customHeight="false" outlineLevel="0" collapsed="false">
      <c r="A11" s="263"/>
      <c r="B11" s="331" t="s">
        <v>118</v>
      </c>
      <c r="C11" s="176" t="n">
        <f aca="false">SUM(D11:O11)</f>
        <v>31020</v>
      </c>
      <c r="D11" s="176" t="n">
        <f aca="false">D5+D7-D9</f>
        <v>1320</v>
      </c>
      <c r="E11" s="176" t="n">
        <f aca="false">E5+E7-E9</f>
        <v>2700</v>
      </c>
      <c r="F11" s="176" t="n">
        <f aca="false">F5+F7-F9</f>
        <v>2700</v>
      </c>
      <c r="G11" s="176" t="n">
        <f aca="false">G5+G7-G9</f>
        <v>2700</v>
      </c>
      <c r="H11" s="176" t="n">
        <f aca="false">H5+H7-H9</f>
        <v>2700</v>
      </c>
      <c r="I11" s="176" t="n">
        <f aca="false">I5+I7-I9</f>
        <v>2700</v>
      </c>
      <c r="J11" s="176" t="n">
        <f aca="false">J5+J7-J9</f>
        <v>2700</v>
      </c>
      <c r="K11" s="176" t="n">
        <f aca="false">K5+K7-K9</f>
        <v>2700</v>
      </c>
      <c r="L11" s="176" t="n">
        <f aca="false">L5+L7-L9</f>
        <v>2700</v>
      </c>
      <c r="M11" s="176" t="n">
        <f aca="false">M5+M7-M9</f>
        <v>2700</v>
      </c>
      <c r="N11" s="176" t="n">
        <f aca="false">N5+N7-N9</f>
        <v>2700</v>
      </c>
      <c r="O11" s="176" t="n">
        <f aca="false">O5+O7-O9</f>
        <v>2700</v>
      </c>
      <c r="P11" s="263"/>
    </row>
    <row r="12" s="204" customFormat="true" ht="6" hidden="false" customHeight="true" outlineLevel="0" collapsed="false">
      <c r="A12" s="263"/>
      <c r="B12" s="334"/>
      <c r="C12" s="172"/>
      <c r="D12" s="335"/>
      <c r="E12" s="335"/>
      <c r="F12" s="335"/>
      <c r="G12" s="335"/>
      <c r="H12" s="335"/>
      <c r="I12" s="335"/>
      <c r="J12" s="335"/>
      <c r="K12" s="335"/>
      <c r="L12" s="335"/>
      <c r="M12" s="335"/>
      <c r="N12" s="335"/>
      <c r="O12" s="335"/>
      <c r="P12" s="263"/>
    </row>
    <row r="13" customFormat="false" ht="12" hidden="false" customHeight="false" outlineLevel="0" collapsed="false">
      <c r="A13" s="241"/>
      <c r="B13" s="331" t="s">
        <v>223</v>
      </c>
      <c r="C13" s="176" t="n">
        <f aca="false">SUM(D13:O13)</f>
        <v>1380</v>
      </c>
      <c r="D13" s="176" t="n">
        <f aca="false">'Profit &amp; Loss Acc'!C22</f>
        <v>520</v>
      </c>
      <c r="E13" s="176" t="n">
        <f aca="false">'Profit &amp; Loss Acc'!D22</f>
        <v>0</v>
      </c>
      <c r="F13" s="176" t="n">
        <f aca="false">'Profit &amp; Loss Acc'!E22</f>
        <v>0</v>
      </c>
      <c r="G13" s="176" t="n">
        <f aca="false">'Profit &amp; Loss Acc'!F22</f>
        <v>120</v>
      </c>
      <c r="H13" s="176" t="n">
        <f aca="false">'Profit &amp; Loss Acc'!G22</f>
        <v>0</v>
      </c>
      <c r="I13" s="176" t="n">
        <f aca="false">'Profit &amp; Loss Acc'!H22</f>
        <v>0</v>
      </c>
      <c r="J13" s="176" t="n">
        <f aca="false">'Profit &amp; Loss Acc'!I22</f>
        <v>120</v>
      </c>
      <c r="K13" s="176" t="n">
        <f aca="false">'Profit &amp; Loss Acc'!J22</f>
        <v>0</v>
      </c>
      <c r="L13" s="176" t="n">
        <f aca="false">'Profit &amp; Loss Acc'!K22</f>
        <v>0</v>
      </c>
      <c r="M13" s="176" t="n">
        <f aca="false">'Profit &amp; Loss Acc'!L22</f>
        <v>620</v>
      </c>
      <c r="N13" s="176" t="n">
        <f aca="false">'Profit &amp; Loss Acc'!M22</f>
        <v>0</v>
      </c>
      <c r="O13" s="176" t="n">
        <f aca="false">'Profit &amp; Loss Acc'!N22</f>
        <v>0</v>
      </c>
      <c r="P13" s="241"/>
    </row>
    <row r="14" customFormat="false" ht="6" hidden="false" customHeight="true" outlineLevel="0" collapsed="false">
      <c r="A14" s="241"/>
      <c r="B14" s="331"/>
      <c r="C14" s="172"/>
      <c r="D14" s="172"/>
      <c r="E14" s="172"/>
      <c r="F14" s="172"/>
      <c r="G14" s="172"/>
      <c r="H14" s="172"/>
      <c r="I14" s="172"/>
      <c r="J14" s="172"/>
      <c r="K14" s="172"/>
      <c r="L14" s="172"/>
      <c r="M14" s="172"/>
      <c r="N14" s="172"/>
      <c r="O14" s="172"/>
      <c r="P14" s="241"/>
    </row>
    <row r="15" customFormat="false" ht="12" hidden="false" customHeight="false" outlineLevel="0" collapsed="false">
      <c r="A15" s="241"/>
      <c r="B15" s="336" t="s">
        <v>224</v>
      </c>
      <c r="C15" s="176" t="n">
        <f aca="false">SUM(D15:O15)</f>
        <v>29640</v>
      </c>
      <c r="D15" s="176" t="n">
        <f aca="false">D11-D13</f>
        <v>800</v>
      </c>
      <c r="E15" s="176" t="n">
        <f aca="false">E11-E13</f>
        <v>2700</v>
      </c>
      <c r="F15" s="176" t="n">
        <f aca="false">F11-F13</f>
        <v>2700</v>
      </c>
      <c r="G15" s="176" t="n">
        <f aca="false">G11-G13</f>
        <v>2580</v>
      </c>
      <c r="H15" s="176" t="n">
        <f aca="false">H11-H13</f>
        <v>2700</v>
      </c>
      <c r="I15" s="176" t="n">
        <f aca="false">I11-I13</f>
        <v>2700</v>
      </c>
      <c r="J15" s="176" t="n">
        <f aca="false">J11-J13</f>
        <v>2580</v>
      </c>
      <c r="K15" s="176" t="n">
        <f aca="false">K11-K13</f>
        <v>2700</v>
      </c>
      <c r="L15" s="176" t="n">
        <f aca="false">L11-L13</f>
        <v>2700</v>
      </c>
      <c r="M15" s="176" t="n">
        <f aca="false">M11-M13</f>
        <v>2080</v>
      </c>
      <c r="N15" s="176" t="n">
        <f aca="false">N11-N13</f>
        <v>2700</v>
      </c>
      <c r="O15" s="176" t="n">
        <f aca="false">O11-O13</f>
        <v>2700</v>
      </c>
      <c r="P15" s="241"/>
    </row>
    <row r="16" customFormat="false" ht="12" hidden="false" customHeight="false" outlineLevel="0" collapsed="false">
      <c r="A16" s="241"/>
      <c r="B16" s="241"/>
      <c r="C16" s="241"/>
      <c r="D16" s="241"/>
      <c r="E16" s="241"/>
      <c r="F16" s="241"/>
      <c r="G16" s="241"/>
      <c r="H16" s="241"/>
      <c r="I16" s="241"/>
      <c r="J16" s="241"/>
      <c r="K16" s="241"/>
      <c r="L16" s="241"/>
      <c r="M16" s="241"/>
      <c r="N16" s="241"/>
      <c r="O16" s="241"/>
      <c r="P16" s="241"/>
    </row>
    <row r="17" customFormat="false" ht="12" hidden="false" customHeight="true" outlineLevel="0" collapsed="false">
      <c r="A17" s="241"/>
      <c r="B17" s="337" t="s">
        <v>225</v>
      </c>
      <c r="C17" s="324" t="s">
        <v>221</v>
      </c>
      <c r="D17" s="338" t="n">
        <f aca="false">D2</f>
        <v>45046</v>
      </c>
      <c r="E17" s="338" t="n">
        <f aca="false">E2</f>
        <v>45077</v>
      </c>
      <c r="F17" s="338" t="n">
        <f aca="false">F2</f>
        <v>45107</v>
      </c>
      <c r="G17" s="338" t="n">
        <f aca="false">G2</f>
        <v>45138</v>
      </c>
      <c r="H17" s="338" t="n">
        <f aca="false">H2</f>
        <v>45169</v>
      </c>
      <c r="I17" s="338" t="n">
        <f aca="false">I2</f>
        <v>45199</v>
      </c>
      <c r="J17" s="338" t="n">
        <f aca="false">J2</f>
        <v>45230</v>
      </c>
      <c r="K17" s="338" t="n">
        <f aca="false">K2</f>
        <v>45260</v>
      </c>
      <c r="L17" s="338" t="n">
        <f aca="false">L2</f>
        <v>45291</v>
      </c>
      <c r="M17" s="338" t="n">
        <f aca="false">M2</f>
        <v>45322</v>
      </c>
      <c r="N17" s="338" t="n">
        <f aca="false">N2</f>
        <v>45351</v>
      </c>
      <c r="O17" s="338" t="n">
        <f aca="false">O2</f>
        <v>45382</v>
      </c>
      <c r="P17" s="241"/>
    </row>
    <row r="18" customFormat="false" ht="12" hidden="false" customHeight="true" outlineLevel="0" collapsed="false">
      <c r="A18" s="241"/>
      <c r="B18" s="337"/>
      <c r="C18" s="327" t="n">
        <f aca="false">C3</f>
        <v>45387</v>
      </c>
      <c r="D18" s="338"/>
      <c r="E18" s="338"/>
      <c r="F18" s="338"/>
      <c r="G18" s="338"/>
      <c r="H18" s="338"/>
      <c r="I18" s="338"/>
      <c r="J18" s="338"/>
      <c r="K18" s="338"/>
      <c r="L18" s="338"/>
      <c r="M18" s="338"/>
      <c r="N18" s="338"/>
      <c r="O18" s="338"/>
      <c r="P18" s="241"/>
    </row>
    <row r="19" customFormat="false" ht="12" hidden="false" customHeight="false" outlineLevel="0" collapsed="false">
      <c r="A19" s="241"/>
      <c r="B19" s="337"/>
      <c r="C19" s="339" t="n">
        <f aca="false">SUM(D19:O19)</f>
        <v>12</v>
      </c>
      <c r="D19" s="329" t="n">
        <f aca="false">IF(D5&gt;0,1," ")</f>
        <v>1</v>
      </c>
      <c r="E19" s="329" t="n">
        <f aca="false">IF(E5&gt;0,1," ")</f>
        <v>1</v>
      </c>
      <c r="F19" s="329" t="n">
        <f aca="false">IF(F5&gt;0,1," ")</f>
        <v>1</v>
      </c>
      <c r="G19" s="329" t="n">
        <f aca="false">IF(G5&gt;0,1," ")</f>
        <v>1</v>
      </c>
      <c r="H19" s="329" t="n">
        <f aca="false">IF(H5&gt;0,1," ")</f>
        <v>1</v>
      </c>
      <c r="I19" s="329" t="n">
        <f aca="false">IF(I5&gt;0,1," ")</f>
        <v>1</v>
      </c>
      <c r="J19" s="329" t="n">
        <f aca="false">IF(J5&gt;0,1," ")</f>
        <v>1</v>
      </c>
      <c r="K19" s="329" t="n">
        <f aca="false">IF(K5&gt;0,1," ")</f>
        <v>1</v>
      </c>
      <c r="L19" s="329" t="n">
        <f aca="false">IF(L5&gt;0,1," ")</f>
        <v>1</v>
      </c>
      <c r="M19" s="329" t="n">
        <f aca="false">IF(M5&gt;0,1," ")</f>
        <v>1</v>
      </c>
      <c r="N19" s="329" t="n">
        <f aca="false">IF(N5&gt;0,1," ")</f>
        <v>1</v>
      </c>
      <c r="O19" s="329" t="n">
        <f aca="false">IF(O5&gt;0,1," ")</f>
        <v>1</v>
      </c>
      <c r="P19" s="241"/>
    </row>
    <row r="20" s="204" customFormat="true" ht="12" hidden="false" customHeight="false" outlineLevel="0" collapsed="false">
      <c r="A20" s="263"/>
      <c r="B20" s="331" t="s">
        <v>110</v>
      </c>
      <c r="C20" s="176" t="n">
        <f aca="false">SUM(D20:O20)</f>
        <v>36000</v>
      </c>
      <c r="D20" s="176" t="n">
        <f aca="false">IF(C5&gt;0,IF(D5&gt;0,D5,C5/C19),0)</f>
        <v>3000</v>
      </c>
      <c r="E20" s="176" t="n">
        <f aca="false">IF(C5&gt;0,IF(E5&gt;0,E5,C5/C19),0)</f>
        <v>3000</v>
      </c>
      <c r="F20" s="176" t="n">
        <f aca="false">IF(C5&gt;0,IF(F5&gt;0,F5,C5/C19),0)</f>
        <v>3000</v>
      </c>
      <c r="G20" s="176" t="n">
        <f aca="false">IF(C5&gt;0,IF(G5&gt;0,G5,C5/C19),0)</f>
        <v>3000</v>
      </c>
      <c r="H20" s="176" t="n">
        <f aca="false">IF(C5&gt;0,IF(H5&gt;0,H5,C5/C19),0)</f>
        <v>3000</v>
      </c>
      <c r="I20" s="176" t="n">
        <f aca="false">IF(C5&gt;0,IF(I5&gt;0,I5,C5/C19),0)</f>
        <v>3000</v>
      </c>
      <c r="J20" s="176" t="n">
        <f aca="false">IF(C5&gt;0,IF(J5&gt;0,J5,C5/C19),0)</f>
        <v>3000</v>
      </c>
      <c r="K20" s="176" t="n">
        <f aca="false">IF(C5&gt;0,IF(K5&gt;0,K5,C5/C19),0)</f>
        <v>3000</v>
      </c>
      <c r="L20" s="176" t="n">
        <f aca="false">IF(C5&gt;0,IF(L5&gt;0,L5,C5/C19),0)</f>
        <v>3000</v>
      </c>
      <c r="M20" s="176" t="n">
        <f aca="false">IF(C5&gt;0,IF(M5&gt;0,M5,C5/C19),0)</f>
        <v>3000</v>
      </c>
      <c r="N20" s="176" t="n">
        <f aca="false">IF(C5&gt;0,IF(N5&gt;0,N5,C5/C19),0)</f>
        <v>3000</v>
      </c>
      <c r="O20" s="176" t="n">
        <f aca="false">IF(C5&gt;0,IF(O5&gt;0,O5,C5/C19),0)</f>
        <v>3000</v>
      </c>
      <c r="P20" s="263"/>
    </row>
    <row r="21" s="204" customFormat="true" ht="6" hidden="false" customHeight="true" outlineLevel="0" collapsed="false">
      <c r="A21" s="263"/>
      <c r="B21" s="331"/>
      <c r="C21" s="172"/>
      <c r="D21" s="172"/>
      <c r="E21" s="172"/>
      <c r="F21" s="172"/>
      <c r="G21" s="172"/>
      <c r="H21" s="172"/>
      <c r="I21" s="172"/>
      <c r="J21" s="172"/>
      <c r="K21" s="172"/>
      <c r="L21" s="172"/>
      <c r="M21" s="172"/>
      <c r="N21" s="172"/>
      <c r="O21" s="172"/>
      <c r="P21" s="263"/>
    </row>
    <row r="22" customFormat="false" ht="12" hidden="false" customHeight="false" outlineLevel="0" collapsed="false">
      <c r="A22" s="241"/>
      <c r="B22" s="332" t="s">
        <v>222</v>
      </c>
      <c r="C22" s="176" t="n">
        <f aca="false">SUM(D22:O22)</f>
        <v>0</v>
      </c>
      <c r="D22" s="333" t="n">
        <f aca="false">D7</f>
        <v>0</v>
      </c>
      <c r="E22" s="333" t="n">
        <f aca="false">E7</f>
        <v>0</v>
      </c>
      <c r="F22" s="333" t="n">
        <f aca="false">F7</f>
        <v>0</v>
      </c>
      <c r="G22" s="333" t="n">
        <f aca="false">G7</f>
        <v>0</v>
      </c>
      <c r="H22" s="333" t="n">
        <f aca="false">H7</f>
        <v>0</v>
      </c>
      <c r="I22" s="333" t="n">
        <f aca="false">I7</f>
        <v>0</v>
      </c>
      <c r="J22" s="333" t="n">
        <f aca="false">J7</f>
        <v>0</v>
      </c>
      <c r="K22" s="333" t="n">
        <f aca="false">K7</f>
        <v>0</v>
      </c>
      <c r="L22" s="333" t="n">
        <f aca="false">L7</f>
        <v>0</v>
      </c>
      <c r="M22" s="333" t="n">
        <f aca="false">M7</f>
        <v>0</v>
      </c>
      <c r="N22" s="333" t="n">
        <f aca="false">N7</f>
        <v>0</v>
      </c>
      <c r="O22" s="333" t="n">
        <f aca="false">O7</f>
        <v>0</v>
      </c>
      <c r="P22" s="241"/>
    </row>
    <row r="23" customFormat="false" ht="6" hidden="false" customHeight="true" outlineLevel="0" collapsed="false">
      <c r="A23" s="241"/>
      <c r="B23" s="332"/>
      <c r="C23" s="172"/>
      <c r="D23" s="172"/>
      <c r="E23" s="172"/>
      <c r="F23" s="172"/>
      <c r="G23" s="172"/>
      <c r="H23" s="172"/>
      <c r="I23" s="172"/>
      <c r="J23" s="172"/>
      <c r="K23" s="172"/>
      <c r="L23" s="172"/>
      <c r="M23" s="172"/>
      <c r="N23" s="172"/>
      <c r="O23" s="172"/>
      <c r="P23" s="241"/>
    </row>
    <row r="24" s="204" customFormat="true" ht="12" hidden="false" customHeight="false" outlineLevel="0" collapsed="false">
      <c r="A24" s="263"/>
      <c r="B24" s="331" t="s">
        <v>117</v>
      </c>
      <c r="C24" s="176" t="n">
        <f aca="false">SUM(D24:O24)</f>
        <v>4980</v>
      </c>
      <c r="D24" s="176" t="n">
        <f aca="false">IF($C5&gt;0,IF(D5&gt;0,D9,($C9-'Profit &amp; Loss Acc'!$B10)/$C19+'Profit &amp; Loss Acc'!$B10/12),0)</f>
        <v>1680</v>
      </c>
      <c r="E24" s="176" t="n">
        <f aca="false">IF($C5&gt;0,IF(E5&gt;0,E9,($C9-'Profit &amp; Loss Acc'!$B10)/$C19+'Profit &amp; Loss Acc'!$B10/12),0)</f>
        <v>300</v>
      </c>
      <c r="F24" s="176" t="n">
        <f aca="false">IF($C5&gt;0,IF(F5&gt;0,F9,($C9-'Profit &amp; Loss Acc'!$B10)/$C19+'Profit &amp; Loss Acc'!$B10/12),0)</f>
        <v>300</v>
      </c>
      <c r="G24" s="176" t="n">
        <f aca="false">IF($C5&gt;0,IF(G5&gt;0,G9,($C9-'Profit &amp; Loss Acc'!$B10)/$C19+'Profit &amp; Loss Acc'!$B10/12),0)</f>
        <v>300</v>
      </c>
      <c r="H24" s="176" t="n">
        <f aca="false">IF($C5&gt;0,IF(H5&gt;0,H9,($C9-'Profit &amp; Loss Acc'!$B10)/$C19+'Profit &amp; Loss Acc'!$B10/12),0)</f>
        <v>300</v>
      </c>
      <c r="I24" s="176" t="n">
        <f aca="false">IF($C5&gt;0,IF(I5&gt;0,I9,($C9-'Profit &amp; Loss Acc'!$B10)/$C19+'Profit &amp; Loss Acc'!$B10/12),0)</f>
        <v>300</v>
      </c>
      <c r="J24" s="176" t="n">
        <f aca="false">IF($C5&gt;0,IF(J5&gt;0,J9,($C9-'Profit &amp; Loss Acc'!$B10)/$C19+'Profit &amp; Loss Acc'!$B10/12),0)</f>
        <v>300</v>
      </c>
      <c r="K24" s="176" t="n">
        <f aca="false">IF($C5&gt;0,IF(K5&gt;0,K9,($C9-'Profit &amp; Loss Acc'!$B10)/$C19+'Profit &amp; Loss Acc'!$B10/12),0)</f>
        <v>300</v>
      </c>
      <c r="L24" s="176" t="n">
        <f aca="false">IF($C5&gt;0,IF(L5&gt;0,L9,($C9-'Profit &amp; Loss Acc'!$B10)/$C19+'Profit &amp; Loss Acc'!$B10/12),0)</f>
        <v>300</v>
      </c>
      <c r="M24" s="176" t="n">
        <f aca="false">IF($C5&gt;0,IF(M5&gt;0,M9,($C9-'Profit &amp; Loss Acc'!$B10)/$C19+'Profit &amp; Loss Acc'!$B10/12),0)</f>
        <v>300</v>
      </c>
      <c r="N24" s="176" t="n">
        <f aca="false">IF($C5&gt;0,IF(N5&gt;0,N9,($C9-'Profit &amp; Loss Acc'!$B10)/$C19+'Profit &amp; Loss Acc'!$B10/12),0)</f>
        <v>300</v>
      </c>
      <c r="O24" s="176" t="n">
        <f aca="false">IF($C5&gt;0,IF(O5&gt;0,O9,($C9-'Profit &amp; Loss Acc'!$B10)/$C19+'Profit &amp; Loss Acc'!$B10/12),0)</f>
        <v>300</v>
      </c>
      <c r="P24" s="263"/>
    </row>
    <row r="25" s="204" customFormat="true" ht="7.5" hidden="false" customHeight="true" outlineLevel="0" collapsed="false">
      <c r="A25" s="263"/>
      <c r="B25" s="331"/>
      <c r="C25" s="172"/>
      <c r="D25" s="172"/>
      <c r="E25" s="172"/>
      <c r="F25" s="172"/>
      <c r="G25" s="172"/>
      <c r="H25" s="172"/>
      <c r="I25" s="172"/>
      <c r="J25" s="172"/>
      <c r="K25" s="172"/>
      <c r="L25" s="172"/>
      <c r="M25" s="172"/>
      <c r="N25" s="172"/>
      <c r="O25" s="172"/>
      <c r="P25" s="263"/>
    </row>
    <row r="26" s="204" customFormat="true" ht="12" hidden="false" customHeight="false" outlineLevel="0" collapsed="false">
      <c r="A26" s="263"/>
      <c r="B26" s="331" t="s">
        <v>118</v>
      </c>
      <c r="C26" s="176" t="n">
        <f aca="false">SUM(D26:O26)</f>
        <v>31020</v>
      </c>
      <c r="D26" s="176" t="n">
        <f aca="false">D20+D22-D24</f>
        <v>1320</v>
      </c>
      <c r="E26" s="176" t="n">
        <f aca="false">E20+E22-E24</f>
        <v>2700</v>
      </c>
      <c r="F26" s="176" t="n">
        <f aca="false">F20+F22-F24</f>
        <v>2700</v>
      </c>
      <c r="G26" s="176" t="n">
        <f aca="false">G20+G22-G24</f>
        <v>2700</v>
      </c>
      <c r="H26" s="176" t="n">
        <f aca="false">H20+H22-H24</f>
        <v>2700</v>
      </c>
      <c r="I26" s="176" t="n">
        <f aca="false">I20+I22-I24</f>
        <v>2700</v>
      </c>
      <c r="J26" s="176" t="n">
        <f aca="false">J20+J22-J24</f>
        <v>2700</v>
      </c>
      <c r="K26" s="176" t="n">
        <f aca="false">K20+K22-K24</f>
        <v>2700</v>
      </c>
      <c r="L26" s="176" t="n">
        <f aca="false">L20+L22-L24</f>
        <v>2700</v>
      </c>
      <c r="M26" s="176" t="n">
        <f aca="false">M20+M22-M24</f>
        <v>2700</v>
      </c>
      <c r="N26" s="176" t="n">
        <f aca="false">N20+N22-N24</f>
        <v>2700</v>
      </c>
      <c r="O26" s="176" t="n">
        <f aca="false">O20+O22-O24</f>
        <v>2700</v>
      </c>
      <c r="P26" s="263"/>
    </row>
    <row r="27" s="204" customFormat="true" ht="6" hidden="false" customHeight="true" outlineLevel="0" collapsed="false">
      <c r="A27" s="263"/>
      <c r="B27" s="334"/>
      <c r="C27" s="172"/>
      <c r="D27" s="335"/>
      <c r="E27" s="335"/>
      <c r="F27" s="335"/>
      <c r="G27" s="335"/>
      <c r="H27" s="335"/>
      <c r="I27" s="335"/>
      <c r="J27" s="335"/>
      <c r="K27" s="335"/>
      <c r="L27" s="335"/>
      <c r="M27" s="335"/>
      <c r="N27" s="335"/>
      <c r="O27" s="335"/>
      <c r="P27" s="263"/>
    </row>
    <row r="28" customFormat="false" ht="12" hidden="false" customHeight="false" outlineLevel="0" collapsed="false">
      <c r="A28" s="241"/>
      <c r="B28" s="331" t="s">
        <v>223</v>
      </c>
      <c r="C28" s="176" t="n">
        <f aca="false">SUM(D28:O28)</f>
        <v>1380</v>
      </c>
      <c r="D28" s="176" t="n">
        <f aca="false">IF($C5&gt;0,IF(D5&gt;0,D13,$C13/$C19),0)</f>
        <v>520</v>
      </c>
      <c r="E28" s="176" t="n">
        <f aca="false">IF($C5&gt;0,IF(E5&gt;0,E13,$C13/$C19),0)</f>
        <v>0</v>
      </c>
      <c r="F28" s="176" t="n">
        <f aca="false">IF($C5&gt;0,IF(F5&gt;0,F13,$C13/$C19),0)</f>
        <v>0</v>
      </c>
      <c r="G28" s="176" t="n">
        <f aca="false">IF($C5&gt;0,IF(G5&gt;0,G13,$C13/$C19),0)</f>
        <v>120</v>
      </c>
      <c r="H28" s="176" t="n">
        <f aca="false">IF($C5&gt;0,IF(H5&gt;0,H13,$C13/$C19),0)</f>
        <v>0</v>
      </c>
      <c r="I28" s="176" t="n">
        <f aca="false">IF($C5&gt;0,IF(I5&gt;0,I13,$C13/$C19),0)</f>
        <v>0</v>
      </c>
      <c r="J28" s="176" t="n">
        <f aca="false">IF($C5&gt;0,IF(J5&gt;0,J13,$C13/$C19),0)</f>
        <v>120</v>
      </c>
      <c r="K28" s="176" t="n">
        <f aca="false">IF($C5&gt;0,IF(K5&gt;0,K13,$C13/$C19),0)</f>
        <v>0</v>
      </c>
      <c r="L28" s="176" t="n">
        <f aca="false">IF($C5&gt;0,IF(L5&gt;0,L13,$C13/$C19),0)</f>
        <v>0</v>
      </c>
      <c r="M28" s="176" t="n">
        <f aca="false">IF($C5&gt;0,IF(M5&gt;0,M13,$C13/$C19),0)</f>
        <v>620</v>
      </c>
      <c r="N28" s="176" t="n">
        <f aca="false">IF($C5&gt;0,IF(N5&gt;0,N13,$C13/$C19),0)</f>
        <v>0</v>
      </c>
      <c r="O28" s="176" t="n">
        <f aca="false">IF($C5&gt;0,IF(O5&gt;0,O13,$C13/$C19),0)</f>
        <v>0</v>
      </c>
      <c r="P28" s="241"/>
    </row>
    <row r="29" customFormat="false" ht="6" hidden="false" customHeight="true" outlineLevel="0" collapsed="false">
      <c r="A29" s="241"/>
      <c r="B29" s="331"/>
      <c r="C29" s="172"/>
      <c r="D29" s="172"/>
      <c r="E29" s="172"/>
      <c r="F29" s="172"/>
      <c r="G29" s="172"/>
      <c r="H29" s="172"/>
      <c r="I29" s="172"/>
      <c r="J29" s="172"/>
      <c r="K29" s="172"/>
      <c r="L29" s="172"/>
      <c r="M29" s="172"/>
      <c r="N29" s="172"/>
      <c r="O29" s="172"/>
      <c r="P29" s="241"/>
    </row>
    <row r="30" customFormat="false" ht="12" hidden="false" customHeight="false" outlineLevel="0" collapsed="false">
      <c r="A30" s="241"/>
      <c r="B30" s="336" t="s">
        <v>224</v>
      </c>
      <c r="C30" s="176" t="n">
        <f aca="false">SUM(D30:O30)</f>
        <v>29640</v>
      </c>
      <c r="D30" s="176" t="n">
        <f aca="false">D26-D28</f>
        <v>800</v>
      </c>
      <c r="E30" s="176" t="n">
        <f aca="false">E26-E28</f>
        <v>2700</v>
      </c>
      <c r="F30" s="176" t="n">
        <f aca="false">F26-F28</f>
        <v>2700</v>
      </c>
      <c r="G30" s="176" t="n">
        <f aca="false">G26-G28</f>
        <v>2580</v>
      </c>
      <c r="H30" s="176" t="n">
        <f aca="false">H26-H28</f>
        <v>2700</v>
      </c>
      <c r="I30" s="176" t="n">
        <f aca="false">I26-I28</f>
        <v>2700</v>
      </c>
      <c r="J30" s="176" t="n">
        <f aca="false">J26-J28</f>
        <v>2580</v>
      </c>
      <c r="K30" s="176" t="n">
        <f aca="false">K26-K28</f>
        <v>2700</v>
      </c>
      <c r="L30" s="176" t="n">
        <f aca="false">L26-L28</f>
        <v>2700</v>
      </c>
      <c r="M30" s="176" t="n">
        <f aca="false">M26-M28</f>
        <v>2080</v>
      </c>
      <c r="N30" s="176" t="n">
        <f aca="false">N26-N28</f>
        <v>2700</v>
      </c>
      <c r="O30" s="176" t="n">
        <f aca="false">O26-O28</f>
        <v>2700</v>
      </c>
      <c r="P30" s="241"/>
    </row>
    <row r="31" customFormat="false" ht="6" hidden="false" customHeight="true" outlineLevel="0" collapsed="false">
      <c r="A31" s="241"/>
      <c r="B31" s="331"/>
      <c r="C31" s="172"/>
      <c r="D31" s="172"/>
      <c r="E31" s="172"/>
      <c r="F31" s="172"/>
      <c r="G31" s="172"/>
      <c r="H31" s="172"/>
      <c r="I31" s="172"/>
      <c r="J31" s="172"/>
      <c r="K31" s="172"/>
      <c r="L31" s="172"/>
      <c r="M31" s="172"/>
      <c r="N31" s="172"/>
      <c r="O31" s="172"/>
      <c r="P31" s="241"/>
    </row>
    <row r="32" customFormat="false" ht="12" hidden="false" customHeight="true" outlineLevel="0" collapsed="false">
      <c r="A32" s="241"/>
      <c r="B32" s="340" t="s">
        <v>226</v>
      </c>
      <c r="C32" s="340"/>
      <c r="D32" s="241"/>
      <c r="E32" s="241"/>
      <c r="F32" s="241"/>
      <c r="G32" s="241"/>
      <c r="H32" s="241"/>
      <c r="I32" s="241"/>
      <c r="J32" s="241"/>
      <c r="K32" s="241"/>
      <c r="L32" s="241"/>
      <c r="M32" s="241"/>
      <c r="N32" s="241"/>
      <c r="O32" s="241"/>
      <c r="P32" s="241"/>
    </row>
    <row r="33" customFormat="false" ht="12" hidden="false" customHeight="false" outlineLevel="0" collapsed="false">
      <c r="A33" s="241"/>
      <c r="B33" s="341"/>
      <c r="C33" s="342"/>
      <c r="D33" s="241"/>
      <c r="E33" s="241"/>
      <c r="F33" s="241"/>
      <c r="G33" s="241"/>
      <c r="H33" s="241"/>
      <c r="I33" s="241"/>
      <c r="J33" s="241"/>
      <c r="K33" s="241"/>
      <c r="L33" s="241"/>
      <c r="M33" s="241"/>
      <c r="N33" s="241"/>
      <c r="O33" s="241"/>
      <c r="P33" s="241"/>
    </row>
    <row r="34" customFormat="false" ht="12" hidden="false" customHeight="false" outlineLevel="0" collapsed="false">
      <c r="A34" s="241"/>
      <c r="B34" s="341" t="s">
        <v>227</v>
      </c>
      <c r="C34" s="342" t="n">
        <f aca="false">C30-C33</f>
        <v>29640</v>
      </c>
      <c r="D34" s="343"/>
      <c r="E34" s="241"/>
      <c r="F34" s="241"/>
      <c r="G34" s="241"/>
      <c r="H34" s="241"/>
      <c r="I34" s="241"/>
      <c r="J34" s="241"/>
      <c r="K34" s="241"/>
      <c r="L34" s="241"/>
      <c r="M34" s="241"/>
      <c r="N34" s="241"/>
      <c r="O34" s="241"/>
      <c r="P34" s="241"/>
    </row>
    <row r="35" customFormat="false" ht="12" hidden="false" customHeight="false" outlineLevel="0" collapsed="false">
      <c r="A35" s="241"/>
      <c r="B35" s="174" t="s">
        <v>228</v>
      </c>
      <c r="C35" s="342" t="n">
        <f aca="false">IF(C34&gt;0,Admin!N$4,0)</f>
        <v>12570</v>
      </c>
      <c r="D35" s="241"/>
      <c r="E35" s="241"/>
      <c r="F35" s="241"/>
      <c r="G35" s="241"/>
      <c r="H35" s="241"/>
      <c r="I35" s="241"/>
      <c r="J35" s="241"/>
      <c r="K35" s="241"/>
      <c r="L35" s="241"/>
      <c r="M35" s="241"/>
      <c r="N35" s="241"/>
      <c r="O35" s="241"/>
      <c r="P35" s="241"/>
    </row>
    <row r="36" customFormat="false" ht="12" hidden="false" customHeight="false" outlineLevel="0" collapsed="false">
      <c r="A36" s="241"/>
      <c r="B36" s="174" t="s">
        <v>229</v>
      </c>
      <c r="C36" s="342" t="n">
        <f aca="false">IF((C34&gt;C35),(C34-C35),0)</f>
        <v>17070</v>
      </c>
      <c r="D36" s="241"/>
      <c r="E36" s="241"/>
      <c r="F36" s="241"/>
      <c r="G36" s="241"/>
      <c r="H36" s="241"/>
      <c r="I36" s="241"/>
      <c r="J36" s="241"/>
      <c r="K36" s="241"/>
      <c r="L36" s="241"/>
      <c r="M36" s="241"/>
      <c r="N36" s="241"/>
      <c r="O36" s="241"/>
      <c r="P36" s="241"/>
    </row>
    <row r="37" customFormat="false" ht="12" hidden="false" customHeight="false" outlineLevel="0" collapsed="false">
      <c r="A37" s="241"/>
      <c r="B37" s="174" t="s">
        <v>230</v>
      </c>
      <c r="C37" s="342" t="n">
        <f aca="false">IF((C36&gt;0),(IF((C36&lt;Admin!N$12),C36*Admin!N$6,Admin!N$12*Admin!N$6)),0)</f>
        <v>0</v>
      </c>
      <c r="D37" s="343"/>
      <c r="E37" s="241"/>
      <c r="F37" s="241"/>
      <c r="G37" s="241"/>
      <c r="H37" s="241"/>
      <c r="I37" s="241"/>
      <c r="J37" s="241"/>
      <c r="K37" s="241"/>
      <c r="L37" s="241"/>
      <c r="M37" s="241"/>
      <c r="N37" s="241"/>
      <c r="O37" s="241"/>
      <c r="P37" s="241"/>
    </row>
    <row r="38" customFormat="false" ht="12" hidden="false" customHeight="false" outlineLevel="0" collapsed="false">
      <c r="A38" s="241"/>
      <c r="B38" s="174" t="s">
        <v>231</v>
      </c>
      <c r="C38" s="342" t="n">
        <f aca="false">IF((C36&gt;Admin!N$12),((C36-Admin!N$12)*Admin!N$7),0)</f>
        <v>3414</v>
      </c>
      <c r="D38" s="241"/>
      <c r="E38" s="241"/>
      <c r="F38" s="241"/>
      <c r="G38" s="241"/>
      <c r="H38" s="241"/>
      <c r="I38" s="241"/>
      <c r="J38" s="241"/>
      <c r="K38" s="241"/>
      <c r="L38" s="241"/>
      <c r="M38" s="241"/>
      <c r="N38" s="241"/>
      <c r="O38" s="241"/>
      <c r="P38" s="241"/>
    </row>
    <row r="39" customFormat="false" ht="12" hidden="false" customHeight="false" outlineLevel="0" collapsed="false">
      <c r="A39" s="241"/>
      <c r="B39" s="174" t="s">
        <v>232</v>
      </c>
      <c r="C39" s="342" t="n">
        <f aca="false">IF((C36&gt;0),C36*Admin!L$20,0)</f>
        <v>1536.3</v>
      </c>
      <c r="D39" s="241"/>
      <c r="E39" s="241"/>
      <c r="F39" s="241"/>
      <c r="G39" s="241"/>
      <c r="H39" s="241"/>
      <c r="I39" s="241"/>
      <c r="J39" s="241"/>
      <c r="K39" s="241"/>
      <c r="L39" s="241"/>
      <c r="M39" s="241"/>
      <c r="N39" s="241"/>
      <c r="O39" s="241"/>
      <c r="P39" s="241"/>
    </row>
    <row r="40" customFormat="false" ht="6" hidden="false" customHeight="true" outlineLevel="0" collapsed="false">
      <c r="A40" s="241"/>
      <c r="B40" s="174"/>
      <c r="C40" s="342"/>
      <c r="D40" s="241"/>
      <c r="E40" s="241"/>
      <c r="F40" s="241"/>
      <c r="G40" s="241"/>
      <c r="H40" s="241"/>
      <c r="I40" s="241"/>
      <c r="J40" s="241"/>
      <c r="K40" s="241"/>
      <c r="L40" s="241"/>
      <c r="M40" s="241"/>
      <c r="N40" s="241"/>
      <c r="O40" s="241"/>
      <c r="P40" s="241"/>
    </row>
    <row r="41" customFormat="false" ht="12" hidden="false" customHeight="false" outlineLevel="0" collapsed="false">
      <c r="A41" s="241"/>
      <c r="B41" s="174" t="s">
        <v>233</v>
      </c>
      <c r="C41" s="344" t="n">
        <f aca="false">C37+C38+C39</f>
        <v>4950.3</v>
      </c>
      <c r="D41" s="241"/>
      <c r="E41" s="241"/>
      <c r="F41" s="241"/>
      <c r="G41" s="241"/>
      <c r="H41" s="241"/>
      <c r="I41" s="241"/>
      <c r="J41" s="241"/>
      <c r="K41" s="241"/>
      <c r="L41" s="241"/>
      <c r="M41" s="241"/>
      <c r="N41" s="241"/>
      <c r="O41" s="241"/>
      <c r="P41" s="241"/>
    </row>
    <row r="42" customFormat="false" ht="12" hidden="false" customHeight="false" outlineLevel="0" collapsed="false">
      <c r="A42" s="241"/>
      <c r="B42" s="345"/>
      <c r="C42" s="164"/>
      <c r="D42" s="241"/>
      <c r="E42" s="241"/>
      <c r="F42" s="241"/>
      <c r="G42" s="241"/>
      <c r="H42" s="241"/>
      <c r="I42" s="241"/>
      <c r="J42" s="241"/>
      <c r="K42" s="241"/>
      <c r="L42" s="241"/>
      <c r="M42" s="241"/>
      <c r="N42" s="241"/>
      <c r="O42" s="241"/>
      <c r="P42" s="241"/>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SUM(D4:D44)</f>
        <v>0</v>
      </c>
      <c r="E1" s="352" t="n">
        <f aca="false">SUM(E4:E44)/2</f>
        <v>3000</v>
      </c>
      <c r="F1" s="352" t="n">
        <f aca="false">SUM(F4:F44)/2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45022</v>
      </c>
      <c r="B5" s="359" t="n">
        <v>45022</v>
      </c>
      <c r="C5" s="360"/>
      <c r="D5" s="361"/>
      <c r="E5" s="362"/>
      <c r="F5" s="363"/>
    </row>
    <row r="6" customFormat="false" ht="12.75" hidden="false" customHeight="false" outlineLevel="0" collapsed="false">
      <c r="A6" s="364" t="n">
        <v>45023</v>
      </c>
      <c r="B6" s="347" t="n">
        <v>45023</v>
      </c>
      <c r="E6" s="349" t="n">
        <v>200</v>
      </c>
      <c r="F6" s="365"/>
    </row>
    <row r="7" customFormat="false" ht="12.75" hidden="false" customHeight="false" outlineLevel="0" collapsed="false">
      <c r="A7" s="364" t="n">
        <v>45024</v>
      </c>
      <c r="B7" s="347" t="n">
        <v>45024</v>
      </c>
      <c r="E7" s="349" t="n">
        <v>220</v>
      </c>
      <c r="F7" s="365"/>
    </row>
    <row r="8" customFormat="false" ht="12.75" hidden="false" customHeight="false" outlineLevel="0" collapsed="false">
      <c r="A8" s="364" t="n">
        <v>45025</v>
      </c>
      <c r="B8" s="347" t="n">
        <v>45025</v>
      </c>
      <c r="E8" s="349" t="n">
        <v>180</v>
      </c>
      <c r="F8" s="365"/>
    </row>
    <row r="9" customFormat="false" ht="12.75" hidden="false" customHeight="false" outlineLevel="0" collapsed="false">
      <c r="A9" s="364" t="n">
        <v>45025</v>
      </c>
      <c r="B9" s="347" t="s">
        <v>241</v>
      </c>
      <c r="F9" s="365"/>
    </row>
    <row r="10" customFormat="false" ht="12.75" hidden="false" customHeight="false" outlineLevel="0" collapsed="false">
      <c r="A10" s="364" t="n">
        <v>45025</v>
      </c>
      <c r="B10" s="347" t="s">
        <v>242</v>
      </c>
      <c r="F10" s="365"/>
    </row>
    <row r="11" customFormat="false" ht="12.75" hidden="false" customHeight="false" outlineLevel="0" collapsed="false">
      <c r="A11" s="366"/>
      <c r="B11" s="367"/>
      <c r="C11" s="368"/>
      <c r="D11" s="369"/>
      <c r="E11" s="370" t="n">
        <f aca="false">SUM(E5:E10)</f>
        <v>600</v>
      </c>
      <c r="F11" s="371" t="n">
        <f aca="false">SUM(F5:F10)</f>
        <v>0</v>
      </c>
    </row>
    <row r="13" customFormat="false" ht="12.75" hidden="false" customHeight="false" outlineLevel="0" collapsed="false">
      <c r="A13" s="358" t="n">
        <v>45026</v>
      </c>
      <c r="B13" s="359" t="n">
        <v>45026</v>
      </c>
      <c r="C13" s="360"/>
      <c r="D13" s="361"/>
      <c r="E13" s="362" t="n">
        <v>210</v>
      </c>
    </row>
    <row r="14" customFormat="false" ht="12.75" hidden="false" customHeight="false" outlineLevel="0" collapsed="false">
      <c r="B14" s="347" t="n">
        <v>45027</v>
      </c>
      <c r="E14" s="349" t="n">
        <v>190</v>
      </c>
      <c r="F14" s="365"/>
    </row>
    <row r="15" customFormat="false" ht="12.75" hidden="false" customHeight="false" outlineLevel="0" collapsed="false">
      <c r="A15" s="364" t="n">
        <v>45028</v>
      </c>
      <c r="B15" s="347" t="n">
        <v>45028</v>
      </c>
      <c r="F15" s="365"/>
    </row>
    <row r="16" customFormat="false" ht="12.75" hidden="false" customHeight="false" outlineLevel="0" collapsed="false">
      <c r="A16" s="364" t="n">
        <v>45029</v>
      </c>
      <c r="B16" s="347" t="n">
        <v>45029</v>
      </c>
      <c r="F16" s="365"/>
    </row>
    <row r="17" customFormat="false" ht="12.75" hidden="false" customHeight="false" outlineLevel="0" collapsed="false">
      <c r="A17" s="364" t="n">
        <v>45030</v>
      </c>
      <c r="B17" s="347" t="n">
        <v>45030</v>
      </c>
      <c r="E17" s="349" t="n">
        <v>200</v>
      </c>
      <c r="F17" s="365"/>
    </row>
    <row r="18" customFormat="false" ht="12.75" hidden="false" customHeight="false" outlineLevel="0" collapsed="false">
      <c r="A18" s="364" t="n">
        <v>45031</v>
      </c>
      <c r="B18" s="347" t="n">
        <v>45031</v>
      </c>
      <c r="E18" s="349" t="n">
        <v>220</v>
      </c>
      <c r="F18" s="365"/>
    </row>
    <row r="19" customFormat="false" ht="12.75" hidden="false" customHeight="false" outlineLevel="0" collapsed="false">
      <c r="A19" s="364" t="n">
        <v>45032</v>
      </c>
      <c r="B19" s="347" t="n">
        <v>45032</v>
      </c>
      <c r="E19" s="349" t="n">
        <v>180</v>
      </c>
      <c r="F19" s="365"/>
    </row>
    <row r="20" customFormat="false" ht="12.75" hidden="false" customHeight="false" outlineLevel="0" collapsed="false">
      <c r="A20" s="364" t="n">
        <v>45032</v>
      </c>
      <c r="B20" s="347" t="s">
        <v>241</v>
      </c>
      <c r="F20" s="365"/>
    </row>
    <row r="21" customFormat="false" ht="12.75" hidden="false" customHeight="false" outlineLevel="0" collapsed="false">
      <c r="A21" s="364" t="n">
        <v>45032</v>
      </c>
      <c r="B21" s="347" t="s">
        <v>242</v>
      </c>
      <c r="F21" s="365"/>
    </row>
    <row r="22" customFormat="false" ht="12.75" hidden="false" customHeight="false" outlineLevel="0" collapsed="false">
      <c r="A22" s="366"/>
      <c r="B22" s="367"/>
      <c r="C22" s="368"/>
      <c r="D22" s="369"/>
      <c r="E22" s="370" t="n">
        <f aca="false">SUM(E13:E21)</f>
        <v>1000</v>
      </c>
      <c r="F22" s="371" t="n">
        <f aca="false">SUM(F13:F21)</f>
        <v>0</v>
      </c>
    </row>
    <row r="24" customFormat="false" ht="12.75" hidden="false" customHeight="false" outlineLevel="0" collapsed="false">
      <c r="A24" s="358" t="n">
        <v>45033</v>
      </c>
      <c r="B24" s="359" t="n">
        <v>45033</v>
      </c>
      <c r="C24" s="360"/>
      <c r="D24" s="361"/>
      <c r="E24" s="362" t="n">
        <v>200</v>
      </c>
    </row>
    <row r="25" customFormat="false" ht="12.75" hidden="false" customHeight="false" outlineLevel="0" collapsed="false">
      <c r="B25" s="347" t="n">
        <v>45034</v>
      </c>
      <c r="E25" s="349" t="n">
        <v>200</v>
      </c>
      <c r="F25" s="365"/>
    </row>
    <row r="26" customFormat="false" ht="12.75" hidden="false" customHeight="false" outlineLevel="0" collapsed="false">
      <c r="A26" s="364" t="n">
        <v>45035</v>
      </c>
      <c r="B26" s="347" t="n">
        <v>45035</v>
      </c>
      <c r="F26" s="365"/>
    </row>
    <row r="27" customFormat="false" ht="12.75" hidden="false" customHeight="false" outlineLevel="0" collapsed="false">
      <c r="A27" s="364" t="n">
        <v>45036</v>
      </c>
      <c r="B27" s="347" t="n">
        <v>45036</v>
      </c>
      <c r="F27" s="365"/>
    </row>
    <row r="28" customFormat="false" ht="12.75" hidden="false" customHeight="false" outlineLevel="0" collapsed="false">
      <c r="A28" s="364" t="n">
        <v>45037</v>
      </c>
      <c r="B28" s="347" t="n">
        <v>45037</v>
      </c>
      <c r="E28" s="349" t="n">
        <v>200</v>
      </c>
      <c r="F28" s="365"/>
    </row>
    <row r="29" customFormat="false" ht="12.75" hidden="false" customHeight="false" outlineLevel="0" collapsed="false">
      <c r="A29" s="364" t="n">
        <v>45038</v>
      </c>
      <c r="B29" s="347" t="n">
        <v>45038</v>
      </c>
      <c r="E29" s="349" t="n">
        <v>200</v>
      </c>
      <c r="F29" s="365"/>
    </row>
    <row r="30" customFormat="false" ht="12.75" hidden="false" customHeight="false" outlineLevel="0" collapsed="false">
      <c r="A30" s="364" t="n">
        <v>45039</v>
      </c>
      <c r="B30" s="347" t="n">
        <v>45039</v>
      </c>
      <c r="E30" s="349" t="n">
        <v>200</v>
      </c>
      <c r="F30" s="365"/>
    </row>
    <row r="31" customFormat="false" ht="12.75" hidden="false" customHeight="false" outlineLevel="0" collapsed="false">
      <c r="A31" s="364" t="n">
        <v>45039</v>
      </c>
      <c r="B31" s="347" t="s">
        <v>241</v>
      </c>
      <c r="F31" s="365"/>
    </row>
    <row r="32" customFormat="false" ht="12.75" hidden="false" customHeight="false" outlineLevel="0" collapsed="false">
      <c r="A32" s="364" t="n">
        <v>45039</v>
      </c>
      <c r="B32" s="347" t="s">
        <v>242</v>
      </c>
      <c r="F32" s="365"/>
    </row>
    <row r="33" customFormat="false" ht="12.75" hidden="false" customHeight="false" outlineLevel="0" collapsed="false">
      <c r="A33" s="366"/>
      <c r="B33" s="367"/>
      <c r="C33" s="368"/>
      <c r="D33" s="369"/>
      <c r="E33" s="370" t="n">
        <f aca="false">SUM(E24:E32)</f>
        <v>1000</v>
      </c>
      <c r="F33" s="371" t="n">
        <f aca="false">SUM(F24:F32)</f>
        <v>0</v>
      </c>
    </row>
    <row r="35" customFormat="false" ht="12.75" hidden="false" customHeight="false" outlineLevel="0" collapsed="false">
      <c r="A35" s="358" t="n">
        <v>45040</v>
      </c>
      <c r="B35" s="359" t="n">
        <v>45040</v>
      </c>
      <c r="C35" s="360"/>
      <c r="D35" s="361"/>
      <c r="E35" s="362" t="n">
        <v>200</v>
      </c>
    </row>
    <row r="36" customFormat="false" ht="12.75" hidden="false" customHeight="false" outlineLevel="0" collapsed="false">
      <c r="B36" s="347" t="n">
        <v>45041</v>
      </c>
      <c r="E36" s="349" t="n">
        <v>200</v>
      </c>
      <c r="F36" s="365"/>
    </row>
    <row r="37" customFormat="false" ht="12.75" hidden="false" customHeight="false" outlineLevel="0" collapsed="false">
      <c r="A37" s="364" t="n">
        <v>45042</v>
      </c>
      <c r="B37" s="347" t="n">
        <v>45042</v>
      </c>
      <c r="F37" s="365"/>
    </row>
    <row r="38" customFormat="false" ht="12.75" hidden="false" customHeight="false" outlineLevel="0" collapsed="false">
      <c r="A38" s="364" t="n">
        <v>45043</v>
      </c>
      <c r="B38" s="347" t="n">
        <v>45043</v>
      </c>
      <c r="F38" s="365"/>
    </row>
    <row r="39" customFormat="false" ht="12.75" hidden="false" customHeight="false" outlineLevel="0" collapsed="false">
      <c r="A39" s="364" t="n">
        <v>45044</v>
      </c>
      <c r="B39" s="347" t="n">
        <v>45044</v>
      </c>
      <c r="F39" s="365"/>
    </row>
    <row r="40" customFormat="false" ht="12.75" hidden="false" customHeight="false" outlineLevel="0" collapsed="false">
      <c r="A40" s="364" t="n">
        <v>45045</v>
      </c>
      <c r="B40" s="347" t="n">
        <v>45045</v>
      </c>
      <c r="F40" s="365"/>
    </row>
    <row r="41" customFormat="false" ht="12.75" hidden="false" customHeight="false" outlineLevel="0" collapsed="false">
      <c r="A41" s="364" t="n">
        <v>45046</v>
      </c>
      <c r="B41" s="347" t="n">
        <v>45046</v>
      </c>
      <c r="F41" s="365"/>
    </row>
    <row r="42" customFormat="false" ht="12.75" hidden="false" customHeight="false" outlineLevel="0" collapsed="false">
      <c r="A42" s="364" t="n">
        <v>45046</v>
      </c>
      <c r="B42" s="347" t="s">
        <v>241</v>
      </c>
      <c r="F42" s="365"/>
    </row>
    <row r="43" customFormat="false" ht="12.75" hidden="false" customHeight="false" outlineLevel="0" collapsed="false">
      <c r="A43" s="364" t="n">
        <v>45046</v>
      </c>
      <c r="B43" s="347" t="s">
        <v>242</v>
      </c>
      <c r="F43" s="365"/>
    </row>
    <row r="44" customFormat="false" ht="12.75" hidden="false" customHeight="false" outlineLevel="0" collapsed="false">
      <c r="A44" s="366"/>
      <c r="B44" s="367"/>
      <c r="C44" s="368"/>
      <c r="D44" s="369"/>
      <c r="E44" s="370" t="n">
        <f aca="false">SUM(E35:E43)</f>
        <v>400</v>
      </c>
      <c r="F44" s="371" t="n">
        <f aca="false">SUM(F35:F43)</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33"/>
    <col collapsed="false" customWidth="true" hidden="false" outlineLevel="0" max="2" min="2" style="180" width="21.99"/>
    <col collapsed="false" customWidth="true" hidden="false" outlineLevel="0" max="3" min="3" style="180" width="15.5"/>
    <col collapsed="false" customWidth="false" hidden="false" outlineLevel="0" max="4" min="4" style="373" width="9.15"/>
    <col collapsed="false" customWidth="true" hidden="false" outlineLevel="0" max="5" min="5" style="373" width="8.49"/>
    <col collapsed="false" customWidth="true" hidden="false" outlineLevel="0" max="6" min="6" style="374" width="12.66"/>
    <col collapsed="false" customWidth="true" hidden="false" outlineLevel="0" max="7" min="7" style="181" width="9.49"/>
    <col collapsed="false" customWidth="true" hidden="false" outlineLevel="0" max="8" min="8" style="181" width="10.15"/>
    <col collapsed="false" customWidth="true" hidden="false" outlineLevel="0" max="10" min="9" style="181" width="8.66"/>
    <col collapsed="false" customWidth="true" hidden="false" outlineLevel="0" max="12" min="11" style="181" width="7.66"/>
    <col collapsed="false" customWidth="true" hidden="false" outlineLevel="0" max="13" min="13" style="181" width="11.66"/>
    <col collapsed="false" customWidth="true" hidden="false" outlineLevel="0" max="14" min="14" style="181" width="8.66"/>
    <col collapsed="false" customWidth="true" hidden="false" outlineLevel="0" max="15" min="15" style="181" width="11.99"/>
    <col collapsed="false" customWidth="true" hidden="false" outlineLevel="0" max="18" min="16" style="181" width="7.66"/>
    <col collapsed="false" customWidth="true" hidden="false" outlineLevel="0" max="19" min="19" style="181" width="8.49"/>
    <col collapsed="false" customWidth="true" hidden="false" outlineLevel="0" max="20" min="20" style="180" width="13.82"/>
    <col collapsed="false" customWidth="true" hidden="false" outlineLevel="0" max="21" min="21" style="181" width="8.66"/>
    <col collapsed="false" customWidth="false" hidden="false" outlineLevel="0" max="257" min="22" style="180" width="9.15"/>
  </cols>
  <sheetData>
    <row r="1" s="191" customFormat="true" ht="13.5" hidden="false" customHeight="true" outlineLevel="0" collapsed="false">
      <c r="A1" s="239" t="n">
        <f aca="false">E1+SalesApr!$D$1</f>
        <v>0</v>
      </c>
      <c r="B1" s="375" t="s">
        <v>243</v>
      </c>
      <c r="C1" s="376" t="s">
        <v>236</v>
      </c>
      <c r="D1" s="377" t="str">
        <f aca="false">IF((F1-SUM(G1:S1)&lt;&gt;0),(F1-SUM(G1:S1))," ")</f>
        <v> </v>
      </c>
      <c r="E1" s="353" t="n">
        <f aca="false">SUM(E5:E199)</f>
        <v>0</v>
      </c>
      <c r="F1" s="352" t="n">
        <f aca="false">SUM(F5:F199)</f>
        <v>2200</v>
      </c>
      <c r="G1" s="352" t="n">
        <f aca="false">SUM(G5:G199)</f>
        <v>300</v>
      </c>
      <c r="H1" s="352" t="n">
        <f aca="false">SUM(H5:H199)</f>
        <v>0</v>
      </c>
      <c r="I1" s="352" t="n">
        <f aca="false">SUM(I5:I199)</f>
        <v>0</v>
      </c>
      <c r="J1" s="352" t="n">
        <f aca="false">SUM(J5:J199)</f>
        <v>1380</v>
      </c>
      <c r="K1" s="352" t="n">
        <f aca="false">SUM(K5:K199)</f>
        <v>0</v>
      </c>
      <c r="L1" s="352" t="n">
        <f aca="false">SUM(L5:L199)</f>
        <v>0</v>
      </c>
      <c r="M1" s="352" t="n">
        <f aca="false">SUM(M5:M199)</f>
        <v>120</v>
      </c>
      <c r="N1" s="352" t="n">
        <f aca="false">SUM(N5:N199)</f>
        <v>0</v>
      </c>
      <c r="O1" s="352" t="n">
        <f aca="false">SUM(O5:O199)</f>
        <v>400</v>
      </c>
      <c r="P1" s="352" t="n">
        <f aca="false">SUM(P5:P199)</f>
        <v>0</v>
      </c>
      <c r="Q1" s="352" t="n">
        <f aca="false">SUM(Q5:Q199)</f>
        <v>0</v>
      </c>
      <c r="R1" s="352" t="n">
        <f aca="false">SUM(R5:R199)</f>
        <v>0</v>
      </c>
      <c r="S1" s="378" t="n">
        <f aca="false">SUM(S5:S199)</f>
        <v>0</v>
      </c>
      <c r="T1" s="379" t="n">
        <f aca="false">S1</f>
        <v>0</v>
      </c>
      <c r="U1" s="378" t="n">
        <f aca="false">SUM(U4:U199)</f>
        <v>0</v>
      </c>
    </row>
    <row r="2" s="191" customFormat="true" ht="13.5" hidden="false" customHeight="true" outlineLevel="0" collapsed="false">
      <c r="A2" s="240" t="n">
        <f aca="false">U1</f>
        <v>0</v>
      </c>
      <c r="B2" s="240" t="s">
        <v>244</v>
      </c>
      <c r="C2" s="380" t="s">
        <v>245</v>
      </c>
      <c r="D2" s="380" t="s">
        <v>246</v>
      </c>
      <c r="E2" s="380" t="s">
        <v>247</v>
      </c>
      <c r="F2" s="207" t="s">
        <v>248</v>
      </c>
      <c r="G2" s="381" t="s">
        <v>249</v>
      </c>
      <c r="H2" s="381"/>
      <c r="I2" s="382" t="n">
        <f aca="false">G1+H1+I1+J1</f>
        <v>1680</v>
      </c>
      <c r="J2" s="382"/>
      <c r="K2" s="207" t="s">
        <v>250</v>
      </c>
      <c r="L2" s="207" t="s">
        <v>251</v>
      </c>
      <c r="M2" s="207" t="s">
        <v>252</v>
      </c>
      <c r="N2" s="207" t="s">
        <v>253</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79" t="n">
        <f aca="false">IF((A1&lt;Admin!$F$22),((A1)*Admin!$G$21),(A1*Admin!$G$21-(A1-Admin!$F$21)*(Admin!$G$21-Admin!$G$22)))</f>
        <v>0</v>
      </c>
    </row>
    <row r="5" s="373" customFormat="true" ht="12.75" hidden="false" customHeight="false" outlineLevel="0" collapsed="false">
      <c r="A5" s="372" t="n">
        <v>45762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45753</v>
      </c>
      <c r="B6" s="180" t="s">
        <v>277</v>
      </c>
      <c r="D6" s="373" t="s">
        <v>278</v>
      </c>
      <c r="F6" s="374" t="n">
        <v>180</v>
      </c>
      <c r="G6" s="181" t="str">
        <f aca="false">IF((D6="d"),F6," ")</f>
        <v> </v>
      </c>
      <c r="H6" s="181" t="str">
        <f aca="false">IF((D6="h"),F6," ")</f>
        <v> </v>
      </c>
      <c r="I6" s="181" t="str">
        <f aca="false">IF((D6="r"),F6," ")</f>
        <v> </v>
      </c>
      <c r="J6" s="181" t="n">
        <f aca="false">IF((D6="t"),F6," ")</f>
        <v>180</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45757</v>
      </c>
      <c r="B7" s="180" t="s">
        <v>279</v>
      </c>
      <c r="D7" s="373" t="s">
        <v>278</v>
      </c>
      <c r="F7" s="374" t="n">
        <v>1200</v>
      </c>
      <c r="G7" s="181" t="str">
        <f aca="false">IF((D7="d"),F7," ")</f>
        <v> </v>
      </c>
      <c r="H7" s="181" t="str">
        <f aca="false">IF((D7="h"),F7," ")</f>
        <v> </v>
      </c>
      <c r="I7" s="181" t="str">
        <f aca="false">IF((D7="r"),F7," ")</f>
        <v> </v>
      </c>
      <c r="J7" s="181" t="n">
        <f aca="false">IF((D7="t"),F7," ")</f>
        <v>1200</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A8" s="372" t="n">
        <v>45767</v>
      </c>
      <c r="B8" s="180" t="s">
        <v>280</v>
      </c>
      <c r="D8" s="373" t="s">
        <v>281</v>
      </c>
      <c r="F8" s="374" t="n">
        <v>120</v>
      </c>
      <c r="G8" s="181" t="str">
        <f aca="false">IF((D8="d"),F8," ")</f>
        <v> </v>
      </c>
      <c r="H8" s="181" t="str">
        <f aca="false">IF((D8="h"),F8," ")</f>
        <v> </v>
      </c>
      <c r="I8" s="181" t="str">
        <f aca="false">IF((D8="r"),F8," ")</f>
        <v> </v>
      </c>
      <c r="J8" s="181" t="str">
        <f aca="false">IF((D8="t"),F8," ")</f>
        <v> </v>
      </c>
      <c r="K8" s="181" t="str">
        <f aca="false">IF((D8="e"),F8," ")</f>
        <v> </v>
      </c>
      <c r="L8" s="181" t="str">
        <f aca="false">IF((D8="p"),F8," ")</f>
        <v> </v>
      </c>
      <c r="M8" s="181" t="n">
        <f aca="false">IF((D8="g"),F8," ")</f>
        <v>120</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A9" s="372" t="n">
        <v>45755</v>
      </c>
      <c r="B9" s="180" t="s">
        <v>282</v>
      </c>
      <c r="D9" s="373" t="s">
        <v>283</v>
      </c>
      <c r="F9" s="374" t="n">
        <v>400</v>
      </c>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n">
        <f aca="false">IF((D9="l"),F9," ")</f>
        <v>400</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45047</v>
      </c>
      <c r="B5" s="359" t="n">
        <v>45047</v>
      </c>
      <c r="C5" s="360"/>
      <c r="D5" s="361"/>
      <c r="E5" s="362"/>
      <c r="F5" s="363"/>
    </row>
    <row r="6" customFormat="false" ht="12.75" hidden="false" customHeight="false" outlineLevel="0" collapsed="false">
      <c r="A6" s="364" t="n">
        <v>45048</v>
      </c>
      <c r="B6" s="347" t="n">
        <v>45048</v>
      </c>
      <c r="F6" s="365"/>
    </row>
    <row r="7" customFormat="false" ht="12.75" hidden="false" customHeight="false" outlineLevel="0" collapsed="false">
      <c r="A7" s="364" t="n">
        <v>45049</v>
      </c>
      <c r="B7" s="347" t="n">
        <v>45049</v>
      </c>
      <c r="F7" s="365"/>
    </row>
    <row r="8" customFormat="false" ht="12.75" hidden="false" customHeight="false" outlineLevel="0" collapsed="false">
      <c r="A8" s="364" t="n">
        <v>45050</v>
      </c>
      <c r="B8" s="347" t="n">
        <v>45050</v>
      </c>
      <c r="F8" s="365"/>
    </row>
    <row r="9" customFormat="false" ht="12.75" hidden="false" customHeight="false" outlineLevel="0" collapsed="false">
      <c r="A9" s="364" t="n">
        <v>45051</v>
      </c>
      <c r="B9" s="347" t="n">
        <v>45051</v>
      </c>
      <c r="E9" s="349" t="n">
        <v>200</v>
      </c>
      <c r="F9" s="365"/>
    </row>
    <row r="10" customFormat="false" ht="12.75" hidden="false" customHeight="false" outlineLevel="0" collapsed="false">
      <c r="A10" s="364" t="n">
        <v>45052</v>
      </c>
      <c r="B10" s="347" t="n">
        <v>45052</v>
      </c>
      <c r="E10" s="349" t="n">
        <v>200</v>
      </c>
      <c r="F10" s="365"/>
    </row>
    <row r="11" customFormat="false" ht="12.75" hidden="false" customHeight="false" outlineLevel="0" collapsed="false">
      <c r="A11" s="364" t="n">
        <v>45053</v>
      </c>
      <c r="B11" s="347" t="n">
        <v>45053</v>
      </c>
      <c r="E11" s="349" t="n">
        <v>200</v>
      </c>
      <c r="F11" s="365"/>
    </row>
    <row r="12" customFormat="false" ht="12.75" hidden="false" customHeight="false" outlineLevel="0" collapsed="false">
      <c r="A12" s="364" t="n">
        <v>45053</v>
      </c>
      <c r="B12" s="347" t="s">
        <v>241</v>
      </c>
      <c r="F12" s="365"/>
    </row>
    <row r="13" customFormat="false" ht="12.75" hidden="false" customHeight="false" outlineLevel="0" collapsed="false">
      <c r="A13" s="364" t="n">
        <v>45053</v>
      </c>
      <c r="B13" s="347" t="s">
        <v>242</v>
      </c>
      <c r="F13" s="365"/>
    </row>
    <row r="14" customFormat="false" ht="12.75" hidden="false" customHeight="false" outlineLevel="0" collapsed="false">
      <c r="A14" s="366"/>
      <c r="B14" s="367"/>
      <c r="C14" s="368"/>
      <c r="D14" s="369"/>
      <c r="E14" s="370" t="n">
        <f aca="false">SUM(E5:E13)</f>
        <v>600</v>
      </c>
      <c r="F14" s="371" t="n">
        <f aca="false">SUM(F5:F13)</f>
        <v>0</v>
      </c>
    </row>
    <row r="16" customFormat="false" ht="12.75" hidden="false" customHeight="false" outlineLevel="0" collapsed="false">
      <c r="A16" s="358" t="n">
        <v>45054</v>
      </c>
      <c r="B16" s="359" t="n">
        <v>45054</v>
      </c>
      <c r="C16" s="360"/>
      <c r="D16" s="361"/>
      <c r="E16" s="362" t="n">
        <v>200</v>
      </c>
    </row>
    <row r="17" customFormat="false" ht="12.75" hidden="false" customHeight="false" outlineLevel="0" collapsed="false">
      <c r="B17" s="347" t="n">
        <v>45055</v>
      </c>
      <c r="E17" s="349" t="n">
        <v>200</v>
      </c>
      <c r="F17" s="365"/>
    </row>
    <row r="18" customFormat="false" ht="12.75" hidden="false" customHeight="false" outlineLevel="0" collapsed="false">
      <c r="A18" s="364" t="n">
        <v>45056</v>
      </c>
      <c r="B18" s="347" t="n">
        <v>45056</v>
      </c>
      <c r="F18" s="365"/>
    </row>
    <row r="19" customFormat="false" ht="12.75" hidden="false" customHeight="false" outlineLevel="0" collapsed="false">
      <c r="A19" s="364" t="n">
        <v>45057</v>
      </c>
      <c r="B19" s="347" t="n">
        <v>45057</v>
      </c>
      <c r="F19" s="365"/>
    </row>
    <row r="20" customFormat="false" ht="12.75" hidden="false" customHeight="false" outlineLevel="0" collapsed="false">
      <c r="A20" s="364" t="n">
        <v>45058</v>
      </c>
      <c r="B20" s="347" t="n">
        <v>45058</v>
      </c>
      <c r="E20" s="349" t="n">
        <v>200</v>
      </c>
      <c r="F20" s="365"/>
    </row>
    <row r="21" customFormat="false" ht="12.75" hidden="false" customHeight="false" outlineLevel="0" collapsed="false">
      <c r="A21" s="364" t="n">
        <v>45059</v>
      </c>
      <c r="B21" s="347" t="n">
        <v>45059</v>
      </c>
      <c r="E21" s="349" t="n">
        <v>200</v>
      </c>
      <c r="F21" s="365"/>
    </row>
    <row r="22" customFormat="false" ht="12.75" hidden="false" customHeight="false" outlineLevel="0" collapsed="false">
      <c r="A22" s="364" t="n">
        <v>45060</v>
      </c>
      <c r="B22" s="347" t="n">
        <v>45060</v>
      </c>
      <c r="E22" s="349" t="n">
        <v>200</v>
      </c>
      <c r="F22" s="365"/>
    </row>
    <row r="23" customFormat="false" ht="12.75" hidden="false" customHeight="false" outlineLevel="0" collapsed="false">
      <c r="A23" s="364" t="n">
        <v>45060</v>
      </c>
      <c r="B23" s="347" t="s">
        <v>241</v>
      </c>
      <c r="F23" s="365"/>
    </row>
    <row r="24" customFormat="false" ht="12.75" hidden="false" customHeight="false" outlineLevel="0" collapsed="false">
      <c r="A24" s="364" t="n">
        <v>45060</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45061</v>
      </c>
      <c r="B27" s="359" t="n">
        <v>45061</v>
      </c>
      <c r="C27" s="360"/>
      <c r="D27" s="361"/>
      <c r="E27" s="362" t="n">
        <v>200</v>
      </c>
    </row>
    <row r="28" customFormat="false" ht="12.75" hidden="false" customHeight="false" outlineLevel="0" collapsed="false">
      <c r="B28" s="347" t="n">
        <v>45062</v>
      </c>
      <c r="E28" s="349" t="n">
        <v>200</v>
      </c>
      <c r="F28" s="365"/>
    </row>
    <row r="29" customFormat="false" ht="12.75" hidden="false" customHeight="false" outlineLevel="0" collapsed="false">
      <c r="A29" s="364" t="n">
        <v>45063</v>
      </c>
      <c r="B29" s="347" t="n">
        <v>45063</v>
      </c>
      <c r="F29" s="365"/>
    </row>
    <row r="30" customFormat="false" ht="12.75" hidden="false" customHeight="false" outlineLevel="0" collapsed="false">
      <c r="A30" s="364" t="n">
        <v>45064</v>
      </c>
      <c r="B30" s="347" t="n">
        <v>45064</v>
      </c>
      <c r="F30" s="365"/>
    </row>
    <row r="31" customFormat="false" ht="12.75" hidden="false" customHeight="false" outlineLevel="0" collapsed="false">
      <c r="A31" s="364" t="n">
        <v>45065</v>
      </c>
      <c r="B31" s="347" t="n">
        <v>45065</v>
      </c>
      <c r="E31" s="349" t="n">
        <v>200</v>
      </c>
      <c r="F31" s="365"/>
    </row>
    <row r="32" customFormat="false" ht="12.75" hidden="false" customHeight="false" outlineLevel="0" collapsed="false">
      <c r="A32" s="364" t="n">
        <v>45066</v>
      </c>
      <c r="B32" s="347" t="n">
        <v>45066</v>
      </c>
      <c r="E32" s="349" t="n">
        <v>200</v>
      </c>
      <c r="F32" s="365"/>
    </row>
    <row r="33" customFormat="false" ht="12.75" hidden="false" customHeight="false" outlineLevel="0" collapsed="false">
      <c r="A33" s="364" t="n">
        <v>45067</v>
      </c>
      <c r="B33" s="347" t="n">
        <v>45067</v>
      </c>
      <c r="E33" s="349" t="n">
        <v>200</v>
      </c>
      <c r="F33" s="365"/>
    </row>
    <row r="34" customFormat="false" ht="12.75" hidden="false" customHeight="false" outlineLevel="0" collapsed="false">
      <c r="A34" s="364" t="n">
        <v>45067</v>
      </c>
      <c r="B34" s="347" t="s">
        <v>241</v>
      </c>
      <c r="F34" s="365"/>
    </row>
    <row r="35" customFormat="false" ht="12.75" hidden="false" customHeight="false" outlineLevel="0" collapsed="false">
      <c r="A35" s="364" t="n">
        <v>45067</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45068</v>
      </c>
      <c r="B38" s="359" t="n">
        <v>45068</v>
      </c>
      <c r="C38" s="360"/>
      <c r="D38" s="361"/>
      <c r="E38" s="362" t="n">
        <v>200</v>
      </c>
    </row>
    <row r="39" customFormat="false" ht="12.75" hidden="false" customHeight="false" outlineLevel="0" collapsed="false">
      <c r="B39" s="347" t="n">
        <v>45069</v>
      </c>
      <c r="E39" s="349" t="n">
        <v>200</v>
      </c>
      <c r="F39" s="365"/>
    </row>
    <row r="40" customFormat="false" ht="12.75" hidden="false" customHeight="false" outlineLevel="0" collapsed="false">
      <c r="A40" s="364" t="n">
        <v>45070</v>
      </c>
      <c r="B40" s="347" t="n">
        <v>45070</v>
      </c>
      <c r="F40" s="365"/>
    </row>
    <row r="41" customFormat="false" ht="12.75" hidden="false" customHeight="false" outlineLevel="0" collapsed="false">
      <c r="A41" s="364" t="n">
        <v>45071</v>
      </c>
      <c r="B41" s="347" t="n">
        <v>45071</v>
      </c>
      <c r="F41" s="365"/>
    </row>
    <row r="42" customFormat="false" ht="12.75" hidden="false" customHeight="false" outlineLevel="0" collapsed="false">
      <c r="A42" s="364" t="n">
        <v>45072</v>
      </c>
      <c r="B42" s="347" t="n">
        <v>45072</v>
      </c>
      <c r="F42" s="365"/>
    </row>
    <row r="43" customFormat="false" ht="12.75" hidden="false" customHeight="false" outlineLevel="0" collapsed="false">
      <c r="A43" s="364" t="n">
        <v>45073</v>
      </c>
      <c r="B43" s="347" t="n">
        <v>45073</v>
      </c>
      <c r="F43" s="365"/>
    </row>
    <row r="44" customFormat="false" ht="12.75" hidden="false" customHeight="false" outlineLevel="0" collapsed="false">
      <c r="A44" s="364" t="n">
        <v>45074</v>
      </c>
      <c r="B44" s="347" t="n">
        <v>45074</v>
      </c>
      <c r="F44" s="365"/>
    </row>
    <row r="45" customFormat="false" ht="12.75" hidden="false" customHeight="false" outlineLevel="0" collapsed="false">
      <c r="A45" s="364" t="n">
        <v>45074</v>
      </c>
      <c r="B45" s="347" t="s">
        <v>241</v>
      </c>
      <c r="F45" s="365"/>
    </row>
    <row r="46" customFormat="false" ht="12.75" hidden="false" customHeight="false" outlineLevel="0" collapsed="false">
      <c r="A46" s="364" t="n">
        <v>45074</v>
      </c>
      <c r="B46" s="347" t="s">
        <v>242</v>
      </c>
      <c r="F46" s="365"/>
    </row>
    <row r="47" customFormat="false" ht="12.75" hidden="false" customHeight="false" outlineLevel="0" collapsed="false">
      <c r="A47" s="366"/>
      <c r="B47" s="367"/>
      <c r="C47" s="368"/>
      <c r="D47" s="369"/>
      <c r="E47" s="370" t="n">
        <f aca="false">SUM(E38:E46)</f>
        <v>400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72" width="9.15"/>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7" min="7" style="181" width="9.99"/>
    <col collapsed="false" customWidth="true" hidden="false" outlineLevel="0" max="8" min="8" style="181" width="9.49"/>
    <col collapsed="false" customWidth="true" hidden="false" outlineLevel="0" max="10" min="9" style="181" width="8.66"/>
    <col collapsed="false" customWidth="true" hidden="false" outlineLevel="0" max="11" min="11" style="181" width="7.99"/>
    <col collapsed="false" customWidth="true" hidden="false" outlineLevel="0" max="12" min="12" style="181" width="7.66"/>
    <col collapsed="false" customWidth="true" hidden="false" outlineLevel="0" max="13" min="13" style="181" width="8.66"/>
    <col collapsed="false" customWidth="true" hidden="false" outlineLevel="0" max="14" min="14" style="181" width="8.82"/>
    <col collapsed="false" customWidth="true" hidden="false" outlineLevel="0" max="15" min="15"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E1+SalesMay!$D$1+PurchasesApr!A1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S1+PurchasesApr!T1</f>
        <v>0</v>
      </c>
      <c r="U1" s="393" t="n">
        <f aca="false">SUM(U4:U199)</f>
        <v>0</v>
      </c>
    </row>
    <row r="2" s="181" customFormat="true" ht="13.5" hidden="false" customHeight="true" outlineLevel="0" collapsed="false">
      <c r="A2" s="395" t="n">
        <f aca="false">U1+PurchasesApr!A2</f>
        <v>0</v>
      </c>
      <c r="B2" s="240" t="s">
        <v>244</v>
      </c>
      <c r="C2" s="380" t="s">
        <v>245</v>
      </c>
      <c r="D2" s="380" t="s">
        <v>246</v>
      </c>
      <c r="E2" s="380" t="s">
        <v>247</v>
      </c>
      <c r="F2" s="207" t="s">
        <v>248</v>
      </c>
      <c r="G2" s="381" t="s">
        <v>249</v>
      </c>
      <c r="H2" s="381"/>
      <c r="I2" s="382" t="n">
        <f aca="false">G1+H1+I1+J1+PurchasesApr!I2</f>
        <v>1980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IF((A1&lt;Admin!$F$22),((A1-PurchasesApr!A1)*Admin!$G$21),(A1*Admin!$G$21-(A1-Admin!$F$21)*(Admin!$G$21-Admin!$G$22)-PurchasesApr!A2))</f>
        <v>0</v>
      </c>
    </row>
    <row r="5" s="373" customFormat="true" ht="12.75" hidden="false" customHeight="false" outlineLevel="0" collapsed="false">
      <c r="A5" s="372" t="n">
        <v>45792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45075</v>
      </c>
      <c r="B5" s="359" t="n">
        <v>45075</v>
      </c>
      <c r="C5" s="360"/>
      <c r="D5" s="361"/>
      <c r="E5" s="362"/>
      <c r="F5" s="363"/>
    </row>
    <row r="6" customFormat="false" ht="12.75" hidden="false" customHeight="false" outlineLevel="0" collapsed="false">
      <c r="A6" s="364" t="n">
        <v>45076</v>
      </c>
      <c r="B6" s="347" t="n">
        <v>45076</v>
      </c>
      <c r="F6" s="365"/>
    </row>
    <row r="7" customFormat="false" ht="12.75" hidden="false" customHeight="false" outlineLevel="0" collapsed="false">
      <c r="A7" s="364" t="n">
        <v>45077</v>
      </c>
      <c r="B7" s="347" t="n">
        <v>45077</v>
      </c>
      <c r="F7" s="365"/>
    </row>
    <row r="8" customFormat="false" ht="12.75" hidden="false" customHeight="false" outlineLevel="0" collapsed="false">
      <c r="A8" s="364" t="n">
        <v>45078</v>
      </c>
      <c r="B8" s="347" t="n">
        <v>45078</v>
      </c>
      <c r="F8" s="365"/>
    </row>
    <row r="9" customFormat="false" ht="12.75" hidden="false" customHeight="false" outlineLevel="0" collapsed="false">
      <c r="A9" s="364" t="n">
        <v>45079</v>
      </c>
      <c r="B9" s="347" t="n">
        <v>45079</v>
      </c>
      <c r="E9" s="349" t="n">
        <v>200</v>
      </c>
      <c r="F9" s="365"/>
    </row>
    <row r="10" customFormat="false" ht="12.75" hidden="false" customHeight="false" outlineLevel="0" collapsed="false">
      <c r="A10" s="364" t="n">
        <v>45080</v>
      </c>
      <c r="B10" s="347" t="n">
        <v>45080</v>
      </c>
      <c r="E10" s="349" t="n">
        <v>200</v>
      </c>
      <c r="F10" s="365"/>
    </row>
    <row r="11" customFormat="false" ht="12.75" hidden="false" customHeight="false" outlineLevel="0" collapsed="false">
      <c r="A11" s="364" t="n">
        <v>45081</v>
      </c>
      <c r="B11" s="347" t="n">
        <v>45081</v>
      </c>
      <c r="E11" s="349" t="n">
        <v>200</v>
      </c>
      <c r="F11" s="365"/>
    </row>
    <row r="12" customFormat="false" ht="12.75" hidden="false" customHeight="false" outlineLevel="0" collapsed="false">
      <c r="A12" s="364" t="n">
        <v>45081</v>
      </c>
      <c r="B12" s="347" t="s">
        <v>241</v>
      </c>
      <c r="F12" s="365"/>
    </row>
    <row r="13" customFormat="false" ht="12.75" hidden="false" customHeight="false" outlineLevel="0" collapsed="false">
      <c r="A13" s="364" t="n">
        <v>45081</v>
      </c>
      <c r="B13" s="347" t="s">
        <v>242</v>
      </c>
      <c r="F13" s="365"/>
    </row>
    <row r="14" customFormat="false" ht="12.75" hidden="false" customHeight="false" outlineLevel="0" collapsed="false">
      <c r="A14" s="366"/>
      <c r="B14" s="367"/>
      <c r="C14" s="368"/>
      <c r="D14" s="369"/>
      <c r="E14" s="370" t="n">
        <f aca="false">SUM(E5:E13)</f>
        <v>600</v>
      </c>
      <c r="F14" s="371" t="n">
        <f aca="false">SUM(F5:F13)</f>
        <v>0</v>
      </c>
    </row>
    <row r="16" customFormat="false" ht="12.75" hidden="false" customHeight="false" outlineLevel="0" collapsed="false">
      <c r="A16" s="358" t="n">
        <v>45082</v>
      </c>
      <c r="B16" s="359" t="n">
        <v>45082</v>
      </c>
      <c r="C16" s="360"/>
      <c r="D16" s="361"/>
      <c r="E16" s="362" t="n">
        <v>200</v>
      </c>
    </row>
    <row r="17" customFormat="false" ht="12.75" hidden="false" customHeight="false" outlineLevel="0" collapsed="false">
      <c r="B17" s="347" t="n">
        <v>45083</v>
      </c>
      <c r="E17" s="349" t="n">
        <v>200</v>
      </c>
      <c r="F17" s="365"/>
    </row>
    <row r="18" customFormat="false" ht="12.75" hidden="false" customHeight="false" outlineLevel="0" collapsed="false">
      <c r="A18" s="364" t="n">
        <v>45084</v>
      </c>
      <c r="B18" s="347" t="n">
        <v>45084</v>
      </c>
      <c r="F18" s="365"/>
    </row>
    <row r="19" customFormat="false" ht="12.75" hidden="false" customHeight="false" outlineLevel="0" collapsed="false">
      <c r="A19" s="364" t="n">
        <v>45085</v>
      </c>
      <c r="B19" s="347" t="n">
        <v>45085</v>
      </c>
      <c r="F19" s="365"/>
    </row>
    <row r="20" customFormat="false" ht="12.75" hidden="false" customHeight="false" outlineLevel="0" collapsed="false">
      <c r="A20" s="364" t="n">
        <v>45086</v>
      </c>
      <c r="B20" s="347" t="n">
        <v>45086</v>
      </c>
      <c r="E20" s="349" t="n">
        <v>200</v>
      </c>
      <c r="F20" s="365"/>
    </row>
    <row r="21" customFormat="false" ht="12.75" hidden="false" customHeight="false" outlineLevel="0" collapsed="false">
      <c r="A21" s="364" t="n">
        <v>45087</v>
      </c>
      <c r="B21" s="347" t="n">
        <v>45087</v>
      </c>
      <c r="E21" s="349" t="n">
        <v>200</v>
      </c>
      <c r="F21" s="365"/>
    </row>
    <row r="22" customFormat="false" ht="12.75" hidden="false" customHeight="false" outlineLevel="0" collapsed="false">
      <c r="A22" s="364" t="n">
        <v>45088</v>
      </c>
      <c r="B22" s="347" t="n">
        <v>45088</v>
      </c>
      <c r="E22" s="349" t="n">
        <v>200</v>
      </c>
      <c r="F22" s="365"/>
    </row>
    <row r="23" customFormat="false" ht="12.75" hidden="false" customHeight="false" outlineLevel="0" collapsed="false">
      <c r="A23" s="364" t="n">
        <v>45088</v>
      </c>
      <c r="B23" s="347" t="s">
        <v>241</v>
      </c>
      <c r="F23" s="365"/>
    </row>
    <row r="24" customFormat="false" ht="12.75" hidden="false" customHeight="false" outlineLevel="0" collapsed="false">
      <c r="A24" s="364" t="n">
        <v>45088</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45089</v>
      </c>
      <c r="B27" s="359" t="n">
        <v>45089</v>
      </c>
      <c r="C27" s="360"/>
      <c r="D27" s="361"/>
      <c r="E27" s="362" t="n">
        <v>200</v>
      </c>
    </row>
    <row r="28" customFormat="false" ht="12.75" hidden="false" customHeight="false" outlineLevel="0" collapsed="false">
      <c r="B28" s="347" t="n">
        <v>45090</v>
      </c>
      <c r="E28" s="349" t="n">
        <v>200</v>
      </c>
      <c r="F28" s="365"/>
    </row>
    <row r="29" customFormat="false" ht="12.75" hidden="false" customHeight="false" outlineLevel="0" collapsed="false">
      <c r="A29" s="364" t="n">
        <v>45091</v>
      </c>
      <c r="B29" s="347" t="n">
        <v>45091</v>
      </c>
      <c r="F29" s="365"/>
    </row>
    <row r="30" customFormat="false" ht="12.75" hidden="false" customHeight="false" outlineLevel="0" collapsed="false">
      <c r="A30" s="364" t="n">
        <v>45092</v>
      </c>
      <c r="B30" s="347" t="n">
        <v>45092</v>
      </c>
      <c r="F30" s="365"/>
    </row>
    <row r="31" customFormat="false" ht="12.75" hidden="false" customHeight="false" outlineLevel="0" collapsed="false">
      <c r="A31" s="364" t="n">
        <v>45093</v>
      </c>
      <c r="B31" s="347" t="n">
        <v>45093</v>
      </c>
      <c r="E31" s="349" t="n">
        <v>200</v>
      </c>
      <c r="F31" s="365"/>
    </row>
    <row r="32" customFormat="false" ht="12.75" hidden="false" customHeight="false" outlineLevel="0" collapsed="false">
      <c r="A32" s="364" t="n">
        <v>45094</v>
      </c>
      <c r="B32" s="347" t="n">
        <v>45094</v>
      </c>
      <c r="E32" s="349" t="n">
        <v>200</v>
      </c>
      <c r="F32" s="365"/>
    </row>
    <row r="33" customFormat="false" ht="12.75" hidden="false" customHeight="false" outlineLevel="0" collapsed="false">
      <c r="A33" s="364" t="n">
        <v>45095</v>
      </c>
      <c r="B33" s="347" t="n">
        <v>45095</v>
      </c>
      <c r="E33" s="349" t="n">
        <v>200</v>
      </c>
      <c r="F33" s="365"/>
    </row>
    <row r="34" customFormat="false" ht="12.75" hidden="false" customHeight="false" outlineLevel="0" collapsed="false">
      <c r="A34" s="364" t="n">
        <v>45095</v>
      </c>
      <c r="B34" s="347" t="s">
        <v>241</v>
      </c>
      <c r="F34" s="365"/>
    </row>
    <row r="35" customFormat="false" ht="12.75" hidden="false" customHeight="false" outlineLevel="0" collapsed="false">
      <c r="A35" s="364" t="n">
        <v>45095</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45096</v>
      </c>
      <c r="B38" s="359" t="n">
        <v>45096</v>
      </c>
      <c r="C38" s="360"/>
      <c r="D38" s="361"/>
      <c r="E38" s="362" t="n">
        <v>200</v>
      </c>
    </row>
    <row r="39" customFormat="false" ht="12.75" hidden="false" customHeight="false" outlineLevel="0" collapsed="false">
      <c r="B39" s="347" t="n">
        <v>45097</v>
      </c>
      <c r="E39" s="349" t="n">
        <v>200</v>
      </c>
      <c r="F39" s="365"/>
    </row>
    <row r="40" customFormat="false" ht="12.75" hidden="false" customHeight="false" outlineLevel="0" collapsed="false">
      <c r="A40" s="364" t="n">
        <v>45098</v>
      </c>
      <c r="B40" s="347" t="n">
        <v>45098</v>
      </c>
      <c r="F40" s="365"/>
    </row>
    <row r="41" customFormat="false" ht="12.75" hidden="false" customHeight="false" outlineLevel="0" collapsed="false">
      <c r="A41" s="364" t="n">
        <v>45099</v>
      </c>
      <c r="B41" s="347" t="n">
        <v>45099</v>
      </c>
      <c r="F41" s="365"/>
    </row>
    <row r="42" customFormat="false" ht="12.75" hidden="false" customHeight="false" outlineLevel="0" collapsed="false">
      <c r="A42" s="364" t="n">
        <v>45100</v>
      </c>
      <c r="B42" s="347" t="n">
        <v>45100</v>
      </c>
      <c r="F42" s="365"/>
    </row>
    <row r="43" customFormat="false" ht="12.75" hidden="false" customHeight="false" outlineLevel="0" collapsed="false">
      <c r="A43" s="364" t="n">
        <v>45101</v>
      </c>
      <c r="B43" s="347" t="n">
        <v>45101</v>
      </c>
      <c r="F43" s="365"/>
    </row>
    <row r="44" customFormat="false" ht="12.75" hidden="false" customHeight="false" outlineLevel="0" collapsed="false">
      <c r="A44" s="364" t="n">
        <v>45102</v>
      </c>
      <c r="B44" s="347" t="n">
        <v>45102</v>
      </c>
      <c r="F44" s="365"/>
    </row>
    <row r="45" customFormat="false" ht="12.75" hidden="false" customHeight="false" outlineLevel="0" collapsed="false">
      <c r="A45" s="364" t="n">
        <v>45102</v>
      </c>
      <c r="B45" s="347" t="s">
        <v>241</v>
      </c>
      <c r="F45" s="365"/>
    </row>
    <row r="46" customFormat="false" ht="12.75" hidden="false" customHeight="false" outlineLevel="0" collapsed="false">
      <c r="A46" s="364" t="n">
        <v>45102</v>
      </c>
      <c r="B46" s="347" t="s">
        <v>242</v>
      </c>
      <c r="F46" s="365"/>
    </row>
    <row r="47" customFormat="false" ht="12.75" hidden="false" customHeight="false" outlineLevel="0" collapsed="false">
      <c r="A47" s="366"/>
      <c r="B47" s="367"/>
      <c r="C47" s="368"/>
      <c r="D47" s="369"/>
      <c r="E47" s="370" t="n">
        <f aca="false">SUM(E38:E46)</f>
        <v>400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49"/>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66"/>
    <col collapsed="false" customWidth="true" hidden="false" outlineLevel="0" max="12" min="11" style="181" width="7.66"/>
    <col collapsed="false" customWidth="true" hidden="false" outlineLevel="0" max="14" min="13" style="181" width="9.33"/>
    <col collapsed="false" customWidth="true" hidden="false" outlineLevel="0" max="15" min="15" style="181" width="9.49"/>
    <col collapsed="false" customWidth="true" hidden="false" outlineLevel="0" max="18" min="16" style="181" width="7.66"/>
    <col collapsed="false" customWidth="true" hidden="false" outlineLevel="0" max="19" min="19" style="181" width="8.66"/>
    <col collapsed="false" customWidth="true" hidden="false" outlineLevel="0" max="20" min="20" style="180" width="12.99"/>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E1+SalesJun!$D$1+PurchasesMay!A1</f>
        <v>0</v>
      </c>
      <c r="B1" s="391" t="s">
        <v>243</v>
      </c>
      <c r="C1" s="392" t="s">
        <v>236</v>
      </c>
      <c r="D1" s="377" t="str">
        <f aca="false">IF((F1-SUM(G1:S1)&lt;&gt;0),(F1-SUM(G1:S1))," ")</f>
        <v> </v>
      </c>
      <c r="E1" s="353" t="n">
        <f aca="false">SUM(E5:E199)</f>
        <v>0</v>
      </c>
      <c r="F1" s="352" t="n">
        <f aca="false">SUM(F5:F199)</f>
        <v>8300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8000</v>
      </c>
      <c r="T1" s="394" t="n">
        <f aca="false">S1+PurchasesMay!T1</f>
        <v>8000</v>
      </c>
      <c r="U1" s="393" t="n">
        <f aca="false">SUM(U4:U199)</f>
        <v>0</v>
      </c>
    </row>
    <row r="2" s="181" customFormat="true" ht="13.5" hidden="false" customHeight="true" outlineLevel="0" collapsed="false">
      <c r="A2" s="395" t="n">
        <f aca="false">U1+PurchasesMay!A2</f>
        <v>0</v>
      </c>
      <c r="B2" s="240" t="s">
        <v>244</v>
      </c>
      <c r="C2" s="380" t="s">
        <v>245</v>
      </c>
      <c r="D2" s="380" t="s">
        <v>246</v>
      </c>
      <c r="E2" s="380" t="s">
        <v>247</v>
      </c>
      <c r="F2" s="207" t="s">
        <v>248</v>
      </c>
      <c r="G2" s="381" t="s">
        <v>249</v>
      </c>
      <c r="H2" s="381"/>
      <c r="I2" s="382" t="n">
        <f aca="false">G1+H1+I1+J1+PurchasesMay!I2</f>
        <v>2280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IF((E1&lt;&gt;0),Admin!$B$7,"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IF((A1&lt;Admin!$F$22),((A1-PurchasesMay!A1)*Admin!$G$21),(A1*Admin!$G$21-(A1-Admin!$F$21)*(Admin!$G$21-Admin!$G$22)-PurchasesMay!A2))</f>
        <v>0</v>
      </c>
    </row>
    <row r="5" s="373" customFormat="true" ht="12.75" hidden="false" customHeight="false" outlineLevel="0" collapsed="false">
      <c r="A5" s="372" t="n">
        <v>45823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45809</v>
      </c>
      <c r="B6" s="180" t="s">
        <v>285</v>
      </c>
      <c r="D6" s="373" t="s">
        <v>286</v>
      </c>
      <c r="F6" s="374" t="n">
        <v>8000</v>
      </c>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n">
        <f aca="false">IF((D6="f"),F6," ")</f>
        <v>8000</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45103</v>
      </c>
      <c r="B5" s="359" t="n">
        <v>45103</v>
      </c>
      <c r="C5" s="360"/>
      <c r="D5" s="361"/>
      <c r="E5" s="362"/>
      <c r="F5" s="363"/>
    </row>
    <row r="6" customFormat="false" ht="12.75" hidden="false" customHeight="false" outlineLevel="0" collapsed="false">
      <c r="A6" s="364" t="n">
        <v>45104</v>
      </c>
      <c r="B6" s="347" t="n">
        <v>45104</v>
      </c>
      <c r="F6" s="365"/>
    </row>
    <row r="7" customFormat="false" ht="12.75" hidden="false" customHeight="false" outlineLevel="0" collapsed="false">
      <c r="A7" s="364" t="n">
        <v>45105</v>
      </c>
      <c r="B7" s="347" t="n">
        <v>45105</v>
      </c>
      <c r="F7" s="365"/>
    </row>
    <row r="8" customFormat="false" ht="12.75" hidden="false" customHeight="false" outlineLevel="0" collapsed="false">
      <c r="A8" s="364" t="n">
        <v>45106</v>
      </c>
      <c r="B8" s="347" t="n">
        <v>45106</v>
      </c>
      <c r="F8" s="365"/>
    </row>
    <row r="9" customFormat="false" ht="12.75" hidden="false" customHeight="false" outlineLevel="0" collapsed="false">
      <c r="A9" s="364" t="n">
        <v>45107</v>
      </c>
      <c r="B9" s="347" t="n">
        <v>45107</v>
      </c>
      <c r="F9" s="365"/>
    </row>
    <row r="10" customFormat="false" ht="12.75" hidden="false" customHeight="false" outlineLevel="0" collapsed="false">
      <c r="A10" s="364" t="n">
        <v>45108</v>
      </c>
      <c r="B10" s="347" t="n">
        <v>45108</v>
      </c>
      <c r="F10" s="365"/>
    </row>
    <row r="11" customFormat="false" ht="12.75" hidden="false" customHeight="false" outlineLevel="0" collapsed="false">
      <c r="A11" s="364" t="n">
        <v>45109</v>
      </c>
      <c r="B11" s="347" t="n">
        <v>45109</v>
      </c>
      <c r="F11" s="365"/>
    </row>
    <row r="12" customFormat="false" ht="12.75" hidden="false" customHeight="false" outlineLevel="0" collapsed="false">
      <c r="A12" s="364" t="n">
        <v>45109</v>
      </c>
      <c r="B12" s="347" t="s">
        <v>241</v>
      </c>
      <c r="F12" s="365"/>
    </row>
    <row r="13" customFormat="false" ht="12.75" hidden="false" customHeight="false" outlineLevel="0" collapsed="false">
      <c r="A13" s="364" t="n">
        <v>45109</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45110</v>
      </c>
      <c r="B16" s="359" t="n">
        <v>45110</v>
      </c>
      <c r="C16" s="360"/>
      <c r="D16" s="361"/>
      <c r="E16" s="362"/>
      <c r="F16" s="363"/>
    </row>
    <row r="17" customFormat="false" ht="12.75" hidden="false" customHeight="false" outlineLevel="0" collapsed="false">
      <c r="A17" s="364" t="n">
        <v>45111</v>
      </c>
      <c r="B17" s="347" t="n">
        <v>45111</v>
      </c>
      <c r="F17" s="365"/>
    </row>
    <row r="18" customFormat="false" ht="12.75" hidden="false" customHeight="false" outlineLevel="0" collapsed="false">
      <c r="A18" s="364" t="n">
        <v>45112</v>
      </c>
      <c r="B18" s="347" t="n">
        <v>45112</v>
      </c>
      <c r="F18" s="365"/>
    </row>
    <row r="19" customFormat="false" ht="12.75" hidden="false" customHeight="false" outlineLevel="0" collapsed="false">
      <c r="A19" s="364" t="n">
        <v>45113</v>
      </c>
      <c r="B19" s="347" t="n">
        <v>45113</v>
      </c>
      <c r="F19" s="365"/>
    </row>
    <row r="20" customFormat="false" ht="12.75" hidden="false" customHeight="false" outlineLevel="0" collapsed="false">
      <c r="A20" s="364" t="n">
        <v>45114</v>
      </c>
      <c r="B20" s="347" t="n">
        <v>45114</v>
      </c>
      <c r="E20" s="349" t="n">
        <v>200</v>
      </c>
      <c r="F20" s="365"/>
    </row>
    <row r="21" customFormat="false" ht="12.75" hidden="false" customHeight="false" outlineLevel="0" collapsed="false">
      <c r="A21" s="364" t="n">
        <v>45115</v>
      </c>
      <c r="B21" s="347" t="n">
        <v>45115</v>
      </c>
      <c r="E21" s="349" t="n">
        <v>200</v>
      </c>
      <c r="F21" s="365"/>
    </row>
    <row r="22" customFormat="false" ht="12.75" hidden="false" customHeight="false" outlineLevel="0" collapsed="false">
      <c r="A22" s="364" t="n">
        <v>45116</v>
      </c>
      <c r="B22" s="347" t="n">
        <v>45116</v>
      </c>
      <c r="E22" s="349" t="n">
        <v>200</v>
      </c>
      <c r="F22" s="365"/>
    </row>
    <row r="23" customFormat="false" ht="12.75" hidden="false" customHeight="false" outlineLevel="0" collapsed="false">
      <c r="A23" s="364" t="n">
        <v>45116</v>
      </c>
      <c r="B23" s="347" t="s">
        <v>241</v>
      </c>
      <c r="F23" s="365"/>
    </row>
    <row r="24" customFormat="false" ht="12.75" hidden="false" customHeight="false" outlineLevel="0" collapsed="false">
      <c r="A24" s="364" t="n">
        <v>45116</v>
      </c>
      <c r="B24" s="347" t="s">
        <v>242</v>
      </c>
      <c r="F24" s="365"/>
    </row>
    <row r="25" customFormat="false" ht="12.75" hidden="false" customHeight="false" outlineLevel="0" collapsed="false">
      <c r="A25" s="366"/>
      <c r="B25" s="367"/>
      <c r="C25" s="368"/>
      <c r="D25" s="369"/>
      <c r="E25" s="370" t="n">
        <f aca="false">SUM(E16:E24)</f>
        <v>600</v>
      </c>
      <c r="F25" s="371" t="n">
        <f aca="false">SUM(F16:F24)</f>
        <v>0</v>
      </c>
    </row>
    <row r="27" customFormat="false" ht="12.75" hidden="false" customHeight="false" outlineLevel="0" collapsed="false">
      <c r="A27" s="358" t="n">
        <v>45117</v>
      </c>
      <c r="B27" s="359" t="n">
        <v>45117</v>
      </c>
      <c r="C27" s="360"/>
      <c r="D27" s="361"/>
      <c r="E27" s="362" t="n">
        <v>200</v>
      </c>
    </row>
    <row r="28" customFormat="false" ht="12.75" hidden="false" customHeight="false" outlineLevel="0" collapsed="false">
      <c r="B28" s="347" t="n">
        <v>45118</v>
      </c>
      <c r="E28" s="349" t="n">
        <v>200</v>
      </c>
      <c r="F28" s="365"/>
    </row>
    <row r="29" customFormat="false" ht="12.75" hidden="false" customHeight="false" outlineLevel="0" collapsed="false">
      <c r="A29" s="364" t="n">
        <v>45119</v>
      </c>
      <c r="B29" s="347" t="n">
        <v>45119</v>
      </c>
      <c r="F29" s="365"/>
    </row>
    <row r="30" customFormat="false" ht="12.75" hidden="false" customHeight="false" outlineLevel="0" collapsed="false">
      <c r="A30" s="364" t="n">
        <v>45120</v>
      </c>
      <c r="B30" s="347" t="n">
        <v>45120</v>
      </c>
      <c r="F30" s="365"/>
    </row>
    <row r="31" customFormat="false" ht="12.75" hidden="false" customHeight="false" outlineLevel="0" collapsed="false">
      <c r="A31" s="364" t="n">
        <v>45121</v>
      </c>
      <c r="B31" s="347" t="n">
        <v>45121</v>
      </c>
      <c r="E31" s="349" t="n">
        <v>200</v>
      </c>
      <c r="F31" s="365"/>
    </row>
    <row r="32" customFormat="false" ht="12.75" hidden="false" customHeight="false" outlineLevel="0" collapsed="false">
      <c r="A32" s="364" t="n">
        <v>45122</v>
      </c>
      <c r="B32" s="347" t="n">
        <v>45122</v>
      </c>
      <c r="E32" s="349" t="n">
        <v>200</v>
      </c>
      <c r="F32" s="365"/>
    </row>
    <row r="33" customFormat="false" ht="12.75" hidden="false" customHeight="false" outlineLevel="0" collapsed="false">
      <c r="A33" s="364" t="n">
        <v>45123</v>
      </c>
      <c r="B33" s="347" t="n">
        <v>45123</v>
      </c>
      <c r="E33" s="349" t="n">
        <v>200</v>
      </c>
      <c r="F33" s="365"/>
    </row>
    <row r="34" customFormat="false" ht="12.75" hidden="false" customHeight="false" outlineLevel="0" collapsed="false">
      <c r="A34" s="364" t="n">
        <v>45123</v>
      </c>
      <c r="B34" s="347" t="s">
        <v>241</v>
      </c>
      <c r="F34" s="365"/>
    </row>
    <row r="35" customFormat="false" ht="12.75" hidden="false" customHeight="false" outlineLevel="0" collapsed="false">
      <c r="A35" s="364" t="n">
        <v>45123</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45124</v>
      </c>
      <c r="B38" s="359" t="n">
        <v>45124</v>
      </c>
      <c r="C38" s="360"/>
      <c r="D38" s="361"/>
      <c r="E38" s="362" t="n">
        <v>200</v>
      </c>
    </row>
    <row r="39" customFormat="false" ht="12.75" hidden="false" customHeight="false" outlineLevel="0" collapsed="false">
      <c r="B39" s="347" t="n">
        <v>45125</v>
      </c>
      <c r="E39" s="349" t="n">
        <v>200</v>
      </c>
      <c r="F39" s="365"/>
    </row>
    <row r="40" customFormat="false" ht="12.75" hidden="false" customHeight="false" outlineLevel="0" collapsed="false">
      <c r="A40" s="364" t="n">
        <v>45126</v>
      </c>
      <c r="B40" s="347" t="n">
        <v>45126</v>
      </c>
      <c r="F40" s="365"/>
    </row>
    <row r="41" customFormat="false" ht="12.75" hidden="false" customHeight="false" outlineLevel="0" collapsed="false">
      <c r="A41" s="364" t="n">
        <v>45127</v>
      </c>
      <c r="B41" s="347" t="n">
        <v>45127</v>
      </c>
      <c r="F41" s="365"/>
    </row>
    <row r="42" customFormat="false" ht="12.75" hidden="false" customHeight="false" outlineLevel="0" collapsed="false">
      <c r="A42" s="364" t="n">
        <v>45128</v>
      </c>
      <c r="B42" s="347" t="n">
        <v>45128</v>
      </c>
      <c r="E42" s="349" t="n">
        <v>200</v>
      </c>
      <c r="F42" s="365"/>
    </row>
    <row r="43" customFormat="false" ht="12.75" hidden="false" customHeight="false" outlineLevel="0" collapsed="false">
      <c r="A43" s="364" t="n">
        <v>45129</v>
      </c>
      <c r="B43" s="347" t="n">
        <v>45129</v>
      </c>
      <c r="E43" s="349" t="n">
        <v>200</v>
      </c>
      <c r="F43" s="365"/>
    </row>
    <row r="44" customFormat="false" ht="12.75" hidden="false" customHeight="false" outlineLevel="0" collapsed="false">
      <c r="A44" s="364" t="n">
        <v>45130</v>
      </c>
      <c r="B44" s="347" t="n">
        <v>45130</v>
      </c>
      <c r="E44" s="349" t="n">
        <v>200</v>
      </c>
      <c r="F44" s="365"/>
    </row>
    <row r="45" customFormat="false" ht="12.75" hidden="false" customHeight="false" outlineLevel="0" collapsed="false">
      <c r="A45" s="364" t="n">
        <v>45130</v>
      </c>
      <c r="B45" s="347" t="s">
        <v>241</v>
      </c>
      <c r="F45" s="365"/>
    </row>
    <row r="46" customFormat="false" ht="12.75" hidden="false" customHeight="false" outlineLevel="0" collapsed="false">
      <c r="A46" s="364" t="n">
        <v>45130</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45131</v>
      </c>
      <c r="B49" s="359" t="n">
        <v>45131</v>
      </c>
      <c r="C49" s="360"/>
      <c r="D49" s="361"/>
      <c r="E49" s="362" t="n">
        <v>200</v>
      </c>
    </row>
    <row r="50" customFormat="false" ht="12.75" hidden="false" customHeight="false" outlineLevel="0" collapsed="false">
      <c r="B50" s="347" t="n">
        <v>45132</v>
      </c>
      <c r="E50" s="349" t="n">
        <v>200</v>
      </c>
      <c r="F50" s="365"/>
    </row>
    <row r="51" customFormat="false" ht="12.75" hidden="false" customHeight="false" outlineLevel="0" collapsed="false">
      <c r="A51" s="364" t="n">
        <v>45133</v>
      </c>
      <c r="B51" s="347" t="n">
        <v>45133</v>
      </c>
      <c r="F51" s="365"/>
    </row>
    <row r="52" customFormat="false" ht="12.75" hidden="false" customHeight="false" outlineLevel="0" collapsed="false">
      <c r="A52" s="364" t="n">
        <v>45134</v>
      </c>
      <c r="B52" s="347" t="n">
        <v>45134</v>
      </c>
      <c r="F52" s="365"/>
    </row>
    <row r="53" customFormat="false" ht="12.75" hidden="false" customHeight="false" outlineLevel="0" collapsed="false">
      <c r="A53" s="364" t="n">
        <v>45135</v>
      </c>
      <c r="B53" s="347" t="n">
        <v>45135</v>
      </c>
      <c r="F53" s="365"/>
    </row>
    <row r="54" customFormat="false" ht="12.75" hidden="false" customHeight="false" outlineLevel="0" collapsed="false">
      <c r="A54" s="364" t="n">
        <v>45136</v>
      </c>
      <c r="B54" s="347" t="n">
        <v>45136</v>
      </c>
      <c r="F54" s="365"/>
    </row>
    <row r="55" customFormat="false" ht="12.75" hidden="false" customHeight="false" outlineLevel="0" collapsed="false">
      <c r="A55" s="364" t="n">
        <v>45137</v>
      </c>
      <c r="B55" s="347" t="n">
        <v>45137</v>
      </c>
      <c r="F55" s="365"/>
    </row>
    <row r="56" customFormat="false" ht="12.75" hidden="false" customHeight="false" outlineLevel="0" collapsed="false">
      <c r="A56" s="364" t="n">
        <v>45137</v>
      </c>
      <c r="B56" s="347" t="s">
        <v>241</v>
      </c>
      <c r="F56" s="365"/>
    </row>
    <row r="57" customFormat="false" ht="12.75" hidden="false" customHeight="false" outlineLevel="0" collapsed="false">
      <c r="A57" s="364" t="n">
        <v>45137</v>
      </c>
      <c r="B57" s="347" t="s">
        <v>242</v>
      </c>
      <c r="F57" s="365"/>
    </row>
    <row r="58" customFormat="false" ht="12.75" hidden="false" customHeight="false" outlineLevel="0" collapsed="false">
      <c r="A58" s="366"/>
      <c r="B58" s="367"/>
      <c r="C58" s="368"/>
      <c r="D58" s="369"/>
      <c r="E58" s="370" t="n">
        <f aca="false">SUM(E49:E57)</f>
        <v>400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true" hidden="false" outlineLevel="0" max="15" min="14"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3.15"/>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E1+SalesJul!$D$1+PurchasesJun!A1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S1+PurchasesJun!T1</f>
        <v>8000</v>
      </c>
      <c r="U1" s="393" t="n">
        <f aca="false">SUM(U4:U199)</f>
        <v>0</v>
      </c>
    </row>
    <row r="2" s="181" customFormat="true" ht="13.5" hidden="false" customHeight="true" outlineLevel="0" collapsed="false">
      <c r="A2" s="395" t="n">
        <f aca="false">U1+PurchasesJun!A2</f>
        <v>0</v>
      </c>
      <c r="B2" s="240" t="s">
        <v>244</v>
      </c>
      <c r="C2" s="380" t="s">
        <v>245</v>
      </c>
      <c r="D2" s="380" t="s">
        <v>246</v>
      </c>
      <c r="E2" s="380" t="s">
        <v>247</v>
      </c>
      <c r="F2" s="207" t="s">
        <v>248</v>
      </c>
      <c r="G2" s="381" t="s">
        <v>249</v>
      </c>
      <c r="H2" s="381"/>
      <c r="I2" s="382" t="n">
        <f aca="false">G1+H1+I1+J1+PurchasesJun!I2</f>
        <v>2580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IF((E1&lt;&gt;0),Admin!$B$8,"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IF((A1&lt;Admin!$F$22),((A1-PurchasesJun!A1)*Admin!$G$21),(A1*Admin!$G$21-(A1-Admin!$F$21)*(Admin!$G$21-Admin!$G$22)-PurchasesJun!A2))</f>
        <v>0</v>
      </c>
    </row>
    <row r="5" s="373" customFormat="true" ht="12.75" hidden="false" customHeight="false" outlineLevel="0" collapsed="false">
      <c r="A5" s="372" t="n">
        <v>45853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45848</v>
      </c>
      <c r="B6" s="396"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45138</v>
      </c>
      <c r="B5" s="359" t="n">
        <v>45138</v>
      </c>
      <c r="C5" s="360"/>
      <c r="D5" s="361"/>
      <c r="E5" s="362"/>
      <c r="F5" s="363"/>
    </row>
    <row r="6" customFormat="false" ht="12.75" hidden="false" customHeight="false" outlineLevel="0" collapsed="false">
      <c r="A6" s="364" t="n">
        <v>45139</v>
      </c>
      <c r="B6" s="347" t="n">
        <v>45139</v>
      </c>
      <c r="F6" s="365"/>
    </row>
    <row r="7" customFormat="false" ht="12.75" hidden="false" customHeight="false" outlineLevel="0" collapsed="false">
      <c r="A7" s="364" t="n">
        <v>45140</v>
      </c>
      <c r="B7" s="347" t="n">
        <v>45140</v>
      </c>
      <c r="F7" s="365"/>
    </row>
    <row r="8" customFormat="false" ht="12.75" hidden="false" customHeight="false" outlineLevel="0" collapsed="false">
      <c r="A8" s="364" t="n">
        <v>45141</v>
      </c>
      <c r="B8" s="347" t="n">
        <v>45141</v>
      </c>
      <c r="F8" s="365"/>
    </row>
    <row r="9" customFormat="false" ht="12.75" hidden="false" customHeight="false" outlineLevel="0" collapsed="false">
      <c r="A9" s="364" t="n">
        <v>45142</v>
      </c>
      <c r="B9" s="347" t="n">
        <v>45142</v>
      </c>
      <c r="E9" s="349" t="n">
        <v>200</v>
      </c>
      <c r="F9" s="365"/>
    </row>
    <row r="10" customFormat="false" ht="12.75" hidden="false" customHeight="false" outlineLevel="0" collapsed="false">
      <c r="A10" s="364" t="n">
        <v>45143</v>
      </c>
      <c r="B10" s="347" t="n">
        <v>45143</v>
      </c>
      <c r="E10" s="349" t="n">
        <v>200</v>
      </c>
      <c r="F10" s="365"/>
    </row>
    <row r="11" customFormat="false" ht="12.75" hidden="false" customHeight="false" outlineLevel="0" collapsed="false">
      <c r="A11" s="364" t="n">
        <v>45144</v>
      </c>
      <c r="B11" s="347" t="n">
        <v>45144</v>
      </c>
      <c r="E11" s="349" t="n">
        <v>200</v>
      </c>
      <c r="F11" s="365"/>
    </row>
    <row r="12" customFormat="false" ht="12.75" hidden="false" customHeight="false" outlineLevel="0" collapsed="false">
      <c r="A12" s="364" t="n">
        <v>45144</v>
      </c>
      <c r="B12" s="347" t="s">
        <v>241</v>
      </c>
      <c r="F12" s="365"/>
    </row>
    <row r="13" customFormat="false" ht="12.75" hidden="false" customHeight="false" outlineLevel="0" collapsed="false">
      <c r="A13" s="364" t="n">
        <v>45144</v>
      </c>
      <c r="B13" s="347" t="s">
        <v>242</v>
      </c>
      <c r="F13" s="365"/>
    </row>
    <row r="14" customFormat="false" ht="12.75" hidden="false" customHeight="false" outlineLevel="0" collapsed="false">
      <c r="A14" s="366"/>
      <c r="B14" s="367"/>
      <c r="C14" s="368"/>
      <c r="D14" s="369"/>
      <c r="E14" s="370" t="n">
        <f aca="false">SUM(E5:E13)</f>
        <v>600</v>
      </c>
      <c r="F14" s="371" t="n">
        <f aca="false">SUM(F5:F13)</f>
        <v>0</v>
      </c>
    </row>
    <row r="16" customFormat="false" ht="12.75" hidden="false" customHeight="false" outlineLevel="0" collapsed="false">
      <c r="A16" s="358" t="n">
        <v>45145</v>
      </c>
      <c r="B16" s="359" t="n">
        <v>45145</v>
      </c>
      <c r="C16" s="360"/>
      <c r="D16" s="361"/>
      <c r="E16" s="362" t="n">
        <v>200</v>
      </c>
    </row>
    <row r="17" customFormat="false" ht="12.75" hidden="false" customHeight="false" outlineLevel="0" collapsed="false">
      <c r="B17" s="347" t="n">
        <v>45146</v>
      </c>
      <c r="E17" s="349" t="n">
        <v>200</v>
      </c>
      <c r="F17" s="365"/>
    </row>
    <row r="18" customFormat="false" ht="12.75" hidden="false" customHeight="false" outlineLevel="0" collapsed="false">
      <c r="A18" s="364" t="n">
        <v>45147</v>
      </c>
      <c r="B18" s="347" t="n">
        <v>45147</v>
      </c>
      <c r="F18" s="365"/>
    </row>
    <row r="19" customFormat="false" ht="12.75" hidden="false" customHeight="false" outlineLevel="0" collapsed="false">
      <c r="A19" s="364" t="n">
        <v>45148</v>
      </c>
      <c r="B19" s="347" t="n">
        <v>45148</v>
      </c>
      <c r="F19" s="365"/>
    </row>
    <row r="20" customFormat="false" ht="12.75" hidden="false" customHeight="false" outlineLevel="0" collapsed="false">
      <c r="A20" s="364" t="n">
        <v>45149</v>
      </c>
      <c r="B20" s="347" t="n">
        <v>45149</v>
      </c>
      <c r="E20" s="349" t="n">
        <v>200</v>
      </c>
      <c r="F20" s="365"/>
    </row>
    <row r="21" customFormat="false" ht="12.75" hidden="false" customHeight="false" outlineLevel="0" collapsed="false">
      <c r="A21" s="364" t="n">
        <v>45150</v>
      </c>
      <c r="B21" s="347" t="n">
        <v>45150</v>
      </c>
      <c r="E21" s="349" t="n">
        <v>200</v>
      </c>
      <c r="F21" s="365"/>
    </row>
    <row r="22" customFormat="false" ht="12.75" hidden="false" customHeight="false" outlineLevel="0" collapsed="false">
      <c r="A22" s="364" t="n">
        <v>45151</v>
      </c>
      <c r="B22" s="347" t="n">
        <v>45151</v>
      </c>
      <c r="E22" s="349" t="n">
        <v>200</v>
      </c>
      <c r="F22" s="365"/>
    </row>
    <row r="23" customFormat="false" ht="12.75" hidden="false" customHeight="false" outlineLevel="0" collapsed="false">
      <c r="A23" s="364" t="n">
        <v>45151</v>
      </c>
      <c r="B23" s="347" t="s">
        <v>241</v>
      </c>
      <c r="F23" s="365"/>
    </row>
    <row r="24" customFormat="false" ht="12.75" hidden="false" customHeight="false" outlineLevel="0" collapsed="false">
      <c r="A24" s="364" t="n">
        <v>45151</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45152</v>
      </c>
      <c r="B27" s="359" t="n">
        <v>45152</v>
      </c>
      <c r="C27" s="360"/>
      <c r="D27" s="361"/>
      <c r="E27" s="362" t="n">
        <v>200</v>
      </c>
    </row>
    <row r="28" customFormat="false" ht="12.75" hidden="false" customHeight="false" outlineLevel="0" collapsed="false">
      <c r="B28" s="347" t="n">
        <v>45153</v>
      </c>
      <c r="E28" s="349" t="n">
        <v>200</v>
      </c>
      <c r="F28" s="365"/>
    </row>
    <row r="29" customFormat="false" ht="12.75" hidden="false" customHeight="false" outlineLevel="0" collapsed="false">
      <c r="A29" s="364" t="n">
        <v>45154</v>
      </c>
      <c r="B29" s="347" t="n">
        <v>45154</v>
      </c>
      <c r="F29" s="365"/>
    </row>
    <row r="30" customFormat="false" ht="12.75" hidden="false" customHeight="false" outlineLevel="0" collapsed="false">
      <c r="A30" s="364" t="n">
        <v>45155</v>
      </c>
      <c r="B30" s="347" t="n">
        <v>45155</v>
      </c>
      <c r="F30" s="365"/>
    </row>
    <row r="31" customFormat="false" ht="12.75" hidden="false" customHeight="false" outlineLevel="0" collapsed="false">
      <c r="A31" s="364" t="n">
        <v>45156</v>
      </c>
      <c r="B31" s="347" t="n">
        <v>45156</v>
      </c>
      <c r="E31" s="349" t="n">
        <v>200</v>
      </c>
      <c r="F31" s="365"/>
    </row>
    <row r="32" customFormat="false" ht="12.75" hidden="false" customHeight="false" outlineLevel="0" collapsed="false">
      <c r="A32" s="364" t="n">
        <v>45157</v>
      </c>
      <c r="B32" s="347" t="n">
        <v>45157</v>
      </c>
      <c r="E32" s="349" t="n">
        <v>200</v>
      </c>
      <c r="F32" s="365"/>
    </row>
    <row r="33" customFormat="false" ht="12.75" hidden="false" customHeight="false" outlineLevel="0" collapsed="false">
      <c r="A33" s="364" t="n">
        <v>45158</v>
      </c>
      <c r="B33" s="347" t="n">
        <v>45158</v>
      </c>
      <c r="E33" s="349" t="n">
        <v>200</v>
      </c>
      <c r="F33" s="365"/>
    </row>
    <row r="34" customFormat="false" ht="12.75" hidden="false" customHeight="false" outlineLevel="0" collapsed="false">
      <c r="A34" s="364" t="n">
        <v>45158</v>
      </c>
      <c r="B34" s="347" t="s">
        <v>241</v>
      </c>
      <c r="F34" s="365"/>
    </row>
    <row r="35" customFormat="false" ht="12.75" hidden="false" customHeight="false" outlineLevel="0" collapsed="false">
      <c r="A35" s="364" t="n">
        <v>45158</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45159</v>
      </c>
      <c r="B38" s="359" t="n">
        <v>45159</v>
      </c>
      <c r="C38" s="360"/>
      <c r="D38" s="361"/>
      <c r="E38" s="362" t="n">
        <v>200</v>
      </c>
    </row>
    <row r="39" customFormat="false" ht="12.75" hidden="false" customHeight="false" outlineLevel="0" collapsed="false">
      <c r="B39" s="347" t="n">
        <v>45160</v>
      </c>
      <c r="E39" s="349" t="n">
        <v>200</v>
      </c>
      <c r="F39" s="365"/>
    </row>
    <row r="40" customFormat="false" ht="12.75" hidden="false" customHeight="false" outlineLevel="0" collapsed="false">
      <c r="A40" s="364" t="n">
        <v>45161</v>
      </c>
      <c r="B40" s="347" t="n">
        <v>45161</v>
      </c>
      <c r="F40" s="365"/>
    </row>
    <row r="41" customFormat="false" ht="12.75" hidden="false" customHeight="false" outlineLevel="0" collapsed="false">
      <c r="A41" s="364" t="n">
        <v>45162</v>
      </c>
      <c r="B41" s="347" t="n">
        <v>45162</v>
      </c>
      <c r="F41" s="365"/>
    </row>
    <row r="42" customFormat="false" ht="12.75" hidden="false" customHeight="false" outlineLevel="0" collapsed="false">
      <c r="A42" s="364" t="n">
        <v>45163</v>
      </c>
      <c r="B42" s="347" t="n">
        <v>45163</v>
      </c>
      <c r="F42" s="365"/>
    </row>
    <row r="43" customFormat="false" ht="12.75" hidden="false" customHeight="false" outlineLevel="0" collapsed="false">
      <c r="A43" s="364" t="n">
        <v>45164</v>
      </c>
      <c r="B43" s="347" t="n">
        <v>45164</v>
      </c>
      <c r="F43" s="365"/>
    </row>
    <row r="44" customFormat="false" ht="12.75" hidden="false" customHeight="false" outlineLevel="0" collapsed="false">
      <c r="A44" s="364" t="n">
        <v>45165</v>
      </c>
      <c r="B44" s="347" t="n">
        <v>45165</v>
      </c>
      <c r="F44" s="365"/>
    </row>
    <row r="45" customFormat="false" ht="12.75" hidden="false" customHeight="false" outlineLevel="0" collapsed="false">
      <c r="A45" s="364" t="n">
        <v>45165</v>
      </c>
      <c r="B45" s="347" t="s">
        <v>241</v>
      </c>
      <c r="F45" s="365"/>
    </row>
    <row r="46" customFormat="false" ht="12.75" hidden="false" customHeight="false" outlineLevel="0" collapsed="false">
      <c r="A46" s="364" t="n">
        <v>45165</v>
      </c>
      <c r="B46" s="347" t="s">
        <v>242</v>
      </c>
      <c r="F46" s="365"/>
    </row>
    <row r="47" customFormat="false" ht="12.75" hidden="false" customHeight="false" outlineLevel="0" collapsed="false">
      <c r="A47" s="366"/>
      <c r="B47" s="367"/>
      <c r="C47" s="368"/>
      <c r="D47" s="369"/>
      <c r="E47" s="370" t="n">
        <f aca="false">SUM(E38:E46)</f>
        <v>400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true" hidden="false" outlineLevel="0" max="14" min="14" style="181" width="8.99"/>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3.33"/>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E1+SalesAug!$D$1+PurchasesJul!A1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S1+PurchasesJul!T1</f>
        <v>8000</v>
      </c>
      <c r="U1" s="393" t="n">
        <f aca="false">SUM(U4:U199)</f>
        <v>0</v>
      </c>
    </row>
    <row r="2" s="181" customFormat="true" ht="13.5" hidden="false" customHeight="true" outlineLevel="0" collapsed="false">
      <c r="A2" s="395" t="n">
        <f aca="false">U1+PurchasesJul!A2</f>
        <v>0</v>
      </c>
      <c r="B2" s="240" t="s">
        <v>244</v>
      </c>
      <c r="C2" s="380" t="s">
        <v>245</v>
      </c>
      <c r="D2" s="380" t="s">
        <v>246</v>
      </c>
      <c r="E2" s="380" t="s">
        <v>247</v>
      </c>
      <c r="F2" s="207" t="s">
        <v>248</v>
      </c>
      <c r="G2" s="381" t="s">
        <v>249</v>
      </c>
      <c r="H2" s="381"/>
      <c r="I2" s="382" t="n">
        <f aca="false">G1+H1+I1+J1+PurchasesJul!I2</f>
        <v>2880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IF((E1&lt;&gt;0),Admin!$B$9,"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IF((A1&lt;Admin!$F$22),((A1-PurchasesJul!A1)*Admin!$G$21),(A1*Admin!$G$21-(A1-Admin!$F$21)*(Admin!$G$21-Admin!$G$22)-PurchasesJul!A2))</f>
        <v>0</v>
      </c>
    </row>
    <row r="5" s="373" customFormat="true" ht="12.75" hidden="false" customHeight="false" outlineLevel="0" collapsed="false">
      <c r="A5" s="372" t="n">
        <v>45884</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45166</v>
      </c>
      <c r="B5" s="359" t="n">
        <v>45166</v>
      </c>
      <c r="C5" s="360"/>
      <c r="D5" s="361"/>
      <c r="E5" s="362"/>
      <c r="F5" s="363"/>
    </row>
    <row r="6" customFormat="false" ht="12.75" hidden="false" customHeight="false" outlineLevel="0" collapsed="false">
      <c r="A6" s="364" t="n">
        <v>45167</v>
      </c>
      <c r="B6" s="347" t="n">
        <v>45167</v>
      </c>
      <c r="F6" s="365"/>
    </row>
    <row r="7" customFormat="false" ht="12.75" hidden="false" customHeight="false" outlineLevel="0" collapsed="false">
      <c r="A7" s="364" t="n">
        <v>45168</v>
      </c>
      <c r="B7" s="347" t="n">
        <v>45168</v>
      </c>
      <c r="F7" s="365"/>
    </row>
    <row r="8" customFormat="false" ht="12.75" hidden="false" customHeight="false" outlineLevel="0" collapsed="false">
      <c r="A8" s="364" t="n">
        <v>45169</v>
      </c>
      <c r="B8" s="347" t="n">
        <v>45169</v>
      </c>
      <c r="F8" s="365"/>
    </row>
    <row r="9" customFormat="false" ht="12.75" hidden="false" customHeight="false" outlineLevel="0" collapsed="false">
      <c r="A9" s="364" t="n">
        <v>45170</v>
      </c>
      <c r="B9" s="347" t="n">
        <v>45170</v>
      </c>
      <c r="E9" s="349" t="n">
        <v>200</v>
      </c>
      <c r="F9" s="365"/>
    </row>
    <row r="10" customFormat="false" ht="12.75" hidden="false" customHeight="false" outlineLevel="0" collapsed="false">
      <c r="A10" s="364" t="n">
        <v>45171</v>
      </c>
      <c r="B10" s="347" t="n">
        <v>45171</v>
      </c>
      <c r="E10" s="349" t="n">
        <v>200</v>
      </c>
      <c r="F10" s="365"/>
    </row>
    <row r="11" customFormat="false" ht="12.75" hidden="false" customHeight="false" outlineLevel="0" collapsed="false">
      <c r="A11" s="364" t="n">
        <v>45172</v>
      </c>
      <c r="B11" s="347" t="n">
        <v>45172</v>
      </c>
      <c r="E11" s="349" t="n">
        <v>200</v>
      </c>
      <c r="F11" s="365"/>
    </row>
    <row r="12" customFormat="false" ht="12.75" hidden="false" customHeight="false" outlineLevel="0" collapsed="false">
      <c r="A12" s="364" t="n">
        <v>45172</v>
      </c>
      <c r="B12" s="347" t="s">
        <v>241</v>
      </c>
      <c r="F12" s="365"/>
    </row>
    <row r="13" customFormat="false" ht="12.75" hidden="false" customHeight="false" outlineLevel="0" collapsed="false">
      <c r="A13" s="364" t="n">
        <v>45172</v>
      </c>
      <c r="B13" s="347" t="s">
        <v>242</v>
      </c>
      <c r="F13" s="365"/>
    </row>
    <row r="14" customFormat="false" ht="12.75" hidden="false" customHeight="false" outlineLevel="0" collapsed="false">
      <c r="A14" s="366"/>
      <c r="B14" s="367"/>
      <c r="C14" s="368"/>
      <c r="D14" s="369"/>
      <c r="E14" s="370" t="n">
        <f aca="false">SUM(E5:E13)</f>
        <v>600</v>
      </c>
      <c r="F14" s="371" t="n">
        <f aca="false">SUM(F5:F13)</f>
        <v>0</v>
      </c>
    </row>
    <row r="16" customFormat="false" ht="12.75" hidden="false" customHeight="false" outlineLevel="0" collapsed="false">
      <c r="A16" s="358" t="n">
        <v>45173</v>
      </c>
      <c r="B16" s="359" t="n">
        <v>45173</v>
      </c>
      <c r="C16" s="360"/>
      <c r="D16" s="361"/>
      <c r="E16" s="362" t="n">
        <v>200</v>
      </c>
    </row>
    <row r="17" customFormat="false" ht="12.75" hidden="false" customHeight="false" outlineLevel="0" collapsed="false">
      <c r="B17" s="347" t="n">
        <v>45174</v>
      </c>
      <c r="E17" s="349" t="n">
        <v>200</v>
      </c>
      <c r="F17" s="365"/>
    </row>
    <row r="18" customFormat="false" ht="12.75" hidden="false" customHeight="false" outlineLevel="0" collapsed="false">
      <c r="A18" s="364" t="n">
        <v>45175</v>
      </c>
      <c r="B18" s="347" t="n">
        <v>45175</v>
      </c>
      <c r="F18" s="365"/>
    </row>
    <row r="19" customFormat="false" ht="12.75" hidden="false" customHeight="false" outlineLevel="0" collapsed="false">
      <c r="A19" s="364" t="n">
        <v>45176</v>
      </c>
      <c r="B19" s="347" t="n">
        <v>45176</v>
      </c>
      <c r="F19" s="365"/>
    </row>
    <row r="20" customFormat="false" ht="12.75" hidden="false" customHeight="false" outlineLevel="0" collapsed="false">
      <c r="A20" s="364" t="n">
        <v>45177</v>
      </c>
      <c r="B20" s="347" t="n">
        <v>45177</v>
      </c>
      <c r="E20" s="349" t="n">
        <v>200</v>
      </c>
      <c r="F20" s="365"/>
    </row>
    <row r="21" customFormat="false" ht="12.75" hidden="false" customHeight="false" outlineLevel="0" collapsed="false">
      <c r="A21" s="364" t="n">
        <v>45178</v>
      </c>
      <c r="B21" s="347" t="n">
        <v>45178</v>
      </c>
      <c r="E21" s="349" t="n">
        <v>200</v>
      </c>
      <c r="F21" s="365"/>
    </row>
    <row r="22" customFormat="false" ht="12.75" hidden="false" customHeight="false" outlineLevel="0" collapsed="false">
      <c r="A22" s="364" t="n">
        <v>45179</v>
      </c>
      <c r="B22" s="347" t="n">
        <v>45179</v>
      </c>
      <c r="E22" s="349" t="n">
        <v>200</v>
      </c>
      <c r="F22" s="365"/>
    </row>
    <row r="23" customFormat="false" ht="12.75" hidden="false" customHeight="false" outlineLevel="0" collapsed="false">
      <c r="A23" s="364" t="n">
        <v>45179</v>
      </c>
      <c r="B23" s="347" t="s">
        <v>241</v>
      </c>
      <c r="F23" s="365"/>
    </row>
    <row r="24" customFormat="false" ht="12.75" hidden="false" customHeight="false" outlineLevel="0" collapsed="false">
      <c r="A24" s="364" t="n">
        <v>45179</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45180</v>
      </c>
      <c r="B27" s="359" t="n">
        <v>45180</v>
      </c>
      <c r="C27" s="360"/>
      <c r="D27" s="361"/>
      <c r="E27" s="362" t="n">
        <v>200</v>
      </c>
    </row>
    <row r="28" customFormat="false" ht="12.75" hidden="false" customHeight="false" outlineLevel="0" collapsed="false">
      <c r="B28" s="347" t="n">
        <v>45181</v>
      </c>
      <c r="E28" s="349" t="n">
        <v>200</v>
      </c>
      <c r="F28" s="365"/>
    </row>
    <row r="29" customFormat="false" ht="12.75" hidden="false" customHeight="false" outlineLevel="0" collapsed="false">
      <c r="A29" s="364" t="n">
        <v>45182</v>
      </c>
      <c r="B29" s="347" t="n">
        <v>45182</v>
      </c>
      <c r="F29" s="365"/>
    </row>
    <row r="30" customFormat="false" ht="12.75" hidden="false" customHeight="false" outlineLevel="0" collapsed="false">
      <c r="A30" s="364" t="n">
        <v>45183</v>
      </c>
      <c r="B30" s="347" t="n">
        <v>45183</v>
      </c>
      <c r="F30" s="365"/>
    </row>
    <row r="31" customFormat="false" ht="12.75" hidden="false" customHeight="false" outlineLevel="0" collapsed="false">
      <c r="A31" s="364" t="n">
        <v>45184</v>
      </c>
      <c r="B31" s="347" t="n">
        <v>45184</v>
      </c>
      <c r="E31" s="349" t="n">
        <v>200</v>
      </c>
      <c r="F31" s="365"/>
    </row>
    <row r="32" customFormat="false" ht="12.75" hidden="false" customHeight="false" outlineLevel="0" collapsed="false">
      <c r="A32" s="364" t="n">
        <v>45185</v>
      </c>
      <c r="B32" s="347" t="n">
        <v>45185</v>
      </c>
      <c r="E32" s="349" t="n">
        <v>200</v>
      </c>
      <c r="F32" s="365"/>
    </row>
    <row r="33" customFormat="false" ht="12.75" hidden="false" customHeight="false" outlineLevel="0" collapsed="false">
      <c r="A33" s="364" t="n">
        <v>45186</v>
      </c>
      <c r="B33" s="347" t="n">
        <v>45186</v>
      </c>
      <c r="E33" s="349" t="n">
        <v>200</v>
      </c>
      <c r="F33" s="365"/>
    </row>
    <row r="34" customFormat="false" ht="12.75" hidden="false" customHeight="false" outlineLevel="0" collapsed="false">
      <c r="A34" s="364" t="n">
        <v>45186</v>
      </c>
      <c r="B34" s="347" t="s">
        <v>241</v>
      </c>
      <c r="F34" s="365"/>
    </row>
    <row r="35" customFormat="false" ht="12.75" hidden="false" customHeight="false" outlineLevel="0" collapsed="false">
      <c r="A35" s="364" t="n">
        <v>45186</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45187</v>
      </c>
      <c r="B38" s="359" t="n">
        <v>45187</v>
      </c>
      <c r="C38" s="360"/>
      <c r="D38" s="361"/>
      <c r="E38" s="362" t="n">
        <v>200</v>
      </c>
    </row>
    <row r="39" customFormat="false" ht="12.75" hidden="false" customHeight="false" outlineLevel="0" collapsed="false">
      <c r="B39" s="347" t="n">
        <v>45188</v>
      </c>
      <c r="E39" s="349" t="n">
        <v>200</v>
      </c>
      <c r="F39" s="365"/>
    </row>
    <row r="40" customFormat="false" ht="12.75" hidden="false" customHeight="false" outlineLevel="0" collapsed="false">
      <c r="A40" s="364" t="n">
        <v>45189</v>
      </c>
      <c r="B40" s="347" t="n">
        <v>45189</v>
      </c>
      <c r="F40" s="365"/>
    </row>
    <row r="41" customFormat="false" ht="12.75" hidden="false" customHeight="false" outlineLevel="0" collapsed="false">
      <c r="A41" s="364" t="n">
        <v>45190</v>
      </c>
      <c r="B41" s="347" t="n">
        <v>45190</v>
      </c>
      <c r="F41" s="365"/>
    </row>
    <row r="42" customFormat="false" ht="12.75" hidden="false" customHeight="false" outlineLevel="0" collapsed="false">
      <c r="A42" s="364" t="n">
        <v>45191</v>
      </c>
      <c r="B42" s="347" t="n">
        <v>45191</v>
      </c>
      <c r="F42" s="365"/>
    </row>
    <row r="43" customFormat="false" ht="12.75" hidden="false" customHeight="false" outlineLevel="0" collapsed="false">
      <c r="A43" s="364" t="n">
        <v>45192</v>
      </c>
      <c r="B43" s="347" t="n">
        <v>45192</v>
      </c>
      <c r="F43" s="365"/>
    </row>
    <row r="44" customFormat="false" ht="12.75" hidden="false" customHeight="false" outlineLevel="0" collapsed="false">
      <c r="A44" s="364" t="n">
        <v>45193</v>
      </c>
      <c r="B44" s="347" t="n">
        <v>45193</v>
      </c>
      <c r="F44" s="365"/>
    </row>
    <row r="45" customFormat="false" ht="12.75" hidden="false" customHeight="false" outlineLevel="0" collapsed="false">
      <c r="A45" s="364" t="n">
        <v>45193</v>
      </c>
      <c r="B45" s="347" t="s">
        <v>241</v>
      </c>
      <c r="F45" s="365"/>
    </row>
    <row r="46" customFormat="false" ht="12.75" hidden="false" customHeight="false" outlineLevel="0" collapsed="false">
      <c r="A46" s="364" t="n">
        <v>45193</v>
      </c>
      <c r="B46" s="347" t="s">
        <v>242</v>
      </c>
      <c r="F46" s="365"/>
    </row>
    <row r="47" customFormat="false" ht="12.75" hidden="false" customHeight="false" outlineLevel="0" collapsed="false">
      <c r="A47" s="366"/>
      <c r="B47" s="367"/>
      <c r="C47" s="368"/>
      <c r="D47" s="369"/>
      <c r="E47" s="370" t="n">
        <f aca="false">SUM(E38:E46)</f>
        <v>400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49"/>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E1+SalesSep!$D$1+PurchasesAug!A1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S1+PurchasesAug!T1</f>
        <v>8000</v>
      </c>
      <c r="U1" s="393" t="n">
        <f aca="false">SUM(U4:U199)</f>
        <v>0</v>
      </c>
    </row>
    <row r="2" s="181" customFormat="true" ht="13.5" hidden="false" customHeight="true" outlineLevel="0" collapsed="false">
      <c r="A2" s="395" t="n">
        <f aca="false">U1+PurchasesAug!A2</f>
        <v>0</v>
      </c>
      <c r="B2" s="240" t="s">
        <v>244</v>
      </c>
      <c r="C2" s="380" t="s">
        <v>245</v>
      </c>
      <c r="D2" s="380" t="s">
        <v>246</v>
      </c>
      <c r="E2" s="380" t="s">
        <v>247</v>
      </c>
      <c r="F2" s="207" t="s">
        <v>248</v>
      </c>
      <c r="G2" s="381" t="s">
        <v>249</v>
      </c>
      <c r="H2" s="381"/>
      <c r="I2" s="382" t="n">
        <f aca="false">G1+H1+I1+J1+PurchasesAug!I2</f>
        <v>3180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IF((E1&lt;&gt;0),Admin!$B$10,"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IF((A1&lt;Admin!$F$22),((A1-PurchasesAug!A1)*Admin!$G$21),(A1*Admin!$G$21-(A1-Admin!$F$21)*(Admin!$G$21-Admin!$G$22)-PurchasesAug!A2))</f>
        <v>0</v>
      </c>
    </row>
    <row r="5" s="373" customFormat="true" ht="12.75" hidden="false" customHeight="false" outlineLevel="0" collapsed="false">
      <c r="A5" s="372" t="n">
        <v>45915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45194</v>
      </c>
      <c r="B5" s="359" t="n">
        <v>45194</v>
      </c>
      <c r="C5" s="360"/>
      <c r="D5" s="361"/>
      <c r="E5" s="362"/>
      <c r="F5" s="363"/>
    </row>
    <row r="6" customFormat="false" ht="12.75" hidden="false" customHeight="false" outlineLevel="0" collapsed="false">
      <c r="A6" s="364" t="n">
        <v>45195</v>
      </c>
      <c r="B6" s="347" t="n">
        <v>45195</v>
      </c>
      <c r="F6" s="365"/>
    </row>
    <row r="7" customFormat="false" ht="12.75" hidden="false" customHeight="false" outlineLevel="0" collapsed="false">
      <c r="A7" s="364" t="n">
        <v>45196</v>
      </c>
      <c r="B7" s="347" t="n">
        <v>45196</v>
      </c>
      <c r="F7" s="365"/>
    </row>
    <row r="8" customFormat="false" ht="12.75" hidden="false" customHeight="false" outlineLevel="0" collapsed="false">
      <c r="A8" s="364" t="n">
        <v>45197</v>
      </c>
      <c r="B8" s="347" t="n">
        <v>45197</v>
      </c>
      <c r="F8" s="365"/>
    </row>
    <row r="9" customFormat="false" ht="12.75" hidden="false" customHeight="false" outlineLevel="0" collapsed="false">
      <c r="A9" s="364" t="n">
        <v>45198</v>
      </c>
      <c r="B9" s="347" t="n">
        <v>45198</v>
      </c>
      <c r="F9" s="365"/>
    </row>
    <row r="10" customFormat="false" ht="12.75" hidden="false" customHeight="false" outlineLevel="0" collapsed="false">
      <c r="A10" s="364" t="n">
        <v>45199</v>
      </c>
      <c r="B10" s="347" t="n">
        <v>45199</v>
      </c>
      <c r="F10" s="365"/>
    </row>
    <row r="11" customFormat="false" ht="12.75" hidden="false" customHeight="false" outlineLevel="0" collapsed="false">
      <c r="A11" s="364" t="n">
        <v>45200</v>
      </c>
      <c r="B11" s="347" t="n">
        <v>45200</v>
      </c>
      <c r="F11" s="365"/>
    </row>
    <row r="12" customFormat="false" ht="12.75" hidden="false" customHeight="false" outlineLevel="0" collapsed="false">
      <c r="A12" s="364" t="n">
        <v>45200</v>
      </c>
      <c r="B12" s="347" t="s">
        <v>241</v>
      </c>
      <c r="F12" s="365"/>
    </row>
    <row r="13" customFormat="false" ht="12.75" hidden="false" customHeight="false" outlineLevel="0" collapsed="false">
      <c r="A13" s="364" t="n">
        <v>45200</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45201</v>
      </c>
      <c r="B16" s="359" t="n">
        <v>45201</v>
      </c>
      <c r="C16" s="360"/>
      <c r="D16" s="361"/>
      <c r="E16" s="362"/>
      <c r="F16" s="363"/>
    </row>
    <row r="17" customFormat="false" ht="12.75" hidden="false" customHeight="false" outlineLevel="0" collapsed="false">
      <c r="A17" s="364" t="n">
        <v>45202</v>
      </c>
      <c r="B17" s="347" t="n">
        <v>45202</v>
      </c>
      <c r="F17" s="365"/>
    </row>
    <row r="18" customFormat="false" ht="12.75" hidden="false" customHeight="false" outlineLevel="0" collapsed="false">
      <c r="A18" s="364" t="n">
        <v>45203</v>
      </c>
      <c r="B18" s="347" t="n">
        <v>45203</v>
      </c>
      <c r="F18" s="365"/>
    </row>
    <row r="19" customFormat="false" ht="12.75" hidden="false" customHeight="false" outlineLevel="0" collapsed="false">
      <c r="A19" s="364" t="n">
        <v>45204</v>
      </c>
      <c r="B19" s="347" t="n">
        <v>45204</v>
      </c>
      <c r="F19" s="365"/>
    </row>
    <row r="20" customFormat="false" ht="12.75" hidden="false" customHeight="false" outlineLevel="0" collapsed="false">
      <c r="A20" s="364" t="n">
        <v>45205</v>
      </c>
      <c r="B20" s="347" t="n">
        <v>45205</v>
      </c>
      <c r="E20" s="349" t="n">
        <v>200</v>
      </c>
      <c r="F20" s="365"/>
    </row>
    <row r="21" customFormat="false" ht="12.75" hidden="false" customHeight="false" outlineLevel="0" collapsed="false">
      <c r="A21" s="364" t="n">
        <v>45206</v>
      </c>
      <c r="B21" s="347" t="n">
        <v>45206</v>
      </c>
      <c r="E21" s="349" t="n">
        <v>200</v>
      </c>
      <c r="F21" s="365"/>
    </row>
    <row r="22" customFormat="false" ht="12.75" hidden="false" customHeight="false" outlineLevel="0" collapsed="false">
      <c r="A22" s="364" t="n">
        <v>45207</v>
      </c>
      <c r="B22" s="347" t="n">
        <v>45207</v>
      </c>
      <c r="E22" s="349" t="n">
        <v>200</v>
      </c>
      <c r="F22" s="365"/>
    </row>
    <row r="23" customFormat="false" ht="12.75" hidden="false" customHeight="false" outlineLevel="0" collapsed="false">
      <c r="A23" s="364" t="n">
        <v>45207</v>
      </c>
      <c r="B23" s="347" t="s">
        <v>241</v>
      </c>
      <c r="F23" s="365"/>
    </row>
    <row r="24" customFormat="false" ht="12.75" hidden="false" customHeight="false" outlineLevel="0" collapsed="false">
      <c r="A24" s="364" t="n">
        <v>45207</v>
      </c>
      <c r="B24" s="347" t="s">
        <v>242</v>
      </c>
      <c r="F24" s="365"/>
    </row>
    <row r="25" customFormat="false" ht="12.75" hidden="false" customHeight="false" outlineLevel="0" collapsed="false">
      <c r="A25" s="366"/>
      <c r="B25" s="367"/>
      <c r="C25" s="368"/>
      <c r="D25" s="369"/>
      <c r="E25" s="370" t="n">
        <f aca="false">SUM(E16:E24)</f>
        <v>600</v>
      </c>
      <c r="F25" s="371" t="n">
        <f aca="false">SUM(F16:F24)</f>
        <v>0</v>
      </c>
    </row>
    <row r="27" customFormat="false" ht="12.75" hidden="false" customHeight="false" outlineLevel="0" collapsed="false">
      <c r="A27" s="358" t="n">
        <v>45208</v>
      </c>
      <c r="B27" s="359" t="n">
        <v>45208</v>
      </c>
      <c r="C27" s="360"/>
      <c r="D27" s="361"/>
      <c r="E27" s="362" t="n">
        <v>200</v>
      </c>
    </row>
    <row r="28" customFormat="false" ht="12.75" hidden="false" customHeight="false" outlineLevel="0" collapsed="false">
      <c r="B28" s="347" t="n">
        <v>45209</v>
      </c>
      <c r="E28" s="349" t="n">
        <v>200</v>
      </c>
      <c r="F28" s="365"/>
    </row>
    <row r="29" customFormat="false" ht="12.75" hidden="false" customHeight="false" outlineLevel="0" collapsed="false">
      <c r="A29" s="364" t="n">
        <v>45210</v>
      </c>
      <c r="B29" s="347" t="n">
        <v>45210</v>
      </c>
      <c r="F29" s="365"/>
    </row>
    <row r="30" customFormat="false" ht="12.75" hidden="false" customHeight="false" outlineLevel="0" collapsed="false">
      <c r="A30" s="364" t="n">
        <v>45211</v>
      </c>
      <c r="B30" s="347" t="n">
        <v>45211</v>
      </c>
      <c r="F30" s="365"/>
    </row>
    <row r="31" customFormat="false" ht="12.75" hidden="false" customHeight="false" outlineLevel="0" collapsed="false">
      <c r="A31" s="364" t="n">
        <v>45212</v>
      </c>
      <c r="B31" s="347" t="n">
        <v>45212</v>
      </c>
      <c r="E31" s="349" t="n">
        <v>200</v>
      </c>
      <c r="F31" s="365"/>
    </row>
    <row r="32" customFormat="false" ht="12.75" hidden="false" customHeight="false" outlineLevel="0" collapsed="false">
      <c r="A32" s="364" t="n">
        <v>45213</v>
      </c>
      <c r="B32" s="347" t="n">
        <v>45213</v>
      </c>
      <c r="E32" s="349" t="n">
        <v>200</v>
      </c>
      <c r="F32" s="365"/>
    </row>
    <row r="33" customFormat="false" ht="12.75" hidden="false" customHeight="false" outlineLevel="0" collapsed="false">
      <c r="A33" s="364" t="n">
        <v>45214</v>
      </c>
      <c r="B33" s="347" t="n">
        <v>45214</v>
      </c>
      <c r="E33" s="349" t="n">
        <v>200</v>
      </c>
      <c r="F33" s="365"/>
    </row>
    <row r="34" customFormat="false" ht="12.75" hidden="false" customHeight="false" outlineLevel="0" collapsed="false">
      <c r="A34" s="364" t="n">
        <v>45214</v>
      </c>
      <c r="B34" s="347" t="s">
        <v>241</v>
      </c>
      <c r="F34" s="365"/>
    </row>
    <row r="35" customFormat="false" ht="12.75" hidden="false" customHeight="false" outlineLevel="0" collapsed="false">
      <c r="A35" s="364" t="n">
        <v>45214</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45215</v>
      </c>
      <c r="B38" s="359" t="n">
        <v>45215</v>
      </c>
      <c r="C38" s="360"/>
      <c r="D38" s="361"/>
      <c r="E38" s="362" t="n">
        <v>200</v>
      </c>
    </row>
    <row r="39" customFormat="false" ht="12.75" hidden="false" customHeight="false" outlineLevel="0" collapsed="false">
      <c r="B39" s="347" t="n">
        <v>45216</v>
      </c>
      <c r="E39" s="349" t="n">
        <v>200</v>
      </c>
      <c r="F39" s="365"/>
    </row>
    <row r="40" customFormat="false" ht="12.75" hidden="false" customHeight="false" outlineLevel="0" collapsed="false">
      <c r="A40" s="364" t="n">
        <v>45217</v>
      </c>
      <c r="B40" s="347" t="n">
        <v>45217</v>
      </c>
      <c r="F40" s="365"/>
    </row>
    <row r="41" customFormat="false" ht="12.75" hidden="false" customHeight="false" outlineLevel="0" collapsed="false">
      <c r="A41" s="364" t="n">
        <v>45218</v>
      </c>
      <c r="B41" s="347" t="n">
        <v>45218</v>
      </c>
      <c r="F41" s="365"/>
    </row>
    <row r="42" customFormat="false" ht="12.75" hidden="false" customHeight="false" outlineLevel="0" collapsed="false">
      <c r="A42" s="364" t="n">
        <v>45219</v>
      </c>
      <c r="B42" s="347" t="n">
        <v>45219</v>
      </c>
      <c r="E42" s="349" t="n">
        <v>200</v>
      </c>
      <c r="F42" s="365"/>
    </row>
    <row r="43" customFormat="false" ht="12.75" hidden="false" customHeight="false" outlineLevel="0" collapsed="false">
      <c r="A43" s="364" t="n">
        <v>45220</v>
      </c>
      <c r="B43" s="347" t="n">
        <v>45220</v>
      </c>
      <c r="E43" s="349" t="n">
        <v>200</v>
      </c>
      <c r="F43" s="365"/>
    </row>
    <row r="44" customFormat="false" ht="12.75" hidden="false" customHeight="false" outlineLevel="0" collapsed="false">
      <c r="A44" s="364" t="n">
        <v>45221</v>
      </c>
      <c r="B44" s="347" t="n">
        <v>45221</v>
      </c>
      <c r="E44" s="349" t="n">
        <v>200</v>
      </c>
      <c r="F44" s="365"/>
    </row>
    <row r="45" customFormat="false" ht="12.75" hidden="false" customHeight="false" outlineLevel="0" collapsed="false">
      <c r="A45" s="364" t="n">
        <v>45221</v>
      </c>
      <c r="B45" s="347" t="s">
        <v>241</v>
      </c>
      <c r="F45" s="365"/>
    </row>
    <row r="46" customFormat="false" ht="12.75" hidden="false" customHeight="false" outlineLevel="0" collapsed="false">
      <c r="A46" s="364" t="n">
        <v>45221</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45222</v>
      </c>
      <c r="B49" s="359" t="n">
        <v>45222</v>
      </c>
      <c r="C49" s="360"/>
      <c r="D49" s="361"/>
      <c r="E49" s="362" t="n">
        <v>200</v>
      </c>
    </row>
    <row r="50" customFormat="false" ht="12.75" hidden="false" customHeight="false" outlineLevel="0" collapsed="false">
      <c r="B50" s="347" t="n">
        <v>45223</v>
      </c>
      <c r="E50" s="349" t="n">
        <v>200</v>
      </c>
      <c r="F50" s="365"/>
    </row>
    <row r="51" customFormat="false" ht="12.75" hidden="false" customHeight="false" outlineLevel="0" collapsed="false">
      <c r="A51" s="364" t="n">
        <v>45224</v>
      </c>
      <c r="B51" s="347" t="n">
        <v>45224</v>
      </c>
      <c r="F51" s="365"/>
    </row>
    <row r="52" customFormat="false" ht="12.75" hidden="false" customHeight="false" outlineLevel="0" collapsed="false">
      <c r="A52" s="364" t="n">
        <v>45225</v>
      </c>
      <c r="B52" s="347" t="n">
        <v>45225</v>
      </c>
      <c r="F52" s="365"/>
    </row>
    <row r="53" customFormat="false" ht="12.75" hidden="false" customHeight="false" outlineLevel="0" collapsed="false">
      <c r="A53" s="364" t="n">
        <v>45226</v>
      </c>
      <c r="B53" s="347" t="n">
        <v>45226</v>
      </c>
      <c r="F53" s="365"/>
    </row>
    <row r="54" customFormat="false" ht="12.75" hidden="false" customHeight="false" outlineLevel="0" collapsed="false">
      <c r="A54" s="364" t="n">
        <v>45227</v>
      </c>
      <c r="B54" s="347" t="n">
        <v>45227</v>
      </c>
      <c r="F54" s="365"/>
    </row>
    <row r="55" customFormat="false" ht="12.75" hidden="false" customHeight="false" outlineLevel="0" collapsed="false">
      <c r="A55" s="364" t="n">
        <v>45228</v>
      </c>
      <c r="B55" s="347" t="n">
        <v>45228</v>
      </c>
      <c r="F55" s="365"/>
    </row>
    <row r="56" customFormat="false" ht="12.75" hidden="false" customHeight="false" outlineLevel="0" collapsed="false">
      <c r="A56" s="364" t="n">
        <v>45228</v>
      </c>
      <c r="B56" s="347" t="s">
        <v>241</v>
      </c>
      <c r="F56" s="365"/>
    </row>
    <row r="57" customFormat="false" ht="12.75" hidden="false" customHeight="false" outlineLevel="0" collapsed="false">
      <c r="A57" s="364" t="n">
        <v>45228</v>
      </c>
      <c r="B57" s="347" t="s">
        <v>242</v>
      </c>
      <c r="F57" s="365"/>
    </row>
    <row r="58" customFormat="false" ht="12.75" hidden="false" customHeight="false" outlineLevel="0" collapsed="false">
      <c r="A58" s="366"/>
      <c r="B58" s="367"/>
      <c r="C58" s="368"/>
      <c r="D58" s="369"/>
      <c r="E58" s="370" t="n">
        <f aca="false">SUM(E49:E57)</f>
        <v>400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E1+SalesOct!$D$1+PurchasesSep!A1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S1+PurchasesSep!T1</f>
        <v>8000</v>
      </c>
      <c r="U1" s="393" t="n">
        <f aca="false">SUM(U4:U199)</f>
        <v>0</v>
      </c>
    </row>
    <row r="2" s="181" customFormat="true" ht="13.5" hidden="false" customHeight="true" outlineLevel="0" collapsed="false">
      <c r="A2" s="395" t="n">
        <f aca="false">U1+PurchasesSep!A2</f>
        <v>0</v>
      </c>
      <c r="B2" s="240" t="s">
        <v>244</v>
      </c>
      <c r="C2" s="380" t="s">
        <v>245</v>
      </c>
      <c r="D2" s="380" t="s">
        <v>246</v>
      </c>
      <c r="E2" s="380" t="s">
        <v>247</v>
      </c>
      <c r="F2" s="207" t="s">
        <v>248</v>
      </c>
      <c r="G2" s="381" t="s">
        <v>249</v>
      </c>
      <c r="H2" s="381"/>
      <c r="I2" s="382" t="n">
        <f aca="false">G1+H1+I1+J1+PurchasesSep!I2</f>
        <v>3480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IF((E1&lt;&gt;0),Admin!$B$11,"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IF((A1&lt;Admin!$F$22),((A1-PurchasesSep!A1)*Admin!$G$21),(A1*Admin!$G$21-(A1-Admin!$F$21)*(Admin!$G$21-Admin!$G$22)-PurchasesSep!A2))</f>
        <v>0</v>
      </c>
    </row>
    <row r="5" s="373" customFormat="true" ht="12.75" hidden="false" customHeight="false" outlineLevel="0" collapsed="false">
      <c r="A5" s="372" t="n">
        <v>45945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45940</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45229</v>
      </c>
      <c r="B5" s="359" t="n">
        <v>45229</v>
      </c>
      <c r="C5" s="360"/>
      <c r="D5" s="361"/>
      <c r="E5" s="362"/>
      <c r="F5" s="363"/>
    </row>
    <row r="6" customFormat="false" ht="12.75" hidden="false" customHeight="false" outlineLevel="0" collapsed="false">
      <c r="A6" s="364" t="n">
        <v>45230</v>
      </c>
      <c r="B6" s="347" t="n">
        <v>45230</v>
      </c>
      <c r="F6" s="365"/>
    </row>
    <row r="7" customFormat="false" ht="12.75" hidden="false" customHeight="false" outlineLevel="0" collapsed="false">
      <c r="A7" s="364" t="n">
        <v>45231</v>
      </c>
      <c r="B7" s="347" t="n">
        <v>45231</v>
      </c>
      <c r="F7" s="365"/>
    </row>
    <row r="8" customFormat="false" ht="12.75" hidden="false" customHeight="false" outlineLevel="0" collapsed="false">
      <c r="A8" s="364" t="n">
        <v>45232</v>
      </c>
      <c r="B8" s="347" t="n">
        <v>45232</v>
      </c>
      <c r="F8" s="365"/>
    </row>
    <row r="9" customFormat="false" ht="12.75" hidden="false" customHeight="false" outlineLevel="0" collapsed="false">
      <c r="A9" s="364" t="n">
        <v>45233</v>
      </c>
      <c r="B9" s="347" t="n">
        <v>45233</v>
      </c>
      <c r="E9" s="349" t="n">
        <v>200</v>
      </c>
      <c r="F9" s="365"/>
    </row>
    <row r="10" customFormat="false" ht="12.75" hidden="false" customHeight="false" outlineLevel="0" collapsed="false">
      <c r="A10" s="364" t="n">
        <v>45234</v>
      </c>
      <c r="B10" s="347" t="n">
        <v>45234</v>
      </c>
      <c r="E10" s="349" t="n">
        <v>200</v>
      </c>
      <c r="F10" s="365"/>
    </row>
    <row r="11" customFormat="false" ht="12.75" hidden="false" customHeight="false" outlineLevel="0" collapsed="false">
      <c r="A11" s="364" t="n">
        <v>45235</v>
      </c>
      <c r="B11" s="347" t="n">
        <v>45235</v>
      </c>
      <c r="E11" s="349" t="n">
        <v>200</v>
      </c>
      <c r="F11" s="365"/>
    </row>
    <row r="12" customFormat="false" ht="12.75" hidden="false" customHeight="false" outlineLevel="0" collapsed="false">
      <c r="A12" s="364" t="n">
        <v>45235</v>
      </c>
      <c r="B12" s="347" t="s">
        <v>241</v>
      </c>
      <c r="F12" s="365"/>
    </row>
    <row r="13" customFormat="false" ht="12.75" hidden="false" customHeight="false" outlineLevel="0" collapsed="false">
      <c r="A13" s="364" t="n">
        <v>45235</v>
      </c>
      <c r="B13" s="347" t="s">
        <v>242</v>
      </c>
      <c r="F13" s="365"/>
    </row>
    <row r="14" customFormat="false" ht="12.75" hidden="false" customHeight="false" outlineLevel="0" collapsed="false">
      <c r="A14" s="366"/>
      <c r="B14" s="367"/>
      <c r="C14" s="368"/>
      <c r="D14" s="369"/>
      <c r="E14" s="370" t="n">
        <f aca="false">SUM(E5:E13)</f>
        <v>600</v>
      </c>
      <c r="F14" s="371" t="n">
        <f aca="false">SUM(F5:F13)</f>
        <v>0</v>
      </c>
    </row>
    <row r="16" customFormat="false" ht="12.75" hidden="false" customHeight="false" outlineLevel="0" collapsed="false">
      <c r="A16" s="358" t="n">
        <v>45236</v>
      </c>
      <c r="B16" s="359" t="n">
        <v>45236</v>
      </c>
      <c r="C16" s="360"/>
      <c r="D16" s="361"/>
      <c r="E16" s="362" t="n">
        <v>200</v>
      </c>
    </row>
    <row r="17" customFormat="false" ht="12.75" hidden="false" customHeight="false" outlineLevel="0" collapsed="false">
      <c r="B17" s="347" t="n">
        <v>45237</v>
      </c>
      <c r="E17" s="349" t="n">
        <v>200</v>
      </c>
      <c r="F17" s="365"/>
    </row>
    <row r="18" customFormat="false" ht="12.75" hidden="false" customHeight="false" outlineLevel="0" collapsed="false">
      <c r="A18" s="364" t="n">
        <v>45238</v>
      </c>
      <c r="B18" s="347" t="n">
        <v>45238</v>
      </c>
      <c r="F18" s="365"/>
    </row>
    <row r="19" customFormat="false" ht="12.75" hidden="false" customHeight="false" outlineLevel="0" collapsed="false">
      <c r="A19" s="364" t="n">
        <v>45239</v>
      </c>
      <c r="B19" s="347" t="n">
        <v>45239</v>
      </c>
      <c r="F19" s="365"/>
    </row>
    <row r="20" customFormat="false" ht="12.75" hidden="false" customHeight="false" outlineLevel="0" collapsed="false">
      <c r="A20" s="364" t="n">
        <v>45240</v>
      </c>
      <c r="B20" s="347" t="n">
        <v>45240</v>
      </c>
      <c r="E20" s="349" t="n">
        <v>200</v>
      </c>
      <c r="F20" s="365"/>
    </row>
    <row r="21" customFormat="false" ht="12.75" hidden="false" customHeight="false" outlineLevel="0" collapsed="false">
      <c r="A21" s="364" t="n">
        <v>45241</v>
      </c>
      <c r="B21" s="347" t="n">
        <v>45241</v>
      </c>
      <c r="E21" s="349" t="n">
        <v>200</v>
      </c>
      <c r="F21" s="365"/>
    </row>
    <row r="22" customFormat="false" ht="12.75" hidden="false" customHeight="false" outlineLevel="0" collapsed="false">
      <c r="A22" s="364" t="n">
        <v>45242</v>
      </c>
      <c r="B22" s="347" t="n">
        <v>45242</v>
      </c>
      <c r="E22" s="349" t="n">
        <v>200</v>
      </c>
      <c r="F22" s="365"/>
    </row>
    <row r="23" customFormat="false" ht="12.75" hidden="false" customHeight="false" outlineLevel="0" collapsed="false">
      <c r="A23" s="364" t="n">
        <v>45242</v>
      </c>
      <c r="B23" s="347" t="s">
        <v>241</v>
      </c>
      <c r="F23" s="365"/>
    </row>
    <row r="24" customFormat="false" ht="12.75" hidden="false" customHeight="false" outlineLevel="0" collapsed="false">
      <c r="A24" s="364" t="n">
        <v>45242</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45243</v>
      </c>
      <c r="B27" s="359" t="n">
        <v>45243</v>
      </c>
      <c r="C27" s="360"/>
      <c r="D27" s="361"/>
      <c r="E27" s="362" t="n">
        <v>200</v>
      </c>
    </row>
    <row r="28" customFormat="false" ht="12.75" hidden="false" customHeight="false" outlineLevel="0" collapsed="false">
      <c r="B28" s="347" t="n">
        <v>45244</v>
      </c>
      <c r="E28" s="349" t="n">
        <v>200</v>
      </c>
      <c r="F28" s="365"/>
    </row>
    <row r="29" customFormat="false" ht="12.75" hidden="false" customHeight="false" outlineLevel="0" collapsed="false">
      <c r="A29" s="364" t="n">
        <v>45245</v>
      </c>
      <c r="B29" s="347" t="n">
        <v>45245</v>
      </c>
      <c r="F29" s="365"/>
    </row>
    <row r="30" customFormat="false" ht="12.75" hidden="false" customHeight="false" outlineLevel="0" collapsed="false">
      <c r="A30" s="364" t="n">
        <v>45246</v>
      </c>
      <c r="B30" s="347" t="n">
        <v>45246</v>
      </c>
      <c r="F30" s="365"/>
    </row>
    <row r="31" customFormat="false" ht="12.75" hidden="false" customHeight="false" outlineLevel="0" collapsed="false">
      <c r="A31" s="364" t="n">
        <v>45247</v>
      </c>
      <c r="B31" s="347" t="n">
        <v>45247</v>
      </c>
      <c r="E31" s="349" t="n">
        <v>200</v>
      </c>
      <c r="F31" s="365"/>
    </row>
    <row r="32" customFormat="false" ht="12.75" hidden="false" customHeight="false" outlineLevel="0" collapsed="false">
      <c r="A32" s="364" t="n">
        <v>45248</v>
      </c>
      <c r="B32" s="347" t="n">
        <v>45248</v>
      </c>
      <c r="E32" s="349" t="n">
        <v>200</v>
      </c>
      <c r="F32" s="365"/>
    </row>
    <row r="33" customFormat="false" ht="12.75" hidden="false" customHeight="false" outlineLevel="0" collapsed="false">
      <c r="A33" s="364" t="n">
        <v>45249</v>
      </c>
      <c r="B33" s="347" t="n">
        <v>45249</v>
      </c>
      <c r="E33" s="349" t="n">
        <v>200</v>
      </c>
      <c r="F33" s="365"/>
    </row>
    <row r="34" customFormat="false" ht="12.75" hidden="false" customHeight="false" outlineLevel="0" collapsed="false">
      <c r="A34" s="364" t="n">
        <v>45249</v>
      </c>
      <c r="B34" s="347" t="s">
        <v>241</v>
      </c>
      <c r="F34" s="365"/>
    </row>
    <row r="35" customFormat="false" ht="12.75" hidden="false" customHeight="false" outlineLevel="0" collapsed="false">
      <c r="A35" s="364" t="n">
        <v>45249</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45250</v>
      </c>
      <c r="B38" s="359" t="n">
        <v>45250</v>
      </c>
      <c r="C38" s="360"/>
      <c r="D38" s="361"/>
      <c r="E38" s="362" t="n">
        <v>200</v>
      </c>
    </row>
    <row r="39" customFormat="false" ht="12.75" hidden="false" customHeight="false" outlineLevel="0" collapsed="false">
      <c r="B39" s="347" t="n">
        <v>45251</v>
      </c>
      <c r="E39" s="349" t="n">
        <v>200</v>
      </c>
      <c r="F39" s="365"/>
    </row>
    <row r="40" customFormat="false" ht="12.75" hidden="false" customHeight="false" outlineLevel="0" collapsed="false">
      <c r="A40" s="364" t="n">
        <v>45252</v>
      </c>
      <c r="B40" s="347" t="n">
        <v>45252</v>
      </c>
      <c r="F40" s="365"/>
    </row>
    <row r="41" customFormat="false" ht="12.75" hidden="false" customHeight="false" outlineLevel="0" collapsed="false">
      <c r="A41" s="364" t="n">
        <v>45253</v>
      </c>
      <c r="B41" s="347" t="n">
        <v>45253</v>
      </c>
      <c r="F41" s="365"/>
    </row>
    <row r="42" customFormat="false" ht="12.75" hidden="false" customHeight="false" outlineLevel="0" collapsed="false">
      <c r="A42" s="364" t="n">
        <v>45254</v>
      </c>
      <c r="B42" s="347" t="n">
        <v>45254</v>
      </c>
      <c r="F42" s="365"/>
    </row>
    <row r="43" customFormat="false" ht="12.75" hidden="false" customHeight="false" outlineLevel="0" collapsed="false">
      <c r="A43" s="364" t="n">
        <v>45255</v>
      </c>
      <c r="B43" s="347" t="n">
        <v>45255</v>
      </c>
      <c r="F43" s="365"/>
    </row>
    <row r="44" customFormat="false" ht="12.75" hidden="false" customHeight="false" outlineLevel="0" collapsed="false">
      <c r="A44" s="364" t="n">
        <v>45256</v>
      </c>
      <c r="B44" s="347" t="n">
        <v>45256</v>
      </c>
      <c r="F44" s="365"/>
    </row>
    <row r="45" customFormat="false" ht="12.75" hidden="false" customHeight="false" outlineLevel="0" collapsed="false">
      <c r="A45" s="364" t="n">
        <v>45256</v>
      </c>
      <c r="B45" s="347" t="s">
        <v>241</v>
      </c>
      <c r="F45" s="365"/>
    </row>
    <row r="46" customFormat="false" ht="12.75" hidden="false" customHeight="false" outlineLevel="0" collapsed="false">
      <c r="A46" s="364" t="n">
        <v>45256</v>
      </c>
      <c r="B46" s="347" t="s">
        <v>242</v>
      </c>
      <c r="F46" s="365"/>
    </row>
    <row r="47" customFormat="false" ht="12.75" hidden="false" customHeight="false" outlineLevel="0" collapsed="false">
      <c r="A47" s="366"/>
      <c r="B47" s="367"/>
      <c r="C47" s="368"/>
      <c r="D47" s="369"/>
      <c r="E47" s="370" t="n">
        <f aca="false">SUM(E38:E46)</f>
        <v>400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false" hidden="false" outlineLevel="0" max="13" min="13" style="181" width="9.15"/>
    <col collapsed="false" customWidth="true" hidden="false" outlineLevel="0" max="15" min="14"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E1+SalesNov!$D$1+PurchasesOct!A1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S1+PurchasesOct!T1</f>
        <v>8000</v>
      </c>
      <c r="U1" s="393" t="n">
        <f aca="false">SUM(U4:U199)</f>
        <v>0</v>
      </c>
    </row>
    <row r="2" s="181" customFormat="true" ht="13.5" hidden="false" customHeight="true" outlineLevel="0" collapsed="false">
      <c r="A2" s="395" t="n">
        <f aca="false">U1+PurchasesOct!A2</f>
        <v>0</v>
      </c>
      <c r="B2" s="240" t="s">
        <v>244</v>
      </c>
      <c r="C2" s="380" t="s">
        <v>245</v>
      </c>
      <c r="D2" s="380" t="s">
        <v>246</v>
      </c>
      <c r="E2" s="380" t="s">
        <v>247</v>
      </c>
      <c r="F2" s="207" t="s">
        <v>248</v>
      </c>
      <c r="G2" s="381" t="s">
        <v>249</v>
      </c>
      <c r="H2" s="381"/>
      <c r="I2" s="382" t="n">
        <f aca="false">G1+H1+I1+J1+PurchasesOct!I2</f>
        <v>3780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IF((E1&lt;&gt;0),Admin!$B$12,"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IF((A1&lt;Admin!$F$22),((A1-PurchasesOct!A1)*Admin!$G$21),(A1*Admin!$G$21-(A1-Admin!$F$21)*(Admin!$G$21-Admin!$G$22)-PurchasesOct!A2))</f>
        <v>0</v>
      </c>
    </row>
    <row r="5" s="373" customFormat="true" ht="12.75" hidden="false" customHeight="false" outlineLevel="0" collapsed="false">
      <c r="A5" s="372" t="n">
        <v>45976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82"/>
    <col collapsed="false" customWidth="true" hidden="false" outlineLevel="0" max="2" min="2" style="347" width="14.66"/>
    <col collapsed="false" customWidth="true" hidden="false" outlineLevel="0" max="3" min="3" style="181" width="13.66"/>
    <col collapsed="false" customWidth="true" hidden="false" outlineLevel="0" max="4" min="4" style="348" width="13.66"/>
    <col collapsed="false" customWidth="true" hidden="false" outlineLevel="0" max="5" min="5" style="349" width="13.66"/>
    <col collapsed="false" customWidth="true" hidden="false" outlineLevel="0" max="6" min="6" style="181" width="13.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45257</v>
      </c>
      <c r="B5" s="359" t="n">
        <v>45257</v>
      </c>
      <c r="C5" s="360"/>
      <c r="D5" s="361"/>
      <c r="E5" s="362"/>
      <c r="F5" s="363"/>
    </row>
    <row r="6" customFormat="false" ht="12.75" hidden="false" customHeight="false" outlineLevel="0" collapsed="false">
      <c r="A6" s="364" t="n">
        <v>45258</v>
      </c>
      <c r="B6" s="347" t="n">
        <v>45258</v>
      </c>
      <c r="F6" s="365"/>
    </row>
    <row r="7" customFormat="false" ht="12.75" hidden="false" customHeight="false" outlineLevel="0" collapsed="false">
      <c r="A7" s="364" t="n">
        <v>45259</v>
      </c>
      <c r="B7" s="347" t="n">
        <v>45259</v>
      </c>
      <c r="F7" s="365"/>
    </row>
    <row r="8" customFormat="false" ht="12.75" hidden="false" customHeight="false" outlineLevel="0" collapsed="false">
      <c r="A8" s="364" t="n">
        <v>45260</v>
      </c>
      <c r="B8" s="347" t="n">
        <v>45260</v>
      </c>
      <c r="F8" s="365"/>
    </row>
    <row r="9" customFormat="false" ht="12.75" hidden="false" customHeight="false" outlineLevel="0" collapsed="false">
      <c r="A9" s="364" t="n">
        <v>45261</v>
      </c>
      <c r="B9" s="347" t="n">
        <v>45261</v>
      </c>
      <c r="E9" s="349" t="n">
        <v>200</v>
      </c>
      <c r="F9" s="365"/>
    </row>
    <row r="10" customFormat="false" ht="12.75" hidden="false" customHeight="false" outlineLevel="0" collapsed="false">
      <c r="A10" s="364" t="n">
        <v>45262</v>
      </c>
      <c r="B10" s="347" t="n">
        <v>45262</v>
      </c>
      <c r="E10" s="349" t="n">
        <v>200</v>
      </c>
      <c r="F10" s="365"/>
    </row>
    <row r="11" customFormat="false" ht="12.75" hidden="false" customHeight="false" outlineLevel="0" collapsed="false">
      <c r="A11" s="364" t="n">
        <v>45263</v>
      </c>
      <c r="B11" s="347" t="n">
        <v>45263</v>
      </c>
      <c r="E11" s="349" t="n">
        <v>200</v>
      </c>
      <c r="F11" s="365"/>
    </row>
    <row r="12" customFormat="false" ht="12.75" hidden="false" customHeight="false" outlineLevel="0" collapsed="false">
      <c r="A12" s="364" t="n">
        <v>45263</v>
      </c>
      <c r="B12" s="347" t="s">
        <v>241</v>
      </c>
      <c r="F12" s="365"/>
    </row>
    <row r="13" customFormat="false" ht="12.75" hidden="false" customHeight="false" outlineLevel="0" collapsed="false">
      <c r="A13" s="364" t="n">
        <v>45263</v>
      </c>
      <c r="B13" s="347" t="s">
        <v>242</v>
      </c>
      <c r="F13" s="365"/>
    </row>
    <row r="14" customFormat="false" ht="12.75" hidden="false" customHeight="false" outlineLevel="0" collapsed="false">
      <c r="A14" s="366"/>
      <c r="B14" s="367"/>
      <c r="C14" s="368"/>
      <c r="D14" s="369"/>
      <c r="E14" s="370" t="n">
        <f aca="false">SUM(E5:E13)</f>
        <v>600</v>
      </c>
      <c r="F14" s="371" t="n">
        <f aca="false">SUM(F5:F13)</f>
        <v>0</v>
      </c>
    </row>
    <row r="16" customFormat="false" ht="12.75" hidden="false" customHeight="false" outlineLevel="0" collapsed="false">
      <c r="A16" s="358" t="n">
        <v>45264</v>
      </c>
      <c r="B16" s="359" t="n">
        <v>45264</v>
      </c>
      <c r="C16" s="360"/>
      <c r="D16" s="361"/>
      <c r="E16" s="362" t="n">
        <v>200</v>
      </c>
    </row>
    <row r="17" customFormat="false" ht="12.75" hidden="false" customHeight="false" outlineLevel="0" collapsed="false">
      <c r="B17" s="347" t="n">
        <v>45265</v>
      </c>
      <c r="E17" s="349" t="n">
        <v>200</v>
      </c>
      <c r="F17" s="365"/>
    </row>
    <row r="18" customFormat="false" ht="12.75" hidden="false" customHeight="false" outlineLevel="0" collapsed="false">
      <c r="A18" s="364" t="n">
        <v>45266</v>
      </c>
      <c r="B18" s="347" t="n">
        <v>45266</v>
      </c>
      <c r="F18" s="365"/>
    </row>
    <row r="19" customFormat="false" ht="12.75" hidden="false" customHeight="false" outlineLevel="0" collapsed="false">
      <c r="A19" s="364" t="n">
        <v>45267</v>
      </c>
      <c r="B19" s="347" t="n">
        <v>45267</v>
      </c>
      <c r="F19" s="365"/>
    </row>
    <row r="20" customFormat="false" ht="12.75" hidden="false" customHeight="false" outlineLevel="0" collapsed="false">
      <c r="A20" s="364" t="n">
        <v>45268</v>
      </c>
      <c r="B20" s="347" t="n">
        <v>45268</v>
      </c>
      <c r="E20" s="349" t="n">
        <v>200</v>
      </c>
      <c r="F20" s="365"/>
    </row>
    <row r="21" customFormat="false" ht="12.75" hidden="false" customHeight="false" outlineLevel="0" collapsed="false">
      <c r="A21" s="364" t="n">
        <v>45269</v>
      </c>
      <c r="B21" s="347" t="n">
        <v>45269</v>
      </c>
      <c r="E21" s="349" t="n">
        <v>200</v>
      </c>
      <c r="F21" s="365"/>
    </row>
    <row r="22" customFormat="false" ht="12.75" hidden="false" customHeight="false" outlineLevel="0" collapsed="false">
      <c r="A22" s="364" t="n">
        <v>45270</v>
      </c>
      <c r="B22" s="347" t="n">
        <v>45270</v>
      </c>
      <c r="E22" s="349" t="n">
        <v>200</v>
      </c>
      <c r="F22" s="365"/>
    </row>
    <row r="23" customFormat="false" ht="12.75" hidden="false" customHeight="false" outlineLevel="0" collapsed="false">
      <c r="A23" s="364" t="n">
        <v>45270</v>
      </c>
      <c r="B23" s="347" t="s">
        <v>241</v>
      </c>
      <c r="F23" s="365"/>
    </row>
    <row r="24" customFormat="false" ht="12.75" hidden="false" customHeight="false" outlineLevel="0" collapsed="false">
      <c r="A24" s="364" t="n">
        <v>45270</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45271</v>
      </c>
      <c r="B27" s="359" t="n">
        <v>45271</v>
      </c>
      <c r="C27" s="360"/>
      <c r="D27" s="361"/>
      <c r="E27" s="362" t="n">
        <v>200</v>
      </c>
    </row>
    <row r="28" customFormat="false" ht="12.75" hidden="false" customHeight="false" outlineLevel="0" collapsed="false">
      <c r="B28" s="347" t="n">
        <v>45272</v>
      </c>
      <c r="E28" s="349" t="n">
        <v>200</v>
      </c>
      <c r="F28" s="365"/>
    </row>
    <row r="29" customFormat="false" ht="12.75" hidden="false" customHeight="false" outlineLevel="0" collapsed="false">
      <c r="A29" s="364" t="n">
        <v>45273</v>
      </c>
      <c r="B29" s="347" t="n">
        <v>45273</v>
      </c>
      <c r="F29" s="365"/>
    </row>
    <row r="30" customFormat="false" ht="12.75" hidden="false" customHeight="false" outlineLevel="0" collapsed="false">
      <c r="A30" s="364" t="n">
        <v>45274</v>
      </c>
      <c r="B30" s="347" t="n">
        <v>45274</v>
      </c>
      <c r="F30" s="365"/>
    </row>
    <row r="31" customFormat="false" ht="12.75" hidden="false" customHeight="false" outlineLevel="0" collapsed="false">
      <c r="A31" s="364" t="n">
        <v>45275</v>
      </c>
      <c r="B31" s="347" t="n">
        <v>45275</v>
      </c>
      <c r="E31" s="349" t="n">
        <v>200</v>
      </c>
      <c r="F31" s="365"/>
    </row>
    <row r="32" customFormat="false" ht="12.75" hidden="false" customHeight="false" outlineLevel="0" collapsed="false">
      <c r="A32" s="364" t="n">
        <v>45276</v>
      </c>
      <c r="B32" s="347" t="n">
        <v>45276</v>
      </c>
      <c r="E32" s="349" t="n">
        <v>200</v>
      </c>
      <c r="F32" s="365"/>
    </row>
    <row r="33" customFormat="false" ht="12.75" hidden="false" customHeight="false" outlineLevel="0" collapsed="false">
      <c r="A33" s="364" t="n">
        <v>45277</v>
      </c>
      <c r="B33" s="347" t="n">
        <v>45277</v>
      </c>
      <c r="E33" s="349" t="n">
        <v>200</v>
      </c>
      <c r="F33" s="365"/>
    </row>
    <row r="34" customFormat="false" ht="12.75" hidden="false" customHeight="false" outlineLevel="0" collapsed="false">
      <c r="A34" s="364" t="n">
        <v>45277</v>
      </c>
      <c r="B34" s="347" t="s">
        <v>241</v>
      </c>
      <c r="F34" s="365"/>
    </row>
    <row r="35" customFormat="false" ht="12.75" hidden="false" customHeight="false" outlineLevel="0" collapsed="false">
      <c r="A35" s="364" t="n">
        <v>45277</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45278</v>
      </c>
      <c r="B38" s="359" t="n">
        <v>45278</v>
      </c>
      <c r="C38" s="360"/>
      <c r="D38" s="361"/>
      <c r="E38" s="362" t="n">
        <v>200</v>
      </c>
    </row>
    <row r="39" customFormat="false" ht="12.75" hidden="false" customHeight="false" outlineLevel="0" collapsed="false">
      <c r="B39" s="347" t="n">
        <v>45279</v>
      </c>
      <c r="E39" s="349" t="n">
        <v>200</v>
      </c>
      <c r="F39" s="365"/>
    </row>
    <row r="40" customFormat="false" ht="12.75" hidden="false" customHeight="false" outlineLevel="0" collapsed="false">
      <c r="A40" s="364" t="n">
        <v>45280</v>
      </c>
      <c r="B40" s="347" t="n">
        <v>45280</v>
      </c>
      <c r="F40" s="365"/>
    </row>
    <row r="41" customFormat="false" ht="12.75" hidden="false" customHeight="false" outlineLevel="0" collapsed="false">
      <c r="A41" s="364" t="n">
        <v>45281</v>
      </c>
      <c r="B41" s="347" t="n">
        <v>45281</v>
      </c>
      <c r="F41" s="365"/>
    </row>
    <row r="42" customFormat="false" ht="12.75" hidden="false" customHeight="false" outlineLevel="0" collapsed="false">
      <c r="A42" s="364" t="n">
        <v>45282</v>
      </c>
      <c r="B42" s="347" t="n">
        <v>45282</v>
      </c>
      <c r="F42" s="365"/>
    </row>
    <row r="43" customFormat="false" ht="12.75" hidden="false" customHeight="false" outlineLevel="0" collapsed="false">
      <c r="A43" s="364" t="n">
        <v>45283</v>
      </c>
      <c r="B43" s="347" t="n">
        <v>45283</v>
      </c>
      <c r="F43" s="365"/>
    </row>
    <row r="44" customFormat="false" ht="12.75" hidden="false" customHeight="false" outlineLevel="0" collapsed="false">
      <c r="A44" s="364" t="n">
        <v>45284</v>
      </c>
      <c r="B44" s="347" t="n">
        <v>45284</v>
      </c>
      <c r="F44" s="365"/>
    </row>
    <row r="45" customFormat="false" ht="12.75" hidden="false" customHeight="false" outlineLevel="0" collapsed="false">
      <c r="A45" s="364" t="n">
        <v>45284</v>
      </c>
      <c r="B45" s="347" t="s">
        <v>241</v>
      </c>
      <c r="F45" s="365"/>
    </row>
    <row r="46" customFormat="false" ht="12.75" hidden="false" customHeight="false" outlineLevel="0" collapsed="false">
      <c r="A46" s="364" t="n">
        <v>45284</v>
      </c>
      <c r="B46" s="347" t="s">
        <v>242</v>
      </c>
      <c r="F46" s="365"/>
    </row>
    <row r="47" customFormat="false" ht="12.75" hidden="false" customHeight="false" outlineLevel="0" collapsed="false">
      <c r="A47" s="366"/>
      <c r="B47" s="367"/>
      <c r="C47" s="368"/>
      <c r="D47" s="369"/>
      <c r="E47" s="370" t="n">
        <f aca="false">SUM(E38:E46)</f>
        <v>400</v>
      </c>
      <c r="F47" s="371" t="n">
        <f aca="false">SUM(F38:F46)</f>
        <v>0</v>
      </c>
    </row>
    <row r="49" customFormat="false" ht="12.75" hidden="false" customHeight="false" outlineLevel="0" collapsed="false">
      <c r="A49" s="358" t="n">
        <v>45285</v>
      </c>
      <c r="B49" s="359" t="n">
        <v>45285</v>
      </c>
      <c r="C49" s="360"/>
      <c r="D49" s="361"/>
      <c r="E49" s="362"/>
      <c r="F49" s="363"/>
    </row>
    <row r="50" customFormat="false" ht="12.75" hidden="false" customHeight="false" outlineLevel="0" collapsed="false">
      <c r="A50" s="364" t="n">
        <v>45286</v>
      </c>
      <c r="B50" s="347" t="n">
        <v>45286</v>
      </c>
      <c r="F50" s="365"/>
    </row>
    <row r="51" customFormat="false" ht="12.75" hidden="false" customHeight="false" outlineLevel="0" collapsed="false">
      <c r="A51" s="364" t="n">
        <v>45287</v>
      </c>
      <c r="B51" s="347" t="n">
        <v>45287</v>
      </c>
      <c r="F51" s="365"/>
    </row>
    <row r="52" customFormat="false" ht="12.75" hidden="false" customHeight="false" outlineLevel="0" collapsed="false">
      <c r="A52" s="364" t="n">
        <v>45288</v>
      </c>
      <c r="B52" s="347" t="n">
        <v>45288</v>
      </c>
      <c r="F52" s="365"/>
    </row>
    <row r="53" customFormat="false" ht="12.75" hidden="false" customHeight="false" outlineLevel="0" collapsed="false">
      <c r="A53" s="364" t="n">
        <v>45289</v>
      </c>
      <c r="B53" s="347" t="n">
        <v>45289</v>
      </c>
      <c r="F53" s="365"/>
    </row>
    <row r="54" customFormat="false" ht="12.75" hidden="false" customHeight="false" outlineLevel="0" collapsed="false">
      <c r="A54" s="364" t="n">
        <v>45290</v>
      </c>
      <c r="B54" s="347" t="n">
        <v>45290</v>
      </c>
      <c r="F54" s="365"/>
    </row>
    <row r="55" customFormat="false" ht="12.75" hidden="false" customHeight="false" outlineLevel="0" collapsed="false">
      <c r="A55" s="364" t="n">
        <v>45291</v>
      </c>
      <c r="B55" s="347" t="n">
        <v>45291</v>
      </c>
      <c r="F55" s="365"/>
    </row>
    <row r="56" customFormat="false" ht="12.75" hidden="false" customHeight="false" outlineLevel="0" collapsed="false">
      <c r="A56" s="364" t="n">
        <v>45291</v>
      </c>
      <c r="B56" s="347" t="s">
        <v>241</v>
      </c>
      <c r="F56" s="365"/>
    </row>
    <row r="57" customFormat="false" ht="12.75" hidden="false" customHeight="false" outlineLevel="0" collapsed="false">
      <c r="A57" s="364" t="n">
        <v>45291</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66"/>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E1+SalesDec!$D$1+PurchasesNov!A1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S1+PurchasesNov!T1</f>
        <v>8000</v>
      </c>
      <c r="U1" s="393" t="n">
        <f aca="false">SUM(U4:U199)</f>
        <v>0</v>
      </c>
    </row>
    <row r="2" s="181" customFormat="true" ht="13.5" hidden="false" customHeight="true" outlineLevel="0" collapsed="false">
      <c r="A2" s="395" t="n">
        <f aca="false">U1+PurchasesNov!A2</f>
        <v>0</v>
      </c>
      <c r="B2" s="240" t="s">
        <v>244</v>
      </c>
      <c r="C2" s="380" t="s">
        <v>245</v>
      </c>
      <c r="D2" s="380" t="s">
        <v>246</v>
      </c>
      <c r="E2" s="380" t="s">
        <v>247</v>
      </c>
      <c r="F2" s="207" t="s">
        <v>248</v>
      </c>
      <c r="G2" s="381" t="s">
        <v>249</v>
      </c>
      <c r="H2" s="381"/>
      <c r="I2" s="382" t="n">
        <f aca="false">G1+H1+I1+J1+PurchasesNov!I2</f>
        <v>4080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IF((E1&lt;&gt;0),Admin!$B$13,"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IF((A1&lt;Admin!$F$22),((A1-PurchasesNov!A1)*Admin!$G$21),(A1*Admin!$G$21-(A1-Admin!$F$21)*(Admin!$G$21-Admin!$G$22)-PurchasesNov!A2))</f>
        <v>0</v>
      </c>
    </row>
    <row r="5" s="373" customFormat="true" ht="12.75" hidden="false" customHeight="false" outlineLevel="0" collapsed="false">
      <c r="A5" s="372" t="n">
        <v>46006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45292</v>
      </c>
      <c r="B5" s="359" t="n">
        <v>45292</v>
      </c>
      <c r="C5" s="360"/>
      <c r="D5" s="361"/>
      <c r="E5" s="362"/>
      <c r="F5" s="363"/>
    </row>
    <row r="6" customFormat="false" ht="12.75" hidden="false" customHeight="false" outlineLevel="0" collapsed="false">
      <c r="A6" s="364" t="n">
        <v>45293</v>
      </c>
      <c r="B6" s="347" t="n">
        <v>45293</v>
      </c>
      <c r="F6" s="365"/>
    </row>
    <row r="7" customFormat="false" ht="12.75" hidden="false" customHeight="false" outlineLevel="0" collapsed="false">
      <c r="A7" s="364" t="n">
        <v>45294</v>
      </c>
      <c r="B7" s="347" t="n">
        <v>45294</v>
      </c>
      <c r="F7" s="365"/>
    </row>
    <row r="8" customFormat="false" ht="12.75" hidden="false" customHeight="false" outlineLevel="0" collapsed="false">
      <c r="A8" s="364" t="n">
        <v>45295</v>
      </c>
      <c r="B8" s="347" t="n">
        <v>45295</v>
      </c>
      <c r="F8" s="365"/>
    </row>
    <row r="9" customFormat="false" ht="12.75" hidden="false" customHeight="false" outlineLevel="0" collapsed="false">
      <c r="A9" s="364" t="n">
        <v>45296</v>
      </c>
      <c r="B9" s="347" t="n">
        <v>45296</v>
      </c>
      <c r="E9" s="349" t="n">
        <v>200</v>
      </c>
      <c r="F9" s="365"/>
    </row>
    <row r="10" customFormat="false" ht="12.75" hidden="false" customHeight="false" outlineLevel="0" collapsed="false">
      <c r="A10" s="364" t="n">
        <v>45297</v>
      </c>
      <c r="B10" s="347" t="n">
        <v>45297</v>
      </c>
      <c r="E10" s="349" t="n">
        <v>200</v>
      </c>
      <c r="F10" s="365"/>
    </row>
    <row r="11" customFormat="false" ht="12.75" hidden="false" customHeight="false" outlineLevel="0" collapsed="false">
      <c r="A11" s="364" t="n">
        <v>45298</v>
      </c>
      <c r="B11" s="347" t="n">
        <v>45298</v>
      </c>
      <c r="E11" s="349" t="n">
        <v>200</v>
      </c>
      <c r="F11" s="365"/>
    </row>
    <row r="12" customFormat="false" ht="12.75" hidden="false" customHeight="false" outlineLevel="0" collapsed="false">
      <c r="A12" s="364" t="n">
        <v>45298</v>
      </c>
      <c r="B12" s="347" t="s">
        <v>241</v>
      </c>
      <c r="F12" s="365"/>
    </row>
    <row r="13" customFormat="false" ht="12.75" hidden="false" customHeight="false" outlineLevel="0" collapsed="false">
      <c r="A13" s="364" t="n">
        <v>45298</v>
      </c>
      <c r="B13" s="347" t="s">
        <v>242</v>
      </c>
      <c r="F13" s="365"/>
    </row>
    <row r="14" customFormat="false" ht="12.75" hidden="false" customHeight="false" outlineLevel="0" collapsed="false">
      <c r="A14" s="366"/>
      <c r="B14" s="367"/>
      <c r="C14" s="368"/>
      <c r="D14" s="369"/>
      <c r="E14" s="370" t="n">
        <f aca="false">SUM(E5:E13)</f>
        <v>600</v>
      </c>
      <c r="F14" s="371" t="n">
        <f aca="false">SUM(F5:F13)</f>
        <v>0</v>
      </c>
    </row>
    <row r="16" customFormat="false" ht="12.75" hidden="false" customHeight="false" outlineLevel="0" collapsed="false">
      <c r="A16" s="358" t="n">
        <v>45299</v>
      </c>
      <c r="B16" s="359" t="n">
        <v>45299</v>
      </c>
      <c r="C16" s="360"/>
      <c r="D16" s="361"/>
      <c r="E16" s="362" t="n">
        <v>200</v>
      </c>
    </row>
    <row r="17" customFormat="false" ht="12.75" hidden="false" customHeight="false" outlineLevel="0" collapsed="false">
      <c r="B17" s="347" t="n">
        <v>45300</v>
      </c>
      <c r="E17" s="349" t="n">
        <v>200</v>
      </c>
      <c r="F17" s="365"/>
    </row>
    <row r="18" customFormat="false" ht="12.75" hidden="false" customHeight="false" outlineLevel="0" collapsed="false">
      <c r="A18" s="364" t="n">
        <v>45301</v>
      </c>
      <c r="B18" s="347" t="n">
        <v>45301</v>
      </c>
      <c r="F18" s="365"/>
    </row>
    <row r="19" customFormat="false" ht="12.75" hidden="false" customHeight="false" outlineLevel="0" collapsed="false">
      <c r="A19" s="364" t="n">
        <v>45302</v>
      </c>
      <c r="B19" s="347" t="n">
        <v>45302</v>
      </c>
      <c r="F19" s="365"/>
    </row>
    <row r="20" customFormat="false" ht="12.75" hidden="false" customHeight="false" outlineLevel="0" collapsed="false">
      <c r="A20" s="364" t="n">
        <v>45303</v>
      </c>
      <c r="B20" s="347" t="n">
        <v>45303</v>
      </c>
      <c r="E20" s="349" t="n">
        <v>200</v>
      </c>
      <c r="F20" s="365"/>
    </row>
    <row r="21" customFormat="false" ht="12.75" hidden="false" customHeight="false" outlineLevel="0" collapsed="false">
      <c r="A21" s="364" t="n">
        <v>45304</v>
      </c>
      <c r="B21" s="347" t="n">
        <v>45304</v>
      </c>
      <c r="E21" s="349" t="n">
        <v>200</v>
      </c>
      <c r="F21" s="365"/>
    </row>
    <row r="22" customFormat="false" ht="12.75" hidden="false" customHeight="false" outlineLevel="0" collapsed="false">
      <c r="A22" s="364" t="n">
        <v>45305</v>
      </c>
      <c r="B22" s="347" t="n">
        <v>45305</v>
      </c>
      <c r="E22" s="349" t="n">
        <v>200</v>
      </c>
      <c r="F22" s="365"/>
    </row>
    <row r="23" customFormat="false" ht="12.75" hidden="false" customHeight="false" outlineLevel="0" collapsed="false">
      <c r="A23" s="364" t="n">
        <v>45305</v>
      </c>
      <c r="B23" s="347" t="s">
        <v>241</v>
      </c>
      <c r="F23" s="365"/>
    </row>
    <row r="24" customFormat="false" ht="12.75" hidden="false" customHeight="false" outlineLevel="0" collapsed="false">
      <c r="A24" s="364" t="n">
        <v>45305</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45306</v>
      </c>
      <c r="B27" s="359" t="n">
        <v>45306</v>
      </c>
      <c r="C27" s="360"/>
      <c r="D27" s="361"/>
      <c r="E27" s="362" t="n">
        <v>200</v>
      </c>
    </row>
    <row r="28" customFormat="false" ht="12.75" hidden="false" customHeight="false" outlineLevel="0" collapsed="false">
      <c r="B28" s="347" t="n">
        <v>45307</v>
      </c>
      <c r="E28" s="349" t="n">
        <v>200</v>
      </c>
      <c r="F28" s="365"/>
    </row>
    <row r="29" customFormat="false" ht="12.75" hidden="false" customHeight="false" outlineLevel="0" collapsed="false">
      <c r="A29" s="364" t="n">
        <v>45308</v>
      </c>
      <c r="B29" s="347" t="n">
        <v>45308</v>
      </c>
      <c r="F29" s="365"/>
    </row>
    <row r="30" customFormat="false" ht="12.75" hidden="false" customHeight="false" outlineLevel="0" collapsed="false">
      <c r="A30" s="364" t="n">
        <v>45309</v>
      </c>
      <c r="B30" s="347" t="n">
        <v>45309</v>
      </c>
      <c r="F30" s="365"/>
    </row>
    <row r="31" customFormat="false" ht="12.75" hidden="false" customHeight="false" outlineLevel="0" collapsed="false">
      <c r="A31" s="364" t="n">
        <v>45310</v>
      </c>
      <c r="B31" s="347" t="n">
        <v>45310</v>
      </c>
      <c r="E31" s="349" t="n">
        <v>200</v>
      </c>
      <c r="F31" s="365"/>
    </row>
    <row r="32" customFormat="false" ht="12.75" hidden="false" customHeight="false" outlineLevel="0" collapsed="false">
      <c r="A32" s="364" t="n">
        <v>45311</v>
      </c>
      <c r="B32" s="347" t="n">
        <v>45311</v>
      </c>
      <c r="E32" s="349" t="n">
        <v>200</v>
      </c>
      <c r="F32" s="365"/>
    </row>
    <row r="33" customFormat="false" ht="12.75" hidden="false" customHeight="false" outlineLevel="0" collapsed="false">
      <c r="A33" s="364" t="n">
        <v>45312</v>
      </c>
      <c r="B33" s="347" t="n">
        <v>45312</v>
      </c>
      <c r="E33" s="349" t="n">
        <v>200</v>
      </c>
      <c r="F33" s="365"/>
    </row>
    <row r="34" customFormat="false" ht="12.75" hidden="false" customHeight="false" outlineLevel="0" collapsed="false">
      <c r="A34" s="364" t="n">
        <v>45312</v>
      </c>
      <c r="B34" s="347" t="s">
        <v>241</v>
      </c>
      <c r="F34" s="365"/>
    </row>
    <row r="35" customFormat="false" ht="12.75" hidden="false" customHeight="false" outlineLevel="0" collapsed="false">
      <c r="A35" s="364" t="n">
        <v>45312</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45313</v>
      </c>
      <c r="B38" s="359" t="n">
        <v>45313</v>
      </c>
      <c r="C38" s="360"/>
      <c r="D38" s="361"/>
      <c r="E38" s="362" t="n">
        <v>200</v>
      </c>
    </row>
    <row r="39" customFormat="false" ht="12.75" hidden="false" customHeight="false" outlineLevel="0" collapsed="false">
      <c r="B39" s="347" t="n">
        <v>45314</v>
      </c>
      <c r="E39" s="349" t="n">
        <v>200</v>
      </c>
      <c r="F39" s="365"/>
    </row>
    <row r="40" customFormat="false" ht="12.75" hidden="false" customHeight="false" outlineLevel="0" collapsed="false">
      <c r="A40" s="364" t="n">
        <v>45315</v>
      </c>
      <c r="B40" s="347" t="n">
        <v>45315</v>
      </c>
      <c r="F40" s="365"/>
    </row>
    <row r="41" customFormat="false" ht="12.75" hidden="false" customHeight="false" outlineLevel="0" collapsed="false">
      <c r="A41" s="364" t="n">
        <v>45316</v>
      </c>
      <c r="B41" s="347" t="n">
        <v>45316</v>
      </c>
      <c r="F41" s="365"/>
    </row>
    <row r="42" customFormat="false" ht="12.75" hidden="false" customHeight="false" outlineLevel="0" collapsed="false">
      <c r="A42" s="364" t="n">
        <v>45317</v>
      </c>
      <c r="B42" s="347" t="n">
        <v>45317</v>
      </c>
      <c r="F42" s="365"/>
    </row>
    <row r="43" customFormat="false" ht="12.75" hidden="false" customHeight="false" outlineLevel="0" collapsed="false">
      <c r="A43" s="364" t="n">
        <v>45318</v>
      </c>
      <c r="B43" s="347" t="n">
        <v>45318</v>
      </c>
      <c r="F43" s="365"/>
    </row>
    <row r="44" customFormat="false" ht="12.75" hidden="false" customHeight="false" outlineLevel="0" collapsed="false">
      <c r="A44" s="364" t="n">
        <v>45319</v>
      </c>
      <c r="B44" s="347" t="n">
        <v>45319</v>
      </c>
      <c r="F44" s="365"/>
    </row>
    <row r="45" customFormat="false" ht="12.75" hidden="false" customHeight="false" outlineLevel="0" collapsed="false">
      <c r="A45" s="364" t="n">
        <v>45319</v>
      </c>
      <c r="B45" s="347" t="s">
        <v>241</v>
      </c>
      <c r="F45" s="365"/>
    </row>
    <row r="46" customFormat="false" ht="12.75" hidden="false" customHeight="false" outlineLevel="0" collapsed="false">
      <c r="A46" s="364" t="n">
        <v>45319</v>
      </c>
      <c r="B46" s="347" t="s">
        <v>242</v>
      </c>
      <c r="F46" s="365"/>
    </row>
    <row r="47" customFormat="false" ht="12.75" hidden="false" customHeight="false" outlineLevel="0" collapsed="false">
      <c r="A47" s="366"/>
      <c r="B47" s="367"/>
      <c r="C47" s="368"/>
      <c r="D47" s="369"/>
      <c r="E47" s="370" t="n">
        <f aca="false">SUM(E38:E46)</f>
        <v>400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E1+SalesJan!$D$1+PurchasesDec!A1</f>
        <v>0</v>
      </c>
      <c r="B1" s="391" t="s">
        <v>243</v>
      </c>
      <c r="C1" s="392" t="s">
        <v>236</v>
      </c>
      <c r="D1" s="377" t="str">
        <f aca="false">IF((F1-SUM(G1:S1)&lt;&gt;0),(F1-SUM(G1:S1))," ")</f>
        <v> </v>
      </c>
      <c r="E1" s="353" t="n">
        <f aca="false">SUM(E5:E199)</f>
        <v>0</v>
      </c>
      <c r="F1" s="352" t="n">
        <f aca="false">SUM(F5:F199)</f>
        <v>920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500</v>
      </c>
      <c r="P1" s="352" t="n">
        <f aca="false">SUM(P5:P199)</f>
        <v>0</v>
      </c>
      <c r="Q1" s="352" t="n">
        <f aca="false">SUM(Q5:Q199)</f>
        <v>0</v>
      </c>
      <c r="R1" s="352" t="n">
        <f aca="false">SUM(R5:R199)</f>
        <v>0</v>
      </c>
      <c r="S1" s="393" t="n">
        <f aca="false">SUM(S5:S199)</f>
        <v>0</v>
      </c>
      <c r="T1" s="394" t="n">
        <f aca="false">S1+PurchasesDec!T1</f>
        <v>8000</v>
      </c>
      <c r="U1" s="393" t="n">
        <f aca="false">SUM(U4:U199)</f>
        <v>0</v>
      </c>
    </row>
    <row r="2" s="181" customFormat="true" ht="13.5" hidden="false" customHeight="true" outlineLevel="0" collapsed="false">
      <c r="A2" s="395" t="n">
        <f aca="false">U1+PurchasesDec!A2</f>
        <v>0</v>
      </c>
      <c r="B2" s="240" t="s">
        <v>244</v>
      </c>
      <c r="C2" s="380" t="s">
        <v>245</v>
      </c>
      <c r="D2" s="380" t="s">
        <v>246</v>
      </c>
      <c r="E2" s="380" t="s">
        <v>247</v>
      </c>
      <c r="F2" s="207" t="s">
        <v>248</v>
      </c>
      <c r="G2" s="381" t="s">
        <v>249</v>
      </c>
      <c r="H2" s="381"/>
      <c r="I2" s="382" t="n">
        <f aca="false">G1+H1+I1+J1+PurchasesDec!I2</f>
        <v>4380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IF((E1&lt;&gt;0),Admin!$B$14,"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IF((A1&lt;Admin!$F$22),((A1-PurchasesDec!A1)*Admin!$G$21),(A1*Admin!$G$21-(A1-Admin!$F$21)*(Admin!$G$21-Admin!$G$22)-PurchasesDec!A2))</f>
        <v>0</v>
      </c>
    </row>
    <row r="5" s="373" customFormat="true" ht="12.75" hidden="false" customHeight="false" outlineLevel="0" collapsed="false">
      <c r="A5" s="372" t="n">
        <v>46037</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46032</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46042</v>
      </c>
      <c r="B7" s="180" t="s">
        <v>287</v>
      </c>
      <c r="D7" s="373" t="s">
        <v>283</v>
      </c>
      <c r="F7" s="374" t="n">
        <v>500</v>
      </c>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n">
        <f aca="false">IF((D7="l"),F7," ")</f>
        <v>500</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45320</v>
      </c>
      <c r="B5" s="359" t="n">
        <v>45320</v>
      </c>
      <c r="C5" s="360"/>
      <c r="D5" s="361"/>
      <c r="E5" s="362"/>
      <c r="F5" s="363"/>
    </row>
    <row r="6" customFormat="false" ht="12.75" hidden="false" customHeight="false" outlineLevel="0" collapsed="false">
      <c r="A6" s="364" t="n">
        <v>45321</v>
      </c>
      <c r="B6" s="347" t="n">
        <v>45321</v>
      </c>
      <c r="F6" s="365"/>
    </row>
    <row r="7" customFormat="false" ht="12.75" hidden="false" customHeight="false" outlineLevel="0" collapsed="false">
      <c r="A7" s="364" t="n">
        <v>45322</v>
      </c>
      <c r="B7" s="347" t="n">
        <v>45322</v>
      </c>
      <c r="F7" s="365"/>
    </row>
    <row r="8" customFormat="false" ht="12.75" hidden="false" customHeight="false" outlineLevel="0" collapsed="false">
      <c r="A8" s="364" t="n">
        <v>45323</v>
      </c>
      <c r="B8" s="347" t="n">
        <v>45323</v>
      </c>
      <c r="F8" s="365"/>
    </row>
    <row r="9" customFormat="false" ht="12.75" hidden="false" customHeight="false" outlineLevel="0" collapsed="false">
      <c r="A9" s="364" t="n">
        <v>45324</v>
      </c>
      <c r="B9" s="347" t="n">
        <v>45324</v>
      </c>
      <c r="E9" s="349" t="n">
        <v>200</v>
      </c>
      <c r="F9" s="365"/>
    </row>
    <row r="10" customFormat="false" ht="12.75" hidden="false" customHeight="false" outlineLevel="0" collapsed="false">
      <c r="A10" s="364" t="n">
        <v>45325</v>
      </c>
      <c r="B10" s="347" t="n">
        <v>45325</v>
      </c>
      <c r="E10" s="349" t="n">
        <v>200</v>
      </c>
      <c r="F10" s="365"/>
    </row>
    <row r="11" customFormat="false" ht="12.75" hidden="false" customHeight="false" outlineLevel="0" collapsed="false">
      <c r="A11" s="364" t="n">
        <v>45326</v>
      </c>
      <c r="B11" s="347" t="n">
        <v>45326</v>
      </c>
      <c r="E11" s="349" t="n">
        <v>200</v>
      </c>
      <c r="F11" s="365"/>
    </row>
    <row r="12" customFormat="false" ht="12.75" hidden="false" customHeight="false" outlineLevel="0" collapsed="false">
      <c r="A12" s="364" t="n">
        <v>45326</v>
      </c>
      <c r="B12" s="347" t="s">
        <v>241</v>
      </c>
      <c r="F12" s="365"/>
    </row>
    <row r="13" customFormat="false" ht="12.75" hidden="false" customHeight="false" outlineLevel="0" collapsed="false">
      <c r="A13" s="364" t="n">
        <v>45326</v>
      </c>
      <c r="B13" s="347" t="s">
        <v>242</v>
      </c>
      <c r="F13" s="365"/>
    </row>
    <row r="14" customFormat="false" ht="12.75" hidden="false" customHeight="false" outlineLevel="0" collapsed="false">
      <c r="A14" s="366"/>
      <c r="B14" s="367"/>
      <c r="C14" s="368"/>
      <c r="D14" s="369"/>
      <c r="E14" s="370" t="n">
        <f aca="false">SUM(E5:E13)</f>
        <v>600</v>
      </c>
      <c r="F14" s="371" t="n">
        <f aca="false">SUM(F5:F13)</f>
        <v>0</v>
      </c>
    </row>
    <row r="16" customFormat="false" ht="12.75" hidden="false" customHeight="false" outlineLevel="0" collapsed="false">
      <c r="A16" s="358" t="n">
        <v>45327</v>
      </c>
      <c r="B16" s="359" t="n">
        <v>45327</v>
      </c>
      <c r="C16" s="360"/>
      <c r="D16" s="361"/>
      <c r="E16" s="362" t="n">
        <v>200</v>
      </c>
    </row>
    <row r="17" customFormat="false" ht="12.75" hidden="false" customHeight="false" outlineLevel="0" collapsed="false">
      <c r="B17" s="347" t="n">
        <v>45328</v>
      </c>
      <c r="E17" s="349" t="n">
        <v>200</v>
      </c>
      <c r="F17" s="365"/>
    </row>
    <row r="18" customFormat="false" ht="12.75" hidden="false" customHeight="false" outlineLevel="0" collapsed="false">
      <c r="A18" s="364" t="n">
        <v>45329</v>
      </c>
      <c r="B18" s="347" t="n">
        <v>45329</v>
      </c>
      <c r="F18" s="365"/>
    </row>
    <row r="19" customFormat="false" ht="12.75" hidden="false" customHeight="false" outlineLevel="0" collapsed="false">
      <c r="A19" s="364" t="n">
        <v>45330</v>
      </c>
      <c r="B19" s="347" t="n">
        <v>45330</v>
      </c>
      <c r="F19" s="365"/>
    </row>
    <row r="20" customFormat="false" ht="12.75" hidden="false" customHeight="false" outlineLevel="0" collapsed="false">
      <c r="A20" s="364" t="n">
        <v>45331</v>
      </c>
      <c r="B20" s="347" t="n">
        <v>45331</v>
      </c>
      <c r="E20" s="349" t="n">
        <v>200</v>
      </c>
      <c r="F20" s="365"/>
    </row>
    <row r="21" customFormat="false" ht="12.75" hidden="false" customHeight="false" outlineLevel="0" collapsed="false">
      <c r="A21" s="364" t="n">
        <v>45332</v>
      </c>
      <c r="B21" s="347" t="n">
        <v>45332</v>
      </c>
      <c r="E21" s="349" t="n">
        <v>200</v>
      </c>
      <c r="F21" s="365"/>
    </row>
    <row r="22" customFormat="false" ht="12.75" hidden="false" customHeight="false" outlineLevel="0" collapsed="false">
      <c r="A22" s="364" t="n">
        <v>45333</v>
      </c>
      <c r="B22" s="347" t="n">
        <v>45333</v>
      </c>
      <c r="E22" s="349" t="n">
        <v>200</v>
      </c>
      <c r="F22" s="365"/>
    </row>
    <row r="23" customFormat="false" ht="12.75" hidden="false" customHeight="false" outlineLevel="0" collapsed="false">
      <c r="A23" s="364" t="n">
        <v>45333</v>
      </c>
      <c r="B23" s="347" t="s">
        <v>241</v>
      </c>
      <c r="F23" s="365"/>
    </row>
    <row r="24" customFormat="false" ht="12.75" hidden="false" customHeight="false" outlineLevel="0" collapsed="false">
      <c r="A24" s="364" t="n">
        <v>45333</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45334</v>
      </c>
      <c r="B27" s="359" t="n">
        <v>45334</v>
      </c>
      <c r="C27" s="360"/>
      <c r="D27" s="361"/>
      <c r="E27" s="362" t="n">
        <v>200</v>
      </c>
    </row>
    <row r="28" customFormat="false" ht="12.75" hidden="false" customHeight="false" outlineLevel="0" collapsed="false">
      <c r="B28" s="347" t="n">
        <v>45335</v>
      </c>
      <c r="E28" s="349" t="n">
        <v>200</v>
      </c>
      <c r="F28" s="365"/>
    </row>
    <row r="29" customFormat="false" ht="12.75" hidden="false" customHeight="false" outlineLevel="0" collapsed="false">
      <c r="A29" s="364" t="n">
        <v>45336</v>
      </c>
      <c r="B29" s="347" t="n">
        <v>45336</v>
      </c>
      <c r="F29" s="365"/>
    </row>
    <row r="30" customFormat="false" ht="12.75" hidden="false" customHeight="false" outlineLevel="0" collapsed="false">
      <c r="A30" s="364" t="n">
        <v>45337</v>
      </c>
      <c r="B30" s="347" t="n">
        <v>45337</v>
      </c>
      <c r="F30" s="365"/>
    </row>
    <row r="31" customFormat="false" ht="12.75" hidden="false" customHeight="false" outlineLevel="0" collapsed="false">
      <c r="A31" s="364" t="n">
        <v>45338</v>
      </c>
      <c r="B31" s="347" t="n">
        <v>45338</v>
      </c>
      <c r="E31" s="349" t="n">
        <v>200</v>
      </c>
      <c r="F31" s="365"/>
    </row>
    <row r="32" customFormat="false" ht="12.75" hidden="false" customHeight="false" outlineLevel="0" collapsed="false">
      <c r="A32" s="364" t="n">
        <v>45339</v>
      </c>
      <c r="B32" s="347" t="n">
        <v>45339</v>
      </c>
      <c r="E32" s="349" t="n">
        <v>200</v>
      </c>
      <c r="F32" s="365"/>
    </row>
    <row r="33" customFormat="false" ht="12.75" hidden="false" customHeight="false" outlineLevel="0" collapsed="false">
      <c r="A33" s="364" t="n">
        <v>45340</v>
      </c>
      <c r="B33" s="347" t="n">
        <v>45340</v>
      </c>
      <c r="E33" s="349" t="n">
        <v>200</v>
      </c>
      <c r="F33" s="365"/>
    </row>
    <row r="34" customFormat="false" ht="12.75" hidden="false" customHeight="false" outlineLevel="0" collapsed="false">
      <c r="A34" s="364" t="n">
        <v>45340</v>
      </c>
      <c r="B34" s="347" t="s">
        <v>241</v>
      </c>
      <c r="F34" s="365"/>
    </row>
    <row r="35" customFormat="false" ht="12.75" hidden="false" customHeight="false" outlineLevel="0" collapsed="false">
      <c r="A35" s="364" t="n">
        <v>45340</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45341</v>
      </c>
      <c r="B38" s="359" t="n">
        <v>45341</v>
      </c>
      <c r="C38" s="360"/>
      <c r="D38" s="361"/>
      <c r="E38" s="362" t="n">
        <v>200</v>
      </c>
    </row>
    <row r="39" customFormat="false" ht="12.75" hidden="false" customHeight="false" outlineLevel="0" collapsed="false">
      <c r="B39" s="347" t="n">
        <v>45342</v>
      </c>
      <c r="E39" s="349" t="n">
        <v>200</v>
      </c>
      <c r="F39" s="365"/>
    </row>
    <row r="40" customFormat="false" ht="12.75" hidden="false" customHeight="false" outlineLevel="0" collapsed="false">
      <c r="A40" s="364" t="n">
        <v>45343</v>
      </c>
      <c r="B40" s="347" t="n">
        <v>45343</v>
      </c>
      <c r="F40" s="365"/>
    </row>
    <row r="41" customFormat="false" ht="12.75" hidden="false" customHeight="false" outlineLevel="0" collapsed="false">
      <c r="A41" s="364" t="n">
        <v>45344</v>
      </c>
      <c r="B41" s="347" t="n">
        <v>45344</v>
      </c>
      <c r="F41" s="365"/>
    </row>
    <row r="42" customFormat="false" ht="12.75" hidden="false" customHeight="false" outlineLevel="0" collapsed="false">
      <c r="A42" s="364" t="n">
        <v>45345</v>
      </c>
      <c r="B42" s="347" t="n">
        <v>45345</v>
      </c>
      <c r="F42" s="365"/>
    </row>
    <row r="43" customFormat="false" ht="12.75" hidden="false" customHeight="false" outlineLevel="0" collapsed="false">
      <c r="A43" s="364" t="n">
        <v>45346</v>
      </c>
      <c r="B43" s="347" t="n">
        <v>45346</v>
      </c>
      <c r="F43" s="365"/>
    </row>
    <row r="44" customFormat="false" ht="12.75" hidden="false" customHeight="false" outlineLevel="0" collapsed="false">
      <c r="A44" s="364" t="n">
        <v>45347</v>
      </c>
      <c r="B44" s="347" t="n">
        <v>45347</v>
      </c>
      <c r="F44" s="365"/>
    </row>
    <row r="45" customFormat="false" ht="12.75" hidden="false" customHeight="false" outlineLevel="0" collapsed="false">
      <c r="A45" s="364" t="n">
        <v>45347</v>
      </c>
      <c r="B45" s="347" t="s">
        <v>241</v>
      </c>
      <c r="F45" s="365"/>
    </row>
    <row r="46" customFormat="false" ht="12.75" hidden="false" customHeight="false" outlineLevel="0" collapsed="false">
      <c r="A46" s="364" t="n">
        <v>45347</v>
      </c>
      <c r="B46" s="347" t="s">
        <v>242</v>
      </c>
      <c r="F46" s="365"/>
    </row>
    <row r="47" customFormat="false" ht="12.75" hidden="false" customHeight="false" outlineLevel="0" collapsed="false">
      <c r="A47" s="366"/>
      <c r="B47" s="367"/>
      <c r="C47" s="368"/>
      <c r="D47" s="369"/>
      <c r="E47" s="370" t="n">
        <f aca="false">SUM(E38:E46)</f>
        <v>400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15"/>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E1+SalesFeb!$D$1+PurchasesJan!A1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S1+PurchasesJan!T1</f>
        <v>8000</v>
      </c>
      <c r="U1" s="393" t="n">
        <f aca="false">SUM(U4:U199)</f>
        <v>0</v>
      </c>
    </row>
    <row r="2" s="181" customFormat="true" ht="13.5" hidden="false" customHeight="true" outlineLevel="0" collapsed="false">
      <c r="A2" s="395" t="n">
        <f aca="false">U1+PurchasesJan!A2</f>
        <v>0</v>
      </c>
      <c r="B2" s="240" t="s">
        <v>244</v>
      </c>
      <c r="C2" s="380" t="s">
        <v>245</v>
      </c>
      <c r="D2" s="380" t="s">
        <v>246</v>
      </c>
      <c r="E2" s="380" t="s">
        <v>247</v>
      </c>
      <c r="F2" s="207" t="s">
        <v>248</v>
      </c>
      <c r="G2" s="381" t="s">
        <v>249</v>
      </c>
      <c r="H2" s="381"/>
      <c r="I2" s="382" t="n">
        <f aca="false">G1+H1+I1+J1+PurchasesJan!I2</f>
        <v>4680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IF((A1&lt;Admin!$F$22),((A1-PurchasesJan!A1)*Admin!$G$21),(A1*Admin!$G$21-(A1-Admin!$F$21)*(Admin!$G$21-Admin!$G$22)-PurchasesJan!A2))</f>
        <v>0</v>
      </c>
    </row>
    <row r="5" s="373" customFormat="true" ht="12.75" hidden="false" customHeight="false" outlineLevel="0" collapsed="false">
      <c r="A5" s="372" t="n">
        <v>46068</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6" min="5" style="181" width="12.66"/>
    <col collapsed="false" customWidth="true" hidden="false" outlineLevel="0" max="7" min="7" style="0" width="8.82"/>
    <col collapsed="false" customWidth="false" hidden="false" outlineLevel="0" max="257" min="8" style="181" width="9.15"/>
  </cols>
  <sheetData>
    <row r="1" s="354" customFormat="true" ht="12.75" hidden="false" customHeight="true" outlineLevel="0" collapsed="false">
      <c r="A1" s="350" t="s">
        <v>234</v>
      </c>
      <c r="B1" s="351" t="s">
        <v>235</v>
      </c>
      <c r="C1" s="352" t="s">
        <v>236</v>
      </c>
      <c r="D1" s="353" t="n">
        <f aca="false">SUM(D4:D67)</f>
        <v>0</v>
      </c>
      <c r="E1" s="352" t="n">
        <f aca="false">SUM(E4:E67)/2</f>
        <v>3000</v>
      </c>
      <c r="F1" s="352" t="n">
        <f aca="false">SUM(F4:F67)/2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45348</v>
      </c>
      <c r="B5" s="359" t="n">
        <v>45348</v>
      </c>
      <c r="C5" s="360"/>
      <c r="D5" s="361"/>
      <c r="E5" s="362"/>
      <c r="F5" s="363"/>
    </row>
    <row r="6" customFormat="false" ht="12.75" hidden="false" customHeight="false" outlineLevel="0" collapsed="false">
      <c r="A6" s="364" t="n">
        <v>45349</v>
      </c>
      <c r="B6" s="347" t="n">
        <v>45349</v>
      </c>
      <c r="F6" s="365"/>
    </row>
    <row r="7" customFormat="false" ht="12.75" hidden="false" customHeight="false" outlineLevel="0" collapsed="false">
      <c r="A7" s="364" t="n">
        <v>45350</v>
      </c>
      <c r="B7" s="347" t="n">
        <v>45350</v>
      </c>
      <c r="F7" s="365"/>
    </row>
    <row r="8" customFormat="false" ht="12.75" hidden="false" customHeight="false" outlineLevel="0" collapsed="false">
      <c r="A8" s="364" t="n">
        <v>45351</v>
      </c>
      <c r="B8" s="347" t="n">
        <v>45351</v>
      </c>
      <c r="F8" s="365"/>
    </row>
    <row r="9" customFormat="false" ht="12.75" hidden="false" customHeight="false" outlineLevel="0" collapsed="false">
      <c r="A9" s="364" t="n">
        <v>45352</v>
      </c>
      <c r="B9" s="347" t="n">
        <v>45352</v>
      </c>
      <c r="E9" s="181" t="n">
        <v>200</v>
      </c>
      <c r="F9" s="365"/>
    </row>
    <row r="10" customFormat="false" ht="12.75" hidden="false" customHeight="false" outlineLevel="0" collapsed="false">
      <c r="A10" s="364" t="n">
        <v>45353</v>
      </c>
      <c r="B10" s="347" t="n">
        <v>45353</v>
      </c>
      <c r="E10" s="181" t="n">
        <v>200</v>
      </c>
      <c r="F10" s="365"/>
    </row>
    <row r="11" customFormat="false" ht="12.75" hidden="false" customHeight="false" outlineLevel="0" collapsed="false">
      <c r="A11" s="364" t="n">
        <v>45354</v>
      </c>
      <c r="B11" s="347" t="n">
        <v>45354</v>
      </c>
      <c r="E11" s="181" t="n">
        <v>200</v>
      </c>
      <c r="F11" s="365"/>
    </row>
    <row r="12" customFormat="false" ht="12.75" hidden="false" customHeight="false" outlineLevel="0" collapsed="false">
      <c r="A12" s="364" t="n">
        <v>45354</v>
      </c>
      <c r="B12" s="347" t="s">
        <v>241</v>
      </c>
      <c r="F12" s="365"/>
    </row>
    <row r="13" customFormat="false" ht="12.75" hidden="false" customHeight="false" outlineLevel="0" collapsed="false">
      <c r="A13" s="364" t="n">
        <v>45354</v>
      </c>
      <c r="B13" s="347" t="s">
        <v>242</v>
      </c>
      <c r="F13" s="365"/>
    </row>
    <row r="14" customFormat="false" ht="12.75" hidden="false" customHeight="false" outlineLevel="0" collapsed="false">
      <c r="A14" s="366"/>
      <c r="B14" s="367"/>
      <c r="C14" s="368"/>
      <c r="D14" s="369"/>
      <c r="E14" s="370" t="n">
        <f aca="false">SUM(E5:E13)</f>
        <v>600</v>
      </c>
      <c r="F14" s="371" t="n">
        <f aca="false">SUM(F5:F13)</f>
        <v>0</v>
      </c>
    </row>
    <row r="16" customFormat="false" ht="12.75" hidden="false" customHeight="false" outlineLevel="0" collapsed="false">
      <c r="A16" s="358" t="n">
        <v>45355</v>
      </c>
      <c r="B16" s="359" t="n">
        <v>45355</v>
      </c>
      <c r="C16" s="360"/>
      <c r="D16" s="361"/>
      <c r="E16" s="362" t="n">
        <v>200</v>
      </c>
    </row>
    <row r="17" customFormat="false" ht="12.75" hidden="false" customHeight="false" outlineLevel="0" collapsed="false">
      <c r="B17" s="347" t="n">
        <v>45356</v>
      </c>
      <c r="E17" s="181" t="n">
        <v>200</v>
      </c>
      <c r="F17" s="365"/>
    </row>
    <row r="18" customFormat="false" ht="12.75" hidden="false" customHeight="false" outlineLevel="0" collapsed="false">
      <c r="A18" s="364" t="n">
        <v>45357</v>
      </c>
      <c r="B18" s="347" t="n">
        <v>45357</v>
      </c>
      <c r="F18" s="365"/>
    </row>
    <row r="19" customFormat="false" ht="12.75" hidden="false" customHeight="false" outlineLevel="0" collapsed="false">
      <c r="A19" s="364" t="n">
        <v>45358</v>
      </c>
      <c r="B19" s="347" t="n">
        <v>45358</v>
      </c>
      <c r="F19" s="365"/>
    </row>
    <row r="20" customFormat="false" ht="12.75" hidden="false" customHeight="false" outlineLevel="0" collapsed="false">
      <c r="A20" s="364" t="n">
        <v>45359</v>
      </c>
      <c r="B20" s="347" t="n">
        <v>45359</v>
      </c>
      <c r="E20" s="181" t="n">
        <v>200</v>
      </c>
      <c r="F20" s="365"/>
    </row>
    <row r="21" customFormat="false" ht="12.75" hidden="false" customHeight="false" outlineLevel="0" collapsed="false">
      <c r="A21" s="364" t="n">
        <v>45360</v>
      </c>
      <c r="B21" s="347" t="n">
        <v>45360</v>
      </c>
      <c r="E21" s="181" t="n">
        <v>200</v>
      </c>
      <c r="F21" s="365"/>
    </row>
    <row r="22" customFormat="false" ht="12.75" hidden="false" customHeight="false" outlineLevel="0" collapsed="false">
      <c r="A22" s="364" t="n">
        <v>45361</v>
      </c>
      <c r="B22" s="347" t="n">
        <v>45361</v>
      </c>
      <c r="E22" s="181" t="n">
        <v>200</v>
      </c>
      <c r="F22" s="365"/>
    </row>
    <row r="23" customFormat="false" ht="12.75" hidden="false" customHeight="false" outlineLevel="0" collapsed="false">
      <c r="A23" s="364" t="n">
        <v>45361</v>
      </c>
      <c r="B23" s="347" t="s">
        <v>241</v>
      </c>
      <c r="F23" s="365"/>
    </row>
    <row r="24" customFormat="false" ht="12.75" hidden="false" customHeight="false" outlineLevel="0" collapsed="false">
      <c r="A24" s="364" t="n">
        <v>45361</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45362</v>
      </c>
      <c r="B27" s="359" t="n">
        <v>45362</v>
      </c>
      <c r="C27" s="360"/>
      <c r="D27" s="361"/>
      <c r="E27" s="362" t="n">
        <v>200</v>
      </c>
    </row>
    <row r="28" customFormat="false" ht="12.75" hidden="false" customHeight="false" outlineLevel="0" collapsed="false">
      <c r="B28" s="347" t="n">
        <v>45363</v>
      </c>
      <c r="E28" s="181" t="n">
        <v>200</v>
      </c>
      <c r="F28" s="365"/>
    </row>
    <row r="29" customFormat="false" ht="12.75" hidden="false" customHeight="false" outlineLevel="0" collapsed="false">
      <c r="A29" s="364" t="n">
        <v>45364</v>
      </c>
      <c r="B29" s="347" t="n">
        <v>45364</v>
      </c>
      <c r="F29" s="365"/>
    </row>
    <row r="30" customFormat="false" ht="12.75" hidden="false" customHeight="false" outlineLevel="0" collapsed="false">
      <c r="A30" s="364" t="n">
        <v>45365</v>
      </c>
      <c r="B30" s="347" t="n">
        <v>45365</v>
      </c>
      <c r="F30" s="365"/>
    </row>
    <row r="31" customFormat="false" ht="12.75" hidden="false" customHeight="false" outlineLevel="0" collapsed="false">
      <c r="A31" s="364" t="n">
        <v>45366</v>
      </c>
      <c r="B31" s="347" t="n">
        <v>45366</v>
      </c>
      <c r="E31" s="181" t="n">
        <v>200</v>
      </c>
      <c r="F31" s="365"/>
    </row>
    <row r="32" customFormat="false" ht="12.75" hidden="false" customHeight="false" outlineLevel="0" collapsed="false">
      <c r="A32" s="364" t="n">
        <v>45367</v>
      </c>
      <c r="B32" s="347" t="n">
        <v>45367</v>
      </c>
      <c r="E32" s="181" t="n">
        <v>200</v>
      </c>
      <c r="F32" s="365"/>
    </row>
    <row r="33" customFormat="false" ht="12.75" hidden="false" customHeight="false" outlineLevel="0" collapsed="false">
      <c r="A33" s="364" t="n">
        <v>45368</v>
      </c>
      <c r="B33" s="347" t="n">
        <v>45368</v>
      </c>
      <c r="E33" s="181" t="n">
        <v>200</v>
      </c>
      <c r="F33" s="365"/>
    </row>
    <row r="34" customFormat="false" ht="12.75" hidden="false" customHeight="false" outlineLevel="0" collapsed="false">
      <c r="A34" s="364" t="n">
        <v>45368</v>
      </c>
      <c r="B34" s="347" t="s">
        <v>241</v>
      </c>
      <c r="F34" s="365"/>
    </row>
    <row r="35" customFormat="false" ht="12.75" hidden="false" customHeight="false" outlineLevel="0" collapsed="false">
      <c r="A35" s="364" t="n">
        <v>45368</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45369</v>
      </c>
      <c r="B38" s="359" t="n">
        <v>45369</v>
      </c>
      <c r="C38" s="360"/>
      <c r="D38" s="361"/>
      <c r="E38" s="362" t="n">
        <v>200</v>
      </c>
    </row>
    <row r="39" customFormat="false" ht="12.75" hidden="false" customHeight="false" outlineLevel="0" collapsed="false">
      <c r="B39" s="347" t="n">
        <v>45370</v>
      </c>
      <c r="E39" s="181" t="n">
        <v>200</v>
      </c>
      <c r="F39" s="365"/>
    </row>
    <row r="40" customFormat="false" ht="12.75" hidden="false" customHeight="false" outlineLevel="0" collapsed="false">
      <c r="A40" s="364" t="n">
        <v>45371</v>
      </c>
      <c r="B40" s="347" t="n">
        <v>45371</v>
      </c>
      <c r="F40" s="365"/>
    </row>
    <row r="41" customFormat="false" ht="12.75" hidden="false" customHeight="false" outlineLevel="0" collapsed="false">
      <c r="A41" s="364" t="n">
        <v>45372</v>
      </c>
      <c r="B41" s="347" t="n">
        <v>45372</v>
      </c>
      <c r="F41" s="365"/>
    </row>
    <row r="42" customFormat="false" ht="12.75" hidden="false" customHeight="false" outlineLevel="0" collapsed="false">
      <c r="A42" s="364" t="n">
        <v>45373</v>
      </c>
      <c r="B42" s="347" t="n">
        <v>45373</v>
      </c>
      <c r="F42" s="365"/>
    </row>
    <row r="43" customFormat="false" ht="12.75" hidden="false" customHeight="false" outlineLevel="0" collapsed="false">
      <c r="A43" s="364" t="n">
        <v>45374</v>
      </c>
      <c r="B43" s="347" t="n">
        <v>45374</v>
      </c>
      <c r="F43" s="365"/>
    </row>
    <row r="44" customFormat="false" ht="12.75" hidden="false" customHeight="false" outlineLevel="0" collapsed="false">
      <c r="A44" s="364" t="n">
        <v>45375</v>
      </c>
      <c r="B44" s="347" t="n">
        <v>45375</v>
      </c>
      <c r="F44" s="365"/>
    </row>
    <row r="45" customFormat="false" ht="12.75" hidden="false" customHeight="false" outlineLevel="0" collapsed="false">
      <c r="A45" s="364" t="n">
        <v>45375</v>
      </c>
      <c r="B45" s="347" t="s">
        <v>241</v>
      </c>
      <c r="F45" s="365"/>
    </row>
    <row r="46" customFormat="false" ht="12.75" hidden="false" customHeight="false" outlineLevel="0" collapsed="false">
      <c r="A46" s="364" t="n">
        <v>45375</v>
      </c>
      <c r="B46" s="347" t="s">
        <v>242</v>
      </c>
      <c r="F46" s="365"/>
    </row>
    <row r="47" customFormat="false" ht="12.75" hidden="false" customHeight="false" outlineLevel="0" collapsed="false">
      <c r="A47" s="366"/>
      <c r="B47" s="367"/>
      <c r="C47" s="368"/>
      <c r="D47" s="369"/>
      <c r="E47" s="370" t="n">
        <f aca="false">SUM(E38:E46)</f>
        <v>400</v>
      </c>
      <c r="F47" s="371" t="n">
        <f aca="false">SUM(F38:F46)</f>
        <v>0</v>
      </c>
    </row>
    <row r="49" customFormat="false" ht="12.75" hidden="false" customHeight="false" outlineLevel="0" collapsed="false">
      <c r="A49" s="358" t="n">
        <v>45376</v>
      </c>
      <c r="B49" s="359" t="n">
        <v>45376</v>
      </c>
      <c r="C49" s="360"/>
      <c r="D49" s="361"/>
      <c r="E49" s="362"/>
      <c r="F49" s="363"/>
    </row>
    <row r="50" customFormat="false" ht="12.75" hidden="false" customHeight="false" outlineLevel="0" collapsed="false">
      <c r="A50" s="364" t="n">
        <v>45377</v>
      </c>
      <c r="B50" s="347" t="n">
        <v>45377</v>
      </c>
      <c r="F50" s="365"/>
    </row>
    <row r="51" customFormat="false" ht="12.75" hidden="false" customHeight="false" outlineLevel="0" collapsed="false">
      <c r="A51" s="364" t="n">
        <v>45378</v>
      </c>
      <c r="B51" s="347" t="n">
        <v>45378</v>
      </c>
      <c r="F51" s="365"/>
    </row>
    <row r="52" customFormat="false" ht="12.75" hidden="false" customHeight="false" outlineLevel="0" collapsed="false">
      <c r="A52" s="364" t="n">
        <v>45379</v>
      </c>
      <c r="B52" s="347" t="n">
        <v>45379</v>
      </c>
      <c r="F52" s="365"/>
    </row>
    <row r="53" customFormat="false" ht="12.75" hidden="false" customHeight="false" outlineLevel="0" collapsed="false">
      <c r="A53" s="364" t="n">
        <v>45380</v>
      </c>
      <c r="B53" s="347" t="n">
        <v>45380</v>
      </c>
      <c r="F53" s="365"/>
    </row>
    <row r="54" customFormat="false" ht="12.75" hidden="false" customHeight="false" outlineLevel="0" collapsed="false">
      <c r="A54" s="364" t="n">
        <v>45381</v>
      </c>
      <c r="B54" s="347" t="n">
        <v>45381</v>
      </c>
      <c r="F54" s="365"/>
    </row>
    <row r="55" customFormat="false" ht="12.75" hidden="false" customHeight="false" outlineLevel="0" collapsed="false">
      <c r="A55" s="364" t="n">
        <v>45382</v>
      </c>
      <c r="B55" s="347" t="n">
        <v>45382</v>
      </c>
      <c r="F55" s="365"/>
    </row>
    <row r="56" customFormat="false" ht="12.75" hidden="false" customHeight="false" outlineLevel="0" collapsed="false">
      <c r="A56" s="364" t="n">
        <v>45382</v>
      </c>
      <c r="B56" s="347" t="s">
        <v>241</v>
      </c>
      <c r="F56" s="365"/>
    </row>
    <row r="57" customFormat="false" ht="12.75" hidden="false" customHeight="false" outlineLevel="0" collapsed="false">
      <c r="A57" s="364" t="n">
        <v>45382</v>
      </c>
      <c r="B57" s="347" t="s">
        <v>242</v>
      </c>
      <c r="F57" s="365"/>
    </row>
    <row r="58" customFormat="false" ht="12.75" hidden="false" customHeight="false" outlineLevel="0" collapsed="false">
      <c r="A58" s="366"/>
      <c r="B58" s="367"/>
      <c r="C58" s="368"/>
      <c r="D58" s="369"/>
      <c r="E58" s="370" t="n">
        <f aca="false">SUM(E49:E57)</f>
        <v>0</v>
      </c>
      <c r="F58" s="371" t="n">
        <f aca="false">SUM(F49:F57)</f>
        <v>0</v>
      </c>
    </row>
    <row r="60" customFormat="false" ht="12.75" hidden="false" customHeight="false" outlineLevel="0" collapsed="false">
      <c r="A60" s="358" t="n">
        <v>45383</v>
      </c>
      <c r="B60" s="359" t="n">
        <v>45383</v>
      </c>
      <c r="C60" s="360"/>
      <c r="D60" s="361"/>
      <c r="E60" s="362"/>
      <c r="F60" s="363"/>
    </row>
    <row r="61" customFormat="false" ht="12.75" hidden="false" customHeight="false" outlineLevel="0" collapsed="false">
      <c r="A61" s="364" t="n">
        <v>45384</v>
      </c>
      <c r="B61" s="347" t="n">
        <v>45384</v>
      </c>
      <c r="F61" s="365"/>
    </row>
    <row r="62" customFormat="false" ht="12.75" hidden="false" customHeight="false" outlineLevel="0" collapsed="false">
      <c r="A62" s="364" t="n">
        <v>45385</v>
      </c>
      <c r="B62" s="347" t="n">
        <v>45385</v>
      </c>
      <c r="F62" s="365"/>
    </row>
    <row r="63" customFormat="false" ht="12.75" hidden="false" customHeight="false" outlineLevel="0" collapsed="false">
      <c r="A63" s="364" t="n">
        <v>45386</v>
      </c>
      <c r="B63" s="347" t="n">
        <v>45386</v>
      </c>
      <c r="F63" s="365"/>
    </row>
    <row r="64" customFormat="false" ht="12.75" hidden="false" customHeight="false" outlineLevel="0" collapsed="false">
      <c r="A64" s="364" t="n">
        <v>45387</v>
      </c>
      <c r="B64" s="347" t="n">
        <v>45387</v>
      </c>
      <c r="F64" s="365"/>
    </row>
    <row r="65" customFormat="false" ht="12.75" hidden="false" customHeight="false" outlineLevel="0" collapsed="false">
      <c r="A65" s="364" t="n">
        <v>45387</v>
      </c>
      <c r="B65" s="347" t="s">
        <v>241</v>
      </c>
      <c r="F65" s="365"/>
    </row>
    <row r="66" customFormat="false" ht="12.75" hidden="false" customHeight="false" outlineLevel="0" collapsed="false">
      <c r="A66" s="364" t="n">
        <v>45387</v>
      </c>
      <c r="B66" s="347" t="s">
        <v>242</v>
      </c>
      <c r="F66" s="365"/>
    </row>
    <row r="67" customFormat="false" ht="12.75" hidden="false" customHeight="false" outlineLevel="0" collapsed="false">
      <c r="A67" s="366"/>
      <c r="B67" s="367"/>
      <c r="C67" s="368"/>
      <c r="D67" s="369"/>
      <c r="E67" s="370" t="n">
        <f aca="false">SUM(E60:E66)</f>
        <v>0</v>
      </c>
      <c r="F67" s="371" t="n">
        <f aca="false">SUM(F60:F66)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7.82"/>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E1+SalesMar!$D$1+PurchasesFeb!A1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S1+PurchasesFeb!T1</f>
        <v>8000</v>
      </c>
      <c r="U1" s="393" t="n">
        <f aca="false">SUM(U4:U199)</f>
        <v>0</v>
      </c>
    </row>
    <row r="2" s="181" customFormat="true" ht="13.5" hidden="false" customHeight="true" outlineLevel="0" collapsed="false">
      <c r="A2" s="395" t="n">
        <f aca="false">U1+PurchasesFeb!A2</f>
        <v>0</v>
      </c>
      <c r="B2" s="240" t="s">
        <v>244</v>
      </c>
      <c r="C2" s="380" t="s">
        <v>245</v>
      </c>
      <c r="D2" s="380" t="s">
        <v>246</v>
      </c>
      <c r="E2" s="380" t="s">
        <v>247</v>
      </c>
      <c r="F2" s="207" t="s">
        <v>248</v>
      </c>
      <c r="G2" s="381" t="s">
        <v>249</v>
      </c>
      <c r="H2" s="381"/>
      <c r="I2" s="382" t="n">
        <f aca="false">G1+H1+I1+J1+PurchasesFeb!I2</f>
        <v>4980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IF((A1&lt;Admin!$F$22),((A1-PurchasesFeb!A1)*Admin!$G$21),(A1*Admin!$G$21-(A1-Admin!$F$21)*(Admin!$G$21-Admin!$G$22)-PurchasesFeb!A2))</f>
        <v>0</v>
      </c>
    </row>
    <row r="5" s="373" customFormat="true" ht="12.75" hidden="false" customHeight="false" outlineLevel="0" collapsed="false">
      <c r="A5" s="372" t="n">
        <v>46096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397" width="10.15"/>
    <col collapsed="false" customWidth="true" hidden="false" outlineLevel="0" max="3" min="3" style="55" width="4.66"/>
    <col collapsed="false" customWidth="true" hidden="false" outlineLevel="0" max="5" min="4" style="55" width="11.15"/>
    <col collapsed="false" customWidth="true" hidden="false" outlineLevel="0" max="6" min="6" style="55" width="10.99"/>
    <col collapsed="false" customWidth="false" hidden="false" outlineLevel="0" max="7" min="7" style="398" width="9.15"/>
    <col collapsed="false" customWidth="true" hidden="false" outlineLevel="0" max="8" min="8" style="55" width="4.66"/>
    <col collapsed="false" customWidth="false" hidden="false" outlineLevel="0" max="12" min="9" style="55" width="9.15"/>
    <col collapsed="false" customWidth="true" hidden="false" outlineLevel="0" max="13" min="13" style="55" width="11.5"/>
    <col collapsed="false" customWidth="false" hidden="false" outlineLevel="0" max="14" min="14" style="55" width="9.15"/>
    <col collapsed="false" customWidth="true" hidden="false" outlineLevel="0" max="15" min="15" style="55" width="5.99"/>
    <col collapsed="false" customWidth="false" hidden="false" outlineLevel="0" max="257" min="16" style="55" width="9.15"/>
  </cols>
  <sheetData>
    <row r="1" customFormat="false" ht="12" hidden="false" customHeight="true" outlineLevel="0" collapsed="false">
      <c r="A1" s="68"/>
      <c r="B1" s="399" t="s">
        <v>288</v>
      </c>
      <c r="C1" s="68"/>
      <c r="D1" s="400"/>
      <c r="E1" s="400"/>
      <c r="F1" s="400"/>
      <c r="G1" s="401"/>
      <c r="H1" s="68"/>
      <c r="I1" s="68"/>
      <c r="J1" s="68"/>
      <c r="K1" s="68"/>
      <c r="L1" s="68"/>
      <c r="M1" s="68"/>
      <c r="N1" s="68"/>
      <c r="O1" s="68"/>
    </row>
    <row r="2" customFormat="false" ht="12" hidden="false" customHeight="true" outlineLevel="0" collapsed="false">
      <c r="A2" s="68"/>
      <c r="B2" s="402" t="n">
        <v>44985</v>
      </c>
      <c r="C2" s="68"/>
      <c r="D2" s="403" t="s">
        <v>289</v>
      </c>
      <c r="E2" s="403"/>
      <c r="F2" s="403"/>
      <c r="G2" s="404" t="str">
        <f aca="false">B23</f>
        <v>2023-24</v>
      </c>
      <c r="H2" s="68"/>
      <c r="I2" s="405" t="s">
        <v>290</v>
      </c>
      <c r="J2" s="405"/>
      <c r="K2" s="406" t="str">
        <f aca="false">G2</f>
        <v>2023-24</v>
      </c>
      <c r="L2" s="68"/>
      <c r="M2" s="68"/>
      <c r="N2" s="68"/>
      <c r="O2" s="68"/>
    </row>
    <row r="3" customFormat="false" ht="12" hidden="false" customHeight="true" outlineLevel="0" collapsed="false">
      <c r="A3" s="68"/>
      <c r="B3" s="402" t="n">
        <v>45016</v>
      </c>
      <c r="C3" s="68"/>
      <c r="D3" s="68"/>
      <c r="E3" s="68"/>
      <c r="F3" s="68"/>
      <c r="G3" s="407"/>
      <c r="H3" s="68"/>
      <c r="I3" s="68"/>
      <c r="J3" s="408"/>
      <c r="K3" s="408"/>
      <c r="L3" s="401"/>
      <c r="M3" s="68"/>
      <c r="N3" s="68"/>
      <c r="O3" s="68"/>
    </row>
    <row r="4" customFormat="false" ht="12" hidden="false" customHeight="true" outlineLevel="0" collapsed="false">
      <c r="A4" s="68"/>
      <c r="B4" s="409" t="n">
        <v>45022</v>
      </c>
      <c r="C4" s="68"/>
      <c r="D4" s="410" t="s">
        <v>68</v>
      </c>
      <c r="E4" s="410"/>
      <c r="F4" s="410"/>
      <c r="G4" s="411" t="n">
        <v>1</v>
      </c>
      <c r="H4" s="68"/>
      <c r="I4" s="410" t="s">
        <v>291</v>
      </c>
      <c r="J4" s="410"/>
      <c r="K4" s="410"/>
      <c r="L4" s="410"/>
      <c r="M4" s="410"/>
      <c r="N4" s="412" t="n">
        <v>12570</v>
      </c>
      <c r="O4" s="407" t="s">
        <v>28</v>
      </c>
    </row>
    <row r="5" customFormat="false" ht="12" hidden="false" customHeight="true" outlineLevel="0" collapsed="false">
      <c r="A5" s="68"/>
      <c r="B5" s="402" t="n">
        <v>45046</v>
      </c>
      <c r="C5" s="68"/>
      <c r="D5" s="410" t="s">
        <v>292</v>
      </c>
      <c r="E5" s="410"/>
      <c r="F5" s="410"/>
      <c r="G5" s="411" t="n">
        <v>0.18</v>
      </c>
      <c r="H5" s="68"/>
      <c r="I5" s="68"/>
      <c r="J5" s="68"/>
      <c r="K5" s="68"/>
      <c r="L5" s="68"/>
      <c r="M5" s="68"/>
      <c r="N5" s="407"/>
      <c r="O5" s="407"/>
    </row>
    <row r="6" customFormat="false" ht="12" hidden="false" customHeight="true" outlineLevel="0" collapsed="false">
      <c r="A6" s="68"/>
      <c r="B6" s="402" t="n">
        <v>45077</v>
      </c>
      <c r="C6" s="68"/>
      <c r="D6" s="68"/>
      <c r="E6" s="68"/>
      <c r="F6" s="68"/>
      <c r="G6" s="407"/>
      <c r="H6" s="68"/>
      <c r="I6" s="410" t="s">
        <v>293</v>
      </c>
      <c r="J6" s="410"/>
      <c r="K6" s="410"/>
      <c r="L6" s="410"/>
      <c r="M6" s="410"/>
      <c r="N6" s="411" t="n">
        <v>0</v>
      </c>
      <c r="O6" s="407" t="s">
        <v>294</v>
      </c>
    </row>
    <row r="7" customFormat="false" ht="12" hidden="false" customHeight="true" outlineLevel="0" collapsed="false">
      <c r="A7" s="68"/>
      <c r="B7" s="402" t="n">
        <v>45107</v>
      </c>
      <c r="C7" s="68"/>
      <c r="D7" s="410" t="s">
        <v>295</v>
      </c>
      <c r="E7" s="410"/>
      <c r="F7" s="410"/>
      <c r="G7" s="407"/>
      <c r="H7" s="68"/>
      <c r="I7" s="410" t="s">
        <v>296</v>
      </c>
      <c r="J7" s="410"/>
      <c r="K7" s="410"/>
      <c r="L7" s="410"/>
      <c r="M7" s="410"/>
      <c r="N7" s="411" t="n">
        <v>0.2</v>
      </c>
      <c r="O7" s="407" t="s">
        <v>294</v>
      </c>
    </row>
    <row r="8" customFormat="false" ht="12" hidden="false" customHeight="true" outlineLevel="0" collapsed="false">
      <c r="A8" s="68"/>
      <c r="B8" s="402" t="n">
        <v>45138</v>
      </c>
      <c r="C8" s="68"/>
      <c r="D8" s="68" t="s">
        <v>297</v>
      </c>
      <c r="E8" s="413" t="n">
        <v>12000</v>
      </c>
      <c r="F8" s="68" t="s">
        <v>298</v>
      </c>
      <c r="G8" s="413" t="n">
        <v>3000</v>
      </c>
      <c r="H8" s="68"/>
      <c r="I8" s="68"/>
      <c r="J8" s="68"/>
      <c r="K8" s="68"/>
      <c r="L8" s="68"/>
      <c r="M8" s="68"/>
      <c r="N8" s="407" t="n">
        <v>0.4</v>
      </c>
      <c r="O8" s="407"/>
    </row>
    <row r="9" customFormat="false" ht="12" hidden="false" customHeight="true" outlineLevel="0" collapsed="false">
      <c r="A9" s="68"/>
      <c r="B9" s="402" t="n">
        <v>45169</v>
      </c>
      <c r="C9" s="68"/>
      <c r="D9" s="68"/>
      <c r="E9" s="407"/>
      <c r="F9" s="68"/>
      <c r="G9" s="407"/>
      <c r="H9" s="68"/>
      <c r="I9" s="410" t="s">
        <v>299</v>
      </c>
      <c r="J9" s="410"/>
      <c r="K9" s="410"/>
      <c r="L9" s="414" t="s">
        <v>300</v>
      </c>
      <c r="M9" s="414" t="s">
        <v>301</v>
      </c>
      <c r="N9" s="415" t="s">
        <v>302</v>
      </c>
      <c r="O9" s="407"/>
    </row>
    <row r="10" customFormat="false" ht="12" hidden="false" customHeight="true" outlineLevel="0" collapsed="false">
      <c r="A10" s="68"/>
      <c r="B10" s="402" t="n">
        <v>45199</v>
      </c>
      <c r="C10" s="68"/>
      <c r="D10" s="68"/>
      <c r="E10" s="407"/>
      <c r="F10" s="68"/>
      <c r="G10" s="407"/>
      <c r="H10" s="68"/>
      <c r="I10" s="68"/>
      <c r="J10" s="68"/>
      <c r="K10" s="68"/>
      <c r="L10" s="68"/>
      <c r="M10" s="68"/>
      <c r="N10" s="407"/>
      <c r="O10" s="407"/>
    </row>
    <row r="11" customFormat="false" ht="12" hidden="false" customHeight="true" outlineLevel="0" collapsed="false">
      <c r="A11" s="68"/>
      <c r="B11" s="402" t="n">
        <v>45230</v>
      </c>
      <c r="C11" s="68"/>
      <c r="D11" s="403" t="s">
        <v>303</v>
      </c>
      <c r="E11" s="403"/>
      <c r="F11" s="403"/>
      <c r="G11" s="407" t="s">
        <v>294</v>
      </c>
      <c r="H11" s="68"/>
      <c r="I11" s="68" t="s">
        <v>304</v>
      </c>
      <c r="J11" s="68"/>
      <c r="K11" s="416" t="n">
        <v>0.2</v>
      </c>
      <c r="L11" s="407" t="n">
        <f aca="false">N11</f>
        <v>0</v>
      </c>
      <c r="M11" s="407" t="n">
        <v>37700</v>
      </c>
      <c r="N11" s="413" t="n">
        <v>0</v>
      </c>
      <c r="O11" s="407"/>
    </row>
    <row r="12" customFormat="false" ht="12" hidden="false" customHeight="true" outlineLevel="0" collapsed="false">
      <c r="A12" s="68"/>
      <c r="B12" s="402" t="n">
        <v>45260</v>
      </c>
      <c r="C12" s="68"/>
      <c r="D12" s="68"/>
      <c r="E12" s="68"/>
      <c r="F12" s="68"/>
      <c r="G12" s="407"/>
      <c r="H12" s="68"/>
      <c r="I12" s="68" t="s">
        <v>305</v>
      </c>
      <c r="J12" s="68"/>
      <c r="K12" s="416" t="n">
        <v>0.4</v>
      </c>
      <c r="L12" s="407" t="n">
        <v>37701</v>
      </c>
      <c r="M12" s="68" t="n">
        <v>37700</v>
      </c>
      <c r="N12" s="413" t="n">
        <v>0</v>
      </c>
      <c r="O12" s="407"/>
    </row>
    <row r="13" customFormat="false" ht="12" hidden="false" customHeight="true" outlineLevel="0" collapsed="false">
      <c r="A13" s="68"/>
      <c r="B13" s="402" t="n">
        <v>45291</v>
      </c>
      <c r="C13" s="68"/>
      <c r="D13" s="410" t="s">
        <v>306</v>
      </c>
      <c r="E13" s="410"/>
      <c r="F13" s="410"/>
      <c r="G13" s="411" t="n">
        <v>0</v>
      </c>
      <c r="H13" s="68"/>
      <c r="I13" s="68"/>
      <c r="J13" s="68"/>
      <c r="K13" s="68"/>
      <c r="L13" s="68" t="n">
        <v>37701</v>
      </c>
      <c r="M13" s="68"/>
      <c r="N13" s="68" t="n">
        <v>37701</v>
      </c>
      <c r="O13" s="68"/>
    </row>
    <row r="14" customFormat="false" ht="12" hidden="false" customHeight="true" outlineLevel="0" collapsed="false">
      <c r="A14" s="68"/>
      <c r="B14" s="402" t="n">
        <v>45322</v>
      </c>
      <c r="C14" s="68"/>
      <c r="D14" s="410" t="s">
        <v>307</v>
      </c>
      <c r="E14" s="410"/>
      <c r="F14" s="410"/>
      <c r="G14" s="411" t="n">
        <v>0.1</v>
      </c>
      <c r="H14" s="68"/>
      <c r="I14" s="403" t="s">
        <v>308</v>
      </c>
      <c r="J14" s="403"/>
      <c r="K14" s="403"/>
      <c r="L14" s="406" t="str">
        <f aca="false">G2</f>
        <v>2023-24</v>
      </c>
      <c r="M14" s="68"/>
      <c r="N14" s="68"/>
      <c r="O14" s="68"/>
    </row>
    <row r="15" customFormat="false" ht="12" hidden="false" customHeight="true" outlineLevel="0" collapsed="false">
      <c r="A15" s="68"/>
      <c r="B15" s="402" t="n">
        <v>45351</v>
      </c>
      <c r="C15" s="68"/>
      <c r="D15" s="410" t="s">
        <v>309</v>
      </c>
      <c r="E15" s="410"/>
      <c r="F15" s="410"/>
      <c r="G15" s="411" t="n">
        <v>0.2</v>
      </c>
      <c r="H15" s="68"/>
      <c r="I15" s="68"/>
      <c r="J15" s="68"/>
      <c r="K15" s="68"/>
      <c r="L15" s="68"/>
      <c r="M15" s="68"/>
      <c r="N15" s="68"/>
      <c r="O15" s="68"/>
    </row>
    <row r="16" customFormat="false" ht="12" hidden="false" customHeight="true" outlineLevel="0" collapsed="false">
      <c r="A16" s="68"/>
      <c r="B16" s="402" t="n">
        <v>45382</v>
      </c>
      <c r="C16" s="68"/>
      <c r="D16" s="410" t="s">
        <v>310</v>
      </c>
      <c r="E16" s="410"/>
      <c r="F16" s="410"/>
      <c r="G16" s="411" t="n">
        <v>0.33</v>
      </c>
      <c r="H16" s="68"/>
      <c r="I16" s="410" t="s">
        <v>311</v>
      </c>
      <c r="J16" s="410"/>
      <c r="K16" s="410"/>
      <c r="L16" s="417" t="n">
        <v>0</v>
      </c>
      <c r="M16" s="68" t="s">
        <v>312</v>
      </c>
      <c r="N16" s="68"/>
      <c r="O16" s="68"/>
    </row>
    <row r="17" customFormat="false" ht="12" hidden="false" customHeight="true" outlineLevel="0" collapsed="false">
      <c r="A17" s="68"/>
      <c r="B17" s="409" t="n">
        <v>45387</v>
      </c>
      <c r="C17" s="68"/>
      <c r="D17" s="410" t="s">
        <v>313</v>
      </c>
      <c r="E17" s="410"/>
      <c r="F17" s="410"/>
      <c r="G17" s="411" t="n">
        <v>0.25</v>
      </c>
      <c r="H17" s="68"/>
      <c r="I17" s="68"/>
      <c r="J17" s="68"/>
      <c r="K17" s="68"/>
      <c r="L17" s="418" t="n">
        <v>3.45</v>
      </c>
      <c r="M17" s="68"/>
      <c r="N17" s="68"/>
      <c r="O17" s="68"/>
    </row>
    <row r="18" customFormat="false" ht="12" hidden="false" customHeight="true" outlineLevel="0" collapsed="false">
      <c r="A18" s="68"/>
      <c r="B18" s="402" t="n">
        <v>45412</v>
      </c>
      <c r="C18" s="68"/>
      <c r="D18" s="68"/>
      <c r="E18" s="68"/>
      <c r="F18" s="68"/>
      <c r="G18" s="407"/>
      <c r="H18" s="68"/>
      <c r="I18" s="68"/>
      <c r="J18" s="68"/>
      <c r="K18" s="68"/>
      <c r="L18" s="68"/>
      <c r="M18" s="68"/>
      <c r="N18" s="68"/>
      <c r="O18" s="68"/>
    </row>
    <row r="19" customFormat="false" ht="12" hidden="false" customHeight="true" outlineLevel="0" collapsed="false">
      <c r="A19" s="68"/>
      <c r="B19" s="402" t="n">
        <v>45443</v>
      </c>
      <c r="C19" s="68"/>
      <c r="D19" s="403" t="s">
        <v>314</v>
      </c>
      <c r="E19" s="403"/>
      <c r="F19" s="407" t="s">
        <v>315</v>
      </c>
      <c r="G19" s="407" t="s">
        <v>316</v>
      </c>
      <c r="H19" s="68"/>
      <c r="I19" s="419" t="s">
        <v>317</v>
      </c>
      <c r="J19" s="419"/>
      <c r="K19" s="419"/>
      <c r="L19" s="68"/>
      <c r="M19" s="420" t="s">
        <v>318</v>
      </c>
      <c r="N19" s="68"/>
      <c r="O19" s="68"/>
    </row>
    <row r="20" customFormat="false" ht="12" hidden="false" customHeight="true" outlineLevel="0" collapsed="false">
      <c r="A20" s="68"/>
      <c r="B20" s="402" t="n">
        <v>45473</v>
      </c>
      <c r="C20" s="68"/>
      <c r="D20" s="401"/>
      <c r="E20" s="401"/>
      <c r="F20" s="407"/>
      <c r="G20" s="407"/>
      <c r="H20" s="68"/>
      <c r="I20" s="419"/>
      <c r="J20" s="419"/>
      <c r="K20" s="419"/>
      <c r="L20" s="421" t="n">
        <v>0.09</v>
      </c>
      <c r="M20" s="420"/>
      <c r="N20" s="413" t="n">
        <v>12570</v>
      </c>
      <c r="O20" s="407" t="s">
        <v>28</v>
      </c>
    </row>
    <row r="21" customFormat="false" ht="12" hidden="false" customHeight="true" outlineLevel="0" collapsed="false">
      <c r="A21" s="68"/>
      <c r="B21" s="402" t="n">
        <v>45688</v>
      </c>
      <c r="C21" s="68"/>
      <c r="D21" s="410" t="s">
        <v>319</v>
      </c>
      <c r="E21" s="410"/>
      <c r="F21" s="413" t="n">
        <v>10000</v>
      </c>
      <c r="G21" s="417" t="n">
        <v>0.45</v>
      </c>
      <c r="H21" s="68"/>
      <c r="I21" s="422"/>
      <c r="J21" s="422"/>
      <c r="K21" s="422"/>
      <c r="L21" s="416"/>
      <c r="M21" s="68"/>
      <c r="N21" s="68"/>
      <c r="O21" s="68"/>
    </row>
    <row r="22" customFormat="false" ht="12" hidden="false" customHeight="true" outlineLevel="0" collapsed="false">
      <c r="A22" s="68"/>
      <c r="B22" s="402" t="n">
        <v>45869</v>
      </c>
      <c r="C22" s="68"/>
      <c r="D22" s="68" t="s">
        <v>320</v>
      </c>
      <c r="E22" s="68"/>
      <c r="F22" s="413" t="n">
        <v>10001</v>
      </c>
      <c r="G22" s="417" t="n">
        <v>0.25</v>
      </c>
      <c r="H22" s="68"/>
      <c r="I22" s="419" t="s">
        <v>321</v>
      </c>
      <c r="J22" s="419"/>
      <c r="K22" s="419"/>
      <c r="L22" s="68"/>
      <c r="M22" s="420" t="s">
        <v>322</v>
      </c>
      <c r="N22" s="68"/>
      <c r="O22" s="68"/>
    </row>
    <row r="23" customFormat="false" ht="12" hidden="false" customHeight="true" outlineLevel="0" collapsed="false">
      <c r="A23" s="68"/>
      <c r="B23" s="409" t="s">
        <v>323</v>
      </c>
      <c r="C23" s="68"/>
      <c r="D23" s="68"/>
      <c r="E23" s="68"/>
      <c r="F23" s="407"/>
      <c r="G23" s="418"/>
      <c r="H23" s="68"/>
      <c r="I23" s="419"/>
      <c r="J23" s="419"/>
      <c r="K23" s="419"/>
      <c r="L23" s="421" t="n">
        <v>0.02</v>
      </c>
      <c r="M23" s="420"/>
      <c r="N23" s="413" t="n">
        <v>50270</v>
      </c>
      <c r="O23" s="407" t="s">
        <v>28</v>
      </c>
    </row>
    <row r="24" customFormat="false" ht="12" hidden="false" customHeight="true" outlineLevel="0" collapsed="false">
      <c r="A24" s="68"/>
      <c r="B24" s="409" t="s">
        <v>324</v>
      </c>
      <c r="C24" s="68"/>
      <c r="D24" s="403" t="s">
        <v>314</v>
      </c>
      <c r="E24" s="403"/>
      <c r="F24" s="68"/>
      <c r="G24" s="68"/>
      <c r="H24" s="68"/>
      <c r="I24" s="68"/>
      <c r="J24" s="68"/>
      <c r="K24" s="68"/>
      <c r="L24" s="68"/>
      <c r="M24" s="68"/>
      <c r="N24" s="68"/>
      <c r="O24" s="68"/>
    </row>
    <row r="25" customFormat="false" ht="12" hidden="false" customHeight="true" outlineLevel="0" collapsed="false">
      <c r="A25" s="68"/>
      <c r="B25" s="68"/>
      <c r="C25" s="68"/>
      <c r="D25" s="68"/>
      <c r="E25" s="68"/>
      <c r="F25" s="68"/>
      <c r="G25" s="68"/>
      <c r="H25" s="68"/>
      <c r="I25" s="68"/>
      <c r="J25" s="68"/>
      <c r="K25" s="68"/>
      <c r="L25" s="68"/>
      <c r="M25" s="68"/>
      <c r="N25" s="68"/>
      <c r="O25" s="68"/>
    </row>
    <row r="26" customFormat="false" ht="12" hidden="false" customHeight="true" outlineLevel="0" collapsed="false">
      <c r="A26" s="68"/>
      <c r="B26" s="423"/>
      <c r="C26" s="68"/>
      <c r="D26" s="410" t="s">
        <v>325</v>
      </c>
      <c r="E26" s="410"/>
      <c r="F26" s="413" t="n">
        <v>85000</v>
      </c>
      <c r="G26" s="68"/>
      <c r="H26" s="68"/>
      <c r="I26" s="68"/>
      <c r="J26" s="68"/>
      <c r="K26" s="68"/>
      <c r="L26" s="68"/>
      <c r="M26" s="68"/>
      <c r="N26" s="68"/>
      <c r="O26" s="68"/>
    </row>
    <row r="27" customFormat="false" ht="12" hidden="false" customHeight="false" outlineLevel="0" collapsed="false">
      <c r="A27" s="68"/>
      <c r="B27" s="423"/>
      <c r="C27" s="68"/>
      <c r="D27" s="68"/>
      <c r="E27" s="68"/>
      <c r="F27" s="68"/>
      <c r="G27" s="407"/>
      <c r="H27" s="68"/>
      <c r="I27" s="68"/>
      <c r="J27" s="68"/>
      <c r="K27" s="68"/>
      <c r="L27" s="68"/>
      <c r="M27" s="68"/>
      <c r="N27" s="68"/>
      <c r="O27" s="68"/>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2008-06-02T20:50:10Z</cp:lastPrinted>
  <dcterms:modified xsi:type="dcterms:W3CDTF">2026-03-31T22:02:53Z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