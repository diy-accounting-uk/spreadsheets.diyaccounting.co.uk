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<sst xmlns="http://schemas.openxmlformats.org/spreadsheetml/2006/main" count="1163" uniqueCount="341">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</sst>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46118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46482</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2028</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46118</v>
      </c>
      <c r="R2" s="60"/>
      <c r="S2" s="60"/>
      <c r="T2" s="60"/>
      <c r="U2" s="61" t="s">
        <v>34</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46118</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46118</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46482</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£90000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2026-27</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46142</v>
      </c>
      <c r="E1" s="129" t="n">
        <f aca="false">Admin!B6</f>
        <v>46173</v>
      </c>
      <c r="F1" s="129" t="n">
        <f aca="false">Admin!B7</f>
        <v>46203</v>
      </c>
      <c r="G1" s="129" t="n">
        <f aca="false">Admin!B8</f>
        <v>46234</v>
      </c>
      <c r="H1" s="129" t="n">
        <f aca="false">Admin!B9</f>
        <v>46265</v>
      </c>
      <c r="I1" s="129" t="n">
        <f aca="false">Admin!B10</f>
        <v>46295</v>
      </c>
      <c r="J1" s="129" t="n">
        <f aca="false">Admin!B11</f>
        <v>46326</v>
      </c>
      <c r="K1" s="129" t="n">
        <f aca="false">Admin!B12</f>
        <v>46356</v>
      </c>
      <c r="L1" s="129" t="n">
        <f aca="false">Admin!B13</f>
        <v>46387</v>
      </c>
      <c r="M1" s="129" t="n">
        <f aca="false">Admin!B14</f>
        <v>46418</v>
      </c>
      <c r="N1" s="129" t="n">
        <f aca="false">Admin!B15</f>
        <v>46446</v>
      </c>
      <c r="O1" s="129" t="n">
        <f aca="false">Admin!B16</f>
        <v>46477</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2026-27</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1038</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25372</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2026-27</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2026-27</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46783</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0.06</v>
      </c>
      <c r="E15" s="197" t="n">
        <f aca="false">IF(E5&gt;Admin!N20,IF(E5&lt;Admin!N$23,(E5-Admin!N20)*D15,(Admin!N$23-Admin!N20)*D15),0)</f>
        <v>1038</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4498</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2027-28</v>
      </c>
      <c r="D25" s="206" t="s">
        <v>178</v>
      </c>
      <c r="E25" s="197" t="n">
        <f aca="false">E18</f>
        <v>4498</v>
      </c>
      <c r="F25" s="173"/>
      <c r="G25" s="148"/>
    </row>
    <row r="26" customFormat="false" ht="12.75" hidden="false" customHeight="false" outlineLevel="0" collapsed="false">
      <c r="A26" s="132"/>
      <c r="B26" s="178" t="s">
        <v>179</v>
      </c>
      <c r="C26" s="178"/>
      <c r="D26" s="207" t="n">
        <f aca="false">Admin!B21</f>
        <v>46783</v>
      </c>
      <c r="E26" s="180" t="n">
        <f aca="false">E25/2</f>
        <v>2249</v>
      </c>
      <c r="F26" s="173"/>
      <c r="G26" s="148"/>
    </row>
    <row r="27" customFormat="false" ht="12.75" hidden="false" customHeight="false" outlineLevel="0" collapsed="false">
      <c r="A27" s="132"/>
      <c r="B27" s="178" t="s">
        <v>179</v>
      </c>
      <c r="C27" s="178"/>
      <c r="D27" s="207" t="n">
        <f aca="false">Admin!B22</f>
        <v>46965</v>
      </c>
      <c r="E27" s="180" t="n">
        <f aca="false">E25/2</f>
        <v>2249</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46118</v>
      </c>
      <c r="J4" s="242" t="n">
        <f aca="false">Admin!G4</f>
        <v>1</v>
      </c>
      <c r="K4" s="238"/>
      <c r="L4" s="243" t="n">
        <f aca="false">Admin!G5</f>
        <v>0.14</v>
      </c>
      <c r="M4" s="241" t="n">
        <f aca="false">Admin!B17</f>
        <v>46482</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46118</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46118</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46118</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46118</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46118</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46142</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46173</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46203</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46234</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46265</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46295</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46326</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46356</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46387</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46418</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46446</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46482</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46142</v>
      </c>
      <c r="C5" s="332" t="str">
        <f aca="false">IF((SalesApr!$H$1&gt;0),SalesApr!$H$1," ")</f>
        <v> </v>
      </c>
      <c r="D5" s="326"/>
      <c r="E5" s="331" t="n">
        <f aca="false">B5</f>
        <v>46142</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46173</v>
      </c>
      <c r="C7" s="330" t="str">
        <f aca="false">IF((SalesMay!$H$1&gt;0),SalesMay!$H$1," ")</f>
        <v> </v>
      </c>
      <c r="D7" s="326"/>
      <c r="E7" s="331" t="n">
        <f aca="false">B7</f>
        <v>46173</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46203</v>
      </c>
      <c r="C9" s="330" t="str">
        <f aca="false">IF((SalesJun!$H$1&gt;0),SalesJun!$H$1," ")</f>
        <v> </v>
      </c>
      <c r="D9" s="326"/>
      <c r="E9" s="331" t="n">
        <f aca="false">B9</f>
        <v>46203</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46234</v>
      </c>
      <c r="C11" s="330" t="str">
        <f aca="false">IF((SalesJul!$H$1&gt;0),SalesJul!$H$1," ")</f>
        <v> </v>
      </c>
      <c r="D11" s="326"/>
      <c r="E11" s="331" t="n">
        <f aca="false">B11</f>
        <v>46234</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46265</v>
      </c>
      <c r="C13" s="330" t="str">
        <f aca="false">IF((SalesAug!$H$1&gt;0),SalesAug!$H$1," ")</f>
        <v> </v>
      </c>
      <c r="D13" s="326"/>
      <c r="E13" s="331" t="n">
        <f aca="false">B13</f>
        <v>46265</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46295</v>
      </c>
      <c r="C15" s="330" t="str">
        <f aca="false">IF((SalesSep!$H$1&gt;0),SalesSep!$H$1," ")</f>
        <v> </v>
      </c>
      <c r="D15" s="326"/>
      <c r="E15" s="331" t="n">
        <f aca="false">B15</f>
        <v>46295</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46326</v>
      </c>
      <c r="C17" s="330" t="str">
        <f aca="false">IF((SalesOct!$H$1&gt;0),SalesOct!$H$1," ")</f>
        <v> </v>
      </c>
      <c r="D17" s="326"/>
      <c r="E17" s="331" t="n">
        <f aca="false">B17</f>
        <v>46326</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46356</v>
      </c>
      <c r="C19" s="330" t="str">
        <f aca="false">IF((SalesNov!$H$1&gt;0),SalesNov!$H$1," ")</f>
        <v> </v>
      </c>
      <c r="D19" s="326"/>
      <c r="E19" s="331" t="n">
        <f aca="false">B19</f>
        <v>46356</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46387</v>
      </c>
      <c r="C21" s="330" t="str">
        <f aca="false">IF((SalesDec!$H$1&gt;0),SalesDec!$H$1," ")</f>
        <v> </v>
      </c>
      <c r="D21" s="326"/>
      <c r="E21" s="331" t="n">
        <f aca="false">B21</f>
        <v>46387</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46418</v>
      </c>
      <c r="C23" s="330" t="str">
        <f aca="false">IF((SalesJan!$H$1&gt;0),SalesJan!$H$1," ")</f>
        <v> </v>
      </c>
      <c r="D23" s="326"/>
      <c r="E23" s="331" t="n">
        <f aca="false">B23</f>
        <v>46418</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46446</v>
      </c>
      <c r="C25" s="330" t="str">
        <f aca="false">IF((SalesFeb!$H$1&gt;0),SalesFeb!$H$1," ")</f>
        <v> </v>
      </c>
      <c r="D25" s="326"/>
      <c r="E25" s="331" t="n">
        <f aca="false">B25</f>
        <v>46446</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46477</v>
      </c>
      <c r="C27" s="330" t="str">
        <f aca="false">IF((SalesMar!$H$1&gt;0),SalesMar!$H$1," ")</f>
        <v> </v>
      </c>
      <c r="D27" s="326"/>
      <c r="E27" s="331" t="n">
        <f aca="false">B27</f>
        <v>46477</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46081</v>
      </c>
      <c r="C2" s="68"/>
      <c r="D2" s="411" t="s">
        <v>304</v>
      </c>
      <c r="E2" s="411"/>
      <c r="F2" s="411"/>
      <c r="G2" s="412" t="str">
        <f aca="false">B23</f>
        <v>2026-27</v>
      </c>
      <c r="H2" s="68"/>
      <c r="I2" s="68"/>
      <c r="J2" s="413" t="s">
        <v>305</v>
      </c>
      <c r="K2" s="413"/>
      <c r="L2" s="414" t="str">
        <f aca="false">G2</f>
        <v>2026-27</v>
      </c>
      <c r="M2" s="68"/>
      <c r="N2" s="68"/>
      <c r="O2" s="68"/>
    </row>
    <row r="3" customFormat="false" ht="12" hidden="false" customHeight="true" outlineLevel="0" collapsed="false">
      <c r="A3" s="68"/>
      <c r="B3" s="410" t="n">
        <v>46112</v>
      </c>
      <c r="C3" s="68"/>
      <c r="D3" s="68"/>
      <c r="E3" s="68"/>
      <c r="F3" s="68"/>
      <c r="G3" s="415"/>
      <c r="H3" s="68"/>
      <c r="I3" s="68"/>
      <c r="J3" s="416"/>
      <c r="K3" s="416"/>
      <c r="L3" s="162"/>
      <c r="M3" s="68"/>
      <c r="N3" s="68"/>
      <c r="O3" s="68"/>
    </row>
    <row r="4" customFormat="false" ht="12" hidden="false" customHeight="true" outlineLevel="0" collapsed="false">
      <c r="A4" s="68"/>
      <c r="B4" s="417" t="n">
        <v>46118</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46142</v>
      </c>
      <c r="C5" s="68"/>
      <c r="D5" s="418" t="s">
        <v>307</v>
      </c>
      <c r="E5" s="418"/>
      <c r="F5" s="418"/>
      <c r="G5" s="419" t="n">
        <v>0.14</v>
      </c>
      <c r="H5" s="68"/>
      <c r="I5" s="68"/>
      <c r="J5" s="68"/>
      <c r="K5" s="68"/>
      <c r="L5" s="68"/>
      <c r="M5" s="68"/>
      <c r="N5" s="415"/>
      <c r="O5" s="415"/>
    </row>
    <row r="6" customFormat="false" ht="12" hidden="false" customHeight="true" outlineLevel="0" collapsed="false">
      <c r="A6" s="68"/>
      <c r="B6" s="410" t="n">
        <v>46173</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46203</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46234</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46265</v>
      </c>
      <c r="C9" s="68"/>
      <c r="D9" s="68"/>
      <c r="E9" s="415"/>
      <c r="F9" s="68"/>
      <c r="G9" s="415"/>
      <c r="H9" s="68"/>
      <c r="I9" s="68"/>
      <c r="J9" s="68"/>
      <c r="K9" s="68"/>
      <c r="L9" s="68"/>
      <c r="M9" s="68"/>
      <c r="N9" s="415"/>
      <c r="O9" s="415"/>
    </row>
    <row r="10" customFormat="false" ht="12" hidden="false" customHeight="true" outlineLevel="0" collapsed="false">
      <c r="A10" s="68"/>
      <c r="B10" s="410" t="n">
        <v>46295</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46326</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46356</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46387</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46418</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46446</v>
      </c>
      <c r="C15" s="68"/>
      <c r="D15" s="418" t="s">
        <v>207</v>
      </c>
      <c r="E15" s="418"/>
      <c r="F15" s="418"/>
      <c r="G15" s="419" t="n">
        <v>0.2</v>
      </c>
      <c r="H15" s="68"/>
      <c r="I15" s="411" t="s">
        <v>323</v>
      </c>
      <c r="J15" s="411"/>
      <c r="K15" s="411"/>
      <c r="L15" s="414" t="str">
        <f aca="false">G2</f>
        <v>2026-27</v>
      </c>
      <c r="M15" s="68"/>
      <c r="N15" s="68"/>
      <c r="O15" s="68"/>
    </row>
    <row r="16" customFormat="false" ht="12" hidden="false" customHeight="true" outlineLevel="0" collapsed="false">
      <c r="A16" s="68"/>
      <c r="B16" s="410" t="n">
        <v>46477</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46482</v>
      </c>
      <c r="C17" s="68"/>
      <c r="D17" s="418" t="s">
        <v>325</v>
      </c>
      <c r="E17" s="418"/>
      <c r="F17" s="418"/>
      <c r="G17" s="419" t="n">
        <v>0.25</v>
      </c>
      <c r="H17" s="68"/>
      <c r="I17" s="418" t="s">
        <v>326</v>
      </c>
      <c r="J17" s="418"/>
      <c r="K17" s="418"/>
      <c r="L17" s="425" t="n">
        <v>0</v>
      </c>
      <c r="M17" s="68" t="s">
        <v>327</v>
      </c>
      <c r="N17" s="68"/>
      <c r="O17" s="68"/>
    </row>
    <row r="18" customFormat="false" ht="12" hidden="false" customHeight="true" outlineLevel="0" collapsed="false">
      <c r="A18" s="68"/>
      <c r="B18" s="410" t="n">
        <v>46507</v>
      </c>
      <c r="C18" s="68"/>
      <c r="D18" s="68"/>
      <c r="E18" s="68"/>
      <c r="F18" s="68"/>
      <c r="G18" s="415"/>
      <c r="H18" s="68"/>
      <c r="I18" s="68"/>
      <c r="J18" s="68"/>
      <c r="K18" s="68"/>
      <c r="L18" s="68"/>
      <c r="M18" s="68"/>
      <c r="N18" s="68"/>
      <c r="O18" s="68"/>
    </row>
    <row r="19" customFormat="false" ht="12" hidden="false" customHeight="true" outlineLevel="0" collapsed="false">
      <c r="A19" s="68"/>
      <c r="B19" s="410" t="n">
        <v>46538</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46568</v>
      </c>
      <c r="C20" s="68"/>
      <c r="D20" s="162"/>
      <c r="E20" s="162"/>
      <c r="F20" s="415"/>
      <c r="G20" s="415"/>
      <c r="H20" s="68"/>
      <c r="I20" s="426"/>
      <c r="J20" s="426"/>
      <c r="K20" s="426"/>
      <c r="L20" s="428" t="n">
        <v>0.06</v>
      </c>
      <c r="M20" s="427"/>
      <c r="N20" s="421" t="n">
        <v>12570</v>
      </c>
      <c r="O20" s="415" t="s">
        <v>26</v>
      </c>
    </row>
    <row r="21" customFormat="false" ht="12" hidden="false" customHeight="true" outlineLevel="0" collapsed="false">
      <c r="A21" s="68"/>
      <c r="B21" s="410" t="n">
        <v>46783</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46965</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90000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