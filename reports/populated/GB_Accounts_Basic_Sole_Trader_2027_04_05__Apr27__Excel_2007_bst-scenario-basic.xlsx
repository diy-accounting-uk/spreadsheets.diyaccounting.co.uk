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<sst xmlns="http://schemas.openxmlformats.org/spreadsheetml/2006/main" count="1163" uniqueCount="341">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</sst>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9"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70"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3"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general" vertical="center" textRotation="0" wrapText="false" indent="0" shrinkToFit="false"/>
      <protection locked="true" hidden="true"/>
    </xf>
    <xf numFmtId="166"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9" fontId="13" fillId="0" borderId="7" xfId="0" applyFont="true" applyBorder="true" applyAlignment="true" applyProtection="true">
      <alignment horizontal="center" vertical="center" textRotation="0" wrapText="false" indent="0" shrinkToFit="false"/>
      <protection locked="true" hidden="true"/>
    </xf>
    <xf numFmtId="166"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70"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7" xfId="0" applyFont="true" applyBorder="true" applyAlignment="true" applyProtection="true">
      <alignment horizontal="center" vertical="center" textRotation="0" wrapText="false" indent="0" shrinkToFit="false"/>
      <protection locked="true" hidden="true"/>
    </xf>
    <xf numFmtId="171" fontId="25" fillId="3" borderId="9"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1"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bottom" textRotation="0" wrapText="fals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6" fillId="3" borderId="19"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3" fontId="27" fillId="3" borderId="19" xfId="0" applyFont="true" applyBorder="true" applyAlignment="true" applyProtection="true">
      <alignment horizontal="center" vertical="bottom" textRotation="0" wrapText="false" indent="0" shrinkToFit="false"/>
      <protection locked="true" hidden="true"/>
    </xf>
    <xf numFmtId="166" fontId="27" fillId="3" borderId="21"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19"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2" xfId="0" applyFont="true" applyBorder="true" applyAlignment="true" applyProtection="true">
      <alignment horizontal="right" vertical="bottom" textRotation="0" wrapText="false" indent="1" shrinkToFit="false"/>
      <protection locked="true" hidden="true"/>
    </xf>
    <xf numFmtId="174" fontId="26" fillId="0" borderId="23" xfId="0" applyFont="true" applyBorder="true" applyAlignment="true" applyProtection="true">
      <alignment horizontal="right" vertical="bottom" textRotation="0" wrapText="false" indent="1" shrinkToFit="false"/>
      <protection locked="true" hidden="true"/>
    </xf>
    <xf numFmtId="174" fontId="26" fillId="3" borderId="24" xfId="0" applyFont="true" applyBorder="true" applyAlignment="true" applyProtection="true">
      <alignment horizontal="right" vertical="bottom" textRotation="0" wrapText="false" indent="1" shrinkToFit="false"/>
      <protection locked="true" hidden="true"/>
    </xf>
    <xf numFmtId="174" fontId="26" fillId="0" borderId="25"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4"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7" fontId="26" fillId="0" borderId="19"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6"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7" fontId="26" fillId="3" borderId="19"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4" fontId="26" fillId="3" borderId="26" xfId="0" applyFont="true" applyBorder="true" applyAlignment="true" applyProtection="true">
      <alignment horizontal="center" vertical="center"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77"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2"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2"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7" fontId="33" fillId="3" borderId="19" xfId="0" applyFont="true" applyBorder="true" applyAlignment="true" applyProtection="false">
      <alignment horizontal="center" vertical="bottom" textRotation="0" wrapText="false" indent="0" shrinkToFit="false"/>
      <protection locked="true" hidden="false"/>
    </xf>
    <xf numFmtId="177" fontId="33" fillId="3" borderId="31" xfId="0" applyFont="true" applyBorder="true" applyAlignment="true" applyProtection="false">
      <alignment horizontal="center" vertical="bottom" textRotation="0" wrapText="false" indent="0" shrinkToFit="false"/>
      <protection locked="true" hidden="false"/>
    </xf>
    <xf numFmtId="179" fontId="34" fillId="3" borderId="31" xfId="0" applyFont="true" applyBorder="true" applyAlignment="true" applyProtection="false">
      <alignment horizontal="center" vertical="center" textRotation="0" wrapText="true" indent="0" shrinkToFit="false"/>
      <protection locked="true" hidden="false"/>
    </xf>
    <xf numFmtId="171" fontId="29" fillId="3" borderId="32" xfId="0" applyFont="true" applyBorder="true" applyAlignment="true" applyProtection="false">
      <alignment horizontal="center" vertical="center" textRotation="0" wrapText="tru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2"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77" fontId="29" fillId="3" borderId="19" xfId="0" applyFont="true" applyBorder="true" applyAlignment="true" applyProtection="false">
      <alignment horizontal="center" vertical="center" textRotation="0" wrapText="true" indent="0" shrinkToFit="false"/>
      <protection locked="true" hidden="false"/>
    </xf>
    <xf numFmtId="177"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2" fontId="34" fillId="3" borderId="19" xfId="0" applyFont="true" applyBorder="true" applyAlignment="true" applyProtection="false">
      <alignment horizontal="center" vertical="center" textRotation="0" wrapText="true" indent="0" shrinkToFit="false"/>
      <protection locked="true" hidden="false"/>
    </xf>
    <xf numFmtId="179" fontId="35" fillId="3" borderId="21" xfId="0" applyFont="true" applyBorder="true" applyAlignment="true" applyProtection="false">
      <alignment horizontal="center" vertical="bottom" textRotation="0" wrapText="true" indent="0" shrinkToFit="false"/>
      <protection locked="true" hidden="false"/>
    </xf>
    <xf numFmtId="179"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8" fontId="35" fillId="3" borderId="29"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77" fontId="29" fillId="0" borderId="19"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6" xfId="0" applyFont="true" applyBorder="true" applyAlignment="true" applyProtection="false">
      <alignment horizontal="left" vertical="bottom" textRotation="0" wrapText="true" indent="7" shrinkToFit="false"/>
      <protection locked="true" hidden="false"/>
    </xf>
    <xf numFmtId="177" fontId="29" fillId="3" borderId="21" xfId="0" applyFont="true" applyBorder="true" applyAlignment="false" applyProtection="false">
      <alignment horizontal="general" vertical="bottom" textRotation="0" wrapText="false" indent="0" shrinkToFit="false"/>
      <protection locked="true" hidden="false"/>
    </xf>
    <xf numFmtId="177" fontId="29" fillId="3" borderId="19"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19"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6"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false" applyProtection="false">
      <alignment horizontal="general" vertical="bottom" textRotation="0" wrapText="false" indent="0" shrinkToFit="false"/>
      <protection locked="true" hidden="false"/>
    </xf>
    <xf numFmtId="166" fontId="33" fillId="3" borderId="27" xfId="0" applyFont="true" applyBorder="true" applyAlignment="true" applyProtection="false">
      <alignment horizontal="right" vertical="center" textRotation="0" wrapText="tru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2"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77" fontId="29" fillId="3" borderId="38" xfId="0" applyFont="true" applyBorder="true" applyAlignment="false" applyProtection="false">
      <alignment horizontal="general" vertical="bottom" textRotation="0" wrapText="false" indent="0" shrinkToFit="false"/>
      <protection locked="true" hidden="false"/>
    </xf>
    <xf numFmtId="179" fontId="29" fillId="3" borderId="38" xfId="0" applyFont="true" applyBorder="true" applyAlignment="true" applyProtection="false">
      <alignment horizontal="center" vertical="bottom" textRotation="0" wrapText="false" indent="0" shrinkToFit="false"/>
      <protection locked="true" hidden="false"/>
    </xf>
    <xf numFmtId="177" fontId="29" fillId="3" borderId="38" xfId="0" applyFont="true" applyBorder="true" applyAlignment="true" applyProtection="false">
      <alignment horizontal="center" vertical="bottom" textRotation="0" wrapText="false" indent="0" shrinkToFit="false"/>
      <protection locked="true" hidden="false"/>
    </xf>
    <xf numFmtId="171"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19"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0" xfId="21" applyFont="true" applyBorder="true" applyAlignment="true" applyProtection="false">
      <alignment horizontal="center" vertical="bottom" textRotation="0" wrapText="false" indent="0" shrinkToFit="false"/>
      <protection locked="true" hidden="false"/>
    </xf>
    <xf numFmtId="172" fontId="10" fillId="3" borderId="41"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6" xfId="21" applyFont="true" applyBorder="true" applyAlignment="false" applyProtection="false">
      <alignment horizontal="general" vertical="bottom" textRotation="0" wrapText="false" indent="0" shrinkToFit="false"/>
      <protection locked="true" hidden="false"/>
    </xf>
    <xf numFmtId="172"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7"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false">
      <alignment horizontal="general" vertical="bottom" textRotation="0" wrapText="false" indent="0" shrinkToFit="false"/>
      <protection locked="true" hidden="false"/>
    </xf>
    <xf numFmtId="167"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6"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19" xfId="21" applyFont="true" applyBorder="true" applyAlignment="true" applyProtection="false">
      <alignment horizontal="center" vertical="center" textRotation="0" wrapText="true" indent="0" shrinkToFit="false"/>
      <protection locked="true" hidden="false"/>
    </xf>
    <xf numFmtId="177" fontId="26" fillId="3" borderId="19"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3" borderId="30"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1" xfId="21" applyFont="true" applyBorder="true" applyAlignment="true" applyProtection="false">
      <alignment horizontal="center" vertical="center" textRotation="0" wrapText="true" indent="0" shrinkToFit="false"/>
      <protection locked="true" hidden="false"/>
    </xf>
    <xf numFmtId="178" fontId="29" fillId="3" borderId="30" xfId="21" applyFont="true" applyBorder="true" applyAlignment="true" applyProtection="false">
      <alignment horizontal="center" vertical="center" textRotation="0" wrapText="true" indent="0" shrinkToFit="false"/>
      <protection locked="true" hidden="false"/>
    </xf>
    <xf numFmtId="174" fontId="26" fillId="3" borderId="19" xfId="21" applyFont="true" applyBorder="true" applyAlignment="true" applyProtection="false">
      <alignment horizontal="center" vertical="center" textRotation="0" wrapText="true" indent="0" shrinkToFit="false"/>
      <protection locked="true" hidden="false"/>
    </xf>
    <xf numFmtId="177" fontId="26" fillId="5" borderId="19" xfId="21" applyFont="true" applyBorder="true" applyAlignment="true" applyProtection="false">
      <alignment horizontal="center" vertical="center" textRotation="0" wrapText="true" indent="0" shrinkToFit="false"/>
      <protection locked="true" hidden="false"/>
    </xf>
    <xf numFmtId="171" fontId="26" fillId="5" borderId="19"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1" fontId="26" fillId="0" borderId="38" xfId="21" applyFont="true" applyBorder="true" applyAlignment="false" applyProtection="false">
      <alignment horizontal="general" vertical="bottom" textRotation="0" wrapText="false" indent="0" shrinkToFit="false"/>
      <protection locked="true" hidden="false"/>
    </xf>
    <xf numFmtId="178" fontId="26" fillId="0" borderId="38" xfId="21" applyFont="true" applyBorder="true" applyAlignment="false" applyProtection="false">
      <alignment horizontal="general" vertical="bottom" textRotation="0" wrapText="false" indent="0" shrinkToFit="false"/>
      <protection locked="true" hidden="false"/>
    </xf>
    <xf numFmtId="174" fontId="26" fillId="0" borderId="38" xfId="21" applyFont="true" applyBorder="true" applyAlignment="true" applyProtection="false">
      <alignment horizontal="center"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1" fontId="28" fillId="0" borderId="38"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center" vertical="center"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true" applyProtection="false">
      <alignment horizontal="center" vertical="bottom" textRotation="0" wrapText="false" indent="0" shrinkToFit="false"/>
      <protection locked="true" hidden="false"/>
    </xf>
    <xf numFmtId="172" fontId="26" fillId="5"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false" applyProtection="false">
      <alignment horizontal="general" vertical="bottom" textRotation="0" wrapText="false" indent="0" shrinkToFit="false"/>
      <protection locked="true" hidden="false"/>
    </xf>
    <xf numFmtId="177" fontId="33" fillId="3" borderId="19" xfId="21" applyFont="true" applyBorder="true" applyAlignment="true" applyProtection="false">
      <alignment horizontal="center" vertical="bottom" textRotation="0" wrapText="false" indent="0" shrinkToFit="false"/>
      <protection locked="true" hidden="false"/>
    </xf>
    <xf numFmtId="177" fontId="33" fillId="3" borderId="30" xfId="21" applyFont="true" applyBorder="true" applyAlignment="true" applyProtection="false">
      <alignment horizontal="center" vertical="bottom" textRotation="0" wrapText="false" indent="0" shrinkToFit="false"/>
      <protection locked="true" hidden="false"/>
    </xf>
    <xf numFmtId="172" fontId="29"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7" fontId="29" fillId="3"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78" fontId="29" fillId="5" borderId="19" xfId="21" applyFont="true" applyBorder="true" applyAlignment="true" applyProtection="false">
      <alignment horizontal="center" vertical="center" textRotation="0" wrapText="true" indent="0" shrinkToFit="false"/>
      <protection locked="true" hidden="false"/>
    </xf>
    <xf numFmtId="166"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7" fontId="26" fillId="3" borderId="19" xfId="21" applyFont="true" applyBorder="true" applyAlignment="true" applyProtection="false">
      <alignment horizontal="right" vertical="bottom" textRotation="0" wrapText="false" indent="0" shrinkToFit="false"/>
      <protection locked="true" hidden="false"/>
    </xf>
    <xf numFmtId="177" fontId="33" fillId="3" borderId="30" xfId="21" applyFont="true" applyBorder="true" applyAlignment="true" applyProtection="false">
      <alignment horizontal="center" vertical="center" textRotation="0" wrapText="true" indent="0" shrinkToFit="false"/>
      <protection locked="true" hidden="false"/>
    </xf>
    <xf numFmtId="177"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6" fontId="26" fillId="0" borderId="38" xfId="21" applyFont="true" applyBorder="true" applyAlignment="true" applyProtection="false">
      <alignment horizontal="center"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7" fontId="26" fillId="0" borderId="38" xfId="21" applyFont="true" applyBorder="true" applyAlignment="true" applyProtection="false">
      <alignment horizontal="right" vertical="bottom" textRotation="0" wrapText="false" indent="0" shrinkToFit="false"/>
      <protection locked="true" hidden="false"/>
    </xf>
    <xf numFmtId="178" fontId="28"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19" xfId="21" applyFont="true" applyBorder="true" applyAlignment="true" applyProtection="false">
      <alignment horizontal="center" vertical="bottom" textRotation="0" wrapText="false" indent="0" shrinkToFit="false"/>
      <protection locked="true" hidden="false"/>
    </xf>
    <xf numFmtId="172" fontId="29" fillId="0" borderId="38"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2"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6" fontId="10"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71"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46482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46118</v>
      </c>
      <c r="R2" s="60"/>
      <c r="S2" s="60"/>
      <c r="T2" s="60"/>
      <c r="U2" s="61" t="s">
        <v>34</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46118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2026-27</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2026-27</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2026-27</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2027-28</v>
      </c>
      <c r="D25" s="206" t="s">
        <v>178</v>
      </c>
      <c r="E25" s="197" t="n">
        <f aca="false">E18</f>
        <v>4498</v>
      </c>
      <c r="F25" s="173"/>
      <c r="G25" s="148"/>
    </row>
    <row r="26" customFormat="false" ht="12.75" hidden="false" customHeight="false" outlineLevel="0" collapsed="false">
      <c r="A26" s="132"/>
      <c r="B26" s="178" t="s">
        <v>179</v>
      </c>
      <c r="C26" s="178"/>
      <c r="D26" s="207" t="n">
        <f aca="false">Admin!B21</f>
        <v>46783</v>
      </c>
      <c r="E26" s="180" t="n">
        <f aca="false">E25/2</f>
        <v>2249</v>
      </c>
      <c r="F26" s="173"/>
      <c r="G26" s="148"/>
    </row>
    <row r="27" customFormat="false" ht="12.75" hidden="false" customHeight="false" outlineLevel="0" collapsed="false">
      <c r="A27" s="132"/>
      <c r="B27" s="178" t="s">
        <v>179</v>
      </c>
      <c r="C27" s="178"/>
      <c r="D27" s="207" t="n">
        <f aca="false">Admin!B22</f>
        <v>46965</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46118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46482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46142</v>
      </c>
      <c r="C5" s="332" t="str">
        <f aca="false">IF((SalesApr!$H$1&gt;0),SalesApr!$H$1," ")</f>
        <v> </v>
      </c>
      <c r="D5" s="326"/>
      <c r="E5" s="331" t="n">
        <f aca="false">B5</f>
        <v>46142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46173</v>
      </c>
      <c r="C7" s="330" t="str">
        <f aca="false">IF((SalesMay!$H$1&gt;0),SalesMay!$H$1," ")</f>
        <v> </v>
      </c>
      <c r="D7" s="326"/>
      <c r="E7" s="331" t="n">
        <f aca="false">B7</f>
        <v>46173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46265</v>
      </c>
      <c r="C13" s="330" t="str">
        <f aca="false">IF((SalesAug!$H$1&gt;0),SalesAug!$H$1," ")</f>
        <v> </v>
      </c>
      <c r="D13" s="326"/>
      <c r="E13" s="331" t="n">
        <f aca="false">B13</f>
        <v>46265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46295</v>
      </c>
      <c r="C15" s="330" t="str">
        <f aca="false">IF((SalesSep!$H$1&gt;0),SalesSep!$H$1," ")</f>
        <v> </v>
      </c>
      <c r="D15" s="326"/>
      <c r="E15" s="331" t="n">
        <f aca="false">B15</f>
        <v>46295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46081</v>
      </c>
      <c r="C2" s="68"/>
      <c r="D2" s="411" t="s">
        <v>304</v>
      </c>
      <c r="E2" s="411"/>
      <c r="F2" s="411"/>
      <c r="G2" s="412" t="str">
        <f aca="false">B23</f>
        <v>2026-27</v>
      </c>
      <c r="H2" s="68"/>
      <c r="I2" s="68"/>
      <c r="J2" s="413" t="s">
        <v>305</v>
      </c>
      <c r="K2" s="413"/>
      <c r="L2" s="414" t="str">
        <f aca="false">G2</f>
        <v>2026-27</v>
      </c>
      <c r="M2" s="68"/>
      <c r="N2" s="68"/>
      <c r="O2" s="68"/>
    </row>
    <row r="3" customFormat="false" ht="12" hidden="false" customHeight="true" outlineLevel="0" collapsed="false">
      <c r="A3" s="68"/>
      <c r="B3" s="410" t="n">
        <v>46112</v>
      </c>
      <c r="C3" s="68"/>
      <c r="D3" s="68"/>
      <c r="E3" s="68"/>
      <c r="F3" s="68"/>
      <c r="G3" s="415"/>
      <c r="H3" s="68"/>
      <c r="I3" s="68"/>
      <c r="J3" s="416"/>
      <c r="K3" s="416"/>
      <c r="L3" s="162"/>
      <c r="M3" s="68"/>
      <c r="N3" s="68"/>
      <c r="O3" s="68"/>
    </row>
    <row r="4" customFormat="false" ht="12" hidden="false" customHeight="true" outlineLevel="0" collapsed="false">
      <c r="A4" s="68"/>
      <c r="B4" s="417" t="n">
        <v>46118</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46142</v>
      </c>
      <c r="C5" s="68"/>
      <c r="D5" s="418" t="s">
        <v>307</v>
      </c>
      <c r="E5" s="418"/>
      <c r="F5" s="418"/>
      <c r="G5" s="419" t="n">
        <v>0.14</v>
      </c>
      <c r="H5" s="68"/>
      <c r="I5" s="68"/>
      <c r="J5" s="68"/>
      <c r="K5" s="68"/>
      <c r="L5" s="68"/>
      <c r="M5" s="68"/>
      <c r="N5" s="415"/>
      <c r="O5" s="415"/>
    </row>
    <row r="6" customFormat="false" ht="12" hidden="false" customHeight="true" outlineLevel="0" collapsed="false">
      <c r="A6" s="68"/>
      <c r="B6" s="410" t="n">
        <v>46173</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46203</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46234</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46265</v>
      </c>
      <c r="C9" s="68"/>
      <c r="D9" s="68"/>
      <c r="E9" s="415"/>
      <c r="F9" s="68"/>
      <c r="G9" s="415"/>
      <c r="H9" s="68"/>
      <c r="I9" s="68"/>
      <c r="J9" s="68"/>
      <c r="K9" s="68"/>
      <c r="L9" s="68"/>
      <c r="M9" s="68"/>
      <c r="N9" s="415"/>
      <c r="O9" s="415"/>
    </row>
    <row r="10" customFormat="false" ht="12" hidden="false" customHeight="true" outlineLevel="0" collapsed="false">
      <c r="A10" s="68"/>
      <c r="B10" s="410" t="n">
        <v>46295</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46326</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46356</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46387</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46418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46446</v>
      </c>
      <c r="C15" s="68"/>
      <c r="D15" s="418" t="s">
        <v>207</v>
      </c>
      <c r="E15" s="418"/>
      <c r="F15" s="418"/>
      <c r="G15" s="419" t="n">
        <v>0.2</v>
      </c>
      <c r="H15" s="68"/>
      <c r="I15" s="411" t="s">
        <v>323</v>
      </c>
      <c r="J15" s="411"/>
      <c r="K15" s="411"/>
      <c r="L15" s="414" t="str">
        <f aca="false">G2</f>
        <v>2026-27</v>
      </c>
      <c r="M15" s="68"/>
      <c r="N15" s="68"/>
      <c r="O15" s="68"/>
    </row>
    <row r="16" customFormat="false" ht="12" hidden="false" customHeight="true" outlineLevel="0" collapsed="false">
      <c r="A16" s="68"/>
      <c r="B16" s="410" t="n">
        <v>46477</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46482</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46507</v>
      </c>
      <c r="C18" s="68"/>
      <c r="D18" s="68"/>
      <c r="E18" s="68"/>
      <c r="F18" s="68"/>
      <c r="G18" s="415"/>
      <c r="H18" s="68"/>
      <c r="I18" s="68"/>
      <c r="J18" s="68"/>
      <c r="K18" s="68"/>
      <c r="L18" s="68"/>
      <c r="M18" s="68"/>
      <c r="N18" s="68"/>
      <c r="O18" s="68"/>
    </row>
    <row r="19" customFormat="false" ht="12" hidden="false" customHeight="true" outlineLevel="0" collapsed="false">
      <c r="A19" s="68"/>
      <c r="B19" s="410" t="n">
        <v>46538</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46568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46783</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46965</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