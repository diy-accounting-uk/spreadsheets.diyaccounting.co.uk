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G288" i="16" s="1"/>
  <c r="J280" i="16"/>
  <c r="D169" i="16"/>
  <c r="G141" i="16"/>
  <c r="H136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C48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52" i="16" l="1"/>
  <c r="D144" i="16" l="1"/>
  <c r="D80" i="18"/>
  <c r="D139" i="16"/>
  <c r="O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<sst xmlns="http://schemas.openxmlformats.org/spreadsheetml/2006/main" count="819" uniqueCount="439">
  <si>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</si>
  <si>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</si>
  <si>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</si>
  <si>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</si>
  <si>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</si>
  <si>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</si>
  <si>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</si>
  <si>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</si>
  <si>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</si>
  <si>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</si>
  <si>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</si>
  <si>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</si>
  <si>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</si>
  <si>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</si>
  <si>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</si>
  <si>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</si>
  <si>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</si>
  <si>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</si>
  <si>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</si>
  <si>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</si>
  <si>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</si>
  <si>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</si>
  <si>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</si>
  <si>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</si>
  <si>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</si>
  <si>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</si>
  <si>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</si>
  <si>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</si>
  <si>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</si>
  <si>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</si>
  <si>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</si>
  <si>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</si>
  <si>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</si>
  <si>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</si>
  <si>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</si>
  <si>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</si>
  <si>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</si>
  <si>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</si>
  <si>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</si>
  <si>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</si>
  <si>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</si>
  <si>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</si>
  <si>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</si>
  <si>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</si>
  <si>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</si>
  <si>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</si>
  <si>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</si>
  <si>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</si>
  <si>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</si>
  <si>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</si>
  <si>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</si>
  <si>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</si>
  <si>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</si>
  <si>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</si>
  <si>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</si>
  <si>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</si>
  <si>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</si>
  <si>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</si>
  <si>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</si>
  <si>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</si>
  <si>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</si>
  <si>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</si>
  <si>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</si>
  <si>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&amp; Promotion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</si>
  <si>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</si>
  <si>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</si>
  <si>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</si>
  <si>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</si>
  <si>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</si>
  <si>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</si>
  <si>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</si>
  <si>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</si>
  <si>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</si>
  <si>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</si>
  <si>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</si>
  <si>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</si>
  <si>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</si>
  <si>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</si>
  <si>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</si>
  <si>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</si>
  <si>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</si>
  <si>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</si>
  <si>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</si>
  <si>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</si>
  <si>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</si>
  <si>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</si>
  <si>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</si>
  <si>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</si>
  <si>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</si>
  <si>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</si>
  <si>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</si>
  <si>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</si>
  <si>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</si>
  <si>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</si>
  <si>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</si>
  <si>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</si>
  <si>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</si>
  <si>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</si>
  <si>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</si>
  <si>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</si>
  <si>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</si>
  <si>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</si>
  <si>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</si>
  <si>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</si>
  <si>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</si>
  <si>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</si>
  <si>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</si>
  <si>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</si>
  <si>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</si>
  <si>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</si>
  <si>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</si>
  <si>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</si>
  <si>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</si>
  <si>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</si>
  <si>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</si>
  <si>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</si>
  <si>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</si>
  <si>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</si>
  <si>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</si>
  <si>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</si>
  <si>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</si>
  <si>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</si>
  <si>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</si>
  <si>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</si>
  <si>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</si>
  <si>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</si>
  <si>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</si>
  <si>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</si>
  <si>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</si>
  <si>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</si>
  <si>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</si>
  <si>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</si>
  <si>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</si>
  <si>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</si>
  <si>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</si>
  <si>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</si>
  <si>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</si>
  <si>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</si>
  <si>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</si>
  <si>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</si>
  <si>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</si>
  <si>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</si>
  <si>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</si>
  <si>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</si>
  <si>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</si>
  <si>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</si>
  <si>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</si>
  <si>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</si>
  <si>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</si>
  <si>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</si>
  <si>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</si>
  <si>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</si>
  <si>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</si>
  <si>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</si>
  <si>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</si>
  <si>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</si>
  <si>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</si>
  <si>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</si>
  <si>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</si>
  <si>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</si>
  <si>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</si>
  <si>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</si>
  <si>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</si>
  <si>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</si>
  <si>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</si>
  <si>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</si>
  <si>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</si>
  <si>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</si>
  <si>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</si>
  <si>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</si>
  <si>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</si>
  <si>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</si>
  <si>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</si>
  <si>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</si>
  <si>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</si>
  <si>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</si>
  <si>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</si>
  <si>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</si>
  <si>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</si>
  <si>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</si>
  <si>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</si>
  <si>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</si>
  <si>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</si>
  <si>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</si>
  <si>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</si>
  <si>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</si>
  <si>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</si>
  <si>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</si>
  <si>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</si>
  <si>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</si>
  <si>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</si>
  <si>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</si>
  <si>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</si>
  <si>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</si>
  <si>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</si>
  <si>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</si>
  <si>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</si>
  <si>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</si>
  <si>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</si>
  <si>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</si>
  <si>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</si>
  <si>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</si>
  <si>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</si>
  <si>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</si>
  <si>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</si>
  <si>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</si>
  <si>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</si>
  <si>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</si>
  <si>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</si>
  <si>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</si>
  <si>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</si>
  <si>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</si>
  <si>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</si>
  <si>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</si>
  <si>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</si>
  <si>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</si>
  <si>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</si>
  <si>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</si>
  <si>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</si>
  <si>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</si>
  <si>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</si>
  <si>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</si>
  <si>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</si>
  <si>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</si>
  <si>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</si>
  <si>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</si>
  <si>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</si>
  <si>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</si>
  <si>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</si>
  <si>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</si>
  <si>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</si>
  <si>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</si>
  <si>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</si>
  <si>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</si>
  <si>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</si>
  <si>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</si>
  <si>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</si>
  <si>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</si>
  <si>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</si>
  <si>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</si>
  <si>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</si>
  <si>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</si>
  <si>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</si>
  <si>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</si>
  <si>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</si>
  <si>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</si>
  <si>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</si>
  <si>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</si>
  <si>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</si>
  <si>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</si>
  <si>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</si>
  <si>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</si>
  <si>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</si>
  <si>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</si>
  <si>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</si>
  <si>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</si>
  <si>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</si>
  <si>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</si>
  <si>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</si>
  <si>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</si>
  <si>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</si>
  <si>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</si>
  <si>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</si>
  <si>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</si>
  <si>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</si>
  <si>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</si>
  <si>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</si>
  <si>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</si>
  <si>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</si>
  <si>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</si>
  <si>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</si>
  <si>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</si>
  <si>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</si>
  <si>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</si>
  <si>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</si>
  <si>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</si>
  <si>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</si>
  <si>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</si>
  <si>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</si>
  <si>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</si>
  <si>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</si>
  <si>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</si>
  <si>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</si>
  <si>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</si>
  <si>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</si>
  <si>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</si>
  <si>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</si>
  <si>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</si>
  <si>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</si>
  <si>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</si>
  <si>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</si>
  <si>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</si>
  <si>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</si>
  <si>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</si>
  <si>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</si>
  <si>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</si>
  <si>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</si>
  <si>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</si>
  <si>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</si>
  <si>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</si>
  <si>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</si>
  <si>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</si>
  <si>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</si>
  <si>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</si>
  <si>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</si>
  <si>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</si>
  <si>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</si>
  <si>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</si>
  <si>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</si>
  <si>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</si>
  <si>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</si>
  <si>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</si>
  <si>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</si>
  <si>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</si>
  <si>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</si>
  <si>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</si>
  <si>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</si>
  <si>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</si>
  <si>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8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</si>
  <si>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</si>
  <si>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£30,000</t>
    </r>
  </si>
  <si>
    <t>you may just put your total expenses in box 19,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</si>
  <si>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</si>
  <si>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</si>
  <si>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</si>
  <si>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</si>
  <si>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</si>
  <si>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</si>
  <si>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10 to 18</t>
    </r>
  </si>
  <si>
    <t>expenses (box 8 + box 9 minus box 19)</t>
  </si>
  <si>
    <t>income (box 8 + box 9 minus box 19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</si>
  <si>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</si>
  <si>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</si>
  <si>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</si>
  <si>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</si>
  <si>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</si>
  <si>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</si>
  <si>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</si>
  <si>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</si>
  <si>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8 or 9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</si>
  <si>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</si>
  <si>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</si>
  <si>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</si>
  <si>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29),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30 to 32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</si>
  <si>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</si>
  <si>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</si>
  <si>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</si>
  <si>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</si>
  <si>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</si>
  <si>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</si>
  <si>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</si>
  <si>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</si>
  <si>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</si>
  <si>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</si>
  <si>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</si>
  <si>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</si>
  <si>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</si>
  <si>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</si>
  <si>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</si>
  <si>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</si>
  <si>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</si>
  <si>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</si>
  <si>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</si>
  <si>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</si>
  <si>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</si>
  <si>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</si>
  <si>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</si>
  <si>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</si>
  <si>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</si>
  <si>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</si>
  <si>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</si>
  <si>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</si>
  <si>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</si>
  <si>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</si>
  <si>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</si>
  <si>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</si>
  <si>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</si>
  <si>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</si>
  <si>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</si>
  <si>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</si>
  <si>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</si>
  <si>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</si>
  <si>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</si>
  <si>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</si>
  <si>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</si>
  <si>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</si>
  <si>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</si>
  <si>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</si>
  <si>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</si>
  <si>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</si>
  <si>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</si>
  <si>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27</t>
    </r>
  </si>
  <si>
    <t>Net business profit for tax purposes (if box 20 + box 25 +</t>
  </si>
  <si>
    <t>box 26 minus boxes 21 to 24) is positive)</t>
  </si>
  <si>
    <t>Total taxable profits from this business</t>
  </si>
  <si>
    <t>Net business loss for tax purposes (if boxes 21 to 24</t>
  </si>
  <si>
    <t>if box 27 + box 29 minus box 28 is positive</t>
  </si>
  <si>
    <t>minus (box 20 + box 25 + box 26)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</si>
  <si>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</si>
  <si>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</si>
  <si>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</si>
  <si>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</si>
  <si>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</si>
  <si>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</si>
  <si>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</si>
  <si>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</si>
  <si>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Not captured in DIY Accounting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</si>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</sst>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6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>
        <f>Admin!B17</f>
        <v>46117</v>
      </c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s">
        <v>167</v>
      </c>
      <c r="D36" s="182"/>
      <c r="E36" s="182"/>
      <c r="F36" s="182"/>
      <c r="G36" s="182"/>
      <c r="H36" s="182"/>
      <c r="I36" s="182"/>
      <c r="J36" s="182"/>
      <c r="K36" s="182"/>
      <c r="L36" s="194">
        <v>12</v>
      </c>
      <c r="M36" s="181"/>
      <c r="N36" s="182" t="s">
        <v>168</v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s">
        <v>169</v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s">
        <v>170</v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>
        <v>11</v>
      </c>
      <c r="B41" s="181"/>
      <c r="C41" s="182" t="s">
        <v>171</v>
      </c>
      <c r="D41" s="182"/>
      <c r="E41" s="182"/>
      <c r="F41" s="182"/>
      <c r="G41" s="182"/>
      <c r="H41" s="182"/>
      <c r="I41" s="182"/>
      <c r="J41" s="182"/>
      <c r="K41" s="182"/>
      <c r="L41" s="194">
        <v>13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 t="s">
        <v>173</v>
      </c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s">
        <v>174</v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 t="s">
        <v>170</v>
      </c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96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</sheetData>
  <mergeCells count="26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45753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IF(D38&gt;67000,"SELF-EMPLOYMENT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8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9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10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15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Account'!B9&gt;30000,'Profit &amp; Loss Account'!B17,"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Account'!B9&gt;30000,'Profit &amp; Loss Account'!B28,"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11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16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Account'!B9&gt;30000,'Profit &amp; Loss Account'!B25+'Profit &amp; Loss Account'!B26,"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Account'!B9&gt;30000,'Profit &amp; Loss Account'!B30+'Profit &amp; Loss Account'!B31,"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12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17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Account'!B9&gt;30000,'Profit &amp; Loss Account'!B21,"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Account'!B9&gt;30000,'Profit &amp; Loss Account'!B24,"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13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18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Account'!B9&gt;30000,'Profit &amp; Loss Account'!B22,"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Account'!B9&gt;30000,'Profit &amp; Loss Account'!B27+'Profit &amp; Loss Account'!B29+'Profit &amp; Loss Account'!B32+'Profit &amp; Loss Account'!B33,"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14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19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Account'!B9&gt;30000,'Profit &amp; Loss Account'!B23,"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Account'!B35-'Profit &amp; Loss Account'!B34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20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21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22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24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IF(([1]Schedule!$R$1+[1]Schedule!$Y$1)&gt;0,[1]Schedule!$R$1+[1]Schedule!$Y$1,0)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23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25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IF(([1]Schedule!$R$1+[1]Schedule!$S$1)&lt;1000,[1]Schedule!$S$1,0)</f>
        <v>0</v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26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28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27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29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30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31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32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35</v>
      </c>
      <c r="M111" s="220"/>
      <c r="N111" s="227" t="s">
        <v>345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398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33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36</v>
      </c>
      <c r="M116" s="220"/>
      <c r="N116" s="227" t="s">
        <v>301</v>
      </c>
      <c r="O116" s="220"/>
      <c r="P116" s="220"/>
      <c r="Q116" s="220"/>
      <c r="R116" s="370" t="str">
        <f>Admin!G2</f>
        <v>2025-26</v>
      </c>
      <c r="S116" s="371"/>
      <c r="T116" s="371"/>
      <c r="U116" s="227" t="s">
        <v>347</v>
      </c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399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 t="s">
        <v>236</v>
      </c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34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37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s">
        <v>150</v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s">
        <v>151</v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s">
        <v>152</v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s">
        <v>162</v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s">
        <v>164</v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s">
        <v>165</v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s">
        <v>167</v>
      </c>
      <c r="D39" s="227"/>
      <c r="E39" s="227"/>
      <c r="F39" s="227"/>
      <c r="G39" s="227"/>
      <c r="H39" s="227"/>
      <c r="I39" s="227"/>
      <c r="J39" s="227"/>
      <c r="K39" s="227"/>
      <c r="L39" s="236">
        <v>12</v>
      </c>
      <c r="M39" s="220"/>
      <c r="N39" s="227" t="s">
        <v>168</v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s">
        <v>169</v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s">
        <v>170</v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>
        <v>11</v>
      </c>
      <c r="B44" s="220"/>
      <c r="C44" s="227" t="s">
        <v>171</v>
      </c>
      <c r="D44" s="227"/>
      <c r="E44" s="227"/>
      <c r="F44" s="227"/>
      <c r="G44" s="227"/>
      <c r="H44" s="227"/>
      <c r="I44" s="227"/>
      <c r="J44" s="227"/>
      <c r="K44" s="227"/>
      <c r="L44" s="236">
        <v>13</v>
      </c>
      <c r="M44" s="220"/>
      <c r="N44" s="227" t="s">
        <v>172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 t="s">
        <v>173</v>
      </c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s">
        <v>174</v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 t="s">
        <v>170</v>
      </c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72" t="str">
        <f>IF('Business Details'!C45="x","x"," ")</f>
        <v xml:space="preserve"> </v>
      </c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14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15</v>
      </c>
      <c r="M52" s="220"/>
      <c r="N52" s="227" t="s">
        <v>188</v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 t="s">
        <v>190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s">
        <v>192</v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s">
        <v>193</v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s">
        <v>194</v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s">
        <v>195</v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16</v>
      </c>
      <c r="B64" s="220"/>
      <c r="C64" s="227" t="s">
        <v>197</v>
      </c>
      <c r="D64" s="227"/>
      <c r="E64" s="227"/>
      <c r="F64" s="227"/>
      <c r="G64" s="227"/>
      <c r="H64" s="227"/>
      <c r="I64" s="227"/>
      <c r="J64" s="227"/>
      <c r="K64" s="227"/>
      <c r="L64" s="236">
        <v>31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/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17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32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/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18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33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/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19</v>
      </c>
      <c r="B76" s="220"/>
      <c r="C76" s="227" t="s">
        <v>200</v>
      </c>
      <c r="D76" s="227"/>
      <c r="E76" s="227"/>
      <c r="F76" s="227"/>
      <c r="G76" s="227"/>
      <c r="H76" s="227"/>
      <c r="I76" s="227"/>
      <c r="J76" s="227"/>
      <c r="K76" s="227"/>
      <c r="L76" s="236">
        <v>34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/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20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35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/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21</v>
      </c>
      <c r="B84" s="220"/>
      <c r="C84" s="227" t="s">
        <v>202</v>
      </c>
      <c r="D84" s="227"/>
      <c r="E84" s="227"/>
      <c r="F84" s="227"/>
      <c r="G84" s="227"/>
      <c r="H84" s="227"/>
      <c r="I84" s="227"/>
      <c r="J84" s="227"/>
      <c r="K84" s="227"/>
      <c r="L84" s="236">
        <v>36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/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22</v>
      </c>
      <c r="B88" s="220"/>
      <c r="C88" s="227" t="s">
        <v>203</v>
      </c>
      <c r="D88" s="227"/>
      <c r="E88" s="227"/>
      <c r="F88" s="227"/>
      <c r="G88" s="227"/>
      <c r="H88" s="227"/>
      <c r="I88" s="227"/>
      <c r="J88" s="227"/>
      <c r="K88" s="227"/>
      <c r="L88" s="236">
        <v>37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/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23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38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/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24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39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/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25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40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/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26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41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/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27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42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/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28</v>
      </c>
      <c r="B112" s="220"/>
      <c r="C112" s="227" t="s">
        <v>209</v>
      </c>
      <c r="D112" s="227"/>
      <c r="E112" s="227"/>
      <c r="F112" s="227"/>
      <c r="G112" s="227"/>
      <c r="H112" s="227"/>
      <c r="I112" s="227"/>
      <c r="J112" s="227"/>
      <c r="K112" s="227"/>
      <c r="L112" s="236">
        <v>43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29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44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/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30</v>
      </c>
      <c r="B120" s="220"/>
      <c r="C120" s="227" t="s">
        <v>211</v>
      </c>
      <c r="D120" s="227"/>
      <c r="E120" s="227"/>
      <c r="F120" s="227"/>
      <c r="G120" s="227"/>
      <c r="H120" s="227"/>
      <c r="I120" s="227"/>
      <c r="J120" s="227"/>
      <c r="K120" s="227"/>
      <c r="L120" s="236">
        <v>45</v>
      </c>
      <c r="M120" s="220"/>
      <c r="N120" s="227" t="s">
        <v>212</v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'Profit &amp; Loss Account'!B34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46</v>
      </c>
      <c r="B126" s="220"/>
      <c r="C126" s="227" t="s">
        <v>214</v>
      </c>
      <c r="D126" s="227"/>
      <c r="E126" s="227"/>
      <c r="F126" s="227"/>
      <c r="G126" s="227"/>
      <c r="H126" s="227"/>
      <c r="I126" s="227"/>
      <c r="J126" s="227"/>
      <c r="K126" s="227"/>
      <c r="L126" s="236">
        <v>47</v>
      </c>
      <c r="M126" s="220"/>
      <c r="N126" s="227" t="s">
        <v>215</v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s">
        <v>216</v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s">
        <v>217</v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s">
        <v>219</v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s">
        <v>352</v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s">
        <v>220</v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48</v>
      </c>
      <c r="B136" s="220"/>
      <c r="C136" s="288" t="s">
        <v>349</v>
      </c>
      <c r="D136" s="227"/>
      <c r="E136" s="227"/>
      <c r="F136" s="227"/>
      <c r="G136" s="227"/>
      <c r="H136" s="379">
        <f>Admin!G4</f>
        <v>1</v>
      </c>
      <c r="I136" s="380"/>
      <c r="J136" s="227"/>
      <c r="K136" s="227"/>
      <c r="L136" s="236">
        <v>54</v>
      </c>
      <c r="M136" s="220"/>
      <c r="N136" s="227" t="s">
        <v>223</v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 t="s">
        <v>353</v>
      </c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>
        <f>IF(([1]Schedule!$R$1+[1]Schedule!$S$1)&lt;1000,[1]Schedule!$S$1,0)</f>
        <v>0</v>
      </c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49</v>
      </c>
      <c r="B141" s="220"/>
      <c r="C141" s="227" t="s">
        <v>221</v>
      </c>
      <c r="D141" s="227"/>
      <c r="E141" s="227"/>
      <c r="F141" s="227"/>
      <c r="G141" s="379">
        <f>Admin!G5</f>
        <v>0.18</v>
      </c>
      <c r="H141" s="381"/>
      <c r="I141" s="227" t="s">
        <v>222</v>
      </c>
      <c r="J141" s="227"/>
      <c r="K141" s="227"/>
      <c r="L141" s="236">
        <v>55</v>
      </c>
      <c r="M141" s="220"/>
      <c r="N141" s="227" t="s">
        <v>225</v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s">
        <v>224</v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 t="s">
        <v>226</v>
      </c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[1]Schedule!$R$1-D152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[1]Schedule!$Y$1</f>
        <v>0</v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50</v>
      </c>
      <c r="B146" s="220"/>
      <c r="C146" s="288" t="s">
        <v>354</v>
      </c>
      <c r="D146" s="227"/>
      <c r="E146" s="227"/>
      <c r="F146" s="227"/>
      <c r="G146" s="227"/>
      <c r="H146" s="379">
        <v>0.1</v>
      </c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/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s">
        <v>355</v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51</v>
      </c>
      <c r="B149" s="220"/>
      <c r="C149" s="227" t="s">
        <v>227</v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D139+D144+D147+D152+D156+D160+O139+O144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 t="s">
        <v>228</v>
      </c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s">
        <v>230</v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>
        <f>SUM([1]Schedule!$R$38:$R$42)+SUM([1]Schedule!$R$91:$R$95)</f>
        <v>0</v>
      </c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 t="s">
        <v>231</v>
      </c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</v>
      </c>
      <c r="B154" s="220"/>
      <c r="C154" s="227" t="s">
        <v>229</v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/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/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58</v>
      </c>
      <c r="M156" s="220"/>
      <c r="N156" s="227" t="s">
        <v>356</v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s">
        <v>232</v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s">
        <v>357</v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 t="s">
        <v>358</v>
      </c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s">
        <v>359</v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/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s">
        <v>234</v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s">
        <v>360</v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59</v>
      </c>
      <c r="B166" s="220"/>
      <c r="C166" s="227" t="s">
        <v>361</v>
      </c>
      <c r="D166" s="227"/>
      <c r="E166" s="227"/>
      <c r="F166" s="227"/>
      <c r="G166" s="227"/>
      <c r="H166" s="227"/>
      <c r="I166" s="227"/>
      <c r="J166" s="227"/>
      <c r="K166" s="227"/>
      <c r="L166" s="236">
        <v>62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 t="s">
        <v>236</v>
      </c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s">
        <v>362</v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O149+D179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60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63</v>
      </c>
      <c r="M171" s="220"/>
      <c r="N171" s="227" t="s">
        <v>363</v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s">
        <v>364</v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s">
        <v>365</v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O122+O154+O160+D169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61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64</v>
      </c>
      <c r="M176" s="220"/>
      <c r="N176" s="227" t="s">
        <v>366</v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s">
        <v>367</v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s">
        <v>241</v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s">
        <v>242</v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s">
        <v>243</v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>
        <v>65</v>
      </c>
      <c r="B186" s="220"/>
      <c r="C186" s="227" t="s">
        <v>244</v>
      </c>
      <c r="D186" s="227"/>
      <c r="E186" s="227"/>
      <c r="F186" s="227"/>
      <c r="G186" s="227"/>
      <c r="H186" s="227"/>
      <c r="I186" s="227"/>
      <c r="J186" s="227"/>
      <c r="K186" s="227"/>
      <c r="L186" s="236">
        <v>71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382"/>
      <c r="D187" s="383"/>
      <c r="E187" s="383"/>
      <c r="F187" s="384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61"/>
      <c r="D188" s="385"/>
      <c r="E188" s="385"/>
      <c r="F188" s="385"/>
      <c r="G188" s="218"/>
      <c r="H188" s="253"/>
      <c r="I188" s="253"/>
      <c r="J188" s="220"/>
      <c r="K188" s="220"/>
      <c r="L188" s="227"/>
      <c r="M188" s="220"/>
      <c r="N188" s="248" t="s">
        <v>247</v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>
        <v>66</v>
      </c>
      <c r="B189" s="220"/>
      <c r="C189" s="227" t="s">
        <v>248</v>
      </c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382"/>
      <c r="D190" s="383"/>
      <c r="E190" s="383"/>
      <c r="F190" s="384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67</v>
      </c>
      <c r="B192" s="220"/>
      <c r="C192" s="227" t="s">
        <v>251</v>
      </c>
      <c r="D192" s="259"/>
      <c r="E192" s="259"/>
      <c r="F192" s="259"/>
      <c r="G192" s="218"/>
      <c r="H192" s="253"/>
      <c r="I192" s="253"/>
      <c r="J192" s="220"/>
      <c r="K192" s="220"/>
      <c r="L192" s="236">
        <v>72</v>
      </c>
      <c r="M192" s="220"/>
      <c r="N192" s="227" t="s">
        <v>252</v>
      </c>
      <c r="O192" s="220"/>
      <c r="P192" s="220"/>
      <c r="Q192" s="290" t="str">
        <f>Admin!G2</f>
        <v>2025-26</v>
      </c>
      <c r="R192" s="227" t="s">
        <v>368</v>
      </c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s">
        <v>253</v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s">
        <v>369</v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s">
        <v>254</v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O174</f>
        <v>0</v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 t="s">
        <v>255</v>
      </c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 t="s">
        <v>256</v>
      </c>
      <c r="D196" s="227"/>
      <c r="E196" s="227"/>
      <c r="F196" s="227"/>
      <c r="G196" s="227"/>
      <c r="H196" s="227"/>
      <c r="I196" s="227"/>
      <c r="J196" s="227"/>
      <c r="K196" s="227"/>
      <c r="L196" s="236">
        <v>73</v>
      </c>
      <c r="M196" s="220"/>
      <c r="N196" s="227" t="s">
        <v>257</v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250</v>
      </c>
      <c r="E197" s="375"/>
      <c r="F197" s="386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s">
        <v>370</v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 t="s">
        <v>371</v>
      </c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>
        <v>68</v>
      </c>
      <c r="B199" s="220"/>
      <c r="C199" s="227" t="s">
        <v>372</v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17" t="s">
        <v>51</v>
      </c>
      <c r="D201" s="356"/>
      <c r="E201" s="357"/>
      <c r="F201" s="358"/>
      <c r="G201" s="218" t="s">
        <v>178</v>
      </c>
      <c r="H201" s="219">
        <v>0</v>
      </c>
      <c r="I201" s="219">
        <v>0</v>
      </c>
      <c r="J201" s="220"/>
      <c r="K201" s="220"/>
      <c r="L201" s="236">
        <v>74</v>
      </c>
      <c r="M201" s="220"/>
      <c r="N201" s="227" t="s">
        <v>258</v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s">
        <v>373</v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>
        <v>69</v>
      </c>
      <c r="B203" s="220"/>
      <c r="C203" s="227" t="s">
        <v>374</v>
      </c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17" t="s">
        <v>51</v>
      </c>
      <c r="D206" s="356"/>
      <c r="E206" s="357"/>
      <c r="F206" s="358"/>
      <c r="G206" s="218" t="s">
        <v>178</v>
      </c>
      <c r="H206" s="219">
        <v>0</v>
      </c>
      <c r="I206" s="219">
        <v>0</v>
      </c>
      <c r="J206" s="220"/>
      <c r="K206" s="220"/>
      <c r="L206" s="236">
        <v>75</v>
      </c>
      <c r="M206" s="220"/>
      <c r="N206" s="227" t="s">
        <v>375</v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s">
        <v>376</v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70</v>
      </c>
      <c r="B208" s="220"/>
      <c r="C208" s="227" t="s">
        <v>259</v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 t="s">
        <v>377</v>
      </c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 t="s">
        <v>378</v>
      </c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s">
        <v>261</v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s">
        <v>262</v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76</v>
      </c>
      <c r="B216" s="220"/>
      <c r="C216" s="227" t="s">
        <v>263</v>
      </c>
      <c r="D216" s="227"/>
      <c r="E216" s="227"/>
      <c r="F216" s="289" t="str">
        <f>Admin!G2</f>
        <v>2025-26</v>
      </c>
      <c r="G216" s="227" t="s">
        <v>379</v>
      </c>
      <c r="H216" s="227"/>
      <c r="I216" s="227"/>
      <c r="J216" s="220"/>
      <c r="K216" s="227"/>
      <c r="L216" s="236">
        <v>78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 t="s">
        <v>380</v>
      </c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O179+E197-D201+D210+P190</f>
        <v>0</v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77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79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s">
        <v>270</v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80</v>
      </c>
      <c r="B228" s="220"/>
      <c r="C228" s="227" t="s">
        <v>271</v>
      </c>
      <c r="D228" s="227"/>
      <c r="E228" s="227"/>
      <c r="F228" s="227"/>
      <c r="G228" s="227"/>
      <c r="H228" s="227"/>
      <c r="I228" s="227"/>
      <c r="J228" s="227"/>
      <c r="K228" s="227"/>
      <c r="L228" s="236">
        <v>81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s">
        <v>273</v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s">
        <v>274</v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s">
        <v>382</v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82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90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83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91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84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92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85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93</v>
      </c>
      <c r="M253" s="220"/>
      <c r="N253" s="227" t="s">
        <v>285</v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86</v>
      </c>
      <c r="B255" s="220"/>
      <c r="C255" s="227" t="s">
        <v>286</v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87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94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88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95</v>
      </c>
      <c r="M263" s="220"/>
      <c r="N263" s="227" t="s">
        <v>291</v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89</v>
      </c>
      <c r="B267" s="220"/>
      <c r="C267" s="227" t="s">
        <v>292</v>
      </c>
      <c r="D267" s="227"/>
      <c r="E267" s="227"/>
      <c r="F267" s="227"/>
      <c r="G267" s="227"/>
      <c r="H267" s="227"/>
      <c r="I267" s="227"/>
      <c r="J267" s="227"/>
      <c r="K267" s="227"/>
      <c r="L267" s="236">
        <v>96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97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98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s">
        <v>295</v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s">
        <v>296</v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Admin!N4</f>
        <v>12570</v>
      </c>
      <c r="K280" s="366" t="s">
        <v>297</v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s">
        <v>383</v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99</v>
      </c>
      <c r="B283" s="220"/>
      <c r="C283" s="227" t="s">
        <v>298</v>
      </c>
      <c r="D283" s="220"/>
      <c r="E283" s="220"/>
      <c r="F283" s="220"/>
      <c r="G283" s="220"/>
      <c r="H283" s="220"/>
      <c r="I283" s="220"/>
      <c r="J283" s="220"/>
      <c r="K283" s="220"/>
      <c r="L283" s="236">
        <v>101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s">
        <v>384</v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100</v>
      </c>
      <c r="B288" s="220"/>
      <c r="C288" s="227" t="s">
        <v>301</v>
      </c>
      <c r="D288" s="220"/>
      <c r="E288" s="220"/>
      <c r="F288" s="220"/>
      <c r="G288" s="370" t="str">
        <f>Admin!G2</f>
        <v>2025-26</v>
      </c>
      <c r="H288" s="371"/>
      <c r="I288" s="371"/>
      <c r="J288" s="220" t="s">
        <v>302</v>
      </c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s">
        <v>385</v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 t="s">
        <v>303</v>
      </c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102</v>
      </c>
      <c r="B296" s="220"/>
      <c r="C296" s="227" t="s">
        <v>305</v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7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</f>
        <v>0</v>
      </c>
      <c r="D27" s="75">
        <f>[3]May!$Y$1</f>
        <v>0</v>
      </c>
      <c r="E27" s="78">
        <f>[3]Jun!$Y$1</f>
        <v>0</v>
      </c>
      <c r="F27" s="75">
        <f>[3]Jul!$Y$1</f>
        <v>0</v>
      </c>
      <c r="G27" s="75">
        <f>[3]Aug!$Y$1</f>
        <v>0</v>
      </c>
      <c r="H27" s="78">
        <f>[3]Sep!$Y$1</f>
        <v>0</v>
      </c>
      <c r="I27" s="75">
        <f>[3]Oct!$Y$1</f>
        <v>0</v>
      </c>
      <c r="J27" s="75">
        <f>[3]Nov!$Y$1</f>
        <v>0</v>
      </c>
      <c r="K27" s="78">
        <f>[3]Dec!$Y$1</f>
        <v>0</v>
      </c>
      <c r="L27" s="75">
        <f>[3]Jan!$Y$1</f>
        <v>0</v>
      </c>
      <c r="M27" s="75">
        <f>[3]Feb!$Y$1</f>
        <v>0</v>
      </c>
      <c r="N27" s="75">
        <f>[3]Mar!$Y$1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v>0</v>
      </c>
      <c r="D25" s="299">
        <v>0</v>
      </c>
      <c r="E25" s="299">
        <v>0</v>
      </c>
      <c r="F25" s="299">
        <v>0</v>
      </c>
      <c r="G25" s="299">
        <f>SUM(C25:F25)</f>
        <v>0</v>
      </c>
      <c r="H25" s="298" t="s">
        <v>406</v>
      </c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SUM(C7,C12,C13,C14,C15,C16,C17,C18,C19,C20,C21,C22,C24,C25,C26)</f>
        <v>0</v>
      </c>
      <c r="D29" s="302">
        <f>SUM(D7,D12,D13,D14,D15,D16,D17,D18,D19,D20,D21,D22,D24,D25,D26)</f>
        <v>0</v>
      </c>
      <c r="E29" s="302">
        <f>SUM(E7,E12,E13,E14,E15,E16,E17,E18,E19,E20,E21,E22,E24,E25,E26)</f>
        <v>0</v>
      </c>
      <c r="F29" s="302">
        <f>SUM(F7,F12,F13,F14,F15,F16,F17,F18,F19,F20,F21,F22,F24,F25,F26)</f>
        <v>0</v>
      </c>
      <c r="G29" s="302">
        <f>SUM(G7,G12,G13,G14,G15,G16,G17,G18,G19,G20,G21,G22,G24,G25,G26)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v>0</v>
      </c>
      <c r="D36" s="299">
        <v>0</v>
      </c>
      <c r="E36" s="299">
        <v>0</v>
      </c>
      <c r="F36" s="299"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v>0</v>
      </c>
      <c r="D37" s="299">
        <v>0</v>
      </c>
      <c r="E37" s="299">
        <v>0</v>
      </c>
      <c r="F37" s="299"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v>0</v>
      </c>
      <c r="D38" s="299">
        <v>0</v>
      </c>
      <c r="E38" s="299">
        <v>0</v>
      </c>
      <c r="F38" s="299"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v>0</v>
      </c>
      <c r="D39" s="299">
        <v>0</v>
      </c>
      <c r="E39" s="299">
        <v>0</v>
      </c>
      <c r="F39" s="299"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v>0</v>
      </c>
      <c r="D40" s="299">
        <v>0</v>
      </c>
      <c r="E40" s="299">
        <v>0</v>
      </c>
      <c r="F40" s="299"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v>0</v>
      </c>
      <c r="D41" s="299">
        <v>0</v>
      </c>
      <c r="E41" s="299">
        <v>0</v>
      </c>
      <c r="F41" s="299"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v>0</v>
      </c>
      <c r="D42" s="299">
        <v>0</v>
      </c>
      <c r="E42" s="299">
        <v>0</v>
      </c>
      <c r="F42" s="299"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v>0</v>
      </c>
      <c r="D43" s="299">
        <v>0</v>
      </c>
      <c r="E43" s="299">
        <v>0</v>
      </c>
      <c r="F43" s="299"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v>0</v>
      </c>
      <c r="D44" s="299">
        <v>0</v>
      </c>
      <c r="E44" s="299">
        <v>0</v>
      </c>
      <c r="F44" s="299">
        <v>0</v>
      </c>
      <c r="G44" s="299">
        <f t="shared" si="1"/>
        <v>0</v>
      </c>
      <c r="H44" s="298" t="s">
        <v>406</v>
      </c>
      <c r="I44" s="298"/>
    </row>
    <row r="45" spans="1:9" x14ac:dyDescent="0.15">
      <c r="A45" s="298"/>
      <c r="B45" s="298" t="s">
        <v>411</v>
      </c>
      <c r="C45" s="299">
        <v>0</v>
      </c>
      <c r="D45" s="299">
        <v>0</v>
      </c>
      <c r="E45" s="299">
        <v>0</v>
      </c>
      <c r="F45" s="299"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v>0</v>
      </c>
      <c r="D46" s="299">
        <v>0</v>
      </c>
      <c r="E46" s="299">
        <v>0</v>
      </c>
      <c r="F46" s="299"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v>0</v>
      </c>
      <c r="D47" s="299">
        <v>0</v>
      </c>
      <c r="E47" s="299">
        <v>0</v>
      </c>
      <c r="F47" s="299"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v>0</v>
      </c>
      <c r="D48" s="299">
        <v>0</v>
      </c>
      <c r="E48" s="299">
        <v>0</v>
      </c>
      <c r="F48" s="299"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f t="shared" si="1"/>
        <v>0</v>
      </c>
      <c r="H49" s="298" t="s">
        <v>406</v>
      </c>
      <c r="I49" s="298"/>
    </row>
    <row r="50" spans="1:9" x14ac:dyDescent="0.15">
      <c r="A50" s="298"/>
      <c r="B50" s="298" t="s">
        <v>407</v>
      </c>
      <c r="C50" s="299">
        <v>0</v>
      </c>
      <c r="D50" s="299">
        <v>0</v>
      </c>
      <c r="E50" s="299">
        <v>0</v>
      </c>
      <c r="F50" s="299"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IF((E5&gt;0),Admin!N$4,0)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ht="14" thickBot="1" x14ac:dyDescent="0.2">
      <c r="A9" s="96"/>
      <c r="B9" s="108" t="s">
        <v>128</v>
      </c>
      <c r="C9" s="108">
        <f>Admin!N$12</f>
        <v>37701</v>
      </c>
      <c r="D9" s="144">
        <f>Admin!N$7</f>
        <v>0.4</v>
      </c>
      <c r="E9" s="99">
        <f>IF((E7&gt;C9),((E7-C9)*D9),0)</f>
        <v>0</v>
      </c>
      <c r="F9" s="122"/>
      <c r="G9" s="120"/>
      <c r="M9" s="293"/>
    </row>
    <row r="10" spans="1:13" ht="14" thickBot="1" x14ac:dyDescent="0.2">
      <c r="A10" s="96"/>
      <c r="B10" s="114" t="s">
        <v>101</v>
      </c>
      <c r="C10" s="139"/>
      <c r="D10" s="136"/>
      <c r="E10" s="292">
        <f>SUM(E8:E9)</f>
        <v>0</v>
      </c>
      <c r="F10" s="122"/>
      <c r="G10" s="120"/>
      <c r="M10" s="293"/>
    </row>
    <row r="11" spans="1:13" x14ac:dyDescent="0.15">
      <c r="A11" s="96"/>
      <c r="B11" s="108" t="s">
        <v>4</v>
      </c>
      <c r="C11" s="108"/>
      <c r="D11" s="101"/>
      <c r="E11" s="99">
        <f>-[2]Mar!$X$1</f>
        <v>0</v>
      </c>
      <c r="F11" s="123"/>
      <c r="G11" s="121"/>
      <c r="M11" s="293"/>
    </row>
    <row r="12" spans="1:13" x14ac:dyDescent="0.15">
      <c r="A12" s="96"/>
      <c r="B12" s="108"/>
      <c r="C12" s="108"/>
      <c r="D12" s="101"/>
      <c r="E12" s="99"/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SUM(E10:E17)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Admin!N$4</f>
        <v>12570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IF((C41&gt;0),(IF((C41&lt;Admin!N$12),C41*Admin!N$6,Admin!N$12*Admin!N$6)),0)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IF((C41&gt;Admin!N$12),((C41-Admin!N$12)*Admin!N$7),0)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s">
        <v>93</v>
      </c>
      <c r="C44" s="128">
        <f>IF((C41&gt;0),IF(C41&gt;Admin!N12,Admin!N12*Admin!L20+(C41-Admin!N12)*Admin!L23,C41*Admin!L$20),0)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ht="6" customHeight="1" x14ac:dyDescent="0.15">
      <c r="A45" s="23"/>
      <c r="B45" s="87"/>
      <c r="C45" s="128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44985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45016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45022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12570</v>
      </c>
      <c r="O4" s="146" t="s">
        <v>51</v>
      </c>
    </row>
    <row r="5" spans="1:15" ht="12" customHeight="1" x14ac:dyDescent="0.15">
      <c r="A5" s="147"/>
      <c r="B5" s="164">
        <v>45046</v>
      </c>
      <c r="C5" s="147"/>
      <c r="D5" s="450" t="s">
        <v>104</v>
      </c>
      <c r="E5" s="450"/>
      <c r="F5" s="450"/>
      <c r="G5" s="148">
        <v>0.18</v>
      </c>
      <c r="H5" s="147"/>
      <c r="I5" s="147"/>
      <c r="J5" s="147"/>
      <c r="K5" s="147"/>
      <c r="L5" s="147"/>
      <c r="M5" s="147"/>
      <c r="N5" s="146"/>
      <c r="O5" s="146"/>
    </row>
    <row r="6" spans="1:15" ht="12" customHeight="1" x14ac:dyDescent="0.15">
      <c r="A6" s="147"/>
      <c r="B6" s="164">
        <v>45077</v>
      </c>
      <c r="C6" s="147"/>
      <c r="D6" s="147"/>
      <c r="E6" s="147"/>
      <c r="F6" s="147"/>
      <c r="G6" s="146"/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45107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45138</v>
      </c>
      <c r="C8" s="147"/>
      <c r="D8" s="147" t="s">
        <v>112</v>
      </c>
      <c r="E8" s="152">
        <v>12000</v>
      </c>
      <c r="F8" s="147" t="s">
        <v>113</v>
      </c>
      <c r="G8" s="152">
        <v>3000</v>
      </c>
      <c r="H8" s="147"/>
      <c r="I8" s="147"/>
      <c r="J8" s="147"/>
      <c r="K8" s="147"/>
      <c r="L8" s="147"/>
      <c r="M8" s="147"/>
      <c r="N8" s="146"/>
      <c r="O8" s="146"/>
    </row>
    <row r="9" spans="1:15" ht="12" customHeight="1" x14ac:dyDescent="0.15">
      <c r="A9" s="147"/>
      <c r="B9" s="164">
        <v>45169</v>
      </c>
      <c r="C9" s="147"/>
      <c r="D9" s="147"/>
      <c r="E9" s="146"/>
      <c r="F9" s="147"/>
      <c r="G9" s="146"/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45199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45230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45260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45291</v>
      </c>
      <c r="C13" s="147"/>
      <c r="D13" s="450" t="s">
        <v>106</v>
      </c>
      <c r="E13" s="450"/>
      <c r="F13" s="450"/>
      <c r="G13" s="148">
        <v>0</v>
      </c>
      <c r="H13" s="147"/>
      <c r="I13" s="147"/>
      <c r="J13" s="147"/>
      <c r="K13" s="147"/>
      <c r="L13" s="147"/>
      <c r="M13" s="147"/>
      <c r="N13" s="147"/>
      <c r="O13" s="147"/>
    </row>
    <row r="14" spans="1:15" ht="12" customHeight="1" x14ac:dyDescent="0.15">
      <c r="A14" s="147"/>
      <c r="B14" s="164">
        <v>45322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45351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45382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3.45</v>
      </c>
      <c r="M16" s="147" t="s">
        <v>436</v>
      </c>
      <c r="N16" s="147"/>
      <c r="O16" s="147"/>
    </row>
    <row r="17" spans="1:15" ht="12" customHeight="1" thickBot="1" x14ac:dyDescent="0.2">
      <c r="A17" s="147"/>
      <c r="B17" s="175">
        <v>45387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45412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45443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45473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0.09</v>
      </c>
      <c r="M20" s="451"/>
      <c r="N20" s="152">
        <v>12570</v>
      </c>
      <c r="O20" s="146" t="s">
        <v>51</v>
      </c>
    </row>
    <row r="21" spans="1:15" ht="12" customHeight="1" x14ac:dyDescent="0.15">
      <c r="A21" s="147"/>
      <c r="B21" s="164">
        <v>45688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45869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inlineStr">
        <is>
          <t>2023-24</t>
        </is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</v>
      </c>
      <c r="M23" s="451"/>
      <c r="N23" s="152">
        <v>50270</v>
      </c>
      <c r="O23" s="146" t="s">
        <v>51</v>
      </c>
    </row>
    <row r="24" spans="1:15" ht="12" customHeight="1" thickBot="1" x14ac:dyDescent="0.2">
      <c r="A24" s="147"/>
      <c r="B24" s="175" t="inlineStr">
        <is>
          <t>2024-25</t>
        </is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71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85000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6"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Terry Cartwright</dc:creator>
  <cp:lastModifiedBy>Cartwright, Antony</cp:lastModifiedBy>
  <cp:lastPrinted>2008-06-02T20:53:06Z</cp:lastPrinted>
  <dcterms:created xsi:type="dcterms:W3CDTF">2002-12-30T15:31:19Z</dcterms:created>
  <dcterms:modified xsi:type="dcterms:W3CDTF">2025-04-03T22:48:48Z</dcterms:modified>
</cp:coreProperties>
</file>