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<sst xmlns="http://schemas.openxmlformats.org/spreadsheetml/2006/main" count="182" uniqueCount="45">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</sst>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43982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IF([2]Feb!$G$4&gt;0,[2]Feb!$G$4,0)</f>
        <v>0</v>
      </c>
      <c r="N4" s="57"/>
    </row>
    <row r="5" spans="1:14" x14ac:dyDescent="0.15">
      <c r="A5" s="56"/>
      <c r="B5" s="62">
        <f>[1]Admin!$B$6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IF([2]Feb!$G$4&gt;0,[2]Feb!$G$4,0)</f>
        <v>0</v>
      </c>
      <c r="N5" s="57"/>
    </row>
    <row r="6" spans="1:14" x14ac:dyDescent="0.15">
      <c r="A6" s="56"/>
      <c r="B6" s="62">
        <f>[1]Admin!$B$8</f>
        <v>45777</v>
      </c>
      <c r="C6" s="62">
        <f t="shared" si="0"/>
        <v>45808</v>
      </c>
      <c r="D6" s="104">
        <f>[2]Feb!$H$1</f>
        <v>0</v>
      </c>
      <c r="E6" s="105">
        <f>SUM(D4:D6)</f>
        <v>0</v>
      </c>
      <c r="F6" s="105">
        <f>[2]Feb!$G$1</f>
        <v>0</v>
      </c>
      <c r="G6" s="105">
        <f>SUM(F4:F6)</f>
        <v>0</v>
      </c>
      <c r="H6" s="105">
        <f>[3]Feb!$H$1</f>
        <v>0</v>
      </c>
      <c r="I6" s="105">
        <f t="shared" ref="I6:I19" si="1">SUM(H4:H6)</f>
        <v>0</v>
      </c>
      <c r="J6" s="105">
        <f>[3]Feb!$G$1</f>
        <v>0</v>
      </c>
      <c r="K6" s="105">
        <f t="shared" ref="K6:K19" si="2">SUM(J4:J6)</f>
        <v>0</v>
      </c>
      <c r="L6" s="115"/>
      <c r="M6" s="116">
        <f>IF([2]Feb!$G$4&gt;0,[2]Feb!$G$4,0)</f>
        <v>0</v>
      </c>
      <c r="N6" s="57"/>
    </row>
    <row r="7" spans="1:14" x14ac:dyDescent="0.15">
      <c r="A7" s="56"/>
      <c r="B7" s="62">
        <f>[1]Admin!$B$10</f>
        <v>45808</v>
      </c>
      <c r="C7" s="62">
        <f t="shared" si="0"/>
        <v>45838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[1]Admin!$B$12</f>
        <v>45838</v>
      </c>
      <c r="C8" s="62">
        <f t="shared" si="0"/>
        <v>45869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[1]Admin!$B$14</f>
        <v>45869</v>
      </c>
      <c r="C9" s="62">
        <f t="shared" si="0"/>
        <v>45900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[1]Admin!$B$16</f>
        <v>45900</v>
      </c>
      <c r="C10" s="62">
        <f t="shared" si="0"/>
        <v>45930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[1]Admin!$B$18</f>
        <v>45930</v>
      </c>
      <c r="C11" s="62">
        <f t="shared" si="0"/>
        <v>45961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[1]Admin!$B$20</f>
        <v>45961</v>
      </c>
      <c r="C12" s="62">
        <f t="shared" si="0"/>
        <v>45991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IF([2]Oct!$G$4&gt;0,[2]Oct!$G$4,0)</f>
        <v>0</v>
      </c>
      <c r="N12" s="57"/>
    </row>
    <row r="13" spans="1:14" x14ac:dyDescent="0.15">
      <c r="A13" s="56"/>
      <c r="B13" s="62">
        <f>[1]Admin!$B$22</f>
        <v>45991</v>
      </c>
      <c r="C13" s="62">
        <f t="shared" si="0"/>
        <v>46022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[1]Admin!$B$24</f>
        <v>46022</v>
      </c>
      <c r="C14" s="62">
        <f t="shared" si="0"/>
        <v>46053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IF([2]Jul!$G$4&gt;0,[2]Jul!$G$4,0)</f>
        <v>0</v>
      </c>
      <c r="N14" s="57"/>
    </row>
    <row r="15" spans="1:14" x14ac:dyDescent="0.15">
      <c r="A15" s="56"/>
      <c r="B15" s="62">
        <f>[1]Admin!$B$26</f>
        <v>46053</v>
      </c>
      <c r="C15" s="62">
        <f t="shared" si="0"/>
        <v>46081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[1]Admin!$B$28</f>
        <v>46081</v>
      </c>
      <c r="C16" s="62">
        <f t="shared" si="0"/>
        <v>46112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[1]Admin!$B$30</f>
        <v>46112</v>
      </c>
      <c r="C17" s="62">
        <f t="shared" si="0"/>
        <v>46142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