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Taxi Driver 2026-04-05 (Apr26) Excel 2007/"/>
    </mc:Choice>
  </mc:AlternateContent>
  <xr:revisionPtr revIDLastSave="0" documentId="13_ncr:1_{D7958818-B4BB-6E47-A8AA-C0F970525A6F}"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<sst xmlns="http://schemas.openxmlformats.org/spreadsheetml/2006/main" count="1049" uniqueCount="316">
  <si>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</si>
  <si>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</si>
  <si>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</si>
  <si>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</si>
  <si>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</si>
  <si>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</si>
  <si>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</si>
  <si>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</si>
  <si>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</si>
  <si>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</si>
  <si>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</si>
  <si>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</si>
  <si>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</si>
  <si>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</si>
  <si>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</si>
  <si>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</si>
  <si>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</si>
  <si>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</si>
  <si>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</si>
  <si>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</si>
  <si>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</si>
  <si>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</si>
  <si>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</si>
  <si>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</si>
  <si>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</si>
  <si>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</si>
  <si>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</si>
  <si>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</si>
  <si>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</si>
  <si>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</si>
  <si>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</si>
  <si>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</si>
  <si>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</si>
  <si>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</si>
  <si>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</si>
  <si>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</si>
  <si>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</si>
  <si>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</si>
  <si>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</si>
  <si>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</si>
  <si>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</si>
  <si>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</si>
  <si>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</si>
  <si>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</si>
  <si>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</si>
  <si>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</si>
  <si>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</si>
  <si>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</si>
  <si>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</si>
  <si>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</si>
  <si>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</si>
  <si>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</si>
  <si>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</si>
  <si>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</si>
  <si>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</si>
  <si>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</si>
  <si>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</si>
  <si>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</si>
  <si>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</si>
  <si>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</si>
  <si>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</si>
  <si>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</si>
  <si>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</si>
  <si>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</si>
  <si>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</si>
  <si>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</si>
  <si>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</si>
  <si>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</si>
  <si>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</si>
  <si>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</si>
  <si>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</si>
  <si>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</si>
  <si>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</si>
  <si>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</si>
  <si>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</si>
  <si>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</si>
  <si>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</si>
  <si>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</si>
  <si>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</si>
  <si>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</si>
  <si>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</si>
  <si>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</si>
  <si>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</si>
  <si>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</si>
  <si>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</si>
  <si>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</si>
  <si>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</si>
  <si>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</si>
  <si>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</si>
  <si>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</si>
  <si>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</si>
  <si>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</si>
  <si>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</si>
  <si>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</si>
  <si>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</si>
  <si>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</si>
  <si>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</si>
  <si>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</si>
  <si>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</si>
  <si>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</si>
  <si>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</si>
  <si>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</si>
  <si>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</si>
  <si>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</si>
  <si>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</si>
  <si>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</si>
  <si>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</si>
  <si>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</si>
  <si>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</si>
  <si>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</si>
  <si>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</si>
  <si>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</si>
  <si>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</si>
  <si>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</si>
  <si>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</si>
  <si>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</si>
  <si>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</si>
  <si>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</si>
  <si>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</si>
  <si>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</si>
  <si>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</si>
  <si>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</si>
  <si>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</si>
  <si>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</si>
  <si>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</si>
  <si>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</si>
  <si>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</si>
  <si>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</si>
  <si>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</si>
  <si>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</si>
  <si>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</si>
  <si>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</si>
  <si>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</si>
  <si>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</si>
  <si>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</si>
  <si>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</si>
  <si>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</si>
  <si>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</si>
  <si>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</si>
  <si>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</si>
  <si>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</si>
  <si>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</si>
  <si>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</si>
  <si>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</si>
  <si>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</si>
  <si>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</si>
  <si>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</si>
  <si>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</si>
  <si>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</si>
  <si>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</si>
  <si>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</si>
  <si>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</si>
  <si>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</si>
  <si>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</si>
  <si>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</si>
  <si>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</si>
  <si>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</si>
  <si>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</si>
  <si>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</si>
  <si>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</si>
  <si>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</si>
  <si>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</si>
  <si>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</si>
  <si>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</si>
  <si>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</si>
  <si>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</si>
  <si>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</si>
  <si>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</si>
  <si>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</si>
  <si>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</si>
  <si>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</si>
  <si>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</si>
  <si>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</si>
  <si>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</si>
  <si>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</si>
  <si>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</si>
  <si>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</si>
  <si>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</si>
  <si>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</si>
  <si>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</si>
  <si>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</si>
  <si>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</si>
  <si>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</si>
  <si>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</si>
  <si>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</si>
  <si>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</si>
  <si>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</si>
  <si>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</si>
  <si>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</si>
  <si>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</si>
  <si>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</si>
  <si>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</si>
  <si>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</si>
  <si>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</si>
  <si>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</si>
  <si>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</si>
  <si>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</si>
  <si>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</si>
  <si>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</si>
  <si>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</si>
  <si>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</si>
  <si>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</si>
  <si>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</si>
  <si>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</si>
  <si>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</si>
  <si>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</si>
  <si>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</si>
  <si>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</si>
  <si>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</si>
  <si>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</si>
  <si>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</si>
  <si>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</si>
  <si>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</si>
  <si>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</si>
  <si>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</si>
  <si>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</si>
  <si>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</si>
  <si>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</si>
  <si>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</si>
  <si>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</si>
  <si>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</si>
  <si>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</si>
  <si>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</si>
  <si>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</si>
  <si>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</si>
  <si>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</si>
  <si>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</si>
  <si>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</si>
  <si>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</si>
  <si>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</si>
  <si>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</si>
  <si>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</si>
  <si>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</si>
  <si>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</si>
  <si>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</si>
  <si>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</si>
  <si>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</si>
  <si>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</si>
  <si>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</si>
  <si>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</si>
  <si>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</si>
  <si>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</si>
  <si>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</si>
  <si>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</si>
  <si>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</si>
  <si>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</si>
  <si>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</si>
  <si>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</si>
  <si>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</si>
  <si>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</si>
  <si>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</si>
  <si>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</si>
  <si>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</si>
  <si>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</si>
  <si>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</si>
  <si>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</si>
  <si>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</si>
  <si>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</si>
  <si>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</si>
  <si>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</si>
  <si>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</si>
  <si>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</si>
  <si>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</si>
  <si>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</si>
  <si>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</si>
  <si>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</si>
  <si>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</si>
  <si>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</si>
  <si>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</si>
  <si>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</si>
  <si>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</si>
  <si>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</si>
  <si>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</si>
  <si>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</si>
  <si>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</si>
  <si>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</si>
  <si>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</si>
  <si>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</si>
  <si>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</si>
  <si>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</si>
  <si>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</si>
  <si>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</si>
  <si>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</si>
  <si>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</si>
  <si>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</si>
  <si>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</si>
  <si>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</si>
  <si>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</si>
  <si>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</si>
  <si>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</si>
  <si>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</si>
  <si>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</si>
  <si>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</si>
  <si>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</si>
  <si>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</si>
  <si>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</si>
  <si>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</si>
  <si>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</si>
  <si>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</si>
  <si>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</si>
  <si>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</si>
  <si>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</si>
  <si>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</si>
  <si>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</si>
  <si>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</si>
  <si>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</si>
  <si>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</si>
  <si>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</si>
  <si>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</si>
  <si>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</si>
  <si>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</si>
  <si>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</si>
  <si>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</si>
  <si>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</si>
  <si>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[Financialaccountsyearto050426.xlsx]</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</si>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</sst>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168" fontId="26" fillId="3" borderId="0" xfId="0" applyNumberFormat="1" applyFont="1" applyFill="1" applyAlignment="1">
      <alignment horizontal="left"/>
    </xf>
    <xf numFmtId="0" fontId="0" fillId="3" borderId="0" xfId="0" applyFill="1" applyAlignment="1">
      <alignment horizontal="left"/>
    </xf>
    <xf numFmtId="0" fontId="26" fillId="3" borderId="0" xfId="0" applyFont="1" applyFill="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27" fillId="0" borderId="49" xfId="0" applyNumberFormat="1" applyFont="1" applyBorder="1" applyAlignment="1">
      <alignment horizontal="center" vertical="center"/>
    </xf>
    <xf numFmtId="0" fontId="11" fillId="0" borderId="47" xfId="0" applyFont="1" applyBorder="1" applyAlignment="1">
      <alignment horizontal="right"/>
    </xf>
    <xf numFmtId="0" fontId="11" fillId="0" borderId="49" xfId="0" applyFont="1" applyBorder="1" applyAlignment="1">
      <alignment horizontal="righ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8" fillId="0" borderId="50" xfId="0" applyFont="1" applyBorder="1" applyAlignment="1" applyProtection="1">
      <alignment vertical="center"/>
      <protection hidden="1"/>
    </xf>
    <xf numFmtId="168" fontId="26" fillId="3" borderId="0" xfId="0" applyNumberFormat="1" applyFont="1" applyFill="1" applyAlignment="1" applyProtection="1">
      <alignment horizontal="left"/>
      <protection hidden="1"/>
    </xf>
    <xf numFmtId="0" fontId="26" fillId="3" borderId="0" xfId="0" applyFont="1" applyFill="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0" fontId="38" fillId="0" borderId="48" xfId="0" applyFont="1" applyBorder="1" applyAlignment="1" applyProtection="1">
      <alignment vertical="center"/>
      <protection hidden="1"/>
    </xf>
    <xf numFmtId="0" fontId="38" fillId="0" borderId="39" xfId="0" applyFont="1" applyBorder="1" applyAlignment="1" applyProtection="1">
      <alignment vertical="center"/>
      <protection hidden="1"/>
    </xf>
    <xf numFmtId="0" fontId="26" fillId="0" borderId="33" xfId="0" applyFont="1" applyBorder="1" applyAlignment="1" applyProtection="1">
      <alignment vertical="center"/>
      <protection hidden="1"/>
    </xf>
    <xf numFmtId="0" fontId="38" fillId="0" borderId="33" xfId="0" applyFont="1" applyBorder="1" applyAlignment="1" applyProtection="1">
      <alignment vertical="center"/>
      <protection hidden="1"/>
    </xf>
    <xf numFmtId="0" fontId="38" fillId="0" borderId="0" xfId="0" applyFont="1" applyAlignment="1" applyProtection="1">
      <alignment vertical="center"/>
      <protection hidden="1"/>
    </xf>
    <xf numFmtId="0" fontId="11" fillId="3" borderId="22" xfId="0"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17" fontId="11" fillId="3" borderId="22" xfId="0" applyNumberFormat="1" applyFont="1" applyFill="1" applyBorder="1" applyAlignment="1" applyProtection="1">
      <alignment horizontal="center" vertical="center" wrapText="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4" fillId="3" borderId="2" xfId="3" applyFont="1" applyFill="1" applyBorder="1" applyAlignment="1" applyProtection="1">
      <alignment horizontal="center" vertical="center"/>
      <protection hidden="1"/>
    </xf>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0" fillId="2" borderId="41" xfId="0"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5" fontId="8" fillId="3" borderId="6"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0" fontId="8" fillId="0" borderId="56" xfId="0" applyFont="1" applyBorder="1" applyAlignment="1">
      <alignment horizontal="center" vertical="center" wrapText="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23" fillId="3" borderId="16" xfId="0" applyFont="1" applyFill="1"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0" fillId="3" borderId="16" xfId="0" applyFill="1" applyBorder="1" applyAlignment="1">
      <alignment horizontal="center" vertical="center" wrapText="1"/>
    </xf>
    <xf numFmtId="0" fontId="12" fillId="0" borderId="6"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23" fillId="3" borderId="0" xfId="0" applyFont="1" applyFill="1" applyProtection="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xf numFmtId="0" fontId="23" fillId="0" borderId="0" xfId="0" applyFont="1" applyProtection="1">
      <protection hidden="1"/>
    </xf>
    <xf numFmtId="0" fontId="12" fillId="0" borderId="3" xfId="0" applyFont="1" applyBorder="1" applyAlignment="1" applyProtection="1">
      <alignment horizontal="left" indent="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4" sqref="B4:E4"/>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t="s">
        <v>314</v>
      </c>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50" t="s">
        <v>133</v>
      </c>
      <c r="B1" s="351"/>
      <c r="C1" s="351"/>
      <c r="D1" s="351"/>
      <c r="E1" s="351"/>
      <c r="F1" s="351"/>
      <c r="G1" s="351"/>
      <c r="H1" s="351"/>
      <c r="I1" s="351"/>
      <c r="J1" s="351"/>
      <c r="K1" s="351"/>
      <c r="L1" s="351"/>
      <c r="M1" s="351"/>
      <c r="N1" s="351"/>
      <c r="O1" s="351"/>
      <c r="P1" s="351"/>
      <c r="Q1" s="351"/>
      <c r="R1" s="351"/>
      <c r="S1" s="351"/>
      <c r="T1" s="351"/>
      <c r="U1" s="351"/>
      <c r="V1" s="351"/>
      <c r="W1" s="352"/>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53"/>
      <c r="D5" s="354"/>
      <c r="E5" s="354"/>
      <c r="F5" s="354"/>
      <c r="G5" s="354"/>
      <c r="H5" s="354"/>
      <c r="I5" s="354"/>
      <c r="J5" s="355"/>
      <c r="K5" s="174"/>
      <c r="L5" s="174"/>
      <c r="M5" s="174"/>
      <c r="N5" s="174"/>
      <c r="O5" s="356"/>
      <c r="P5" s="357"/>
      <c r="Q5" s="174"/>
      <c r="R5" s="356"/>
      <c r="S5" s="358"/>
      <c r="T5" s="358"/>
      <c r="U5" s="357"/>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53" t="s">
        <v>213</v>
      </c>
      <c r="D8" s="354"/>
      <c r="E8" s="354"/>
      <c r="F8" s="354"/>
      <c r="G8" s="354"/>
      <c r="H8" s="354"/>
      <c r="I8" s="354"/>
      <c r="J8" s="355"/>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53"/>
      <c r="D10" s="354"/>
      <c r="E10" s="354"/>
      <c r="F10" s="354"/>
      <c r="G10" s="354"/>
      <c r="H10" s="354"/>
      <c r="I10" s="354"/>
      <c r="J10" s="355"/>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53"/>
      <c r="D12" s="354"/>
      <c r="E12" s="354"/>
      <c r="F12" s="354"/>
      <c r="G12" s="354"/>
      <c r="H12" s="354"/>
      <c r="I12" s="354"/>
      <c r="J12" s="355"/>
      <c r="K12" s="174"/>
      <c r="L12" s="178">
        <v>5</v>
      </c>
      <c r="M12" s="174"/>
      <c r="N12" s="175" t="s">
        <v>139</v>
      </c>
      <c r="O12" s="175"/>
      <c r="P12" s="175"/>
      <c r="Q12" s="175"/>
      <c r="R12" s="179"/>
      <c r="S12" s="359">
        <f>Admin!B4</f>
        <v>45753</v>
      </c>
      <c r="T12" s="360"/>
      <c r="U12" s="360"/>
      <c r="V12" s="360"/>
      <c r="W12" s="181"/>
    </row>
    <row r="13" spans="1:23" ht="11.25" customHeight="1" x14ac:dyDescent="0.15">
      <c r="A13" s="182"/>
      <c r="B13" s="174"/>
      <c r="C13" s="174"/>
      <c r="D13" s="174"/>
      <c r="E13" s="174"/>
      <c r="F13" s="174"/>
      <c r="G13" s="174"/>
      <c r="H13" s="174"/>
      <c r="I13" s="174"/>
      <c r="J13" s="174"/>
      <c r="K13" s="174"/>
      <c r="L13" s="174"/>
      <c r="M13" s="174"/>
      <c r="N13" s="361" t="s">
        <v>140</v>
      </c>
      <c r="O13" s="361"/>
      <c r="P13" s="361"/>
      <c r="Q13" s="361"/>
      <c r="R13" s="361"/>
      <c r="S13" s="361"/>
      <c r="T13" s="361"/>
      <c r="U13" s="361"/>
      <c r="V13" s="361"/>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62"/>
      <c r="O15" s="363"/>
      <c r="P15" s="363"/>
      <c r="Q15" s="364"/>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65"/>
      <c r="D17" s="366"/>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9">
        <f>Admin!B17</f>
        <v>46117</v>
      </c>
      <c r="T18" s="367"/>
      <c r="U18" s="368"/>
      <c r="V18" s="368"/>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62"/>
      <c r="O21" s="363"/>
      <c r="P21" s="363"/>
      <c r="Q21" s="372"/>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62">
        <f>Admin!B17</f>
        <v>46117</v>
      </c>
      <c r="O25" s="363"/>
      <c r="P25" s="363"/>
      <c r="Q25" s="372"/>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73"/>
      <c r="E29" s="374"/>
      <c r="F29" s="375"/>
      <c r="G29" s="194" t="s">
        <v>153</v>
      </c>
      <c r="H29" s="195">
        <v>0</v>
      </c>
      <c r="I29" s="195">
        <v>0</v>
      </c>
      <c r="J29" s="174"/>
      <c r="K29" s="174"/>
      <c r="L29" s="175"/>
      <c r="M29" s="174"/>
      <c r="N29" s="193" t="s">
        <v>50</v>
      </c>
      <c r="O29" s="373"/>
      <c r="P29" s="376"/>
      <c r="Q29" s="377"/>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69">
        <f>'SE Short'!O94</f>
        <v>0</v>
      </c>
      <c r="E34" s="370"/>
      <c r="F34" s="371"/>
      <c r="G34" s="194" t="s">
        <v>153</v>
      </c>
      <c r="H34" s="195">
        <v>0</v>
      </c>
      <c r="I34" s="195">
        <v>0</v>
      </c>
      <c r="J34" s="174"/>
      <c r="K34" s="174"/>
      <c r="L34" s="174"/>
      <c r="M34" s="174"/>
      <c r="N34" s="193" t="s">
        <v>50</v>
      </c>
      <c r="O34" s="369">
        <f>D29-D34+'SE Short'!O106</f>
        <v>0</v>
      </c>
      <c r="P34" s="370"/>
      <c r="Q34" s="371"/>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C17:D17"/>
    <mergeCell ref="S18:V18"/>
    <mergeCell ref="D34:F34"/>
    <mergeCell ref="O34:Q34"/>
    <mergeCell ref="N21:Q21"/>
    <mergeCell ref="N25:Q25"/>
    <mergeCell ref="D29:F29"/>
    <mergeCell ref="O29:Q29"/>
    <mergeCell ref="C10:J10"/>
    <mergeCell ref="C12:J12"/>
    <mergeCell ref="S12:V12"/>
    <mergeCell ref="N13:V13"/>
    <mergeCell ref="N15:Q15"/>
    <mergeCell ref="A1:W1"/>
    <mergeCell ref="C5:J5"/>
    <mergeCell ref="O5:P5"/>
    <mergeCell ref="R5:U5"/>
    <mergeCell ref="C8:J8"/>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384" t="s">
        <v>157</v>
      </c>
      <c r="B1" s="384"/>
      <c r="C1" s="384"/>
      <c r="D1" s="384"/>
      <c r="E1" s="384"/>
      <c r="F1" s="384"/>
      <c r="G1" s="385" t="s">
        <v>281</v>
      </c>
      <c r="H1" s="385"/>
      <c r="I1" s="385"/>
      <c r="J1" s="385"/>
      <c r="K1" s="385"/>
      <c r="L1" s="385"/>
      <c r="M1" s="385"/>
      <c r="N1" s="385"/>
      <c r="O1" s="386" t="s">
        <v>158</v>
      </c>
      <c r="P1" s="386"/>
      <c r="Q1" s="386"/>
      <c r="R1" s="386"/>
      <c r="S1" s="386"/>
      <c r="T1" s="386"/>
      <c r="U1" s="386"/>
      <c r="V1" s="386"/>
      <c r="W1" s="386"/>
    </row>
    <row r="2" spans="1:23" ht="30" customHeight="1" x14ac:dyDescent="0.15">
      <c r="A2" s="384"/>
      <c r="B2" s="384"/>
      <c r="C2" s="384"/>
      <c r="D2" s="384"/>
      <c r="E2" s="384"/>
      <c r="F2" s="384"/>
      <c r="G2" s="385"/>
      <c r="H2" s="385"/>
      <c r="I2" s="385"/>
      <c r="J2" s="385"/>
      <c r="K2" s="385"/>
      <c r="L2" s="385"/>
      <c r="M2" s="385"/>
      <c r="N2" s="385"/>
      <c r="O2" s="387" t="s">
        <v>159</v>
      </c>
      <c r="P2" s="387"/>
      <c r="Q2" s="388">
        <f>Admin!B4</f>
        <v>45753</v>
      </c>
      <c r="R2" s="388"/>
      <c r="S2" s="388"/>
      <c r="T2" s="388"/>
      <c r="U2" s="205" t="s">
        <v>160</v>
      </c>
      <c r="V2" s="388">
        <f>Admin!B17</f>
        <v>46117</v>
      </c>
      <c r="W2" s="388"/>
    </row>
    <row r="3" spans="1:23" ht="8.25" customHeight="1" x14ac:dyDescent="0.15">
      <c r="A3" s="389"/>
      <c r="B3" s="389"/>
      <c r="C3" s="389"/>
      <c r="D3" s="389"/>
      <c r="E3" s="389"/>
      <c r="F3" s="389"/>
      <c r="G3" s="389"/>
      <c r="H3" s="389"/>
      <c r="I3" s="389"/>
      <c r="J3" s="389"/>
      <c r="K3" s="389"/>
      <c r="L3" s="389"/>
      <c r="M3" s="389"/>
      <c r="N3" s="389"/>
      <c r="O3" s="389"/>
      <c r="P3" s="389"/>
      <c r="Q3" s="389"/>
      <c r="R3" s="389"/>
      <c r="S3" s="389"/>
      <c r="T3" s="389"/>
      <c r="U3" s="389"/>
      <c r="V3" s="389"/>
      <c r="W3" s="389"/>
    </row>
    <row r="4" spans="1:23" ht="10" customHeight="1" x14ac:dyDescent="0.15">
      <c r="A4" s="390"/>
      <c r="B4" s="390"/>
      <c r="C4" s="390"/>
      <c r="D4" s="390"/>
      <c r="E4" s="390"/>
      <c r="F4" s="390"/>
      <c r="G4" s="390"/>
      <c r="H4" s="390"/>
      <c r="I4" s="390"/>
      <c r="J4" s="390"/>
      <c r="K4" s="390"/>
      <c r="L4" s="390"/>
      <c r="M4" s="390"/>
      <c r="N4" s="390"/>
      <c r="O4" s="390"/>
      <c r="P4" s="390"/>
      <c r="Q4" s="390"/>
      <c r="R4" s="390"/>
      <c r="S4" s="390"/>
      <c r="T4" s="390"/>
      <c r="U4" s="390"/>
      <c r="V4" s="390"/>
      <c r="W4" s="390"/>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1" t="str">
        <f>IF('Business Details'!C5&gt;0,'Business Details'!C5," ")</f>
        <v xml:space="preserve"> </v>
      </c>
      <c r="D8" s="392"/>
      <c r="E8" s="392"/>
      <c r="F8" s="392"/>
      <c r="G8" s="392"/>
      <c r="H8" s="392"/>
      <c r="I8" s="392"/>
      <c r="J8" s="393"/>
      <c r="K8" s="249"/>
      <c r="L8" s="249"/>
      <c r="M8" s="249"/>
      <c r="N8" s="249"/>
      <c r="O8" s="394" t="str">
        <f>IF('Business Details'!O5&gt;0,'Business Details'!O5," ")</f>
        <v xml:space="preserve"> </v>
      </c>
      <c r="P8" s="395"/>
      <c r="Q8" s="249"/>
      <c r="R8" s="394" t="str">
        <f>IF('Business Details'!R5&gt;0,'Business Details'!R5," ")</f>
        <v xml:space="preserve"> </v>
      </c>
      <c r="S8" s="396"/>
      <c r="T8" s="396"/>
      <c r="U8" s="395"/>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7" t="s">
        <v>33</v>
      </c>
      <c r="B10" s="397"/>
      <c r="C10" s="397"/>
      <c r="D10" s="397"/>
      <c r="E10" s="397"/>
      <c r="F10" s="397"/>
      <c r="G10" s="397"/>
      <c r="H10" s="397"/>
      <c r="I10" s="397"/>
      <c r="J10" s="397"/>
      <c r="K10" s="397"/>
      <c r="L10" s="397"/>
      <c r="M10" s="397"/>
      <c r="N10" s="397"/>
      <c r="O10" s="397"/>
      <c r="P10" s="397"/>
      <c r="Q10" s="397"/>
      <c r="R10" s="397"/>
      <c r="S10" s="397"/>
      <c r="T10" s="397"/>
      <c r="U10" s="397"/>
      <c r="V10" s="397"/>
      <c r="W10" s="397"/>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1" t="str">
        <f>IF('Business Details'!C8&gt;0,'Business Details'!C8," ")</f>
        <v>Taxi Driver</v>
      </c>
      <c r="D13" s="392"/>
      <c r="E13" s="392"/>
      <c r="F13" s="392"/>
      <c r="G13" s="392"/>
      <c r="H13" s="392"/>
      <c r="I13" s="392"/>
      <c r="J13" s="393"/>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1" t="str">
        <f>IF('Business Details'!C10&gt;0,'Business Details'!C10," ")</f>
        <v xml:space="preserve"> </v>
      </c>
      <c r="D15" s="392"/>
      <c r="E15" s="392"/>
      <c r="F15" s="392"/>
      <c r="G15" s="392"/>
      <c r="H15" s="392"/>
      <c r="I15" s="392"/>
      <c r="J15" s="393"/>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1" t="str">
        <f>IF('Business Details'!C12&gt;0,'Business Details'!C12," ")</f>
        <v xml:space="preserve"> </v>
      </c>
      <c r="D17" s="392"/>
      <c r="E17" s="392"/>
      <c r="F17" s="392"/>
      <c r="G17" s="392"/>
      <c r="H17" s="392"/>
      <c r="I17" s="392"/>
      <c r="J17" s="393"/>
      <c r="K17" s="158"/>
      <c r="L17" s="219">
        <v>5</v>
      </c>
      <c r="M17" s="158"/>
      <c r="N17" s="210" t="s">
        <v>139</v>
      </c>
      <c r="O17" s="210"/>
      <c r="P17" s="210"/>
      <c r="Q17" s="210"/>
      <c r="R17" s="220"/>
      <c r="S17" s="398">
        <f>Admin!B4</f>
        <v>45753</v>
      </c>
      <c r="T17" s="398"/>
      <c r="U17" s="398"/>
      <c r="V17" s="398"/>
      <c r="W17" s="222"/>
    </row>
    <row r="18" spans="1:23" ht="12" customHeight="1" x14ac:dyDescent="0.15">
      <c r="A18" s="223"/>
      <c r="B18" s="158"/>
      <c r="C18" s="158"/>
      <c r="D18" s="158"/>
      <c r="E18" s="158"/>
      <c r="F18" s="158"/>
      <c r="G18" s="158"/>
      <c r="H18" s="158"/>
      <c r="I18" s="158"/>
      <c r="J18" s="158"/>
      <c r="K18" s="158"/>
      <c r="L18" s="158"/>
      <c r="M18" s="158"/>
      <c r="N18" s="399" t="s">
        <v>161</v>
      </c>
      <c r="O18" s="399"/>
      <c r="P18" s="399"/>
      <c r="Q18" s="399"/>
      <c r="R18" s="399"/>
      <c r="S18" s="399"/>
      <c r="T18" s="399"/>
      <c r="U18" s="399"/>
      <c r="V18" s="399"/>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400" t="str">
        <f>IF('Business Details'!N15&gt;0,'Business Details'!N15," ")</f>
        <v xml:space="preserve"> </v>
      </c>
      <c r="O20" s="401"/>
      <c r="P20" s="401"/>
      <c r="Q20" s="402"/>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403" t="str">
        <f>IF('Business Details'!C17&gt;0,'Business Details'!C17," ")</f>
        <v xml:space="preserve"> </v>
      </c>
      <c r="D22" s="404"/>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8">
        <f>Admin!B17</f>
        <v>46117</v>
      </c>
      <c r="T23" s="398"/>
      <c r="U23" s="398"/>
      <c r="V23" s="398"/>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400" t="str">
        <f>IF('Business Details'!N21&gt;0,'Business Details'!N21," ")</f>
        <v xml:space="preserve"> </v>
      </c>
      <c r="O26" s="401"/>
      <c r="P26" s="401"/>
      <c r="Q26" s="402"/>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400">
        <f>Admin!B17</f>
        <v>46117</v>
      </c>
      <c r="O31" s="401"/>
      <c r="P31" s="401"/>
      <c r="Q31" s="402"/>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405" t="str">
        <f>"Business income - if your annual turnover was below £"&amp;Admin!F26&amp;" VAT threshold"</f>
        <v>Business income - if your annual turnover was below £90000 VAT threshold</v>
      </c>
      <c r="B33" s="405"/>
      <c r="C33" s="405"/>
      <c r="D33" s="405"/>
      <c r="E33" s="405"/>
      <c r="F33" s="405"/>
      <c r="G33" s="405"/>
      <c r="H33" s="405"/>
      <c r="I33" s="405"/>
      <c r="J33" s="405"/>
      <c r="K33" s="405"/>
      <c r="L33" s="405"/>
      <c r="M33" s="405"/>
      <c r="N33" s="405"/>
      <c r="O33" s="405"/>
      <c r="P33" s="405"/>
      <c r="Q33" s="405"/>
      <c r="R33" s="405"/>
      <c r="S33" s="405"/>
      <c r="T33" s="405"/>
      <c r="U33" s="405"/>
      <c r="V33" s="405"/>
      <c r="W33" s="405"/>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8">
        <f>'Profit &amp; Loss Acc'!B5</f>
        <v>0</v>
      </c>
      <c r="E38" s="379"/>
      <c r="F38" s="380"/>
      <c r="G38" s="234" t="s">
        <v>153</v>
      </c>
      <c r="H38" s="235">
        <v>0</v>
      </c>
      <c r="I38" s="235">
        <v>0</v>
      </c>
      <c r="J38" s="158"/>
      <c r="K38" s="158"/>
      <c r="L38" s="158"/>
      <c r="M38" s="158"/>
      <c r="N38" s="233" t="s">
        <v>50</v>
      </c>
      <c r="O38" s="378"/>
      <c r="P38" s="379"/>
      <c r="Q38" s="380"/>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406" t="s">
        <v>166</v>
      </c>
      <c r="B40" s="406"/>
      <c r="C40" s="406"/>
      <c r="D40" s="406"/>
      <c r="E40" s="406"/>
      <c r="F40" s="406"/>
      <c r="G40" s="406"/>
      <c r="H40" s="406"/>
      <c r="I40" s="406"/>
      <c r="J40" s="406"/>
      <c r="K40" s="406"/>
      <c r="L40" s="406"/>
      <c r="M40" s="406"/>
      <c r="N40" s="406"/>
      <c r="O40" s="406"/>
      <c r="P40" s="406"/>
      <c r="Q40" s="406"/>
      <c r="R40" s="406"/>
      <c r="S40" s="406"/>
      <c r="T40" s="406"/>
      <c r="U40" s="406"/>
      <c r="V40" s="406"/>
      <c r="W40" s="406"/>
    </row>
    <row r="41" spans="1:23" s="238" customFormat="1" ht="14" customHeight="1" x14ac:dyDescent="0.15">
      <c r="A41" s="381" t="s">
        <v>167</v>
      </c>
      <c r="B41" s="381"/>
      <c r="C41" s="381"/>
      <c r="D41" s="381"/>
      <c r="E41" s="381"/>
      <c r="F41" s="381"/>
      <c r="G41" s="381"/>
      <c r="H41" s="381"/>
      <c r="I41" s="381"/>
      <c r="J41" s="381"/>
      <c r="K41" s="381"/>
      <c r="L41" s="381"/>
      <c r="M41" s="381"/>
      <c r="N41" s="381"/>
      <c r="O41" s="381"/>
      <c r="P41" s="381"/>
      <c r="Q41" s="381"/>
      <c r="R41" s="381"/>
      <c r="S41" s="381"/>
      <c r="T41" s="381"/>
      <c r="U41" s="381"/>
      <c r="V41" s="381"/>
      <c r="W41" s="381"/>
    </row>
    <row r="42" spans="1:23" s="238" customFormat="1" ht="14" customHeight="1" x14ac:dyDescent="0.15">
      <c r="A42" s="407" t="s">
        <v>168</v>
      </c>
      <c r="B42" s="407"/>
      <c r="C42" s="407"/>
      <c r="D42" s="407"/>
      <c r="E42" s="407"/>
      <c r="F42" s="407"/>
      <c r="G42" s="407"/>
      <c r="H42" s="407"/>
      <c r="I42" s="407"/>
      <c r="J42" s="407"/>
      <c r="K42" s="407"/>
      <c r="L42" s="407"/>
      <c r="M42" s="407"/>
      <c r="N42" s="407"/>
      <c r="O42" s="407"/>
      <c r="P42" s="407"/>
      <c r="Q42" s="407"/>
      <c r="R42" s="407"/>
      <c r="S42" s="407"/>
      <c r="T42" s="407"/>
      <c r="U42" s="407"/>
      <c r="V42" s="407"/>
      <c r="W42" s="407"/>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8" t="str">
        <f>IF(('Profit &amp; Loss Acc'!B5&lt;30000)," ",'Profit &amp; Loss Acc'!B12-'Profit &amp; Loss Acc'!B10)</f>
        <v xml:space="preserve"> </v>
      </c>
      <c r="E46" s="379"/>
      <c r="F46" s="380"/>
      <c r="G46" s="234" t="s">
        <v>153</v>
      </c>
      <c r="H46" s="235">
        <v>0</v>
      </c>
      <c r="I46" s="235">
        <v>0</v>
      </c>
      <c r="J46" s="158"/>
      <c r="K46" s="158"/>
      <c r="L46" s="158"/>
      <c r="M46" s="158"/>
      <c r="N46" s="233" t="s">
        <v>50</v>
      </c>
      <c r="O46" s="378" t="str">
        <f>IF(('Profit &amp; Loss Acc'!B5&lt;30000)," ",'Profit &amp; Loss Acc'!B18)</f>
        <v xml:space="preserve"> </v>
      </c>
      <c r="P46" s="379"/>
      <c r="Q46" s="380"/>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8"/>
      <c r="E51" s="379"/>
      <c r="F51" s="380"/>
      <c r="G51" s="234" t="s">
        <v>153</v>
      </c>
      <c r="H51" s="235">
        <v>0</v>
      </c>
      <c r="I51" s="235">
        <v>0</v>
      </c>
      <c r="J51" s="158"/>
      <c r="K51" s="158"/>
      <c r="L51" s="158"/>
      <c r="M51" s="158"/>
      <c r="N51" s="233" t="s">
        <v>50</v>
      </c>
      <c r="O51" s="378" t="str">
        <f>IF(('Profit &amp; Loss Acc'!B5&lt;30000)," ",'Profit &amp; Loss Acc'!B19+'Profit &amp; Loss Acc'!B20)</f>
        <v xml:space="preserve"> </v>
      </c>
      <c r="P51" s="379"/>
      <c r="Q51" s="380"/>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8" t="str">
        <f>IF(('Profit &amp; Loss Acc'!B5&lt;30000)," ",'Profit &amp; Loss Acc'!B14)</f>
        <v xml:space="preserve"> </v>
      </c>
      <c r="E55" s="379"/>
      <c r="F55" s="380"/>
      <c r="G55" s="234" t="s">
        <v>153</v>
      </c>
      <c r="H55" s="235">
        <v>0</v>
      </c>
      <c r="I55" s="235">
        <v>0</v>
      </c>
      <c r="J55" s="158"/>
      <c r="K55" s="158"/>
      <c r="L55" s="158"/>
      <c r="M55" s="158"/>
      <c r="N55" s="233" t="s">
        <v>50</v>
      </c>
      <c r="O55" s="378" t="str">
        <f>IF(('Profit &amp; Loss Acc'!B5&lt;30000)," ",'Profit &amp; Loss Acc'!B16)</f>
        <v xml:space="preserve"> </v>
      </c>
      <c r="P55" s="379"/>
      <c r="Q55" s="380"/>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8" t="str">
        <f>IF(('Profit &amp; Loss Acc'!B5&lt;30000)," ",'Profit &amp; Loss Acc'!B15)</f>
        <v xml:space="preserve"> </v>
      </c>
      <c r="E60" s="379"/>
      <c r="F60" s="380"/>
      <c r="G60" s="234" t="s">
        <v>153</v>
      </c>
      <c r="H60" s="235">
        <v>0</v>
      </c>
      <c r="I60" s="235">
        <v>0</v>
      </c>
      <c r="J60" s="158"/>
      <c r="K60" s="158"/>
      <c r="L60" s="158"/>
      <c r="M60" s="158"/>
      <c r="N60" s="233" t="s">
        <v>50</v>
      </c>
      <c r="O60" s="378" t="str">
        <f>IF(('Profit &amp; Loss Acc'!B5&lt;30000)," ",'Profit &amp; Loss Acc'!B17+'Profit &amp; Loss Acc'!B21)</f>
        <v xml:space="preserve"> </v>
      </c>
      <c r="P60" s="379"/>
      <c r="Q60" s="380"/>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8"/>
      <c r="E64" s="379"/>
      <c r="F64" s="380"/>
      <c r="G64" s="234" t="s">
        <v>153</v>
      </c>
      <c r="H64" s="235">
        <v>0</v>
      </c>
      <c r="I64" s="235">
        <v>0</v>
      </c>
      <c r="J64" s="158"/>
      <c r="K64" s="158"/>
      <c r="L64" s="158"/>
      <c r="M64" s="158"/>
      <c r="N64" s="233" t="s">
        <v>50</v>
      </c>
      <c r="O64" s="378">
        <f>'Profit &amp; Loss Acc'!B12+'Profit &amp; Loss Acc'!B22-'Profit &amp; Loss Acc'!B10</f>
        <v>0</v>
      </c>
      <c r="P64" s="379"/>
      <c r="Q64" s="380"/>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408" t="s">
        <v>181</v>
      </c>
      <c r="B66" s="408"/>
      <c r="C66" s="408"/>
      <c r="D66" s="408"/>
      <c r="E66" s="408"/>
      <c r="F66" s="408"/>
      <c r="G66" s="408"/>
      <c r="H66" s="408"/>
      <c r="I66" s="408"/>
      <c r="J66" s="408"/>
      <c r="K66" s="408"/>
      <c r="L66" s="408"/>
      <c r="M66" s="408"/>
      <c r="N66" s="408"/>
      <c r="O66" s="408"/>
      <c r="P66" s="408"/>
      <c r="Q66" s="408"/>
      <c r="R66" s="408"/>
      <c r="S66" s="408"/>
      <c r="T66" s="408"/>
      <c r="U66" s="408"/>
      <c r="V66" s="408"/>
      <c r="W66" s="408"/>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8">
        <f>IF((D38+O38-O64)&gt;=0,D38+O38-O64,0)</f>
        <v>0</v>
      </c>
      <c r="E71" s="379"/>
      <c r="F71" s="380"/>
      <c r="G71" s="234" t="s">
        <v>153</v>
      </c>
      <c r="H71" s="235">
        <v>0</v>
      </c>
      <c r="I71" s="235">
        <v>0</v>
      </c>
      <c r="J71" s="158"/>
      <c r="K71" s="158"/>
      <c r="L71" s="158"/>
      <c r="M71" s="158"/>
      <c r="N71" s="233" t="s">
        <v>50</v>
      </c>
      <c r="O71" s="378">
        <f>IF((D38+O38-O64)&lt;0,-D38-O38+O64,0)</f>
        <v>0</v>
      </c>
      <c r="P71" s="379"/>
      <c r="Q71" s="380"/>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409" t="s">
        <v>186</v>
      </c>
      <c r="B73" s="409"/>
      <c r="C73" s="409"/>
      <c r="D73" s="409"/>
      <c r="E73" s="409"/>
      <c r="F73" s="409"/>
      <c r="G73" s="409"/>
      <c r="H73" s="409"/>
      <c r="I73" s="409"/>
      <c r="J73" s="409"/>
      <c r="K73" s="409"/>
      <c r="L73" s="409"/>
      <c r="M73" s="409"/>
      <c r="N73" s="409"/>
      <c r="O73" s="409"/>
      <c r="P73" s="409"/>
      <c r="Q73" s="409"/>
      <c r="R73" s="409"/>
      <c r="S73" s="409"/>
      <c r="T73" s="409"/>
      <c r="U73" s="409"/>
      <c r="V73" s="409"/>
      <c r="W73" s="409"/>
      <c r="Y73" s="241"/>
      <c r="Z73" s="241"/>
    </row>
    <row r="74" spans="1:26" ht="14" customHeight="1" x14ac:dyDescent="0.15">
      <c r="A74" s="381" t="s">
        <v>187</v>
      </c>
      <c r="B74" s="381"/>
      <c r="C74" s="381"/>
      <c r="D74" s="381"/>
      <c r="E74" s="381"/>
      <c r="F74" s="381"/>
      <c r="G74" s="381"/>
      <c r="H74" s="381"/>
      <c r="I74" s="381"/>
      <c r="J74" s="381"/>
      <c r="K74" s="381"/>
      <c r="L74" s="381"/>
      <c r="M74" s="381"/>
      <c r="N74" s="381"/>
      <c r="O74" s="381"/>
      <c r="P74" s="381"/>
      <c r="Q74" s="381"/>
      <c r="R74" s="381"/>
      <c r="S74" s="381"/>
      <c r="T74" s="381"/>
      <c r="U74" s="381"/>
      <c r="V74" s="381"/>
      <c r="W74" s="381"/>
    </row>
    <row r="75" spans="1:26" ht="14" customHeight="1" x14ac:dyDescent="0.15">
      <c r="A75" s="381" t="s">
        <v>188</v>
      </c>
      <c r="B75" s="381"/>
      <c r="C75" s="381"/>
      <c r="D75" s="381"/>
      <c r="E75" s="381"/>
      <c r="F75" s="381"/>
      <c r="G75" s="381"/>
      <c r="H75" s="381"/>
      <c r="I75" s="381"/>
      <c r="J75" s="381"/>
      <c r="K75" s="381"/>
      <c r="L75" s="381"/>
      <c r="M75" s="381"/>
      <c r="N75" s="381"/>
      <c r="O75" s="381"/>
      <c r="P75" s="381"/>
      <c r="Q75" s="381"/>
      <c r="R75" s="381"/>
      <c r="S75" s="381"/>
      <c r="T75" s="381"/>
      <c r="U75" s="381"/>
      <c r="V75" s="381"/>
      <c r="W75" s="381"/>
      <c r="Y75" s="241"/>
      <c r="Z75" s="241"/>
    </row>
    <row r="76" spans="1:26" ht="13.5" customHeight="1" x14ac:dyDescent="0.15">
      <c r="A76" s="381" t="s">
        <v>189</v>
      </c>
      <c r="B76" s="381"/>
      <c r="C76" s="381"/>
      <c r="D76" s="381"/>
      <c r="E76" s="381"/>
      <c r="F76" s="381"/>
      <c r="G76" s="381"/>
      <c r="H76" s="381"/>
      <c r="I76" s="381"/>
      <c r="J76" s="381"/>
      <c r="K76" s="381"/>
      <c r="L76" s="381"/>
      <c r="M76" s="381"/>
      <c r="N76" s="381"/>
      <c r="O76" s="381"/>
      <c r="P76" s="381"/>
      <c r="Q76" s="381"/>
      <c r="R76" s="381"/>
      <c r="S76" s="381"/>
      <c r="T76" s="381"/>
      <c r="U76" s="381"/>
      <c r="V76" s="381"/>
      <c r="W76" s="381"/>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8">
        <f>IF(('Fixed Assets'!I1)&gt;0,'Fixed Assets'!I1,0)</f>
        <v>0</v>
      </c>
      <c r="E80" s="379"/>
      <c r="F80" s="380"/>
      <c r="G80" s="234" t="s">
        <v>153</v>
      </c>
      <c r="H80" s="235">
        <v>0</v>
      </c>
      <c r="I80" s="235">
        <v>0</v>
      </c>
      <c r="J80" s="210"/>
      <c r="K80" s="210"/>
      <c r="L80" s="210"/>
      <c r="M80" s="158"/>
      <c r="N80" s="233" t="s">
        <v>50</v>
      </c>
      <c r="O80" s="378">
        <f>IF(('Fixed Assets'!J1+'Fixed Assets'!P1)&gt;0,'Fixed Assets'!J1+'Fixed Assets'!P1,0)</f>
        <v>0</v>
      </c>
      <c r="P80" s="379"/>
      <c r="Q80" s="380"/>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8">
        <f>IF(('Fixed Assets'!K1+'Fixed Assets'!J1)&lt;1000,'Fixed Assets'!K1,0)</f>
        <v>0</v>
      </c>
      <c r="E85" s="379"/>
      <c r="F85" s="380"/>
      <c r="G85" s="234" t="s">
        <v>153</v>
      </c>
      <c r="H85" s="235">
        <v>0</v>
      </c>
      <c r="I85" s="235">
        <v>0</v>
      </c>
      <c r="J85" s="210"/>
      <c r="K85" s="210"/>
      <c r="L85" s="158"/>
      <c r="M85" s="158"/>
      <c r="N85" s="233" t="s">
        <v>50</v>
      </c>
      <c r="O85" s="378">
        <f>IF('Fixed Assets'!Q1&gt;0,'Fixed Assets'!Q1,0)</f>
        <v>0</v>
      </c>
      <c r="P85" s="379"/>
      <c r="Q85" s="380"/>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406" t="s">
        <v>191</v>
      </c>
      <c r="B87" s="406"/>
      <c r="C87" s="406"/>
      <c r="D87" s="406"/>
      <c r="E87" s="406"/>
      <c r="F87" s="406"/>
      <c r="G87" s="406"/>
      <c r="H87" s="406"/>
      <c r="I87" s="406"/>
      <c r="J87" s="406"/>
      <c r="K87" s="406"/>
      <c r="L87" s="406"/>
      <c r="M87" s="406"/>
      <c r="N87" s="406"/>
      <c r="O87" s="406"/>
      <c r="P87" s="406"/>
      <c r="Q87" s="406"/>
      <c r="R87" s="406"/>
      <c r="S87" s="406"/>
      <c r="T87" s="406"/>
      <c r="U87" s="406"/>
      <c r="V87" s="406"/>
      <c r="W87" s="406"/>
    </row>
    <row r="88" spans="1:23" ht="16" customHeight="1" x14ac:dyDescent="0.15">
      <c r="A88" s="381" t="s">
        <v>192</v>
      </c>
      <c r="B88" s="381"/>
      <c r="C88" s="381"/>
      <c r="D88" s="381"/>
      <c r="E88" s="381"/>
      <c r="F88" s="381"/>
      <c r="G88" s="381"/>
      <c r="H88" s="381"/>
      <c r="I88" s="381"/>
      <c r="J88" s="381"/>
      <c r="K88" s="381"/>
      <c r="L88" s="381"/>
      <c r="M88" s="381"/>
      <c r="N88" s="381"/>
      <c r="O88" s="381"/>
      <c r="P88" s="381"/>
      <c r="Q88" s="381"/>
      <c r="R88" s="381"/>
      <c r="S88" s="381"/>
      <c r="T88" s="381"/>
      <c r="U88" s="381"/>
      <c r="V88" s="381"/>
      <c r="W88" s="381"/>
    </row>
    <row r="89" spans="1:23" ht="15.75" customHeight="1" x14ac:dyDescent="0.15">
      <c r="A89" s="381" t="s">
        <v>193</v>
      </c>
      <c r="B89" s="381"/>
      <c r="C89" s="381"/>
      <c r="D89" s="381"/>
      <c r="E89" s="381"/>
      <c r="F89" s="381"/>
      <c r="G89" s="381"/>
      <c r="H89" s="381"/>
      <c r="I89" s="381"/>
      <c r="J89" s="381"/>
      <c r="K89" s="381"/>
      <c r="L89" s="381"/>
      <c r="M89" s="381"/>
      <c r="N89" s="381"/>
      <c r="O89" s="381"/>
      <c r="P89" s="381"/>
      <c r="Q89" s="381"/>
      <c r="R89" s="381"/>
      <c r="S89" s="381"/>
      <c r="T89" s="381"/>
      <c r="U89" s="381"/>
      <c r="V89" s="381"/>
      <c r="W89" s="381"/>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8">
        <f>'Business Details'!O29</f>
        <v>0</v>
      </c>
      <c r="E94" s="379"/>
      <c r="F94" s="380"/>
      <c r="G94" s="234" t="s">
        <v>153</v>
      </c>
      <c r="H94" s="235">
        <v>0</v>
      </c>
      <c r="I94" s="235">
        <v>0</v>
      </c>
      <c r="J94" s="158"/>
      <c r="K94" s="158"/>
      <c r="L94" s="158"/>
      <c r="M94" s="158"/>
      <c r="N94" s="233" t="s">
        <v>50</v>
      </c>
      <c r="O94" s="378">
        <f>IF(O106&gt;0,0,IF('Business Details'!D29=0,0,IF(D99&gt;'Business Details'!D29,'Business Details'!D29,D99)))</f>
        <v>0</v>
      </c>
      <c r="P94" s="379"/>
      <c r="Q94" s="380"/>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8">
        <f>IF((D71+O85+D94-O71-D80-D85-O80)&gt;0,D71+O85+D94-O71-D80-D85-O80,0)</f>
        <v>0</v>
      </c>
      <c r="E99" s="379"/>
      <c r="F99" s="380"/>
      <c r="G99" s="234" t="s">
        <v>153</v>
      </c>
      <c r="H99" s="235">
        <v>0</v>
      </c>
      <c r="I99" s="235">
        <v>0</v>
      </c>
      <c r="J99" s="158"/>
      <c r="K99" s="158"/>
      <c r="L99" s="210"/>
      <c r="M99" s="158"/>
      <c r="N99" s="233" t="s">
        <v>50</v>
      </c>
      <c r="O99" s="378">
        <f>'Profit &amp; Loss Acc'!B24</f>
        <v>0</v>
      </c>
      <c r="P99" s="379"/>
      <c r="Q99" s="380"/>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409" t="s">
        <v>198</v>
      </c>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8">
        <f>IF((D99+O99-O94)&gt;0,D99+O99-O94,0)</f>
        <v>0</v>
      </c>
      <c r="E106" s="379"/>
      <c r="F106" s="380"/>
      <c r="G106" s="234" t="s">
        <v>153</v>
      </c>
      <c r="H106" s="235">
        <v>0</v>
      </c>
      <c r="I106" s="235">
        <v>0</v>
      </c>
      <c r="J106" s="210"/>
      <c r="K106" s="210"/>
      <c r="L106" s="210"/>
      <c r="M106" s="158"/>
      <c r="N106" s="233" t="s">
        <v>50</v>
      </c>
      <c r="O106" s="378">
        <f>IF((O71+D80+D85+O80-D71-O85-D94)&gt;=0,O71+D80+D85+O80-D71-O85-D94,0)</f>
        <v>0</v>
      </c>
      <c r="P106" s="379"/>
      <c r="Q106" s="380"/>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406" t="s">
        <v>199</v>
      </c>
      <c r="B108" s="406"/>
      <c r="C108" s="406"/>
      <c r="D108" s="406"/>
      <c r="E108" s="406"/>
      <c r="F108" s="406"/>
      <c r="G108" s="406"/>
      <c r="H108" s="406"/>
      <c r="I108" s="406"/>
      <c r="J108" s="406"/>
      <c r="K108" s="406"/>
      <c r="L108" s="406"/>
      <c r="M108" s="406"/>
      <c r="N108" s="406"/>
      <c r="O108" s="406"/>
      <c r="P108" s="406"/>
      <c r="Q108" s="406"/>
      <c r="R108" s="406"/>
      <c r="S108" s="406"/>
      <c r="T108" s="406"/>
      <c r="U108" s="406"/>
      <c r="V108" s="406"/>
      <c r="W108" s="406"/>
    </row>
    <row r="109" spans="1:26" ht="16" customHeight="1" x14ac:dyDescent="0.15">
      <c r="A109" s="381" t="s">
        <v>200</v>
      </c>
      <c r="B109" s="381"/>
      <c r="C109" s="381"/>
      <c r="D109" s="381"/>
      <c r="E109" s="381"/>
      <c r="F109" s="381"/>
      <c r="G109" s="381"/>
      <c r="H109" s="381"/>
      <c r="I109" s="381"/>
      <c r="J109" s="381"/>
      <c r="K109" s="381"/>
      <c r="L109" s="381"/>
      <c r="M109" s="381"/>
      <c r="N109" s="381"/>
      <c r="O109" s="381"/>
      <c r="P109" s="381"/>
      <c r="Q109" s="381"/>
      <c r="R109" s="381"/>
      <c r="S109" s="381"/>
      <c r="T109" s="381"/>
      <c r="U109" s="381"/>
      <c r="V109" s="381"/>
      <c r="W109" s="381"/>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382" t="str">
        <f>Admin!G$2</f>
        <v>2025-26</v>
      </c>
      <c r="E112" s="383"/>
      <c r="F112" s="383"/>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8"/>
      <c r="E114" s="379"/>
      <c r="F114" s="380"/>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382" t="str">
        <f>Admin!G$2</f>
        <v>2025-26</v>
      </c>
      <c r="S116" s="383"/>
      <c r="T116" s="383"/>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8"/>
      <c r="E119" s="379"/>
      <c r="F119" s="380"/>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8">
        <f>'Business Details'!O34</f>
        <v>0</v>
      </c>
      <c r="E123" s="379"/>
      <c r="F123" s="380"/>
      <c r="G123" s="234" t="s">
        <v>153</v>
      </c>
      <c r="H123" s="235">
        <v>0</v>
      </c>
      <c r="I123" s="235">
        <v>0</v>
      </c>
      <c r="J123" s="158"/>
      <c r="K123" s="158"/>
      <c r="L123" s="210"/>
      <c r="M123" s="158"/>
      <c r="N123" s="233" t="s">
        <v>50</v>
      </c>
      <c r="O123" s="378">
        <v>0</v>
      </c>
      <c r="P123" s="379"/>
      <c r="Q123" s="380"/>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A87:W87"/>
    <mergeCell ref="A108:W108"/>
    <mergeCell ref="D99:F99"/>
    <mergeCell ref="O99:Q99"/>
    <mergeCell ref="A88:W88"/>
    <mergeCell ref="A89:W89"/>
    <mergeCell ref="D94:F94"/>
    <mergeCell ref="O94:Q94"/>
    <mergeCell ref="A101:W101"/>
    <mergeCell ref="D106:F106"/>
    <mergeCell ref="O106:Q106"/>
    <mergeCell ref="A75:W75"/>
    <mergeCell ref="A76:W76"/>
    <mergeCell ref="D80:F80"/>
    <mergeCell ref="O80:Q80"/>
    <mergeCell ref="D85:F85"/>
    <mergeCell ref="O85:Q85"/>
    <mergeCell ref="A66:W66"/>
    <mergeCell ref="D71:F71"/>
    <mergeCell ref="O71:Q71"/>
    <mergeCell ref="A73:W73"/>
    <mergeCell ref="A74:W74"/>
    <mergeCell ref="D55:F55"/>
    <mergeCell ref="O55:Q55"/>
    <mergeCell ref="D60:F60"/>
    <mergeCell ref="O60:Q60"/>
    <mergeCell ref="D64:F64"/>
    <mergeCell ref="O64:Q64"/>
    <mergeCell ref="A41:W41"/>
    <mergeCell ref="A42:W42"/>
    <mergeCell ref="D46:F46"/>
    <mergeCell ref="O46:Q46"/>
    <mergeCell ref="D51:F51"/>
    <mergeCell ref="O51:Q51"/>
    <mergeCell ref="N31:Q31"/>
    <mergeCell ref="A33:W33"/>
    <mergeCell ref="D38:F38"/>
    <mergeCell ref="O38:Q38"/>
    <mergeCell ref="A40:W40"/>
    <mergeCell ref="N18:V18"/>
    <mergeCell ref="N20:Q20"/>
    <mergeCell ref="C22:D22"/>
    <mergeCell ref="S23:V23"/>
    <mergeCell ref="N26:Q26"/>
    <mergeCell ref="A10:W10"/>
    <mergeCell ref="C13:J13"/>
    <mergeCell ref="C15:J15"/>
    <mergeCell ref="C17:J17"/>
    <mergeCell ref="S17:V17"/>
    <mergeCell ref="A3:W3"/>
    <mergeCell ref="A4:W4"/>
    <mergeCell ref="C8:J8"/>
    <mergeCell ref="O8:P8"/>
    <mergeCell ref="R8:U8"/>
    <mergeCell ref="A1:F2"/>
    <mergeCell ref="G1:N2"/>
    <mergeCell ref="O1:W1"/>
    <mergeCell ref="O2:P2"/>
    <mergeCell ref="Q2:T2"/>
    <mergeCell ref="V2:W2"/>
    <mergeCell ref="D119:F119"/>
    <mergeCell ref="D123:F123"/>
    <mergeCell ref="O123:Q123"/>
    <mergeCell ref="A109:W109"/>
    <mergeCell ref="D112:F112"/>
    <mergeCell ref="D114:F114"/>
    <mergeCell ref="R116:T11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3" t="str">
        <f>IF(J1&gt;=B1,"CABSMART                                                                          MOST TAX EFFICIENT OPTION IS  &gt; &gt; &gt; &gt;","CABSMART                                                                            &lt; &lt; &lt; &lt;  MOST TAX EFFICIENT OPTION IS")</f>
        <v>CABSMART                                                                          MOST TAX EFFICIENT OPTION IS  &gt; &gt; &gt; &gt;</v>
      </c>
      <c r="E1" s="414"/>
      <c r="F1" s="414"/>
      <c r="G1" s="414"/>
      <c r="H1" s="415"/>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6" t="s">
        <v>42</v>
      </c>
      <c r="L1" s="417"/>
      <c r="M1" s="417"/>
      <c r="N1" s="417"/>
      <c r="O1" s="23"/>
      <c r="Q1" s="330"/>
      <c r="AA1" s="330"/>
    </row>
    <row r="2" spans="1:27" s="157" customFormat="1" x14ac:dyDescent="0.15">
      <c r="A2" s="410" t="s">
        <v>19</v>
      </c>
      <c r="B2" s="154" t="s">
        <v>114</v>
      </c>
      <c r="C2" s="412">
        <f>Admin!B$5</f>
        <v>45777</v>
      </c>
      <c r="D2" s="412">
        <f>Admin!B$6</f>
        <v>45808</v>
      </c>
      <c r="E2" s="412">
        <f>Admin!B$7</f>
        <v>45838</v>
      </c>
      <c r="F2" s="412">
        <f>Admin!B$8</f>
        <v>45869</v>
      </c>
      <c r="G2" s="412">
        <f>Admin!B$9</f>
        <v>45900</v>
      </c>
      <c r="H2" s="412">
        <f>Admin!B$10</f>
        <v>45930</v>
      </c>
      <c r="I2" s="412">
        <f>Admin!B$11</f>
        <v>45961</v>
      </c>
      <c r="J2" s="412">
        <f>Admin!B$12</f>
        <v>45991</v>
      </c>
      <c r="K2" s="412">
        <f>Admin!B$13</f>
        <v>46022</v>
      </c>
      <c r="L2" s="412">
        <f>Admin!B$14</f>
        <v>46053</v>
      </c>
      <c r="M2" s="412">
        <f>Admin!B$15</f>
        <v>46081</v>
      </c>
      <c r="N2" s="412">
        <f>Admin!B$16</f>
        <v>46112</v>
      </c>
      <c r="O2" s="155"/>
      <c r="Q2" s="332"/>
      <c r="AA2" s="332"/>
    </row>
    <row r="3" spans="1:27" s="159" customFormat="1" x14ac:dyDescent="0.15">
      <c r="A3" s="411"/>
      <c r="B3" s="156" t="str">
        <f>Admin!G$2</f>
        <v>2025-26</v>
      </c>
      <c r="C3" s="411"/>
      <c r="D3" s="411"/>
      <c r="E3" s="411"/>
      <c r="F3" s="411"/>
      <c r="G3" s="411"/>
      <c r="H3" s="411"/>
      <c r="I3" s="411"/>
      <c r="J3" s="411"/>
      <c r="K3" s="411"/>
      <c r="L3" s="411"/>
      <c r="M3" s="411"/>
      <c r="N3" s="411"/>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D1:H1"/>
    <mergeCell ref="N2:N3"/>
    <mergeCell ref="M2:M3"/>
    <mergeCell ref="L2:L3"/>
    <mergeCell ref="K2:K3"/>
    <mergeCell ref="K1:N1"/>
    <mergeCell ref="F2:F3"/>
    <mergeCell ref="J2:J3"/>
    <mergeCell ref="I2:I3"/>
    <mergeCell ref="A2:A3"/>
    <mergeCell ref="E2:E3"/>
    <mergeCell ref="D2:D3"/>
    <mergeCell ref="C2:C3"/>
    <mergeCell ref="H2:H3"/>
    <mergeCell ref="G2:G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44" t="s">
        <v>44</v>
      </c>
      <c r="B1" s="164" t="s">
        <v>116</v>
      </c>
      <c r="C1" s="165">
        <f>Admin!B17</f>
        <v>46117</v>
      </c>
      <c r="D1" s="166">
        <f>D33+D62</f>
        <v>0</v>
      </c>
      <c r="E1" s="430"/>
      <c r="F1" s="428" t="s">
        <v>41</v>
      </c>
      <c r="G1" s="426"/>
      <c r="H1" s="89">
        <f>H33+H62</f>
        <v>0</v>
      </c>
      <c r="I1" s="89">
        <f>I33+I62</f>
        <v>0</v>
      </c>
      <c r="J1" s="89">
        <f>J33+J62</f>
        <v>0</v>
      </c>
      <c r="K1" s="89">
        <f>K33+K62</f>
        <v>0</v>
      </c>
      <c r="L1" s="426"/>
      <c r="M1" s="421" t="s">
        <v>131</v>
      </c>
      <c r="N1" s="89">
        <f>N33+N62</f>
        <v>0</v>
      </c>
      <c r="O1" s="426"/>
      <c r="P1" s="89">
        <f>P33+P62</f>
        <v>0</v>
      </c>
      <c r="Q1" s="89">
        <f>Q33+Q62</f>
        <v>0</v>
      </c>
    </row>
    <row r="2" spans="1:17" ht="12" customHeight="1" x14ac:dyDescent="0.15">
      <c r="A2" s="422"/>
      <c r="B2" s="423" t="s">
        <v>34</v>
      </c>
      <c r="C2" s="425" t="s">
        <v>35</v>
      </c>
      <c r="D2" s="419" t="s">
        <v>36</v>
      </c>
      <c r="E2" s="431"/>
      <c r="F2" s="429"/>
      <c r="G2" s="427"/>
      <c r="H2" s="432" t="s">
        <v>115</v>
      </c>
      <c r="I2" s="419" t="s">
        <v>132</v>
      </c>
      <c r="J2" s="419" t="s">
        <v>37</v>
      </c>
      <c r="K2" s="432" t="s">
        <v>115</v>
      </c>
      <c r="L2" s="427"/>
      <c r="M2" s="422"/>
      <c r="N2" s="419" t="s">
        <v>38</v>
      </c>
      <c r="O2" s="427"/>
      <c r="P2" s="419" t="s">
        <v>39</v>
      </c>
      <c r="Q2" s="419" t="s">
        <v>40</v>
      </c>
    </row>
    <row r="3" spans="1:17" ht="24.75" customHeight="1" x14ac:dyDescent="0.15">
      <c r="A3" s="422"/>
      <c r="B3" s="424"/>
      <c r="C3" s="424"/>
      <c r="D3" s="420"/>
      <c r="E3" s="431"/>
      <c r="F3" s="429"/>
      <c r="G3" s="427"/>
      <c r="H3" s="433"/>
      <c r="I3" s="420"/>
      <c r="J3" s="420"/>
      <c r="K3" s="433"/>
      <c r="L3" s="427"/>
      <c r="M3" s="422"/>
      <c r="N3" s="420"/>
      <c r="O3" s="427"/>
      <c r="P3" s="420"/>
      <c r="Q3" s="420"/>
    </row>
    <row r="4" spans="1:17" s="13" customFormat="1" ht="12" customHeight="1" x14ac:dyDescent="0.15">
      <c r="A4" s="422"/>
      <c r="B4" s="424"/>
      <c r="C4" s="424"/>
      <c r="D4" s="420"/>
      <c r="E4" s="431"/>
      <c r="F4" s="429"/>
      <c r="G4" s="427"/>
      <c r="H4" s="160">
        <f>Admin!B$4</f>
        <v>45753</v>
      </c>
      <c r="I4" s="90">
        <f>Admin!G$4</f>
        <v>1</v>
      </c>
      <c r="J4" s="90">
        <f>Admin!G$5</f>
        <v>0.18</v>
      </c>
      <c r="K4" s="160">
        <f>Admin!B$17</f>
        <v>46117</v>
      </c>
      <c r="L4" s="427"/>
      <c r="M4" s="422"/>
      <c r="N4" s="420"/>
      <c r="O4" s="427"/>
      <c r="P4" s="420"/>
      <c r="Q4" s="420"/>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45" t="s">
        <v>127</v>
      </c>
      <c r="B6" s="441"/>
      <c r="C6" s="446"/>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47" t="s">
        <v>129</v>
      </c>
      <c r="B15" s="448"/>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47" t="s">
        <v>117</v>
      </c>
      <c r="B17" s="448"/>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49" t="s">
        <v>118</v>
      </c>
      <c r="B23" s="450"/>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47" t="s">
        <v>119</v>
      </c>
      <c r="B25" s="448"/>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49" t="s">
        <v>120</v>
      </c>
      <c r="B31" s="450"/>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40" t="s">
        <v>121</v>
      </c>
      <c r="B33" s="441"/>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42" t="s">
        <v>128</v>
      </c>
      <c r="B35" s="439"/>
      <c r="C35" s="443"/>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4" t="s">
        <v>130</v>
      </c>
      <c r="B44" s="435"/>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4" t="s">
        <v>122</v>
      </c>
      <c r="B46" s="435"/>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36" t="s">
        <v>123</v>
      </c>
      <c r="B52" s="437"/>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4" t="s">
        <v>124</v>
      </c>
      <c r="B54" s="435"/>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36" t="s">
        <v>125</v>
      </c>
      <c r="B60" s="437"/>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8" t="s">
        <v>126</v>
      </c>
      <c r="B62" s="439"/>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A1:A4"/>
    <mergeCell ref="A6:C6"/>
    <mergeCell ref="A52:B52"/>
    <mergeCell ref="A15:B15"/>
    <mergeCell ref="A17:B17"/>
    <mergeCell ref="A23:B23"/>
    <mergeCell ref="A25:B25"/>
    <mergeCell ref="A31:B31"/>
    <mergeCell ref="A54:B54"/>
    <mergeCell ref="A60:B60"/>
    <mergeCell ref="A62:B62"/>
    <mergeCell ref="A33:B33"/>
    <mergeCell ref="A44:B44"/>
    <mergeCell ref="A46:B46"/>
    <mergeCell ref="A35:C35"/>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8" t="s">
        <v>112</v>
      </c>
      <c r="C2" s="152" t="s">
        <v>111</v>
      </c>
      <c r="D2" s="480">
        <f>Admin!B$5</f>
        <v>45777</v>
      </c>
      <c r="E2" s="473">
        <f>Admin!B$6</f>
        <v>45808</v>
      </c>
      <c r="F2" s="473">
        <f>Admin!B$7</f>
        <v>45838</v>
      </c>
      <c r="G2" s="473">
        <f>Admin!B$8</f>
        <v>45869</v>
      </c>
      <c r="H2" s="473">
        <f>Admin!B$9</f>
        <v>45900</v>
      </c>
      <c r="I2" s="473">
        <f>Admin!B$10</f>
        <v>45930</v>
      </c>
      <c r="J2" s="473">
        <f>Admin!B$11</f>
        <v>45961</v>
      </c>
      <c r="K2" s="473">
        <f>Admin!B$12</f>
        <v>45991</v>
      </c>
      <c r="L2" s="473">
        <f>Admin!B$13</f>
        <v>46022</v>
      </c>
      <c r="M2" s="473">
        <f>Admin!B$14</f>
        <v>46053</v>
      </c>
      <c r="N2" s="473">
        <f>Admin!B$15</f>
        <v>46081</v>
      </c>
      <c r="O2" s="473">
        <f>Admin!B$16</f>
        <v>46112</v>
      </c>
      <c r="P2" s="52"/>
    </row>
    <row r="3" spans="1:16" ht="12" customHeight="1" thickBot="1" x14ac:dyDescent="0.2">
      <c r="A3" s="52"/>
      <c r="B3" s="479"/>
      <c r="C3" s="153">
        <f>Admin!B$17</f>
        <v>46117</v>
      </c>
      <c r="D3" s="481"/>
      <c r="E3" s="474"/>
      <c r="F3" s="474"/>
      <c r="G3" s="474"/>
      <c r="H3" s="474"/>
      <c r="I3" s="474"/>
      <c r="J3" s="474"/>
      <c r="K3" s="474"/>
      <c r="L3" s="474"/>
      <c r="M3" s="474"/>
      <c r="N3" s="474"/>
      <c r="O3" s="474"/>
      <c r="P3" s="52"/>
    </row>
    <row r="4" spans="1:16" ht="13" thickBot="1" x14ac:dyDescent="0.2">
      <c r="A4" s="52"/>
      <c r="B4" s="477"/>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5" t="s">
        <v>113</v>
      </c>
      <c r="C17" s="152" t="s">
        <v>111</v>
      </c>
      <c r="D17" s="469">
        <f>D2</f>
        <v>45777</v>
      </c>
      <c r="E17" s="469">
        <f t="shared" ref="E17:O17" si="2">E2</f>
        <v>45808</v>
      </c>
      <c r="F17" s="469">
        <f t="shared" si="2"/>
        <v>45838</v>
      </c>
      <c r="G17" s="469">
        <f t="shared" si="2"/>
        <v>45869</v>
      </c>
      <c r="H17" s="469">
        <f t="shared" si="2"/>
        <v>45900</v>
      </c>
      <c r="I17" s="469">
        <f t="shared" si="2"/>
        <v>45930</v>
      </c>
      <c r="J17" s="469">
        <f t="shared" si="2"/>
        <v>45961</v>
      </c>
      <c r="K17" s="469">
        <f t="shared" si="2"/>
        <v>45991</v>
      </c>
      <c r="L17" s="469">
        <f t="shared" si="2"/>
        <v>46022</v>
      </c>
      <c r="M17" s="469">
        <f t="shared" si="2"/>
        <v>46053</v>
      </c>
      <c r="N17" s="469">
        <f t="shared" si="2"/>
        <v>46081</v>
      </c>
      <c r="O17" s="469">
        <f t="shared" si="2"/>
        <v>46112</v>
      </c>
      <c r="P17" s="52"/>
    </row>
    <row r="18" spans="1:16" ht="12" customHeight="1" thickBot="1" x14ac:dyDescent="0.2">
      <c r="A18" s="52"/>
      <c r="B18" s="476"/>
      <c r="C18" s="153">
        <f>C3</f>
        <v>46117</v>
      </c>
      <c r="D18" s="470"/>
      <c r="E18" s="470"/>
      <c r="F18" s="470"/>
      <c r="G18" s="470"/>
      <c r="H18" s="470"/>
      <c r="I18" s="470"/>
      <c r="J18" s="470"/>
      <c r="K18" s="470"/>
      <c r="L18" s="470"/>
      <c r="M18" s="470"/>
      <c r="N18" s="470"/>
      <c r="O18" s="470"/>
      <c r="P18" s="52"/>
    </row>
    <row r="19" spans="1:16" ht="13" thickBot="1" x14ac:dyDescent="0.2">
      <c r="A19" s="52"/>
      <c r="B19" s="477"/>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71" t="s">
        <v>54</v>
      </c>
      <c r="C32" s="472"/>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I2:I3"/>
    <mergeCell ref="J2:J3"/>
    <mergeCell ref="B2:B4"/>
    <mergeCell ref="D2:D3"/>
    <mergeCell ref="E2:E3"/>
    <mergeCell ref="F2:F3"/>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M17:M18"/>
    <mergeCell ref="B32:C32"/>
    <mergeCell ref="J17:J18"/>
    <mergeCell ref="K17:K18"/>
    <mergeCell ref="L17:L18"/>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SUM(D4:D34)</f>
        <v>0</v>
      </c>
      <c r="E1" s="303">
        <f>SUM(E4:E34)/2</f>
        <v>0</v>
      </c>
      <c r="F1" s="303">
        <f>SUM(F4:F34)/2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44657</v>
      </c>
      <c r="B5" s="297">
        <v>44657</v>
      </c>
      <c r="C5" s="296"/>
      <c r="D5" s="295"/>
      <c r="E5" s="294"/>
      <c r="F5" s="293"/>
    </row>
    <row r="6" spans="1:6" x14ac:dyDescent="0.15">
      <c r="A6" s="292">
        <v>44658</v>
      </c>
      <c r="B6" s="285">
        <v>44658</v>
      </c>
      <c r="F6" s="291"/>
    </row>
    <row r="7" spans="1:6" x14ac:dyDescent="0.15">
      <c r="A7" s="292">
        <v>44659</v>
      </c>
      <c r="B7" s="285">
        <v>44659</v>
      </c>
      <c r="F7" s="291"/>
    </row>
    <row r="8" spans="1:6" x14ac:dyDescent="0.15">
      <c r="A8" s="292">
        <v>44660</v>
      </c>
      <c r="B8" s="285">
        <v>44660</v>
      </c>
      <c r="F8" s="291"/>
    </row>
    <row r="9" spans="1:6" x14ac:dyDescent="0.15">
      <c r="A9" s="292">
        <v>44661</v>
      </c>
      <c r="B9" s="285">
        <v>44661</v>
      </c>
      <c r="F9" s="291"/>
    </row>
    <row r="10" spans="1:6" x14ac:dyDescent="0.15">
      <c r="A10" s="292">
        <v>44661</v>
      </c>
      <c r="B10" s="285" t="s">
        <v>234</v>
      </c>
      <c r="F10" s="291"/>
    </row>
    <row r="11" spans="1:6" x14ac:dyDescent="0.15">
      <c r="A11" s="292">
        <v>44661</v>
      </c>
      <c r="B11" s="285" t="s">
        <v>233</v>
      </c>
      <c r="F11" s="291"/>
    </row>
    <row r="12" spans="1:6" ht="14" thickBot="1" x14ac:dyDescent="0.2">
      <c r="A12" s="290"/>
      <c r="B12" s="289"/>
      <c r="C12" s="287"/>
      <c r="D12" s="288"/>
      <c r="E12" s="300">
        <f>SUM(E5:E11)</f>
        <v>0</v>
      </c>
      <c r="F12" s="299">
        <f>SUM(F5:F11)</f>
        <v>0</v>
      </c>
    </row>
    <row r="13" spans="1:6" ht="14" thickBot="1" x14ac:dyDescent="0.2"/>
    <row r="14" spans="1:6" x14ac:dyDescent="0.15">
      <c r="A14" s="298">
        <v>44662</v>
      </c>
      <c r="B14" s="297">
        <v>44662</v>
      </c>
      <c r="C14" s="296"/>
      <c r="D14" s="295"/>
      <c r="E14" s="294"/>
      <c r="F14" s="293"/>
    </row>
    <row r="15" spans="1:6" x14ac:dyDescent="0.15">
      <c r="A15" s="292">
        <v>44663</v>
      </c>
      <c r="B15" s="285">
        <v>44663</v>
      </c>
      <c r="F15" s="291"/>
    </row>
    <row r="16" spans="1:6" x14ac:dyDescent="0.15">
      <c r="A16" s="292">
        <v>44664</v>
      </c>
      <c r="B16" s="285">
        <v>44664</v>
      </c>
      <c r="F16" s="291"/>
    </row>
    <row r="17" spans="1:6" x14ac:dyDescent="0.15">
      <c r="A17" s="292">
        <v>44665</v>
      </c>
      <c r="B17" s="285">
        <v>44665</v>
      </c>
      <c r="F17" s="291"/>
    </row>
    <row r="18" spans="1:6" x14ac:dyDescent="0.15">
      <c r="A18" s="292">
        <v>44666</v>
      </c>
      <c r="B18" s="285">
        <v>44666</v>
      </c>
      <c r="F18" s="291"/>
    </row>
    <row r="19" spans="1:6" x14ac:dyDescent="0.15">
      <c r="A19" s="292">
        <v>44667</v>
      </c>
      <c r="B19" s="285">
        <v>44667</v>
      </c>
      <c r="F19" s="291"/>
    </row>
    <row r="20" spans="1:6" x14ac:dyDescent="0.15">
      <c r="A20" s="292">
        <v>44668</v>
      </c>
      <c r="B20" s="285">
        <v>44668</v>
      </c>
      <c r="F20" s="291"/>
    </row>
    <row r="21" spans="1:6" x14ac:dyDescent="0.15">
      <c r="A21" s="292">
        <v>44668</v>
      </c>
      <c r="B21" s="285" t="s">
        <v>234</v>
      </c>
      <c r="F21" s="291"/>
    </row>
    <row r="22" spans="1:6" x14ac:dyDescent="0.15">
      <c r="A22" s="292">
        <v>44668</v>
      </c>
      <c r="B22" s="285" t="s">
        <v>233</v>
      </c>
      <c r="F22" s="291"/>
    </row>
    <row r="23" spans="1:6" ht="14" thickBot="1" x14ac:dyDescent="0.2">
      <c r="A23" s="290"/>
      <c r="B23" s="289"/>
      <c r="C23" s="287"/>
      <c r="D23" s="288"/>
      <c r="E23" s="300">
        <f>SUM(E14:E22)</f>
        <v>0</v>
      </c>
      <c r="F23" s="299">
        <f>SUM(F14:F22)</f>
        <v>0</v>
      </c>
    </row>
    <row r="24" spans="1:6" ht="14" thickBot="1" x14ac:dyDescent="0.2"/>
    <row r="25" spans="1:6" x14ac:dyDescent="0.15">
      <c r="A25" s="298">
        <v>44669</v>
      </c>
      <c r="B25" s="297">
        <v>44669</v>
      </c>
      <c r="C25" s="296"/>
      <c r="D25" s="295"/>
      <c r="E25" s="294"/>
      <c r="F25" s="293"/>
    </row>
    <row r="26" spans="1:6" x14ac:dyDescent="0.15">
      <c r="A26" s="292">
        <v>44670</v>
      </c>
      <c r="B26" s="285">
        <v>44670</v>
      </c>
      <c r="F26" s="291"/>
    </row>
    <row r="27" spans="1:6" x14ac:dyDescent="0.15">
      <c r="A27" s="292">
        <v>44671</v>
      </c>
      <c r="B27" s="285">
        <v>44671</v>
      </c>
      <c r="F27" s="291"/>
    </row>
    <row r="28" spans="1:6" x14ac:dyDescent="0.15">
      <c r="A28" s="292">
        <v>44672</v>
      </c>
      <c r="B28" s="285">
        <v>44672</v>
      </c>
      <c r="F28" s="291"/>
    </row>
    <row r="29" spans="1:6" x14ac:dyDescent="0.15">
      <c r="A29" s="292">
        <v>44673</v>
      </c>
      <c r="B29" s="285">
        <v>44673</v>
      </c>
      <c r="F29" s="291"/>
    </row>
    <row r="30" spans="1:6" x14ac:dyDescent="0.15">
      <c r="A30" s="292">
        <v>44674</v>
      </c>
      <c r="B30" s="285">
        <v>44674</v>
      </c>
      <c r="F30" s="291"/>
    </row>
    <row r="31" spans="1:6" x14ac:dyDescent="0.15">
      <c r="A31" s="292">
        <v>44675</v>
      </c>
      <c r="B31" s="285">
        <v>44675</v>
      </c>
      <c r="F31" s="291"/>
    </row>
    <row r="32" spans="1:6" x14ac:dyDescent="0.15">
      <c r="A32" s="292">
        <v>44675</v>
      </c>
      <c r="B32" s="285" t="s">
        <v>234</v>
      </c>
      <c r="F32" s="291"/>
    </row>
    <row r="33" spans="1:6" x14ac:dyDescent="0.15">
      <c r="A33" s="292">
        <v>44675</v>
      </c>
      <c r="B33" s="285" t="s">
        <v>233</v>
      </c>
      <c r="F33" s="291"/>
    </row>
    <row r="34" spans="1:6" ht="14" thickBot="1" x14ac:dyDescent="0.2">
      <c r="A34" s="290"/>
      <c r="B34" s="289"/>
      <c r="C34" s="287"/>
      <c r="D34" s="288"/>
      <c r="E34" s="300">
        <f>SUM(E25:E33)</f>
        <v>0</v>
      </c>
      <c r="F34" s="299">
        <f>SUM(F25:F33)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8" t="s">
        <v>271</v>
      </c>
      <c r="D2" s="500" t="s">
        <v>270</v>
      </c>
      <c r="E2" s="498" t="s">
        <v>269</v>
      </c>
      <c r="F2" s="432" t="s">
        <v>268</v>
      </c>
      <c r="G2" s="501" t="s">
        <v>267</v>
      </c>
      <c r="H2" s="502"/>
      <c r="I2" s="503">
        <f>G1+H1+I1+J1</f>
        <v>0</v>
      </c>
      <c r="J2" s="504"/>
      <c r="K2" s="432" t="s">
        <v>266</v>
      </c>
      <c r="L2" s="432" t="s">
        <v>265</v>
      </c>
      <c r="M2" s="432" t="s">
        <v>264</v>
      </c>
      <c r="N2" s="432" t="s">
        <v>263</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494"/>
      <c r="L3" s="494"/>
      <c r="M3" s="491"/>
      <c r="N3" s="491"/>
      <c r="O3" s="491"/>
      <c r="P3" s="491"/>
      <c r="Q3" s="491"/>
      <c r="R3" s="491"/>
      <c r="S3" s="493"/>
      <c r="T3" s="496"/>
      <c r="U3" s="493"/>
    </row>
    <row r="4" spans="1:21" s="308" customFormat="1" x14ac:dyDescent="0.15">
      <c r="A4" s="312" t="str">
        <f>IF((E1&lt;&gt;0),Admin!$B$5,"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B3:B4"/>
    <mergeCell ref="C2:C4"/>
    <mergeCell ref="D2:D4"/>
    <mergeCell ref="E2:E4"/>
    <mergeCell ref="M2:M3"/>
    <mergeCell ref="F2:F4"/>
    <mergeCell ref="G2:H2"/>
    <mergeCell ref="I2:J2"/>
    <mergeCell ref="N2:N3"/>
    <mergeCell ref="U2:U3"/>
    <mergeCell ref="S2:S3"/>
    <mergeCell ref="K2:K3"/>
    <mergeCell ref="O2:O3"/>
    <mergeCell ref="P2:P3"/>
    <mergeCell ref="Q2:Q3"/>
    <mergeCell ref="R2:R3"/>
    <mergeCell ref="T2:T4"/>
    <mergeCell ref="L2:L3"/>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44676</v>
      </c>
      <c r="B5" s="297">
        <v>44676</v>
      </c>
      <c r="C5" s="296"/>
      <c r="D5" s="295"/>
      <c r="E5" s="294"/>
      <c r="F5" s="293"/>
    </row>
    <row r="6" spans="1:6" x14ac:dyDescent="0.15">
      <c r="A6" s="292">
        <v>44677</v>
      </c>
      <c r="B6" s="285">
        <v>44677</v>
      </c>
      <c r="F6" s="291"/>
    </row>
    <row r="7" spans="1:6" x14ac:dyDescent="0.15">
      <c r="A7" s="292">
        <v>44678</v>
      </c>
      <c r="B7" s="285">
        <v>44678</v>
      </c>
      <c r="F7" s="291"/>
    </row>
    <row r="8" spans="1:6" x14ac:dyDescent="0.15">
      <c r="A8" s="292">
        <v>44679</v>
      </c>
      <c r="B8" s="285">
        <v>44679</v>
      </c>
      <c r="F8" s="291"/>
    </row>
    <row r="9" spans="1:6" x14ac:dyDescent="0.15">
      <c r="A9" s="292">
        <v>44680</v>
      </c>
      <c r="B9" s="285">
        <v>44680</v>
      </c>
      <c r="F9" s="291"/>
    </row>
    <row r="10" spans="1:6" x14ac:dyDescent="0.15">
      <c r="A10" s="292">
        <v>44681</v>
      </c>
      <c r="B10" s="285">
        <v>44681</v>
      </c>
      <c r="F10" s="291"/>
    </row>
    <row r="11" spans="1:6" x14ac:dyDescent="0.15">
      <c r="A11" s="292">
        <v>44682</v>
      </c>
      <c r="B11" s="285">
        <v>44682</v>
      </c>
      <c r="F11" s="291"/>
    </row>
    <row r="12" spans="1:6" x14ac:dyDescent="0.15">
      <c r="A12" s="292">
        <v>44682</v>
      </c>
      <c r="B12" s="285" t="s">
        <v>234</v>
      </c>
      <c r="F12" s="291"/>
    </row>
    <row r="13" spans="1:6" x14ac:dyDescent="0.15">
      <c r="A13" s="292">
        <v>44682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44683</v>
      </c>
      <c r="B16" s="297">
        <v>44683</v>
      </c>
      <c r="C16" s="296"/>
      <c r="D16" s="295"/>
      <c r="E16" s="294"/>
      <c r="F16" s="293"/>
    </row>
    <row r="17" spans="1:6" x14ac:dyDescent="0.15">
      <c r="A17" s="292">
        <v>44684</v>
      </c>
      <c r="B17" s="285">
        <v>44684</v>
      </c>
      <c r="F17" s="291"/>
    </row>
    <row r="18" spans="1:6" x14ac:dyDescent="0.15">
      <c r="A18" s="292">
        <v>44685</v>
      </c>
      <c r="B18" s="285">
        <v>44685</v>
      </c>
      <c r="F18" s="291"/>
    </row>
    <row r="19" spans="1:6" x14ac:dyDescent="0.15">
      <c r="A19" s="292">
        <v>44686</v>
      </c>
      <c r="B19" s="285">
        <v>44686</v>
      </c>
      <c r="F19" s="291"/>
    </row>
    <row r="20" spans="1:6" x14ac:dyDescent="0.15">
      <c r="A20" s="292">
        <v>44687</v>
      </c>
      <c r="B20" s="285">
        <v>44687</v>
      </c>
      <c r="F20" s="291"/>
    </row>
    <row r="21" spans="1:6" x14ac:dyDescent="0.15">
      <c r="A21" s="292">
        <v>44688</v>
      </c>
      <c r="B21" s="285">
        <v>44688</v>
      </c>
      <c r="F21" s="291"/>
    </row>
    <row r="22" spans="1:6" x14ac:dyDescent="0.15">
      <c r="A22" s="292">
        <v>44689</v>
      </c>
      <c r="B22" s="285">
        <v>44689</v>
      </c>
      <c r="F22" s="291"/>
    </row>
    <row r="23" spans="1:6" x14ac:dyDescent="0.15">
      <c r="A23" s="292">
        <v>44689</v>
      </c>
      <c r="B23" s="285" t="s">
        <v>234</v>
      </c>
      <c r="F23" s="291"/>
    </row>
    <row r="24" spans="1:6" x14ac:dyDescent="0.15">
      <c r="A24" s="292">
        <v>44689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44690</v>
      </c>
      <c r="B27" s="297">
        <v>44690</v>
      </c>
      <c r="C27" s="296"/>
      <c r="D27" s="295"/>
      <c r="E27" s="294"/>
      <c r="F27" s="293"/>
    </row>
    <row r="28" spans="1:6" x14ac:dyDescent="0.15">
      <c r="A28" s="292">
        <v>44691</v>
      </c>
      <c r="B28" s="285">
        <v>44691</v>
      </c>
      <c r="F28" s="291"/>
    </row>
    <row r="29" spans="1:6" x14ac:dyDescent="0.15">
      <c r="A29" s="292">
        <v>44692</v>
      </c>
      <c r="B29" s="285">
        <v>44692</v>
      </c>
      <c r="F29" s="291"/>
    </row>
    <row r="30" spans="1:6" x14ac:dyDescent="0.15">
      <c r="A30" s="292">
        <v>44693</v>
      </c>
      <c r="B30" s="285">
        <v>44693</v>
      </c>
      <c r="F30" s="291"/>
    </row>
    <row r="31" spans="1:6" x14ac:dyDescent="0.15">
      <c r="A31" s="292">
        <v>44694</v>
      </c>
      <c r="B31" s="285">
        <v>44694</v>
      </c>
      <c r="F31" s="291"/>
    </row>
    <row r="32" spans="1:6" x14ac:dyDescent="0.15">
      <c r="A32" s="292">
        <v>44695</v>
      </c>
      <c r="B32" s="285">
        <v>44695</v>
      </c>
      <c r="F32" s="291"/>
    </row>
    <row r="33" spans="1:6" x14ac:dyDescent="0.15">
      <c r="A33" s="292">
        <v>44696</v>
      </c>
      <c r="B33" s="285">
        <v>44696</v>
      </c>
      <c r="F33" s="291"/>
    </row>
    <row r="34" spans="1:6" x14ac:dyDescent="0.15">
      <c r="A34" s="292">
        <v>44696</v>
      </c>
      <c r="B34" s="285" t="s">
        <v>234</v>
      </c>
      <c r="F34" s="291"/>
    </row>
    <row r="35" spans="1:6" x14ac:dyDescent="0.15">
      <c r="A35" s="292">
        <v>44696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44697</v>
      </c>
      <c r="B38" s="297">
        <v>44697</v>
      </c>
      <c r="C38" s="296"/>
      <c r="D38" s="295"/>
      <c r="E38" s="294"/>
      <c r="F38" s="293"/>
    </row>
    <row r="39" spans="1:6" x14ac:dyDescent="0.15">
      <c r="A39" s="292">
        <v>44698</v>
      </c>
      <c r="B39" s="285">
        <v>44698</v>
      </c>
      <c r="F39" s="291"/>
    </row>
    <row r="40" spans="1:6" x14ac:dyDescent="0.15">
      <c r="A40" s="292">
        <v>44699</v>
      </c>
      <c r="B40" s="285">
        <v>44699</v>
      </c>
      <c r="F40" s="291"/>
    </row>
    <row r="41" spans="1:6" x14ac:dyDescent="0.15">
      <c r="A41" s="292">
        <v>44700</v>
      </c>
      <c r="B41" s="285">
        <v>44700</v>
      </c>
      <c r="F41" s="291"/>
    </row>
    <row r="42" spans="1:6" x14ac:dyDescent="0.15">
      <c r="A42" s="292">
        <v>44701</v>
      </c>
      <c r="B42" s="285">
        <v>44701</v>
      </c>
      <c r="F42" s="291"/>
    </row>
    <row r="43" spans="1:6" x14ac:dyDescent="0.15">
      <c r="A43" s="292">
        <v>44702</v>
      </c>
      <c r="B43" s="285">
        <v>44702</v>
      </c>
      <c r="F43" s="291"/>
    </row>
    <row r="44" spans="1:6" x14ac:dyDescent="0.15">
      <c r="A44" s="292">
        <v>44703</v>
      </c>
      <c r="B44" s="285">
        <v>44703</v>
      </c>
      <c r="F44" s="291"/>
    </row>
    <row r="45" spans="1:6" x14ac:dyDescent="0.15">
      <c r="A45" s="292">
        <v>44703</v>
      </c>
      <c r="B45" s="285" t="s">
        <v>234</v>
      </c>
      <c r="F45" s="291"/>
    </row>
    <row r="46" spans="1:6" x14ac:dyDescent="0.15">
      <c r="A46" s="292">
        <v>44703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44704</v>
      </c>
      <c r="B49" s="297">
        <v>44704</v>
      </c>
      <c r="C49" s="296"/>
      <c r="D49" s="295"/>
      <c r="E49" s="294"/>
      <c r="F49" s="293"/>
    </row>
    <row r="50" spans="1:6" x14ac:dyDescent="0.15">
      <c r="A50" s="292">
        <v>44705</v>
      </c>
      <c r="B50" s="285">
        <v>44705</v>
      </c>
      <c r="F50" s="291"/>
    </row>
    <row r="51" spans="1:6" x14ac:dyDescent="0.15">
      <c r="A51" s="292">
        <v>44706</v>
      </c>
      <c r="B51" s="285">
        <v>44706</v>
      </c>
      <c r="F51" s="291"/>
    </row>
    <row r="52" spans="1:6" x14ac:dyDescent="0.15">
      <c r="A52" s="292">
        <v>44707</v>
      </c>
      <c r="B52" s="285">
        <v>44707</v>
      </c>
      <c r="F52" s="291"/>
    </row>
    <row r="53" spans="1:6" x14ac:dyDescent="0.15">
      <c r="A53" s="292">
        <v>44708</v>
      </c>
      <c r="B53" s="285">
        <v>44708</v>
      </c>
      <c r="F53" s="291"/>
    </row>
    <row r="54" spans="1:6" x14ac:dyDescent="0.15">
      <c r="A54" s="292">
        <v>44709</v>
      </c>
      <c r="B54" s="285">
        <v>44709</v>
      </c>
      <c r="F54" s="291"/>
    </row>
    <row r="55" spans="1:6" x14ac:dyDescent="0.15">
      <c r="A55" s="292">
        <v>44710</v>
      </c>
      <c r="B55" s="285">
        <v>44710</v>
      </c>
      <c r="F55" s="291"/>
    </row>
    <row r="56" spans="1:6" x14ac:dyDescent="0.15">
      <c r="A56" s="292">
        <v>44710</v>
      </c>
      <c r="B56" s="285" t="s">
        <v>234</v>
      </c>
      <c r="F56" s="291"/>
    </row>
    <row r="57" spans="1:6" x14ac:dyDescent="0.15">
      <c r="A57" s="292">
        <v>44710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8" t="s">
        <v>271</v>
      </c>
      <c r="D2" s="500" t="s">
        <v>270</v>
      </c>
      <c r="E2" s="498" t="s">
        <v>269</v>
      </c>
      <c r="F2" s="432" t="s">
        <v>268</v>
      </c>
      <c r="G2" s="501" t="s">
        <v>267</v>
      </c>
      <c r="H2" s="502"/>
      <c r="I2" s="503">
        <f>G1+H1+I1+J1+PurchasesApr!I2</f>
        <v>0</v>
      </c>
      <c r="J2" s="504"/>
      <c r="K2" s="432" t="s">
        <v>266</v>
      </c>
      <c r="L2" s="419" t="s">
        <v>265</v>
      </c>
      <c r="M2" s="419" t="s">
        <v>264</v>
      </c>
      <c r="N2" s="419" t="s">
        <v>274</v>
      </c>
      <c r="O2" s="419" t="s">
        <v>262</v>
      </c>
      <c r="P2" s="419" t="s">
        <v>261</v>
      </c>
      <c r="Q2" s="419"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7"/>
      <c r="M3" s="490"/>
      <c r="N3" s="490"/>
      <c r="O3" s="490"/>
      <c r="P3" s="490"/>
      <c r="Q3" s="490"/>
      <c r="R3" s="509"/>
      <c r="S3" s="506"/>
      <c r="T3" s="496"/>
      <c r="U3" s="505"/>
    </row>
    <row r="4" spans="1:21" s="308" customFormat="1" x14ac:dyDescent="0.15">
      <c r="A4" s="312" t="str">
        <f>IF((E1&lt;&gt;0),Admin!$B$6,"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44711</v>
      </c>
      <c r="B5" s="297">
        <v>44711</v>
      </c>
      <c r="C5" s="296"/>
      <c r="D5" s="295"/>
      <c r="E5" s="294"/>
      <c r="F5" s="293"/>
    </row>
    <row r="6" spans="1:6" x14ac:dyDescent="0.15">
      <c r="A6" s="292">
        <v>44712</v>
      </c>
      <c r="B6" s="285">
        <v>44712</v>
      </c>
      <c r="F6" s="291"/>
    </row>
    <row r="7" spans="1:6" x14ac:dyDescent="0.15">
      <c r="A7" s="292">
        <v>44713</v>
      </c>
      <c r="B7" s="285">
        <v>44713</v>
      </c>
      <c r="F7" s="291"/>
    </row>
    <row r="8" spans="1:6" x14ac:dyDescent="0.15">
      <c r="A8" s="292">
        <v>44714</v>
      </c>
      <c r="B8" s="285">
        <v>44714</v>
      </c>
      <c r="F8" s="291"/>
    </row>
    <row r="9" spans="1:6" x14ac:dyDescent="0.15">
      <c r="A9" s="292">
        <v>44715</v>
      </c>
      <c r="B9" s="285">
        <v>44715</v>
      </c>
      <c r="F9" s="291"/>
    </row>
    <row r="10" spans="1:6" x14ac:dyDescent="0.15">
      <c r="A10" s="292">
        <v>44716</v>
      </c>
      <c r="B10" s="285">
        <v>44716</v>
      </c>
      <c r="F10" s="291"/>
    </row>
    <row r="11" spans="1:6" x14ac:dyDescent="0.15">
      <c r="A11" s="292">
        <v>44717</v>
      </c>
      <c r="B11" s="285">
        <v>44717</v>
      </c>
      <c r="F11" s="291"/>
    </row>
    <row r="12" spans="1:6" x14ac:dyDescent="0.15">
      <c r="A12" s="292">
        <v>44717</v>
      </c>
      <c r="B12" s="285" t="s">
        <v>234</v>
      </c>
      <c r="F12" s="291"/>
    </row>
    <row r="13" spans="1:6" x14ac:dyDescent="0.15">
      <c r="A13" s="292">
        <v>44717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44718</v>
      </c>
      <c r="B16" s="297">
        <v>44718</v>
      </c>
      <c r="C16" s="296"/>
      <c r="D16" s="295"/>
      <c r="E16" s="294"/>
      <c r="F16" s="293"/>
    </row>
    <row r="17" spans="1:6" x14ac:dyDescent="0.15">
      <c r="A17" s="292">
        <v>44719</v>
      </c>
      <c r="B17" s="285">
        <v>44719</v>
      </c>
      <c r="F17" s="291"/>
    </row>
    <row r="18" spans="1:6" x14ac:dyDescent="0.15">
      <c r="A18" s="292">
        <v>44720</v>
      </c>
      <c r="B18" s="285">
        <v>44720</v>
      </c>
      <c r="F18" s="291"/>
    </row>
    <row r="19" spans="1:6" x14ac:dyDescent="0.15">
      <c r="A19" s="292">
        <v>44721</v>
      </c>
      <c r="B19" s="285">
        <v>44721</v>
      </c>
      <c r="F19" s="291"/>
    </row>
    <row r="20" spans="1:6" x14ac:dyDescent="0.15">
      <c r="A20" s="292">
        <v>44722</v>
      </c>
      <c r="B20" s="285">
        <v>44722</v>
      </c>
      <c r="F20" s="291"/>
    </row>
    <row r="21" spans="1:6" x14ac:dyDescent="0.15">
      <c r="A21" s="292">
        <v>44723</v>
      </c>
      <c r="B21" s="285">
        <v>44723</v>
      </c>
      <c r="F21" s="291"/>
    </row>
    <row r="22" spans="1:6" x14ac:dyDescent="0.15">
      <c r="A22" s="292">
        <v>44724</v>
      </c>
      <c r="B22" s="285">
        <v>44724</v>
      </c>
      <c r="F22" s="291"/>
    </row>
    <row r="23" spans="1:6" x14ac:dyDescent="0.15">
      <c r="A23" s="292">
        <v>44724</v>
      </c>
      <c r="B23" s="285" t="s">
        <v>234</v>
      </c>
      <c r="F23" s="291"/>
    </row>
    <row r="24" spans="1:6" x14ac:dyDescent="0.15">
      <c r="A24" s="292">
        <v>44724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44725</v>
      </c>
      <c r="B27" s="297">
        <v>44725</v>
      </c>
      <c r="C27" s="296"/>
      <c r="D27" s="295"/>
      <c r="E27" s="294"/>
      <c r="F27" s="293"/>
    </row>
    <row r="28" spans="1:6" x14ac:dyDescent="0.15">
      <c r="A28" s="292">
        <v>44726</v>
      </c>
      <c r="B28" s="285">
        <v>44726</v>
      </c>
      <c r="F28" s="291"/>
    </row>
    <row r="29" spans="1:6" x14ac:dyDescent="0.15">
      <c r="A29" s="292">
        <v>44727</v>
      </c>
      <c r="B29" s="285">
        <v>44727</v>
      </c>
      <c r="F29" s="291"/>
    </row>
    <row r="30" spans="1:6" x14ac:dyDescent="0.15">
      <c r="A30" s="292">
        <v>44728</v>
      </c>
      <c r="B30" s="285">
        <v>44728</v>
      </c>
      <c r="F30" s="291"/>
    </row>
    <row r="31" spans="1:6" x14ac:dyDescent="0.15">
      <c r="A31" s="292">
        <v>44729</v>
      </c>
      <c r="B31" s="285">
        <v>44729</v>
      </c>
      <c r="F31" s="291"/>
    </row>
    <row r="32" spans="1:6" x14ac:dyDescent="0.15">
      <c r="A32" s="292">
        <v>44730</v>
      </c>
      <c r="B32" s="285">
        <v>44730</v>
      </c>
      <c r="F32" s="291"/>
    </row>
    <row r="33" spans="1:6" x14ac:dyDescent="0.15">
      <c r="A33" s="292">
        <v>44731</v>
      </c>
      <c r="B33" s="285">
        <v>44731</v>
      </c>
      <c r="F33" s="291"/>
    </row>
    <row r="34" spans="1:6" x14ac:dyDescent="0.15">
      <c r="A34" s="292">
        <v>44731</v>
      </c>
      <c r="B34" s="285" t="s">
        <v>234</v>
      </c>
      <c r="F34" s="291"/>
    </row>
    <row r="35" spans="1:6" x14ac:dyDescent="0.15">
      <c r="A35" s="292">
        <v>44731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44732</v>
      </c>
      <c r="B38" s="297">
        <v>44732</v>
      </c>
      <c r="C38" s="296"/>
      <c r="D38" s="295"/>
      <c r="E38" s="294"/>
      <c r="F38" s="293"/>
    </row>
    <row r="39" spans="1:6" x14ac:dyDescent="0.15">
      <c r="A39" s="292">
        <v>44733</v>
      </c>
      <c r="B39" s="285">
        <v>44733</v>
      </c>
      <c r="F39" s="291"/>
    </row>
    <row r="40" spans="1:6" x14ac:dyDescent="0.15">
      <c r="A40" s="292">
        <v>44734</v>
      </c>
      <c r="B40" s="285">
        <v>44734</v>
      </c>
      <c r="F40" s="291"/>
    </row>
    <row r="41" spans="1:6" x14ac:dyDescent="0.15">
      <c r="A41" s="292">
        <v>44735</v>
      </c>
      <c r="B41" s="285">
        <v>44735</v>
      </c>
      <c r="F41" s="291"/>
    </row>
    <row r="42" spans="1:6" x14ac:dyDescent="0.15">
      <c r="A42" s="292">
        <v>44736</v>
      </c>
      <c r="B42" s="285">
        <v>44736</v>
      </c>
      <c r="F42" s="291"/>
    </row>
    <row r="43" spans="1:6" x14ac:dyDescent="0.15">
      <c r="A43" s="292">
        <v>44737</v>
      </c>
      <c r="B43" s="285">
        <v>44737</v>
      </c>
      <c r="F43" s="291"/>
    </row>
    <row r="44" spans="1:6" x14ac:dyDescent="0.15">
      <c r="A44" s="292">
        <v>44738</v>
      </c>
      <c r="B44" s="285">
        <v>44738</v>
      </c>
      <c r="F44" s="291"/>
    </row>
    <row r="45" spans="1:6" x14ac:dyDescent="0.15">
      <c r="A45" s="292">
        <v>44738</v>
      </c>
      <c r="B45" s="285" t="s">
        <v>234</v>
      </c>
      <c r="F45" s="291"/>
    </row>
    <row r="46" spans="1:6" x14ac:dyDescent="0.15">
      <c r="A46" s="292">
        <v>44738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8" t="s">
        <v>271</v>
      </c>
      <c r="D2" s="500" t="s">
        <v>270</v>
      </c>
      <c r="E2" s="498" t="s">
        <v>269</v>
      </c>
      <c r="F2" s="432" t="s">
        <v>268</v>
      </c>
      <c r="G2" s="501" t="s">
        <v>267</v>
      </c>
      <c r="H2" s="502"/>
      <c r="I2" s="503">
        <f>G1+H1+I1+J1+PurchasesMay!I2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IF((E1&lt;&gt;0),Admin!$B$7,"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44739</v>
      </c>
      <c r="B5" s="297">
        <v>44739</v>
      </c>
      <c r="C5" s="296"/>
      <c r="D5" s="295"/>
      <c r="E5" s="294"/>
      <c r="F5" s="293"/>
    </row>
    <row r="6" spans="1:6" x14ac:dyDescent="0.15">
      <c r="A6" s="292">
        <v>44740</v>
      </c>
      <c r="B6" s="285">
        <v>44740</v>
      </c>
      <c r="F6" s="291"/>
    </row>
    <row r="7" spans="1:6" x14ac:dyDescent="0.15">
      <c r="A7" s="292">
        <v>44741</v>
      </c>
      <c r="B7" s="285">
        <v>44741</v>
      </c>
      <c r="F7" s="291"/>
    </row>
    <row r="8" spans="1:6" x14ac:dyDescent="0.15">
      <c r="A8" s="292">
        <v>44742</v>
      </c>
      <c r="B8" s="285">
        <v>44742</v>
      </c>
      <c r="F8" s="291"/>
    </row>
    <row r="9" spans="1:6" x14ac:dyDescent="0.15">
      <c r="A9" s="292">
        <v>44743</v>
      </c>
      <c r="B9" s="285">
        <v>44743</v>
      </c>
      <c r="F9" s="291"/>
    </row>
    <row r="10" spans="1:6" x14ac:dyDescent="0.15">
      <c r="A10" s="292">
        <v>44744</v>
      </c>
      <c r="B10" s="285">
        <v>44744</v>
      </c>
      <c r="F10" s="291"/>
    </row>
    <row r="11" spans="1:6" x14ac:dyDescent="0.15">
      <c r="A11" s="292">
        <v>44745</v>
      </c>
      <c r="B11" s="285">
        <v>44745</v>
      </c>
      <c r="F11" s="291"/>
    </row>
    <row r="12" spans="1:6" x14ac:dyDescent="0.15">
      <c r="A12" s="292">
        <v>44745</v>
      </c>
      <c r="B12" s="285" t="s">
        <v>234</v>
      </c>
      <c r="F12" s="291"/>
    </row>
    <row r="13" spans="1:6" x14ac:dyDescent="0.15">
      <c r="A13" s="292">
        <v>44745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44746</v>
      </c>
      <c r="B16" s="297">
        <v>44746</v>
      </c>
      <c r="C16" s="296"/>
      <c r="D16" s="295"/>
      <c r="E16" s="294"/>
      <c r="F16" s="293"/>
    </row>
    <row r="17" spans="1:6" x14ac:dyDescent="0.15">
      <c r="A17" s="292">
        <v>44747</v>
      </c>
      <c r="B17" s="285">
        <v>44747</v>
      </c>
      <c r="F17" s="291"/>
    </row>
    <row r="18" spans="1:6" x14ac:dyDescent="0.15">
      <c r="A18" s="292">
        <v>44748</v>
      </c>
      <c r="B18" s="285">
        <v>44748</v>
      </c>
      <c r="F18" s="291"/>
    </row>
    <row r="19" spans="1:6" x14ac:dyDescent="0.15">
      <c r="A19" s="292">
        <v>44749</v>
      </c>
      <c r="B19" s="285">
        <v>44749</v>
      </c>
      <c r="F19" s="291"/>
    </row>
    <row r="20" spans="1:6" x14ac:dyDescent="0.15">
      <c r="A20" s="292">
        <v>44750</v>
      </c>
      <c r="B20" s="285">
        <v>44750</v>
      </c>
      <c r="F20" s="291"/>
    </row>
    <row r="21" spans="1:6" x14ac:dyDescent="0.15">
      <c r="A21" s="292">
        <v>44751</v>
      </c>
      <c r="B21" s="285">
        <v>44751</v>
      </c>
      <c r="F21" s="291"/>
    </row>
    <row r="22" spans="1:6" x14ac:dyDescent="0.15">
      <c r="A22" s="292">
        <v>44752</v>
      </c>
      <c r="B22" s="285">
        <v>44752</v>
      </c>
      <c r="F22" s="291"/>
    </row>
    <row r="23" spans="1:6" x14ac:dyDescent="0.15">
      <c r="A23" s="292">
        <v>44752</v>
      </c>
      <c r="B23" s="285" t="s">
        <v>234</v>
      </c>
      <c r="F23" s="291"/>
    </row>
    <row r="24" spans="1:6" x14ac:dyDescent="0.15">
      <c r="A24" s="292">
        <v>44752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44753</v>
      </c>
      <c r="B27" s="297">
        <v>44753</v>
      </c>
      <c r="C27" s="296"/>
      <c r="D27" s="295"/>
      <c r="E27" s="294"/>
      <c r="F27" s="293"/>
    </row>
    <row r="28" spans="1:6" x14ac:dyDescent="0.15">
      <c r="A28" s="292">
        <v>44754</v>
      </c>
      <c r="B28" s="285">
        <v>44754</v>
      </c>
      <c r="F28" s="291"/>
    </row>
    <row r="29" spans="1:6" x14ac:dyDescent="0.15">
      <c r="A29" s="292">
        <v>44755</v>
      </c>
      <c r="B29" s="285">
        <v>44755</v>
      </c>
      <c r="F29" s="291"/>
    </row>
    <row r="30" spans="1:6" x14ac:dyDescent="0.15">
      <c r="A30" s="292">
        <v>44756</v>
      </c>
      <c r="B30" s="285">
        <v>44756</v>
      </c>
      <c r="F30" s="291"/>
    </row>
    <row r="31" spans="1:6" x14ac:dyDescent="0.15">
      <c r="A31" s="292">
        <v>44757</v>
      </c>
      <c r="B31" s="285">
        <v>44757</v>
      </c>
      <c r="F31" s="291"/>
    </row>
    <row r="32" spans="1:6" x14ac:dyDescent="0.15">
      <c r="A32" s="292">
        <v>44758</v>
      </c>
      <c r="B32" s="285">
        <v>44758</v>
      </c>
      <c r="F32" s="291"/>
    </row>
    <row r="33" spans="1:6" x14ac:dyDescent="0.15">
      <c r="A33" s="292">
        <v>44759</v>
      </c>
      <c r="B33" s="285">
        <v>44759</v>
      </c>
      <c r="F33" s="291"/>
    </row>
    <row r="34" spans="1:6" x14ac:dyDescent="0.15">
      <c r="A34" s="292">
        <v>44759</v>
      </c>
      <c r="B34" s="285" t="s">
        <v>234</v>
      </c>
      <c r="F34" s="291"/>
    </row>
    <row r="35" spans="1:6" x14ac:dyDescent="0.15">
      <c r="A35" s="292">
        <v>44759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44760</v>
      </c>
      <c r="B38" s="297">
        <v>44760</v>
      </c>
      <c r="C38" s="296"/>
      <c r="D38" s="295"/>
      <c r="E38" s="294"/>
      <c r="F38" s="293"/>
    </row>
    <row r="39" spans="1:6" x14ac:dyDescent="0.15">
      <c r="A39" s="292">
        <v>44761</v>
      </c>
      <c r="B39" s="285">
        <v>44761</v>
      </c>
      <c r="F39" s="291"/>
    </row>
    <row r="40" spans="1:6" x14ac:dyDescent="0.15">
      <c r="A40" s="292">
        <v>44762</v>
      </c>
      <c r="B40" s="285">
        <v>44762</v>
      </c>
      <c r="F40" s="291"/>
    </row>
    <row r="41" spans="1:6" x14ac:dyDescent="0.15">
      <c r="A41" s="292">
        <v>44763</v>
      </c>
      <c r="B41" s="285">
        <v>44763</v>
      </c>
      <c r="F41" s="291"/>
    </row>
    <row r="42" spans="1:6" x14ac:dyDescent="0.15">
      <c r="A42" s="292">
        <v>44764</v>
      </c>
      <c r="B42" s="285">
        <v>44764</v>
      </c>
      <c r="F42" s="291"/>
    </row>
    <row r="43" spans="1:6" x14ac:dyDescent="0.15">
      <c r="A43" s="292">
        <v>44765</v>
      </c>
      <c r="B43" s="285">
        <v>44765</v>
      </c>
      <c r="F43" s="291"/>
    </row>
    <row r="44" spans="1:6" x14ac:dyDescent="0.15">
      <c r="A44" s="292">
        <v>44766</v>
      </c>
      <c r="B44" s="285">
        <v>44766</v>
      </c>
      <c r="F44" s="291"/>
    </row>
    <row r="45" spans="1:6" x14ac:dyDescent="0.15">
      <c r="A45" s="292">
        <v>44766</v>
      </c>
      <c r="B45" s="285" t="s">
        <v>234</v>
      </c>
      <c r="F45" s="291"/>
    </row>
    <row r="46" spans="1:6" x14ac:dyDescent="0.15">
      <c r="A46" s="292">
        <v>44766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44767</v>
      </c>
      <c r="B49" s="297">
        <v>44767</v>
      </c>
      <c r="C49" s="296"/>
      <c r="D49" s="295"/>
      <c r="E49" s="294"/>
      <c r="F49" s="293"/>
    </row>
    <row r="50" spans="1:6" x14ac:dyDescent="0.15">
      <c r="A50" s="292">
        <v>44768</v>
      </c>
      <c r="B50" s="285">
        <v>44768</v>
      </c>
      <c r="F50" s="291"/>
    </row>
    <row r="51" spans="1:6" x14ac:dyDescent="0.15">
      <c r="A51" s="292">
        <v>44769</v>
      </c>
      <c r="B51" s="285">
        <v>44769</v>
      </c>
      <c r="F51" s="291"/>
    </row>
    <row r="52" spans="1:6" x14ac:dyDescent="0.15">
      <c r="A52" s="292">
        <v>44770</v>
      </c>
      <c r="B52" s="285">
        <v>44770</v>
      </c>
      <c r="F52" s="291"/>
    </row>
    <row r="53" spans="1:6" x14ac:dyDescent="0.15">
      <c r="A53" s="292">
        <v>44771</v>
      </c>
      <c r="B53" s="285">
        <v>44771</v>
      </c>
      <c r="F53" s="291"/>
    </row>
    <row r="54" spans="1:6" x14ac:dyDescent="0.15">
      <c r="A54" s="292">
        <v>44772</v>
      </c>
      <c r="B54" s="285">
        <v>44772</v>
      </c>
      <c r="F54" s="291"/>
    </row>
    <row r="55" spans="1:6" x14ac:dyDescent="0.15">
      <c r="A55" s="292">
        <v>44773</v>
      </c>
      <c r="B55" s="285">
        <v>44773</v>
      </c>
      <c r="F55" s="291"/>
    </row>
    <row r="56" spans="1:6" x14ac:dyDescent="0.15">
      <c r="A56" s="292">
        <v>44773</v>
      </c>
      <c r="B56" s="285" t="s">
        <v>234</v>
      </c>
      <c r="F56" s="291"/>
    </row>
    <row r="57" spans="1:6" x14ac:dyDescent="0.15">
      <c r="A57" s="292">
        <v>44773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8" t="s">
        <v>271</v>
      </c>
      <c r="D2" s="500" t="s">
        <v>270</v>
      </c>
      <c r="E2" s="498" t="s">
        <v>269</v>
      </c>
      <c r="F2" s="432" t="s">
        <v>268</v>
      </c>
      <c r="G2" s="501" t="s">
        <v>267</v>
      </c>
      <c r="H2" s="502"/>
      <c r="I2" s="503">
        <f>G1+H1+I1+J1+PurchasesJun!I2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IF((E1&lt;&gt;0),Admin!$B$8,"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44774</v>
      </c>
      <c r="B5" s="297">
        <v>44774</v>
      </c>
      <c r="C5" s="296"/>
      <c r="D5" s="295"/>
      <c r="E5" s="294"/>
      <c r="F5" s="293"/>
    </row>
    <row r="6" spans="1:6" x14ac:dyDescent="0.15">
      <c r="A6" s="292">
        <v>44775</v>
      </c>
      <c r="B6" s="285">
        <v>44775</v>
      </c>
      <c r="F6" s="291"/>
    </row>
    <row r="7" spans="1:6" x14ac:dyDescent="0.15">
      <c r="A7" s="292">
        <v>44776</v>
      </c>
      <c r="B7" s="285">
        <v>44776</v>
      </c>
      <c r="F7" s="291"/>
    </row>
    <row r="8" spans="1:6" x14ac:dyDescent="0.15">
      <c r="A8" s="292">
        <v>44777</v>
      </c>
      <c r="B8" s="285">
        <v>44777</v>
      </c>
      <c r="F8" s="291"/>
    </row>
    <row r="9" spans="1:6" x14ac:dyDescent="0.15">
      <c r="A9" s="292">
        <v>44778</v>
      </c>
      <c r="B9" s="285">
        <v>44778</v>
      </c>
      <c r="F9" s="291"/>
    </row>
    <row r="10" spans="1:6" x14ac:dyDescent="0.15">
      <c r="A10" s="292">
        <v>44779</v>
      </c>
      <c r="B10" s="285">
        <v>44779</v>
      </c>
      <c r="F10" s="291"/>
    </row>
    <row r="11" spans="1:6" x14ac:dyDescent="0.15">
      <c r="A11" s="292">
        <v>44780</v>
      </c>
      <c r="B11" s="285">
        <v>44780</v>
      </c>
      <c r="F11" s="291"/>
    </row>
    <row r="12" spans="1:6" x14ac:dyDescent="0.15">
      <c r="A12" s="292">
        <v>44780</v>
      </c>
      <c r="B12" s="285" t="s">
        <v>234</v>
      </c>
      <c r="F12" s="291"/>
    </row>
    <row r="13" spans="1:6" x14ac:dyDescent="0.15">
      <c r="A13" s="292">
        <v>44780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44781</v>
      </c>
      <c r="B16" s="297">
        <v>44781</v>
      </c>
      <c r="C16" s="296"/>
      <c r="D16" s="295"/>
      <c r="E16" s="294"/>
      <c r="F16" s="293"/>
    </row>
    <row r="17" spans="1:6" x14ac:dyDescent="0.15">
      <c r="A17" s="292">
        <v>44782</v>
      </c>
      <c r="B17" s="285">
        <v>44782</v>
      </c>
      <c r="F17" s="291"/>
    </row>
    <row r="18" spans="1:6" x14ac:dyDescent="0.15">
      <c r="A18" s="292">
        <v>44783</v>
      </c>
      <c r="B18" s="285">
        <v>44783</v>
      </c>
      <c r="F18" s="291"/>
    </row>
    <row r="19" spans="1:6" x14ac:dyDescent="0.15">
      <c r="A19" s="292">
        <v>44784</v>
      </c>
      <c r="B19" s="285">
        <v>44784</v>
      </c>
      <c r="F19" s="291"/>
    </row>
    <row r="20" spans="1:6" x14ac:dyDescent="0.15">
      <c r="A20" s="292">
        <v>44785</v>
      </c>
      <c r="B20" s="285">
        <v>44785</v>
      </c>
      <c r="F20" s="291"/>
    </row>
    <row r="21" spans="1:6" x14ac:dyDescent="0.15">
      <c r="A21" s="292">
        <v>44786</v>
      </c>
      <c r="B21" s="285">
        <v>44786</v>
      </c>
      <c r="F21" s="291"/>
    </row>
    <row r="22" spans="1:6" x14ac:dyDescent="0.15">
      <c r="A22" s="292">
        <v>44787</v>
      </c>
      <c r="B22" s="285">
        <v>44787</v>
      </c>
      <c r="F22" s="291"/>
    </row>
    <row r="23" spans="1:6" x14ac:dyDescent="0.15">
      <c r="A23" s="292">
        <v>44787</v>
      </c>
      <c r="B23" s="285" t="s">
        <v>234</v>
      </c>
      <c r="F23" s="291"/>
    </row>
    <row r="24" spans="1:6" x14ac:dyDescent="0.15">
      <c r="A24" s="292">
        <v>44787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44788</v>
      </c>
      <c r="B27" s="297">
        <v>44788</v>
      </c>
      <c r="C27" s="296"/>
      <c r="D27" s="295"/>
      <c r="E27" s="294"/>
      <c r="F27" s="293"/>
    </row>
    <row r="28" spans="1:6" x14ac:dyDescent="0.15">
      <c r="A28" s="292">
        <v>44789</v>
      </c>
      <c r="B28" s="285">
        <v>44789</v>
      </c>
      <c r="F28" s="291"/>
    </row>
    <row r="29" spans="1:6" x14ac:dyDescent="0.15">
      <c r="A29" s="292">
        <v>44790</v>
      </c>
      <c r="B29" s="285">
        <v>44790</v>
      </c>
      <c r="F29" s="291"/>
    </row>
    <row r="30" spans="1:6" x14ac:dyDescent="0.15">
      <c r="A30" s="292">
        <v>44791</v>
      </c>
      <c r="B30" s="285">
        <v>44791</v>
      </c>
      <c r="F30" s="291"/>
    </row>
    <row r="31" spans="1:6" x14ac:dyDescent="0.15">
      <c r="A31" s="292">
        <v>44792</v>
      </c>
      <c r="B31" s="285">
        <v>44792</v>
      </c>
      <c r="F31" s="291"/>
    </row>
    <row r="32" spans="1:6" x14ac:dyDescent="0.15">
      <c r="A32" s="292">
        <v>44793</v>
      </c>
      <c r="B32" s="285">
        <v>44793</v>
      </c>
      <c r="F32" s="291"/>
    </row>
    <row r="33" spans="1:6" x14ac:dyDescent="0.15">
      <c r="A33" s="292">
        <v>44794</v>
      </c>
      <c r="B33" s="285">
        <v>44794</v>
      </c>
      <c r="F33" s="291"/>
    </row>
    <row r="34" spans="1:6" x14ac:dyDescent="0.15">
      <c r="A34" s="292">
        <v>44794</v>
      </c>
      <c r="B34" s="285" t="s">
        <v>234</v>
      </c>
      <c r="F34" s="291"/>
    </row>
    <row r="35" spans="1:6" x14ac:dyDescent="0.15">
      <c r="A35" s="292">
        <v>44794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44795</v>
      </c>
      <c r="B38" s="297">
        <v>44795</v>
      </c>
      <c r="C38" s="296"/>
      <c r="D38" s="295"/>
      <c r="E38" s="294"/>
      <c r="F38" s="293"/>
    </row>
    <row r="39" spans="1:6" x14ac:dyDescent="0.15">
      <c r="A39" s="292">
        <v>44796</v>
      </c>
      <c r="B39" s="285">
        <v>44796</v>
      </c>
      <c r="F39" s="291"/>
    </row>
    <row r="40" spans="1:6" x14ac:dyDescent="0.15">
      <c r="A40" s="292">
        <v>44797</v>
      </c>
      <c r="B40" s="285">
        <v>44797</v>
      </c>
      <c r="F40" s="291"/>
    </row>
    <row r="41" spans="1:6" x14ac:dyDescent="0.15">
      <c r="A41" s="292">
        <v>44798</v>
      </c>
      <c r="B41" s="285">
        <v>44798</v>
      </c>
      <c r="F41" s="291"/>
    </row>
    <row r="42" spans="1:6" x14ac:dyDescent="0.15">
      <c r="A42" s="292">
        <v>44799</v>
      </c>
      <c r="B42" s="285">
        <v>44799</v>
      </c>
      <c r="F42" s="291"/>
    </row>
    <row r="43" spans="1:6" x14ac:dyDescent="0.15">
      <c r="A43" s="292">
        <v>44800</v>
      </c>
      <c r="B43" s="285">
        <v>44800</v>
      </c>
      <c r="F43" s="291"/>
    </row>
    <row r="44" spans="1:6" x14ac:dyDescent="0.15">
      <c r="A44" s="292">
        <v>44801</v>
      </c>
      <c r="B44" s="285">
        <v>44801</v>
      </c>
      <c r="F44" s="291"/>
    </row>
    <row r="45" spans="1:6" x14ac:dyDescent="0.15">
      <c r="A45" s="292">
        <v>44801</v>
      </c>
      <c r="B45" s="285" t="s">
        <v>234</v>
      </c>
      <c r="F45" s="291"/>
    </row>
    <row r="46" spans="1:6" x14ac:dyDescent="0.15">
      <c r="A46" s="292">
        <v>44801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8" t="s">
        <v>271</v>
      </c>
      <c r="D2" s="500" t="s">
        <v>270</v>
      </c>
      <c r="E2" s="498" t="s">
        <v>269</v>
      </c>
      <c r="F2" s="432" t="s">
        <v>268</v>
      </c>
      <c r="G2" s="501" t="s">
        <v>267</v>
      </c>
      <c r="H2" s="502"/>
      <c r="I2" s="503">
        <f>G1+H1+I1+J1+PurchasesJul!I2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IF((E1&lt;&gt;0),Admin!$B$9,"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44802</v>
      </c>
      <c r="B5" s="297">
        <v>44802</v>
      </c>
      <c r="C5" s="296"/>
      <c r="D5" s="295"/>
      <c r="E5" s="294"/>
      <c r="F5" s="293"/>
    </row>
    <row r="6" spans="1:6" x14ac:dyDescent="0.15">
      <c r="A6" s="292">
        <v>44803</v>
      </c>
      <c r="B6" s="285">
        <v>44803</v>
      </c>
      <c r="F6" s="291"/>
    </row>
    <row r="7" spans="1:6" x14ac:dyDescent="0.15">
      <c r="A7" s="292">
        <v>44804</v>
      </c>
      <c r="B7" s="285">
        <v>44804</v>
      </c>
      <c r="F7" s="291"/>
    </row>
    <row r="8" spans="1:6" x14ac:dyDescent="0.15">
      <c r="A8" s="292">
        <v>44805</v>
      </c>
      <c r="B8" s="285">
        <v>44805</v>
      </c>
      <c r="F8" s="291"/>
    </row>
    <row r="9" spans="1:6" x14ac:dyDescent="0.15">
      <c r="A9" s="292">
        <v>44806</v>
      </c>
      <c r="B9" s="285">
        <v>44806</v>
      </c>
      <c r="F9" s="291"/>
    </row>
    <row r="10" spans="1:6" x14ac:dyDescent="0.15">
      <c r="A10" s="292">
        <v>44807</v>
      </c>
      <c r="B10" s="285">
        <v>44807</v>
      </c>
      <c r="F10" s="291"/>
    </row>
    <row r="11" spans="1:6" x14ac:dyDescent="0.15">
      <c r="A11" s="292">
        <v>44808</v>
      </c>
      <c r="B11" s="285">
        <v>44808</v>
      </c>
      <c r="F11" s="291"/>
    </row>
    <row r="12" spans="1:6" x14ac:dyDescent="0.15">
      <c r="A12" s="292">
        <v>44808</v>
      </c>
      <c r="B12" s="285" t="s">
        <v>234</v>
      </c>
      <c r="F12" s="291"/>
    </row>
    <row r="13" spans="1:6" x14ac:dyDescent="0.15">
      <c r="A13" s="292">
        <v>44808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44809</v>
      </c>
      <c r="B16" s="297">
        <v>44809</v>
      </c>
      <c r="C16" s="296"/>
      <c r="D16" s="295"/>
      <c r="E16" s="294"/>
      <c r="F16" s="293"/>
    </row>
    <row r="17" spans="1:6" x14ac:dyDescent="0.15">
      <c r="A17" s="292">
        <v>44810</v>
      </c>
      <c r="B17" s="285">
        <v>44810</v>
      </c>
      <c r="F17" s="291"/>
    </row>
    <row r="18" spans="1:6" x14ac:dyDescent="0.15">
      <c r="A18" s="292">
        <v>44811</v>
      </c>
      <c r="B18" s="285">
        <v>44811</v>
      </c>
      <c r="F18" s="291"/>
    </row>
    <row r="19" spans="1:6" x14ac:dyDescent="0.15">
      <c r="A19" s="292">
        <v>44812</v>
      </c>
      <c r="B19" s="285">
        <v>44812</v>
      </c>
      <c r="F19" s="291"/>
    </row>
    <row r="20" spans="1:6" x14ac:dyDescent="0.15">
      <c r="A20" s="292">
        <v>44813</v>
      </c>
      <c r="B20" s="285">
        <v>44813</v>
      </c>
      <c r="F20" s="291"/>
    </row>
    <row r="21" spans="1:6" x14ac:dyDescent="0.15">
      <c r="A21" s="292">
        <v>44814</v>
      </c>
      <c r="B21" s="285">
        <v>44814</v>
      </c>
      <c r="F21" s="291"/>
    </row>
    <row r="22" spans="1:6" x14ac:dyDescent="0.15">
      <c r="A22" s="292">
        <v>44815</v>
      </c>
      <c r="B22" s="285">
        <v>44815</v>
      </c>
      <c r="F22" s="291"/>
    </row>
    <row r="23" spans="1:6" x14ac:dyDescent="0.15">
      <c r="A23" s="292">
        <v>44815</v>
      </c>
      <c r="B23" s="285" t="s">
        <v>234</v>
      </c>
      <c r="F23" s="291"/>
    </row>
    <row r="24" spans="1:6" x14ac:dyDescent="0.15">
      <c r="A24" s="292">
        <v>44815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44816</v>
      </c>
      <c r="B27" s="297">
        <v>44816</v>
      </c>
      <c r="C27" s="296"/>
      <c r="D27" s="295"/>
      <c r="E27" s="294"/>
      <c r="F27" s="293"/>
    </row>
    <row r="28" spans="1:6" x14ac:dyDescent="0.15">
      <c r="A28" s="292">
        <v>44817</v>
      </c>
      <c r="B28" s="285">
        <v>44817</v>
      </c>
      <c r="F28" s="291"/>
    </row>
    <row r="29" spans="1:6" x14ac:dyDescent="0.15">
      <c r="A29" s="292">
        <v>44818</v>
      </c>
      <c r="B29" s="285">
        <v>44818</v>
      </c>
      <c r="F29" s="291"/>
    </row>
    <row r="30" spans="1:6" x14ac:dyDescent="0.15">
      <c r="A30" s="292">
        <v>44819</v>
      </c>
      <c r="B30" s="285">
        <v>44819</v>
      </c>
      <c r="F30" s="291"/>
    </row>
    <row r="31" spans="1:6" x14ac:dyDescent="0.15">
      <c r="A31" s="292">
        <v>44820</v>
      </c>
      <c r="B31" s="285">
        <v>44820</v>
      </c>
      <c r="F31" s="291"/>
    </row>
    <row r="32" spans="1:6" x14ac:dyDescent="0.15">
      <c r="A32" s="292">
        <v>44821</v>
      </c>
      <c r="B32" s="285">
        <v>44821</v>
      </c>
      <c r="F32" s="291"/>
    </row>
    <row r="33" spans="1:6" x14ac:dyDescent="0.15">
      <c r="A33" s="292">
        <v>44822</v>
      </c>
      <c r="B33" s="285">
        <v>44822</v>
      </c>
      <c r="F33" s="291"/>
    </row>
    <row r="34" spans="1:6" x14ac:dyDescent="0.15">
      <c r="A34" s="292">
        <v>44822</v>
      </c>
      <c r="B34" s="285" t="s">
        <v>234</v>
      </c>
      <c r="F34" s="291"/>
    </row>
    <row r="35" spans="1:6" x14ac:dyDescent="0.15">
      <c r="A35" s="292">
        <v>44822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44823</v>
      </c>
      <c r="B38" s="297">
        <v>44823</v>
      </c>
      <c r="C38" s="296"/>
      <c r="D38" s="295"/>
      <c r="E38" s="294"/>
      <c r="F38" s="293"/>
    </row>
    <row r="39" spans="1:6" x14ac:dyDescent="0.15">
      <c r="A39" s="292">
        <v>44824</v>
      </c>
      <c r="B39" s="285">
        <v>44824</v>
      </c>
      <c r="F39" s="291"/>
    </row>
    <row r="40" spans="1:6" x14ac:dyDescent="0.15">
      <c r="A40" s="292">
        <v>44825</v>
      </c>
      <c r="B40" s="285">
        <v>44825</v>
      </c>
      <c r="F40" s="291"/>
    </row>
    <row r="41" spans="1:6" x14ac:dyDescent="0.15">
      <c r="A41" s="292">
        <v>44826</v>
      </c>
      <c r="B41" s="285">
        <v>44826</v>
      </c>
      <c r="F41" s="291"/>
    </row>
    <row r="42" spans="1:6" x14ac:dyDescent="0.15">
      <c r="A42" s="292">
        <v>44827</v>
      </c>
      <c r="B42" s="285">
        <v>44827</v>
      </c>
      <c r="F42" s="291"/>
    </row>
    <row r="43" spans="1:6" x14ac:dyDescent="0.15">
      <c r="A43" s="292">
        <v>44828</v>
      </c>
      <c r="B43" s="285">
        <v>44828</v>
      </c>
      <c r="F43" s="291"/>
    </row>
    <row r="44" spans="1:6" x14ac:dyDescent="0.15">
      <c r="A44" s="292">
        <v>44829</v>
      </c>
      <c r="B44" s="285">
        <v>44829</v>
      </c>
      <c r="F44" s="291"/>
    </row>
    <row r="45" spans="1:6" x14ac:dyDescent="0.15">
      <c r="A45" s="292">
        <v>44829</v>
      </c>
      <c r="B45" s="285" t="s">
        <v>234</v>
      </c>
      <c r="F45" s="291"/>
    </row>
    <row r="46" spans="1:6" x14ac:dyDescent="0.15">
      <c r="A46" s="292">
        <v>44829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8" t="s">
        <v>271</v>
      </c>
      <c r="D2" s="500" t="s">
        <v>270</v>
      </c>
      <c r="E2" s="498" t="s">
        <v>269</v>
      </c>
      <c r="F2" s="432" t="s">
        <v>268</v>
      </c>
      <c r="G2" s="501" t="s">
        <v>267</v>
      </c>
      <c r="H2" s="502"/>
      <c r="I2" s="503">
        <f>G1+H1+I1+J1+PurchasesAug!I2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IF((E1&lt;&gt;0),Admin!$B$10,"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44830</v>
      </c>
      <c r="B5" s="297">
        <v>44830</v>
      </c>
      <c r="C5" s="296"/>
      <c r="D5" s="295"/>
      <c r="E5" s="294"/>
      <c r="F5" s="293"/>
    </row>
    <row r="6" spans="1:6" x14ac:dyDescent="0.15">
      <c r="A6" s="292">
        <v>44831</v>
      </c>
      <c r="B6" s="285">
        <v>44831</v>
      </c>
      <c r="F6" s="291"/>
    </row>
    <row r="7" spans="1:6" x14ac:dyDescent="0.15">
      <c r="A7" s="292">
        <v>44832</v>
      </c>
      <c r="B7" s="285">
        <v>44832</v>
      </c>
      <c r="F7" s="291"/>
    </row>
    <row r="8" spans="1:6" x14ac:dyDescent="0.15">
      <c r="A8" s="292">
        <v>44833</v>
      </c>
      <c r="B8" s="285">
        <v>44833</v>
      </c>
      <c r="F8" s="291"/>
    </row>
    <row r="9" spans="1:6" x14ac:dyDescent="0.15">
      <c r="A9" s="292">
        <v>44834</v>
      </c>
      <c r="B9" s="285">
        <v>44834</v>
      </c>
      <c r="F9" s="291"/>
    </row>
    <row r="10" spans="1:6" x14ac:dyDescent="0.15">
      <c r="A10" s="292">
        <v>44835</v>
      </c>
      <c r="B10" s="285">
        <v>44835</v>
      </c>
      <c r="F10" s="291"/>
    </row>
    <row r="11" spans="1:6" x14ac:dyDescent="0.15">
      <c r="A11" s="292">
        <v>44836</v>
      </c>
      <c r="B11" s="285">
        <v>44836</v>
      </c>
      <c r="F11" s="291"/>
    </row>
    <row r="12" spans="1:6" x14ac:dyDescent="0.15">
      <c r="A12" s="292">
        <v>44836</v>
      </c>
      <c r="B12" s="285" t="s">
        <v>234</v>
      </c>
      <c r="F12" s="291"/>
    </row>
    <row r="13" spans="1:6" x14ac:dyDescent="0.15">
      <c r="A13" s="292">
        <v>44836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44837</v>
      </c>
      <c r="B16" s="297">
        <v>44837</v>
      </c>
      <c r="C16" s="296"/>
      <c r="D16" s="295"/>
      <c r="E16" s="294"/>
      <c r="F16" s="293"/>
    </row>
    <row r="17" spans="1:6" x14ac:dyDescent="0.15">
      <c r="A17" s="292">
        <v>44838</v>
      </c>
      <c r="B17" s="285">
        <v>44838</v>
      </c>
      <c r="F17" s="291"/>
    </row>
    <row r="18" spans="1:6" x14ac:dyDescent="0.15">
      <c r="A18" s="292">
        <v>44839</v>
      </c>
      <c r="B18" s="285">
        <v>44839</v>
      </c>
      <c r="F18" s="291"/>
    </row>
    <row r="19" spans="1:6" x14ac:dyDescent="0.15">
      <c r="A19" s="292">
        <v>44840</v>
      </c>
      <c r="B19" s="285">
        <v>44840</v>
      </c>
      <c r="F19" s="291"/>
    </row>
    <row r="20" spans="1:6" x14ac:dyDescent="0.15">
      <c r="A20" s="292">
        <v>44841</v>
      </c>
      <c r="B20" s="285">
        <v>44841</v>
      </c>
      <c r="F20" s="291"/>
    </row>
    <row r="21" spans="1:6" x14ac:dyDescent="0.15">
      <c r="A21" s="292">
        <v>44842</v>
      </c>
      <c r="B21" s="285">
        <v>44842</v>
      </c>
      <c r="F21" s="291"/>
    </row>
    <row r="22" spans="1:6" x14ac:dyDescent="0.15">
      <c r="A22" s="292">
        <v>44843</v>
      </c>
      <c r="B22" s="285">
        <v>44843</v>
      </c>
      <c r="F22" s="291"/>
    </row>
    <row r="23" spans="1:6" x14ac:dyDescent="0.15">
      <c r="A23" s="292">
        <v>44843</v>
      </c>
      <c r="B23" s="285" t="s">
        <v>234</v>
      </c>
      <c r="F23" s="291"/>
    </row>
    <row r="24" spans="1:6" x14ac:dyDescent="0.15">
      <c r="A24" s="292">
        <v>44843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44844</v>
      </c>
      <c r="B27" s="297">
        <v>44844</v>
      </c>
      <c r="C27" s="296"/>
      <c r="D27" s="295"/>
      <c r="E27" s="294"/>
      <c r="F27" s="293"/>
    </row>
    <row r="28" spans="1:6" x14ac:dyDescent="0.15">
      <c r="A28" s="292">
        <v>44845</v>
      </c>
      <c r="B28" s="285">
        <v>44845</v>
      </c>
      <c r="F28" s="291"/>
    </row>
    <row r="29" spans="1:6" x14ac:dyDescent="0.15">
      <c r="A29" s="292">
        <v>44846</v>
      </c>
      <c r="B29" s="285">
        <v>44846</v>
      </c>
      <c r="F29" s="291"/>
    </row>
    <row r="30" spans="1:6" x14ac:dyDescent="0.15">
      <c r="A30" s="292">
        <v>44847</v>
      </c>
      <c r="B30" s="285">
        <v>44847</v>
      </c>
      <c r="F30" s="291"/>
    </row>
    <row r="31" spans="1:6" x14ac:dyDescent="0.15">
      <c r="A31" s="292">
        <v>44848</v>
      </c>
      <c r="B31" s="285">
        <v>44848</v>
      </c>
      <c r="F31" s="291"/>
    </row>
    <row r="32" spans="1:6" x14ac:dyDescent="0.15">
      <c r="A32" s="292">
        <v>44849</v>
      </c>
      <c r="B32" s="285">
        <v>44849</v>
      </c>
      <c r="F32" s="291"/>
    </row>
    <row r="33" spans="1:6" x14ac:dyDescent="0.15">
      <c r="A33" s="292">
        <v>44850</v>
      </c>
      <c r="B33" s="285">
        <v>44850</v>
      </c>
      <c r="F33" s="291"/>
    </row>
    <row r="34" spans="1:6" x14ac:dyDescent="0.15">
      <c r="A34" s="292">
        <v>44850</v>
      </c>
      <c r="B34" s="285" t="s">
        <v>234</v>
      </c>
      <c r="F34" s="291"/>
    </row>
    <row r="35" spans="1:6" x14ac:dyDescent="0.15">
      <c r="A35" s="292">
        <v>44850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44851</v>
      </c>
      <c r="B38" s="297">
        <v>44851</v>
      </c>
      <c r="C38" s="296"/>
      <c r="D38" s="295"/>
      <c r="E38" s="294"/>
      <c r="F38" s="293"/>
    </row>
    <row r="39" spans="1:6" x14ac:dyDescent="0.15">
      <c r="A39" s="292">
        <v>44852</v>
      </c>
      <c r="B39" s="285">
        <v>44852</v>
      </c>
      <c r="F39" s="291"/>
    </row>
    <row r="40" spans="1:6" x14ac:dyDescent="0.15">
      <c r="A40" s="292">
        <v>44853</v>
      </c>
      <c r="B40" s="285">
        <v>44853</v>
      </c>
      <c r="F40" s="291"/>
    </row>
    <row r="41" spans="1:6" x14ac:dyDescent="0.15">
      <c r="A41" s="292">
        <v>44854</v>
      </c>
      <c r="B41" s="285">
        <v>44854</v>
      </c>
      <c r="F41" s="291"/>
    </row>
    <row r="42" spans="1:6" x14ac:dyDescent="0.15">
      <c r="A42" s="292">
        <v>44855</v>
      </c>
      <c r="B42" s="285">
        <v>44855</v>
      </c>
      <c r="F42" s="291"/>
    </row>
    <row r="43" spans="1:6" x14ac:dyDescent="0.15">
      <c r="A43" s="292">
        <v>44856</v>
      </c>
      <c r="B43" s="285">
        <v>44856</v>
      </c>
      <c r="F43" s="291"/>
    </row>
    <row r="44" spans="1:6" x14ac:dyDescent="0.15">
      <c r="A44" s="292">
        <v>44857</v>
      </c>
      <c r="B44" s="285">
        <v>44857</v>
      </c>
      <c r="F44" s="291"/>
    </row>
    <row r="45" spans="1:6" x14ac:dyDescent="0.15">
      <c r="A45" s="292">
        <v>44857</v>
      </c>
      <c r="B45" s="285" t="s">
        <v>234</v>
      </c>
      <c r="F45" s="291"/>
    </row>
    <row r="46" spans="1:6" x14ac:dyDescent="0.15">
      <c r="A46" s="292">
        <v>44857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44858</v>
      </c>
      <c r="B49" s="297">
        <v>44858</v>
      </c>
      <c r="C49" s="296"/>
      <c r="D49" s="295"/>
      <c r="E49" s="294"/>
      <c r="F49" s="293"/>
    </row>
    <row r="50" spans="1:6" x14ac:dyDescent="0.15">
      <c r="A50" s="292">
        <v>44859</v>
      </c>
      <c r="B50" s="285">
        <v>44859</v>
      </c>
      <c r="F50" s="291"/>
    </row>
    <row r="51" spans="1:6" x14ac:dyDescent="0.15">
      <c r="A51" s="292">
        <v>44860</v>
      </c>
      <c r="B51" s="285">
        <v>44860</v>
      </c>
      <c r="F51" s="291"/>
    </row>
    <row r="52" spans="1:6" x14ac:dyDescent="0.15">
      <c r="A52" s="292">
        <v>44861</v>
      </c>
      <c r="B52" s="285">
        <v>44861</v>
      </c>
      <c r="F52" s="291"/>
    </row>
    <row r="53" spans="1:6" x14ac:dyDescent="0.15">
      <c r="A53" s="292">
        <v>44862</v>
      </c>
      <c r="B53" s="285">
        <v>44862</v>
      </c>
      <c r="F53" s="291"/>
    </row>
    <row r="54" spans="1:6" x14ac:dyDescent="0.15">
      <c r="A54" s="292">
        <v>44863</v>
      </c>
      <c r="B54" s="285">
        <v>44863</v>
      </c>
      <c r="F54" s="291"/>
    </row>
    <row r="55" spans="1:6" x14ac:dyDescent="0.15">
      <c r="A55" s="292">
        <v>44864</v>
      </c>
      <c r="B55" s="285">
        <v>44864</v>
      </c>
      <c r="F55" s="291"/>
    </row>
    <row r="56" spans="1:6" x14ac:dyDescent="0.15">
      <c r="A56" s="292">
        <v>44864</v>
      </c>
      <c r="B56" s="285" t="s">
        <v>234</v>
      </c>
      <c r="F56" s="291"/>
    </row>
    <row r="57" spans="1:6" x14ac:dyDescent="0.15">
      <c r="A57" s="292">
        <v>44864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8" t="s">
        <v>271</v>
      </c>
      <c r="D2" s="500" t="s">
        <v>270</v>
      </c>
      <c r="E2" s="498" t="s">
        <v>269</v>
      </c>
      <c r="F2" s="432" t="s">
        <v>268</v>
      </c>
      <c r="G2" s="501" t="s">
        <v>267</v>
      </c>
      <c r="H2" s="502"/>
      <c r="I2" s="503">
        <f>G1+H1+I1+J1+PurchasesSep!I2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IF((E1&lt;&gt;0),Admin!$B$11,"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44865</v>
      </c>
      <c r="B5" s="297">
        <v>44865</v>
      </c>
      <c r="C5" s="296"/>
      <c r="D5" s="295"/>
      <c r="E5" s="294"/>
      <c r="F5" s="293"/>
    </row>
    <row r="6" spans="1:6" x14ac:dyDescent="0.15">
      <c r="A6" s="292">
        <v>44866</v>
      </c>
      <c r="B6" s="285">
        <v>44866</v>
      </c>
      <c r="F6" s="291"/>
    </row>
    <row r="7" spans="1:6" x14ac:dyDescent="0.15">
      <c r="A7" s="292">
        <v>44867</v>
      </c>
      <c r="B7" s="285">
        <v>44867</v>
      </c>
      <c r="F7" s="291"/>
    </row>
    <row r="8" spans="1:6" x14ac:dyDescent="0.15">
      <c r="A8" s="292">
        <v>44868</v>
      </c>
      <c r="B8" s="285">
        <v>44868</v>
      </c>
      <c r="F8" s="291"/>
    </row>
    <row r="9" spans="1:6" x14ac:dyDescent="0.15">
      <c r="A9" s="292">
        <v>44869</v>
      </c>
      <c r="B9" s="285">
        <v>44869</v>
      </c>
      <c r="F9" s="291"/>
    </row>
    <row r="10" spans="1:6" x14ac:dyDescent="0.15">
      <c r="A10" s="292">
        <v>44870</v>
      </c>
      <c r="B10" s="285">
        <v>44870</v>
      </c>
      <c r="F10" s="291"/>
    </row>
    <row r="11" spans="1:6" x14ac:dyDescent="0.15">
      <c r="A11" s="292">
        <v>44871</v>
      </c>
      <c r="B11" s="285">
        <v>44871</v>
      </c>
      <c r="F11" s="291"/>
    </row>
    <row r="12" spans="1:6" x14ac:dyDescent="0.15">
      <c r="A12" s="292">
        <v>44871</v>
      </c>
      <c r="B12" s="285" t="s">
        <v>234</v>
      </c>
      <c r="F12" s="291"/>
    </row>
    <row r="13" spans="1:6" x14ac:dyDescent="0.15">
      <c r="A13" s="292">
        <v>44871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44872</v>
      </c>
      <c r="B16" s="297">
        <v>44872</v>
      </c>
      <c r="C16" s="296"/>
      <c r="D16" s="295"/>
      <c r="E16" s="294"/>
      <c r="F16" s="293"/>
    </row>
    <row r="17" spans="1:6" x14ac:dyDescent="0.15">
      <c r="A17" s="292">
        <v>44873</v>
      </c>
      <c r="B17" s="285">
        <v>44873</v>
      </c>
      <c r="F17" s="291"/>
    </row>
    <row r="18" spans="1:6" x14ac:dyDescent="0.15">
      <c r="A18" s="292">
        <v>44874</v>
      </c>
      <c r="B18" s="285">
        <v>44874</v>
      </c>
      <c r="F18" s="291"/>
    </row>
    <row r="19" spans="1:6" x14ac:dyDescent="0.15">
      <c r="A19" s="292">
        <v>44875</v>
      </c>
      <c r="B19" s="285">
        <v>44875</v>
      </c>
      <c r="F19" s="291"/>
    </row>
    <row r="20" spans="1:6" x14ac:dyDescent="0.15">
      <c r="A20" s="292">
        <v>44876</v>
      </c>
      <c r="B20" s="285">
        <v>44876</v>
      </c>
      <c r="F20" s="291"/>
    </row>
    <row r="21" spans="1:6" x14ac:dyDescent="0.15">
      <c r="A21" s="292">
        <v>44877</v>
      </c>
      <c r="B21" s="285">
        <v>44877</v>
      </c>
      <c r="F21" s="291"/>
    </row>
    <row r="22" spans="1:6" x14ac:dyDescent="0.15">
      <c r="A22" s="292">
        <v>44878</v>
      </c>
      <c r="B22" s="285">
        <v>44878</v>
      </c>
      <c r="F22" s="291"/>
    </row>
    <row r="23" spans="1:6" x14ac:dyDescent="0.15">
      <c r="A23" s="292">
        <v>44878</v>
      </c>
      <c r="B23" s="285" t="s">
        <v>234</v>
      </c>
      <c r="F23" s="291"/>
    </row>
    <row r="24" spans="1:6" x14ac:dyDescent="0.15">
      <c r="A24" s="292">
        <v>44878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44879</v>
      </c>
      <c r="B27" s="297">
        <v>44879</v>
      </c>
      <c r="C27" s="296"/>
      <c r="D27" s="295"/>
      <c r="E27" s="294"/>
      <c r="F27" s="293"/>
    </row>
    <row r="28" spans="1:6" x14ac:dyDescent="0.15">
      <c r="A28" s="292">
        <v>44880</v>
      </c>
      <c r="B28" s="285">
        <v>44880</v>
      </c>
      <c r="F28" s="291"/>
    </row>
    <row r="29" spans="1:6" x14ac:dyDescent="0.15">
      <c r="A29" s="292">
        <v>44881</v>
      </c>
      <c r="B29" s="285">
        <v>44881</v>
      </c>
      <c r="F29" s="291"/>
    </row>
    <row r="30" spans="1:6" x14ac:dyDescent="0.15">
      <c r="A30" s="292">
        <v>44882</v>
      </c>
      <c r="B30" s="285">
        <v>44882</v>
      </c>
      <c r="F30" s="291"/>
    </row>
    <row r="31" spans="1:6" x14ac:dyDescent="0.15">
      <c r="A31" s="292">
        <v>44883</v>
      </c>
      <c r="B31" s="285">
        <v>44883</v>
      </c>
      <c r="F31" s="291"/>
    </row>
    <row r="32" spans="1:6" x14ac:dyDescent="0.15">
      <c r="A32" s="292">
        <v>44884</v>
      </c>
      <c r="B32" s="285">
        <v>44884</v>
      </c>
      <c r="F32" s="291"/>
    </row>
    <row r="33" spans="1:6" x14ac:dyDescent="0.15">
      <c r="A33" s="292">
        <v>44885</v>
      </c>
      <c r="B33" s="285">
        <v>44885</v>
      </c>
      <c r="F33" s="291"/>
    </row>
    <row r="34" spans="1:6" x14ac:dyDescent="0.15">
      <c r="A34" s="292">
        <v>44885</v>
      </c>
      <c r="B34" s="285" t="s">
        <v>234</v>
      </c>
      <c r="F34" s="291"/>
    </row>
    <row r="35" spans="1:6" x14ac:dyDescent="0.15">
      <c r="A35" s="292">
        <v>44885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44886</v>
      </c>
      <c r="B38" s="297">
        <v>44886</v>
      </c>
      <c r="C38" s="296"/>
      <c r="D38" s="295"/>
      <c r="E38" s="294"/>
      <c r="F38" s="293"/>
    </row>
    <row r="39" spans="1:6" x14ac:dyDescent="0.15">
      <c r="A39" s="292">
        <v>44887</v>
      </c>
      <c r="B39" s="285">
        <v>44887</v>
      </c>
      <c r="F39" s="291"/>
    </row>
    <row r="40" spans="1:6" x14ac:dyDescent="0.15">
      <c r="A40" s="292">
        <v>44888</v>
      </c>
      <c r="B40" s="285">
        <v>44888</v>
      </c>
      <c r="F40" s="291"/>
    </row>
    <row r="41" spans="1:6" x14ac:dyDescent="0.15">
      <c r="A41" s="292">
        <v>44889</v>
      </c>
      <c r="B41" s="285">
        <v>44889</v>
      </c>
      <c r="F41" s="291"/>
    </row>
    <row r="42" spans="1:6" x14ac:dyDescent="0.15">
      <c r="A42" s="292">
        <v>44890</v>
      </c>
      <c r="B42" s="285">
        <v>44890</v>
      </c>
      <c r="F42" s="291"/>
    </row>
    <row r="43" spans="1:6" x14ac:dyDescent="0.15">
      <c r="A43" s="292">
        <v>44891</v>
      </c>
      <c r="B43" s="285">
        <v>44891</v>
      </c>
      <c r="F43" s="291"/>
    </row>
    <row r="44" spans="1:6" x14ac:dyDescent="0.15">
      <c r="A44" s="292">
        <v>44892</v>
      </c>
      <c r="B44" s="285">
        <v>44892</v>
      </c>
      <c r="F44" s="291"/>
    </row>
    <row r="45" spans="1:6" x14ac:dyDescent="0.15">
      <c r="A45" s="292">
        <v>44892</v>
      </c>
      <c r="B45" s="285" t="s">
        <v>234</v>
      </c>
      <c r="F45" s="291"/>
    </row>
    <row r="46" spans="1:6" x14ac:dyDescent="0.15">
      <c r="A46" s="292">
        <v>44892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8" t="s">
        <v>271</v>
      </c>
      <c r="D2" s="500" t="s">
        <v>270</v>
      </c>
      <c r="E2" s="498" t="s">
        <v>269</v>
      </c>
      <c r="F2" s="432" t="s">
        <v>268</v>
      </c>
      <c r="G2" s="501" t="s">
        <v>267</v>
      </c>
      <c r="H2" s="502"/>
      <c r="I2" s="503">
        <f>G1+H1+I1+J1+PurchasesOct!I2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IF((E1&lt;&gt;0),Admin!$B$12,"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44893</v>
      </c>
      <c r="B5" s="297">
        <v>44893</v>
      </c>
      <c r="C5" s="296"/>
      <c r="D5" s="295"/>
      <c r="E5" s="294"/>
      <c r="F5" s="293"/>
    </row>
    <row r="6" spans="1:6" x14ac:dyDescent="0.15">
      <c r="A6" s="292">
        <v>44894</v>
      </c>
      <c r="B6" s="285">
        <v>44894</v>
      </c>
      <c r="F6" s="291"/>
    </row>
    <row r="7" spans="1:6" x14ac:dyDescent="0.15">
      <c r="A7" s="292">
        <v>44895</v>
      </c>
      <c r="B7" s="285">
        <v>44895</v>
      </c>
      <c r="F7" s="291"/>
    </row>
    <row r="8" spans="1:6" x14ac:dyDescent="0.15">
      <c r="A8" s="292">
        <v>44896</v>
      </c>
      <c r="B8" s="285">
        <v>44896</v>
      </c>
      <c r="F8" s="291"/>
    </row>
    <row r="9" spans="1:6" x14ac:dyDescent="0.15">
      <c r="A9" s="292">
        <v>44897</v>
      </c>
      <c r="B9" s="285">
        <v>44897</v>
      </c>
      <c r="F9" s="291"/>
    </row>
    <row r="10" spans="1:6" x14ac:dyDescent="0.15">
      <c r="A10" s="292">
        <v>44898</v>
      </c>
      <c r="B10" s="285">
        <v>44898</v>
      </c>
      <c r="F10" s="291"/>
    </row>
    <row r="11" spans="1:6" x14ac:dyDescent="0.15">
      <c r="A11" s="292">
        <v>44899</v>
      </c>
      <c r="B11" s="285">
        <v>44899</v>
      </c>
      <c r="F11" s="291"/>
    </row>
    <row r="12" spans="1:6" x14ac:dyDescent="0.15">
      <c r="A12" s="292">
        <v>44899</v>
      </c>
      <c r="B12" s="285" t="s">
        <v>234</v>
      </c>
      <c r="F12" s="291"/>
    </row>
    <row r="13" spans="1:6" x14ac:dyDescent="0.15">
      <c r="A13" s="292">
        <v>44899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44900</v>
      </c>
      <c r="B16" s="297">
        <v>44900</v>
      </c>
      <c r="C16" s="296"/>
      <c r="D16" s="295"/>
      <c r="E16" s="294"/>
      <c r="F16" s="293"/>
    </row>
    <row r="17" spans="1:6" x14ac:dyDescent="0.15">
      <c r="A17" s="292">
        <v>44901</v>
      </c>
      <c r="B17" s="285">
        <v>44901</v>
      </c>
      <c r="F17" s="291"/>
    </row>
    <row r="18" spans="1:6" x14ac:dyDescent="0.15">
      <c r="A18" s="292">
        <v>44902</v>
      </c>
      <c r="B18" s="285">
        <v>44902</v>
      </c>
      <c r="F18" s="291"/>
    </row>
    <row r="19" spans="1:6" x14ac:dyDescent="0.15">
      <c r="A19" s="292">
        <v>44903</v>
      </c>
      <c r="B19" s="285">
        <v>44903</v>
      </c>
      <c r="F19" s="291"/>
    </row>
    <row r="20" spans="1:6" x14ac:dyDescent="0.15">
      <c r="A20" s="292">
        <v>44904</v>
      </c>
      <c r="B20" s="285">
        <v>44904</v>
      </c>
      <c r="F20" s="291"/>
    </row>
    <row r="21" spans="1:6" x14ac:dyDescent="0.15">
      <c r="A21" s="292">
        <v>44905</v>
      </c>
      <c r="B21" s="285">
        <v>44905</v>
      </c>
      <c r="F21" s="291"/>
    </row>
    <row r="22" spans="1:6" x14ac:dyDescent="0.15">
      <c r="A22" s="292">
        <v>44906</v>
      </c>
      <c r="B22" s="285">
        <v>44906</v>
      </c>
      <c r="F22" s="291"/>
    </row>
    <row r="23" spans="1:6" x14ac:dyDescent="0.15">
      <c r="A23" s="292">
        <v>44906</v>
      </c>
      <c r="B23" s="285" t="s">
        <v>234</v>
      </c>
      <c r="F23" s="291"/>
    </row>
    <row r="24" spans="1:6" x14ac:dyDescent="0.15">
      <c r="A24" s="292">
        <v>44906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44907</v>
      </c>
      <c r="B27" s="297">
        <v>44907</v>
      </c>
      <c r="C27" s="296"/>
      <c r="D27" s="295"/>
      <c r="E27" s="294"/>
      <c r="F27" s="293"/>
    </row>
    <row r="28" spans="1:6" x14ac:dyDescent="0.15">
      <c r="A28" s="292">
        <v>44908</v>
      </c>
      <c r="B28" s="285">
        <v>44908</v>
      </c>
      <c r="F28" s="291"/>
    </row>
    <row r="29" spans="1:6" x14ac:dyDescent="0.15">
      <c r="A29" s="292">
        <v>44909</v>
      </c>
      <c r="B29" s="285">
        <v>44909</v>
      </c>
      <c r="F29" s="291"/>
    </row>
    <row r="30" spans="1:6" x14ac:dyDescent="0.15">
      <c r="A30" s="292">
        <v>44910</v>
      </c>
      <c r="B30" s="285">
        <v>44910</v>
      </c>
      <c r="F30" s="291"/>
    </row>
    <row r="31" spans="1:6" x14ac:dyDescent="0.15">
      <c r="A31" s="292">
        <v>44911</v>
      </c>
      <c r="B31" s="285">
        <v>44911</v>
      </c>
      <c r="F31" s="291"/>
    </row>
    <row r="32" spans="1:6" x14ac:dyDescent="0.15">
      <c r="A32" s="292">
        <v>44912</v>
      </c>
      <c r="B32" s="285">
        <v>44912</v>
      </c>
      <c r="F32" s="291"/>
    </row>
    <row r="33" spans="1:6" x14ac:dyDescent="0.15">
      <c r="A33" s="292">
        <v>44913</v>
      </c>
      <c r="B33" s="285">
        <v>44913</v>
      </c>
      <c r="F33" s="291"/>
    </row>
    <row r="34" spans="1:6" x14ac:dyDescent="0.15">
      <c r="A34" s="292">
        <v>44913</v>
      </c>
      <c r="B34" s="285" t="s">
        <v>234</v>
      </c>
      <c r="F34" s="291"/>
    </row>
    <row r="35" spans="1:6" x14ac:dyDescent="0.15">
      <c r="A35" s="292">
        <v>44913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44914</v>
      </c>
      <c r="B38" s="297">
        <v>44914</v>
      </c>
      <c r="C38" s="296"/>
      <c r="D38" s="295"/>
      <c r="E38" s="294"/>
      <c r="F38" s="293"/>
    </row>
    <row r="39" spans="1:6" x14ac:dyDescent="0.15">
      <c r="A39" s="292">
        <v>44915</v>
      </c>
      <c r="B39" s="285">
        <v>44915</v>
      </c>
      <c r="F39" s="291"/>
    </row>
    <row r="40" spans="1:6" x14ac:dyDescent="0.15">
      <c r="A40" s="292">
        <v>44916</v>
      </c>
      <c r="B40" s="285">
        <v>44916</v>
      </c>
      <c r="F40" s="291"/>
    </row>
    <row r="41" spans="1:6" x14ac:dyDescent="0.15">
      <c r="A41" s="292">
        <v>44917</v>
      </c>
      <c r="B41" s="285">
        <v>44917</v>
      </c>
      <c r="F41" s="291"/>
    </row>
    <row r="42" spans="1:6" x14ac:dyDescent="0.15">
      <c r="A42" s="292">
        <v>44918</v>
      </c>
      <c r="B42" s="285">
        <v>44918</v>
      </c>
      <c r="F42" s="291"/>
    </row>
    <row r="43" spans="1:6" x14ac:dyDescent="0.15">
      <c r="A43" s="292">
        <v>44919</v>
      </c>
      <c r="B43" s="285">
        <v>44919</v>
      </c>
      <c r="F43" s="291"/>
    </row>
    <row r="44" spans="1:6" x14ac:dyDescent="0.15">
      <c r="A44" s="292">
        <v>44920</v>
      </c>
      <c r="B44" s="285">
        <v>44920</v>
      </c>
      <c r="F44" s="291"/>
    </row>
    <row r="45" spans="1:6" x14ac:dyDescent="0.15">
      <c r="A45" s="292">
        <v>44920</v>
      </c>
      <c r="B45" s="285" t="s">
        <v>234</v>
      </c>
      <c r="F45" s="291"/>
    </row>
    <row r="46" spans="1:6" x14ac:dyDescent="0.15">
      <c r="A46" s="292">
        <v>44920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8" t="s">
        <v>271</v>
      </c>
      <c r="D2" s="500" t="s">
        <v>270</v>
      </c>
      <c r="E2" s="498" t="s">
        <v>269</v>
      </c>
      <c r="F2" s="432" t="s">
        <v>268</v>
      </c>
      <c r="G2" s="501" t="s">
        <v>267</v>
      </c>
      <c r="H2" s="502"/>
      <c r="I2" s="503">
        <f>G1+H1+I1+J1+PurchasesNov!I2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IF((E1&lt;&gt;0),Admin!$B$13,"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44921</v>
      </c>
      <c r="B5" s="297">
        <v>44921</v>
      </c>
      <c r="C5" s="296"/>
      <c r="D5" s="295"/>
      <c r="E5" s="294"/>
      <c r="F5" s="293"/>
    </row>
    <row r="6" spans="1:6" x14ac:dyDescent="0.15">
      <c r="A6" s="292">
        <v>44922</v>
      </c>
      <c r="B6" s="285">
        <v>44922</v>
      </c>
      <c r="F6" s="291"/>
    </row>
    <row r="7" spans="1:6" x14ac:dyDescent="0.15">
      <c r="A7" s="292">
        <v>44923</v>
      </c>
      <c r="B7" s="285">
        <v>44923</v>
      </c>
      <c r="F7" s="291"/>
    </row>
    <row r="8" spans="1:6" x14ac:dyDescent="0.15">
      <c r="A8" s="292">
        <v>44924</v>
      </c>
      <c r="B8" s="285">
        <v>44924</v>
      </c>
      <c r="F8" s="291"/>
    </row>
    <row r="9" spans="1:6" x14ac:dyDescent="0.15">
      <c r="A9" s="292">
        <v>44925</v>
      </c>
      <c r="B9" s="285">
        <v>44925</v>
      </c>
      <c r="F9" s="291"/>
    </row>
    <row r="10" spans="1:6" x14ac:dyDescent="0.15">
      <c r="A10" s="292">
        <v>44926</v>
      </c>
      <c r="B10" s="285">
        <v>44926</v>
      </c>
      <c r="F10" s="291"/>
    </row>
    <row r="11" spans="1:6" x14ac:dyDescent="0.15">
      <c r="A11" s="292">
        <v>44927</v>
      </c>
      <c r="B11" s="285">
        <v>44927</v>
      </c>
      <c r="F11" s="291"/>
    </row>
    <row r="12" spans="1:6" x14ac:dyDescent="0.15">
      <c r="A12" s="292">
        <v>44927</v>
      </c>
      <c r="B12" s="285" t="s">
        <v>234</v>
      </c>
      <c r="F12" s="291"/>
    </row>
    <row r="13" spans="1:6" x14ac:dyDescent="0.15">
      <c r="A13" s="292">
        <v>44927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44928</v>
      </c>
      <c r="B16" s="297">
        <v>44928</v>
      </c>
      <c r="C16" s="296"/>
      <c r="D16" s="295"/>
      <c r="E16" s="294"/>
      <c r="F16" s="293"/>
    </row>
    <row r="17" spans="1:6" x14ac:dyDescent="0.15">
      <c r="A17" s="292">
        <v>44929</v>
      </c>
      <c r="B17" s="285">
        <v>44929</v>
      </c>
      <c r="F17" s="291"/>
    </row>
    <row r="18" spans="1:6" x14ac:dyDescent="0.15">
      <c r="A18" s="292">
        <v>44930</v>
      </c>
      <c r="B18" s="285">
        <v>44930</v>
      </c>
      <c r="F18" s="291"/>
    </row>
    <row r="19" spans="1:6" x14ac:dyDescent="0.15">
      <c r="A19" s="292">
        <v>44931</v>
      </c>
      <c r="B19" s="285">
        <v>44931</v>
      </c>
      <c r="F19" s="291"/>
    </row>
    <row r="20" spans="1:6" x14ac:dyDescent="0.15">
      <c r="A20" s="292">
        <v>44932</v>
      </c>
      <c r="B20" s="285">
        <v>44932</v>
      </c>
      <c r="F20" s="291"/>
    </row>
    <row r="21" spans="1:6" x14ac:dyDescent="0.15">
      <c r="A21" s="292">
        <v>44933</v>
      </c>
      <c r="B21" s="285">
        <v>44933</v>
      </c>
      <c r="F21" s="291"/>
    </row>
    <row r="22" spans="1:6" x14ac:dyDescent="0.15">
      <c r="A22" s="292">
        <v>44934</v>
      </c>
      <c r="B22" s="285">
        <v>44934</v>
      </c>
      <c r="F22" s="291"/>
    </row>
    <row r="23" spans="1:6" x14ac:dyDescent="0.15">
      <c r="A23" s="292">
        <v>44934</v>
      </c>
      <c r="B23" s="285" t="s">
        <v>234</v>
      </c>
      <c r="F23" s="291"/>
    </row>
    <row r="24" spans="1:6" x14ac:dyDescent="0.15">
      <c r="A24" s="292">
        <v>44934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44935</v>
      </c>
      <c r="B27" s="297">
        <v>44935</v>
      </c>
      <c r="C27" s="296"/>
      <c r="D27" s="295"/>
      <c r="E27" s="294"/>
      <c r="F27" s="293"/>
    </row>
    <row r="28" spans="1:6" x14ac:dyDescent="0.15">
      <c r="A28" s="292">
        <v>44936</v>
      </c>
      <c r="B28" s="285">
        <v>44936</v>
      </c>
      <c r="F28" s="291"/>
    </row>
    <row r="29" spans="1:6" x14ac:dyDescent="0.15">
      <c r="A29" s="292">
        <v>44937</v>
      </c>
      <c r="B29" s="285">
        <v>44937</v>
      </c>
      <c r="F29" s="291"/>
    </row>
    <row r="30" spans="1:6" x14ac:dyDescent="0.15">
      <c r="A30" s="292">
        <v>44938</v>
      </c>
      <c r="B30" s="285">
        <v>44938</v>
      </c>
      <c r="F30" s="291"/>
    </row>
    <row r="31" spans="1:6" x14ac:dyDescent="0.15">
      <c r="A31" s="292">
        <v>44939</v>
      </c>
      <c r="B31" s="285">
        <v>44939</v>
      </c>
      <c r="F31" s="291"/>
    </row>
    <row r="32" spans="1:6" x14ac:dyDescent="0.15">
      <c r="A32" s="292">
        <v>44940</v>
      </c>
      <c r="B32" s="285">
        <v>44940</v>
      </c>
      <c r="F32" s="291"/>
    </row>
    <row r="33" spans="1:6" x14ac:dyDescent="0.15">
      <c r="A33" s="292">
        <v>44941</v>
      </c>
      <c r="B33" s="285">
        <v>44941</v>
      </c>
      <c r="F33" s="291"/>
    </row>
    <row r="34" spans="1:6" x14ac:dyDescent="0.15">
      <c r="A34" s="292">
        <v>44941</v>
      </c>
      <c r="B34" s="285" t="s">
        <v>234</v>
      </c>
      <c r="F34" s="291"/>
    </row>
    <row r="35" spans="1:6" x14ac:dyDescent="0.15">
      <c r="A35" s="292">
        <v>44941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44942</v>
      </c>
      <c r="B38" s="297">
        <v>44942</v>
      </c>
      <c r="C38" s="296"/>
      <c r="D38" s="295"/>
      <c r="E38" s="294"/>
      <c r="F38" s="293"/>
    </row>
    <row r="39" spans="1:6" x14ac:dyDescent="0.15">
      <c r="A39" s="292">
        <v>44943</v>
      </c>
      <c r="B39" s="285">
        <v>44943</v>
      </c>
      <c r="F39" s="291"/>
    </row>
    <row r="40" spans="1:6" x14ac:dyDescent="0.15">
      <c r="A40" s="292">
        <v>44944</v>
      </c>
      <c r="B40" s="285">
        <v>44944</v>
      </c>
      <c r="F40" s="291"/>
    </row>
    <row r="41" spans="1:6" x14ac:dyDescent="0.15">
      <c r="A41" s="292">
        <v>44945</v>
      </c>
      <c r="B41" s="285">
        <v>44945</v>
      </c>
      <c r="F41" s="291"/>
    </row>
    <row r="42" spans="1:6" x14ac:dyDescent="0.15">
      <c r="A42" s="292">
        <v>44946</v>
      </c>
      <c r="B42" s="285">
        <v>44946</v>
      </c>
      <c r="F42" s="291"/>
    </row>
    <row r="43" spans="1:6" x14ac:dyDescent="0.15">
      <c r="A43" s="292">
        <v>44947</v>
      </c>
      <c r="B43" s="285">
        <v>44947</v>
      </c>
      <c r="F43" s="291"/>
    </row>
    <row r="44" spans="1:6" x14ac:dyDescent="0.15">
      <c r="A44" s="292">
        <v>44948</v>
      </c>
      <c r="B44" s="285">
        <v>44948</v>
      </c>
      <c r="F44" s="291"/>
    </row>
    <row r="45" spans="1:6" x14ac:dyDescent="0.15">
      <c r="A45" s="292">
        <v>44948</v>
      </c>
      <c r="B45" s="285" t="s">
        <v>234</v>
      </c>
      <c r="F45" s="291"/>
    </row>
    <row r="46" spans="1:6" x14ac:dyDescent="0.15">
      <c r="A46" s="292">
        <v>44948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44949</v>
      </c>
      <c r="B49" s="297">
        <v>44949</v>
      </c>
      <c r="C49" s="296"/>
      <c r="D49" s="295"/>
      <c r="E49" s="294"/>
      <c r="F49" s="293"/>
    </row>
    <row r="50" spans="1:6" x14ac:dyDescent="0.15">
      <c r="A50" s="292">
        <v>44950</v>
      </c>
      <c r="B50" s="285">
        <v>44950</v>
      </c>
      <c r="F50" s="291"/>
    </row>
    <row r="51" spans="1:6" x14ac:dyDescent="0.15">
      <c r="A51" s="292">
        <v>44951</v>
      </c>
      <c r="B51" s="285">
        <v>44951</v>
      </c>
      <c r="F51" s="291"/>
    </row>
    <row r="52" spans="1:6" x14ac:dyDescent="0.15">
      <c r="A52" s="292">
        <v>44952</v>
      </c>
      <c r="B52" s="285">
        <v>44952</v>
      </c>
      <c r="F52" s="291"/>
    </row>
    <row r="53" spans="1:6" x14ac:dyDescent="0.15">
      <c r="A53" s="292">
        <v>44953</v>
      </c>
      <c r="B53" s="285">
        <v>44953</v>
      </c>
      <c r="F53" s="291"/>
    </row>
    <row r="54" spans="1:6" x14ac:dyDescent="0.15">
      <c r="A54" s="292">
        <v>44954</v>
      </c>
      <c r="B54" s="285">
        <v>44954</v>
      </c>
      <c r="F54" s="291"/>
    </row>
    <row r="55" spans="1:6" x14ac:dyDescent="0.15">
      <c r="A55" s="292">
        <v>44955</v>
      </c>
      <c r="B55" s="285">
        <v>44955</v>
      </c>
      <c r="F55" s="291"/>
    </row>
    <row r="56" spans="1:6" x14ac:dyDescent="0.15">
      <c r="A56" s="292">
        <v>44955</v>
      </c>
      <c r="B56" s="285" t="s">
        <v>234</v>
      </c>
      <c r="F56" s="291"/>
    </row>
    <row r="57" spans="1:6" x14ac:dyDescent="0.15">
      <c r="A57" s="292">
        <v>44955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8" t="s">
        <v>271</v>
      </c>
      <c r="D2" s="500" t="s">
        <v>270</v>
      </c>
      <c r="E2" s="498" t="s">
        <v>269</v>
      </c>
      <c r="F2" s="432" t="s">
        <v>268</v>
      </c>
      <c r="G2" s="501" t="s">
        <v>267</v>
      </c>
      <c r="H2" s="502"/>
      <c r="I2" s="503">
        <f>G1+H1+I1+J1+PurchasesDec!I2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IF((E1&lt;&gt;0),Admin!$B$14,"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44956</v>
      </c>
      <c r="B5" s="297">
        <v>44956</v>
      </c>
      <c r="C5" s="296"/>
      <c r="D5" s="295"/>
      <c r="E5" s="294"/>
      <c r="F5" s="293"/>
    </row>
    <row r="6" spans="1:6" x14ac:dyDescent="0.15">
      <c r="A6" s="292">
        <v>44957</v>
      </c>
      <c r="B6" s="285">
        <v>44957</v>
      </c>
      <c r="F6" s="291"/>
    </row>
    <row r="7" spans="1:6" x14ac:dyDescent="0.15">
      <c r="A7" s="292">
        <v>44958</v>
      </c>
      <c r="B7" s="285">
        <v>44958</v>
      </c>
      <c r="F7" s="291"/>
    </row>
    <row r="8" spans="1:6" x14ac:dyDescent="0.15">
      <c r="A8" s="292">
        <v>44959</v>
      </c>
      <c r="B8" s="285">
        <v>44959</v>
      </c>
      <c r="F8" s="291"/>
    </row>
    <row r="9" spans="1:6" x14ac:dyDescent="0.15">
      <c r="A9" s="292">
        <v>44960</v>
      </c>
      <c r="B9" s="285">
        <v>44960</v>
      </c>
      <c r="F9" s="291"/>
    </row>
    <row r="10" spans="1:6" x14ac:dyDescent="0.15">
      <c r="A10" s="292">
        <v>44961</v>
      </c>
      <c r="B10" s="285">
        <v>44961</v>
      </c>
      <c r="F10" s="291"/>
    </row>
    <row r="11" spans="1:6" x14ac:dyDescent="0.15">
      <c r="A11" s="292">
        <v>44962</v>
      </c>
      <c r="B11" s="285">
        <v>44962</v>
      </c>
      <c r="F11" s="291"/>
    </row>
    <row r="12" spans="1:6" x14ac:dyDescent="0.15">
      <c r="A12" s="292">
        <v>44962</v>
      </c>
      <c r="B12" s="285" t="s">
        <v>234</v>
      </c>
      <c r="F12" s="291"/>
    </row>
    <row r="13" spans="1:6" x14ac:dyDescent="0.15">
      <c r="A13" s="292">
        <v>44962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44963</v>
      </c>
      <c r="B16" s="297">
        <v>44963</v>
      </c>
      <c r="C16" s="296"/>
      <c r="D16" s="295"/>
      <c r="E16" s="294"/>
      <c r="F16" s="293"/>
    </row>
    <row r="17" spans="1:6" x14ac:dyDescent="0.15">
      <c r="A17" s="292">
        <v>44964</v>
      </c>
      <c r="B17" s="285">
        <v>44964</v>
      </c>
      <c r="F17" s="291"/>
    </row>
    <row r="18" spans="1:6" x14ac:dyDescent="0.15">
      <c r="A18" s="292">
        <v>44965</v>
      </c>
      <c r="B18" s="285">
        <v>44965</v>
      </c>
      <c r="F18" s="291"/>
    </row>
    <row r="19" spans="1:6" x14ac:dyDescent="0.15">
      <c r="A19" s="292">
        <v>44966</v>
      </c>
      <c r="B19" s="285">
        <v>44966</v>
      </c>
      <c r="F19" s="291"/>
    </row>
    <row r="20" spans="1:6" x14ac:dyDescent="0.15">
      <c r="A20" s="292">
        <v>44967</v>
      </c>
      <c r="B20" s="285">
        <v>44967</v>
      </c>
      <c r="F20" s="291"/>
    </row>
    <row r="21" spans="1:6" x14ac:dyDescent="0.15">
      <c r="A21" s="292">
        <v>44968</v>
      </c>
      <c r="B21" s="285">
        <v>44968</v>
      </c>
      <c r="F21" s="291"/>
    </row>
    <row r="22" spans="1:6" x14ac:dyDescent="0.15">
      <c r="A22" s="292">
        <v>44969</v>
      </c>
      <c r="B22" s="285">
        <v>44969</v>
      </c>
      <c r="F22" s="291"/>
    </row>
    <row r="23" spans="1:6" x14ac:dyDescent="0.15">
      <c r="A23" s="292">
        <v>44969</v>
      </c>
      <c r="B23" s="285" t="s">
        <v>234</v>
      </c>
      <c r="F23" s="291"/>
    </row>
    <row r="24" spans="1:6" x14ac:dyDescent="0.15">
      <c r="A24" s="292">
        <v>44969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44970</v>
      </c>
      <c r="B27" s="297">
        <v>44970</v>
      </c>
      <c r="C27" s="296"/>
      <c r="D27" s="295"/>
      <c r="E27" s="294"/>
      <c r="F27" s="293"/>
    </row>
    <row r="28" spans="1:6" x14ac:dyDescent="0.15">
      <c r="A28" s="292">
        <v>44971</v>
      </c>
      <c r="B28" s="285">
        <v>44971</v>
      </c>
      <c r="F28" s="291"/>
    </row>
    <row r="29" spans="1:6" x14ac:dyDescent="0.15">
      <c r="A29" s="292">
        <v>44972</v>
      </c>
      <c r="B29" s="285">
        <v>44972</v>
      </c>
      <c r="F29" s="291"/>
    </row>
    <row r="30" spans="1:6" x14ac:dyDescent="0.15">
      <c r="A30" s="292">
        <v>44973</v>
      </c>
      <c r="B30" s="285">
        <v>44973</v>
      </c>
      <c r="F30" s="291"/>
    </row>
    <row r="31" spans="1:6" x14ac:dyDescent="0.15">
      <c r="A31" s="292">
        <v>44974</v>
      </c>
      <c r="B31" s="285">
        <v>44974</v>
      </c>
      <c r="F31" s="291"/>
    </row>
    <row r="32" spans="1:6" x14ac:dyDescent="0.15">
      <c r="A32" s="292">
        <v>44975</v>
      </c>
      <c r="B32" s="285">
        <v>44975</v>
      </c>
      <c r="F32" s="291"/>
    </row>
    <row r="33" spans="1:6" x14ac:dyDescent="0.15">
      <c r="A33" s="292">
        <v>44976</v>
      </c>
      <c r="B33" s="285">
        <v>44976</v>
      </c>
      <c r="F33" s="291"/>
    </row>
    <row r="34" spans="1:6" x14ac:dyDescent="0.15">
      <c r="A34" s="292">
        <v>44976</v>
      </c>
      <c r="B34" s="285" t="s">
        <v>234</v>
      </c>
      <c r="F34" s="291"/>
    </row>
    <row r="35" spans="1:6" x14ac:dyDescent="0.15">
      <c r="A35" s="292">
        <v>44976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44977</v>
      </c>
      <c r="B38" s="297">
        <v>44977</v>
      </c>
      <c r="C38" s="296"/>
      <c r="D38" s="295"/>
      <c r="E38" s="294"/>
      <c r="F38" s="293"/>
    </row>
    <row r="39" spans="1:6" x14ac:dyDescent="0.15">
      <c r="A39" s="292">
        <v>44978</v>
      </c>
      <c r="B39" s="285">
        <v>44978</v>
      </c>
      <c r="F39" s="291"/>
    </row>
    <row r="40" spans="1:6" x14ac:dyDescent="0.15">
      <c r="A40" s="292">
        <v>44979</v>
      </c>
      <c r="B40" s="285">
        <v>44979</v>
      </c>
      <c r="F40" s="291"/>
    </row>
    <row r="41" spans="1:6" x14ac:dyDescent="0.15">
      <c r="A41" s="292">
        <v>44980</v>
      </c>
      <c r="B41" s="285">
        <v>44980</v>
      </c>
      <c r="F41" s="291"/>
    </row>
    <row r="42" spans="1:6" x14ac:dyDescent="0.15">
      <c r="A42" s="292">
        <v>44981</v>
      </c>
      <c r="B42" s="285">
        <v>44981</v>
      </c>
      <c r="F42" s="291"/>
    </row>
    <row r="43" spans="1:6" x14ac:dyDescent="0.15">
      <c r="A43" s="292">
        <v>44982</v>
      </c>
      <c r="B43" s="285">
        <v>44982</v>
      </c>
      <c r="F43" s="291"/>
    </row>
    <row r="44" spans="1:6" x14ac:dyDescent="0.15">
      <c r="A44" s="292">
        <v>44983</v>
      </c>
      <c r="B44" s="285">
        <v>44983</v>
      </c>
      <c r="F44" s="291"/>
    </row>
    <row r="45" spans="1:6" x14ac:dyDescent="0.15">
      <c r="A45" s="292">
        <v>44983</v>
      </c>
      <c r="B45" s="285" t="s">
        <v>234</v>
      </c>
      <c r="F45" s="291"/>
    </row>
    <row r="46" spans="1:6" x14ac:dyDescent="0.15">
      <c r="A46" s="292">
        <v>44983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8" t="s">
        <v>271</v>
      </c>
      <c r="D2" s="500" t="s">
        <v>270</v>
      </c>
      <c r="E2" s="498" t="s">
        <v>269</v>
      </c>
      <c r="F2" s="432" t="s">
        <v>268</v>
      </c>
      <c r="G2" s="501" t="s">
        <v>267</v>
      </c>
      <c r="H2" s="502"/>
      <c r="I2" s="503">
        <f>G1+H1+I1+J1+PurchasesJan!I2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SUM(D4:D65)</f>
        <v>0</v>
      </c>
      <c r="E1" s="303">
        <f>SUM(E4:E65)/2</f>
        <v>0</v>
      </c>
      <c r="F1" s="303">
        <f>SUM(F4:F65)/2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44984</v>
      </c>
      <c r="B5" s="297">
        <v>44984</v>
      </c>
      <c r="C5" s="296"/>
      <c r="D5" s="295"/>
      <c r="E5" s="294"/>
      <c r="F5" s="293"/>
    </row>
    <row r="6" spans="1:6" x14ac:dyDescent="0.15">
      <c r="A6" s="292">
        <v>44985</v>
      </c>
      <c r="B6" s="285">
        <v>44985</v>
      </c>
      <c r="F6" s="291"/>
    </row>
    <row r="7" spans="1:6" x14ac:dyDescent="0.15">
      <c r="A7" s="292">
        <v>44986</v>
      </c>
      <c r="B7" s="285">
        <v>44986</v>
      </c>
      <c r="F7" s="291"/>
    </row>
    <row r="8" spans="1:6" x14ac:dyDescent="0.15">
      <c r="A8" s="292">
        <v>44987</v>
      </c>
      <c r="B8" s="285">
        <v>44987</v>
      </c>
      <c r="F8" s="291"/>
    </row>
    <row r="9" spans="1:6" x14ac:dyDescent="0.15">
      <c r="A9" s="292">
        <v>44988</v>
      </c>
      <c r="B9" s="285">
        <v>44988</v>
      </c>
      <c r="F9" s="291"/>
    </row>
    <row r="10" spans="1:6" x14ac:dyDescent="0.15">
      <c r="A10" s="292">
        <v>44989</v>
      </c>
      <c r="B10" s="285">
        <v>44989</v>
      </c>
      <c r="F10" s="291"/>
    </row>
    <row r="11" spans="1:6" x14ac:dyDescent="0.15">
      <c r="A11" s="292">
        <v>44990</v>
      </c>
      <c r="B11" s="285">
        <v>44990</v>
      </c>
      <c r="F11" s="291"/>
    </row>
    <row r="12" spans="1:6" x14ac:dyDescent="0.15">
      <c r="A12" s="292">
        <v>44990</v>
      </c>
      <c r="B12" s="285" t="s">
        <v>234</v>
      </c>
      <c r="F12" s="291"/>
    </row>
    <row r="13" spans="1:6" x14ac:dyDescent="0.15">
      <c r="A13" s="292">
        <v>44990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44991</v>
      </c>
      <c r="B16" s="297">
        <v>44991</v>
      </c>
      <c r="C16" s="296"/>
      <c r="D16" s="295"/>
      <c r="E16" s="294"/>
      <c r="F16" s="293"/>
    </row>
    <row r="17" spans="1:6" x14ac:dyDescent="0.15">
      <c r="A17" s="292">
        <v>44992</v>
      </c>
      <c r="B17" s="285">
        <v>44992</v>
      </c>
      <c r="F17" s="291"/>
    </row>
    <row r="18" spans="1:6" x14ac:dyDescent="0.15">
      <c r="A18" s="292">
        <v>44993</v>
      </c>
      <c r="B18" s="285">
        <v>44993</v>
      </c>
      <c r="F18" s="291"/>
    </row>
    <row r="19" spans="1:6" x14ac:dyDescent="0.15">
      <c r="A19" s="292">
        <v>44994</v>
      </c>
      <c r="B19" s="285">
        <v>44994</v>
      </c>
      <c r="F19" s="291"/>
    </row>
    <row r="20" spans="1:6" x14ac:dyDescent="0.15">
      <c r="A20" s="292">
        <v>44995</v>
      </c>
      <c r="B20" s="285">
        <v>44995</v>
      </c>
      <c r="F20" s="291"/>
    </row>
    <row r="21" spans="1:6" x14ac:dyDescent="0.15">
      <c r="A21" s="292">
        <v>44996</v>
      </c>
      <c r="B21" s="285">
        <v>44996</v>
      </c>
      <c r="F21" s="291"/>
    </row>
    <row r="22" spans="1:6" x14ac:dyDescent="0.15">
      <c r="A22" s="292">
        <v>44997</v>
      </c>
      <c r="B22" s="285">
        <v>44997</v>
      </c>
      <c r="F22" s="291"/>
    </row>
    <row r="23" spans="1:6" x14ac:dyDescent="0.15">
      <c r="A23" s="292">
        <v>44997</v>
      </c>
      <c r="B23" s="285" t="s">
        <v>234</v>
      </c>
      <c r="F23" s="291"/>
    </row>
    <row r="24" spans="1:6" x14ac:dyDescent="0.15">
      <c r="A24" s="292">
        <v>44997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44998</v>
      </c>
      <c r="B27" s="297">
        <v>44998</v>
      </c>
      <c r="C27" s="296"/>
      <c r="D27" s="295"/>
      <c r="E27" s="294"/>
      <c r="F27" s="293"/>
    </row>
    <row r="28" spans="1:6" x14ac:dyDescent="0.15">
      <c r="A28" s="292">
        <v>44999</v>
      </c>
      <c r="B28" s="285">
        <v>44999</v>
      </c>
      <c r="F28" s="291"/>
    </row>
    <row r="29" spans="1:6" x14ac:dyDescent="0.15">
      <c r="A29" s="292">
        <v>45000</v>
      </c>
      <c r="B29" s="285">
        <v>45000</v>
      </c>
      <c r="F29" s="291"/>
    </row>
    <row r="30" spans="1:6" x14ac:dyDescent="0.15">
      <c r="A30" s="292">
        <v>45001</v>
      </c>
      <c r="B30" s="285">
        <v>45001</v>
      </c>
      <c r="F30" s="291"/>
    </row>
    <row r="31" spans="1:6" x14ac:dyDescent="0.15">
      <c r="A31" s="292">
        <v>45002</v>
      </c>
      <c r="B31" s="285">
        <v>45002</v>
      </c>
      <c r="F31" s="291"/>
    </row>
    <row r="32" spans="1:6" x14ac:dyDescent="0.15">
      <c r="A32" s="292">
        <v>45003</v>
      </c>
      <c r="B32" s="285">
        <v>45003</v>
      </c>
      <c r="F32" s="291"/>
    </row>
    <row r="33" spans="1:6" x14ac:dyDescent="0.15">
      <c r="A33" s="292">
        <v>45004</v>
      </c>
      <c r="B33" s="285">
        <v>45004</v>
      </c>
      <c r="F33" s="291"/>
    </row>
    <row r="34" spans="1:6" x14ac:dyDescent="0.15">
      <c r="A34" s="292">
        <v>45004</v>
      </c>
      <c r="B34" s="285" t="s">
        <v>234</v>
      </c>
      <c r="F34" s="291"/>
    </row>
    <row r="35" spans="1:6" x14ac:dyDescent="0.15">
      <c r="A35" s="292">
        <v>45004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45005</v>
      </c>
      <c r="B38" s="297">
        <v>45005</v>
      </c>
      <c r="C38" s="296"/>
      <c r="D38" s="295"/>
      <c r="E38" s="294"/>
      <c r="F38" s="293"/>
    </row>
    <row r="39" spans="1:6" x14ac:dyDescent="0.15">
      <c r="A39" s="292">
        <v>45006</v>
      </c>
      <c r="B39" s="285">
        <v>45006</v>
      </c>
      <c r="F39" s="291"/>
    </row>
    <row r="40" spans="1:6" x14ac:dyDescent="0.15">
      <c r="A40" s="292">
        <v>45007</v>
      </c>
      <c r="B40" s="285">
        <v>45007</v>
      </c>
      <c r="F40" s="291"/>
    </row>
    <row r="41" spans="1:6" x14ac:dyDescent="0.15">
      <c r="A41" s="292">
        <v>45008</v>
      </c>
      <c r="B41" s="285">
        <v>45008</v>
      </c>
      <c r="F41" s="291"/>
    </row>
    <row r="42" spans="1:6" x14ac:dyDescent="0.15">
      <c r="A42" s="292">
        <v>45009</v>
      </c>
      <c r="B42" s="285">
        <v>45009</v>
      </c>
      <c r="F42" s="291"/>
    </row>
    <row r="43" spans="1:6" x14ac:dyDescent="0.15">
      <c r="A43" s="292">
        <v>45010</v>
      </c>
      <c r="B43" s="285">
        <v>45010</v>
      </c>
      <c r="F43" s="291"/>
    </row>
    <row r="44" spans="1:6" x14ac:dyDescent="0.15">
      <c r="A44" s="292">
        <v>45011</v>
      </c>
      <c r="B44" s="285">
        <v>45011</v>
      </c>
      <c r="F44" s="291"/>
    </row>
    <row r="45" spans="1:6" x14ac:dyDescent="0.15">
      <c r="A45" s="292">
        <v>45011</v>
      </c>
      <c r="B45" s="285" t="s">
        <v>234</v>
      </c>
      <c r="F45" s="291"/>
    </row>
    <row r="46" spans="1:6" x14ac:dyDescent="0.15">
      <c r="A46" s="292">
        <v>45011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45012</v>
      </c>
      <c r="B49" s="297">
        <v>45012</v>
      </c>
      <c r="C49" s="296"/>
      <c r="D49" s="295"/>
      <c r="E49" s="294"/>
      <c r="F49" s="293"/>
    </row>
    <row r="50" spans="1:6" x14ac:dyDescent="0.15">
      <c r="A50" s="292">
        <v>45013</v>
      </c>
      <c r="B50" s="285">
        <v>45013</v>
      </c>
      <c r="F50" s="291"/>
    </row>
    <row r="51" spans="1:6" x14ac:dyDescent="0.15">
      <c r="A51" s="292">
        <v>45014</v>
      </c>
      <c r="B51" s="285">
        <v>45014</v>
      </c>
      <c r="F51" s="291"/>
    </row>
    <row r="52" spans="1:6" x14ac:dyDescent="0.15">
      <c r="A52" s="292">
        <v>45015</v>
      </c>
      <c r="B52" s="285">
        <v>45015</v>
      </c>
      <c r="F52" s="291"/>
    </row>
    <row r="53" spans="1:6" x14ac:dyDescent="0.15">
      <c r="A53" s="292">
        <v>45016</v>
      </c>
      <c r="B53" s="285">
        <v>45016</v>
      </c>
      <c r="F53" s="291"/>
    </row>
    <row r="54" spans="1:6" x14ac:dyDescent="0.15">
      <c r="A54" s="292">
        <v>45017</v>
      </c>
      <c r="B54" s="285">
        <v>45017</v>
      </c>
      <c r="F54" s="291"/>
    </row>
    <row r="55" spans="1:6" x14ac:dyDescent="0.15">
      <c r="A55" s="292">
        <v>45018</v>
      </c>
      <c r="B55" s="285">
        <v>45018</v>
      </c>
      <c r="F55" s="291"/>
    </row>
    <row r="56" spans="1:6" x14ac:dyDescent="0.15">
      <c r="A56" s="292">
        <v>45018</v>
      </c>
      <c r="B56" s="285" t="s">
        <v>234</v>
      </c>
      <c r="F56" s="291"/>
    </row>
    <row r="57" spans="1:6" x14ac:dyDescent="0.15">
      <c r="A57" s="292">
        <v>45018</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45019</v>
      </c>
      <c r="B60" s="297">
        <v>45019</v>
      </c>
      <c r="C60" s="296"/>
      <c r="D60" s="295"/>
      <c r="E60" s="294"/>
      <c r="F60" s="293"/>
    </row>
    <row r="61" spans="1:6" x14ac:dyDescent="0.15">
      <c r="A61" s="292">
        <v>45020</v>
      </c>
      <c r="B61" s="285">
        <v>45020</v>
      </c>
      <c r="F61" s="291"/>
    </row>
    <row r="62" spans="1:6" x14ac:dyDescent="0.15">
      <c r="A62" s="292">
        <v>45021</v>
      </c>
      <c r="B62" s="285">
        <v>45021</v>
      </c>
      <c r="F62" s="291"/>
    </row>
    <row r="63" spans="1:6" x14ac:dyDescent="0.15">
      <c r="A63" s="292">
        <v>45021</v>
      </c>
      <c r="B63" s="285" t="s">
        <v>234</v>
      </c>
      <c r="F63" s="291"/>
    </row>
    <row r="64" spans="1:6" x14ac:dyDescent="0.15">
      <c r="A64" s="292">
        <v>45021</v>
      </c>
      <c r="B64" s="285" t="s">
        <v>233</v>
      </c>
      <c r="F64" s="291"/>
    </row>
    <row r="65" spans="1:6" ht="14" thickBot="1" x14ac:dyDescent="0.2">
      <c r="A65" s="290"/>
      <c r="B65" s="289"/>
      <c r="C65" s="287"/>
      <c r="D65" s="288"/>
      <c r="E65" s="300">
        <f>SUM(E60:E64)</f>
        <v>0</v>
      </c>
      <c r="F65" s="299">
        <f>SUM(F60:F64)</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8" t="s">
        <v>271</v>
      </c>
      <c r="D2" s="500" t="s">
        <v>270</v>
      </c>
      <c r="E2" s="498" t="s">
        <v>269</v>
      </c>
      <c r="F2" s="432" t="s">
        <v>268</v>
      </c>
      <c r="G2" s="501" t="s">
        <v>267</v>
      </c>
      <c r="H2" s="502"/>
      <c r="I2" s="503">
        <f>G1+H1+I1+J1+PurchasesFeb!I2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6"/>
    </row>
    <row r="4" spans="1:21" s="308" customFormat="1" x14ac:dyDescent="0.15">
      <c r="A4" s="312" t="str">
        <f>IF((E1&lt;&gt;0),Admin!$B$16,"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20"/>
      <c r="E1" s="520"/>
      <c r="F1" s="520"/>
      <c r="G1" s="121"/>
      <c r="H1" s="119"/>
      <c r="I1" s="119"/>
      <c r="J1" s="119"/>
      <c r="K1" s="119"/>
      <c r="L1" s="119"/>
      <c r="M1" s="119"/>
      <c r="N1" s="119"/>
      <c r="O1" s="119"/>
    </row>
    <row r="2" spans="1:15" ht="12" customHeight="1" x14ac:dyDescent="0.15">
      <c r="A2" s="119"/>
      <c r="B2" s="123">
        <v>44620</v>
      </c>
      <c r="C2" s="119"/>
      <c r="D2" s="510" t="s">
        <v>71</v>
      </c>
      <c r="E2" s="516"/>
      <c r="F2" s="511"/>
      <c r="G2" s="252" t="str">
        <f>B23</f>
        <v>2025-26</v>
      </c>
      <c r="H2" s="119"/>
      <c r="I2" s="521" t="s">
        <v>72</v>
      </c>
      <c r="J2" s="522"/>
      <c r="K2" s="124" t="str">
        <f>G2</f>
        <v>2025-26</v>
      </c>
      <c r="L2" s="119"/>
      <c r="M2" s="119"/>
      <c r="N2" s="119"/>
      <c r="O2" s="119"/>
    </row>
    <row r="3" spans="1:15" ht="12" customHeight="1" thickBot="1" x14ac:dyDescent="0.2">
      <c r="A3" s="119"/>
      <c r="B3" s="123">
        <v>44651</v>
      </c>
      <c r="C3" s="119"/>
      <c r="D3" s="119"/>
      <c r="E3" s="119"/>
      <c r="F3" s="119"/>
      <c r="G3" s="125"/>
      <c r="H3" s="119"/>
      <c r="I3" s="119"/>
      <c r="J3" s="126"/>
      <c r="K3" s="126"/>
      <c r="L3" s="121"/>
      <c r="M3" s="119"/>
      <c r="N3" s="119"/>
      <c r="O3" s="119"/>
    </row>
    <row r="4" spans="1:15" ht="12" customHeight="1" thickBot="1" x14ac:dyDescent="0.2">
      <c r="A4" s="119"/>
      <c r="B4" s="127">
        <v>44657</v>
      </c>
      <c r="C4" s="119"/>
      <c r="D4" s="512" t="s">
        <v>132</v>
      </c>
      <c r="E4" s="512"/>
      <c r="F4" s="512"/>
      <c r="G4" s="128">
        <v>1</v>
      </c>
      <c r="H4" s="119"/>
      <c r="I4" s="512" t="s">
        <v>73</v>
      </c>
      <c r="J4" s="512"/>
      <c r="K4" s="512"/>
      <c r="L4" s="512"/>
      <c r="M4" s="512"/>
      <c r="N4" s="129">
        <v>12570</v>
      </c>
      <c r="O4" s="125" t="s">
        <v>50</v>
      </c>
    </row>
    <row r="5" spans="1:15" ht="12" customHeight="1" x14ac:dyDescent="0.15">
      <c r="A5" s="119"/>
      <c r="B5" s="123">
        <v>44681</v>
      </c>
      <c r="C5" s="119"/>
      <c r="D5" s="512" t="s">
        <v>74</v>
      </c>
      <c r="E5" s="512"/>
      <c r="F5" s="512"/>
      <c r="G5" s="128">
        <v>0.18</v>
      </c>
      <c r="H5" s="119"/>
      <c r="I5" s="119"/>
      <c r="J5" s="119"/>
      <c r="K5" s="119"/>
      <c r="L5" s="119"/>
      <c r="M5" s="119"/>
      <c r="N5" s="125"/>
      <c r="O5" s="125"/>
    </row>
    <row r="6" spans="1:15" ht="12" customHeight="1" x14ac:dyDescent="0.15">
      <c r="A6" s="119"/>
      <c r="B6" s="123">
        <v>44712</v>
      </c>
      <c r="C6" s="119"/>
      <c r="D6" s="119"/>
      <c r="E6" s="119"/>
      <c r="F6" s="119"/>
      <c r="G6" s="125"/>
      <c r="H6" s="119"/>
      <c r="I6" s="512" t="s">
        <v>75</v>
      </c>
      <c r="J6" s="512"/>
      <c r="K6" s="512"/>
      <c r="L6" s="512"/>
      <c r="M6" s="512"/>
      <c r="N6" s="128">
        <v>0</v>
      </c>
      <c r="O6" s="125" t="s">
        <v>76</v>
      </c>
    </row>
    <row r="7" spans="1:15" ht="12" customHeight="1" x14ac:dyDescent="0.15">
      <c r="A7" s="119"/>
      <c r="B7" s="123">
        <v>44742</v>
      </c>
      <c r="C7" s="119"/>
      <c r="D7" s="512" t="s">
        <v>77</v>
      </c>
      <c r="E7" s="512"/>
      <c r="F7" s="512"/>
      <c r="G7" s="125"/>
      <c r="H7" s="119"/>
      <c r="I7" s="512" t="s">
        <v>78</v>
      </c>
      <c r="J7" s="512"/>
      <c r="K7" s="512"/>
      <c r="L7" s="512"/>
      <c r="M7" s="512"/>
      <c r="N7" s="128">
        <v>0.2</v>
      </c>
      <c r="O7" s="125" t="s">
        <v>76</v>
      </c>
    </row>
    <row r="8" spans="1:15" ht="12" customHeight="1" x14ac:dyDescent="0.15">
      <c r="A8" s="119"/>
      <c r="B8" s="123">
        <v>44773</v>
      </c>
      <c r="C8" s="119"/>
      <c r="D8" s="119" t="s">
        <v>79</v>
      </c>
      <c r="E8" s="130">
        <v>12000</v>
      </c>
      <c r="F8" s="119" t="s">
        <v>80</v>
      </c>
      <c r="G8" s="130">
        <v>3000</v>
      </c>
      <c r="H8" s="119"/>
      <c r="I8" s="119"/>
      <c r="J8" s="119"/>
      <c r="K8" s="119"/>
      <c r="L8" s="119"/>
      <c r="M8" s="119"/>
      <c r="N8" s="125">
        <v>0.4</v>
      </c>
      <c r="O8" s="125"/>
    </row>
    <row r="9" spans="1:15" ht="12" customHeight="1" x14ac:dyDescent="0.15">
      <c r="A9" s="119"/>
      <c r="B9" s="123">
        <v>44804</v>
      </c>
      <c r="C9" s="119"/>
      <c r="D9" s="119"/>
      <c r="E9" s="125"/>
      <c r="F9" s="119"/>
      <c r="G9" s="125"/>
      <c r="H9" s="119"/>
      <c r="I9" s="512" t="s">
        <v>81</v>
      </c>
      <c r="J9" s="515"/>
      <c r="K9" s="515"/>
      <c r="L9" s="131" t="s">
        <v>82</v>
      </c>
      <c r="M9" s="131" t="s">
        <v>83</v>
      </c>
      <c r="N9" s="132" t="s">
        <v>84</v>
      </c>
      <c r="O9" s="125"/>
    </row>
    <row r="10" spans="1:15" ht="12" customHeight="1" x14ac:dyDescent="0.15">
      <c r="A10" s="119"/>
      <c r="B10" s="123">
        <v>44834</v>
      </c>
      <c r="C10" s="119"/>
      <c r="D10" s="119"/>
      <c r="E10" s="125"/>
      <c r="F10" s="119"/>
      <c r="G10" s="125"/>
      <c r="H10" s="119"/>
      <c r="I10" s="119"/>
      <c r="J10" s="119"/>
      <c r="K10" s="119"/>
      <c r="L10" s="119"/>
      <c r="M10" s="119"/>
      <c r="N10" s="125"/>
      <c r="O10" s="125"/>
    </row>
    <row r="11" spans="1:15" ht="12" customHeight="1" x14ac:dyDescent="0.15">
      <c r="A11" s="119"/>
      <c r="B11" s="123">
        <v>44865</v>
      </c>
      <c r="C11" s="119"/>
      <c r="D11" s="510" t="s">
        <v>85</v>
      </c>
      <c r="E11" s="516"/>
      <c r="F11" s="511"/>
      <c r="G11" s="125" t="s">
        <v>76</v>
      </c>
      <c r="H11" s="119"/>
      <c r="I11" s="119" t="s">
        <v>86</v>
      </c>
      <c r="J11" s="119"/>
      <c r="K11" s="133">
        <v>0.2</v>
      </c>
      <c r="L11" s="125">
        <f>N11</f>
        <v>0</v>
      </c>
      <c r="M11" s="125">
        <v>37700</v>
      </c>
      <c r="N11" s="130">
        <v>0</v>
      </c>
      <c r="O11" s="125"/>
    </row>
    <row r="12" spans="1:15" ht="12" customHeight="1" x14ac:dyDescent="0.15">
      <c r="A12" s="119"/>
      <c r="B12" s="123">
        <v>44895</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44926</v>
      </c>
      <c r="C13" s="119"/>
      <c r="D13" s="512" t="s">
        <v>88</v>
      </c>
      <c r="E13" s="512"/>
      <c r="F13" s="512"/>
      <c r="G13" s="128">
        <v>0</v>
      </c>
      <c r="H13" s="119"/>
      <c r="I13" s="119"/>
      <c r="J13" s="119"/>
      <c r="K13" s="119"/>
      <c r="L13" s="119">
        <v>37701</v>
      </c>
      <c r="M13" s="119"/>
      <c r="N13" s="119">
        <v>37701</v>
      </c>
      <c r="O13" s="119"/>
    </row>
    <row r="14" spans="1:15" ht="12" customHeight="1" x14ac:dyDescent="0.15">
      <c r="A14" s="119"/>
      <c r="B14" s="123">
        <v>44957</v>
      </c>
      <c r="C14" s="119"/>
      <c r="D14" s="512" t="s">
        <v>89</v>
      </c>
      <c r="E14" s="512"/>
      <c r="F14" s="512"/>
      <c r="G14" s="128">
        <v>0.1</v>
      </c>
      <c r="H14" s="119"/>
      <c r="I14" s="517" t="s">
        <v>90</v>
      </c>
      <c r="J14" s="518"/>
      <c r="K14" s="519"/>
      <c r="L14" s="134" t="str">
        <f>G2</f>
        <v>2025-26</v>
      </c>
      <c r="M14" s="119"/>
      <c r="N14" s="119"/>
      <c r="O14" s="119"/>
    </row>
    <row r="15" spans="1:15" ht="12" customHeight="1" x14ac:dyDescent="0.15">
      <c r="A15" s="119"/>
      <c r="B15" s="123">
        <v>44985</v>
      </c>
      <c r="C15" s="119"/>
      <c r="D15" s="512" t="s">
        <v>91</v>
      </c>
      <c r="E15" s="512"/>
      <c r="F15" s="512"/>
      <c r="G15" s="128">
        <v>0.2</v>
      </c>
      <c r="H15" s="119"/>
      <c r="I15" s="119"/>
      <c r="J15" s="119"/>
      <c r="K15" s="119"/>
      <c r="L15" s="119"/>
      <c r="M15" s="119"/>
      <c r="N15" s="119"/>
      <c r="O15" s="119"/>
    </row>
    <row r="16" spans="1:15" ht="12" customHeight="1" thickBot="1" x14ac:dyDescent="0.2">
      <c r="A16" s="119"/>
      <c r="B16" s="123">
        <v>45016</v>
      </c>
      <c r="C16" s="119"/>
      <c r="D16" s="512" t="s">
        <v>92</v>
      </c>
      <c r="E16" s="512"/>
      <c r="F16" s="512"/>
      <c r="G16" s="128">
        <v>0.33</v>
      </c>
      <c r="H16" s="119"/>
      <c r="I16" s="512" t="s">
        <v>93</v>
      </c>
      <c r="J16" s="512"/>
      <c r="K16" s="512"/>
      <c r="L16" s="135">
        <v>0</v>
      </c>
      <c r="M16" s="158" t="s">
        <v>313</v>
      </c>
      <c r="N16" s="119"/>
      <c r="O16" s="119"/>
    </row>
    <row r="17" spans="1:15" ht="12" customHeight="1" thickBot="1" x14ac:dyDescent="0.2">
      <c r="A17" s="119"/>
      <c r="B17" s="127">
        <v>45021</v>
      </c>
      <c r="C17" s="119"/>
      <c r="D17" s="512" t="s">
        <v>94</v>
      </c>
      <c r="E17" s="512"/>
      <c r="F17" s="512"/>
      <c r="G17" s="128">
        <v>0.25</v>
      </c>
      <c r="H17" s="119"/>
      <c r="I17" s="119"/>
      <c r="J17" s="119"/>
      <c r="K17" s="119"/>
      <c r="L17" s="137">
        <v>3.15</v>
      </c>
      <c r="M17" s="119"/>
      <c r="N17" s="119"/>
      <c r="O17" s="119"/>
    </row>
    <row r="18" spans="1:15" ht="12" customHeight="1" x14ac:dyDescent="0.15">
      <c r="A18" s="119"/>
      <c r="B18" s="123">
        <v>45046</v>
      </c>
      <c r="C18" s="119"/>
      <c r="D18" s="119"/>
      <c r="E18" s="119"/>
      <c r="F18" s="119"/>
      <c r="G18" s="125"/>
      <c r="H18" s="119"/>
      <c r="I18" s="119"/>
      <c r="J18" s="119"/>
      <c r="K18" s="119"/>
      <c r="L18" s="119"/>
      <c r="M18" s="119"/>
      <c r="N18" s="119"/>
      <c r="O18" s="119"/>
    </row>
    <row r="19" spans="1:15" ht="12" customHeight="1" x14ac:dyDescent="0.15">
      <c r="A19" s="119"/>
      <c r="B19" s="123">
        <v>45077</v>
      </c>
      <c r="C19" s="119"/>
      <c r="D19" s="510" t="s">
        <v>96</v>
      </c>
      <c r="E19" s="511"/>
      <c r="F19" s="125" t="s">
        <v>97</v>
      </c>
      <c r="G19" s="125" t="s">
        <v>98</v>
      </c>
      <c r="H19" s="119"/>
      <c r="I19" s="514" t="s">
        <v>95</v>
      </c>
      <c r="J19" s="514"/>
      <c r="K19" s="514"/>
      <c r="L19" s="119"/>
      <c r="M19" s="513" t="s">
        <v>228</v>
      </c>
      <c r="N19" s="119"/>
      <c r="O19" s="119"/>
    </row>
    <row r="20" spans="1:15" ht="12" customHeight="1" x14ac:dyDescent="0.15">
      <c r="A20" s="119"/>
      <c r="B20" s="123">
        <v>45107</v>
      </c>
      <c r="C20" s="119"/>
      <c r="D20" s="121"/>
      <c r="E20" s="121"/>
      <c r="F20" s="125"/>
      <c r="G20" s="125"/>
      <c r="H20" s="119"/>
      <c r="I20" s="514"/>
      <c r="J20" s="514"/>
      <c r="K20" s="514"/>
      <c r="L20" s="328">
        <v>0.0973</v>
      </c>
      <c r="M20" s="513"/>
      <c r="N20" s="130">
        <v>11908</v>
      </c>
      <c r="O20" s="125" t="s">
        <v>50</v>
      </c>
    </row>
    <row r="21" spans="1:15" ht="12" customHeight="1" x14ac:dyDescent="0.15">
      <c r="A21" s="119"/>
      <c r="B21" s="123">
        <v>45322</v>
      </c>
      <c r="C21" s="119"/>
      <c r="D21" s="512" t="s">
        <v>99</v>
      </c>
      <c r="E21" s="512"/>
      <c r="F21" s="130">
        <v>10000</v>
      </c>
      <c r="G21" s="135">
        <v>0.45</v>
      </c>
      <c r="H21" s="119"/>
      <c r="I21" s="136"/>
      <c r="J21" s="136"/>
      <c r="K21" s="136"/>
      <c r="L21" s="133"/>
      <c r="M21" s="119"/>
      <c r="N21" s="119"/>
      <c r="O21" s="119"/>
    </row>
    <row r="22" spans="1:15" ht="12" customHeight="1" thickBot="1" x14ac:dyDescent="0.2">
      <c r="A22" s="119"/>
      <c r="B22" s="123">
        <v>45504</v>
      </c>
      <c r="C22" s="119"/>
      <c r="D22" s="119" t="s">
        <v>101</v>
      </c>
      <c r="E22" s="119"/>
      <c r="F22" s="130">
        <v>10001</v>
      </c>
      <c r="G22" s="135">
        <v>0.25</v>
      </c>
      <c r="H22" s="119"/>
      <c r="I22" s="514" t="s">
        <v>100</v>
      </c>
      <c r="J22" s="514"/>
      <c r="K22" s="514"/>
      <c r="L22" s="119"/>
      <c r="M22" s="513" t="s">
        <v>229</v>
      </c>
      <c r="N22" s="119"/>
      <c r="O22" s="119"/>
    </row>
    <row r="23" spans="1:15" ht="12" customHeight="1" thickBot="1" x14ac:dyDescent="0.2">
      <c r="A23" s="119"/>
      <c r="B23" s="127" t="inlineStr">
        <is>
          <t>2022-23</t>
        </is>
      </c>
      <c r="C23" s="119"/>
      <c r="D23" s="119"/>
      <c r="E23" s="119"/>
      <c r="F23" s="125"/>
      <c r="G23" s="137"/>
      <c r="H23" s="119"/>
      <c r="I23" s="514"/>
      <c r="J23" s="514"/>
      <c r="K23" s="514"/>
      <c r="L23" s="328">
        <v>0.0273</v>
      </c>
      <c r="M23" s="513"/>
      <c r="N23" s="130">
        <v>50270</v>
      </c>
      <c r="O23" s="125" t="s">
        <v>50</v>
      </c>
    </row>
    <row r="24" spans="1:15" ht="12" customHeight="1" thickBot="1" x14ac:dyDescent="0.2">
      <c r="A24" s="119"/>
      <c r="B24" s="127" t="inlineStr">
        <is>
          <t>2023-24</t>
        </is>
      </c>
      <c r="C24" s="119"/>
      <c r="D24" s="510" t="s">
        <v>96</v>
      </c>
      <c r="E24" s="511"/>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2" t="s">
        <v>278</v>
      </c>
      <c r="E26" s="512"/>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5:F5"/>
    <mergeCell ref="I6:M6"/>
    <mergeCell ref="D7:F7"/>
    <mergeCell ref="I7:M7"/>
    <mergeCell ref="D1:F1"/>
    <mergeCell ref="D2:F2"/>
    <mergeCell ref="D4:F4"/>
    <mergeCell ref="I4:M4"/>
    <mergeCell ref="I2:J2"/>
    <mergeCell ref="D15:F15"/>
    <mergeCell ref="D16:F16"/>
    <mergeCell ref="I16:K16"/>
    <mergeCell ref="D17:F17"/>
    <mergeCell ref="I9:K9"/>
    <mergeCell ref="D11:F11"/>
    <mergeCell ref="D13:F13"/>
    <mergeCell ref="D14:F14"/>
    <mergeCell ref="I14:K14"/>
    <mergeCell ref="D24:E24"/>
    <mergeCell ref="D26:E26"/>
    <mergeCell ref="M19:M20"/>
    <mergeCell ref="M22:M23"/>
    <mergeCell ref="I19:K20"/>
    <mergeCell ref="D19:E19"/>
    <mergeCell ref="D21:E21"/>
    <mergeCell ref="I22:K23"/>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2025-04-03T22:44:39Z</dcterms:modified>
</cp:coreProperties>
</file>