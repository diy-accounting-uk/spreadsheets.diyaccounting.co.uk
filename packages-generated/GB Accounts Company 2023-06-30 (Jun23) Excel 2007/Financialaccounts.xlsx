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<sst xmlns="http://schemas.openxmlformats.org/spreadsheetml/2006/main" count="1027" uniqueCount="624">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</sst>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6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151"/>
      <c r="P6" s="3"/>
      <c r="Q6" s="3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E15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</sheetData>
  <mergeCells count="19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ht="5.25" customHeight="1" x14ac:dyDescent="0.15">
      <c r="A90" s="13"/>
      <c r="B90" s="13"/>
      <c r="C90" s="18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13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1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13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13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13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13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13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13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13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13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13"/>
      <c r="EF90" s="21"/>
      <c r="EG90" s="13"/>
      <c r="EH90" s="21"/>
      <c r="EI90" s="13"/>
      <c r="EJ90" s="21"/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s">
        <v>99</v>
      </c>
      <c r="B27" s="93">
        <f t="shared" si="3"/>
        <v>0</v>
      </c>
      <c r="C27" s="94">
        <f>TrialBalance!O74-0</f>
        <v>0</v>
      </c>
      <c r="D27" s="94">
        <f>TrialBalance!Z74-C27</f>
        <v>0</v>
      </c>
      <c r="E27" s="94">
        <f>TrialBalance!AK74-SUM(C27:D27)</f>
        <v>0</v>
      </c>
      <c r="F27" s="94">
        <f>TrialBalance!AV74-SUM(C27:E27)</f>
        <v>0</v>
      </c>
      <c r="G27" s="94">
        <f>TrialBalance!BG74-SUM(C27:F27)</f>
        <v>0</v>
      </c>
      <c r="H27" s="94">
        <f>TrialBalance!BR74-SUM(C27:G27)</f>
        <v>0</v>
      </c>
      <c r="I27" s="94">
        <f>TrialBalance!CC74-SUM(C27:H27)</f>
        <v>0</v>
      </c>
      <c r="J27" s="94">
        <f>TrialBalance!CN74-SUM(C27:I27)</f>
        <v>0</v>
      </c>
      <c r="K27" s="94">
        <f>TrialBalance!CY74-SUM(C27:J27)</f>
        <v>0</v>
      </c>
      <c r="L27" s="94">
        <f>TrialBalance!DJ74-SUM(C27:K27)</f>
        <v>0</v>
      </c>
      <c r="M27" s="94">
        <f>TrialBalance!DU74-SUM(C27:L27)</f>
        <v>0</v>
      </c>
      <c r="N27" s="94">
        <f>TrialBalance!EF74-SUM(C27:M27)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46112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46112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s">
        <v>99</v>
      </c>
      <c r="D30" s="68"/>
      <c r="E30" s="58">
        <f>TrialBalance!EJ74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46112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46112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46112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45748</v>
      </c>
      <c r="F5" s="392"/>
      <c r="G5" s="176" t="s">
        <v>550</v>
      </c>
      <c r="H5" s="434">
        <f>Admin!N7</f>
        <v>46477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6" customHeight="1" x14ac:dyDescent="0.15">
      <c r="A9" s="158"/>
      <c r="B9" s="38"/>
      <c r="C9" s="38"/>
      <c r="D9" s="38"/>
      <c r="E9" s="38"/>
      <c r="F9" s="161"/>
      <c r="G9" s="161"/>
      <c r="H9" s="162"/>
      <c r="I9" s="161"/>
      <c r="J9" s="161"/>
      <c r="K9" s="250"/>
      <c r="L9" s="38"/>
    </row>
    <row r="10" spans="1:12" ht="13" x14ac:dyDescent="0.15">
      <c r="A10" s="158"/>
      <c r="B10" s="289"/>
      <c r="C10" s="420" t="s">
        <v>284</v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9"/>
      <c r="C29" s="39"/>
      <c r="D29" s="39"/>
      <c r="E29" s="157"/>
      <c r="F29" s="166"/>
      <c r="G29" s="161"/>
      <c r="H29" s="162"/>
      <c r="I29" s="161"/>
      <c r="J29" s="161"/>
      <c r="K29" s="176"/>
      <c r="L29" s="39"/>
    </row>
    <row r="30" spans="1:12" s="40" customFormat="1" x14ac:dyDescent="0.15">
      <c r="A30" s="158"/>
      <c r="B30" s="39"/>
      <c r="C30" s="39"/>
      <c r="D30" s="39"/>
      <c r="E30" s="177"/>
      <c r="F30" s="161"/>
      <c r="G30" s="161"/>
      <c r="H30" s="162"/>
      <c r="I30" s="161"/>
      <c r="J30" s="161"/>
      <c r="K30" s="161"/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Admin!P6</f>
        <v>19</v>
      </c>
      <c r="H33" s="442"/>
      <c r="I33" s="187">
        <f>F33*G33/100</f>
        <v>0</v>
      </c>
      <c r="J33" s="167"/>
      <c r="K33" s="161"/>
      <c r="L33" s="38"/>
    </row>
    <row r="34" spans="1:12" ht="15" customHeight="1" thickBot="1" x14ac:dyDescent="0.2">
      <c r="A34" s="184">
        <f>D34-C34+1</f>
        <v>365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Admin!P7</f>
        <v>19</v>
      </c>
      <c r="H34" s="442"/>
      <c r="I34" s="187">
        <f>F34*G34/100</f>
        <v>0</v>
      </c>
      <c r="J34" s="167"/>
      <c r="K34" s="161"/>
      <c r="L34" s="38"/>
    </row>
    <row r="35" spans="1:12" s="40" customFormat="1" ht="15" customHeight="1" thickBot="1" x14ac:dyDescent="0.2">
      <c r="A35" s="184">
        <f>D34-C33+1</f>
        <v>730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45748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46477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/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/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/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CorporationTax!I33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483"/>
      <c r="D128" s="483"/>
      <c r="E128" s="483"/>
      <c r="F128" s="483"/>
      <c r="G128" s="483"/>
      <c r="H128" s="483"/>
      <c r="I128" s="198"/>
      <c r="J128" s="198"/>
      <c r="K128" s="198"/>
      <c r="L128" s="209">
        <v>54</v>
      </c>
      <c r="M128" s="210" t="s">
        <v>150</v>
      </c>
      <c r="N128" s="483"/>
      <c r="O128" s="483"/>
      <c r="P128" s="483"/>
      <c r="Q128" s="483"/>
      <c r="R128" s="483"/>
      <c r="S128" s="483"/>
      <c r="T128" s="483"/>
      <c r="U128" s="198"/>
      <c r="V128" s="198"/>
      <c r="W128" s="198"/>
      <c r="X128" s="198"/>
      <c r="Y128" s="539">
        <v>55</v>
      </c>
      <c r="Z128" s="351"/>
      <c r="AA128" s="483"/>
      <c r="AB128" s="483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/>
      <c r="AK128" s="468"/>
      <c r="AL128" s="468"/>
      <c r="AM128" s="468"/>
      <c r="AN128" s="468"/>
      <c r="AO128" s="468"/>
      <c r="AP128" s="468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14"/>
      <c r="Z133" s="514"/>
      <c r="AA133" s="514"/>
      <c r="AB133" s="514"/>
      <c r="AC133" s="514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14"/>
      <c r="Z135" s="514"/>
      <c r="AA135" s="514"/>
      <c r="AB135" s="514"/>
      <c r="AC135" s="514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IF(AJ131&gt;0,AJ131*100/AJ110,"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AJ131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IF((CorporationTax!H15+CorporationTax!H17)&gt;0,CorporationTax!H15+CorporationTax!H17,"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IF(CorporationTax!H18&lt;&gt;0,CorporationTax!H18,"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IF(CorporationTax!H16&gt;0,CorporationTax!H16,"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45657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45658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45688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17" ht="12" customHeight="1" x14ac:dyDescent="0.15">
      <c r="A5" s="253"/>
      <c r="B5" s="330">
        <f>DATE(YEAR(B6),MONTH(B6),1)</f>
        <v>45689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</row>
    <row r="6" spans="1:17" ht="12" customHeight="1" x14ac:dyDescent="0.15">
      <c r="A6" s="253"/>
      <c r="B6" s="330">
        <f>DATE(YEAR(B8),MONTH(B8),1)-1</f>
        <v>45716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</f>
        <v>2025</v>
      </c>
      <c r="L6" s="638">
        <f>B9</f>
        <v>45748</v>
      </c>
      <c r="M6" s="639"/>
      <c r="N6" s="638">
        <f>B32</f>
        <v>46112</v>
      </c>
      <c r="O6" s="641"/>
      <c r="P6" s="310">
        <v>19</v>
      </c>
      <c r="Q6" s="255" t="s">
        <v>268</v>
      </c>
    </row>
    <row r="7" spans="1:17" ht="12" customHeight="1" x14ac:dyDescent="0.15">
      <c r="A7" s="253"/>
      <c r="B7" s="330">
        <f>DATE(YEAR(B8),MONTH(B8),1)</f>
        <v>45717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</f>
        <v>2026</v>
      </c>
      <c r="L7" s="638">
        <f>B33</f>
        <v>46113</v>
      </c>
      <c r="M7" s="639"/>
      <c r="N7" s="638">
        <f>B56</f>
        <v>46477</v>
      </c>
      <c r="O7" s="641"/>
      <c r="P7" s="310">
        <v>19</v>
      </c>
      <c r="Q7" s="255" t="s">
        <v>268</v>
      </c>
    </row>
    <row r="8" spans="1:17" ht="12" customHeight="1" x14ac:dyDescent="0.15">
      <c r="A8" s="253"/>
      <c r="B8" s="330">
        <f>DATE(YEAR(B10),MONTH(B10),1)-1</f>
        <v>45747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253"/>
      <c r="J8" s="253"/>
      <c r="K8" s="253"/>
      <c r="L8" s="253"/>
      <c r="M8" s="253"/>
      <c r="N8" s="253"/>
      <c r="O8" s="253"/>
      <c r="P8" s="255"/>
      <c r="Q8" s="255"/>
    </row>
    <row r="9" spans="1:17" ht="12" customHeight="1" x14ac:dyDescent="0.15">
      <c r="A9" s="253"/>
      <c r="B9" s="330">
        <f>DATE(YEAR(B10),MONTH(B10),1)</f>
        <v>45748</v>
      </c>
      <c r="C9" s="253"/>
      <c r="D9" s="253"/>
      <c r="E9" s="253"/>
      <c r="F9" s="253"/>
      <c r="G9" s="255"/>
      <c r="H9" s="253"/>
      <c r="I9" s="253"/>
      <c r="J9" s="253"/>
      <c r="K9" s="253"/>
      <c r="L9" s="262" t="s">
        <v>251</v>
      </c>
      <c r="M9" s="253"/>
      <c r="N9" s="291" t="s">
        <v>521</v>
      </c>
      <c r="O9" s="263"/>
      <c r="P9" s="264"/>
      <c r="Q9" s="255"/>
    </row>
    <row r="10" spans="1:17" ht="12" customHeight="1" x14ac:dyDescent="0.15">
      <c r="A10" s="253"/>
      <c r="B10" s="330">
        <f>DATE(YEAR(B12),MONTH(B12),1)-1</f>
        <v>45777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45778</v>
      </c>
      <c r="C11" s="253"/>
      <c r="D11" s="253" t="s">
        <v>501</v>
      </c>
      <c r="E11" s="262">
        <v>12000</v>
      </c>
      <c r="F11" s="253" t="s">
        <v>502</v>
      </c>
      <c r="G11" s="262">
        <v>3000</v>
      </c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45808</v>
      </c>
      <c r="C12" s="253"/>
      <c r="D12" s="253"/>
      <c r="E12" s="255"/>
      <c r="F12" s="253"/>
      <c r="G12" s="255"/>
      <c r="H12" s="253"/>
      <c r="I12" s="253"/>
      <c r="J12" s="253"/>
      <c r="K12" s="253"/>
      <c r="L12" s="253"/>
      <c r="M12" s="265"/>
      <c r="N12" s="255"/>
      <c r="O12" s="253"/>
      <c r="P12" s="255"/>
      <c r="Q12" s="255"/>
    </row>
    <row r="13" spans="1:17" ht="12" customHeight="1" x14ac:dyDescent="0.15">
      <c r="A13" s="253"/>
      <c r="B13" s="330">
        <f>DATE(YEAR(B14),MONTH(B14),1)</f>
        <v>45809</v>
      </c>
      <c r="C13" s="253"/>
      <c r="D13" s="635" t="s">
        <v>503</v>
      </c>
      <c r="E13" s="635"/>
      <c r="F13" s="635"/>
      <c r="G13" s="255" t="s">
        <v>268</v>
      </c>
      <c r="H13" s="253"/>
      <c r="I13" s="253"/>
      <c r="J13" s="253"/>
      <c r="K13" s="253"/>
      <c r="L13" s="253"/>
      <c r="M13" s="253"/>
      <c r="N13" s="253"/>
      <c r="O13" s="253"/>
      <c r="P13" s="253"/>
      <c r="Q13" s="253"/>
    </row>
    <row r="14" spans="1:17" ht="12" customHeight="1" x14ac:dyDescent="0.15">
      <c r="A14" s="253"/>
      <c r="B14" s="330">
        <f>DATE(YEAR(B16),MONTH(B16),1)-1</f>
        <v>45838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45839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45869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45870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45900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45901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45930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45931</v>
      </c>
      <c r="C21" s="253"/>
      <c r="D21" s="9" t="s">
        <v>520</v>
      </c>
      <c r="E21" s="3"/>
      <c r="F21" s="328">
        <v>45107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45961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45962</v>
      </c>
      <c r="C23" s="253"/>
      <c r="F23" s="293"/>
    </row>
    <row r="24" spans="1:17" ht="12" customHeight="1" x14ac:dyDescent="0.15">
      <c r="A24" s="253"/>
      <c r="B24" s="330">
        <f>DATE(YEAR(B26),MONTH(B26),1)-1</f>
        <v>45991</v>
      </c>
      <c r="C24" s="253"/>
    </row>
    <row r="25" spans="1:17" ht="12" customHeight="1" x14ac:dyDescent="0.15">
      <c r="A25" s="253"/>
      <c r="B25" s="330">
        <f>DATE(YEAR(B26),MONTH(B26),1)</f>
        <v>45992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46022</v>
      </c>
      <c r="C26" s="253"/>
      <c r="G26" s="256"/>
    </row>
    <row r="27" spans="1:17" x14ac:dyDescent="0.15">
      <c r="A27" s="253"/>
      <c r="B27" s="330">
        <f>DATE(YEAR(B28),MONTH(B28),1)</f>
        <v>46023</v>
      </c>
      <c r="C27" s="253"/>
      <c r="G27" s="256"/>
    </row>
    <row r="28" spans="1:17" x14ac:dyDescent="0.15">
      <c r="A28" s="253"/>
      <c r="B28" s="330">
        <f>DATE(YEAR(B30),MONTH(B30),1)-1</f>
        <v>46053</v>
      </c>
      <c r="C28" s="253"/>
    </row>
    <row r="29" spans="1:17" x14ac:dyDescent="0.15">
      <c r="A29" s="253"/>
      <c r="B29" s="330">
        <f>DATE(YEAR(B30),MONTH(B30),1)</f>
        <v>46054</v>
      </c>
      <c r="C29" s="253"/>
    </row>
    <row r="30" spans="1:17" x14ac:dyDescent="0.15">
      <c r="A30" s="253"/>
      <c r="B30" s="330">
        <f>DATE(YEAR(B32),MONTH(B32),1)-1</f>
        <v>46081</v>
      </c>
      <c r="C30" s="253"/>
    </row>
    <row r="31" spans="1:17" x14ac:dyDescent="0.15">
      <c r="A31" s="253"/>
      <c r="B31" s="330">
        <f>DATE(YEAR(B32),MONTH(B32),1)</f>
        <v>46082</v>
      </c>
      <c r="C31" s="253"/>
    </row>
    <row r="32" spans="1:17" x14ac:dyDescent="0.15">
      <c r="A32" s="253"/>
      <c r="B32" s="331">
        <f>F21</f>
        <v>46112</v>
      </c>
      <c r="C32" s="253"/>
    </row>
    <row r="33" spans="1:3" x14ac:dyDescent="0.15">
      <c r="A33" s="253"/>
      <c r="B33" s="330">
        <f>DATE(YEAR(B34),MONTH(B34),1)</f>
        <v>46113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46142</v>
      </c>
      <c r="C34" s="253"/>
    </row>
    <row r="35" spans="1:3" x14ac:dyDescent="0.15">
      <c r="A35" s="253"/>
      <c r="B35" s="330">
        <f>DATE(YEAR(B36),MONTH(B36),1)</f>
        <v>46143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46173</v>
      </c>
      <c r="C36" s="253"/>
    </row>
    <row r="37" spans="1:3" x14ac:dyDescent="0.15">
      <c r="A37" s="253"/>
      <c r="B37" s="330">
        <f>DATE(YEAR(B38),MONTH(B38),1)</f>
        <v>46174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46203</v>
      </c>
      <c r="C38" s="253"/>
    </row>
    <row r="39" spans="1:3" x14ac:dyDescent="0.15">
      <c r="A39" s="253"/>
      <c r="B39" s="330">
        <f>DATE(YEAR(B40),MONTH(B40),1)</f>
        <v>46204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46234</v>
      </c>
      <c r="C40" s="253"/>
    </row>
    <row r="41" spans="1:3" x14ac:dyDescent="0.15">
      <c r="A41" s="253"/>
      <c r="B41" s="330">
        <f>DATE(YEAR(B42),MONTH(B42),1)</f>
        <v>46235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46265</v>
      </c>
      <c r="C42" s="253"/>
    </row>
    <row r="43" spans="1:3" x14ac:dyDescent="0.15">
      <c r="A43" s="253"/>
      <c r="B43" s="330">
        <f>DATE(YEAR(B44),MONTH(B44),1)</f>
        <v>46266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46295</v>
      </c>
      <c r="C44" s="253"/>
    </row>
    <row r="45" spans="1:3" x14ac:dyDescent="0.15">
      <c r="A45" s="253"/>
      <c r="B45" s="330">
        <f>DATE(YEAR(B46),MONTH(B46),1)</f>
        <v>46296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46326</v>
      </c>
      <c r="C46" s="253"/>
    </row>
    <row r="47" spans="1:3" x14ac:dyDescent="0.15">
      <c r="A47" s="253"/>
      <c r="B47" s="330">
        <f>DATE(YEAR(B48),MONTH(B48),1)</f>
        <v>46327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46356</v>
      </c>
      <c r="C48" s="253"/>
    </row>
    <row r="49" spans="1:3" x14ac:dyDescent="0.15">
      <c r="A49" s="253"/>
      <c r="B49" s="330">
        <f>DATE(YEAR(B50),MONTH(B50),1)</f>
        <v>46357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46387</v>
      </c>
      <c r="C50" s="253"/>
    </row>
    <row r="51" spans="1:3" x14ac:dyDescent="0.15">
      <c r="A51" s="253"/>
      <c r="B51" s="330">
        <f>DATE(YEAR(B52),MONTH(B52),1)</f>
        <v>46388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46418</v>
      </c>
      <c r="C52" s="253"/>
    </row>
    <row r="53" spans="1:3" x14ac:dyDescent="0.15">
      <c r="A53" s="253"/>
      <c r="B53" s="330">
        <f>DATE(YEAR(B54),MONTH(B54),1)</f>
        <v>46419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46446</v>
      </c>
      <c r="C54" s="253"/>
    </row>
    <row r="55" spans="1:3" x14ac:dyDescent="0.15">
      <c r="A55" s="253"/>
      <c r="B55" s="330">
        <f>DATE(YEAR(B56),MONTH(B56),1)</f>
        <v>46447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46477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Terry Cartwright</dc:creator>
  <cp:lastModifiedBy>Cartwright, Antony</cp:lastModifiedBy>
  <cp:lastPrinted>2008-12-27T16:06:52Z</cp:lastPrinted>
  <dcterms:created xsi:type="dcterms:W3CDTF">2002-12-30T15:31:19Z</dcterms:created>
  <dcterms:modified xsi:type="dcterms:W3CDTF">2025-04-03T23:05:54Z</dcterms:modified>
</cp:coreProperties>
</file>