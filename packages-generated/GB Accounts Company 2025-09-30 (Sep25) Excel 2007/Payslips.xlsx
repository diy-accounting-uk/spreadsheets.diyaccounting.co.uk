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Oct" sheetId="12" r:id="rId2"/>
    <sheet name="Nov" sheetId="11" r:id="rId3"/>
    <sheet name="Dec" sheetId="10" r:id="rId4"/>
    <sheet name="Jan" sheetId="9" r:id="rId5"/>
    <sheet name="Feb" sheetId="8" r:id="rId6"/>
    <sheet name="Mar" sheetId="17" r:id="rId7"/>
    <sheet name="Apr" sheetId="16" r:id="rId8"/>
    <sheet name="May" sheetId="15" r:id="rId9"/>
    <sheet name="Jun" sheetId="14" r:id="rId10"/>
    <sheet name="Jul" sheetId="13" r:id="rId11"/>
    <sheet name="Aug" sheetId="19" r:id="rId12"/>
    <sheet name="Sep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<sst xmlns="http://schemas.openxmlformats.org/spreadsheetml/2006/main" count="1383" uniqueCount="138">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</sst>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Apr!M39+1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May!M39+1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89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92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92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92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5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IF(T$9="Y",Jul!#REF!,0)</f>
        <v>0</v>
      </c>
      <c r="I11" s="89">
        <f>IF(T$9="Y",Jul!#REF!,0)</f>
        <v>0</v>
      </c>
      <c r="J11" s="89">
        <f>IF(T$9="Y",Jul!#REF!,0)</f>
        <v>0</v>
      </c>
      <c r="K11" s="89">
        <v>0</v>
      </c>
      <c r="L11" s="110">
        <f>IF(T$9="Y",Jul!#REF!,0)</f>
        <v>0</v>
      </c>
      <c r="M11" s="110" t="str">
        <f>IF(E11=" "," ",IF(T$9="Y",Jul!#REF!,IF((H11+K11+L11)&gt;0,H11+K11+L11,"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IF(T$9="Y",Jul!#REF!,0)</f>
        <v>0</v>
      </c>
      <c r="I12" s="92">
        <f>IF(T$9="Y",Jul!#REF!,0)</f>
        <v>0</v>
      </c>
      <c r="J12" s="92">
        <f>IF(T$9="Y",Jul!#REF!,0)</f>
        <v>0</v>
      </c>
      <c r="K12" s="92">
        <f>IF(T$9="Y",Jul!#REF!,I12*J12)</f>
        <v>0</v>
      </c>
      <c r="L12" s="111">
        <f>IF(T$9="Y",Jul!#REF!,0)</f>
        <v>0</v>
      </c>
      <c r="M12" s="111" t="str">
        <f>IF(E12=" "," ",IF(T$9="Y",Jul!#REF!,IF((H12+K12+L12)&gt;0,H12+K12+L12,"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IF(T$9="Y",Jul!#REF!,0)</f>
        <v>0</v>
      </c>
      <c r="I13" s="92">
        <f>IF(T$9="Y",Jul!#REF!,0)</f>
        <v>0</v>
      </c>
      <c r="J13" s="92">
        <f>IF(T$9="Y",Jul!#REF!,0)</f>
        <v>0</v>
      </c>
      <c r="K13" s="92">
        <f>IF(T$9="Y",Jul!#REF!,I13*J13)</f>
        <v>0</v>
      </c>
      <c r="L13" s="111">
        <f>IF(T$9="Y",Jul!#REF!,0)</f>
        <v>0</v>
      </c>
      <c r="M13" s="111" t="str">
        <f>IF(E13=" "," ",IF(T$9="Y",Jul!#REF!,IF((H13+K13+L13)&gt;0,H13+K13+L13,"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IF(T$9="Y",Jul!#REF!,0)</f>
        <v>0</v>
      </c>
      <c r="I14" s="92">
        <f>IF(T$9="Y",Jul!#REF!,0)</f>
        <v>0</v>
      </c>
      <c r="J14" s="92">
        <f>IF(T$9="Y",Jul!#REF!,0)</f>
        <v>0</v>
      </c>
      <c r="K14" s="92">
        <f>IF(T$9="Y",Jul!#REF!,I14*J14)</f>
        <v>0</v>
      </c>
      <c r="L14" s="111">
        <f>IF(T$9="Y",Jul!#REF!,0)</f>
        <v>0</v>
      </c>
      <c r="M14" s="111" t="str">
        <f>IF(E14=" "," ",IF(T$9="Y",Jul!#REF!,IF((H14+K14+L14)&gt;0,H14+K14+L14,"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IF(T$9="Y",Jul!#REF!,0)</f>
        <v>0</v>
      </c>
      <c r="I15" s="245">
        <f>IF(T$9="Y",Jul!#REF!,0)</f>
        <v>0</v>
      </c>
      <c r="J15" s="245">
        <f>IF(T$9="Y",Jul!#REF!,0)</f>
        <v>0</v>
      </c>
      <c r="K15" s="245">
        <f>IF(T$9="Y",Jul!#REF!,I15*J15)</f>
        <v>0</v>
      </c>
      <c r="L15" s="246">
        <f>IF(T$9="Y",Jul!#REF!,0)</f>
        <v>0</v>
      </c>
      <c r="M15" s="246" t="str">
        <f>IF(E15=" "," ",IF(T$9="Y",Jul!#REF!,IF((H15+K15+L15)&gt;0,H15+K15+L15,"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89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92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92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92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IF(T$49="Y",Jul!H55,0)</f>
        <v>0</v>
      </c>
      <c r="I55" s="92">
        <f>IF(T$49="Y",Jul!I55,0)</f>
        <v>0</v>
      </c>
      <c r="J55" s="92">
        <f>IF(T$49="Y",Jul!J55,0)</f>
        <v>0</v>
      </c>
      <c r="K55" s="92">
        <f>IF(T$49="Y",Jul!K55,I55*J55)</f>
        <v>0</v>
      </c>
      <c r="L55" s="92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Aug!M39+1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99" t="str">
        <f>IF(E11=" "," ",IF(T$9="Y",Sep!M51,IF((H11+K11+L11)&gt;0,H11+K11+L11,"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00" t="str">
        <f>IF(E12=" "," ",IF(T$9="Y",Sep!M52,IF((H12+K12+L12)&gt;0,H12+K12+L12,"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00" t="str">
        <f>IF(E13=" "," ",IF(T$9="Y",Sep!M53,IF((H13+K13+L13)&gt;0,H13+K13+L13,"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00" t="str">
        <f>IF(E14=" "," ",IF(T$9="Y",Sep!M54,IF((H14+K14+L14)&gt;0,H14+K14+L14,"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247" t="str">
        <f>IF(E15=" "," ",IF(T$9="Y",Sep!M55,IF((H15+K15+L15)&gt;0,H15+K15+L15,"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Nov!M39+1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Dec!M49+1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110" t="str">
        <f>IF(E11=" "," ",IF(T$9="Y",Dec!M51,IF((H11+K11+L11)&gt;0,H11+K11+L11,"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11" t="str">
        <f>IF(E12=" "," ",IF(T$9="Y",Dec!M52,IF((H12+K12+L12)&gt;0,H12+K12+L12,"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11" t="str">
        <f>IF(E13=" "," ",IF(T$9="Y",Dec!M53,IF((H13+K13+L13)&gt;0,H13+K13+L13,"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11" t="str">
        <f>IF(E14=" "," ",IF(T$9="Y",Dec!M54,IF((H14+K14+L14)&gt;0,H14+K14+L14,"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111" t="str">
        <f>IF(E15=" "," ",IF(T$9="Y",Dec!M55,IF((H15+K15+L15)&gt;0,H15+K15+L15,"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Jan!M39+1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IF(T$19="Y",Jan!L45,0)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Feb!M39+1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IF(T$69="Y",Feb!H51,0)</f>
        <v>0</v>
      </c>
      <c r="I71" s="89">
        <f>IF(T$69="Y",Feb!I51,0)</f>
        <v>0</v>
      </c>
      <c r="J71" s="89">
        <f>IF(T$69="Y",Feb!J51,0)</f>
        <v>0</v>
      </c>
      <c r="K71" s="89">
        <f>IF(T$69="Y",Feb!K51,I71*J71)</f>
        <v>0</v>
      </c>
      <c r="L71" s="110">
        <f>IF(T$69="Y",Feb!L51,0)</f>
        <v>0</v>
      </c>
      <c r="M71" s="99" t="str">
        <f>IF(E71=" "," ",IF(T$69="Y",Feb!M51,IF((H71+K71+L71)&gt;0,H71+K71+L71,"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IF(Employee!H$35=E$69,Employee!D$34+SUM(M71)+Feb!V51,SUM(M71)+Feb!V51)</f>
        <v>0</v>
      </c>
      <c r="W71" s="49">
        <f>IF(Employee!H$35=E$69,Employee!D$35+SUM(N71)+Feb!W51,SUM(N71)+Feb!W51)</f>
        <v>0</v>
      </c>
      <c r="X71" s="49">
        <f>IF(O71=" ",Feb!X51,O71+Feb!X51)</f>
        <v>0</v>
      </c>
      <c r="Y71" s="49">
        <f>IF(P71=" ",Feb!Y51,P71+Feb!Y51)</f>
        <v>0</v>
      </c>
      <c r="Z71" s="49">
        <f>IF(Q71=" ",Feb!Z51,Q71+Feb!Z51)</f>
        <v>0</v>
      </c>
      <c r="AA71" s="49">
        <f>IF(R71=" ",Feb!AA51,R71+Feb!AA51)</f>
        <v>0</v>
      </c>
      <c r="AC71" s="49">
        <f>IF(T71=" ",Feb!AC51,T71+Feb!AC51)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IF(T$69="Y",Feb!H52,0)</f>
        <v>0</v>
      </c>
      <c r="I72" s="92">
        <f>IF(T$69="Y",Feb!I52,0)</f>
        <v>0</v>
      </c>
      <c r="J72" s="92">
        <f>IF(T$69="Y",Feb!J52,0)</f>
        <v>0</v>
      </c>
      <c r="K72" s="92">
        <f>IF(T$69="Y",Feb!K52,I72*J72)</f>
        <v>0</v>
      </c>
      <c r="L72" s="111">
        <f>IF(T$69="Y",Feb!L52,0)</f>
        <v>0</v>
      </c>
      <c r="M72" s="100" t="str">
        <f>IF(E72=" "," ",IF(T$69="Y",Feb!M52,IF((H72+K72+L72)&gt;0,H72+K72+L72,"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IF(Employee!H$61=E$69,Employee!D$60+SUM(M72)+Feb!V52,SUM(M72)+Feb!V52)</f>
        <v>0</v>
      </c>
      <c r="W72" s="49">
        <f>IF(Employee!H$61=E$69,Employee!D$61+SUM(N72)+Feb!W52,SUM(N72)+Feb!W52)</f>
        <v>0</v>
      </c>
      <c r="X72" s="49">
        <f>IF(O72=" ",Feb!X52,O72+Feb!X52)</f>
        <v>0</v>
      </c>
      <c r="Y72" s="49">
        <f>IF(P72=" ",Feb!Y52,P72+Feb!Y52)</f>
        <v>0</v>
      </c>
      <c r="Z72" s="49">
        <f>IF(Q72=" ",Feb!Z52,Q72+Feb!Z52)</f>
        <v>0</v>
      </c>
      <c r="AA72" s="49">
        <f>IF(R72=" ",Feb!AA52,R72+Feb!AA52)</f>
        <v>0</v>
      </c>
      <c r="AC72" s="49">
        <f>IF(T72=" ",Feb!AC52,T72+Feb!AC52)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IF(T$69="Y",Feb!H53,0)</f>
        <v>0</v>
      </c>
      <c r="I73" s="92">
        <f>IF(T$69="Y",Feb!I53,0)</f>
        <v>0</v>
      </c>
      <c r="J73" s="92">
        <f>IF(T$69="Y",Feb!J53,0)</f>
        <v>0</v>
      </c>
      <c r="K73" s="92">
        <f>IF(T$69="Y",Feb!K53,I73*J73)</f>
        <v>0</v>
      </c>
      <c r="L73" s="111">
        <f>IF(T$69="Y",Feb!L53,0)</f>
        <v>0</v>
      </c>
      <c r="M73" s="100" t="str">
        <f>IF(E73=" "," ",IF(T$69="Y",Feb!M53,IF((H73+K73+L73)&gt;0,H73+K73+L73,"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IF(Employee!H$87=E$69,Employee!D$86+SUM(M73)+Feb!V53,SUM(M73)+Feb!V53)</f>
        <v>0</v>
      </c>
      <c r="W73" s="49">
        <f>IF(Employee!H$87=E$69,Employee!D$87+SUM(N73)+Feb!W53,SUM(N73)+Feb!W53)</f>
        <v>0</v>
      </c>
      <c r="X73" s="49">
        <f>IF(O73=" ",Feb!X53,O73+Feb!X53)</f>
        <v>0</v>
      </c>
      <c r="Y73" s="49">
        <f>IF(P73=" ",Feb!Y53,P73+Feb!Y53)</f>
        <v>0</v>
      </c>
      <c r="Z73" s="49">
        <f>IF(Q73=" ",Feb!Z53,Q73+Feb!Z53)</f>
        <v>0</v>
      </c>
      <c r="AA73" s="49">
        <f>IF(R73=" ",Feb!AA53,R73+Feb!AA53)</f>
        <v>0</v>
      </c>
      <c r="AC73" s="49">
        <f>IF(T73=" ",Feb!AC53,T73+Feb!AC53)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IF(T$69="Y",Feb!H54,0)</f>
        <v>0</v>
      </c>
      <c r="I74" s="92">
        <f>IF(T$69="Y",Feb!I54,0)</f>
        <v>0</v>
      </c>
      <c r="J74" s="92">
        <f>IF(T$69="Y",Feb!J54,0)</f>
        <v>0</v>
      </c>
      <c r="K74" s="92">
        <f>IF(T$69="Y",Feb!K54,I74*J74)</f>
        <v>0</v>
      </c>
      <c r="L74" s="111">
        <f>IF(T$69="Y",Feb!L54,0)</f>
        <v>0</v>
      </c>
      <c r="M74" s="100" t="str">
        <f>IF(E74=" "," ",IF(T$69="Y",Feb!M54,IF((H74+K74+L74)&gt;0,H74+K74+L74,"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IF(Employee!H$113=E$69,Employee!D$112+SUM(M74)+Feb!V54,SUM(M74)+Feb!V54)</f>
        <v>0</v>
      </c>
      <c r="W74" s="49">
        <f>IF(Employee!H$113=E$69,Employee!D$113+SUM(N74)+Feb!W54,SUM(N74)+Feb!W54)</f>
        <v>0</v>
      </c>
      <c r="X74" s="49">
        <f>IF(O74=" ",Feb!X54,O74+Feb!X54)</f>
        <v>0</v>
      </c>
      <c r="Y74" s="49">
        <f>IF(P74=" ",Feb!Y54,P74+Feb!Y54)</f>
        <v>0</v>
      </c>
      <c r="Z74" s="49">
        <f>IF(Q74=" ",Feb!Z54,Q74+Feb!Z54)</f>
        <v>0</v>
      </c>
      <c r="AA74" s="49">
        <f>IF(R74=" ",Feb!AA54,R74+Feb!AA54)</f>
        <v>0</v>
      </c>
      <c r="AC74" s="49">
        <f>IF(T74=" ",Feb!AC54,T74+Feb!AC54)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IF(T$69="Y",Feb!H55,0)</f>
        <v>0</v>
      </c>
      <c r="I75" s="245">
        <f>IF(T$69="Y",Feb!I55,0)</f>
        <v>0</v>
      </c>
      <c r="J75" s="245">
        <f>IF(T$69="Y",Feb!J55,0)</f>
        <v>0</v>
      </c>
      <c r="K75" s="245">
        <f>IF(T$69="Y",Feb!K55,I75*J75)</f>
        <v>0</v>
      </c>
      <c r="L75" s="246">
        <f>IF(T$69="Y",Feb!L55,0)</f>
        <v>0</v>
      </c>
      <c r="M75" s="100" t="str">
        <f>IF(E75=" "," ",IF(T$69="Y",Feb!M55,IF((H75+K75+L75)&gt;0,H75+K75+L75,"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IF(Employee!H$139=E$69,Employee!D$138+SUM(M75)+Feb!V55,SUM(M75)+Feb!V55)</f>
        <v>0</v>
      </c>
      <c r="W75" s="49">
        <f>IF(Employee!H$139=E$69,Employee!D$139+SUM(N75)+Feb!W55,SUM(N75)+Feb!W55)</f>
        <v>0</v>
      </c>
      <c r="X75" s="49">
        <f>IF(O75=" ",Feb!X55,O75+Feb!X55)</f>
        <v>0</v>
      </c>
      <c r="Y75" s="49">
        <f>IF(P75=" ",Feb!Y55,P75+Feb!Y55)</f>
        <v>0</v>
      </c>
      <c r="Z75" s="49">
        <f>IF(Q75=" ",Feb!Z55,Q75+Feb!Z55)</f>
        <v>0</v>
      </c>
      <c r="AA75" s="49">
        <f>IF(R75=" ",Feb!AA55,R75+Feb!AA55)</f>
        <v>0</v>
      </c>
      <c r="AC75" s="49">
        <f>IF(T75=" ",Feb!AC55,T75+Feb!AC55)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AD80+Feb!AD65</f>
        <v>0</v>
      </c>
      <c r="AE85" s="158">
        <f>AE80+Feb!AE65</f>
        <v>0</v>
      </c>
      <c r="AF85" s="158">
        <f>AF80+Feb!AF65</f>
        <v>0</v>
      </c>
      <c r="AG85" s="158">
        <f>AG80+Feb!AG65</f>
        <v>0</v>
      </c>
    </row>
    <row r="86" spans="6:33" ht="14" thickTop="1" x14ac:dyDescent="0.15"/>
    <row r="87" spans="6:33" x14ac:dyDescent="0.15">
      <c r="AD87" s="162"/>
      <c r="AE87" s="158">
        <f>AE82+Feb!AE67</f>
        <v>0</v>
      </c>
      <c r="AF87" s="158">
        <f>AF82+Feb!AF67</f>
        <v>0</v>
      </c>
      <c r="AG87" s="158">
        <f>AG82+Feb!AG67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Mar!T1+Mar!O1</f>
        <v>0</v>
      </c>
      <c r="E15" s="228">
        <f>Mar!N1</f>
        <v>0</v>
      </c>
      <c r="F15" s="228">
        <f>Mar!AD80+Mar!AE80+Mar!AF80+Mar!AG80</f>
        <v>0</v>
      </c>
      <c r="G15" s="228">
        <f>Mar!AE82+Mar!AF82+Mar!AG82</f>
        <v>0</v>
      </c>
      <c r="H15" s="228">
        <f>Mar!P1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45753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