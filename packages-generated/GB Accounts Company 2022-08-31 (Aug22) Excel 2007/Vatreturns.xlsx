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<sst xmlns="http://schemas.openxmlformats.org/spreadsheetml/2006/main" count="182" uniqueCount="45">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</sst>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44620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44804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44834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IF([2]Jul!$G$4&gt;0,[2]Jul!$G$4,0)</f>
        <v>0</v>
      </c>
      <c r="N4" s="57"/>
    </row>
    <row r="5" spans="1:14" x14ac:dyDescent="0.15">
      <c r="A5" s="56"/>
      <c r="B5" s="62">
        <f>[1]Admin!$B$18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IF([2]Jul!$G$4&gt;0,[2]Jul!$G$4,0)</f>
        <v>0</v>
      </c>
      <c r="N5" s="57"/>
    </row>
    <row r="6" spans="1:14" x14ac:dyDescent="0.15">
      <c r="A6" s="56"/>
      <c r="B6" s="62">
        <f>[1]Admin!$B$20</f>
        <v>45777</v>
      </c>
      <c r="C6" s="62">
        <f t="shared" si="0"/>
        <v>45808</v>
      </c>
      <c r="D6" s="104">
        <f>[2]Jul!$H$1</f>
        <v>0</v>
      </c>
      <c r="E6" s="105">
        <f>SUM(D4:D6)</f>
        <v>0</v>
      </c>
      <c r="F6" s="105">
        <f>[2]Jul!$G$1</f>
        <v>0</v>
      </c>
      <c r="G6" s="105">
        <f>SUM(F4:F6)</f>
        <v>0</v>
      </c>
      <c r="H6" s="105">
        <f>[3]Jul!$H$1</f>
        <v>0</v>
      </c>
      <c r="I6" s="105">
        <f t="shared" ref="I6:I19" si="1">SUM(H4:H6)</f>
        <v>0</v>
      </c>
      <c r="J6" s="105">
        <f>[3]Jul!$G$1</f>
        <v>0</v>
      </c>
      <c r="K6" s="105">
        <f t="shared" ref="K6:K19" si="2">SUM(J4:J6)</f>
        <v>0</v>
      </c>
      <c r="L6" s="115"/>
      <c r="M6" s="116">
        <f>IF([2]Jul!$G$4&gt;0,[2]Jul!$G$4,0)</f>
        <v>0</v>
      </c>
      <c r="N6" s="57"/>
    </row>
    <row r="7" spans="1:14" x14ac:dyDescent="0.15">
      <c r="A7" s="56"/>
      <c r="B7" s="62">
        <f>[1]Admin!$B$22</f>
        <v>45808</v>
      </c>
      <c r="C7" s="62">
        <f t="shared" si="0"/>
        <v>45838</v>
      </c>
      <c r="D7" s="104">
        <f>[2]Aug!$H$1</f>
        <v>0</v>
      </c>
      <c r="E7" s="105">
        <f t="shared" ref="E7:G19" si="3">SUM(D5:D7)</f>
        <v>0</v>
      </c>
      <c r="F7" s="105">
        <f>[2]Aug!$G$1</f>
        <v>0</v>
      </c>
      <c r="G7" s="105">
        <f t="shared" si="3"/>
        <v>0</v>
      </c>
      <c r="H7" s="105">
        <f>[3]Aug!$H$1</f>
        <v>0</v>
      </c>
      <c r="I7" s="105">
        <f t="shared" si="1"/>
        <v>0</v>
      </c>
      <c r="J7" s="105">
        <f>[3]Aug!$G$1</f>
        <v>0</v>
      </c>
      <c r="K7" s="105">
        <f t="shared" si="2"/>
        <v>0</v>
      </c>
      <c r="L7" s="115"/>
      <c r="M7" s="116">
        <f>IF([2]Aug!$G$4&gt;0,[2]Aug!$G$4,0)</f>
        <v>0</v>
      </c>
      <c r="N7" s="57"/>
    </row>
    <row r="8" spans="1:14" x14ac:dyDescent="0.15">
      <c r="A8" s="56"/>
      <c r="B8" s="62">
        <f>[1]Admin!$B$24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[1]Admin!$B$26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IF([2]Aug!$G$4&gt;0,[2]Aug!$G$4,0)</f>
        <v>0</v>
      </c>
      <c r="N9" s="57"/>
    </row>
    <row r="10" spans="1:14" x14ac:dyDescent="0.15">
      <c r="A10" s="56"/>
      <c r="B10" s="62">
        <f>[1]Admin!$B$28</f>
        <v>45900</v>
      </c>
      <c r="C10" s="62">
        <f t="shared" si="0"/>
        <v>45930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IF([2]Aug!$G$4&gt;0,[2]Aug!$G$4,0)</f>
        <v>0</v>
      </c>
      <c r="N10" s="57"/>
    </row>
    <row r="11" spans="1:14" x14ac:dyDescent="0.15">
      <c r="A11" s="56"/>
      <c r="B11" s="62">
        <f>[1]Admin!$B$30</f>
        <v>45930</v>
      </c>
      <c r="C11" s="62">
        <f t="shared" si="0"/>
        <v>45961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[1]Admin!$B$32</f>
        <v>45961</v>
      </c>
      <c r="C12" s="62">
        <f t="shared" si="0"/>
        <v>45991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[1]Admin!$B$34</f>
        <v>45991</v>
      </c>
      <c r="C13" s="62">
        <f t="shared" si="0"/>
        <v>46022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[1]Admin!$B$36</f>
        <v>46022</v>
      </c>
      <c r="C14" s="62">
        <f t="shared" si="0"/>
        <v>46053</v>
      </c>
      <c r="D14" s="104">
        <f>[2]May!$H$1</f>
        <v>0</v>
      </c>
      <c r="E14" s="105">
        <f t="shared" si="3"/>
        <v>0</v>
      </c>
      <c r="F14" s="105">
        <f>[2]May!$G$1</f>
        <v>0</v>
      </c>
      <c r="G14" s="105">
        <f t="shared" si="3"/>
        <v>0</v>
      </c>
      <c r="H14" s="105">
        <f>[3]May!$H$1</f>
        <v>0</v>
      </c>
      <c r="I14" s="105">
        <f t="shared" si="1"/>
        <v>0</v>
      </c>
      <c r="J14" s="105">
        <f>[3]May!$G$1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[1]Admin!$B$38</f>
        <v>46053</v>
      </c>
      <c r="C15" s="62">
        <f t="shared" si="0"/>
        <v>46081</v>
      </c>
      <c r="D15" s="104">
        <f>[2]Jun!$H$1</f>
        <v>0</v>
      </c>
      <c r="E15" s="105">
        <f t="shared" si="3"/>
        <v>0</v>
      </c>
      <c r="F15" s="105">
        <f>[2]Jun!$G$1</f>
        <v>0</v>
      </c>
      <c r="G15" s="105">
        <f t="shared" si="3"/>
        <v>0</v>
      </c>
      <c r="H15" s="105">
        <f>[3]Jun!$H$1</f>
        <v>0</v>
      </c>
      <c r="I15" s="105">
        <f t="shared" si="1"/>
        <v>0</v>
      </c>
      <c r="J15" s="105">
        <f>[3]Jun!$G$1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[1]Admin!$B$40</f>
        <v>46081</v>
      </c>
      <c r="C16" s="62">
        <f t="shared" si="0"/>
        <v>46112</v>
      </c>
      <c r="D16" s="104">
        <f>[2]Jul!$H$1</f>
        <v>0</v>
      </c>
      <c r="E16" s="105">
        <f t="shared" si="3"/>
        <v>0</v>
      </c>
      <c r="F16" s="105">
        <f>[2]Jul!$G$1</f>
        <v>0</v>
      </c>
      <c r="G16" s="105">
        <f t="shared" si="3"/>
        <v>0</v>
      </c>
      <c r="H16" s="105">
        <f>[3]Jul!$H$1</f>
        <v>0</v>
      </c>
      <c r="I16" s="105">
        <f t="shared" si="1"/>
        <v>0</v>
      </c>
      <c r="J16" s="105">
        <f>[3]Jul!$G$1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[1]Admin!$B$42</f>
        <v>46112</v>
      </c>
      <c r="C17" s="62">
        <f t="shared" si="0"/>
        <v>46142</v>
      </c>
      <c r="D17" s="104">
        <f>[2]Aug!$H$1</f>
        <v>0</v>
      </c>
      <c r="E17" s="105">
        <f t="shared" si="3"/>
        <v>0</v>
      </c>
      <c r="F17" s="105">
        <f>[2]Aug!$G$1</f>
        <v>0</v>
      </c>
      <c r="G17" s="105">
        <f t="shared" si="3"/>
        <v>0</v>
      </c>
      <c r="H17" s="105">
        <f>[3]Aug!$H$1</f>
        <v>0</v>
      </c>
      <c r="I17" s="105">
        <f t="shared" si="1"/>
        <v>0</v>
      </c>
      <c r="J17" s="105">
        <f>[3]Aug!$G$1</f>
        <v>0</v>
      </c>
      <c r="K17" s="105">
        <f t="shared" si="2"/>
        <v>0</v>
      </c>
      <c r="L17" s="115"/>
      <c r="M17" s="116">
        <f>IF([2]Aug!$G$4&gt;0,[2]Aug!$G$4,0)</f>
        <v>0</v>
      </c>
      <c r="N17" s="57"/>
    </row>
    <row r="18" spans="1:14" x14ac:dyDescent="0.15">
      <c r="A18" s="56"/>
      <c r="B18" s="62">
        <f>[1]Admin!$B$44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IF([2]Aug!$G$4&gt;0,[2]Aug!$G$4,0)</f>
        <v>0</v>
      </c>
      <c r="N18" s="57"/>
    </row>
    <row r="19" spans="1:14" x14ac:dyDescent="0.15">
      <c r="A19" s="56"/>
      <c r="B19" s="62">
        <f>[1]Admin!$B$46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IF([2]Aug!$G$4&gt;0,[2]Aug!$G$4,0)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