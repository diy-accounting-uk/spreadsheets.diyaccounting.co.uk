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<sst xmlns="http://schemas.openxmlformats.org/spreadsheetml/2006/main" count="1080" uniqueCount="329">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</sst>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4C01D-4585-0549-BAD6-F5A15A31B3EE}">
  <we:reference id="wa104381859" version="1.0.0.0" store="en-US" storeType="OMEX"/>
  <we:alternateReferences>
    <we:reference id="wa104381859" version="1.0.0.0" store="wa104381859" storeType="OMEX"/>
  </we:alternateReferences>
  <we:properties>
    <we:property name="govClientDeviceId" value="&quot;0dbfc8b5-65b6-4513-856a-27659e70ad53&quot;"/>
  </we:properties>
  <we:bindings>
    <we:binding id="incomeTurnover" type="matrix" appref="{9F93FC60-9FF2-1642-AED6-584EEF0FD350}"/>
    <we:binding id="incomeOther" type="matrix" appref="{FD26EC59-19DF-3542-B342-A21A802EB661}"/>
    <we:binding id="expenseCostOfGoodsBought" type="matrix" appref="{CC1F5C25-022A-F44A-A22D-3AF4212A1B37}"/>
    <we:binding id="expenseCostOfGoodsBoughtDisallowable" type="matrix" appref="{32862EF3-8FA9-AD41-A22D-23025095FFDF}"/>
    <we:binding id="expenseCisPaymentsToSubcontractors" type="matrix" appref="{9B2CFB26-0559-A542-80C3-1026BB7AB29B}"/>
    <we:binding id="expenseCisPaymentsToSubcontractorsDisallowable" type="matrix" appref="{C802C92C-DB7B-2C4A-9ED0-0514DB2C7FAE}"/>
    <we:binding id="expenseStaffCosts" type="matrix" appref="{1DEBC162-E5BF-074D-B30E-CED77A5B9BAA}"/>
    <we:binding id="expenseStaffCostsDisallowable" type="matrix" appref="{1EE011C6-3098-6640-A6D3-D05E57CF40F1}"/>
    <we:binding id="expenseTravelCosts" type="matrix" appref="{438D4A77-395E-354B-B969-CB8E4A8DEBAA}"/>
    <we:binding id="expenseTravelCostsDisallowable" type="matrix" appref="{52FA55A9-4B36-A541-85A7-56A373E3348C}"/>
    <we:binding id="expensePremisesRunningCosts" type="matrix" appref="{1FD04D10-6325-C544-835F-82A71A3036F8}"/>
    <we:binding id="expensePremisesRunningCostsDisallowable" type="matrix" appref="{3AD42803-7EBB-E442-8345-A2971F566C28}"/>
    <we:binding id="expenseMaintenanceCosts" type="matrix" appref="{7C09E60A-A6B3-9D40-91A6-F528DE04251B}"/>
    <we:binding id="expenseMaintenanceCostsDisallowable" type="matrix" appref="{93DF9673-2948-2849-AEE5-BEC94EE615F3}"/>
    <we:binding id="expenseAdminCosts" type="matrix" appref="{C247219B-90A4-9145-A2C8-ACC303B81183}"/>
    <we:binding id="expenseAdminCostsDisallowable" type="matrix" appref="{EAE7024C-B3A4-294B-A9EB-B6FFE68A9B49}"/>
    <we:binding id="expenseAdvertisingCosts" type="matrix" appref="{F274CF98-17F9-2A49-A7A1-EFC3BD4CBAA3}"/>
    <we:binding id="expenseAdvertisingCostsDisallowable" type="matrix" appref="{8F6AEDAE-CCF6-0349-ACCB-320C37E773F8}"/>
    <we:binding id="expenseBusinessEntertainmentCosts" type="matrix" appref="{1FB2832B-E6C1-BC4E-B7EF-4F7F5E06F4EF}"/>
    <we:binding id="expenseBusinessEntertainmentCostsDisallowable" type="matrix" appref="{7BD54EAD-54E6-314D-902D-BE06696BE12C}"/>
    <we:binding id="expenseInterest" type="matrix" appref="{DBB0949F-A1DD-7746-A80B-F6B7A5477D85}"/>
    <we:binding id="expenseInterestDisallowable" type="matrix" appref="{C6787BB8-0C00-A940-832E-4840841DE606}"/>
    <we:binding id="expenseFinancialCharges" type="matrix" appref="{B339614C-C916-6C48-B080-5B2A15101E16}"/>
    <we:binding id="expenseFinancialChargesDisallowable" type="matrix" appref="{79EFCD0F-977E-914F-8326-2114689AF8AE}"/>
    <we:binding id="expenseBadDebt" type="matrix" appref="{1BEB9504-89B1-6D4A-8159-34AA6A650459}"/>
    <we:binding id="expenseBadDebtDisallowable" type="matrix" appref="{EF822C2B-C1C8-3D43-AB44-C78E086E52E4}"/>
    <we:binding id="expenseProfessionalFees" type="matrix" appref="{C259C177-F098-1843-9FDC-36D00D3D30E2}"/>
    <we:binding id="expenseProfessionalFeesDisallowable" type="matrix" appref="{CDA0CA65-9035-E644-B2E2-ABC703D8A7BA}"/>
    <we:binding id="expenseDepreciation" type="matrix" appref="{CE93306C-C7F9-734B-B071-3DC3A7FB8FB2}"/>
    <we:binding id="expenseDepreciationDisallowable" type="matrix" appref="{E840E5BF-8FE3-584A-B921-7A7843064A30}"/>
    <we:binding id="expenseOther" type="matrix" appref="{8338ACA6-D8D8-9048-8B1C-B22FF41A69CC}"/>
    <we:binding id="expenseOtherDisallowable" type="matrix" appref="{E9CC2802-4279-6441-919B-F35E7BB7F39A}"/>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Acc'!C4&lt;30000)," ",'Profit &amp; Loss Acc'!C6+'Profit &amp; Loss Acc'!C7)</f>
        <v xml:space="preserve"> </v>
      </c>
      <c r="E46" s="394"/>
      <c r="F46" s="395"/>
      <c r="G46" s="235" t="s">
        <v>144</v>
      </c>
      <c r="H46" s="236">
        <v>0</v>
      </c>
      <c r="I46" s="236">
        <v>0</v>
      </c>
      <c r="J46" s="210"/>
      <c r="K46" s="210"/>
      <c r="L46" s="210"/>
      <c r="M46" s="210"/>
      <c r="N46" s="234" t="s">
        <v>50</v>
      </c>
      <c r="O46" s="393" t="str">
        <f>IF(('Profit &amp; Loss Acc'!C4&lt;30000),"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Acc'!C4&lt;30000)," ",'Profit &amp; Loss Acc'!C15+'Profit &amp; Loss Acc'!C16)</f>
        <v xml:space="preserve"> </v>
      </c>
      <c r="E51" s="394"/>
      <c r="F51" s="395"/>
      <c r="G51" s="235" t="s">
        <v>144</v>
      </c>
      <c r="H51" s="236">
        <v>0</v>
      </c>
      <c r="I51" s="236">
        <v>0</v>
      </c>
      <c r="J51" s="210"/>
      <c r="K51" s="210"/>
      <c r="L51" s="210"/>
      <c r="M51" s="210"/>
      <c r="N51" s="234" t="s">
        <v>50</v>
      </c>
      <c r="O51" s="393" t="str">
        <f>IF(('Profit &amp; Loss Acc'!C4&lt;30000),"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Acc'!C4&lt;30000)," ",'Profit &amp; Loss Acc'!C11)</f>
        <v xml:space="preserve"> </v>
      </c>
      <c r="E55" s="394"/>
      <c r="F55" s="395"/>
      <c r="G55" s="235" t="s">
        <v>144</v>
      </c>
      <c r="H55" s="236">
        <v>0</v>
      </c>
      <c r="I55" s="236">
        <v>0</v>
      </c>
      <c r="J55" s="210"/>
      <c r="K55" s="210"/>
      <c r="L55" s="210"/>
      <c r="M55" s="210"/>
      <c r="N55" s="234" t="s">
        <v>50</v>
      </c>
      <c r="O55" s="393" t="str">
        <f>IF(('Profit &amp; Loss Acc'!C4&lt;30000),"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Acc'!C4&lt;30000)," ",'Profit &amp; Loss Acc'!C12)</f>
        <v xml:space="preserve"> </v>
      </c>
      <c r="E60" s="394"/>
      <c r="F60" s="395"/>
      <c r="G60" s="235" t="s">
        <v>144</v>
      </c>
      <c r="H60" s="236">
        <v>0</v>
      </c>
      <c r="I60" s="236">
        <v>0</v>
      </c>
      <c r="J60" s="210"/>
      <c r="K60" s="210"/>
      <c r="L60" s="210"/>
      <c r="M60" s="210"/>
      <c r="N60" s="234" t="s">
        <v>50</v>
      </c>
      <c r="O60" s="393" t="str">
        <f>IF(('Profit &amp; Loss Acc'!C4&lt;30000),"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Acc'!C4&lt;30000),"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292</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IF((E5&gt;0),Admin!N$4,0)</f>
        <v>0</v>
      </c>
      <c r="F6" s="48"/>
      <c r="G6" s="51"/>
    </row>
    <row r="7" spans="1:11" x14ac:dyDescent="0.15">
      <c r="A7" s="45"/>
      <c r="B7" s="451" t="s">
        <v>82</v>
      </c>
      <c r="C7" s="451"/>
      <c r="D7" s="452"/>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43890</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43921</v>
      </c>
      <c r="C3" s="23"/>
      <c r="D3" s="23"/>
      <c r="E3" s="23"/>
      <c r="F3" s="23"/>
      <c r="G3" s="29"/>
      <c r="H3" s="23"/>
      <c r="I3" s="23"/>
      <c r="J3" s="30"/>
      <c r="K3" s="30"/>
      <c r="L3" s="25"/>
      <c r="M3" s="23"/>
      <c r="N3" s="23"/>
      <c r="O3" s="23"/>
    </row>
    <row r="4" spans="1:15" ht="12" customHeight="1" thickBot="1" x14ac:dyDescent="0.2">
      <c r="A4" s="23"/>
      <c r="B4" s="31">
        <v>43927</v>
      </c>
      <c r="C4" s="23"/>
      <c r="D4" s="522" t="s">
        <v>199</v>
      </c>
      <c r="E4" s="522"/>
      <c r="F4" s="522"/>
      <c r="G4" s="32">
        <v>1</v>
      </c>
      <c r="H4" s="23"/>
      <c r="I4" s="522" t="s">
        <v>49</v>
      </c>
      <c r="J4" s="522"/>
      <c r="K4" s="522"/>
      <c r="L4" s="522"/>
      <c r="M4" s="522"/>
      <c r="N4" s="33">
        <v>12500</v>
      </c>
      <c r="O4" s="29" t="s">
        <v>50</v>
      </c>
    </row>
    <row r="5" spans="1:15" ht="12" customHeight="1" x14ac:dyDescent="0.15">
      <c r="A5" s="23"/>
      <c r="B5" s="27">
        <v>43951</v>
      </c>
      <c r="C5" s="23"/>
      <c r="D5" s="522" t="s">
        <v>51</v>
      </c>
      <c r="E5" s="522"/>
      <c r="F5" s="522"/>
      <c r="G5" s="32">
        <v>0.18</v>
      </c>
      <c r="H5" s="23"/>
      <c r="I5" s="23"/>
      <c r="J5" s="23"/>
      <c r="K5" s="23"/>
      <c r="L5" s="23"/>
      <c r="M5" s="23"/>
      <c r="N5" s="29"/>
      <c r="O5" s="29"/>
    </row>
    <row r="6" spans="1:15" ht="12" customHeight="1" x14ac:dyDescent="0.15">
      <c r="A6" s="23"/>
      <c r="B6" s="27">
        <v>43982</v>
      </c>
      <c r="C6" s="23"/>
      <c r="D6" s="23"/>
      <c r="E6" s="23"/>
      <c r="F6" s="23"/>
      <c r="G6" s="29"/>
      <c r="H6" s="23"/>
      <c r="I6" s="23" t="s">
        <v>119</v>
      </c>
      <c r="J6" s="23"/>
      <c r="K6" s="23"/>
      <c r="L6" s="23"/>
      <c r="M6" s="23"/>
      <c r="N6" s="32">
        <v>0</v>
      </c>
      <c r="O6" s="29" t="s">
        <v>53</v>
      </c>
    </row>
    <row r="7" spans="1:15" ht="12" customHeight="1" x14ac:dyDescent="0.15">
      <c r="A7" s="23"/>
      <c r="B7" s="27">
        <v>44012</v>
      </c>
      <c r="C7" s="23"/>
      <c r="D7" s="522" t="s">
        <v>54</v>
      </c>
      <c r="E7" s="522"/>
      <c r="F7" s="522"/>
      <c r="G7" s="29"/>
      <c r="H7" s="23"/>
      <c r="I7" s="522" t="s">
        <v>52</v>
      </c>
      <c r="J7" s="522"/>
      <c r="K7" s="522"/>
      <c r="L7" s="522"/>
      <c r="M7" s="522"/>
      <c r="N7" s="32">
        <v>0.2</v>
      </c>
      <c r="O7" s="29" t="s">
        <v>53</v>
      </c>
    </row>
    <row r="8" spans="1:15" ht="12" customHeight="1" x14ac:dyDescent="0.15">
      <c r="A8" s="23"/>
      <c r="B8" s="27">
        <v>44043</v>
      </c>
      <c r="C8" s="23"/>
      <c r="D8" s="23" t="s">
        <v>56</v>
      </c>
      <c r="E8" s="34">
        <v>12000</v>
      </c>
      <c r="F8" s="23" t="s">
        <v>57</v>
      </c>
      <c r="G8" s="34">
        <v>3000</v>
      </c>
      <c r="H8" s="23"/>
      <c r="I8" s="522" t="s">
        <v>55</v>
      </c>
      <c r="J8" s="522"/>
      <c r="K8" s="522"/>
      <c r="L8" s="522"/>
      <c r="M8" s="522"/>
      <c r="N8" s="32">
        <v>0.4</v>
      </c>
      <c r="O8" s="29" t="s">
        <v>53</v>
      </c>
    </row>
    <row r="9" spans="1:15" ht="12" customHeight="1" x14ac:dyDescent="0.15">
      <c r="A9" s="23"/>
      <c r="B9" s="27">
        <v>44074</v>
      </c>
      <c r="C9" s="23"/>
      <c r="D9" s="23"/>
      <c r="E9" s="29"/>
      <c r="F9" s="23"/>
      <c r="G9" s="29"/>
      <c r="H9" s="23"/>
      <c r="I9" s="23"/>
      <c r="J9" s="23"/>
      <c r="K9" s="23"/>
      <c r="L9" s="23"/>
      <c r="M9" s="23"/>
      <c r="N9" s="29"/>
      <c r="O9" s="29"/>
    </row>
    <row r="10" spans="1:15" ht="12" customHeight="1" x14ac:dyDescent="0.15">
      <c r="A10" s="23"/>
      <c r="B10" s="27">
        <v>44104</v>
      </c>
      <c r="C10" s="23"/>
      <c r="D10" s="23"/>
      <c r="E10" s="29"/>
      <c r="F10" s="23"/>
      <c r="G10" s="29"/>
      <c r="H10" s="23"/>
      <c r="I10" s="522" t="s">
        <v>58</v>
      </c>
      <c r="J10" s="523"/>
      <c r="K10" s="523"/>
      <c r="L10" s="35" t="s">
        <v>59</v>
      </c>
      <c r="M10" s="35" t="s">
        <v>60</v>
      </c>
      <c r="N10" s="36" t="s">
        <v>61</v>
      </c>
      <c r="O10" s="29"/>
    </row>
    <row r="11" spans="1:15" ht="12" customHeight="1" x14ac:dyDescent="0.15">
      <c r="A11" s="23"/>
      <c r="B11" s="27">
        <v>44135</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44165</v>
      </c>
      <c r="C12" s="23"/>
      <c r="D12" s="23"/>
      <c r="E12" s="23"/>
      <c r="F12" s="23"/>
      <c r="G12" s="29"/>
      <c r="H12" s="23"/>
      <c r="I12" s="23" t="s">
        <v>63</v>
      </c>
      <c r="J12" s="23"/>
      <c r="K12" s="37">
        <f t="shared" ref="K12:K13" si="0">N7</f>
        <v>0.2</v>
      </c>
      <c r="L12" s="29">
        <v>0</v>
      </c>
      <c r="M12" s="29">
        <v>37500</v>
      </c>
      <c r="N12" s="34">
        <v>0</v>
      </c>
      <c r="O12" s="29"/>
    </row>
    <row r="13" spans="1:15" ht="12" customHeight="1" x14ac:dyDescent="0.15">
      <c r="A13" s="23"/>
      <c r="B13" s="27">
        <v>44196</v>
      </c>
      <c r="C13" s="23"/>
      <c r="D13" s="522" t="s">
        <v>65</v>
      </c>
      <c r="E13" s="522"/>
      <c r="F13" s="522"/>
      <c r="G13" s="32">
        <v>0</v>
      </c>
      <c r="H13" s="23"/>
      <c r="I13" s="23" t="s">
        <v>64</v>
      </c>
      <c r="J13" s="23"/>
      <c r="K13" s="37">
        <f t="shared" si="0"/>
        <v>0.4</v>
      </c>
      <c r="L13" s="29">
        <v>37501</v>
      </c>
      <c r="M13" s="23"/>
      <c r="N13" s="34">
        <v>37501</v>
      </c>
      <c r="O13" s="29"/>
    </row>
    <row r="14" spans="1:15" ht="12" customHeight="1" x14ac:dyDescent="0.15">
      <c r="A14" s="23"/>
      <c r="B14" s="27">
        <v>44227</v>
      </c>
      <c r="C14" s="23"/>
      <c r="D14" s="522" t="s">
        <v>66</v>
      </c>
      <c r="E14" s="522"/>
      <c r="F14" s="522"/>
      <c r="G14" s="32">
        <v>0.1</v>
      </c>
      <c r="H14" s="23"/>
      <c r="I14" s="23"/>
      <c r="J14" s="23"/>
      <c r="K14" s="23"/>
      <c r="L14" s="23"/>
      <c r="M14" s="23"/>
      <c r="N14" s="23"/>
      <c r="O14" s="23"/>
    </row>
    <row r="15" spans="1:15" ht="12" customHeight="1" x14ac:dyDescent="0.15">
      <c r="A15" s="23"/>
      <c r="B15" s="27">
        <v>44255</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44286</v>
      </c>
      <c r="C16" s="23"/>
      <c r="D16" s="522" t="s">
        <v>69</v>
      </c>
      <c r="E16" s="522"/>
      <c r="F16" s="522"/>
      <c r="G16" s="32">
        <v>0.33</v>
      </c>
      <c r="H16" s="23"/>
      <c r="I16" s="23"/>
      <c r="J16" s="23"/>
      <c r="K16" s="23"/>
      <c r="L16" s="23"/>
      <c r="M16" s="23"/>
      <c r="N16" s="23"/>
      <c r="O16" s="23"/>
    </row>
    <row r="17" spans="1:15" ht="12" customHeight="1" thickBot="1" x14ac:dyDescent="0.2">
      <c r="A17" s="23"/>
      <c r="B17" s="31">
        <v>44291</v>
      </c>
      <c r="C17" s="23"/>
      <c r="D17" s="522" t="s">
        <v>71</v>
      </c>
      <c r="E17" s="522"/>
      <c r="F17" s="522"/>
      <c r="G17" s="32">
        <v>0.25</v>
      </c>
      <c r="H17" s="23"/>
      <c r="I17" s="522" t="s">
        <v>70</v>
      </c>
      <c r="J17" s="522"/>
      <c r="K17" s="522"/>
      <c r="L17" s="39">
        <v>3.05</v>
      </c>
      <c r="M17" s="23" t="s">
        <v>325</v>
      </c>
      <c r="N17" s="23"/>
      <c r="O17" s="23"/>
    </row>
    <row r="18" spans="1:15" ht="12" customHeight="1" x14ac:dyDescent="0.15">
      <c r="A18" s="23"/>
      <c r="B18" s="27">
        <v>44316</v>
      </c>
      <c r="C18" s="23"/>
      <c r="D18" s="23"/>
      <c r="E18" s="23"/>
      <c r="F18" s="23"/>
      <c r="G18" s="29"/>
      <c r="H18" s="23"/>
      <c r="I18" s="23"/>
      <c r="J18" s="23"/>
      <c r="K18" s="23"/>
      <c r="L18" s="23"/>
      <c r="M18" s="23"/>
      <c r="N18" s="23"/>
      <c r="O18" s="23"/>
    </row>
    <row r="19" spans="1:15" ht="12" customHeight="1" x14ac:dyDescent="0.15">
      <c r="A19" s="23"/>
      <c r="B19" s="27">
        <v>44347</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44377</v>
      </c>
      <c r="C20" s="23"/>
      <c r="D20" s="25"/>
      <c r="E20" s="25"/>
      <c r="F20" s="29"/>
      <c r="G20" s="29"/>
      <c r="H20" s="23"/>
      <c r="I20" s="528"/>
      <c r="J20" s="528"/>
      <c r="K20" s="528"/>
      <c r="L20" s="355">
        <v>0.09</v>
      </c>
      <c r="M20" s="527"/>
      <c r="N20" s="34">
        <v>9500</v>
      </c>
      <c r="O20" s="29" t="s">
        <v>50</v>
      </c>
    </row>
    <row r="21" spans="1:15" ht="12" customHeight="1" x14ac:dyDescent="0.15">
      <c r="A21" s="23"/>
      <c r="B21" s="27">
        <v>44592</v>
      </c>
      <c r="C21" s="23"/>
      <c r="D21" s="522" t="s">
        <v>76</v>
      </c>
      <c r="E21" s="522"/>
      <c r="F21" s="34">
        <v>10000</v>
      </c>
      <c r="G21" s="39">
        <v>0.45</v>
      </c>
      <c r="H21" s="23"/>
      <c r="I21" s="40"/>
      <c r="J21" s="40"/>
      <c r="K21" s="40"/>
      <c r="L21" s="37"/>
      <c r="M21" s="23"/>
      <c r="N21" s="23"/>
      <c r="O21" s="23"/>
    </row>
    <row r="22" spans="1:15" ht="12" customHeight="1" thickBot="1" x14ac:dyDescent="0.2">
      <c r="A22" s="23"/>
      <c r="B22" s="27">
        <v>44773</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2020-21</t>
        </is>
      </c>
      <c r="C23" s="23"/>
      <c r="D23" s="23"/>
      <c r="E23" s="23"/>
      <c r="F23" s="29"/>
      <c r="G23" s="41"/>
      <c r="H23" s="23"/>
      <c r="I23" s="528"/>
      <c r="J23" s="528"/>
      <c r="K23" s="528"/>
      <c r="L23" s="355">
        <v>0.02</v>
      </c>
      <c r="M23" s="527"/>
      <c r="N23" s="34">
        <v>50000</v>
      </c>
      <c r="O23" s="29" t="s">
        <v>50</v>
      </c>
    </row>
    <row r="24" spans="1:15" ht="12" customHeight="1" thickBot="1" x14ac:dyDescent="0.2">
      <c r="A24" s="23"/>
      <c r="B24" s="31" t="inlineStr">
        <is>
          <t>2021-22</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85000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