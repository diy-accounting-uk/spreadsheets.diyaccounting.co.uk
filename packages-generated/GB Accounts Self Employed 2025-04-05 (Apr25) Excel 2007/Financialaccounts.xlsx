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<sst xmlns="http://schemas.openxmlformats.org/spreadsheetml/2006/main" count="819" uniqueCount="439">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</sst>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Account'!B9&gt;30000,'Profit &amp; Loss Account'!B17,"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Account'!B9&gt;30000,'Profit &amp; Loss Account'!B28,"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Account'!B9&gt;30000,'Profit &amp; Loss Account'!B25+'Profit &amp; Loss Account'!B26,"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Account'!B9&gt;30000,'Profit &amp; Loss Account'!B30+'Profit &amp; Loss Account'!B31,"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Account'!B9&gt;30000,'Profit &amp; Loss Account'!B21,"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Account'!B9&gt;30000,'Profit &amp; Loss Account'!B24,"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Account'!B9&gt;30000,'Profit &amp; Loss Account'!B22,"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Account'!B9&gt;30000,'Profit &amp; Loss Account'!B27+'Profit &amp; Loss Account'!B29+'Profit &amp; Loss Account'!B32+'Profit &amp; Loss Account'!B33,"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Account'!B9&gt;30000,'Profit &amp; Loss Account'!B23,"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Account'!B35-'Profit &amp; Loss Account'!B34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IF(([1]Schedule!$R$1+[1]Schedule!$Y$1)&gt;0,[1]Schedule!$R$1+[1]Schedule!$Y$1,0)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70" t="str">
        <f>Admin!G2</f>
        <v>2025-26</v>
      </c>
      <c r="S116" s="371"/>
      <c r="T116" s="371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s">
        <v>192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/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/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/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/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/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/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/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/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/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/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/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/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/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'Profit &amp; Loss Account'!B34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s">
        <v>219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s">
        <v>352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s">
        <v>220</v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79">
        <f>Admin!G4</f>
        <v>1</v>
      </c>
      <c r="I136" s="380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>
        <f>IF(([1]Schedule!$R$1+[1]Schedule!$S$1)&lt;1000,[1]Schedule!$S$1,0)</f>
        <v>0</v>
      </c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79">
        <f>Admin!G5</f>
        <v>0.18</v>
      </c>
      <c r="H141" s="381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[1]Schedule!$R$1-D152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[1]Schedule!$Y$1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79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/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D139+D144+D147+D152+D156+D160+O139+O144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>
        <f>SUM([1]Schedule!$R$38:$R$42)+SUM([1]Schedule!$R$91:$R$95)</f>
        <v>0</v>
      </c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/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s">
        <v>234</v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s">
        <v>360</v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O149+D179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O122+O154+O160+D169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s">
        <v>241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s">
        <v>242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s">
        <v>243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2"/>
      <c r="D187" s="383"/>
      <c r="E187" s="383"/>
      <c r="F187" s="384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5"/>
      <c r="E188" s="385"/>
      <c r="F188" s="385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2"/>
      <c r="D190" s="383"/>
      <c r="E190" s="383"/>
      <c r="F190" s="384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2025-26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/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56"/>
      <c r="E206" s="357"/>
      <c r="F206" s="358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s">
        <v>261</v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s">
        <v>262</v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2025-26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O179+E197-D201+D210+P190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s">
        <v>270</v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s">
        <v>274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s">
        <v>382</v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s">
        <v>295</v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s">
        <v>296</v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Admin!N4</f>
        <v>12570</v>
      </c>
      <c r="K280" s="366" t="s">
        <v>297</v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s">
        <v>383</v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70" t="str">
        <f>Admin!G2</f>
        <v>2025-26</v>
      </c>
      <c r="H288" s="371"/>
      <c r="I288" s="371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406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406</v>
      </c>
      <c r="I44" s="298"/>
    </row>
    <row r="45" spans="1:9" x14ac:dyDescent="0.15">
      <c r="A45" s="298"/>
      <c r="B45" s="298" t="s">
        <v>411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406</v>
      </c>
      <c r="I49" s="298"/>
    </row>
    <row r="50" spans="1:9" x14ac:dyDescent="0.15">
      <c r="A50" s="298"/>
      <c r="B50" s="298" t="s">
        <v>407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45351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45382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45388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45412</v>
      </c>
      <c r="C5" s="147"/>
      <c r="D5" s="450" t="s">
        <v>104</v>
      </c>
      <c r="E5" s="450"/>
      <c r="F5" s="450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45443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45473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45504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45535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45565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45596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45626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45657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45688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45716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45747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0</v>
      </c>
      <c r="M16" s="147" t="s">
        <v>436</v>
      </c>
      <c r="N16" s="147"/>
      <c r="O16" s="147"/>
    </row>
    <row r="17" spans="1:15" ht="12" customHeight="1" thickBot="1" x14ac:dyDescent="0.2">
      <c r="A17" s="147"/>
      <c r="B17" s="175">
        <v>45752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45777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45808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45838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0.06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46053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46234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2024-25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2025-26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