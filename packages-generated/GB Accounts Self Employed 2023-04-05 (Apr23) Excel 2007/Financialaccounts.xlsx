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<sst xmlns="http://schemas.openxmlformats.org/spreadsheetml/2006/main" count="819" uniqueCount="439">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</sst>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IF((E5&gt;0),Admin!N$4,0)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ht="14" thickBot="1" x14ac:dyDescent="0.2">
      <c r="A9" s="96"/>
      <c r="B9" s="108" t="s">
        <v>128</v>
      </c>
      <c r="C9" s="108">
        <f>Admin!N$12</f>
        <v>37701</v>
      </c>
      <c r="D9" s="144">
        <f>Admin!N$7</f>
        <v>0.4</v>
      </c>
      <c r="E9" s="99">
        <f>IF((E7&gt;C9),((E7-C9)*D9),0)</f>
        <v>0</v>
      </c>
      <c r="F9" s="122"/>
      <c r="G9" s="120"/>
      <c r="M9" s="293"/>
    </row>
    <row r="10" spans="1:13" ht="14" thickBot="1" x14ac:dyDescent="0.2">
      <c r="A10" s="96"/>
      <c r="B10" s="114" t="s">
        <v>101</v>
      </c>
      <c r="C10" s="139"/>
      <c r="D10" s="136"/>
      <c r="E10" s="292">
        <f>SUM(E8:E9)</f>
        <v>0</v>
      </c>
      <c r="F10" s="122"/>
      <c r="G10" s="120"/>
      <c r="M10" s="293"/>
    </row>
    <row r="11" spans="1:13" x14ac:dyDescent="0.15">
      <c r="A11" s="96"/>
      <c r="B11" s="108" t="s">
        <v>4</v>
      </c>
      <c r="C11" s="108"/>
      <c r="D11" s="101"/>
      <c r="E11" s="99">
        <f>-[2]Mar!$X$1</f>
        <v>0</v>
      </c>
      <c r="F11" s="123"/>
      <c r="G11" s="121"/>
      <c r="M11" s="293"/>
    </row>
    <row r="12" spans="1:13" x14ac:dyDescent="0.15">
      <c r="A12" s="96"/>
      <c r="B12" s="108"/>
      <c r="C12" s="108"/>
      <c r="D12" s="101"/>
      <c r="E12" s="99"/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SUM(E10:E17)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147"/>
      <c r="J5" s="147"/>
      <c r="K5" s="147"/>
      <c r="L5" s="147"/>
      <c r="M5" s="147"/>
      <c r="N5" s="146"/>
      <c r="O5" s="146"/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147"/>
      <c r="J8" s="147"/>
      <c r="K8" s="147"/>
      <c r="L8" s="147"/>
      <c r="M8" s="147"/>
      <c r="N8" s="146"/>
      <c r="O8" s="146"/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/>
      <c r="J13" s="147"/>
      <c r="K13" s="147"/>
      <c r="L13" s="147"/>
      <c r="M13" s="147"/>
      <c r="N13" s="147"/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6"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