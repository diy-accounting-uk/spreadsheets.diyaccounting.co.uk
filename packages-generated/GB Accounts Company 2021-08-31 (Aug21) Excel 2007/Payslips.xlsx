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Sep" sheetId="12" r:id="rId2"/>
    <sheet name="Oct" sheetId="11" r:id="rId3"/>
    <sheet name="Nov" sheetId="10" r:id="rId4"/>
    <sheet name="Dec" sheetId="9" r:id="rId5"/>
    <sheet name="Jan" sheetId="8" r:id="rId6"/>
    <sheet name="Feb" sheetId="17" r:id="rId7"/>
    <sheet name="Mar" sheetId="16" r:id="rId8"/>
    <sheet name="Apr" sheetId="15" r:id="rId9"/>
    <sheet name="May" sheetId="14" r:id="rId10"/>
    <sheet name="Jun" sheetId="13" r:id="rId11"/>
    <sheet name="Jul" sheetId="19" r:id="rId12"/>
    <sheet name="Aug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<sst xmlns="http://schemas.openxmlformats.org/spreadsheetml/2006/main" count="1383" uniqueCount="138">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</sst>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Apr!M39+1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IF(T$9="Y",Apr!H41,0)</f>
        <v>0</v>
      </c>
      <c r="I11" s="89">
        <f>IF(T$9="Y",Apr!I41,0)</f>
        <v>0</v>
      </c>
      <c r="J11" s="89">
        <f>IF(T$9="Y",Apr!J41,0)</f>
        <v>0</v>
      </c>
      <c r="K11" s="89">
        <f>IF(T$9="Y",Apr!K41,I11*J11)</f>
        <v>0</v>
      </c>
      <c r="L11" s="110">
        <f>IF(T$9="Y",Apr!L41,0)</f>
        <v>0</v>
      </c>
      <c r="M11" s="110" t="str">
        <f>IF(E11=" "," ",IF(T$9="Y",Apr!M41,IF((H11+K11+L11)&gt;0,H11+K11+L11,"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IF(Employee!H$34=E$9,Employee!D$34+SUM(M11)+Apr!V41,SUM(M11)+Apr!V41)</f>
        <v>0</v>
      </c>
      <c r="W11" s="49">
        <f>IF(Employee!H$34=E$9,Employee!D$35+SUM(N11)+Apr!W41,SUM(N11)+Apr!W41)</f>
        <v>0</v>
      </c>
      <c r="X11" s="49">
        <f>IF(O11=" ",Apr!X41,O11+Apr!X41)</f>
        <v>0</v>
      </c>
      <c r="Y11" s="49">
        <f>IF(P11=" ",Apr!Y41,P11+Apr!Y41)</f>
        <v>0</v>
      </c>
      <c r="Z11" s="49">
        <f>IF(Q11=" ",Apr!Z41,Q11+Apr!Z41)</f>
        <v>0</v>
      </c>
      <c r="AA11" s="49">
        <f>IF(R11=" ",Apr!AA41,R11+Apr!AA41)</f>
        <v>0</v>
      </c>
      <c r="AC11" s="49">
        <f>IF(T11=" ",Apr!AC41,T11+Apr!AC41)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IF(T$9="Y",Apr!H42,0)</f>
        <v>0</v>
      </c>
      <c r="I12" s="92">
        <f>IF(T$9="Y",Apr!I42,0)</f>
        <v>0</v>
      </c>
      <c r="J12" s="92">
        <f>IF(T$9="Y",Apr!J42,0)</f>
        <v>0</v>
      </c>
      <c r="K12" s="92">
        <f>IF(T$9="Y",Apr!K42,I12*J12)</f>
        <v>0</v>
      </c>
      <c r="L12" s="111">
        <f>IF(T$9="Y",Apr!L42,0)</f>
        <v>0</v>
      </c>
      <c r="M12" s="111" t="str">
        <f>IF(E12=" "," ",IF(T$9="Y",Apr!M42,IF((H12+K12+L12)&gt;0,H12+K12+L12,"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IF(Employee!H$60=E$9,Employee!D$60+SUM(M12)+Apr!V42,SUM(M12)+Apr!V42)</f>
        <v>0</v>
      </c>
      <c r="W12" s="49">
        <f>IF(Employee!H$60=E$9,Employee!D$61+SUM(N12)+Apr!W42,SUM(N12)+Apr!W42)</f>
        <v>0</v>
      </c>
      <c r="X12" s="49">
        <f>IF(O12=" ",Apr!X42,O12+Apr!X42)</f>
        <v>0</v>
      </c>
      <c r="Y12" s="49">
        <f>IF(P12=" ",Apr!Y42,P12+Apr!Y42)</f>
        <v>0</v>
      </c>
      <c r="Z12" s="49">
        <f>IF(Q12=" ",Apr!Z42,Q12+Apr!Z42)</f>
        <v>0</v>
      </c>
      <c r="AA12" s="49">
        <f>IF(R12=" ",Apr!AA42,R12+Apr!AA42)</f>
        <v>0</v>
      </c>
      <c r="AC12" s="49">
        <f>IF(T12=" ",Apr!AC42,T12+Apr!AC42)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IF(T$9="Y",Apr!H43,0)</f>
        <v>0</v>
      </c>
      <c r="I13" s="92">
        <f>IF(T$9="Y",Apr!I43,0)</f>
        <v>0</v>
      </c>
      <c r="J13" s="92">
        <f>IF(T$9="Y",Apr!J43,0)</f>
        <v>0</v>
      </c>
      <c r="K13" s="92">
        <f>IF(T$9="Y",Apr!K43,I13*J13)</f>
        <v>0</v>
      </c>
      <c r="L13" s="111">
        <f>IF(T$9="Y",Apr!L43,0)</f>
        <v>0</v>
      </c>
      <c r="M13" s="111" t="str">
        <f>IF(E13=" "," ",IF(T$9="Y",Apr!M43,IF((H13+K13+L13)&gt;0,H13+K13+L13,"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IF(Employee!H$86=E$9,Employee!D$86+SUM(M13)+Apr!V43,SUM(M13)+Apr!V43)</f>
        <v>0</v>
      </c>
      <c r="W13" s="49">
        <f>IF(Employee!H$86=E$9,Employee!D$87+SUM(N13)+Apr!W43,SUM(N13)+Apr!W43)</f>
        <v>0</v>
      </c>
      <c r="X13" s="49">
        <f>IF(O13=" ",Apr!X43,O13+Apr!X43)</f>
        <v>0</v>
      </c>
      <c r="Y13" s="49">
        <f>IF(P13=" ",Apr!Y43,P13+Apr!Y43)</f>
        <v>0</v>
      </c>
      <c r="Z13" s="49">
        <f>IF(Q13=" ",Apr!Z43,Q13+Apr!Z43)</f>
        <v>0</v>
      </c>
      <c r="AA13" s="49">
        <f>IF(R13=" ",Apr!AA43,R13+Apr!AA43)</f>
        <v>0</v>
      </c>
      <c r="AC13" s="49">
        <f>IF(T13=" ",Apr!AC43,T13+Apr!AC43)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IF(T$9="Y",Apr!H44,0)</f>
        <v>0</v>
      </c>
      <c r="I14" s="92">
        <f>IF(T$9="Y",Apr!I44,0)</f>
        <v>0</v>
      </c>
      <c r="J14" s="92">
        <f>IF(T$9="Y",Apr!J44,0)</f>
        <v>0</v>
      </c>
      <c r="K14" s="92">
        <f>IF(T$9="Y",Apr!K44,I14*J14)</f>
        <v>0</v>
      </c>
      <c r="L14" s="111">
        <f>IF(T$9="Y",Apr!L44,0)</f>
        <v>0</v>
      </c>
      <c r="M14" s="111" t="str">
        <f>IF(E14=" "," ",IF(T$9="Y",Apr!M44,IF((H14+K14+L14)&gt;0,H14+K14+L14,"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IF(Employee!H$112=E$9,Employee!D$112+SUM(M14)+Apr!V44,SUM(M14)+Apr!V44)</f>
        <v>0</v>
      </c>
      <c r="W14" s="49">
        <f>IF(Employee!H$112=E$9,Employee!D$113+SUM(N14)+Apr!W44,SUM(N14)+Apr!W44)</f>
        <v>0</v>
      </c>
      <c r="X14" s="49">
        <f>IF(O14=" ",Apr!X44,O14+Apr!X44)</f>
        <v>0</v>
      </c>
      <c r="Y14" s="49">
        <f>IF(P14=" ",Apr!Y44,P14+Apr!Y44)</f>
        <v>0</v>
      </c>
      <c r="Z14" s="49">
        <f>IF(Q14=" ",Apr!Z44,Q14+Apr!Z44)</f>
        <v>0</v>
      </c>
      <c r="AA14" s="49">
        <f>IF(R14=" ",Apr!AA44,R14+Apr!AA44)</f>
        <v>0</v>
      </c>
      <c r="AC14" s="49">
        <f>IF(T14=" ",Apr!AC44,T14+Apr!AC44)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IF(T$9="Y",Apr!H45,0)</f>
        <v>0</v>
      </c>
      <c r="I15" s="245">
        <f>IF(T$9="Y",Apr!I45,0)</f>
        <v>0</v>
      </c>
      <c r="J15" s="245">
        <f>IF(T$9="Y",Apr!J45,0)</f>
        <v>0</v>
      </c>
      <c r="K15" s="245">
        <f>IF(T$9="Y",Apr!K45,I15*J15)</f>
        <v>0</v>
      </c>
      <c r="L15" s="246">
        <f>IF(T$9="Y",Apr!L45,0)</f>
        <v>0</v>
      </c>
      <c r="M15" s="111" t="str">
        <f>IF(E15=" "," ",IF(T$9="Y",Apr!M45,IF((H15+K15+L15)&gt;0,H15+K15+L15,"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IF(Employee!H$138=E$9,Employee!D$138+SUM(M15)+Apr!V45,SUM(M15)+Apr!V45)</f>
        <v>0</v>
      </c>
      <c r="W15" s="49">
        <f>IF(Employee!H$138=E$9,Employee!D$139+SUM(N15)+Apr!W45,SUM(N15)+Apr!W45)</f>
        <v>0</v>
      </c>
      <c r="X15" s="49">
        <f>IF(O15=" ",Apr!X45,O15+Apr!X45)</f>
        <v>0</v>
      </c>
      <c r="Y15" s="49">
        <f>IF(P15=" ",Apr!Y45,P15+Apr!Y45)</f>
        <v>0</v>
      </c>
      <c r="Z15" s="49">
        <f>IF(Q15=" ",Apr!Z45,Q15+Apr!Z45)</f>
        <v>0</v>
      </c>
      <c r="AA15" s="49">
        <f>IF(R15=" ",Apr!AA45,R15+Apr!AA45)</f>
        <v>0</v>
      </c>
      <c r="AC15" s="49">
        <f>IF(T15=" ",Apr!AC45,T15+Apr!AC45)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IF(T$49="Y",Apr!H51,0)</f>
        <v>0</v>
      </c>
      <c r="I51" s="89">
        <f>IF(T$49="Y",Apr!I51,0)</f>
        <v>0</v>
      </c>
      <c r="J51" s="89">
        <f>IF(T$49="Y",Apr!J51,0)</f>
        <v>0</v>
      </c>
      <c r="K51" s="89">
        <f>IF(T$49="Y",Apr!K51,I51*J51)</f>
        <v>0</v>
      </c>
      <c r="L51" s="110">
        <f>IF(T$49="Y",Apr!L51,0)</f>
        <v>0</v>
      </c>
      <c r="M51" s="99" t="str">
        <f>IF(E51=" "," ",IF(T$49="Y",Apr!M51,IF((H51+K51+L51)&gt;0,H51+K51+L51,"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IF(Employee!H$35=E$49,Employee!D$34+SUM(M51)+Apr!V51,SUM(M51)+Apr!V51)</f>
        <v>0</v>
      </c>
      <c r="W51" s="49">
        <f>IF(Employee!H$35=E$49,Employee!D$35+SUM(N51)+Apr!W51,SUM(N51)+Apr!W51)</f>
        <v>0</v>
      </c>
      <c r="X51" s="49">
        <f>IF(O51=" ",Apr!X51,O51+Apr!X51)</f>
        <v>0</v>
      </c>
      <c r="Y51" s="49">
        <f>IF(P51=" ",Apr!Y51,P51+Apr!Y51)</f>
        <v>0</v>
      </c>
      <c r="Z51" s="49">
        <f>IF(Q51=" ",Apr!Z51,Q51+Apr!Z51)</f>
        <v>0</v>
      </c>
      <c r="AA51" s="49">
        <f>IF(R51=" ",Apr!AA51,R51+Apr!AA51)</f>
        <v>0</v>
      </c>
      <c r="AC51" s="49">
        <f>IF(T51=" ",Apr!AC51,T51+Apr!AC51)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IF(T$49="Y",Apr!H52,0)</f>
        <v>0</v>
      </c>
      <c r="I52" s="92">
        <f>IF(T$49="Y",Apr!I52,0)</f>
        <v>0</v>
      </c>
      <c r="J52" s="92">
        <f>IF(T$49="Y",Apr!J52,0)</f>
        <v>0</v>
      </c>
      <c r="K52" s="92">
        <f>IF(T$49="Y",Apr!K52,I52*J52)</f>
        <v>0</v>
      </c>
      <c r="L52" s="111">
        <f>IF(T$49="Y",Apr!L52,0)</f>
        <v>0</v>
      </c>
      <c r="M52" s="100" t="str">
        <f>IF(E52=" "," ",IF(T$49="Y",Apr!M52,IF((H52+K52+L52)&gt;0,H52+K52+L52,"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IF(Employee!H$61=E$49,Employee!D$60+SUM(M52)+Apr!V52,SUM(M52)+Apr!V52)</f>
        <v>0</v>
      </c>
      <c r="W52" s="49">
        <f>IF(Employee!H$61=E$49,Employee!D$61+SUM(N52)+Apr!W52,SUM(N52)+Apr!W52)</f>
        <v>0</v>
      </c>
      <c r="X52" s="49">
        <f>IF(O52=" ",Apr!X52,O52+Apr!X52)</f>
        <v>0</v>
      </c>
      <c r="Y52" s="49">
        <f>IF(P52=" ",Apr!Y52,P52+Apr!Y52)</f>
        <v>0</v>
      </c>
      <c r="Z52" s="49">
        <f>IF(Q52=" ",Apr!Z52,Q52+Apr!Z52)</f>
        <v>0</v>
      </c>
      <c r="AA52" s="49">
        <f>IF(R52=" ",Apr!AA52,R52+Apr!AA52)</f>
        <v>0</v>
      </c>
      <c r="AC52" s="49">
        <f>IF(T52=" ",Apr!AC52,T52+Apr!AC52)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IF(T$49="Y",Apr!H53,0)</f>
        <v>0</v>
      </c>
      <c r="I53" s="92">
        <f>IF(T$49="Y",Apr!I53,0)</f>
        <v>0</v>
      </c>
      <c r="J53" s="92">
        <f>IF(T$49="Y",Apr!J53,0)</f>
        <v>0</v>
      </c>
      <c r="K53" s="92">
        <f>IF(T$49="Y",Apr!K53,I53*J53)</f>
        <v>0</v>
      </c>
      <c r="L53" s="111">
        <f>IF(T$49="Y",Apr!L53,0)</f>
        <v>0</v>
      </c>
      <c r="M53" s="100" t="str">
        <f>IF(E53=" "," ",IF(T$49="Y",Apr!M53,IF((H53+K53+L53)&gt;0,H53+K53+L53,"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IF(Employee!H$87=E$49,Employee!D$86+SUM(M53)+Apr!V53,SUM(M53)+Apr!V53)</f>
        <v>0</v>
      </c>
      <c r="W53" s="49">
        <f>IF(Employee!H$87=E$49,Employee!D$7+SUM(N53)+Apr!W53,SUM(N53)+Apr!W53)</f>
        <v>0</v>
      </c>
      <c r="X53" s="49">
        <f>IF(O53=" ",Apr!X53,O53+Apr!X53)</f>
        <v>0</v>
      </c>
      <c r="Y53" s="49">
        <f>IF(P53=" ",Apr!Y53,P53+Apr!Y53)</f>
        <v>0</v>
      </c>
      <c r="Z53" s="49">
        <f>IF(Q53=" ",Apr!Z53,Q53+Apr!Z53)</f>
        <v>0</v>
      </c>
      <c r="AA53" s="49">
        <f>IF(R53=" ",Apr!AA53,R53+Apr!AA53)</f>
        <v>0</v>
      </c>
      <c r="AC53" s="49">
        <f>IF(T53=" ",Apr!AC53,T53+Apr!AC53)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IF(T$49="Y",Apr!H54,0)</f>
        <v>0</v>
      </c>
      <c r="I54" s="92">
        <f>IF(T$49="Y",Apr!I54,0)</f>
        <v>0</v>
      </c>
      <c r="J54" s="92">
        <f>IF(T$49="Y",Apr!J54,0)</f>
        <v>0</v>
      </c>
      <c r="K54" s="92">
        <f>IF(T$49="Y",Apr!K54,I54*J54)</f>
        <v>0</v>
      </c>
      <c r="L54" s="111">
        <f>IF(T$49="Y",Apr!L54,0)</f>
        <v>0</v>
      </c>
      <c r="M54" s="100" t="str">
        <f>IF(E54=" "," ",IF(T$49="Y",Apr!M54,IF((H54+K54+L54)&gt;0,H54+K54+L54,"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IF(Employee!H$113=E$49,Employee!D$112+SUM(M54)+Apr!V54,SUM(M54)+Apr!V54)</f>
        <v>0</v>
      </c>
      <c r="W54" s="49">
        <f>IF(Employee!H$113=E$49,Employee!D$113+SUM(N54)+Apr!W54,SUM(N54)+Apr!W54)</f>
        <v>0</v>
      </c>
      <c r="X54" s="49">
        <f>IF(O54=" ",Apr!X54,O54+Apr!X54)</f>
        <v>0</v>
      </c>
      <c r="Y54" s="49">
        <f>IF(P54=" ",Apr!Y54,P54+Apr!Y54)</f>
        <v>0</v>
      </c>
      <c r="Z54" s="49">
        <f>IF(Q54=" ",Apr!Z54,Q54+Apr!Z54)</f>
        <v>0</v>
      </c>
      <c r="AA54" s="49">
        <f>IF(R54=" ",Apr!AA54,R54+Apr!AA54)</f>
        <v>0</v>
      </c>
      <c r="AC54" s="49">
        <f>IF(T54=" ",Apr!AC54,T54+Apr!AC54)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IF(T$49="Y",Apr!H55,0)</f>
        <v>0</v>
      </c>
      <c r="I55" s="245">
        <f>IF(T$49="Y",Apr!I55,0)</f>
        <v>0</v>
      </c>
      <c r="J55" s="245">
        <f>IF(T$49="Y",Apr!J55,0)</f>
        <v>0</v>
      </c>
      <c r="K55" s="245">
        <f>IF(T$49="Y",Apr!K55,I55*J55)</f>
        <v>0</v>
      </c>
      <c r="L55" s="246">
        <f>IF(T$49="Y",Apr!L55,0)</f>
        <v>0</v>
      </c>
      <c r="M55" s="100" t="str">
        <f>IF(E55=" "," ",IF(T$49="Y",Apr!M55,IF((H55+K55+L55)&gt;0,H55+K55+L55,"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IF(Employee!H$139=E$49,Employee!D$138+SUM(M55)+Apr!V55,SUM(M55)+Apr!V55)</f>
        <v>0</v>
      </c>
      <c r="W55" s="49">
        <f>IF(Employee!H$139=E$49,Employee!D$139+SUM(N55)+Apr!W55,SUM(N55)+Apr!W55)</f>
        <v>0</v>
      </c>
      <c r="X55" s="49">
        <f>IF(O55=" ",Apr!X55,O55+Apr!X55)</f>
        <v>0</v>
      </c>
      <c r="Y55" s="49">
        <f>IF(P55=" ",Apr!Y55,P55+Apr!Y55)</f>
        <v>0</v>
      </c>
      <c r="Z55" s="49">
        <f>IF(Q55=" ",Apr!Z55,Q55+Apr!Z55)</f>
        <v>0</v>
      </c>
      <c r="AA55" s="49">
        <f>IF(R55=" ",Apr!AA55,R55+Apr!AA55)</f>
        <v>0</v>
      </c>
      <c r="AC55" s="49">
        <f>IF(T55=" ",Apr!AC55,T55+Apr!AC55)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AD60+Apr!AD65</f>
        <v>0</v>
      </c>
      <c r="AE65" s="158">
        <f>AE60+Apr!AE65</f>
        <v>0</v>
      </c>
      <c r="AF65" s="158">
        <f>AF60+Apr!AF65</f>
        <v>0</v>
      </c>
      <c r="AG65" s="158">
        <f>AG60+Apr!AG65</f>
        <v>0</v>
      </c>
    </row>
    <row r="66" spans="6:33" ht="14" thickTop="1" x14ac:dyDescent="0.15"/>
    <row r="67" spans="6:33" x14ac:dyDescent="0.15">
      <c r="AD67" s="162"/>
      <c r="AE67" s="158">
        <f>AE62+Apr!AE67</f>
        <v>0</v>
      </c>
      <c r="AF67" s="158">
        <f>AF62+Apr!AF67</f>
        <v>0</v>
      </c>
      <c r="AG67" s="158">
        <f>AG62+Apr!AG67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May!M39+1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IF(T$59="Y",May!H51,0)</f>
        <v>0</v>
      </c>
      <c r="I61" s="89">
        <f>IF(T$59="Y",May!I51,0)</f>
        <v>0</v>
      </c>
      <c r="J61" s="89">
        <f>IF(T$59="Y",May!J51,0)</f>
        <v>0</v>
      </c>
      <c r="K61" s="89">
        <f>IF(T$59="Y",May!K51,I61*J61)</f>
        <v>0</v>
      </c>
      <c r="L61" s="110">
        <f>IF(T$59="Y",May!L51,0)</f>
        <v>0</v>
      </c>
      <c r="M61" s="99" t="str">
        <f>IF(E61=" "," ",IF(T$59="Y",May!M51,IF((H61+K61+L61)&gt;0,H61+K61+L61,"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IF(Employee!H$35=E$59,Employee!D$34+SUM(M61)+May!V51,SUM(M61)+May!V51)</f>
        <v>0</v>
      </c>
      <c r="W61" s="49">
        <f>IF(Employee!H$35=E$59,Employee!D$35+SUM(N61)+May!W51,SUM(N61)+May!W51)</f>
        <v>0</v>
      </c>
      <c r="X61" s="49">
        <f>IF(O61=" ",May!X51,O61+May!X51)</f>
        <v>0</v>
      </c>
      <c r="Y61" s="49">
        <f>IF(P61=" ",May!Y51,P61+May!Y51)</f>
        <v>0</v>
      </c>
      <c r="Z61" s="49">
        <f>IF(Q61=" ",May!Z51,Q61+May!Z51)</f>
        <v>0</v>
      </c>
      <c r="AA61" s="49">
        <f>IF(R61=" ",May!AA51,R61+May!AA51)</f>
        <v>0</v>
      </c>
      <c r="AC61" s="49">
        <f>IF(T61=" ",May!AC51,T61+May!AC51)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IF(T$59="Y",May!H52,0)</f>
        <v>0</v>
      </c>
      <c r="I62" s="92">
        <f>IF(T$59="Y",May!I52,0)</f>
        <v>0</v>
      </c>
      <c r="J62" s="92">
        <f>IF(T$59="Y",May!J52,0)</f>
        <v>0</v>
      </c>
      <c r="K62" s="92">
        <f>IF(T$59="Y",May!K52,I62*J62)</f>
        <v>0</v>
      </c>
      <c r="L62" s="111">
        <f>IF(T$59="Y",May!L52,0)</f>
        <v>0</v>
      </c>
      <c r="M62" s="100" t="str">
        <f>IF(E62=" "," ",IF(T$59="Y",May!M52,IF((H62+K62+L62)&gt;0,H62+K62+L62,"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IF(Employee!H$61=E$59,Employee!D$60+SUM(M62)+May!V52,SUM(M62)+May!V52)</f>
        <v>0</v>
      </c>
      <c r="W62" s="49">
        <f>IF(Employee!H$61=E$59,Employee!D$61+SUM(N62)+May!W52,SUM(N62)+May!W52)</f>
        <v>0</v>
      </c>
      <c r="X62" s="49">
        <f>IF(O62=" ",May!X52,O62+May!X52)</f>
        <v>0</v>
      </c>
      <c r="Y62" s="49">
        <f>IF(P62=" ",May!Y52,P62+May!Y52)</f>
        <v>0</v>
      </c>
      <c r="Z62" s="49">
        <f>IF(Q62=" ",May!Z52,Q62+May!Z52)</f>
        <v>0</v>
      </c>
      <c r="AA62" s="49">
        <f>IF(R62=" ",May!AA52,R62+May!AA52)</f>
        <v>0</v>
      </c>
      <c r="AC62" s="49">
        <f>IF(T62=" ",May!AC52,T62+May!AC52)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IF(T$59="Y",May!H53,0)</f>
        <v>0</v>
      </c>
      <c r="I63" s="92">
        <f>IF(T$59="Y",May!I53,0)</f>
        <v>0</v>
      </c>
      <c r="J63" s="92">
        <f>IF(T$59="Y",May!J53,0)</f>
        <v>0</v>
      </c>
      <c r="K63" s="92">
        <f>IF(T$59="Y",May!K53,I63*J63)</f>
        <v>0</v>
      </c>
      <c r="L63" s="111">
        <f>IF(T$59="Y",May!L53,0)</f>
        <v>0</v>
      </c>
      <c r="M63" s="100" t="str">
        <f>IF(E63=" "," ",IF(T$59="Y",May!M53,IF((H63+K63+L63)&gt;0,H63+K63+L63,"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IF(Employee!H$87=E$59,Employee!D$86+SUM(M63)+May!V53,SUM(M63)+May!V53)</f>
        <v>0</v>
      </c>
      <c r="W63" s="49">
        <f>IF(Employee!H$87=E$59,Employee!D$87+SUM(N63)+May!W53,SUM(N63)+May!W53)</f>
        <v>0</v>
      </c>
      <c r="X63" s="49">
        <f>IF(O63=" ",May!X53,O63+May!X53)</f>
        <v>0</v>
      </c>
      <c r="Y63" s="49">
        <f>IF(P63=" ",May!Y53,P63+May!Y53)</f>
        <v>0</v>
      </c>
      <c r="Z63" s="49">
        <f>IF(Q63=" ",May!Z53,Q63+May!Z53)</f>
        <v>0</v>
      </c>
      <c r="AA63" s="49">
        <f>IF(R63=" ",May!AA53,R63+May!AA53)</f>
        <v>0</v>
      </c>
      <c r="AC63" s="49">
        <f>IF(T63=" ",May!AC53,T63+May!AC53)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IF(T$59="Y",May!H54,0)</f>
        <v>0</v>
      </c>
      <c r="I64" s="92">
        <f>IF(T$59="Y",May!I54,0)</f>
        <v>0</v>
      </c>
      <c r="J64" s="92">
        <f>IF(T$59="Y",May!J54,0)</f>
        <v>0</v>
      </c>
      <c r="K64" s="92">
        <f>IF(T$59="Y",May!K54,I64*J64)</f>
        <v>0</v>
      </c>
      <c r="L64" s="111">
        <f>IF(T$59="Y",May!L54,0)</f>
        <v>0</v>
      </c>
      <c r="M64" s="100" t="str">
        <f>IF(E64=" "," ",IF(T$59="Y",May!M54,IF((H64+K64+L64)&gt;0,H64+K64+L64,"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IF(Employee!H$113=E$59,Employee!D$112+SUM(M64)+May!V54,SUM(M64)+May!V54)</f>
        <v>0</v>
      </c>
      <c r="W64" s="49">
        <f>IF(Employee!H$113=E$59,Employee!D$113+SUM(N64)+May!W54,SUM(N64)+May!W54)</f>
        <v>0</v>
      </c>
      <c r="X64" s="49">
        <f>IF(O64=" ",May!X54,O64+May!X54)</f>
        <v>0</v>
      </c>
      <c r="Y64" s="49">
        <f>IF(P64=" ",May!Y54,P64+May!Y54)</f>
        <v>0</v>
      </c>
      <c r="Z64" s="49">
        <f>IF(Q64=" ",May!Z54,Q64+May!Z54)</f>
        <v>0</v>
      </c>
      <c r="AA64" s="49">
        <f>IF(R64=" ",May!AA54,R64+May!AA54)</f>
        <v>0</v>
      </c>
      <c r="AC64" s="49">
        <f>IF(T64=" ",May!AC54,T64+May!AC54)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IF(T$59="Y",May!H55,0)</f>
        <v>0</v>
      </c>
      <c r="I65" s="245">
        <f>IF(T$59="Y",May!I55,0)</f>
        <v>0</v>
      </c>
      <c r="J65" s="245">
        <f>IF(T$59="Y",May!J55,0)</f>
        <v>0</v>
      </c>
      <c r="K65" s="245">
        <f>IF(T$59="Y",May!K55,I65*J65)</f>
        <v>0</v>
      </c>
      <c r="L65" s="246">
        <f>IF(T$59="Y",May!L55,0)</f>
        <v>0</v>
      </c>
      <c r="M65" s="100" t="str">
        <f>IF(E65=" "," ",IF(T$59="Y",May!M55,IF((H65+K65+L65)&gt;0,H65+K65+L65,"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IF(Employee!H$139=E$59,Employee!D$138+SUM(M65)+May!V55,SUM(M65)+May!V55)</f>
        <v>0</v>
      </c>
      <c r="W65" s="49">
        <f>IF(Employee!H$139=E$59,Employee!D$139+SUM(N65)+May!W55,SUM(N65)+May!W55)</f>
        <v>0</v>
      </c>
      <c r="X65" s="49">
        <f>IF(O65=" ",May!X55,O65+May!X55)</f>
        <v>0</v>
      </c>
      <c r="Y65" s="49">
        <f>IF(P65=" ",May!Y55,P65+May!Y55)</f>
        <v>0</v>
      </c>
      <c r="Z65" s="49">
        <f>IF(Q65=" ",May!Z55,Q65+May!Z55)</f>
        <v>0</v>
      </c>
      <c r="AA65" s="49">
        <f>IF(R65=" ",May!AA55,R65+May!AA55)</f>
        <v>0</v>
      </c>
      <c r="AC65" s="49">
        <f>IF(T65=" ",May!AC55,T65+May!AC55)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AD70+May!AD65</f>
        <v>0</v>
      </c>
      <c r="AE75" s="158">
        <f>AE70+May!AE65</f>
        <v>0</v>
      </c>
      <c r="AF75" s="158">
        <f>AF70+May!AF65</f>
        <v>0</v>
      </c>
      <c r="AG75" s="158">
        <f>AG70+May!AG65</f>
        <v>0</v>
      </c>
    </row>
    <row r="76" spans="1:34" ht="14" thickTop="1" x14ac:dyDescent="0.15"/>
    <row r="77" spans="1:34" x14ac:dyDescent="0.15">
      <c r="AD77" s="162"/>
      <c r="AE77" s="158">
        <f>AE72+May!AE67</f>
        <v>0</v>
      </c>
      <c r="AF77" s="158">
        <f>AF72+May!AF67</f>
        <v>0</v>
      </c>
      <c r="AG77" s="158">
        <f>AG72+May!AG67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89">
        <f>IF(T$9="Y",Jun!L41,0)</f>
        <v>0</v>
      </c>
      <c r="M11" s="99" t="str">
        <f>IF(E11=" "," ",IF(T$9="Y",Jun!M41,IF((H11+K11+L11)&gt;0,H11+K11+L11,"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IF(Employee!H$34=E$9,Employee!D$34+SUM(M11)+Jun!V51,SUM(M11)+Jun!V51)</f>
        <v>0</v>
      </c>
      <c r="W11" s="49">
        <f>IF(Employee!H$34=E$9,Employee!D$35+SUM(N11)+Jun!W51,SUM(N11)+Jun!W51)</f>
        <v>0</v>
      </c>
      <c r="X11" s="49">
        <f>IF(O11=" ",Jun!X51,O11+Jun!X51)</f>
        <v>0</v>
      </c>
      <c r="Y11" s="49">
        <f>IF(P11=" ",Jun!Y51,P11+Jun!Y51)</f>
        <v>0</v>
      </c>
      <c r="Z11" s="49">
        <f>IF(Q11=" ",Jun!Z51,Q11+Jun!Z51)</f>
        <v>0</v>
      </c>
      <c r="AA11" s="49">
        <f>IF(R11=" ",Jun!AA51,R11+Jun!AA51)</f>
        <v>0</v>
      </c>
      <c r="AC11" s="49">
        <f>IF(T11=" ",Jun!AC51,T11+Jun!AC51)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92">
        <f>IF(T$9="Y",Jun!L42,0)</f>
        <v>0</v>
      </c>
      <c r="M12" s="100" t="str">
        <f>IF(E12=" "," ",IF(T$9="Y",Jun!M42,IF((H12+K12+L12)&gt;0,H12+K12+L12,"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IF(Employee!H$60=E$9,Employee!D$60+SUM(M12)+Jun!V52,SUM(M12)+Jun!V52)</f>
        <v>0</v>
      </c>
      <c r="W12" s="49">
        <f>IF(Employee!H$60=E$9,Employee!D$61+SUM(N12)+Jun!W52,SUM(N12)+Jun!W52)</f>
        <v>0</v>
      </c>
      <c r="X12" s="49">
        <f>IF(O12=" ",Jun!X52,O12+Jun!X52)</f>
        <v>0</v>
      </c>
      <c r="Y12" s="49">
        <f>IF(P12=" ",Jun!Y52,P12+Jun!Y52)</f>
        <v>0</v>
      </c>
      <c r="Z12" s="49">
        <f>IF(Q12=" ",Jun!Z52,Q12+Jun!Z52)</f>
        <v>0</v>
      </c>
      <c r="AA12" s="49">
        <f>IF(R12=" ",Jun!AA52,R12+Jun!AA52)</f>
        <v>0</v>
      </c>
      <c r="AC12" s="49">
        <f>IF(T12=" ",Jun!AC52,T12+Jun!AC52)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92">
        <f>IF(T$9="Y",Jun!L43,0)</f>
        <v>0</v>
      </c>
      <c r="M13" s="100" t="str">
        <f>IF(E13=" "," ",IF(T$9="Y",Jun!M43,IF((H13+K13+L13)&gt;0,H13+K13+L13,"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IF(Employee!H$86=E$9,Employee!D$86+SUM(M13)+Jun!V53,SUM(M13)+Jun!V53)</f>
        <v>0</v>
      </c>
      <c r="W13" s="49">
        <f>IF(Employee!H$86=E$9,Employee!D$87+SUM(N13)+Jun!W53,SUM(N13)+Jun!W53)</f>
        <v>0</v>
      </c>
      <c r="X13" s="49">
        <f>IF(O13=" ",Jun!X53,O13+Jun!X53)</f>
        <v>0</v>
      </c>
      <c r="Y13" s="49">
        <f>IF(P13=" ",Jun!Y53,P13+Jun!Y53)</f>
        <v>0</v>
      </c>
      <c r="Z13" s="49">
        <f>IF(Q13=" ",Jun!Z53,Q13+Jun!Z53)</f>
        <v>0</v>
      </c>
      <c r="AA13" s="49">
        <f>IF(R13=" ",Jun!AA53,R13+Jun!AA53)</f>
        <v>0</v>
      </c>
      <c r="AC13" s="49">
        <f>IF(T13=" ",Jun!AC53,T13+Jun!AC53)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92">
        <f>IF(T$9="Y",Jun!L44,0)</f>
        <v>0</v>
      </c>
      <c r="M14" s="100" t="str">
        <f>IF(E14=" "," ",IF(T$9="Y",Jun!M44,IF((H14+K14+L14)&gt;0,H14+K14+L14,"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IF(Employee!H$112=E$9,Employee!D$112+SUM(M14)+Jun!V54,SUM(M14)+Jun!V54)</f>
        <v>0</v>
      </c>
      <c r="W14" s="49">
        <f>IF(Employee!H$112=E$9,Employee!D$113+SUM(N14)+Jun!W54,SUM(N14)+Jun!W54)</f>
        <v>0</v>
      </c>
      <c r="X14" s="49">
        <f>IF(O14=" ",Jun!X54,O14+Jun!X54)</f>
        <v>0</v>
      </c>
      <c r="Y14" s="49">
        <f>IF(P14=" ",Jun!Y54,P14+Jun!Y54)</f>
        <v>0</v>
      </c>
      <c r="Z14" s="49">
        <f>IF(Q14=" ",Jun!Z54,Q14+Jun!Z54)</f>
        <v>0</v>
      </c>
      <c r="AA14" s="49">
        <f>IF(R14=" ",Jun!AA54,R14+Jun!AA54)</f>
        <v>0</v>
      </c>
      <c r="AC14" s="49">
        <f>IF(T14=" ",Jun!AC54,T14+Jun!AC54)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5">
        <f>IF(T$9="Y",Jun!L45,0)</f>
        <v>0</v>
      </c>
      <c r="M15" s="247" t="str">
        <f>IF(E15=" "," ",IF(T$9="Y",Jun!M45,IF((H15+K15+L15)&gt;0,H15+K15+L15,"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IF(Employee!H$138=E$9,Employee!D$138+SUM(M15)+Jun!V55,SUM(M15)+Jun!V55)</f>
        <v>0</v>
      </c>
      <c r="W15" s="49">
        <f>IF(Employee!H$138=E$9,Employee!D$139+SUM(N15)+Jun!W55,SUM(N15)+Jun!W55)</f>
        <v>0</v>
      </c>
      <c r="X15" s="49">
        <f>IF(O15=" ",Jun!X55,O15+Jun!X55)</f>
        <v>0</v>
      </c>
      <c r="Y15" s="49">
        <f>IF(P15=" ",Jun!Y55,P15+Jun!Y55)</f>
        <v>0</v>
      </c>
      <c r="Z15" s="49">
        <f>IF(Q15=" ",Jun!Z55,Q15+Jun!Z55)</f>
        <v>0</v>
      </c>
      <c r="AA15" s="49">
        <f>IF(R15=" ",Jun!AA55,R15+Jun!AA55)</f>
        <v>0</v>
      </c>
      <c r="AC15" s="49">
        <f>IF(T15=" ",Jun!AC55,T15+Jun!AC55)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IF(T$49="Y",Jun!H61,0)</f>
        <v>0</v>
      </c>
      <c r="I51" s="89">
        <f>IF(T$49="Y",Jun!I61,0)</f>
        <v>0</v>
      </c>
      <c r="J51" s="89">
        <f>IF(T$49="Y",Jun!J61,0)</f>
        <v>0</v>
      </c>
      <c r="K51" s="89">
        <f>IF(T$49="Y",Jun!K61,I51*J51)</f>
        <v>0</v>
      </c>
      <c r="L51" s="110">
        <f>IF(T$49="Y",Jun!L61,0)</f>
        <v>0</v>
      </c>
      <c r="M51" s="99" t="str">
        <f>IF(E51=" "," ",IF(T$49="Y",Jun!M61,IF((H51+K51+L51)&gt;0,H51+K51+L51,"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IF(Employee!H$35=E$49,Employee!D$34+SUM(M51)+Jun!V61,SUM(M51)+Jun!V61)</f>
        <v>0</v>
      </c>
      <c r="W51" s="49">
        <f>IF(Employee!H$35=E$49,Employee!D$35+SUM(N51)+Jun!W61,SUM(N51)+Jun!W61)</f>
        <v>0</v>
      </c>
      <c r="X51" s="49">
        <f>IF(O51=" ",Jun!X61,O51+Jun!X61)</f>
        <v>0</v>
      </c>
      <c r="Y51" s="49">
        <f>IF(P51=" ",Jun!Y61,P51+Jun!Y61)</f>
        <v>0</v>
      </c>
      <c r="Z51" s="49">
        <f>IF(Q51=" ",Jun!Z61,Q51+Jun!Z61)</f>
        <v>0</v>
      </c>
      <c r="AA51" s="49">
        <f>IF(R51=" ",Jun!AA61,R51+Jun!AA61)</f>
        <v>0</v>
      </c>
      <c r="AC51" s="49">
        <f>IF(T51=" ",Jun!AC61,T51+Jun!AC61)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IF(T$49="Y",Jun!H62,0)</f>
        <v>0</v>
      </c>
      <c r="I52" s="92">
        <f>IF(T$49="Y",Jun!I62,0)</f>
        <v>0</v>
      </c>
      <c r="J52" s="92">
        <f>IF(T$49="Y",Jun!J62,0)</f>
        <v>0</v>
      </c>
      <c r="K52" s="92">
        <f>IF(T$49="Y",Jun!K62,I52*J52)</f>
        <v>0</v>
      </c>
      <c r="L52" s="111">
        <f>IF(T$49="Y",Jun!L62,0)</f>
        <v>0</v>
      </c>
      <c r="M52" s="100" t="str">
        <f>IF(E52=" "," ",IF(T$49="Y",Jun!M62,IF((H52+K52+L52)&gt;0,H52+K52+L52,"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IF(Employee!H$61=E$49,Employee!D$60+SUM(M52)+Jun!V62,SUM(M52)+Jun!V62)</f>
        <v>0</v>
      </c>
      <c r="W52" s="49">
        <f>IF(Employee!H$61=E$49,Employee!D$61+SUM(N52)+Jun!W62,SUM(N52)+Jun!W62)</f>
        <v>0</v>
      </c>
      <c r="X52" s="49">
        <f>IF(O52=" ",Jun!X62,O52+Jun!X62)</f>
        <v>0</v>
      </c>
      <c r="Y52" s="49">
        <f>IF(P52=" ",Jun!Y62,P52+Jun!Y62)</f>
        <v>0</v>
      </c>
      <c r="Z52" s="49">
        <f>IF(Q52=" ",Jun!Z62,Q52+Jun!Z62)</f>
        <v>0</v>
      </c>
      <c r="AA52" s="49">
        <f>IF(R52=" ",Jun!AA62,R52+Jun!AA62)</f>
        <v>0</v>
      </c>
      <c r="AC52" s="49">
        <f>IF(T52=" ",Jun!AC62,T52+Jun!AC62)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IF(T$49="Y",Jun!H63,0)</f>
        <v>0</v>
      </c>
      <c r="I53" s="92">
        <f>IF(T$49="Y",Jun!I63,0)</f>
        <v>0</v>
      </c>
      <c r="J53" s="92">
        <f>IF(T$49="Y",Jun!J63,0)</f>
        <v>0</v>
      </c>
      <c r="K53" s="92">
        <f>IF(T$49="Y",Jun!K63,I53*J53)</f>
        <v>0</v>
      </c>
      <c r="L53" s="111">
        <f>IF(T$49="Y",Jun!L63,0)</f>
        <v>0</v>
      </c>
      <c r="M53" s="100" t="str">
        <f>IF(E53=" "," ",IF(T$49="Y",Jun!M63,IF((H53+K53+L53)&gt;0,H53+K53+L53,"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IF(Employee!H$87=E$49,Employee!D$86+SUM(M53)+Jun!V63,SUM(M53)+Jun!V63)</f>
        <v>0</v>
      </c>
      <c r="W53" s="49">
        <f>IF(Employee!H$87=E$49,Employee!D$87+SUM(N53)+Jun!W63,SUM(N53)+Jun!W63)</f>
        <v>0</v>
      </c>
      <c r="X53" s="49">
        <f>IF(O53=" ",Jun!X63,O53+Jun!X63)</f>
        <v>0</v>
      </c>
      <c r="Y53" s="49">
        <f>IF(P53=" ",Jun!Y63,P53+Jun!Y63)</f>
        <v>0</v>
      </c>
      <c r="Z53" s="49">
        <f>IF(Q53=" ",Jun!Z63,Q53+Jun!Z63)</f>
        <v>0</v>
      </c>
      <c r="AA53" s="49">
        <f>IF(R53=" ",Jun!AA63,R53+Jun!AA63)</f>
        <v>0</v>
      </c>
      <c r="AC53" s="49">
        <f>IF(T53=" ",Jun!AC63,T53+Jun!AC63)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IF(T$49="Y",Jun!H64,0)</f>
        <v>0</v>
      </c>
      <c r="I54" s="92">
        <f>IF(T$49="Y",Jun!I64,0)</f>
        <v>0</v>
      </c>
      <c r="J54" s="92">
        <f>IF(T$49="Y",Jun!J64,0)</f>
        <v>0</v>
      </c>
      <c r="K54" s="92">
        <f>IF(T$49="Y",Jun!K64,I54*J54)</f>
        <v>0</v>
      </c>
      <c r="L54" s="111">
        <f>IF(T$49="Y",Jun!L64,0)</f>
        <v>0</v>
      </c>
      <c r="M54" s="100" t="str">
        <f>IF(E54=" "," ",IF(T$49="Y",Jun!M64,IF((H54+K54+L54)&gt;0,H54+K54+L54,"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IF(Employee!H$113=E$49,Employee!D$112+SUM(M54)+Jun!V64,SUM(M54)+Jun!V64)</f>
        <v>0</v>
      </c>
      <c r="W54" s="49">
        <f>IF(Employee!H$113=E$49,Employee!D$113+SUM(N54)+Jun!W64,SUM(N54)+Jun!W64)</f>
        <v>0</v>
      </c>
      <c r="X54" s="49">
        <f>IF(O54=" ",Jun!X64,O54+Jun!X64)</f>
        <v>0</v>
      </c>
      <c r="Y54" s="49">
        <f>IF(P54=" ",Jun!Y64,P54+Jun!Y64)</f>
        <v>0</v>
      </c>
      <c r="Z54" s="49">
        <f>IF(Q54=" ",Jun!Z64,Q54+Jun!Z64)</f>
        <v>0</v>
      </c>
      <c r="AA54" s="49">
        <f>IF(R54=" ",Jun!AA64,R54+Jun!AA64)</f>
        <v>0</v>
      </c>
      <c r="AC54" s="49">
        <f>IF(T54=" ",Jun!AC64,T54+Jun!AC64)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IF(T$49="Y",Jun!H65,0)</f>
        <v>0</v>
      </c>
      <c r="I55" s="245">
        <f>IF(T$49="Y",Jun!I65,0)</f>
        <v>0</v>
      </c>
      <c r="J55" s="245">
        <f>IF(T$49="Y",Jun!J65,0)</f>
        <v>0</v>
      </c>
      <c r="K55" s="245">
        <f>IF(T$49="Y",Jun!K65,I55*J55)</f>
        <v>0</v>
      </c>
      <c r="L55" s="246">
        <f>IF(T$49="Y",Jun!L65,0)</f>
        <v>0</v>
      </c>
      <c r="M55" s="100" t="str">
        <f>IF(E55=" "," ",IF(T$49="Y",Jun!M65,IF((H55+K55+L55)&gt;0,H55+K55+L55,"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IF(Employee!H$139=E$49,Employee!D$138+SUM(M55)+Jun!V65,SUM(M55)+Jun!V65)</f>
        <v>0</v>
      </c>
      <c r="W55" s="49">
        <f>IF(Employee!H$139=E$49,Employee!D$139+SUM(N55)+Jun!W65,SUM(N55)+Jun!W65)</f>
        <v>0</v>
      </c>
      <c r="X55" s="49">
        <f>IF(O55=" ",Jun!X65,O55+Jun!X65)</f>
        <v>0</v>
      </c>
      <c r="Y55" s="49">
        <f>IF(P55=" ",Jun!Y65,P55+Jun!Y65)</f>
        <v>0</v>
      </c>
      <c r="Z55" s="49">
        <f>IF(Q55=" ",Jun!Z65,Q55+Jun!Z65)</f>
        <v>0</v>
      </c>
      <c r="AA55" s="49">
        <f>IF(R55=" ",Jun!AA65,R55+Jun!AA65)</f>
        <v>0</v>
      </c>
      <c r="AC55" s="49">
        <f>IF(T55=" ",Jun!AC65,T55+Jun!AC65)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AD60+Jun!AD75</f>
        <v>0</v>
      </c>
      <c r="AE65" s="158">
        <f>AE60+Jun!AE75</f>
        <v>0</v>
      </c>
      <c r="AF65" s="158">
        <f>AF60+Jun!AF75</f>
        <v>0</v>
      </c>
      <c r="AG65" s="158">
        <f>AG60+Jun!AG75</f>
        <v>0</v>
      </c>
    </row>
    <row r="66" spans="6:33" ht="14" thickTop="1" x14ac:dyDescent="0.15"/>
    <row r="67" spans="6:33" x14ac:dyDescent="0.15">
      <c r="AD67" s="162"/>
      <c r="AE67" s="158">
        <f>AE62+Jun!AE77</f>
        <v>0</v>
      </c>
      <c r="AF67" s="158">
        <f>AF62+Jun!AF77</f>
        <v>0</v>
      </c>
      <c r="AG67" s="158">
        <f>AG62+Jun!AG77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IF(T$9="Y",Jul!#REF!,0)</f>
        <v>0</v>
      </c>
      <c r="I11" s="89">
        <f>IF(T$9="Y",Jul!#REF!,0)</f>
        <v>0</v>
      </c>
      <c r="J11" s="89">
        <f>IF(T$9="Y",Jul!#REF!,0)</f>
        <v>0</v>
      </c>
      <c r="K11" s="89">
        <v>0</v>
      </c>
      <c r="L11" s="110">
        <f>IF(T$9="Y",Jul!#REF!,0)</f>
        <v>0</v>
      </c>
      <c r="M11" s="110" t="str">
        <f>IF(E11=" "," ",IF(T$9="Y",Jul!#REF!,IF((H11+K11+L11)&gt;0,H11+K11+L11,"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IF(Employee!H$34=E$9,Employee!D$34+SUM(M11)+Jul!V41,SUM(M11)+Jul!V41)</f>
        <v>0</v>
      </c>
      <c r="W11" s="49">
        <f>IF(Employee!H$34=E$9,Employee!D$35+SUM(N11)+Jul!W41,SUM(N11)+Jul!W41)</f>
        <v>0</v>
      </c>
      <c r="X11" s="49">
        <f>IF(O11=" ",Jul!X41,O11+Jul!X41)</f>
        <v>0</v>
      </c>
      <c r="Y11" s="49">
        <f>IF(P11=" ",Jul!Y41,P11+Jul!Y41)</f>
        <v>0</v>
      </c>
      <c r="Z11" s="49">
        <f>IF(Q11=" ",Jul!Z41,Q11+Jul!Z41)</f>
        <v>0</v>
      </c>
      <c r="AA11" s="49">
        <f>IF(R11=" ",Jul!AA41,R11+Jul!AA41)</f>
        <v>0</v>
      </c>
      <c r="AC11" s="49">
        <f>IF(T11=" ",Jul!AC41,T11+Jul!AC41)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IF(T$9="Y",Jul!#REF!,0)</f>
        <v>0</v>
      </c>
      <c r="I12" s="92">
        <f>IF(T$9="Y",Jul!#REF!,0)</f>
        <v>0</v>
      </c>
      <c r="J12" s="92">
        <f>IF(T$9="Y",Jul!#REF!,0)</f>
        <v>0</v>
      </c>
      <c r="K12" s="92">
        <f>IF(T$9="Y",Jul!#REF!,I12*J12)</f>
        <v>0</v>
      </c>
      <c r="L12" s="111">
        <f>IF(T$9="Y",Jul!#REF!,0)</f>
        <v>0</v>
      </c>
      <c r="M12" s="111" t="str">
        <f>IF(E12=" "," ",IF(T$9="Y",Jul!#REF!,IF((H12+K12+L12)&gt;0,H12+K12+L12,"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IF(Employee!H$60=E$9,Employee!D$60+SUM(M12)+Jul!V42,SUM(M12)+Jul!V42)</f>
        <v>0</v>
      </c>
      <c r="W12" s="49">
        <f>IF(Employee!H$60=E$9,Employee!D$61+SUM(N12)+Jul!W42,SUM(N12)+Jul!W42)</f>
        <v>0</v>
      </c>
      <c r="X12" s="49">
        <f>IF(O12=" ",Jul!X42,O12+Jul!X42)</f>
        <v>0</v>
      </c>
      <c r="Y12" s="49">
        <f>IF(P12=" ",Jul!Y42,P12+Jul!Y42)</f>
        <v>0</v>
      </c>
      <c r="Z12" s="49">
        <f>IF(Q12=" ",Jul!Z42,Q12+Jul!Z42)</f>
        <v>0</v>
      </c>
      <c r="AA12" s="49">
        <f>IF(R12=" ",Jul!AA42,R12+Jul!AA42)</f>
        <v>0</v>
      </c>
      <c r="AC12" s="49">
        <f>IF(T12=" ",Jul!AC42,T12+Jul!AC42)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IF(T$9="Y",Jul!#REF!,0)</f>
        <v>0</v>
      </c>
      <c r="I13" s="92">
        <f>IF(T$9="Y",Jul!#REF!,0)</f>
        <v>0</v>
      </c>
      <c r="J13" s="92">
        <f>IF(T$9="Y",Jul!#REF!,0)</f>
        <v>0</v>
      </c>
      <c r="K13" s="92">
        <f>IF(T$9="Y",Jul!#REF!,I13*J13)</f>
        <v>0</v>
      </c>
      <c r="L13" s="111">
        <f>IF(T$9="Y",Jul!#REF!,0)</f>
        <v>0</v>
      </c>
      <c r="M13" s="111" t="str">
        <f>IF(E13=" "," ",IF(T$9="Y",Jul!#REF!,IF((H13+K13+L13)&gt;0,H13+K13+L13,"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IF(Employee!H$86=E$9,Employee!D$86+SUM(M13)+Jul!V43,SUM(M13)+Jul!V43)</f>
        <v>0</v>
      </c>
      <c r="W13" s="49">
        <f>IF(Employee!H$86=E$9,Employee!D$87+SUM(N13)+Jul!W43,SUM(N13)+Jul!W43)</f>
        <v>0</v>
      </c>
      <c r="X13" s="49">
        <f>IF(O13=" ",Jul!X43,O13+Jul!X43)</f>
        <v>0</v>
      </c>
      <c r="Y13" s="49">
        <f>IF(P13=" ",Jul!Y43,P13+Jul!Y43)</f>
        <v>0</v>
      </c>
      <c r="Z13" s="49">
        <f>IF(Q13=" ",Jul!Z43,Q13+Jul!Z43)</f>
        <v>0</v>
      </c>
      <c r="AA13" s="49">
        <f>IF(R13=" ",Jul!AA43,R13+Jul!AA43)</f>
        <v>0</v>
      </c>
      <c r="AC13" s="49">
        <f>IF(T13=" ",Jul!AC43,T13+Jul!AC43)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IF(T$9="Y",Jul!#REF!,0)</f>
        <v>0</v>
      </c>
      <c r="I14" s="92">
        <f>IF(T$9="Y",Jul!#REF!,0)</f>
        <v>0</v>
      </c>
      <c r="J14" s="92">
        <f>IF(T$9="Y",Jul!#REF!,0)</f>
        <v>0</v>
      </c>
      <c r="K14" s="92">
        <f>IF(T$9="Y",Jul!#REF!,I14*J14)</f>
        <v>0</v>
      </c>
      <c r="L14" s="111">
        <f>IF(T$9="Y",Jul!#REF!,0)</f>
        <v>0</v>
      </c>
      <c r="M14" s="111" t="str">
        <f>IF(E14=" "," ",IF(T$9="Y",Jul!#REF!,IF((H14+K14+L14)&gt;0,H14+K14+L14,"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IF(Employee!H$112=E$9,Employee!D$112+SUM(M14)+Jul!V44,SUM(M14)+Jul!V44)</f>
        <v>0</v>
      </c>
      <c r="W14" s="49">
        <f>IF(Employee!H$112=E$9,Employee!D$113+SUM(N14)+Jul!W44,SUM(N14)+Jul!W44)</f>
        <v>0</v>
      </c>
      <c r="X14" s="49">
        <f>IF(O14=" ",Jul!X44,O14+Jul!X44)</f>
        <v>0</v>
      </c>
      <c r="Y14" s="49">
        <f>IF(P14=" ",Jul!Y44,P14+Jul!Y44)</f>
        <v>0</v>
      </c>
      <c r="Z14" s="49">
        <f>IF(Q14=" ",Jul!Z44,Q14+Jul!Z44)</f>
        <v>0</v>
      </c>
      <c r="AA14" s="49">
        <f>IF(R14=" ",Jul!AA44,R14+Jul!AA44)</f>
        <v>0</v>
      </c>
      <c r="AC14" s="49">
        <f>IF(T14=" ",Jul!AC44,T14+Jul!AC44)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IF(T$9="Y",Jul!#REF!,0)</f>
        <v>0</v>
      </c>
      <c r="I15" s="245">
        <f>IF(T$9="Y",Jul!#REF!,0)</f>
        <v>0</v>
      </c>
      <c r="J15" s="245">
        <f>IF(T$9="Y",Jul!#REF!,0)</f>
        <v>0</v>
      </c>
      <c r="K15" s="245">
        <f>IF(T$9="Y",Jul!#REF!,I15*J15)</f>
        <v>0</v>
      </c>
      <c r="L15" s="246">
        <f>IF(T$9="Y",Jul!#REF!,0)</f>
        <v>0</v>
      </c>
      <c r="M15" s="246" t="str">
        <f>IF(E15=" "," ",IF(T$9="Y",Jul!#REF!,IF((H15+K15+L15)&gt;0,H15+K15+L15,"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IF(Employee!H$138=E$9,Employee!D$138+SUM(M15)+Jul!V45,SUM(M15)+Jul!V45)</f>
        <v>0</v>
      </c>
      <c r="W15" s="49">
        <f>IF(Employee!H$138=E$9,Employee!D$139+SUM(N15)+Jul!W45,SUM(N15)+Jul!W45)</f>
        <v>0</v>
      </c>
      <c r="X15" s="49">
        <f>IF(O15=" ",Jul!X45,O15+Jul!X45)</f>
        <v>0</v>
      </c>
      <c r="Y15" s="49">
        <f>IF(P15=" ",Jul!Y45,P15+Jul!Y45)</f>
        <v>0</v>
      </c>
      <c r="Z15" s="49">
        <f>IF(Q15=" ",Jul!Z45,Q15+Jul!Z45)</f>
        <v>0</v>
      </c>
      <c r="AA15" s="49">
        <f>IF(R15=" ",Jul!AA45,R15+Jul!AA45)</f>
        <v>0</v>
      </c>
      <c r="AC15" s="49">
        <f>IF(T15=" ",Jul!AC45,T15+Jul!AC45)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IF(T$49="Y",Jul!H51,0)</f>
        <v>0</v>
      </c>
      <c r="I51" s="89">
        <f>IF(T$49="Y",Jul!I51,0)</f>
        <v>0</v>
      </c>
      <c r="J51" s="89">
        <f>IF(T$49="Y",Jul!J51,0)</f>
        <v>0</v>
      </c>
      <c r="K51" s="89">
        <f>IF(T$49="Y",Jul!K51,I51*J51)</f>
        <v>0</v>
      </c>
      <c r="L51" s="89">
        <f>IF(T$49="Y",Jul!L51,0)</f>
        <v>0</v>
      </c>
      <c r="M51" s="99" t="str">
        <f>IF(E51=" "," ",IF(T$49="Y",Jul!M51,IF((H51+K51+L51)&gt;0,H51+K51+L51,"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IF(Employee!H$35=E$49,Employee!D$34+SUM(M51)+Jul!V51,SUM(M51)+Jul!V51)</f>
        <v>0</v>
      </c>
      <c r="W51" s="49">
        <f>IF(Employee!H$35=E$49,Employee!D$35+SUM(N51)+Jul!W51,SUM(N51)+Jul!W51)</f>
        <v>0</v>
      </c>
      <c r="X51" s="49">
        <f>IF(O51=" ",Jul!X51,O51+Jul!X51)</f>
        <v>0</v>
      </c>
      <c r="Y51" s="49">
        <f>IF(P51=" ",Jul!Y51,P51+Jul!Y51)</f>
        <v>0</v>
      </c>
      <c r="Z51" s="49">
        <f>IF(Q51=" ",Jul!Z51,Q51+Jul!Z51)</f>
        <v>0</v>
      </c>
      <c r="AA51" s="49">
        <f>IF(R51=" ",Jul!AA51,R51+Jul!AA51)</f>
        <v>0</v>
      </c>
      <c r="AC51" s="49">
        <f>IF(T51=" ",Jul!AC51,T51+Jul!AC51)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IF(T$49="Y",Jul!H52,0)</f>
        <v>0</v>
      </c>
      <c r="I52" s="92">
        <f>IF(T$49="Y",Jul!I52,0)</f>
        <v>0</v>
      </c>
      <c r="J52" s="92">
        <f>IF(T$49="Y",Jul!J52,0)</f>
        <v>0</v>
      </c>
      <c r="K52" s="92">
        <f>IF(T$49="Y",Jul!K52,I52*J52)</f>
        <v>0</v>
      </c>
      <c r="L52" s="92">
        <f>IF(T$49="Y",Jul!L52,0)</f>
        <v>0</v>
      </c>
      <c r="M52" s="100" t="str">
        <f>IF(E52=" "," ",IF(T$49="Y",Jul!M52,IF((H52+K52+L52)&gt;0,H52+K52+L52,"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IF(Employee!H$61=E$49,Employee!D$60+SUM(M52)+Jul!V52,SUM(M52)+Jul!V52)</f>
        <v>0</v>
      </c>
      <c r="W52" s="49">
        <f>IF(Employee!H$61=E$49,Employee!D$61+SUM(N52)+Jul!W52,SUM(N52)+Jul!W52)</f>
        <v>0</v>
      </c>
      <c r="X52" s="49">
        <f>IF(O52=" ",Jul!X52,O52+Jul!X52)</f>
        <v>0</v>
      </c>
      <c r="Y52" s="49">
        <f>IF(P52=" ",Jul!Y52,P52+Jul!Y52)</f>
        <v>0</v>
      </c>
      <c r="Z52" s="49">
        <f>IF(Q52=" ",Jul!Z52,Q52+Jul!Z52)</f>
        <v>0</v>
      </c>
      <c r="AA52" s="49">
        <f>IF(R52=" ",Jul!AA52,R52+Jul!AA52)</f>
        <v>0</v>
      </c>
      <c r="AC52" s="49">
        <f>IF(T52=" ",Jul!AC52,T52+Jul!AC52)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IF(T$49="Y",Jul!H53,0)</f>
        <v>0</v>
      </c>
      <c r="I53" s="92">
        <f>IF(T$49="Y",Jul!I53,0)</f>
        <v>0</v>
      </c>
      <c r="J53" s="92">
        <f>IF(T$49="Y",Jul!J53,0)</f>
        <v>0</v>
      </c>
      <c r="K53" s="92">
        <f>IF(T$49="Y",Jul!K53,I53*J53)</f>
        <v>0</v>
      </c>
      <c r="L53" s="92">
        <f>IF(T$49="Y",Jul!L53,0)</f>
        <v>0</v>
      </c>
      <c r="M53" s="100" t="str">
        <f>IF(E53=" "," ",IF(T$49="Y",Jul!M53,IF((H53+K53+L53)&gt;0,H53+K53+L53,"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IF(Employee!H$87=E$49,Employee!D$86+SUM(M53)+Jul!V53,SUM(M53)+Jul!V53)</f>
        <v>0</v>
      </c>
      <c r="W53" s="49">
        <f>IF(Employee!H$87=E$49,Employee!D$87+SUM(N53)+Jul!W53,SUM(N53)+Jul!W53)</f>
        <v>0</v>
      </c>
      <c r="X53" s="49">
        <f>IF(O53=" ",Jul!X53,O53+Jul!X53)</f>
        <v>0</v>
      </c>
      <c r="Y53" s="49">
        <f>IF(P53=" ",Jul!Y53,P53+Jul!Y53)</f>
        <v>0</v>
      </c>
      <c r="Z53" s="49">
        <f>IF(Q53=" ",Jul!Z53,Q53+Jul!Z53)</f>
        <v>0</v>
      </c>
      <c r="AA53" s="49">
        <f>IF(R53=" ",Jul!AA53,R53+Jul!AA53)</f>
        <v>0</v>
      </c>
      <c r="AC53" s="49">
        <f>IF(T53=" ",Jul!AC53,T53+Jul!AC53)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IF(T$49="Y",Jul!H54,0)</f>
        <v>0</v>
      </c>
      <c r="I54" s="92">
        <f>IF(T$49="Y",Jul!I54,0)</f>
        <v>0</v>
      </c>
      <c r="J54" s="92">
        <f>IF(T$49="Y",Jul!J54,0)</f>
        <v>0</v>
      </c>
      <c r="K54" s="92">
        <f>IF(T$49="Y",Jul!K54,I54*J54)</f>
        <v>0</v>
      </c>
      <c r="L54" s="92">
        <f>IF(T$49="Y",Jul!L54,0)</f>
        <v>0</v>
      </c>
      <c r="M54" s="100" t="str">
        <f>IF(E54=" "," ",IF(T$49="Y",Jul!M54,IF((H54+K54+L54)&gt;0,H54+K54+L54,"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IF(Employee!H$113=E$49,Employee!D$112+SUM(M54)+Jul!V54,SUM(M54)+Jul!V54)</f>
        <v>0</v>
      </c>
      <c r="W54" s="49">
        <f>IF(Employee!H$113=E$49,Employee!D$113+SUM(N54)+Jul!W54,SUM(N54)+Jul!W54)</f>
        <v>0</v>
      </c>
      <c r="X54" s="49">
        <f>IF(O54=" ",Jul!X54,O54+Jul!X54)</f>
        <v>0</v>
      </c>
      <c r="Y54" s="49">
        <f>IF(P54=" ",Jul!Y54,P54+Jul!Y54)</f>
        <v>0</v>
      </c>
      <c r="Z54" s="49">
        <f>IF(Q54=" ",Jul!Z54,Q54+Jul!Z54)</f>
        <v>0</v>
      </c>
      <c r="AA54" s="49">
        <f>IF(R54=" ",Jul!AA54,R54+Jul!AA54)</f>
        <v>0</v>
      </c>
      <c r="AC54" s="49">
        <f>IF(T54=" ",Jul!AC54,T54+Jul!AC54)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IF(T$49="Y",Jul!H55,0)</f>
        <v>0</v>
      </c>
      <c r="I55" s="92">
        <f>IF(T$49="Y",Jul!I55,0)</f>
        <v>0</v>
      </c>
      <c r="J55" s="92">
        <f>IF(T$49="Y",Jul!J55,0)</f>
        <v>0</v>
      </c>
      <c r="K55" s="92">
        <f>IF(T$49="Y",Jul!K55,I55*J55)</f>
        <v>0</v>
      </c>
      <c r="L55" s="92">
        <f>IF(T$49="Y",Jul!L55,0)</f>
        <v>0</v>
      </c>
      <c r="M55" s="100" t="str">
        <f>IF(E55=" "," ",IF(T$49="Y",Jul!M55,IF((H55+K55+L55)&gt;0,H55+K55+L55,"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IF(Employee!H$139=E$49,Employee!D$138+SUM(M55)+Jul!V55,SUM(M55)+Jul!V55)</f>
        <v>0</v>
      </c>
      <c r="W55" s="49">
        <f>IF(Employee!H$139=E$49,Employee!D$139+SUM(N55)+Jul!W55,SUM(N55)+Jul!W55)</f>
        <v>0</v>
      </c>
      <c r="X55" s="49">
        <f>IF(O55=" ",Jul!X55,O55+Jul!X55)</f>
        <v>0</v>
      </c>
      <c r="Y55" s="49">
        <f>IF(P55=" ",Jul!Y55,P55+Jul!Y55)</f>
        <v>0</v>
      </c>
      <c r="Z55" s="49">
        <f>IF(Q55=" ",Jul!Z55,Q55+Jul!Z55)</f>
        <v>0</v>
      </c>
      <c r="AA55" s="49">
        <f>IF(R55=" ",Jul!AA55,R55+Jul!AA55)</f>
        <v>0</v>
      </c>
      <c r="AC55" s="49">
        <f>IF(T55=" ",Jul!AC55,T55+Jul!AC55)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AD60+Jul!AD65</f>
        <v>0</v>
      </c>
      <c r="AE65" s="158">
        <f>AE60+Jul!AE65</f>
        <v>0</v>
      </c>
      <c r="AF65" s="158">
        <f>AF60+Jul!AF65</f>
        <v>0</v>
      </c>
      <c r="AG65" s="158">
        <f>AG60+Jul!AG65</f>
        <v>0</v>
      </c>
    </row>
    <row r="66" spans="6:33" ht="14" thickTop="1" x14ac:dyDescent="0.15"/>
    <row r="67" spans="6:33" x14ac:dyDescent="0.15">
      <c r="AD67" s="162"/>
      <c r="AE67" s="158">
        <f>AE62+Jul!AE67</f>
        <v>0</v>
      </c>
      <c r="AF67" s="158">
        <f>AF62+Jul!AF67</f>
        <v>0</v>
      </c>
      <c r="AG67" s="158">
        <f>AG62+Jul!AG67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Aug!M39+1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IF(T$9="Y",Aug!H41,0)</f>
        <v>0</v>
      </c>
      <c r="I11" s="89">
        <f>IF(T$9="Y",Aug!I41,0)</f>
        <v>0</v>
      </c>
      <c r="J11" s="89">
        <f>IF(T$9="Y",Aug!J41,0)</f>
        <v>0</v>
      </c>
      <c r="K11" s="89">
        <f>IF(T$9="Y",Aug!K41,I11*J11)</f>
        <v>0</v>
      </c>
      <c r="L11" s="110">
        <f>IF(T$9="Y",Aug!L41,0)</f>
        <v>0</v>
      </c>
      <c r="M11" s="110" t="str">
        <f>IF(E11=" "," ",IF(T$9="Y",Aug!M41,IF((H11+K11+L11)&gt;0,H11+K11+L11,"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IF(T$9="Y",Aug!H42,0)</f>
        <v>0</v>
      </c>
      <c r="I12" s="92">
        <f>IF(T$9="Y",Aug!I42,0)</f>
        <v>0</v>
      </c>
      <c r="J12" s="92">
        <f>IF(T$9="Y",Aug!J42,0)</f>
        <v>0</v>
      </c>
      <c r="K12" s="92">
        <f>IF(T$9="Y",Aug!K42,I12*J12)</f>
        <v>0</v>
      </c>
      <c r="L12" s="111">
        <f>IF(T$9="Y",Aug!L42,0)</f>
        <v>0</v>
      </c>
      <c r="M12" s="111" t="str">
        <f>IF(E12=" "," ",IF(T$9="Y",Aug!M42,IF((H12+K12+L12)&gt;0,H12+K12+L12,"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IF(T$9="Y",Aug!H43,0)</f>
        <v>0</v>
      </c>
      <c r="I13" s="92">
        <f>IF(T$9="Y",Aug!I43,0)</f>
        <v>0</v>
      </c>
      <c r="J13" s="92">
        <f>IF(T$9="Y",Aug!J43,0)</f>
        <v>0</v>
      </c>
      <c r="K13" s="92">
        <f>IF(T$9="Y",Aug!K43,I13*J13)</f>
        <v>0</v>
      </c>
      <c r="L13" s="111">
        <f>IF(T$9="Y",Aug!L43,0)</f>
        <v>0</v>
      </c>
      <c r="M13" s="111" t="str">
        <f>IF(E13=" "," ",IF(T$9="Y",Aug!M43,IF((H13+K13+L13)&gt;0,H13+K13+L13,"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IF(T$9="Y",Aug!H44,0)</f>
        <v>0</v>
      </c>
      <c r="I14" s="92">
        <f>IF(T$9="Y",Aug!I44,0)</f>
        <v>0</v>
      </c>
      <c r="J14" s="92">
        <f>IF(T$9="Y",Aug!J44,0)</f>
        <v>0</v>
      </c>
      <c r="K14" s="92">
        <f>IF(T$9="Y",Aug!K44,I14*J14)</f>
        <v>0</v>
      </c>
      <c r="L14" s="111">
        <f>IF(T$9="Y",Aug!L44,0)</f>
        <v>0</v>
      </c>
      <c r="M14" s="111" t="str">
        <f>IF(E14=" "," ",IF(T$9="Y",Aug!M44,IF((H14+K14+L14)&gt;0,H14+K14+L14,"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IF(T$9="Y",Aug!H45,0)</f>
        <v>0</v>
      </c>
      <c r="I15" s="245">
        <f>IF(T$9="Y",Aug!I45,0)</f>
        <v>0</v>
      </c>
      <c r="J15" s="245">
        <f>IF(T$9="Y",Aug!J45,0)</f>
        <v>0</v>
      </c>
      <c r="K15" s="245">
        <f>IF(T$9="Y",Aug!K45,I15*J15)</f>
        <v>0</v>
      </c>
      <c r="L15" s="246">
        <f>IF(T$9="Y",Aug!L45,0)</f>
        <v>0</v>
      </c>
      <c r="M15" s="111" t="str">
        <f>IF(E15=" "," ",IF(T$9="Y",Aug!M45,IF((H15+K15+L15)&gt;0,H15+K15+L15,"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IF(T$59="Y",Aug!H51,0)</f>
        <v>0</v>
      </c>
      <c r="I61" s="89">
        <f>IF(T$59="Y",Aug!I51,0)</f>
        <v>0</v>
      </c>
      <c r="J61" s="89">
        <f>IF(T$59="Y",Aug!J51,0)</f>
        <v>0</v>
      </c>
      <c r="K61" s="89">
        <f>IF(T$59="Y",Aug!K51,I61*J61)</f>
        <v>0</v>
      </c>
      <c r="L61" s="110">
        <f>IF(T$59="Y",Aug!L51,0)</f>
        <v>0</v>
      </c>
      <c r="M61" s="99" t="str">
        <f>IF(E61=" "," ",IF(T$59="Y",Aug!M51,IF((H61+K61+L61)&gt;0,H61+K61+L61,"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IF(Employee!H$35=E$59,Employee!D$34+SUM(M61)+Aug!V51,SUM(M61)+Aug!V51)</f>
        <v>0</v>
      </c>
      <c r="W61" s="49">
        <f>IF(Employee!H$35=E$59,Employee!D$35+SUM(N61)+Aug!W51,SUM(N61)+Aug!W51)</f>
        <v>0</v>
      </c>
      <c r="X61" s="49">
        <f>IF(O61=" ",Aug!X51,O61+Aug!X51)</f>
        <v>0</v>
      </c>
      <c r="Y61" s="49">
        <f>IF(P61=" ",Aug!Y51,P61+Aug!Y51)</f>
        <v>0</v>
      </c>
      <c r="Z61" s="49">
        <f>IF(Q61=" ",Aug!Z51,Q61+Aug!Z51)</f>
        <v>0</v>
      </c>
      <c r="AA61" s="49">
        <f>IF(R61=" ",Aug!AA51,R61+Aug!AA51)</f>
        <v>0</v>
      </c>
      <c r="AC61" s="49">
        <f>IF(T61=" ",Aug!AC51,T61+Aug!AC51)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IF(T$59="Y",Aug!H52,0)</f>
        <v>0</v>
      </c>
      <c r="I62" s="92">
        <f>IF(T$59="Y",Aug!I52,0)</f>
        <v>0</v>
      </c>
      <c r="J62" s="92">
        <f>IF(T$59="Y",Aug!J52,0)</f>
        <v>0</v>
      </c>
      <c r="K62" s="92">
        <f>IF(T$59="Y",Aug!K52,I62*J62)</f>
        <v>0</v>
      </c>
      <c r="L62" s="111">
        <f>IF(T$59="Y",Aug!L52,0)</f>
        <v>0</v>
      </c>
      <c r="M62" s="100" t="str">
        <f>IF(E62=" "," ",IF(T$59="Y",Aug!M52,IF((H62+K62+L62)&gt;0,H62+K62+L62,"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IF(Employee!H$61=E$59,Employee!D$60+SUM(M62)+Aug!V52,SUM(M62)+Aug!V52)</f>
        <v>0</v>
      </c>
      <c r="W62" s="49">
        <f>IF(Employee!H$61=E$59,Employee!D$61+SUM(N62)+Aug!W52,SUM(N62)+Aug!W52)</f>
        <v>0</v>
      </c>
      <c r="X62" s="49">
        <f>IF(O62=" ",Aug!X52,O62+Aug!X52)</f>
        <v>0</v>
      </c>
      <c r="Y62" s="49">
        <f>IF(P62=" ",Aug!Y52,P62+Aug!Y52)</f>
        <v>0</v>
      </c>
      <c r="Z62" s="49">
        <f>IF(Q62=" ",Aug!Z52,Q62+Aug!Z52)</f>
        <v>0</v>
      </c>
      <c r="AA62" s="49">
        <f>IF(R62=" ",Aug!AA52,R62+Aug!AA52)</f>
        <v>0</v>
      </c>
      <c r="AC62" s="49">
        <f>IF(T62=" ",Aug!AC52,T62+Aug!AC52)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IF(T$59="Y",Aug!H53,0)</f>
        <v>0</v>
      </c>
      <c r="I63" s="92">
        <f>IF(T$59="Y",Aug!I53,0)</f>
        <v>0</v>
      </c>
      <c r="J63" s="92">
        <f>IF(T$59="Y",Aug!J53,0)</f>
        <v>0</v>
      </c>
      <c r="K63" s="92">
        <f>IF(T$59="Y",Aug!K53,I63*J63)</f>
        <v>0</v>
      </c>
      <c r="L63" s="111">
        <f>IF(T$59="Y",Aug!L53,0)</f>
        <v>0</v>
      </c>
      <c r="M63" s="100" t="str">
        <f>IF(E63=" "," ",IF(T$59="Y",Aug!M53,IF((H63+K63+L63)&gt;0,H63+K63+L63,"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IF(Employee!H$87=E$59,Employee!D$86+SUM(M63)+Aug!V53,SUM(M63)+Aug!V53)</f>
        <v>0</v>
      </c>
      <c r="W63" s="49">
        <f>IF(Employee!H$87=E$59,Employee!D$87+SUM(N63)+Aug!W53,SUM(N63)+Aug!W53)</f>
        <v>0</v>
      </c>
      <c r="X63" s="49">
        <f>IF(O63=" ",Aug!X53,O63+Aug!X53)</f>
        <v>0</v>
      </c>
      <c r="Y63" s="49">
        <f>IF(P63=" ",Aug!Y53,P63+Aug!Y53)</f>
        <v>0</v>
      </c>
      <c r="Z63" s="49">
        <f>IF(Q63=" ",Aug!Z53,Q63+Aug!Z53)</f>
        <v>0</v>
      </c>
      <c r="AA63" s="49">
        <f>IF(R63=" ",Aug!AA53,R63+Aug!AA53)</f>
        <v>0</v>
      </c>
      <c r="AC63" s="49">
        <f>IF(T63=" ",Aug!AC53,T63+Aug!AC53)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IF(T$59="Y",Aug!H54,0)</f>
        <v>0</v>
      </c>
      <c r="I64" s="92">
        <f>IF(T$59="Y",Aug!I54,0)</f>
        <v>0</v>
      </c>
      <c r="J64" s="92">
        <f>IF(T$59="Y",Aug!J54,0)</f>
        <v>0</v>
      </c>
      <c r="K64" s="92">
        <f>IF(T$59="Y",Aug!K54,I64*J64)</f>
        <v>0</v>
      </c>
      <c r="L64" s="111">
        <f>IF(T$59="Y",Aug!L54,0)</f>
        <v>0</v>
      </c>
      <c r="M64" s="100" t="str">
        <f>IF(E64=" "," ",IF(T$59="Y",Aug!M54,IF((H64+K64+L64)&gt;0,H64+K64+L64,"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IF(Employee!H$113=E$59,Employee!D$112+SUM(M64)+Aug!V54,SUM(M64)+Aug!V54)</f>
        <v>0</v>
      </c>
      <c r="W64" s="49">
        <f>IF(Employee!H$113=E$59,Employee!D$113+SUM(N64)+Aug!W54,SUM(N64)+Aug!W54)</f>
        <v>0</v>
      </c>
      <c r="X64" s="49">
        <f>IF(O64=" ",Aug!X54,O64+Aug!X54)</f>
        <v>0</v>
      </c>
      <c r="Y64" s="49">
        <f>IF(P64=" ",Aug!Y54,P64+Aug!Y54)</f>
        <v>0</v>
      </c>
      <c r="Z64" s="49">
        <f>IF(Q64=" ",Aug!Z54,Q64+Aug!Z54)</f>
        <v>0</v>
      </c>
      <c r="AA64" s="49">
        <f>IF(R64=" ",Aug!AA54,R64+Aug!AA54)</f>
        <v>0</v>
      </c>
      <c r="AC64" s="49">
        <f>IF(T64=" ",Aug!AC54,T64+Aug!AC54)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IF(T$59="Y",Aug!H55,0)</f>
        <v>0</v>
      </c>
      <c r="I65" s="245">
        <f>IF(T$59="Y",Aug!I55,0)</f>
        <v>0</v>
      </c>
      <c r="J65" s="245">
        <f>IF(T$59="Y",Aug!J55,0)</f>
        <v>0</v>
      </c>
      <c r="K65" s="245">
        <f>IF(T$59="Y",Aug!K55,I65*J65)</f>
        <v>0</v>
      </c>
      <c r="L65" s="246">
        <f>IF(T$59="Y",Aug!L55,0)</f>
        <v>0</v>
      </c>
      <c r="M65" s="100" t="str">
        <f>IF(E65=" "," ",IF(T$59="Y",Aug!M55,IF((H65+K65+L65)&gt;0,H65+K65+L65,"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IF(Employee!H$139=E$59,Employee!D$138+SUM(M65)+Aug!V55,SUM(M65)+Aug!V55)</f>
        <v>0</v>
      </c>
      <c r="W65" s="49">
        <f>IF(Employee!H$139=E$59,Employee!D$139+SUM(N65)+Aug!W55,SUM(N65)+Aug!W55)</f>
        <v>0</v>
      </c>
      <c r="X65" s="49">
        <f>IF(O65=" ",Aug!X55,O65+Aug!X55)</f>
        <v>0</v>
      </c>
      <c r="Y65" s="49">
        <f>IF(P65=" ",Aug!Y55,P65+Aug!Y55)</f>
        <v>0</v>
      </c>
      <c r="Z65" s="49">
        <f>IF(Q65=" ",Aug!Z55,Q65+Aug!Z55)</f>
        <v>0</v>
      </c>
      <c r="AA65" s="49">
        <f>IF(R65=" ",Aug!AA55,R65+Aug!AA55)</f>
        <v>0</v>
      </c>
      <c r="AC65" s="49">
        <f>IF(T65=" ",Aug!AC55,T65+Aug!AC55)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AD70+Aug!AD65</f>
        <v>0</v>
      </c>
      <c r="AE75" s="158">
        <f>AE70+Aug!AE65</f>
        <v>0</v>
      </c>
      <c r="AF75" s="158">
        <f>AF70+Aug!AF65</f>
        <v>0</v>
      </c>
      <c r="AG75" s="158">
        <f>AG70+Aug!AG65</f>
        <v>0</v>
      </c>
    </row>
    <row r="76" spans="1:34" ht="14" thickTop="1" x14ac:dyDescent="0.15"/>
    <row r="77" spans="1:34" x14ac:dyDescent="0.15">
      <c r="AD77" s="162"/>
      <c r="AE77" s="158">
        <f>AE72+Aug!AE67</f>
        <v>0</v>
      </c>
      <c r="AF77" s="158">
        <f>AF72+Aug!AF67</f>
        <v>0</v>
      </c>
      <c r="AG77" s="158">
        <f>AG72+Aug!AG67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IF(T$9="Y",Sep!H51,0)</f>
        <v>0</v>
      </c>
      <c r="I11" s="89">
        <f>IF(T$9="Y",Sep!I51,0)</f>
        <v>0</v>
      </c>
      <c r="J11" s="89">
        <f>IF(T$9="Y",Sep!J51,0)</f>
        <v>0</v>
      </c>
      <c r="K11" s="89">
        <f>IF(T$9="Y",Sep!K51,I11*J11)</f>
        <v>0</v>
      </c>
      <c r="L11" s="110">
        <f>IF(T$9="Y",Sep!L51,0)</f>
        <v>0</v>
      </c>
      <c r="M11" s="99" t="str">
        <f>IF(E11=" "," ",IF(T$9="Y",Sep!M51,IF((H11+K11+L11)&gt;0,H11+K11+L11,"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IF(Employee!H$34=E$9,Employee!D$34+SUM(M11)+Sep!V51,SUM(M11)+Sep!V51)</f>
        <v>0</v>
      </c>
      <c r="W11" s="49">
        <f>IF(Employee!H$34=E$9,Employee!D$35+SUM(N11)+Sep!W51,SUM(N11)+Sep!W51)</f>
        <v>0</v>
      </c>
      <c r="X11" s="49">
        <f>IF(O11=" ",Sep!X51,O11+Sep!X51)</f>
        <v>0</v>
      </c>
      <c r="Y11" s="49">
        <f>IF(P11=" ",Sep!Y51,P11+Sep!Y51)</f>
        <v>0</v>
      </c>
      <c r="Z11" s="49">
        <f>IF(Q11=" ",Sep!Z51,Q11+Sep!Z51)</f>
        <v>0</v>
      </c>
      <c r="AA11" s="49">
        <f>IF(R11=" ",Sep!AA51,R11+Sep!AA51)</f>
        <v>0</v>
      </c>
      <c r="AC11" s="49">
        <f>IF(T11=" ",Sep!AC51,T11+Sep!AC51)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IF(T$9="Y",Sep!H52,0)</f>
        <v>0</v>
      </c>
      <c r="I12" s="92">
        <f>IF(T$9="Y",Sep!I52,0)</f>
        <v>0</v>
      </c>
      <c r="J12" s="92">
        <f>IF(T$9="Y",Sep!J52,0)</f>
        <v>0</v>
      </c>
      <c r="K12" s="92">
        <f>IF(T$9="Y",Sep!K52,I12*J12)</f>
        <v>0</v>
      </c>
      <c r="L12" s="111">
        <f>IF(T$9="Y",Sep!L52,0)</f>
        <v>0</v>
      </c>
      <c r="M12" s="100" t="str">
        <f>IF(E12=" "," ",IF(T$9="Y",Sep!M52,IF((H12+K12+L12)&gt;0,H12+K12+L12,"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IF(Employee!H$60=E$9,Employee!D$60+SUM(M12)+Sep!V52,SUM(M12)+Sep!V52)</f>
        <v>0</v>
      </c>
      <c r="W12" s="49">
        <f>IF(Employee!H$60=E$9,Employee!D$61+SUM(N12)+Sep!W52,SUM(N12)+Sep!W52)</f>
        <v>0</v>
      </c>
      <c r="X12" s="49">
        <f>IF(O12=" ",Sep!X52,O12+Sep!X52)</f>
        <v>0</v>
      </c>
      <c r="Y12" s="49">
        <f>IF(P12=" ",Sep!Y52,P12+Sep!Y52)</f>
        <v>0</v>
      </c>
      <c r="Z12" s="49">
        <f>IF(Q12=" ",Sep!Z52,Q12+Sep!Z52)</f>
        <v>0</v>
      </c>
      <c r="AA12" s="49">
        <f>IF(R12=" ",Sep!AA52,R12+Sep!AA52)</f>
        <v>0</v>
      </c>
      <c r="AC12" s="49">
        <f>IF(T12=" ",Sep!AC52,T12+Sep!AC52)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IF(T$9="Y",Sep!H53,0)</f>
        <v>0</v>
      </c>
      <c r="I13" s="92">
        <f>IF(T$9="Y",Sep!I53,0)</f>
        <v>0</v>
      </c>
      <c r="J13" s="92">
        <f>IF(T$9="Y",Sep!J53,0)</f>
        <v>0</v>
      </c>
      <c r="K13" s="92">
        <f>IF(T$9="Y",Sep!K53,I13*J13)</f>
        <v>0</v>
      </c>
      <c r="L13" s="111">
        <f>IF(T$9="Y",Sep!L53,0)</f>
        <v>0</v>
      </c>
      <c r="M13" s="100" t="str">
        <f>IF(E13=" "," ",IF(T$9="Y",Sep!M53,IF((H13+K13+L13)&gt;0,H13+K13+L13,"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IF(Employee!H$86=E$9,Employee!D$86+SUM(M13)+Sep!V53,SUM(M13)+Sep!V53)</f>
        <v>0</v>
      </c>
      <c r="W13" s="49">
        <f>IF(Employee!H$86=E$9,Employee!D$87+SUM(N13)+Sep!W53,SUM(N13)+Sep!W53)</f>
        <v>0</v>
      </c>
      <c r="X13" s="49">
        <f>IF(O13=" ",Sep!X53,O13+Sep!X53)</f>
        <v>0</v>
      </c>
      <c r="Y13" s="49">
        <f>IF(P13=" ",Sep!Y53,P13+Sep!Y53)</f>
        <v>0</v>
      </c>
      <c r="Z13" s="49">
        <f>IF(Q13=" ",Sep!Z53,Q13+Sep!Z53)</f>
        <v>0</v>
      </c>
      <c r="AA13" s="49">
        <f>IF(R13=" ",Sep!AA53,R13+Sep!AA53)</f>
        <v>0</v>
      </c>
      <c r="AC13" s="49">
        <f>IF(T13=" ",Sep!AC53,T13+Sep!AC53)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IF(T$9="Y",Sep!H54,0)</f>
        <v>0</v>
      </c>
      <c r="I14" s="92">
        <f>IF(T$9="Y",Sep!I54,0)</f>
        <v>0</v>
      </c>
      <c r="J14" s="92">
        <f>IF(T$9="Y",Sep!J54,0)</f>
        <v>0</v>
      </c>
      <c r="K14" s="92">
        <f>IF(T$9="Y",Sep!K54,I14*J14)</f>
        <v>0</v>
      </c>
      <c r="L14" s="111">
        <f>IF(T$9="Y",Sep!L54,0)</f>
        <v>0</v>
      </c>
      <c r="M14" s="100" t="str">
        <f>IF(E14=" "," ",IF(T$9="Y",Sep!M54,IF((H14+K14+L14)&gt;0,H14+K14+L14,"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IF(Employee!H$112=E$9,Employee!D$112+SUM(M14)+Sep!V54,SUM(M14)+Sep!V54)</f>
        <v>0</v>
      </c>
      <c r="W14" s="49">
        <f>IF(Employee!H$112=E$9,Employee!D$113+SUM(N14)+Sep!W54,SUM(N14)+Sep!W54)</f>
        <v>0</v>
      </c>
      <c r="X14" s="49">
        <f>IF(O14=" ",Sep!X54,O14+Sep!X54)</f>
        <v>0</v>
      </c>
      <c r="Y14" s="49">
        <f>IF(P14=" ",Sep!Y54,P14+Sep!Y54)</f>
        <v>0</v>
      </c>
      <c r="Z14" s="49">
        <f>IF(Q14=" ",Sep!Z54,Q14+Sep!Z54)</f>
        <v>0</v>
      </c>
      <c r="AA14" s="49">
        <f>IF(R14=" ",Sep!AA54,R14+Sep!AA54)</f>
        <v>0</v>
      </c>
      <c r="AC14" s="49">
        <f>IF(T14=" ",Sep!AC54,T14+Sep!AC54)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IF(T$9="Y",Sep!H55,0)</f>
        <v>0</v>
      </c>
      <c r="I15" s="245">
        <f>IF(T$9="Y",Sep!I55,0)</f>
        <v>0</v>
      </c>
      <c r="J15" s="245">
        <f>IF(T$9="Y",Sep!J55,0)</f>
        <v>0</v>
      </c>
      <c r="K15" s="245">
        <f>IF(T$9="Y",Sep!K55,I15*J15)</f>
        <v>0</v>
      </c>
      <c r="L15" s="246">
        <f>IF(T$9="Y",Sep!L55,0)</f>
        <v>0</v>
      </c>
      <c r="M15" s="247" t="str">
        <f>IF(E15=" "," ",IF(T$9="Y",Sep!M55,IF((H15+K15+L15)&gt;0,H15+K15+L15,"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IF(Employee!H$138=E$9,Employee!D$138+SUM(M15)+Sep!V55,SUM(M15)+Sep!V55)</f>
        <v>0</v>
      </c>
      <c r="W15" s="49">
        <f>IF(Employee!H$138=E$9,Employee!D$139+SUM(N15)+Sep!W55,SUM(N15)+Sep!W55)</f>
        <v>0</v>
      </c>
      <c r="X15" s="49">
        <f>IF(O15=" ",Sep!X55,O15+Sep!X55)</f>
        <v>0</v>
      </c>
      <c r="Y15" s="49">
        <f>IF(P15=" ",Sep!Y55,P15+Sep!Y55)</f>
        <v>0</v>
      </c>
      <c r="Z15" s="49">
        <f>IF(Q15=" ",Sep!Z55,Q15+Sep!Z55)</f>
        <v>0</v>
      </c>
      <c r="AA15" s="49">
        <f>IF(R15=" ",Sep!AA55,R15+Sep!AA55)</f>
        <v>0</v>
      </c>
      <c r="AC15" s="49">
        <f>IF(T15=" ",Sep!AC55,T15+Sep!AC55)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IF(T$49="Y",Sep!H61,0)</f>
        <v>0</v>
      </c>
      <c r="I51" s="89">
        <f>IF(T$49="Y",Sep!I61,0)</f>
        <v>0</v>
      </c>
      <c r="J51" s="89">
        <f>IF(T$49="Y",Sep!J61,0)</f>
        <v>0</v>
      </c>
      <c r="K51" s="89">
        <f>IF(T$49="Y",Sep!K61,I51*J51)</f>
        <v>0</v>
      </c>
      <c r="L51" s="110">
        <f>IF(T$49="Y",Sep!L61,0)</f>
        <v>0</v>
      </c>
      <c r="M51" s="99" t="str">
        <f>IF(E51=" "," ",IF(T$49="Y",Sep!M61,IF((H51+K51+L51)&gt;0,H51+K51+L51,"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IF(Employee!H$35=E$49,Employee!D$34+SUM(M51)+Sep!V61,SUM(M51)+Sep!V61)</f>
        <v>0</v>
      </c>
      <c r="W51" s="49">
        <f>IF(Employee!H$35=E$49,Employee!D$35+SUM(N51)+Sep!W61,SUM(N51)+Sep!W61)</f>
        <v>0</v>
      </c>
      <c r="X51" s="49">
        <f>IF(O51=" ",Sep!X61,O51+Sep!X61)</f>
        <v>0</v>
      </c>
      <c r="Y51" s="49">
        <f>IF(P51=" ",Sep!Y61,P51+Sep!Y61)</f>
        <v>0</v>
      </c>
      <c r="Z51" s="49">
        <f>IF(Q51=" ",Sep!Z61,Q51+Sep!Z61)</f>
        <v>0</v>
      </c>
      <c r="AA51" s="49">
        <f>IF(R51=" ",Sep!AA61,R51+Sep!AA61)</f>
        <v>0</v>
      </c>
      <c r="AC51" s="49">
        <f>IF(T51=" ",Sep!AC61,T51+Sep!AC61)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IF(T$49="Y",Sep!H62,0)</f>
        <v>0</v>
      </c>
      <c r="I52" s="92">
        <f>IF(T$49="Y",Sep!I62,0)</f>
        <v>0</v>
      </c>
      <c r="J52" s="92">
        <f>IF(T$49="Y",Sep!J62,0)</f>
        <v>0</v>
      </c>
      <c r="K52" s="92">
        <f>IF(T$49="Y",Sep!K62,I52*J52)</f>
        <v>0</v>
      </c>
      <c r="L52" s="111">
        <f>IF(T$49="Y",Sep!L62,0)</f>
        <v>0</v>
      </c>
      <c r="M52" s="100" t="str">
        <f>IF(E52=" "," ",IF(T$49="Y",Sep!M62,IF((H52+K52+L52)&gt;0,H52+K52+L52,"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IF(Employee!H$61=E$49,Employee!D$60+SUM(M52)+Sep!V62,SUM(M52)+Sep!V62)</f>
        <v>0</v>
      </c>
      <c r="W52" s="49">
        <f>IF(Employee!H$61=E$49,Employee!D$61+SUM(N52)+Sep!W62,SUM(N52)+Sep!W62)</f>
        <v>0</v>
      </c>
      <c r="X52" s="49">
        <f>IF(O52=" ",Sep!X62,O52+Sep!X62)</f>
        <v>0</v>
      </c>
      <c r="Y52" s="49">
        <f>IF(P52=" ",Sep!Y62,P52+Sep!Y62)</f>
        <v>0</v>
      </c>
      <c r="Z52" s="49">
        <f>IF(Q52=" ",Sep!Z62,Q52+Sep!Z62)</f>
        <v>0</v>
      </c>
      <c r="AA52" s="49">
        <f>IF(R52=" ",Sep!AA62,R52+Sep!AA62)</f>
        <v>0</v>
      </c>
      <c r="AC52" s="49">
        <f>IF(T52=" ",Sep!AC62,T52+Sep!AC62)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IF(T$49="Y",Sep!H63,0)</f>
        <v>0</v>
      </c>
      <c r="I53" s="92">
        <f>IF(T$49="Y",Sep!I63,0)</f>
        <v>0</v>
      </c>
      <c r="J53" s="92">
        <f>IF(T$49="Y",Sep!J63,0)</f>
        <v>0</v>
      </c>
      <c r="K53" s="92">
        <f>IF(T$49="Y",Sep!K63,I53*J53)</f>
        <v>0</v>
      </c>
      <c r="L53" s="111">
        <f>IF(T$49="Y",Sep!L63,0)</f>
        <v>0</v>
      </c>
      <c r="M53" s="100" t="str">
        <f>IF(E53=" "," ",IF(T$49="Y",Sep!M63,IF((H53+K53+L53)&gt;0,H53+K53+L53,"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IF(Employee!H$87=E$49,Employee!D$86+SUM(M53)+Sep!V63,SUM(M53)+Sep!V63)</f>
        <v>0</v>
      </c>
      <c r="W53" s="49">
        <f>IF(Employee!H$87=E$49,Employee!D$87+SUM(N53)+Sep!W63,SUM(N53)+Sep!W63)</f>
        <v>0</v>
      </c>
      <c r="X53" s="49">
        <f>IF(O53=" ",Sep!X63,O53+Sep!X63)</f>
        <v>0</v>
      </c>
      <c r="Y53" s="49">
        <f>IF(P53=" ",Sep!Y63,P53+Sep!Y63)</f>
        <v>0</v>
      </c>
      <c r="Z53" s="49">
        <f>IF(Q53=" ",Sep!Z63,Q53+Sep!Z63)</f>
        <v>0</v>
      </c>
      <c r="AA53" s="49">
        <f>IF(R53=" ",Sep!AA63,R53+Sep!AA63)</f>
        <v>0</v>
      </c>
      <c r="AC53" s="49">
        <f>IF(T53=" ",Sep!AC63,T53+Sep!AC63)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IF(T$49="Y",Sep!H64,0)</f>
        <v>0</v>
      </c>
      <c r="I54" s="92">
        <f>IF(T$49="Y",Sep!I64,0)</f>
        <v>0</v>
      </c>
      <c r="J54" s="92">
        <f>IF(T$49="Y",Sep!J64,0)</f>
        <v>0</v>
      </c>
      <c r="K54" s="92">
        <f>IF(T$49="Y",Sep!K64,I54*J54)</f>
        <v>0</v>
      </c>
      <c r="L54" s="111">
        <f>IF(T$49="Y",Sep!L64,0)</f>
        <v>0</v>
      </c>
      <c r="M54" s="100" t="str">
        <f>IF(E54=" "," ",IF(T$49="Y",Sep!M64,IF((H54+K54+L54)&gt;0,H54+K54+L54,"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IF(Employee!H$113=E$49,Employee!D$112+SUM(M54)+Sep!V64,SUM(M54)+Sep!V64)</f>
        <v>0</v>
      </c>
      <c r="W54" s="49">
        <f>IF(Employee!H$113=E$49,Employee!D$113+SUM(N54)+Sep!W64,SUM(N54)+Sep!W64)</f>
        <v>0</v>
      </c>
      <c r="X54" s="49">
        <f>IF(O54=" ",Sep!X64,O54+Sep!X64)</f>
        <v>0</v>
      </c>
      <c r="Y54" s="49">
        <f>IF(P54=" ",Sep!Y64,P54+Sep!Y64)</f>
        <v>0</v>
      </c>
      <c r="Z54" s="49">
        <f>IF(Q54=" ",Sep!Z64,Q54+Sep!Z64)</f>
        <v>0</v>
      </c>
      <c r="AA54" s="49">
        <f>IF(R54=" ",Sep!AA64,R54+Sep!AA64)</f>
        <v>0</v>
      </c>
      <c r="AC54" s="49">
        <f>IF(T54=" ",Sep!AC64,T54+Sep!AC64)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IF(T$49="Y",Sep!H65,0)</f>
        <v>0</v>
      </c>
      <c r="I55" s="245">
        <f>IF(T$49="Y",Sep!I65,0)</f>
        <v>0</v>
      </c>
      <c r="J55" s="245">
        <f>IF(T$49="Y",Sep!J65,0)</f>
        <v>0</v>
      </c>
      <c r="K55" s="245">
        <f>IF(T$49="Y",Sep!K65,I55*J55)</f>
        <v>0</v>
      </c>
      <c r="L55" s="246">
        <f>IF(T$49="Y",Sep!L65,0)</f>
        <v>0</v>
      </c>
      <c r="M55" s="100" t="str">
        <f>IF(E55=" "," ",IF(T$49="Y",Sep!M65,IF((H55+K55+L55)&gt;0,H55+K55+L55,"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IF(Employee!H$139=E$49,Employee!D$138+SUM(M55)+Sep!V65,SUM(M55)+Sep!V65)</f>
        <v>0</v>
      </c>
      <c r="W55" s="49">
        <f>IF(Employee!H$139=E$49,Employee!D$139+SUM(N55)+Sep!W65,SUM(N55)+Sep!W65)</f>
        <v>0</v>
      </c>
      <c r="X55" s="49">
        <f>IF(O55=" ",Sep!X65,O55+Sep!X65)</f>
        <v>0</v>
      </c>
      <c r="Y55" s="49">
        <f>IF(P55=" ",Sep!Y65,P55+Sep!Y65)</f>
        <v>0</v>
      </c>
      <c r="Z55" s="49">
        <f>IF(Q55=" ",Sep!Z65,Q55+Sep!Z65)</f>
        <v>0</v>
      </c>
      <c r="AA55" s="49">
        <f>IF(R55=" ",Sep!AA65,R55+Sep!AA65)</f>
        <v>0</v>
      </c>
      <c r="AC55" s="49">
        <f>IF(T55=" ",Sep!AC65,T55+Sep!AC65)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AD60+Sep!AD75</f>
        <v>0</v>
      </c>
      <c r="AE65" s="158">
        <f>AE60+Sep!AE75</f>
        <v>0</v>
      </c>
      <c r="AF65" s="158">
        <f>AF60+Sep!AF75</f>
        <v>0</v>
      </c>
      <c r="AG65" s="158">
        <f>AG60+Sep!AG75</f>
        <v>0</v>
      </c>
    </row>
    <row r="66" spans="6:33" ht="14" thickTop="1" x14ac:dyDescent="0.15"/>
    <row r="67" spans="6:33" x14ac:dyDescent="0.15">
      <c r="AD67" s="162"/>
      <c r="AE67" s="158">
        <f>AE62+Sep!AE77</f>
        <v>0</v>
      </c>
      <c r="AF67" s="158">
        <f>AF62+Sep!AF77</f>
        <v>0</v>
      </c>
      <c r="AG67" s="158">
        <f>AG62+Sep!AG77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IF(T$9="Y",Oct!H41,0)</f>
        <v>0</v>
      </c>
      <c r="I11" s="89">
        <f>IF(T$9="Y",Oct!I41,0)</f>
        <v>0</v>
      </c>
      <c r="J11" s="89">
        <f>IF(T$9="Y",Oct!J41,0)</f>
        <v>0</v>
      </c>
      <c r="K11" s="89">
        <f>IF(T$9="Y",Oct!K41,I11*J11)</f>
        <v>0</v>
      </c>
      <c r="L11" s="110">
        <f>IF(T$9="Y",Oct!L41,0)</f>
        <v>0</v>
      </c>
      <c r="M11" s="99" t="str">
        <f>IF(E11=" "," ",IF(T$9="Y",Oct!M41,IF((H11+K11+L11)&gt;0,H11+K11+L11,"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IF(Employee!H$34=E$9,Employee!D$34+SUM(M11)+Oct!V41,SUM(M11)+Oct!V41)</f>
        <v>0</v>
      </c>
      <c r="W11" s="49">
        <f>IF(Employee!H$34=E$9,Employee!D$35+SUM(N11)+Oct!W41,SUM(N11)+Oct!W41)</f>
        <v>0</v>
      </c>
      <c r="X11" s="49">
        <f>IF(O11=" ",Oct!X41,O11+Oct!X41)</f>
        <v>0</v>
      </c>
      <c r="Y11" s="49">
        <f>IF(P11=" ",Oct!Y41,P11+Oct!Y41)</f>
        <v>0</v>
      </c>
      <c r="Z11" s="49">
        <f>IF(Q11=" ",Oct!Z41,Q11+Oct!Z41)</f>
        <v>0</v>
      </c>
      <c r="AA11" s="49">
        <f>IF(R11=" ",Oct!AA41,R11+Oct!AA41)</f>
        <v>0</v>
      </c>
      <c r="AC11" s="49">
        <f>IF(T11=" ",Oct!AC41,T11+Oct!AC41)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IF(T$9="Y",Oct!H42,0)</f>
        <v>0</v>
      </c>
      <c r="I12" s="92">
        <f>IF(T$9="Y",Oct!I42,0)</f>
        <v>0</v>
      </c>
      <c r="J12" s="92">
        <f>IF(T$9="Y",Oct!J42,0)</f>
        <v>0</v>
      </c>
      <c r="K12" s="92">
        <f>IF(T$9="Y",Oct!K42,I12*J12)</f>
        <v>0</v>
      </c>
      <c r="L12" s="111">
        <f>IF(T$9="Y",Oct!L42,0)</f>
        <v>0</v>
      </c>
      <c r="M12" s="100" t="str">
        <f>IF(E12=" "," ",IF(T$9="Y",Oct!M42,IF((H12+K12+L12)&gt;0,H12+K12+L12,"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IF(Employee!H$60=E$9,Employee!D$60+SUM(M12)+Oct!V42,SUM(M12)+Oct!V42)</f>
        <v>0</v>
      </c>
      <c r="W12" s="49">
        <f>IF(Employee!H$60=E$9,Employee!D$61+SUM(N12)+Oct!W42,SUM(N12)+Oct!W42)</f>
        <v>0</v>
      </c>
      <c r="X12" s="49">
        <f>IF(O12=" ",Oct!X42,O12+Oct!X42)</f>
        <v>0</v>
      </c>
      <c r="Y12" s="49">
        <f>IF(P12=" ",Oct!Y42,P12+Oct!Y42)</f>
        <v>0</v>
      </c>
      <c r="Z12" s="49">
        <f>IF(Q12=" ",Oct!Z42,Q12+Oct!Z42)</f>
        <v>0</v>
      </c>
      <c r="AA12" s="49">
        <f>IF(R12=" ",Oct!AA42,R12+Oct!AA42)</f>
        <v>0</v>
      </c>
      <c r="AC12" s="49">
        <f>IF(T12=" ",Oct!AC42,T12+Oct!AC42)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IF(T$9="Y",Oct!H43,0)</f>
        <v>0</v>
      </c>
      <c r="I13" s="92">
        <f>IF(T$9="Y",Oct!I43,0)</f>
        <v>0</v>
      </c>
      <c r="J13" s="92">
        <f>IF(T$9="Y",Oct!J43,0)</f>
        <v>0</v>
      </c>
      <c r="K13" s="92">
        <f>IF(T$9="Y",Oct!K43,I13*J13)</f>
        <v>0</v>
      </c>
      <c r="L13" s="111">
        <f>IF(T$9="Y",Oct!L43,0)</f>
        <v>0</v>
      </c>
      <c r="M13" s="100" t="str">
        <f>IF(E13=" "," ",IF(T$9="Y",Oct!M43,IF((H13+K13+L13)&gt;0,H13+K13+L13,"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IF(Employee!H$86=E$9,Employee!D$86+SUM(M13)+Oct!V43,SUM(M13)+Oct!V43)</f>
        <v>0</v>
      </c>
      <c r="W13" s="49">
        <f>IF(Employee!H$86=E$9,Employee!D$87+SUM(N13)+Oct!W43,SUM(N13)+Oct!W43)</f>
        <v>0</v>
      </c>
      <c r="X13" s="49">
        <f>IF(O13=" ",Oct!X43,O13+Oct!X43)</f>
        <v>0</v>
      </c>
      <c r="Y13" s="49">
        <f>IF(P13=" ",Oct!Y43,P13+Oct!Y43)</f>
        <v>0</v>
      </c>
      <c r="Z13" s="49">
        <f>IF(Q13=" ",Oct!Z43,Q13+Oct!Z43)</f>
        <v>0</v>
      </c>
      <c r="AA13" s="49">
        <f>IF(R13=" ",Oct!AA43,R13+Oct!AA43)</f>
        <v>0</v>
      </c>
      <c r="AC13" s="49">
        <f>IF(T13=" ",Oct!AC43,T13+Oct!AC43)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IF(T$9="Y",Oct!H44,0)</f>
        <v>0</v>
      </c>
      <c r="I14" s="92">
        <f>IF(T$9="Y",Oct!I44,0)</f>
        <v>0</v>
      </c>
      <c r="J14" s="92">
        <f>IF(T$9="Y",Oct!J44,0)</f>
        <v>0</v>
      </c>
      <c r="K14" s="92">
        <f>IF(T$9="Y",Oct!K44,I14*J14)</f>
        <v>0</v>
      </c>
      <c r="L14" s="111">
        <f>IF(T$9="Y",Oct!L44,0)</f>
        <v>0</v>
      </c>
      <c r="M14" s="100" t="str">
        <f>IF(E14=" "," ",IF(T$9="Y",Oct!M44,IF((H14+K14+L14)&gt;0,H14+K14+L14,"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IF(Employee!H$112=E$9,Employee!D$112+SUM(M14)+Oct!V44,SUM(M14)+Oct!V44)</f>
        <v>0</v>
      </c>
      <c r="W14" s="49">
        <f>IF(Employee!H$112=E$9,Employee!D$113+SUM(N14)+Oct!W44,SUM(N14)+Oct!W44)</f>
        <v>0</v>
      </c>
      <c r="X14" s="49">
        <f>IF(O14=" ",Oct!X44,O14+Oct!X44)</f>
        <v>0</v>
      </c>
      <c r="Y14" s="49">
        <f>IF(P14=" ",Oct!Y44,P14+Oct!Y44)</f>
        <v>0</v>
      </c>
      <c r="Z14" s="49">
        <f>IF(Q14=" ",Oct!Z44,Q14+Oct!Z44)</f>
        <v>0</v>
      </c>
      <c r="AA14" s="49">
        <f>IF(R14=" ",Oct!AA44,R14+Oct!AA44)</f>
        <v>0</v>
      </c>
      <c r="AC14" s="49">
        <f>IF(T14=" ",Oct!AC44,T14+Oct!AC44)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IF(T$9="Y",Oct!H45,0)</f>
        <v>0</v>
      </c>
      <c r="I15" s="245">
        <f>IF(T$9="Y",Oct!I45,0)</f>
        <v>0</v>
      </c>
      <c r="J15" s="245">
        <f>IF(T$9="Y",Oct!J45,0)</f>
        <v>0</v>
      </c>
      <c r="K15" s="245">
        <f>IF(T$9="Y",Oct!K45,I15*J15)</f>
        <v>0</v>
      </c>
      <c r="L15" s="246">
        <f>IF(T$9="Y",Oct!L45,0)</f>
        <v>0</v>
      </c>
      <c r="M15" s="247" t="str">
        <f>IF(E15=" "," ",IF(T$9="Y",Oct!M45,IF((H15+K15+L15)&gt;0,H15+K15+L15,"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IF(Employee!H$138=E$9,Employee!D$138+SUM(M15)+Oct!V45,SUM(M15)+Oct!V45)</f>
        <v>0</v>
      </c>
      <c r="W15" s="49">
        <f>IF(Employee!H$138=E$9,Employee!D$139+SUM(N15)+Oct!W45,SUM(N15)+Oct!W45)</f>
        <v>0</v>
      </c>
      <c r="X15" s="49">
        <f>IF(O15=" ",Oct!X45,O15+Oct!X45)</f>
        <v>0</v>
      </c>
      <c r="Y15" s="49">
        <f>IF(P15=" ",Oct!Y45,P15+Oct!Y45)</f>
        <v>0</v>
      </c>
      <c r="Z15" s="49">
        <f>IF(Q15=" ",Oct!Z45,Q15+Oct!Z45)</f>
        <v>0</v>
      </c>
      <c r="AA15" s="49">
        <f>IF(R15=" ",Oct!AA45,R15+Oct!AA45)</f>
        <v>0</v>
      </c>
      <c r="AC15" s="49">
        <f>IF(T15=" ",Oct!AC45,T15+Oct!AC45)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IF(T$49="Y",Oct!H51,0)</f>
        <v>0</v>
      </c>
      <c r="I51" s="89">
        <f>IF(T$49="Y",Oct!I51,0)</f>
        <v>0</v>
      </c>
      <c r="J51" s="89">
        <f>IF(T$49="Y",Oct!J51,0)</f>
        <v>0</v>
      </c>
      <c r="K51" s="89">
        <f>IF(T$49="Y",Oct!K51,I51*J51)</f>
        <v>0</v>
      </c>
      <c r="L51" s="110">
        <f>IF(T$49="Y",Oct!L51,0)</f>
        <v>0</v>
      </c>
      <c r="M51" s="99" t="str">
        <f>IF(E51=" "," ",IF(T$49="Y",Oct!M51,IF((H51+K51+L51)&gt;0,H51+K51+L51,"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IF(Employee!H$35=E$49,Employee!D$34+SUM(M51)+Oct!V51,SUM(M51)+Oct!V51)</f>
        <v>0</v>
      </c>
      <c r="W51" s="49">
        <f>IF(Employee!H$35=E$49,Employee!D$35+SUM(N51)+Oct!W51,SUM(N51)+Oct!W51)</f>
        <v>0</v>
      </c>
      <c r="X51" s="49">
        <f>IF(O51=" ",Oct!X51,O51+Oct!X51)</f>
        <v>0</v>
      </c>
      <c r="Y51" s="49">
        <f>IF(P51=" ",Oct!Y51,P51+Oct!Y51)</f>
        <v>0</v>
      </c>
      <c r="Z51" s="49">
        <f>IF(Q51=" ",Oct!Z51,Q51+Oct!Z51)</f>
        <v>0</v>
      </c>
      <c r="AA51" s="49">
        <f>IF(R51=" ",Oct!AA51,R51+Oct!AA51)</f>
        <v>0</v>
      </c>
      <c r="AC51" s="49">
        <f>IF(T51=" ",Oct!AC51,T51+Oct!AC51)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IF(T$49="Y",Oct!H52,0)</f>
        <v>0</v>
      </c>
      <c r="I52" s="92">
        <f>IF(T$49="Y",Oct!I52,0)</f>
        <v>0</v>
      </c>
      <c r="J52" s="92">
        <f>IF(T$49="Y",Oct!J52,0)</f>
        <v>0</v>
      </c>
      <c r="K52" s="92">
        <f>IF(T$49="Y",Oct!K52,I52*J52)</f>
        <v>0</v>
      </c>
      <c r="L52" s="111">
        <f>IF(T$49="Y",Oct!L52,0)</f>
        <v>0</v>
      </c>
      <c r="M52" s="100" t="str">
        <f>IF(E52=" "," ",IF(T$49="Y",Oct!M52,IF((H52+K52+L52)&gt;0,H52+K52+L52,"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IF(Employee!H$61=E$49,Employee!D$60+SUM(M52)+Oct!V52,SUM(M52)+Oct!V52)</f>
        <v>0</v>
      </c>
      <c r="W52" s="49">
        <f>IF(Employee!H$61=E$49,Employee!D$61+SUM(N52)+Oct!W52,SUM(N52)+Oct!W52)</f>
        <v>0</v>
      </c>
      <c r="X52" s="49">
        <f>IF(O52=" ",Oct!X52,O52+Oct!X52)</f>
        <v>0</v>
      </c>
      <c r="Y52" s="49">
        <f>IF(P52=" ",Oct!Y52,P52+Oct!Y52)</f>
        <v>0</v>
      </c>
      <c r="Z52" s="49">
        <f>IF(Q52=" ",Oct!Z52,Q52+Oct!Z52)</f>
        <v>0</v>
      </c>
      <c r="AA52" s="49">
        <f>IF(R52=" ",Oct!AA52,R52+Oct!AA52)</f>
        <v>0</v>
      </c>
      <c r="AC52" s="49">
        <f>IF(T52=" ",Oct!AC52,T52+Oct!AC52)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IF(T$49="Y",Oct!H53,0)</f>
        <v>0</v>
      </c>
      <c r="I53" s="92">
        <f>IF(T$49="Y",Oct!I53,0)</f>
        <v>0</v>
      </c>
      <c r="J53" s="92">
        <f>IF(T$49="Y",Oct!J53,0)</f>
        <v>0</v>
      </c>
      <c r="K53" s="92">
        <f>IF(T$49="Y",Oct!K53,I53*J53)</f>
        <v>0</v>
      </c>
      <c r="L53" s="111">
        <f>IF(T$49="Y",Oct!L53,0)</f>
        <v>0</v>
      </c>
      <c r="M53" s="100" t="str">
        <f>IF(E53=" "," ",IF(T$49="Y",Oct!M53,IF((H53+K53+L53)&gt;0,H53+K53+L53,"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IF(Employee!H$87=E$49,Employee!D$86+SUM(M53)+Oct!V53,SUM(M53)+Oct!V53)</f>
        <v>0</v>
      </c>
      <c r="W53" s="49">
        <f>IF(Employee!H$87=E$49,Employee!D$87+SUM(N53)+Oct!W53,SUM(N53)+Oct!W53)</f>
        <v>0</v>
      </c>
      <c r="X53" s="49">
        <f>IF(O53=" ",Oct!X53,O53+Oct!X53)</f>
        <v>0</v>
      </c>
      <c r="Y53" s="49">
        <f>IF(P53=" ",Oct!Y53,P53+Oct!Y53)</f>
        <v>0</v>
      </c>
      <c r="Z53" s="49">
        <f>IF(Q53=" ",Oct!Z53,Q53+Oct!Z53)</f>
        <v>0</v>
      </c>
      <c r="AA53" s="49">
        <f>IF(R53=" ",Oct!AA53,R53+Oct!AA53)</f>
        <v>0</v>
      </c>
      <c r="AC53" s="49">
        <f>IF(T53=" ",Oct!AC53,T53+Oct!AC53)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IF(T$49="Y",Oct!H54,0)</f>
        <v>0</v>
      </c>
      <c r="I54" s="92">
        <f>IF(T$49="Y",Oct!I54,0)</f>
        <v>0</v>
      </c>
      <c r="J54" s="92">
        <f>IF(T$49="Y",Oct!J54,0)</f>
        <v>0</v>
      </c>
      <c r="K54" s="92">
        <f>IF(T$49="Y",Oct!K54,I54*J54)</f>
        <v>0</v>
      </c>
      <c r="L54" s="111">
        <f>IF(T$49="Y",Oct!L54,0)</f>
        <v>0</v>
      </c>
      <c r="M54" s="100" t="str">
        <f>IF(E54=" "," ",IF(T$49="Y",Oct!M54,IF((H54+K54+L54)&gt;0,H54+K54+L54,"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IF(Employee!H$113=E$49,Employee!D$112+SUM(M54)+Oct!V54,SUM(M54)+Oct!V54)</f>
        <v>0</v>
      </c>
      <c r="W54" s="49">
        <f>IF(Employee!H$113=E$49,Employee!D$113+SUM(N54)+Oct!W54,SUM(N54)+Oct!W54)</f>
        <v>0</v>
      </c>
      <c r="X54" s="49">
        <f>IF(O54=" ",Oct!X54,O54+Oct!X54)</f>
        <v>0</v>
      </c>
      <c r="Y54" s="49">
        <f>IF(P54=" ",Oct!Y54,P54+Oct!Y54)</f>
        <v>0</v>
      </c>
      <c r="Z54" s="49">
        <f>IF(Q54=" ",Oct!Z54,Q54+Oct!Z54)</f>
        <v>0</v>
      </c>
      <c r="AA54" s="49">
        <f>IF(R54=" ",Oct!AA54,R54+Oct!AA54)</f>
        <v>0</v>
      </c>
      <c r="AC54" s="49">
        <f>IF(T54=" ",Oct!AC54,T54+Oct!AC54)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IF(T$49="Y",Oct!H55,0)</f>
        <v>0</v>
      </c>
      <c r="I55" s="245">
        <f>IF(T$49="Y",Oct!I55,0)</f>
        <v>0</v>
      </c>
      <c r="J55" s="245">
        <f>IF(T$49="Y",Oct!J55,0)</f>
        <v>0</v>
      </c>
      <c r="K55" s="245">
        <f>IF(T$49="Y",Oct!K55,I55*J55)</f>
        <v>0</v>
      </c>
      <c r="L55" s="246">
        <f>IF(T$49="Y",Oct!L55,0)</f>
        <v>0</v>
      </c>
      <c r="M55" s="100" t="str">
        <f>IF(E55=" "," ",IF(T$49="Y",Oct!M55,IF((H55+K55+L55)&gt;0,H55+K55+L55,"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IF(Employee!H$139=E$49,Employee!D$138+SUM(M55)+Oct!V55,SUM(M55)+Oct!V55)</f>
        <v>0</v>
      </c>
      <c r="W55" s="49">
        <f>IF(Employee!H$139=E$49,Employee!D$139+SUM(N55)+Oct!W55,SUM(N55)+Oct!W55)</f>
        <v>0</v>
      </c>
      <c r="X55" s="49">
        <f>IF(O55=" ",Oct!X55,O55+Oct!X55)</f>
        <v>0</v>
      </c>
      <c r="Y55" s="49">
        <f>IF(P55=" ",Oct!Y55,P55+Oct!Y55)</f>
        <v>0</v>
      </c>
      <c r="Z55" s="49">
        <f>IF(Q55=" ",Oct!Z55,Q55+Oct!Z55)</f>
        <v>0</v>
      </c>
      <c r="AA55" s="49">
        <f>IF(R55=" ",Oct!AA55,R55+Oct!AA55)</f>
        <v>0</v>
      </c>
      <c r="AC55" s="49">
        <f>IF(T55=" ",Oct!AC55,T55+Oct!AC55)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AD60+Oct!AD65</f>
        <v>0</v>
      </c>
      <c r="AE65" s="158">
        <f>AE60+Oct!AE65</f>
        <v>0</v>
      </c>
      <c r="AF65" s="158">
        <f>AF60+Oct!AF65</f>
        <v>0</v>
      </c>
      <c r="AG65" s="158">
        <f>AG60+Oct!AG65</f>
        <v>0</v>
      </c>
    </row>
    <row r="66" spans="6:33" ht="14" thickTop="1" x14ac:dyDescent="0.15"/>
    <row r="67" spans="6:33" x14ac:dyDescent="0.15">
      <c r="AD67" s="162"/>
      <c r="AE67" s="158">
        <f>AE62+Oct!AE67</f>
        <v>0</v>
      </c>
      <c r="AF67" s="158">
        <f>AF62+Oct!AF67</f>
        <v>0</v>
      </c>
      <c r="AG67" s="158">
        <f>AG62+Oct!AG67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Nov!M39+1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110" t="str">
        <f>IF(E11=" "," ",IF(T$9="Y",Nov!M41,IF((H11+K11+L11)&gt;0,H11+K11+L11,"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11" t="str">
        <f>IF(E12=" "," ",IF(T$9="Y",Nov!M42,IF((H12+K12+L12)&gt;0,H12+K12+L12,"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11" t="str">
        <f>IF(E13=" "," ",IF(T$9="Y",Nov!M43,IF((H13+K13+L13)&gt;0,H13+K13+L13,"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11" t="str">
        <f>IF(E14=" "," ",IF(T$9="Y",Nov!M44,IF((H14+K14+L14)&gt;0,H14+K14+L14,"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111" t="str">
        <f>IF(E15=" "," ",IF(T$9="Y",Nov!M45,IF((H15+K15+L15)&gt;0,H15+K15+L15,"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IF(T$59="Y",Nov!H51,0)</f>
        <v>0</v>
      </c>
      <c r="I61" s="89">
        <f>IF(T$59="Y",Nov!I51,0)</f>
        <v>0</v>
      </c>
      <c r="J61" s="89">
        <f>IF(T$59="Y",Nov!J51,0)</f>
        <v>0</v>
      </c>
      <c r="K61" s="89">
        <f>IF(T$59="Y",Nov!K51,I61*J61)</f>
        <v>0</v>
      </c>
      <c r="L61" s="110">
        <f>IF(T$59="Y",Nov!L51,0)</f>
        <v>0</v>
      </c>
      <c r="M61" s="99" t="str">
        <f>IF(E61=" "," ",IF(T$59="Y",Nov!M51,IF((H61+K61+L61)&gt;0,H61+K61+L61,"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IF(Employee!H$35=E$59,Employee!D$34+SUM(M61)+Nov!V51,SUM(M61)+Nov!V51)</f>
        <v>0</v>
      </c>
      <c r="W61" s="49">
        <f>IF(Employee!H$35=E$59,Employee!D$35+SUM(N61)+Nov!W51,SUM(N61)+Nov!W51)</f>
        <v>0</v>
      </c>
      <c r="X61" s="49">
        <f>IF(O61=" ",Nov!X51,O61+Nov!X51)</f>
        <v>0</v>
      </c>
      <c r="Y61" s="49">
        <f>IF(P61=" ",Nov!Y51,P61+Nov!Y51)</f>
        <v>0</v>
      </c>
      <c r="Z61" s="49">
        <f>IF(Q61=" ",Nov!Z51,Q61+Nov!Z51)</f>
        <v>0</v>
      </c>
      <c r="AA61" s="49">
        <f>IF(R61=" ",Nov!AA51,R61+Nov!AA51)</f>
        <v>0</v>
      </c>
      <c r="AC61" s="49">
        <f>IF(T61=" ",Nov!AC51,T61+Nov!AC51)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IF(T$59="Y",Nov!H52,0)</f>
        <v>0</v>
      </c>
      <c r="I62" s="92">
        <f>IF(T$59="Y",Nov!I52,0)</f>
        <v>0</v>
      </c>
      <c r="J62" s="92">
        <f>IF(T$59="Y",Nov!J52,0)</f>
        <v>0</v>
      </c>
      <c r="K62" s="92">
        <f>IF(T$59="Y",Nov!K52,I62*J62)</f>
        <v>0</v>
      </c>
      <c r="L62" s="111">
        <f>IF(T$59="Y",Nov!L52,0)</f>
        <v>0</v>
      </c>
      <c r="M62" s="100" t="str">
        <f>IF(E62=" "," ",IF(T$59="Y",Nov!M52,IF((H62+K62+L62)&gt;0,H62+K62+L62,"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IF(Employee!H$61=E$59,Employee!D$60+SUM(M62)+Nov!V52,SUM(M62)+Nov!V52)</f>
        <v>0</v>
      </c>
      <c r="W62" s="49">
        <f>IF(Employee!H$61=E$59,Employee!D$61+SUM(N62)+Nov!W52,SUM(N62)+Nov!W52)</f>
        <v>0</v>
      </c>
      <c r="X62" s="49">
        <f>IF(O62=" ",Nov!X52,O62+Nov!X52)</f>
        <v>0</v>
      </c>
      <c r="Y62" s="49">
        <f>IF(P62=" ",Nov!Y52,P62+Nov!Y52)</f>
        <v>0</v>
      </c>
      <c r="Z62" s="49">
        <f>IF(Q62=" ",Nov!Z52,Q62+Nov!Z52)</f>
        <v>0</v>
      </c>
      <c r="AA62" s="49">
        <f>IF(R62=" ",Nov!AA52,R62+Nov!AA52)</f>
        <v>0</v>
      </c>
      <c r="AC62" s="49">
        <f>IF(T62=" ",Nov!AC52,T62+Nov!AC52)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IF(T$59="Y",Nov!H53,0)</f>
        <v>0</v>
      </c>
      <c r="I63" s="92">
        <f>IF(T$59="Y",Nov!I53,0)</f>
        <v>0</v>
      </c>
      <c r="J63" s="92">
        <f>IF(T$59="Y",Nov!J53,0)</f>
        <v>0</v>
      </c>
      <c r="K63" s="92">
        <f>IF(T$59="Y",Nov!K53,I63*J63)</f>
        <v>0</v>
      </c>
      <c r="L63" s="111">
        <f>IF(T$59="Y",Nov!L53,0)</f>
        <v>0</v>
      </c>
      <c r="M63" s="100" t="str">
        <f>IF(E63=" "," ",IF(T$59="Y",Nov!M53,IF((H63+K63+L63)&gt;0,H63+K63+L63,"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IF(Employee!H$87=E$59,Employee!D$86+SUM(M63)+Nov!V53,SUM(M63)+Nov!V53)</f>
        <v>0</v>
      </c>
      <c r="W63" s="49">
        <f>IF(Employee!H$87=E$59,Employee!D$87+SUM(N63)+Nov!W53,SUM(N63)+Nov!W53)</f>
        <v>0</v>
      </c>
      <c r="X63" s="49">
        <f>IF(O63=" ",Nov!X53,O63+Nov!X53)</f>
        <v>0</v>
      </c>
      <c r="Y63" s="49">
        <f>IF(P63=" ",Nov!Y53,P63+Nov!Y53)</f>
        <v>0</v>
      </c>
      <c r="Z63" s="49">
        <f>IF(Q63=" ",Nov!Z53,Q63+Nov!Z53)</f>
        <v>0</v>
      </c>
      <c r="AA63" s="49">
        <f>IF(R63=" ",Nov!AA53,R63+Nov!AA53)</f>
        <v>0</v>
      </c>
      <c r="AC63" s="49">
        <f>IF(T63=" ",Nov!AC53,T63+Nov!AC53)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IF(T$59="Y",Nov!H54,0)</f>
        <v>0</v>
      </c>
      <c r="I64" s="92">
        <f>IF(T$59="Y",Nov!I54,0)</f>
        <v>0</v>
      </c>
      <c r="J64" s="92">
        <f>IF(T$59="Y",Nov!J54,0)</f>
        <v>0</v>
      </c>
      <c r="K64" s="92">
        <f>IF(T$59="Y",Nov!K54,I64*J64)</f>
        <v>0</v>
      </c>
      <c r="L64" s="111">
        <f>IF(T$59="Y",Nov!L54,0)</f>
        <v>0</v>
      </c>
      <c r="M64" s="100" t="str">
        <f>IF(E64=" "," ",IF(T$59="Y",Nov!M54,IF((H64+K64+L64)&gt;0,H64+K64+L64,"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IF(Employee!H$113=E$59,Employee!D$112+SUM(M64)+Nov!V54,SUM(M64)+Nov!V54)</f>
        <v>0</v>
      </c>
      <c r="W64" s="49">
        <f>IF(Employee!H$113=E$59,Employee!D$113+SUM(N64)+Nov!W54,SUM(N64)+Nov!W54)</f>
        <v>0</v>
      </c>
      <c r="X64" s="49">
        <f>IF(O64=" ",Nov!X54,O64+Nov!X54)</f>
        <v>0</v>
      </c>
      <c r="Y64" s="49">
        <f>IF(P64=" ",Nov!Y54,P64+Nov!Y54)</f>
        <v>0</v>
      </c>
      <c r="Z64" s="49">
        <f>IF(Q64=" ",Nov!Z54,Q64+Nov!Z54)</f>
        <v>0</v>
      </c>
      <c r="AA64" s="49">
        <f>IF(R64=" ",Nov!AA54,R64+Nov!AA54)</f>
        <v>0</v>
      </c>
      <c r="AC64" s="49">
        <f>IF(T64=" ",Nov!AC54,T64+Nov!AC54)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IF(T$59="Y",Nov!H55,0)</f>
        <v>0</v>
      </c>
      <c r="I65" s="245">
        <f>IF(T$59="Y",Nov!I55,0)</f>
        <v>0</v>
      </c>
      <c r="J65" s="245">
        <f>IF(T$59="Y",Nov!J55,0)</f>
        <v>0</v>
      </c>
      <c r="K65" s="245">
        <f>IF(T$59="Y",Nov!K55,I65*J65)</f>
        <v>0</v>
      </c>
      <c r="L65" s="246">
        <f>IF(T$59="Y",Nov!L55,0)</f>
        <v>0</v>
      </c>
      <c r="M65" s="100" t="str">
        <f>IF(E65=" "," ",IF(T$59="Y",Nov!M55,IF((H65+K65+L65)&gt;0,H65+K65+L65,"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IF(Employee!H$139=E$59,Employee!D$138+SUM(M65)+Nov!V55,SUM(M65)+Nov!V55)</f>
        <v>0</v>
      </c>
      <c r="W65" s="49">
        <f>IF(Employee!H$139=E$59,Employee!D$139+SUM(N65)+Nov!W55,SUM(N65)+Nov!W55)</f>
        <v>0</v>
      </c>
      <c r="X65" s="49">
        <f>IF(O65=" ",Nov!X55,O65+Nov!X55)</f>
        <v>0</v>
      </c>
      <c r="Y65" s="49">
        <f>IF(P65=" ",Nov!Y55,P65+Nov!Y55)</f>
        <v>0</v>
      </c>
      <c r="Z65" s="49">
        <f>IF(Q65=" ",Nov!Z55,Q65+Nov!Z55)</f>
        <v>0</v>
      </c>
      <c r="AA65" s="49">
        <f>IF(R65=" ",Nov!AA55,R65+Nov!AA55)</f>
        <v>0</v>
      </c>
      <c r="AC65" s="49">
        <f>IF(T65=" ",Nov!AC55,T65+Nov!AC55)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AD70+Nov!AD65</f>
        <v>0</v>
      </c>
      <c r="AE75" s="158">
        <f>AE70+Nov!AE65</f>
        <v>0</v>
      </c>
      <c r="AF75" s="158">
        <f>AF70+Nov!AF65</f>
        <v>0</v>
      </c>
      <c r="AG75" s="158">
        <f>AG70+Nov!AG65</f>
        <v>0</v>
      </c>
    </row>
    <row r="76" spans="1:34" ht="14" thickTop="1" x14ac:dyDescent="0.15"/>
    <row r="77" spans="1:34" x14ac:dyDescent="0.15">
      <c r="AD77" s="162"/>
      <c r="AE77" s="158">
        <f>AE72+Nov!AE67</f>
        <v>0</v>
      </c>
      <c r="AF77" s="158">
        <f>AF72+Nov!AF67</f>
        <v>0</v>
      </c>
      <c r="AG77" s="158">
        <f>AG72+Nov!AG67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Dec!M49+1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IF(T$9="Y",Dec!H51,0)</f>
        <v>0</v>
      </c>
      <c r="I11" s="89">
        <f>IF(T$9="Y",Dec!I51,0)</f>
        <v>0</v>
      </c>
      <c r="J11" s="89">
        <f>IF(T$9="Y",Dec!J51,0)</f>
        <v>0</v>
      </c>
      <c r="K11" s="89">
        <f>IF(T$9="Y",Dec!K51,I11*J11)</f>
        <v>0</v>
      </c>
      <c r="L11" s="110">
        <f>IF(T$9="Y",Dec!L51,0)</f>
        <v>0</v>
      </c>
      <c r="M11" s="110" t="str">
        <f>IF(E11=" "," ",IF(T$9="Y",Dec!M51,IF((H11+K11+L11)&gt;0,H11+K11+L11,"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IF(Employee!H$34=E$9,Employee!D$34+SUM(M11)+Dec!V51,SUM(M11)+Dec!V51)</f>
        <v>0</v>
      </c>
      <c r="W11" s="49">
        <f>IF(Employee!H$34=E$9,Employee!D$35+SUM(N11)+Dec!W51,SUM(N11)+Dec!W51)</f>
        <v>0</v>
      </c>
      <c r="X11" s="49">
        <f>IF(O11=" ",Dec!X51,O11+Dec!X51)</f>
        <v>0</v>
      </c>
      <c r="Y11" s="49">
        <f>IF(P11=" ",Dec!Y51,P11+Dec!Y51)</f>
        <v>0</v>
      </c>
      <c r="Z11" s="49">
        <f>IF(Q11=" ",Dec!Z51,Q11+Dec!Z51)</f>
        <v>0</v>
      </c>
      <c r="AA11" s="49">
        <f>IF(R11=" ",Dec!AA51,R11+Dec!AA51)</f>
        <v>0</v>
      </c>
      <c r="AC11" s="49">
        <f>IF(T11=" ",Dec!AC51,T11+Dec!AC51)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IF(T$9="Y",Dec!H52,0)</f>
        <v>0</v>
      </c>
      <c r="I12" s="92">
        <f>IF(T$9="Y",Dec!I52,0)</f>
        <v>0</v>
      </c>
      <c r="J12" s="92">
        <f>IF(T$9="Y",Dec!J52,0)</f>
        <v>0</v>
      </c>
      <c r="K12" s="92">
        <f>IF(T$9="Y",Dec!K52,I12*J12)</f>
        <v>0</v>
      </c>
      <c r="L12" s="111">
        <f>IF(T$9="Y",Dec!L52,0)</f>
        <v>0</v>
      </c>
      <c r="M12" s="111" t="str">
        <f>IF(E12=" "," ",IF(T$9="Y",Dec!M52,IF((H12+K12+L12)&gt;0,H12+K12+L12,"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IF(Employee!H$60=E$9,Employee!D$60+SUM(M12)+Dec!V52,SUM(M12)+Dec!V52)</f>
        <v>0</v>
      </c>
      <c r="W12" s="49">
        <f>IF(Employee!H$60=E$9,Employee!D$61+SUM(N12)+Dec!W52,SUM(N12)+Dec!W52)</f>
        <v>0</v>
      </c>
      <c r="X12" s="49">
        <f>IF(O12=" ",Dec!X52,O12+Dec!X52)</f>
        <v>0</v>
      </c>
      <c r="Y12" s="49">
        <f>IF(P12=" ",Dec!Y52,P12+Dec!Y52)</f>
        <v>0</v>
      </c>
      <c r="Z12" s="49">
        <f>IF(Q12=" ",Dec!Z52,Q12+Dec!Z52)</f>
        <v>0</v>
      </c>
      <c r="AA12" s="49">
        <f>IF(R12=" ",Dec!AA52,R12+Dec!AA52)</f>
        <v>0</v>
      </c>
      <c r="AC12" s="49">
        <f>IF(T12=" ",Dec!AC52,T12+Dec!AC52)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IF(T$9="Y",Dec!H53,0)</f>
        <v>0</v>
      </c>
      <c r="I13" s="92">
        <f>IF(T$9="Y",Dec!I53,0)</f>
        <v>0</v>
      </c>
      <c r="J13" s="92">
        <f>IF(T$9="Y",Dec!J53,0)</f>
        <v>0</v>
      </c>
      <c r="K13" s="92">
        <f>IF(T$9="Y",Dec!K53,I13*J13)</f>
        <v>0</v>
      </c>
      <c r="L13" s="111">
        <f>IF(T$9="Y",Dec!L53,0)</f>
        <v>0</v>
      </c>
      <c r="M13" s="111" t="str">
        <f>IF(E13=" "," ",IF(T$9="Y",Dec!M53,IF((H13+K13+L13)&gt;0,H13+K13+L13,"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IF(Employee!H$86=E$9,Employee!D$86+SUM(M13)+Dec!V53,SUM(M13)+Dec!V53)</f>
        <v>0</v>
      </c>
      <c r="W13" s="49">
        <f>IF(Employee!H$86=E$9,Employee!D$87+SUM(N13)+Dec!W53,SUM(N13)+Dec!W53)</f>
        <v>0</v>
      </c>
      <c r="X13" s="49">
        <f>IF(O13=" ",Dec!X53,O13+Dec!X53)</f>
        <v>0</v>
      </c>
      <c r="Y13" s="49">
        <f>IF(P13=" ",Dec!Y53,P13+Dec!Y53)</f>
        <v>0</v>
      </c>
      <c r="Z13" s="49">
        <f>IF(Q13=" ",Dec!Z53,Q13+Dec!Z53)</f>
        <v>0</v>
      </c>
      <c r="AA13" s="49">
        <f>IF(R13=" ",Dec!AA53,R13+Dec!AA53)</f>
        <v>0</v>
      </c>
      <c r="AC13" s="49">
        <f>IF(T13=" ",Dec!AC53,T13+Dec!AC53)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IF(T$9="Y",Dec!H54,0)</f>
        <v>0</v>
      </c>
      <c r="I14" s="92">
        <f>IF(T$9="Y",Dec!I54,0)</f>
        <v>0</v>
      </c>
      <c r="J14" s="92">
        <f>IF(T$9="Y",Dec!J54,0)</f>
        <v>0</v>
      </c>
      <c r="K14" s="92">
        <f>IF(T$9="Y",Dec!K54,I14*J14)</f>
        <v>0</v>
      </c>
      <c r="L14" s="111">
        <f>IF(T$9="Y",Dec!L54,0)</f>
        <v>0</v>
      </c>
      <c r="M14" s="111" t="str">
        <f>IF(E14=" "," ",IF(T$9="Y",Dec!M54,IF((H14+K14+L14)&gt;0,H14+K14+L14,"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IF(Employee!H$112=E$9,Employee!D$112+SUM(M14)+Dec!V54,SUM(M14)+Dec!V54)</f>
        <v>0</v>
      </c>
      <c r="W14" s="49">
        <f>IF(Employee!H$112=E$9,Employee!D$113+SUM(N14)+Dec!W54,SUM(N14)+Dec!W54)</f>
        <v>0</v>
      </c>
      <c r="X14" s="49">
        <f>IF(O14=" ",Dec!X54,O14+Dec!X54)</f>
        <v>0</v>
      </c>
      <c r="Y14" s="49">
        <f>IF(P14=" ",Dec!Y54,P14+Dec!Y54)</f>
        <v>0</v>
      </c>
      <c r="Z14" s="49">
        <f>IF(Q14=" ",Dec!Z54,Q14+Dec!Z54)</f>
        <v>0</v>
      </c>
      <c r="AA14" s="49">
        <f>IF(R14=" ",Dec!AA54,R14+Dec!AA54)</f>
        <v>0</v>
      </c>
      <c r="AC14" s="49">
        <f>IF(T14=" ",Dec!AC54,T14+Dec!AC54)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IF(T$9="Y",Dec!H55,0)</f>
        <v>0</v>
      </c>
      <c r="I15" s="245">
        <f>IF(T$9="Y",Dec!I55,0)</f>
        <v>0</v>
      </c>
      <c r="J15" s="245">
        <f>IF(T$9="Y",Dec!J55,0)</f>
        <v>0</v>
      </c>
      <c r="K15" s="245">
        <f>IF(T$9="Y",Dec!K55,I15*J15)</f>
        <v>0</v>
      </c>
      <c r="L15" s="246">
        <f>IF(T$9="Y",Dec!L55,0)</f>
        <v>0</v>
      </c>
      <c r="M15" s="111" t="str">
        <f>IF(E15=" "," ",IF(T$9="Y",Dec!M55,IF((H15+K15+L15)&gt;0,H15+K15+L15,"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IF(Employee!H$138=E$9,Employee!D$138+SUM(M15)+Dec!V55,SUM(M15)+Dec!V55)</f>
        <v>0</v>
      </c>
      <c r="W15" s="49">
        <f>IF(Employee!H$138=E$9,Employee!D$139+SUM(N15)+Dec!W55,SUM(N15)+Dec!W55)</f>
        <v>0</v>
      </c>
      <c r="X15" s="49">
        <f>IF(O15=" ",Dec!X55,O15+Dec!X55)</f>
        <v>0</v>
      </c>
      <c r="Y15" s="49">
        <f>IF(P15=" ",Dec!Y55,P15+Dec!Y55)</f>
        <v>0</v>
      </c>
      <c r="Z15" s="49">
        <f>IF(Q15=" ",Dec!Z55,Q15+Dec!Z55)</f>
        <v>0</v>
      </c>
      <c r="AA15" s="49">
        <f>IF(R15=" ",Dec!AA55,R15+Dec!AA55)</f>
        <v>0</v>
      </c>
      <c r="AC15" s="49">
        <f>IF(T15=" ",Dec!AC55,T15+Dec!AC55)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IF(T$49="Y",Dec!H61,0)</f>
        <v>0</v>
      </c>
      <c r="I51" s="89">
        <f>IF(T$49="Y",Dec!I61,0)</f>
        <v>0</v>
      </c>
      <c r="J51" s="89">
        <f>IF(T$49="Y",Dec!J61,0)</f>
        <v>0</v>
      </c>
      <c r="K51" s="89">
        <f>IF(T$49="Y",Dec!K61,I51*J51)</f>
        <v>0</v>
      </c>
      <c r="L51" s="110">
        <f>IF(T$49="Y",Dec!L61,0)</f>
        <v>0</v>
      </c>
      <c r="M51" s="99" t="str">
        <f>IF(E51=" "," ",IF(T$49="Y",Dec!M61,IF((H51+K51+L51)&gt;0,H51+K51+L51,"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IF(Employee!H$35=E$49,Employee!D$34+SUM(M51)+Dec!V61,SUM(M51)+Dec!V61)</f>
        <v>0</v>
      </c>
      <c r="W51" s="49">
        <f>IF(Employee!H$35=E$49,Employee!D$35+SUM(N51)+Dec!W61,SUM(N51)+Dec!W61)</f>
        <v>0</v>
      </c>
      <c r="X51" s="49">
        <f>IF(O51=" ",Dec!X61,O51+Dec!X61)</f>
        <v>0</v>
      </c>
      <c r="Y51" s="49">
        <f>IF(P51=" ",Dec!Y61,P51+Dec!Y61)</f>
        <v>0</v>
      </c>
      <c r="Z51" s="49">
        <f>IF(Q51=" ",Dec!Z61,Q51+Dec!Z61)</f>
        <v>0</v>
      </c>
      <c r="AA51" s="49">
        <f>IF(R51=" ",Dec!AA61,R51+Dec!AA61)</f>
        <v>0</v>
      </c>
      <c r="AC51" s="49">
        <f>IF(T51=" ",Dec!AC61,T51+Dec!AC61)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IF(T$49="Y",Dec!H62,0)</f>
        <v>0</v>
      </c>
      <c r="I52" s="92">
        <f>IF(T$49="Y",Dec!I62,0)</f>
        <v>0</v>
      </c>
      <c r="J52" s="92">
        <f>IF(T$49="Y",Dec!J62,0)</f>
        <v>0</v>
      </c>
      <c r="K52" s="92">
        <f>IF(T$49="Y",Dec!K62,I52*J52)</f>
        <v>0</v>
      </c>
      <c r="L52" s="111">
        <f>IF(T$49="Y",Dec!L62,0)</f>
        <v>0</v>
      </c>
      <c r="M52" s="100" t="str">
        <f>IF(E52=" "," ",IF(T$49="Y",Dec!M62,IF((H52+K52+L52)&gt;0,H52+K52+L52,"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IF(Employee!H$61=E$49,Employee!D$60+SUM(M52)+Dec!V62,SUM(M52)+Dec!V62)</f>
        <v>0</v>
      </c>
      <c r="W52" s="49">
        <f>IF(Employee!H$61=E$49,Employee!D$61+SUM(N52)+Dec!W62,SUM(N52)+Dec!W62)</f>
        <v>0</v>
      </c>
      <c r="X52" s="49">
        <f>IF(O52=" ",Dec!X62,O52+Dec!X62)</f>
        <v>0</v>
      </c>
      <c r="Y52" s="49">
        <f>IF(P52=" ",Dec!Y62,P52+Dec!Y62)</f>
        <v>0</v>
      </c>
      <c r="Z52" s="49">
        <f>IF(Q52=" ",Dec!Z62,Q52+Dec!Z62)</f>
        <v>0</v>
      </c>
      <c r="AA52" s="49">
        <f>IF(R52=" ",Dec!AA62,R52+Dec!AA62)</f>
        <v>0</v>
      </c>
      <c r="AC52" s="49">
        <f>IF(T52=" ",Dec!AC62,T52+Dec!AC62)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IF(T$49="Y",Dec!H63,0)</f>
        <v>0</v>
      </c>
      <c r="I53" s="92">
        <f>IF(T$49="Y",Dec!I63,0)</f>
        <v>0</v>
      </c>
      <c r="J53" s="92">
        <f>IF(T$49="Y",Dec!J63,0)</f>
        <v>0</v>
      </c>
      <c r="K53" s="92">
        <f>IF(T$49="Y",Dec!K63,I53*J53)</f>
        <v>0</v>
      </c>
      <c r="L53" s="111">
        <f>IF(T$49="Y",Dec!L63,0)</f>
        <v>0</v>
      </c>
      <c r="M53" s="100" t="str">
        <f>IF(E53=" "," ",IF(T$49="Y",Dec!M63,IF((H53+K53+L53)&gt;0,H53+K53+L53,"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IF(Employee!H$87=E$49,Employee!D$86+SUM(M53)+Dec!V63,SUM(M53)+Dec!V63)</f>
        <v>0</v>
      </c>
      <c r="W53" s="49">
        <f>IF(Employee!H$87=E$49,Employee!D$87+SUM(N53)+Dec!W63,SUM(N53)+Dec!W63)</f>
        <v>0</v>
      </c>
      <c r="X53" s="49">
        <f>IF(O53=" ",Dec!X63,O53+Dec!X63)</f>
        <v>0</v>
      </c>
      <c r="Y53" s="49">
        <f>IF(P53=" ",Dec!Y63,P53+Dec!Y63)</f>
        <v>0</v>
      </c>
      <c r="Z53" s="49">
        <f>IF(Q53=" ",Dec!Z63,Q53+Dec!Z63)</f>
        <v>0</v>
      </c>
      <c r="AA53" s="49">
        <f>IF(R53=" ",Dec!AA63,R53+Dec!AA63)</f>
        <v>0</v>
      </c>
      <c r="AC53" s="49">
        <f>IF(T53=" ",Dec!AC63,T53+Dec!AC63)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IF(T$49="Y",Dec!H64,0)</f>
        <v>0</v>
      </c>
      <c r="I54" s="92">
        <f>IF(T$49="Y",Dec!I64,0)</f>
        <v>0</v>
      </c>
      <c r="J54" s="92">
        <f>IF(T$49="Y",Dec!J64,0)</f>
        <v>0</v>
      </c>
      <c r="K54" s="92">
        <f>IF(T$49="Y",Dec!K64,I54*J54)</f>
        <v>0</v>
      </c>
      <c r="L54" s="111">
        <f>IF(T$49="Y",Dec!L64,0)</f>
        <v>0</v>
      </c>
      <c r="M54" s="100" t="str">
        <f>IF(E54=" "," ",IF(T$49="Y",Dec!M64,IF((H54+K54+L54)&gt;0,H54+K54+L54,"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IF(Employee!H$113=E$49,Employee!D$112+SUM(M54)+Dec!V64,SUM(M54)+Dec!V64)</f>
        <v>0</v>
      </c>
      <c r="W54" s="49">
        <f>IF(Employee!H$113=E$49,Employee!D$113+SUM(N54)+Dec!W64,SUM(N54)+Dec!W64)</f>
        <v>0</v>
      </c>
      <c r="X54" s="49">
        <f>IF(O54=" ",Dec!X64,O54+Dec!X64)</f>
        <v>0</v>
      </c>
      <c r="Y54" s="49">
        <f>IF(P54=" ",Dec!Y64,P54+Dec!Y64)</f>
        <v>0</v>
      </c>
      <c r="Z54" s="49">
        <f>IF(Q54=" ",Dec!Z64,Q54+Dec!Z64)</f>
        <v>0</v>
      </c>
      <c r="AA54" s="49">
        <f>IF(R54=" ",Dec!AA64,R54+Dec!AA64)</f>
        <v>0</v>
      </c>
      <c r="AC54" s="49">
        <f>IF(T54=" ",Dec!AC64,T54+Dec!AC64)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IF(T$49="Y",Dec!H65,0)</f>
        <v>0</v>
      </c>
      <c r="I55" s="245">
        <f>IF(T$49="Y",Dec!I65,0)</f>
        <v>0</v>
      </c>
      <c r="J55" s="245">
        <f>IF(T$49="Y",Dec!J65,0)</f>
        <v>0</v>
      </c>
      <c r="K55" s="245">
        <f>IF(T$49="Y",Dec!K65,I55*J55)</f>
        <v>0</v>
      </c>
      <c r="L55" s="246">
        <f>IF(T$49="Y",Dec!L65,0)</f>
        <v>0</v>
      </c>
      <c r="M55" s="100" t="str">
        <f>IF(E55=" "," ",IF(T$49="Y",Dec!M65,IF((H55+K55+L55)&gt;0,H55+K55+L55,"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IF(Employee!H$139=E$49,Employee!D$138+SUM(M55)+Dec!V65,SUM(M55)+Dec!V65)</f>
        <v>0</v>
      </c>
      <c r="W55" s="49">
        <f>IF(Employee!H$139=E$49,Employee!D$139+SUM(N55)+Dec!W65,SUM(N55)+Dec!W65)</f>
        <v>0</v>
      </c>
      <c r="X55" s="49">
        <f>IF(O55=" ",Dec!X65,O55+Dec!X65)</f>
        <v>0</v>
      </c>
      <c r="Y55" s="49">
        <f>IF(P55=" ",Dec!Y65,P55+Dec!Y65)</f>
        <v>0</v>
      </c>
      <c r="Z55" s="49">
        <f>IF(Q55=" ",Dec!Z65,Q55+Dec!Z65)</f>
        <v>0</v>
      </c>
      <c r="AA55" s="49">
        <f>IF(R55=" ",Dec!AA65,R55+Dec!AA65)</f>
        <v>0</v>
      </c>
      <c r="AC55" s="49">
        <f>IF(T55=" ",Dec!AC65,T55+Dec!AC65)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AD60+Dec!AD75</f>
        <v>0</v>
      </c>
      <c r="AE65" s="158">
        <f>AE60+Dec!AE75</f>
        <v>0</v>
      </c>
      <c r="AF65" s="158">
        <f>AF60+Dec!AF75</f>
        <v>0</v>
      </c>
      <c r="AG65" s="158">
        <f>AG60+Dec!AG75</f>
        <v>0</v>
      </c>
    </row>
    <row r="66" spans="6:33" ht="14" thickTop="1" x14ac:dyDescent="0.15"/>
    <row r="67" spans="6:33" x14ac:dyDescent="0.15">
      <c r="AD67" s="162"/>
      <c r="AE67" s="158">
        <f>AE62+Dec!AE77</f>
        <v>0</v>
      </c>
      <c r="AF67" s="158">
        <f>AF62+Dec!AF77</f>
        <v>0</v>
      </c>
      <c r="AG67" s="158">
        <f>AG62+Dec!AG77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Jan!M39+1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IF(T$9="Y",Jan!H41,0)</f>
        <v>0</v>
      </c>
      <c r="I11" s="89">
        <f>IF(T$9="Y",Jan!I41,0)</f>
        <v>0</v>
      </c>
      <c r="J11" s="89">
        <f>IF(T$9="Y",Jan!J41,0)</f>
        <v>0</v>
      </c>
      <c r="K11" s="89">
        <f>IF(T$9="Y",Jan!K41,I11*J11)</f>
        <v>0</v>
      </c>
      <c r="L11" s="110">
        <f>IF(T$9="Y",Jan!L41,0)</f>
        <v>0</v>
      </c>
      <c r="M11" s="110" t="str">
        <f>IF(E11=" "," ",IF(T$9="Y",Jan!M41,IF((H11+K11+L11)&gt;0,H11+K11+L11,"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IF(Employee!H$34=E$9,Employee!D$34+SUM(M11)+Jan!V41,SUM(M11)+Jan!V41)</f>
        <v>0</v>
      </c>
      <c r="W11" s="49">
        <f>IF(Employee!H$34=E$9,Employee!D$35+SUM(N11)+Jan!W41,SUM(N11)+Jan!W41)</f>
        <v>0</v>
      </c>
      <c r="X11" s="49">
        <f>IF(O11=" ",Jan!X41,O11+Jan!X41)</f>
        <v>0</v>
      </c>
      <c r="Y11" s="49">
        <f>IF(P11=" ",Jan!Y41,P11+Jan!Y41)</f>
        <v>0</v>
      </c>
      <c r="Z11" s="49">
        <f>IF(Q11=" ",Jan!Z41,Q11+Jan!Z41)</f>
        <v>0</v>
      </c>
      <c r="AA11" s="49">
        <f>IF(R11=" ",Jan!AA41,R11+Jan!AA41)</f>
        <v>0</v>
      </c>
      <c r="AC11" s="49">
        <f>IF(T11=" ",Jan!AC41,T11+Jan!AC41)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IF(T$9="Y",Jan!H42,0)</f>
        <v>0</v>
      </c>
      <c r="I12" s="92">
        <f>IF(T$9="Y",Jan!I42,0)</f>
        <v>0</v>
      </c>
      <c r="J12" s="92">
        <f>IF(T$9="Y",Jan!J42,0)</f>
        <v>0</v>
      </c>
      <c r="K12" s="92">
        <f>IF(T$9="Y",Jan!K42,I12*J12)</f>
        <v>0</v>
      </c>
      <c r="L12" s="111">
        <f>IF(T$9="Y",Jan!L42,0)</f>
        <v>0</v>
      </c>
      <c r="M12" s="111" t="str">
        <f>IF(E12=" "," ",IF(T$9="Y",Jan!M42,IF((H12+K12+L12)&gt;0,H12+K12+L12,"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IF(Employee!H$60=E$9,Employee!D$60+SUM(M12)+Jan!V42,SUM(M12)+Jan!V42)</f>
        <v>0</v>
      </c>
      <c r="W12" s="49">
        <f>IF(Employee!H$60=E$9,Employee!D$61+SUM(N12)+Jan!W42,SUM(N12)+Jan!W42)</f>
        <v>0</v>
      </c>
      <c r="X12" s="49">
        <f>IF(O12=" ",Jan!X42,O12+Jan!X42)</f>
        <v>0</v>
      </c>
      <c r="Y12" s="49">
        <f>IF(P12=" ",Jan!Y42,P12+Jan!Y42)</f>
        <v>0</v>
      </c>
      <c r="Z12" s="49">
        <f>IF(Q12=" ",Jan!Z42,Q12+Jan!Z42)</f>
        <v>0</v>
      </c>
      <c r="AA12" s="49">
        <f>IF(R12=" ",Jan!AA42,R12+Jan!AA42)</f>
        <v>0</v>
      </c>
      <c r="AC12" s="49">
        <f>IF(T12=" ",Jan!AC42,T12+Jan!AC42)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IF(T$9="Y",Jan!H43,0)</f>
        <v>0</v>
      </c>
      <c r="I13" s="92">
        <f>IF(T$9="Y",Jan!I43,0)</f>
        <v>0</v>
      </c>
      <c r="J13" s="92">
        <f>IF(T$9="Y",Jan!J43,0)</f>
        <v>0</v>
      </c>
      <c r="K13" s="92">
        <f>IF(T$9="Y",Jan!K43,I13*J13)</f>
        <v>0</v>
      </c>
      <c r="L13" s="111">
        <f>IF(T$9="Y",Jan!L43,0)</f>
        <v>0</v>
      </c>
      <c r="M13" s="111" t="str">
        <f>IF(E13=" "," ",IF(T$9="Y",Jan!M43,IF((H13+K13+L13)&gt;0,H13+K13+L13,"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IF(Employee!H$86=E$9,Employee!D$86+SUM(M13)+Jan!V43,SUM(M13)+Jan!V43)</f>
        <v>0</v>
      </c>
      <c r="W13" s="49">
        <f>IF(Employee!H$86=E$9,Employee!D$87+SUM(N13)+Jan!W43,SUM(N13)+Jan!W43)</f>
        <v>0</v>
      </c>
      <c r="X13" s="49">
        <f>IF(O13=" ",Jan!X43,O13+Jan!X43)</f>
        <v>0</v>
      </c>
      <c r="Y13" s="49">
        <f>IF(P13=" ",Jan!Y43,P13+Jan!Y43)</f>
        <v>0</v>
      </c>
      <c r="Z13" s="49">
        <f>IF(Q13=" ",Jan!Z43,Q13+Jan!Z43)</f>
        <v>0</v>
      </c>
      <c r="AA13" s="49">
        <f>IF(R13=" ",Jan!AA43,R13+Jan!AA43)</f>
        <v>0</v>
      </c>
      <c r="AC13" s="49">
        <f>IF(T13=" ",Jan!AC43,T13+Jan!AC43)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IF(T$9="Y",Jan!H44,0)</f>
        <v>0</v>
      </c>
      <c r="I14" s="92">
        <f>IF(T$9="Y",Jan!I44,0)</f>
        <v>0</v>
      </c>
      <c r="J14" s="92">
        <f>IF(T$9="Y",Jan!J44,0)</f>
        <v>0</v>
      </c>
      <c r="K14" s="92">
        <f>IF(T$9="Y",Jan!K44,I14*J14)</f>
        <v>0</v>
      </c>
      <c r="L14" s="111">
        <f>IF(T$9="Y",Jan!L44,0)</f>
        <v>0</v>
      </c>
      <c r="M14" s="111" t="str">
        <f>IF(E14=" "," ",IF(T$9="Y",Jan!M44,IF((H14+K14+L14)&gt;0,H14+K14+L14,"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IF(Employee!H$112=E$9,Employee!D$112+SUM(M14)+Jan!V44,SUM(M14)+Jan!V44)</f>
        <v>0</v>
      </c>
      <c r="W14" s="49">
        <f>IF(Employee!H$112=E$9,Employee!D$113+SUM(N14)+Jan!W44,SUM(N14)+Jan!W44)</f>
        <v>0</v>
      </c>
      <c r="X14" s="49">
        <f>IF(O14=" ",Jan!X44,O14+Jan!X44)</f>
        <v>0</v>
      </c>
      <c r="Y14" s="49">
        <f>IF(P14=" ",Jan!Y44,P14+Jan!Y44)</f>
        <v>0</v>
      </c>
      <c r="Z14" s="49">
        <f>IF(Q14=" ",Jan!Z44,Q14+Jan!Z44)</f>
        <v>0</v>
      </c>
      <c r="AA14" s="49">
        <f>IF(R14=" ",Jan!AA44,R14+Jan!AA44)</f>
        <v>0</v>
      </c>
      <c r="AC14" s="49">
        <f>IF(T14=" ",Jan!AC44,T14+Jan!AC44)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IF(T$9="Y",Jan!H45,0)</f>
        <v>0</v>
      </c>
      <c r="I15" s="245">
        <f>IF(T$9="Y",Jan!I45,0)</f>
        <v>0</v>
      </c>
      <c r="J15" s="245">
        <f>IF(T$9="Y",Jan!J45,0)</f>
        <v>0</v>
      </c>
      <c r="K15" s="245">
        <f>IF(T$9="Y",Jan!K45,I15*J15)</f>
        <v>0</v>
      </c>
      <c r="L15" s="246">
        <f>IF(T$19="Y",Jan!L45,0)</f>
        <v>0</v>
      </c>
      <c r="M15" s="111" t="str">
        <f>IF(E15=" "," ",IF(T$9="Y",Jan!M45,IF((H15+K15+L15)&gt;0,H15+K15+L15,"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IF(Employee!H$138=E$9,Employee!D$138+SUM(M15)+Jan!V45,SUM(M15)+Jan!V45)</f>
        <v>0</v>
      </c>
      <c r="W15" s="49">
        <f>IF(Employee!H$138=E$9,Employee!D$139+SUM(N15)+Jan!W45,SUM(N15)+Jan!W45)</f>
        <v>0</v>
      </c>
      <c r="X15" s="49">
        <f>IF(O15=" ",Jan!X45,O15+Jan!X45)</f>
        <v>0</v>
      </c>
      <c r="Y15" s="49">
        <f>IF(P15=" ",Jan!Y45,P15+Jan!Y45)</f>
        <v>0</v>
      </c>
      <c r="Z15" s="49">
        <f>IF(Q15=" ",Jan!Z45,Q15+Jan!Z45)</f>
        <v>0</v>
      </c>
      <c r="AA15" s="49">
        <f>IF(R15=" ",Jan!AA45,R15+Jan!AA45)</f>
        <v>0</v>
      </c>
      <c r="AC15" s="49">
        <f>IF(T15=" ",Jan!AC45,T15+Jan!AC45)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IF(T$49="Y",Jan!H51,0)</f>
        <v>0</v>
      </c>
      <c r="I51" s="89">
        <f>IF(T$49="Y",Jan!I51,0)</f>
        <v>0</v>
      </c>
      <c r="J51" s="89">
        <f>IF(T$49="Y",Jan!J51,0)</f>
        <v>0</v>
      </c>
      <c r="K51" s="89">
        <f>IF(T$49="Y",Jan!K51,I51*J51)</f>
        <v>0</v>
      </c>
      <c r="L51" s="110">
        <f>IF(T$49="Y",Jan!L51,0)</f>
        <v>0</v>
      </c>
      <c r="M51" s="99" t="str">
        <f>IF(E51=" "," ",IF(T$49="Y",Jan!M51,IF((H51+K51+L51)&gt;0,H51+K51+L51,"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IF(Employee!H$35=E$49,Employee!D$34+SUM(M51)+Jan!V51,SUM(M51)+Jan!V51)</f>
        <v>0</v>
      </c>
      <c r="W51" s="49">
        <f>IF(Employee!H$35=E$49,Employee!D$35+SUM(N51)+Jan!W51,SUM(N51)+Jan!W51)</f>
        <v>0</v>
      </c>
      <c r="X51" s="49">
        <f>IF(O51=" ",Jan!X51,O51+Jan!X51)</f>
        <v>0</v>
      </c>
      <c r="Y51" s="49">
        <f>IF(P51=" ",Jan!Y51,P51+Jan!Y51)</f>
        <v>0</v>
      </c>
      <c r="Z51" s="49">
        <f>IF(Q51=" ",Jan!Z51,Q51+Jan!Z51)</f>
        <v>0</v>
      </c>
      <c r="AA51" s="49">
        <f>IF(R51=" ",Jan!AA51,R51+Jan!AA51)</f>
        <v>0</v>
      </c>
      <c r="AC51" s="49">
        <f>IF(T51=" ",Jan!AC51,T51+Jan!AC51)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IF(T$49="Y",Jan!H52,0)</f>
        <v>0</v>
      </c>
      <c r="I52" s="92">
        <f>IF(T$49="Y",Jan!I52,0)</f>
        <v>0</v>
      </c>
      <c r="J52" s="92">
        <f>IF(T$49="Y",Jan!J52,0)</f>
        <v>0</v>
      </c>
      <c r="K52" s="92">
        <f>IF(T$49="Y",Jan!K52,I52*J52)</f>
        <v>0</v>
      </c>
      <c r="L52" s="111">
        <f>IF(T$49="Y",Jan!L52,0)</f>
        <v>0</v>
      </c>
      <c r="M52" s="100" t="str">
        <f>IF(E52=" "," ",IF(T$49="Y",Jan!M52,IF((H52+K52+L52)&gt;0,H52+K52+L52,"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IF(Employee!H$61=E$49,Employee!D$60+SUM(M52)+Jan!V52,SUM(M52)+Jan!V52)</f>
        <v>0</v>
      </c>
      <c r="W52" s="49">
        <f>IF(Employee!H$61=E$49,Employee!D$61+SUM(N52)+Jan!W52,SUM(N52)+Jan!W52)</f>
        <v>0</v>
      </c>
      <c r="X52" s="49">
        <f>IF(O52=" ",Jan!X52,O52+Jan!X52)</f>
        <v>0</v>
      </c>
      <c r="Y52" s="49">
        <f>IF(P52=" ",Jan!Y52,P52+Jan!Y52)</f>
        <v>0</v>
      </c>
      <c r="Z52" s="49">
        <f>IF(Q52=" ",Jan!Z52,Q52+Jan!Z52)</f>
        <v>0</v>
      </c>
      <c r="AA52" s="49">
        <f>IF(R52=" ",Jan!AA52,R52+Jan!AA52)</f>
        <v>0</v>
      </c>
      <c r="AC52" s="49">
        <f>IF(T52=" ",Jan!AC52,T52+Jan!AC52)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IF(T$49="Y",Jan!H53,0)</f>
        <v>0</v>
      </c>
      <c r="I53" s="92">
        <f>IF(T$49="Y",Jan!I53,0)</f>
        <v>0</v>
      </c>
      <c r="J53" s="92">
        <f>IF(T$49="Y",Jan!J53,0)</f>
        <v>0</v>
      </c>
      <c r="K53" s="92">
        <f>IF(T$49="Y",Jan!K53,I53*J53)</f>
        <v>0</v>
      </c>
      <c r="L53" s="111">
        <f>IF(T$49="Y",Jan!L53,0)</f>
        <v>0</v>
      </c>
      <c r="M53" s="100" t="str">
        <f>IF(E53=" "," ",IF(T$49="Y",Jan!M53,IF((H53+K53+L53)&gt;0,H53+K53+L53,"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IF(Employee!H$87=E$49,Employee!D$86+SUM(M53)+Jan!V53,SUM(M53)+Jan!V53)</f>
        <v>0</v>
      </c>
      <c r="W53" s="49">
        <f>IF(Employee!H$87=E$49,Employee!D$87+SUM(N53)+Jan!W53,SUM(N53)+Jan!W53)</f>
        <v>0</v>
      </c>
      <c r="X53" s="49">
        <f>IF(O53=" ",Jan!X53,O53+Jan!X53)</f>
        <v>0</v>
      </c>
      <c r="Y53" s="49">
        <f>IF(P53=" ",Jan!Y53,P53+Jan!Y53)</f>
        <v>0</v>
      </c>
      <c r="Z53" s="49">
        <f>IF(Q53=" ",Jan!Z53,Q53+Jan!Z53)</f>
        <v>0</v>
      </c>
      <c r="AA53" s="49">
        <f>IF(R53=" ",Jan!AA53,R53+Jan!AA53)</f>
        <v>0</v>
      </c>
      <c r="AC53" s="49">
        <f>IF(T53=" ",Jan!AC53,T53+Jan!AC53)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IF(T$49="Y",Jan!H54,0)</f>
        <v>0</v>
      </c>
      <c r="I54" s="92">
        <f>IF(T$49="Y",Jan!I54,0)</f>
        <v>0</v>
      </c>
      <c r="J54" s="92">
        <f>IF(T$49="Y",Jan!J54,0)</f>
        <v>0</v>
      </c>
      <c r="K54" s="92">
        <f>IF(T$49="Y",Jan!K54,I54*J54)</f>
        <v>0</v>
      </c>
      <c r="L54" s="111">
        <f>IF(T$49="Y",Jan!L54,0)</f>
        <v>0</v>
      </c>
      <c r="M54" s="100" t="str">
        <f>IF(E54=" "," ",IF(T$49="Y",Jan!M54,IF((H54+K54+L54)&gt;0,H54+K54+L54,"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IF(Employee!H$113=E$49,Employee!D$112+SUM(M54)+Jan!V54,SUM(M54)+Jan!V54)</f>
        <v>0</v>
      </c>
      <c r="W54" s="49">
        <f>IF(Employee!H$113=E$49,Employee!D$113+SUM(N54)+Jan!W54,SUM(N54)+Jan!W54)</f>
        <v>0</v>
      </c>
      <c r="X54" s="49">
        <f>IF(O54=" ",Jan!X54,O54+Jan!X54)</f>
        <v>0</v>
      </c>
      <c r="Y54" s="49">
        <f>IF(P54=" ",Jan!Y54,P54+Jan!Y54)</f>
        <v>0</v>
      </c>
      <c r="Z54" s="49">
        <f>IF(Q54=" ",Jan!Z54,Q54+Jan!Z54)</f>
        <v>0</v>
      </c>
      <c r="AA54" s="49">
        <f>IF(R54=" ",Jan!AA54,R54+Jan!AA54)</f>
        <v>0</v>
      </c>
      <c r="AC54" s="49">
        <f>IF(T54=" ",Jan!AC54,T54+Jan!AC54)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IF(T$49="Y",Jan!H55,0)</f>
        <v>0</v>
      </c>
      <c r="I55" s="245">
        <f>IF(T$49="Y",Jan!I55,0)</f>
        <v>0</v>
      </c>
      <c r="J55" s="245">
        <f>IF(T$49="Y",Jan!J55,0)</f>
        <v>0</v>
      </c>
      <c r="K55" s="245">
        <f>IF(T$49="Y",Jan!K55,I55*J55)</f>
        <v>0</v>
      </c>
      <c r="L55" s="246">
        <f>IF(T$49="Y",Jan!L55,0)</f>
        <v>0</v>
      </c>
      <c r="M55" s="100" t="str">
        <f>IF(E55=" "," ",IF(T$49="Y",Jan!M55,IF((H55+K55+L55)&gt;0,H55+K55+L55,"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IF(Employee!H$139=E$49,Employee!D$138+SUM(M55)+Jan!V55,SUM(M55)+Jan!V55)</f>
        <v>0</v>
      </c>
      <c r="W55" s="49">
        <f>IF(Employee!H$139=E$49,Employee!D$139+SUM(N55)+Jan!W55,SUM(N55)+Jan!W55)</f>
        <v>0</v>
      </c>
      <c r="X55" s="49">
        <f>IF(O55=" ",Jan!X55,O55+Jan!X55)</f>
        <v>0</v>
      </c>
      <c r="Y55" s="49">
        <f>IF(P55=" ",Jan!Y55,P55+Jan!Y55)</f>
        <v>0</v>
      </c>
      <c r="Z55" s="49">
        <f>IF(Q55=" ",Jan!Z55,Q55+Jan!Z55)</f>
        <v>0</v>
      </c>
      <c r="AA55" s="49">
        <f>IF(R55=" ",Jan!AA55,R55+Jan!AA55)</f>
        <v>0</v>
      </c>
      <c r="AC55" s="49">
        <f>IF(T55=" ",Jan!AC55,T55+Jan!AC55)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AD60+Jan!AD65</f>
        <v>0</v>
      </c>
      <c r="AE65" s="158">
        <f>AE60+Jan!AE65</f>
        <v>0</v>
      </c>
      <c r="AF65" s="158">
        <f>AF60+Jan!AF65</f>
        <v>0</v>
      </c>
      <c r="AG65" s="158">
        <f>AG60+Jan!AG65</f>
        <v>0</v>
      </c>
    </row>
    <row r="66" spans="6:33" ht="14" thickTop="1" x14ac:dyDescent="0.15"/>
    <row r="67" spans="6:33" x14ac:dyDescent="0.15">
      <c r="AD67" s="162"/>
      <c r="AE67" s="158">
        <f>AE62+Jan!AE67</f>
        <v>0</v>
      </c>
      <c r="AF67" s="158">
        <f>AF62+Jan!AF67</f>
        <v>0</v>
      </c>
      <c r="AG67" s="158">
        <f>AG62+Jan!AG67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Apr!H3:H6</f>
        <v>Statutory Pay</v>
      </c>
      <c r="I3" s="365" t="str">
        <f>Apr!I3:I6</f>
        <v>Basic hours</v>
      </c>
      <c r="J3" s="365" t="str">
        <f>Apr!J3:J6</f>
        <v>Hourly rate</v>
      </c>
      <c r="K3" s="365" t="str">
        <f>Apr!K3:K6</f>
        <v>Basic    wages</v>
      </c>
      <c r="L3" s="365" t="str">
        <f>Apr!L3:L6</f>
        <v>Overtime Bonus Gratuities</v>
      </c>
      <c r="M3" s="428" t="str">
        <f>Apr!M3:M6</f>
        <v>GROSS WAGES</v>
      </c>
      <c r="N3" s="365" t="str">
        <f>Apr!N3:N6</f>
        <v>Income Tax</v>
      </c>
      <c r="O3" s="365" t="str">
        <f>Apr!O3:O6</f>
        <v>Employees National Insurance</v>
      </c>
      <c r="P3" s="365" t="str">
        <f>Apr!P3:P6</f>
        <v>Student Loans</v>
      </c>
      <c r="Q3" s="365" t="str">
        <f>Apr!Q3:Q6</f>
        <v>Other Deductions</v>
      </c>
      <c r="R3" s="428" t="str">
        <f>Apr!R3:R6</f>
        <v>NET      PAY</v>
      </c>
      <c r="S3" s="42"/>
      <c r="T3" s="365" t="str">
        <f>Apr!T3:T6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Feb!M39+1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IF(T$69="Y",Feb!H51,0)</f>
        <v>0</v>
      </c>
      <c r="I71" s="89">
        <f>IF(T$69="Y",Feb!I51,0)</f>
        <v>0</v>
      </c>
      <c r="J71" s="89">
        <f>IF(T$69="Y",Feb!J51,0)</f>
        <v>0</v>
      </c>
      <c r="K71" s="89">
        <f>IF(T$69="Y",Feb!K51,I71*J71)</f>
        <v>0</v>
      </c>
      <c r="L71" s="110">
        <f>IF(T$69="Y",Feb!L51,0)</f>
        <v>0</v>
      </c>
      <c r="M71" s="99" t="str">
        <f>IF(E71=" "," ",IF(T$69="Y",Feb!M51,IF((H71+K71+L71)&gt;0,H71+K71+L71,"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IF(Employee!H$35=E$69,Employee!D$34+SUM(M71)+Feb!V51,SUM(M71)+Feb!V51)</f>
        <v>0</v>
      </c>
      <c r="W71" s="49">
        <f>IF(Employee!H$35=E$69,Employee!D$35+SUM(N71)+Feb!W51,SUM(N71)+Feb!W51)</f>
        <v>0</v>
      </c>
      <c r="X71" s="49">
        <f>IF(O71=" ",Feb!X51,O71+Feb!X51)</f>
        <v>0</v>
      </c>
      <c r="Y71" s="49">
        <f>IF(P71=" ",Feb!Y51,P71+Feb!Y51)</f>
        <v>0</v>
      </c>
      <c r="Z71" s="49">
        <f>IF(Q71=" ",Feb!Z51,Q71+Feb!Z51)</f>
        <v>0</v>
      </c>
      <c r="AA71" s="49">
        <f>IF(R71=" ",Feb!AA51,R71+Feb!AA51)</f>
        <v>0</v>
      </c>
      <c r="AC71" s="49">
        <f>IF(T71=" ",Feb!AC51,T71+Feb!AC51)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IF(T$69="Y",Feb!H52,0)</f>
        <v>0</v>
      </c>
      <c r="I72" s="92">
        <f>IF(T$69="Y",Feb!I52,0)</f>
        <v>0</v>
      </c>
      <c r="J72" s="92">
        <f>IF(T$69="Y",Feb!J52,0)</f>
        <v>0</v>
      </c>
      <c r="K72" s="92">
        <f>IF(T$69="Y",Feb!K52,I72*J72)</f>
        <v>0</v>
      </c>
      <c r="L72" s="111">
        <f>IF(T$69="Y",Feb!L52,0)</f>
        <v>0</v>
      </c>
      <c r="M72" s="100" t="str">
        <f>IF(E72=" "," ",IF(T$69="Y",Feb!M52,IF((H72+K72+L72)&gt;0,H72+K72+L72,"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IF(Employee!H$61=E$69,Employee!D$60+SUM(M72)+Feb!V52,SUM(M72)+Feb!V52)</f>
        <v>0</v>
      </c>
      <c r="W72" s="49">
        <f>IF(Employee!H$61=E$69,Employee!D$61+SUM(N72)+Feb!W52,SUM(N72)+Feb!W52)</f>
        <v>0</v>
      </c>
      <c r="X72" s="49">
        <f>IF(O72=" ",Feb!X52,O72+Feb!X52)</f>
        <v>0</v>
      </c>
      <c r="Y72" s="49">
        <f>IF(P72=" ",Feb!Y52,P72+Feb!Y52)</f>
        <v>0</v>
      </c>
      <c r="Z72" s="49">
        <f>IF(Q72=" ",Feb!Z52,Q72+Feb!Z52)</f>
        <v>0</v>
      </c>
      <c r="AA72" s="49">
        <f>IF(R72=" ",Feb!AA52,R72+Feb!AA52)</f>
        <v>0</v>
      </c>
      <c r="AC72" s="49">
        <f>IF(T72=" ",Feb!AC52,T72+Feb!AC52)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IF(T$69="Y",Feb!H53,0)</f>
        <v>0</v>
      </c>
      <c r="I73" s="92">
        <f>IF(T$69="Y",Feb!I53,0)</f>
        <v>0</v>
      </c>
      <c r="J73" s="92">
        <f>IF(T$69="Y",Feb!J53,0)</f>
        <v>0</v>
      </c>
      <c r="K73" s="92">
        <f>IF(T$69="Y",Feb!K53,I73*J73)</f>
        <v>0</v>
      </c>
      <c r="L73" s="111">
        <f>IF(T$69="Y",Feb!L53,0)</f>
        <v>0</v>
      </c>
      <c r="M73" s="100" t="str">
        <f>IF(E73=" "," ",IF(T$69="Y",Feb!M53,IF((H73+K73+L73)&gt;0,H73+K73+L73,"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IF(Employee!H$87=E$69,Employee!D$86+SUM(M73)+Feb!V53,SUM(M73)+Feb!V53)</f>
        <v>0</v>
      </c>
      <c r="W73" s="49">
        <f>IF(Employee!H$87=E$69,Employee!D$87+SUM(N73)+Feb!W53,SUM(N73)+Feb!W53)</f>
        <v>0</v>
      </c>
      <c r="X73" s="49">
        <f>IF(O73=" ",Feb!X53,O73+Feb!X53)</f>
        <v>0</v>
      </c>
      <c r="Y73" s="49">
        <f>IF(P73=" ",Feb!Y53,P73+Feb!Y53)</f>
        <v>0</v>
      </c>
      <c r="Z73" s="49">
        <f>IF(Q73=" ",Feb!Z53,Q73+Feb!Z53)</f>
        <v>0</v>
      </c>
      <c r="AA73" s="49">
        <f>IF(R73=" ",Feb!AA53,R73+Feb!AA53)</f>
        <v>0</v>
      </c>
      <c r="AC73" s="49">
        <f>IF(T73=" ",Feb!AC53,T73+Feb!AC53)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IF(T$69="Y",Feb!H54,0)</f>
        <v>0</v>
      </c>
      <c r="I74" s="92">
        <f>IF(T$69="Y",Feb!I54,0)</f>
        <v>0</v>
      </c>
      <c r="J74" s="92">
        <f>IF(T$69="Y",Feb!J54,0)</f>
        <v>0</v>
      </c>
      <c r="K74" s="92">
        <f>IF(T$69="Y",Feb!K54,I74*J74)</f>
        <v>0</v>
      </c>
      <c r="L74" s="111">
        <f>IF(T$69="Y",Feb!L54,0)</f>
        <v>0</v>
      </c>
      <c r="M74" s="100" t="str">
        <f>IF(E74=" "," ",IF(T$69="Y",Feb!M54,IF((H74+K74+L74)&gt;0,H74+K74+L74,"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IF(Employee!H$113=E$69,Employee!D$112+SUM(M74)+Feb!V54,SUM(M74)+Feb!V54)</f>
        <v>0</v>
      </c>
      <c r="W74" s="49">
        <f>IF(Employee!H$113=E$69,Employee!D$113+SUM(N74)+Feb!W54,SUM(N74)+Feb!W54)</f>
        <v>0</v>
      </c>
      <c r="X74" s="49">
        <f>IF(O74=" ",Feb!X54,O74+Feb!X54)</f>
        <v>0</v>
      </c>
      <c r="Y74" s="49">
        <f>IF(P74=" ",Feb!Y54,P74+Feb!Y54)</f>
        <v>0</v>
      </c>
      <c r="Z74" s="49">
        <f>IF(Q74=" ",Feb!Z54,Q74+Feb!Z54)</f>
        <v>0</v>
      </c>
      <c r="AA74" s="49">
        <f>IF(R74=" ",Feb!AA54,R74+Feb!AA54)</f>
        <v>0</v>
      </c>
      <c r="AC74" s="49">
        <f>IF(T74=" ",Feb!AC54,T74+Feb!AC54)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IF(T$69="Y",Feb!H55,0)</f>
        <v>0</v>
      </c>
      <c r="I75" s="245">
        <f>IF(T$69="Y",Feb!I55,0)</f>
        <v>0</v>
      </c>
      <c r="J75" s="245">
        <f>IF(T$69="Y",Feb!J55,0)</f>
        <v>0</v>
      </c>
      <c r="K75" s="245">
        <f>IF(T$69="Y",Feb!K55,I75*J75)</f>
        <v>0</v>
      </c>
      <c r="L75" s="246">
        <f>IF(T$69="Y",Feb!L55,0)</f>
        <v>0</v>
      </c>
      <c r="M75" s="100" t="str">
        <f>IF(E75=" "," ",IF(T$69="Y",Feb!M55,IF((H75+K75+L75)&gt;0,H75+K75+L75,"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IF(Employee!H$139=E$69,Employee!D$138+SUM(M75)+Feb!V55,SUM(M75)+Feb!V55)</f>
        <v>0</v>
      </c>
      <c r="W75" s="49">
        <f>IF(Employee!H$139=E$69,Employee!D$139+SUM(N75)+Feb!W55,SUM(N75)+Feb!W55)</f>
        <v>0</v>
      </c>
      <c r="X75" s="49">
        <f>IF(O75=" ",Feb!X55,O75+Feb!X55)</f>
        <v>0</v>
      </c>
      <c r="Y75" s="49">
        <f>IF(P75=" ",Feb!Y55,P75+Feb!Y55)</f>
        <v>0</v>
      </c>
      <c r="Z75" s="49">
        <f>IF(Q75=" ",Feb!Z55,Q75+Feb!Z55)</f>
        <v>0</v>
      </c>
      <c r="AA75" s="49">
        <f>IF(R75=" ",Feb!AA55,R75+Feb!AA55)</f>
        <v>0</v>
      </c>
      <c r="AC75" s="49">
        <f>IF(T75=" ",Feb!AC55,T75+Feb!AC55)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AD80+Feb!AD65</f>
        <v>0</v>
      </c>
      <c r="AE85" s="158">
        <f>AE80+Feb!AE65</f>
        <v>0</v>
      </c>
      <c r="AF85" s="158">
        <f>AF80+Feb!AF65</f>
        <v>0</v>
      </c>
      <c r="AG85" s="158">
        <f>AG80+Feb!AG65</f>
        <v>0</v>
      </c>
    </row>
    <row r="86" spans="6:33" ht="14" thickTop="1" x14ac:dyDescent="0.15"/>
    <row r="87" spans="6:33" x14ac:dyDescent="0.15">
      <c r="AD87" s="162"/>
      <c r="AE87" s="158">
        <f>AE82+Feb!AE67</f>
        <v>0</v>
      </c>
      <c r="AF87" s="158">
        <f>AF82+Feb!AF67</f>
        <v>0</v>
      </c>
      <c r="AG87" s="158">
        <f>AG82+Feb!AG67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Apr!T1+Apr!O1</f>
        <v>0</v>
      </c>
      <c r="E4" s="228">
        <f>Apr!N1</f>
        <v>0</v>
      </c>
      <c r="F4" s="228">
        <f>Apr!AD60+Apr!AE60+Apr!AF60+Apr!AG60</f>
        <v>0</v>
      </c>
      <c r="G4" s="228">
        <f>Apr!AE62+Apr!AF62+Apr!AG62</f>
        <v>0</v>
      </c>
      <c r="H4" s="228">
        <f>Apr!P1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May!T1+May!O1</f>
        <v>0</v>
      </c>
      <c r="E5" s="228">
        <f>May!N1</f>
        <v>0</v>
      </c>
      <c r="F5" s="228">
        <f>May!AD60+May!AE60+May!AF60+May!AG60</f>
        <v>0</v>
      </c>
      <c r="G5" s="228">
        <f>May!AE62+May!AF62+May!AG62</f>
        <v>0</v>
      </c>
      <c r="H5" s="228">
        <f>May!P1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Jun!T1+Jun!O1</f>
        <v>0</v>
      </c>
      <c r="E6" s="228">
        <f>Jun!N1</f>
        <v>0</v>
      </c>
      <c r="F6" s="228">
        <f>Jun!AD70+Jun!AE70+Jun!AF70+Jun!AG70</f>
        <v>0</v>
      </c>
      <c r="G6" s="228">
        <f>Jun!AE72+Jun!AF72+Jun!AG72</f>
        <v>0</v>
      </c>
      <c r="H6" s="228">
        <f>Jun!P1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Jul!T1+Jul!O1</f>
        <v>0</v>
      </c>
      <c r="E7" s="228">
        <f>Jul!N1</f>
        <v>0</v>
      </c>
      <c r="F7" s="228">
        <f>Jul!AD60+Jul!AE60+Jul!AF60+Jul!AG60</f>
        <v>0</v>
      </c>
      <c r="G7" s="228">
        <f>Jul!AE62+Jul!AF62+Jul!AG62</f>
        <v>0</v>
      </c>
      <c r="H7" s="228">
        <f>Jul!P1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Aug!T1+Aug!O1</f>
        <v>0</v>
      </c>
      <c r="E8" s="228">
        <f>Aug!N1</f>
        <v>0</v>
      </c>
      <c r="F8" s="228">
        <f>Aug!AD60+Aug!AE60+Aug!AF60+Aug!AG60</f>
        <v>0</v>
      </c>
      <c r="G8" s="228">
        <f>Aug!AE62+Aug!AF62+Aug!AG62</f>
        <v>0</v>
      </c>
      <c r="H8" s="228">
        <f>Aug!P1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Sep!T1+Sep!O1</f>
        <v>0</v>
      </c>
      <c r="E9" s="228">
        <f>Sep!N1</f>
        <v>0</v>
      </c>
      <c r="F9" s="228">
        <f>Sep!AD70+Sep!AE70+Sep!AF70+Sep!AG70</f>
        <v>0</v>
      </c>
      <c r="G9" s="228">
        <f>Sep!AE72+Sep!AF72+Sep!AG72</f>
        <v>0</v>
      </c>
      <c r="H9" s="228">
        <f>Sep!P1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Oct!T1+Oct!O1</f>
        <v>0</v>
      </c>
      <c r="E10" s="228">
        <f>Oct!N1</f>
        <v>0</v>
      </c>
      <c r="F10" s="228">
        <f>Oct!AD60+Oct!AE60+Oct!AF60+Oct!AG60</f>
        <v>0</v>
      </c>
      <c r="G10" s="228">
        <f>Oct!AE62+Oct!AF62+Oct!AG62</f>
        <v>0</v>
      </c>
      <c r="H10" s="228">
        <f>Oct!P1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Nov!T1+Nov!O1</f>
        <v>0</v>
      </c>
      <c r="E11" s="228">
        <f>Nov!N1</f>
        <v>0</v>
      </c>
      <c r="F11" s="228">
        <f>Nov!AD60+Nov!AE60+Nov!AF60+Nov!AG60</f>
        <v>0</v>
      </c>
      <c r="G11" s="228">
        <f>Nov!AE62+Nov!AF62+Nov!AG62</f>
        <v>0</v>
      </c>
      <c r="H11" s="228">
        <f>Nov!P1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Dec!T1+Dec!O1</f>
        <v>0</v>
      </c>
      <c r="E12" s="228">
        <f>Dec!N1</f>
        <v>0</v>
      </c>
      <c r="F12" s="228">
        <f>Dec!AD70+Dec!AE70+Dec!AF70+Dec!AG70</f>
        <v>0</v>
      </c>
      <c r="G12" s="228">
        <f>Dec!AE72+Dec!AF72+Dec!AG72</f>
        <v>0</v>
      </c>
      <c r="H12" s="228">
        <f>Dec!P1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Jan!T1+Jan!O1</f>
        <v>0</v>
      </c>
      <c r="E13" s="228">
        <f>Jan!N1</f>
        <v>0</v>
      </c>
      <c r="F13" s="228">
        <f>Jan!AD60+Jan!AE60+Jan!AF60+Jan!AG60</f>
        <v>0</v>
      </c>
      <c r="G13" s="228">
        <f>Jan!AE62+Jan!AF62+Jan!AG62</f>
        <v>0</v>
      </c>
      <c r="H13" s="228">
        <f>Jan!P1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Feb!T1+Feb!O1</f>
        <v>0</v>
      </c>
      <c r="E14" s="228">
        <f>Feb!N1</f>
        <v>0</v>
      </c>
      <c r="F14" s="228">
        <f>Feb!AD60+Feb!AE60+Feb!AF60+Feb!AG60</f>
        <v>0</v>
      </c>
      <c r="G14" s="228">
        <f>Feb!AE62+Feb!AF62+Feb!AG62</f>
        <v>0</v>
      </c>
      <c r="H14" s="228">
        <f>Feb!P1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Mar!T1+Mar!O1</f>
        <v>0</v>
      </c>
      <c r="E15" s="228">
        <f>Mar!N1</f>
        <v>0</v>
      </c>
      <c r="F15" s="228">
        <f>Mar!AD80+Mar!AE80+Mar!AF80+Mar!AG80</f>
        <v>0</v>
      </c>
      <c r="G15" s="228">
        <f>Mar!AE82+Mar!AF82+Mar!AG82</f>
        <v>0</v>
      </c>
      <c r="H15" s="228">
        <f>Mar!P1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44292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