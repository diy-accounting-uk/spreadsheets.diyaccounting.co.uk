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<sst xmlns="http://schemas.openxmlformats.org/spreadsheetml/2006/main" count="182" uniqueCount="45">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</sst>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44926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45016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45107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45199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45230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[1]Admin!$B$18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[1]Admin!$B$20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[1]Admin!$B$22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[1]Admin!$B$24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[1]Admin!$B$26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IF([2]Sep!$G$4&gt;0,[2]Sep!$G$4,0)</f>
        <v>0</v>
      </c>
      <c r="N8" s="57"/>
    </row>
    <row r="9" spans="1:14" x14ac:dyDescent="0.15">
      <c r="A9" s="56"/>
      <c r="B9" s="62">
        <f>[1]Admin!$B$28</f>
        <v>45869</v>
      </c>
      <c r="C9" s="62">
        <f t="shared" si="0"/>
        <v>45900</v>
      </c>
      <c r="D9" s="104">
        <f>[2]Jul!$H$1</f>
        <v>0</v>
      </c>
      <c r="E9" s="105">
        <f t="shared" si="3"/>
        <v>0</v>
      </c>
      <c r="F9" s="105">
        <f>[2]Jul!$G$1</f>
        <v>0</v>
      </c>
      <c r="G9" s="105">
        <f t="shared" si="3"/>
        <v>0</v>
      </c>
      <c r="H9" s="105">
        <f>[3]Jul!$H$1</f>
        <v>0</v>
      </c>
      <c r="I9" s="105">
        <f t="shared" si="1"/>
        <v>0</v>
      </c>
      <c r="J9" s="105">
        <f>[3]Jul!$G$1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[1]Admin!$B$30</f>
        <v>45900</v>
      </c>
      <c r="C10" s="62">
        <f t="shared" si="0"/>
        <v>45930</v>
      </c>
      <c r="D10" s="104">
        <f>[2]Aug!$H$1</f>
        <v>0</v>
      </c>
      <c r="E10" s="105">
        <f t="shared" si="3"/>
        <v>0</v>
      </c>
      <c r="F10" s="105">
        <f>[2]Aug!$G$1</f>
        <v>0</v>
      </c>
      <c r="G10" s="105">
        <f t="shared" si="3"/>
        <v>0</v>
      </c>
      <c r="H10" s="105">
        <f>[3]Aug!$H$1</f>
        <v>0</v>
      </c>
      <c r="I10" s="105">
        <f t="shared" si="1"/>
        <v>0</v>
      </c>
      <c r="J10" s="105">
        <f>[3]Aug!$G$1</f>
        <v>0</v>
      </c>
      <c r="K10" s="105">
        <f t="shared" si="2"/>
        <v>0</v>
      </c>
      <c r="L10" s="115"/>
      <c r="M10" s="116">
        <f>IF([2]Sep!$G$4&gt;0,[2]Sep!$G$4,0)</f>
        <v>0</v>
      </c>
      <c r="N10" s="57"/>
    </row>
    <row r="11" spans="1:14" x14ac:dyDescent="0.15">
      <c r="A11" s="56"/>
      <c r="B11" s="62">
        <f>[1]Admin!$B$32</f>
        <v>45930</v>
      </c>
      <c r="C11" s="62">
        <f t="shared" si="0"/>
        <v>45961</v>
      </c>
      <c r="D11" s="104">
        <f>[2]Sep!$H$1</f>
        <v>0</v>
      </c>
      <c r="E11" s="105">
        <f t="shared" si="3"/>
        <v>0</v>
      </c>
      <c r="F11" s="105">
        <f>[2]Sep!$G$1</f>
        <v>0</v>
      </c>
      <c r="G11" s="105">
        <f t="shared" si="3"/>
        <v>0</v>
      </c>
      <c r="H11" s="105">
        <f>[3]Sep!$H$1</f>
        <v>0</v>
      </c>
      <c r="I11" s="105">
        <f t="shared" si="1"/>
        <v>0</v>
      </c>
      <c r="J11" s="105">
        <f>[3]Sep!$G$1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[1]Admin!$B$34</f>
        <v>45961</v>
      </c>
      <c r="C12" s="62">
        <f t="shared" si="0"/>
        <v>45991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IF([2]May!$G$4&gt;0,[2]May!$G$4,0)</f>
        <v>0</v>
      </c>
      <c r="N12" s="57"/>
    </row>
    <row r="13" spans="1:14" x14ac:dyDescent="0.15">
      <c r="A13" s="56"/>
      <c r="B13" s="62">
        <f>[1]Admin!$B$36</f>
        <v>45991</v>
      </c>
      <c r="C13" s="62">
        <f t="shared" si="0"/>
        <v>46022</v>
      </c>
      <c r="D13" s="104">
        <f>[2]May!$H$1</f>
        <v>0</v>
      </c>
      <c r="E13" s="105">
        <f t="shared" si="3"/>
        <v>0</v>
      </c>
      <c r="F13" s="105">
        <f>[2]May!$G$1</f>
        <v>0</v>
      </c>
      <c r="G13" s="105">
        <f t="shared" si="3"/>
        <v>0</v>
      </c>
      <c r="H13" s="105">
        <f>[3]May!$H$1</f>
        <v>0</v>
      </c>
      <c r="I13" s="105">
        <f t="shared" si="1"/>
        <v>0</v>
      </c>
      <c r="J13" s="105">
        <f>[3]May!$G$1</f>
        <v>0</v>
      </c>
      <c r="K13" s="105">
        <f t="shared" si="2"/>
        <v>0</v>
      </c>
      <c r="L13" s="115"/>
      <c r="M13" s="116">
        <f>IF([2]Aug!$G$4&gt;0,[2]Aug!$G$4,0)</f>
        <v>0</v>
      </c>
      <c r="N13" s="57"/>
    </row>
    <row r="14" spans="1:14" x14ac:dyDescent="0.15">
      <c r="A14" s="56"/>
      <c r="B14" s="62">
        <f>[1]Admin!$B$38</f>
        <v>46022</v>
      </c>
      <c r="C14" s="62">
        <f t="shared" si="0"/>
        <v>46053</v>
      </c>
      <c r="D14" s="104">
        <f>[2]Jun!$H$1</f>
        <v>0</v>
      </c>
      <c r="E14" s="105">
        <f t="shared" si="3"/>
        <v>0</v>
      </c>
      <c r="F14" s="105">
        <f>[2]Jun!$G$1</f>
        <v>0</v>
      </c>
      <c r="G14" s="105">
        <f t="shared" si="3"/>
        <v>0</v>
      </c>
      <c r="H14" s="105">
        <f>[3]Jun!$H$1</f>
        <v>0</v>
      </c>
      <c r="I14" s="105">
        <f t="shared" si="1"/>
        <v>0</v>
      </c>
      <c r="J14" s="105">
        <f>[3]Jun!$G$1</f>
        <v>0</v>
      </c>
      <c r="K14" s="105">
        <f t="shared" si="2"/>
        <v>0</v>
      </c>
      <c r="L14" s="115"/>
      <c r="M14" s="116">
        <f>IF([2]Aug!$G$4&gt;0,[2]Aug!$G$4,0)</f>
        <v>0</v>
      </c>
      <c r="N14" s="57"/>
    </row>
    <row r="15" spans="1:14" x14ac:dyDescent="0.15">
      <c r="A15" s="56"/>
      <c r="B15" s="62">
        <f>[1]Admin!$B$40</f>
        <v>46053</v>
      </c>
      <c r="C15" s="62">
        <f t="shared" si="0"/>
        <v>46081</v>
      </c>
      <c r="D15" s="104">
        <f>[2]Jul!$H$1</f>
        <v>0</v>
      </c>
      <c r="E15" s="105">
        <f t="shared" si="3"/>
        <v>0</v>
      </c>
      <c r="F15" s="105">
        <f>[2]Jul!$G$1</f>
        <v>0</v>
      </c>
      <c r="G15" s="105">
        <f t="shared" si="3"/>
        <v>0</v>
      </c>
      <c r="H15" s="105">
        <f>[3]Jul!$H$1</f>
        <v>0</v>
      </c>
      <c r="I15" s="105">
        <f t="shared" si="1"/>
        <v>0</v>
      </c>
      <c r="J15" s="105">
        <f>[3]Jul!$G$1</f>
        <v>0</v>
      </c>
      <c r="K15" s="105">
        <f t="shared" si="2"/>
        <v>0</v>
      </c>
      <c r="L15" s="115"/>
      <c r="M15" s="116">
        <f>IF([2]May!$G$4&gt;0,[2]May!$G$4,0)</f>
        <v>0</v>
      </c>
      <c r="N15" s="57"/>
    </row>
    <row r="16" spans="1:14" x14ac:dyDescent="0.15">
      <c r="A16" s="56"/>
      <c r="B16" s="62">
        <f>[1]Admin!$B$42</f>
        <v>46081</v>
      </c>
      <c r="C16" s="62">
        <f t="shared" si="0"/>
        <v>46112</v>
      </c>
      <c r="D16" s="104">
        <f>[2]Aug!$H$1</f>
        <v>0</v>
      </c>
      <c r="E16" s="105">
        <f t="shared" si="3"/>
        <v>0</v>
      </c>
      <c r="F16" s="105">
        <f>[2]Aug!$G$1</f>
        <v>0</v>
      </c>
      <c r="G16" s="105">
        <f t="shared" si="3"/>
        <v>0</v>
      </c>
      <c r="H16" s="105">
        <f>[3]Aug!$H$1</f>
        <v>0</v>
      </c>
      <c r="I16" s="105">
        <f t="shared" si="1"/>
        <v>0</v>
      </c>
      <c r="J16" s="105">
        <f>[3]Aug!$G$1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[1]Admin!$B$44</f>
        <v>46112</v>
      </c>
      <c r="C17" s="62">
        <f t="shared" si="0"/>
        <v>46142</v>
      </c>
      <c r="D17" s="104">
        <f>[2]Sep!$H$1</f>
        <v>0</v>
      </c>
      <c r="E17" s="105">
        <f t="shared" si="3"/>
        <v>0</v>
      </c>
      <c r="F17" s="105">
        <f>[2]Sep!$G$1</f>
        <v>0</v>
      </c>
      <c r="G17" s="105">
        <f t="shared" si="3"/>
        <v>0</v>
      </c>
      <c r="H17" s="105">
        <f>[3]Sep!$H$1</f>
        <v>0</v>
      </c>
      <c r="I17" s="105">
        <f t="shared" si="1"/>
        <v>0</v>
      </c>
      <c r="J17" s="105">
        <f>[3]Sep!$G$1</f>
        <v>0</v>
      </c>
      <c r="K17" s="105">
        <f t="shared" si="2"/>
        <v>0</v>
      </c>
      <c r="L17" s="115"/>
      <c r="M17" s="116">
        <f>IF([2]Sep!$G$4&gt;0,[2]Sep!$G$4,0)</f>
        <v>0</v>
      </c>
      <c r="N17" s="57"/>
    </row>
    <row r="18" spans="1:14" x14ac:dyDescent="0.15">
      <c r="A18" s="56"/>
      <c r="B18" s="62">
        <f>[1]Admin!$B$46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IF([2]Sep!$G$4&gt;0,[2]Sep!$G$4,0)</f>
        <v>0</v>
      </c>
      <c r="N18" s="57"/>
    </row>
    <row r="19" spans="1:14" x14ac:dyDescent="0.15">
      <c r="A19" s="56"/>
      <c r="B19" s="62">
        <f>[1]Admin!$B$48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IF([2]Sep!$G$4&gt;0,[2]Sep!$G$4,0)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