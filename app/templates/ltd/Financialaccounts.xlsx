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<sst xmlns="http://schemas.openxmlformats.org/spreadsheetml/2006/main" count="1029" uniqueCount="626">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</sst>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x14ac:dyDescent="0.15">
      <c r="A90" s="13"/>
      <c r="B90" s="13" t="inlineStr">
        <is>
          <t>Business Entertainment</t>
        </is>
      </c>
      <c r="C90" s="17" t="inlineStr">
        <is>
          <t>E</t>
        </is>
      </c>
      <c r="D90" s="21"/>
      <c r="E90" s="21"/>
      <c r="F90" s="22"/>
      <c r="G90" s="22">
        <f>[2]Apr!$AJ$1</f>
        <v>0</v>
      </c>
      <c r="H90" s="22"/>
      <c r="I90" s="22"/>
      <c r="J90" s="22"/>
      <c r="K90" s="22"/>
      <c r="L90" s="22"/>
      <c r="N90" s="21"/>
      <c r="O90" s="22">
        <f>SUM(D90:N90)</f>
        <v>0</v>
      </c>
      <c r="P90" s="21"/>
      <c r="Q90" s="22"/>
      <c r="R90" s="22">
        <f>[2]May!$AJ$1</f>
        <v>0</v>
      </c>
      <c r="S90" s="22"/>
      <c r="T90" s="22"/>
      <c r="U90" s="22"/>
      <c r="V90" s="22"/>
      <c r="W90" s="22"/>
      <c r="X90" s="22"/>
      <c r="Y90" s="13"/>
      <c r="Z90" s="22">
        <f>SUM(O90:Y90)</f>
        <v>0</v>
      </c>
      <c r="AA90" s="21"/>
      <c r="AB90" s="22"/>
      <c r="AC90" s="22">
        <f>[2]Jun!$AJ$1</f>
        <v>0</v>
      </c>
      <c r="AD90" s="22"/>
      <c r="AE90" s="22"/>
      <c r="AF90" s="22"/>
      <c r="AG90" s="22"/>
      <c r="AH90" s="22"/>
      <c r="AI90" s="22"/>
      <c r="AJ90" s="13"/>
      <c r="AK90" s="22">
        <f>SUM(Z90:AJ90)</f>
        <v>0</v>
      </c>
      <c r="AL90" s="21"/>
      <c r="AM90" s="22"/>
      <c r="AN90" s="22">
        <f>[2]Jul!$AJ$1</f>
        <v>0</v>
      </c>
      <c r="AO90" s="22"/>
      <c r="AP90" s="22"/>
      <c r="AQ90" s="22"/>
      <c r="AR90" s="22"/>
      <c r="AS90" s="22"/>
      <c r="AT90" s="22"/>
      <c r="AU90" s="13"/>
      <c r="AV90" s="22">
        <f>SUM(AK90:AU90)</f>
        <v>0</v>
      </c>
      <c r="AW90" s="21"/>
      <c r="AX90" s="22"/>
      <c r="AY90" s="22">
        <f>[2]Aug!$AJ$1</f>
        <v>0</v>
      </c>
      <c r="AZ90" s="22"/>
      <c r="BA90" s="22"/>
      <c r="BB90" s="22"/>
      <c r="BC90" s="22"/>
      <c r="BD90" s="22"/>
      <c r="BE90" s="22"/>
      <c r="BF90" s="13"/>
      <c r="BG90" s="22">
        <f>SUM(AV90:BF90)</f>
        <v>0</v>
      </c>
      <c r="BH90" s="21"/>
      <c r="BI90" s="22"/>
      <c r="BJ90" s="22">
        <f>[2]Sep!$AJ$1</f>
        <v>0</v>
      </c>
      <c r="BK90" s="22"/>
      <c r="BL90" s="22"/>
      <c r="BM90" s="22"/>
      <c r="BN90" s="22"/>
      <c r="BO90" s="22"/>
      <c r="BP90" s="22"/>
      <c r="BQ90" s="13"/>
      <c r="BR90" s="22">
        <f>SUM(BG90:BQ90)</f>
        <v>0</v>
      </c>
      <c r="BS90" s="21"/>
      <c r="BT90" s="22"/>
      <c r="BU90" s="22">
        <f>[2]Oct!$AJ$1</f>
        <v>0</v>
      </c>
      <c r="BV90" s="22"/>
      <c r="BW90" s="22"/>
      <c r="BX90" s="22"/>
      <c r="BY90" s="22"/>
      <c r="BZ90" s="22"/>
      <c r="CA90" s="22"/>
      <c r="CB90" s="13"/>
      <c r="CC90" s="22">
        <f>SUM(BR90:CB90)</f>
        <v>0</v>
      </c>
      <c r="CD90" s="21"/>
      <c r="CE90" s="22"/>
      <c r="CF90" s="22">
        <f>[2]Nov!$AJ$1</f>
        <v>0</v>
      </c>
      <c r="CG90" s="22"/>
      <c r="CH90" s="22"/>
      <c r="CI90" s="22"/>
      <c r="CJ90" s="22"/>
      <c r="CK90" s="22"/>
      <c r="CL90" s="22"/>
      <c r="CM90" s="13"/>
      <c r="CN90" s="22">
        <f>SUM(CC90:CM90)</f>
        <v>0</v>
      </c>
      <c r="CO90" s="21"/>
      <c r="CP90" s="22"/>
      <c r="CQ90" s="22">
        <f>[2]Dec!$AJ$1</f>
        <v>0</v>
      </c>
      <c r="CR90" s="22"/>
      <c r="CS90" s="22"/>
      <c r="CT90" s="22"/>
      <c r="CU90" s="22"/>
      <c r="CV90" s="22"/>
      <c r="CW90" s="22"/>
      <c r="CX90" s="13"/>
      <c r="CY90" s="22">
        <f>SUM(CN90:CX90)</f>
        <v>0</v>
      </c>
      <c r="CZ90" s="21"/>
      <c r="DA90" s="22"/>
      <c r="DB90" s="22">
        <f>[2]Jan!$AJ$1</f>
        <v>0</v>
      </c>
      <c r="DC90" s="22"/>
      <c r="DD90" s="22"/>
      <c r="DE90" s="22"/>
      <c r="DF90" s="22"/>
      <c r="DG90" s="22"/>
      <c r="DH90" s="22"/>
      <c r="DI90" s="13"/>
      <c r="DJ90" s="22">
        <f>SUM(CY90:DI90)</f>
        <v>0</v>
      </c>
      <c r="DK90" s="21"/>
      <c r="DL90" s="22"/>
      <c r="DM90" s="22">
        <f>[2]Feb!$AJ$1</f>
        <v>0</v>
      </c>
      <c r="DN90" s="22"/>
      <c r="DO90" s="22"/>
      <c r="DP90" s="22"/>
      <c r="DQ90" s="22"/>
      <c r="DR90" s="22"/>
      <c r="DS90" s="22"/>
      <c r="DT90" s="13"/>
      <c r="DU90" s="22">
        <f>SUM(DJ90:DT90)</f>
        <v>0</v>
      </c>
      <c r="DV90" s="21"/>
      <c r="DW90" s="22"/>
      <c r="DX90" s="22">
        <f>[2]Mar!$AJ$1</f>
        <v>0</v>
      </c>
      <c r="DY90" s="22"/>
      <c r="DZ90" s="22"/>
      <c r="EA90" s="22"/>
      <c r="EB90" s="22"/>
      <c r="EC90" s="22"/>
      <c r="ED90" s="22"/>
      <c r="EE90" s="13"/>
      <c r="EF90" s="22">
        <f>SUM(DU90:EE90)</f>
        <v>0</v>
      </c>
      <c r="EG90" s="13"/>
      <c r="EI90" s="13"/>
      <c r="EJ90" s="22">
        <f>SUM(EF90:EH90)</f>
        <v>0</v>
      </c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inlineStr">
        <is>
          <t>Advertising, Promotion &amp; Entertainment</t>
        </is>
      </c>
      <c r="B27" s="93">
        <f t="shared" si="3"/>
        <v>0</v>
      </c>
      <c r="C27" s="94">
        <f>TrialBalance!O74+TrialBalance!O90-0</f>
        <v>0</v>
      </c>
      <c r="D27" s="94">
        <f>TrialBalance!Z74+TrialBalance!Z90-C27</f>
        <v>0</v>
      </c>
      <c r="E27" s="94">
        <f>TrialBalance!AK74+TrialBalance!AK90-SUM(C27:D27)</f>
        <v>0</v>
      </c>
      <c r="F27" s="94">
        <f>TrialBalance!AV74+TrialBalance!AV90-SUM(C27:E27)</f>
        <v>0</v>
      </c>
      <c r="G27" s="94">
        <f>TrialBalance!BG74+TrialBalance!BG90-SUM(C27:F27)</f>
        <v>0</v>
      </c>
      <c r="H27" s="94">
        <f>TrialBalance!BR74+TrialBalance!BR90-SUM(C27:G27)</f>
        <v>0</v>
      </c>
      <c r="I27" s="94">
        <f>TrialBalance!CC74+TrialBalance!CC90-SUM(C27:H27)</f>
        <v>0</v>
      </c>
      <c r="J27" s="94">
        <f>TrialBalance!CN74+TrialBalance!CN90-SUM(C27:I27)</f>
        <v>0</v>
      </c>
      <c r="K27" s="94">
        <f>TrialBalance!CY74+TrialBalance!CY90-SUM(C27:J27)</f>
        <v>0</v>
      </c>
      <c r="L27" s="94">
        <f>TrialBalance!DJ74+TrialBalance!DJ90-SUM(C27:K27)</f>
        <v>0</v>
      </c>
      <c r="M27" s="94">
        <f>TrialBalance!DU74+TrialBalance!DU90-SUM(C27:L27)</f>
        <v>0</v>
      </c>
      <c r="N27" s="94">
        <f>TrialBalance!EF74+TrialBalance!EF90-SUM(C27:M27)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inlineStr">
        <is>
          <t>Advertising, Promotion &amp; Entertainment</t>
        </is>
      </c>
      <c r="D30" s="68"/>
      <c r="E30" s="58">
        <f>TrialBalance!EJ74+TrialBalance!EJ90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13" x14ac:dyDescent="0.15">
      <c r="A9" s="158"/>
      <c r="B9" s="38"/>
      <c r="C9" s="422" t="inlineStr">
        <is>
          <t>Add back business entertainment</t>
        </is>
      </c>
      <c r="D9" s="38"/>
      <c r="E9" s="38"/>
      <c r="F9" s="161"/>
      <c r="G9" s="161"/>
      <c r="H9" s="162"/>
      <c r="I9" s="163" t="str">
        <f>IF(TrialBalance!EJ90&gt;0,TrialBalance!EJ90," ")</f>
        <v xml:space="preserve"> </v>
      </c>
      <c r="J9" s="161"/>
      <c r="K9" s="250"/>
      <c r="L9" s="38"/>
    </row>
    <row r="10" spans="1:12" ht="13" x14ac:dyDescent="0.15">
      <c r="A10" s="158"/>
      <c r="B10" s="289"/>
      <c r="C10" s="420" t="inlineStr">
        <is>
          <t>Add back depreciation, goodwill and business entertainment</t>
        </is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