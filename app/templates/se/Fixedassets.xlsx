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<sst xmlns="http://schemas.openxmlformats.org/spreadsheetml/2006/main" count="98" uniqueCount="73">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</sst>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6">
          <cell r="G6">
            <v>0.06</v>
          </cell>
        </row>
        <row r="8"/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  <col min="28" max="28" width="5.6640625" style="89" customWidth="1"/>
    <col min="29" max="29" width="10.6640625" style="2" customWidth="1"/>
  </cols>
  <sheetData>
    <row r="1" spans="1:29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  <c r="AB1" s="21"/>
      <c r="AC1" s="20">
        <f>AC57+AC110</f>
        <v>0</v>
      </c>
    </row>
    <row r="2" spans="1:29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  <c r="AB2" s="130" t="inlineStr">
        <is>
          <t>Pool (S = special rate)</t>
        </is>
      </c>
      <c r="AC2" s="132" t="inlineStr">
        <is>
          <t>Special Rate W Down Allowance</t>
        </is>
      </c>
    </row>
    <row r="3" spans="1:29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9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  <c r="AB4" s="23"/>
      <c r="AC4" s="15">
        <f>[1]Admin!$G$6</f>
        <v>0.06</v>
      </c>
    </row>
    <row r="5" spans="1:29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9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9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9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9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9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9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  <c r="AB11" s="22"/>
      <c r="AC11" s="17">
        <f>SUM(AC8:AC10)</f>
        <v>0</v>
      </c>
    </row>
    <row r="12" spans="1:29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9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9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IF(AND(O14&gt;0,AB14&lt;&gt;"S"),O14*R$4," ")</f>
        <v xml:space="preserve"> </v>
      </c>
      <c r="S14" s="11" t="str">
        <f>IF(O14&gt;0,O14-N(R14)-N(AC14),"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  <c r="AB14" s="42"/>
      <c r="AC14" s="11" t="str">
        <f>IF(AND(O14&gt;0,AB14="S"),O14*AC$4," ")</f>
        <v xml:space="preserve"> </v>
      </c>
    </row>
    <row r="15" spans="1:29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IF(AND(O15&gt;0,AB15&lt;&gt;"S"),O15*R$4," ")</f>
        <v xml:space="preserve"> </v>
      </c>
      <c r="S15" s="11" t="str">
        <f>IF(O15&gt;0,O15-N(R15)-N(AC15),"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  <c r="AB15" s="42"/>
      <c r="AC15" s="11" t="str">
        <f>IF(AND(O15&gt;0,AB15="S"),O15*AC$4," ")</f>
        <v xml:space="preserve"> </v>
      </c>
    </row>
    <row r="16" spans="1:29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IF(AND(O16&gt;0,AB16&lt;&gt;"S"),O16*R$4," ")</f>
        <v xml:space="preserve"> </v>
      </c>
      <c r="S16" s="11" t="str">
        <f>IF(O16&gt;0,O16-N(R16)-N(AC16),"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  <c r="AB16" s="42"/>
      <c r="AC16" s="11" t="str">
        <f>IF(AND(O16&gt;0,AB16="S"),O16*AC$4," ")</f>
        <v xml:space="preserve"> </v>
      </c>
    </row>
    <row r="17" spans="1:29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IF(AND(O17&gt;0,AB17&lt;&gt;"S"),O17*R$4," ")</f>
        <v xml:space="preserve"> </v>
      </c>
      <c r="S17" s="11" t="str">
        <f>IF(O17&gt;0,O17-N(R17)-N(AC17),"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  <c r="AB17" s="42"/>
      <c r="AC17" s="11" t="str">
        <f>IF(AND(O17&gt;0,AB17="S"),O17*AC$4," ")</f>
        <v xml:space="preserve"> </v>
      </c>
    </row>
    <row r="18" spans="1:29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IF(AND(O18&gt;0,AB18&lt;&gt;"S"),O18*R$4," ")</f>
        <v xml:space="preserve"> </v>
      </c>
      <c r="S18" s="11" t="str">
        <f>IF(O18&gt;0,O18-N(R18)-N(AC18),"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  <c r="AB18" s="42"/>
      <c r="AC18" s="11" t="str">
        <f>IF(AND(O18&gt;0,AB18="S"),O18*AC$4," ")</f>
        <v xml:space="preserve"> </v>
      </c>
    </row>
    <row r="19" spans="1:29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  <c r="AB19" s="22"/>
      <c r="AC19" s="17">
        <f>SUM(AC14:AC18)</f>
        <v>0</v>
      </c>
    </row>
    <row r="20" spans="1:29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9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9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IF(AND(O22&gt;0,AB22&lt;&gt;"S"),O22*R$4," ")</f>
        <v xml:space="preserve"> </v>
      </c>
      <c r="S22" s="11" t="str">
        <f>IF(O22&gt;0,O22-N(R22)-N(AC22),"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  <c r="AB22" s="42"/>
      <c r="AC22" s="11" t="str">
        <f>IF(AND(O22&gt;0,AB22="S"),O22*AC$4," ")</f>
        <v xml:space="preserve"> </v>
      </c>
    </row>
    <row r="23" spans="1:29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IF(AND(O23&gt;0,AB23&lt;&gt;"S"),O23*R$4," ")</f>
        <v xml:space="preserve"> </v>
      </c>
      <c r="S23" s="11" t="str">
        <f>IF(O23&gt;0,O23-N(R23)-N(AC23),"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  <c r="AB23" s="42"/>
      <c r="AC23" s="11" t="str">
        <f>IF(AND(O23&gt;0,AB23="S"),O23*AC$4," ")</f>
        <v xml:space="preserve"> </v>
      </c>
    </row>
    <row r="24" spans="1:29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IF(AND(O24&gt;0,AB24&lt;&gt;"S"),O24*R$4," ")</f>
        <v xml:space="preserve"> </v>
      </c>
      <c r="S24" s="11" t="str">
        <f>IF(O24&gt;0,O24-N(R24)-N(AC24),"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  <c r="AB24" s="42"/>
      <c r="AC24" s="11" t="str">
        <f>IF(AND(O24&gt;0,AB24="S"),O24*AC$4," ")</f>
        <v xml:space="preserve"> </v>
      </c>
    </row>
    <row r="25" spans="1:29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IF(AND(O25&gt;0,AB25&lt;&gt;"S"),O25*R$4," ")</f>
        <v xml:space="preserve"> </v>
      </c>
      <c r="S25" s="11" t="str">
        <f>IF(O25&gt;0,O25-N(R25)-N(AC25),"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  <c r="AB25" s="42"/>
      <c r="AC25" s="11" t="str">
        <f>IF(AND(O25&gt;0,AB25="S"),O25*AC$4," ")</f>
        <v xml:space="preserve"> </v>
      </c>
    </row>
    <row r="26" spans="1:29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IF(AND(O26&gt;0,AB26&lt;&gt;"S"),O26*R$4," ")</f>
        <v xml:space="preserve"> </v>
      </c>
      <c r="S26" s="11" t="str">
        <f>IF(O26&gt;0,O26-N(R26)-N(AC26),"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  <c r="AB26" s="42"/>
      <c r="AC26" s="11" t="str">
        <f>IF(AND(O26&gt;0,AB26="S"),O26*AC$4," ")</f>
        <v xml:space="preserve"> </v>
      </c>
    </row>
    <row r="27" spans="1:29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  <c r="AB27" s="22"/>
      <c r="AC27" s="17">
        <f>SUM(AC22:AC26)</f>
        <v>0</v>
      </c>
    </row>
    <row r="28" spans="1:29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9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9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IF(AND(O30&gt;0,AB30&lt;&gt;"S"),O30*R$4," ")</f>
        <v xml:space="preserve"> </v>
      </c>
      <c r="S30" s="11" t="str">
        <f>IF(O30&gt;0,O30-N(R30)-N(AC30),"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  <c r="AB30" s="42"/>
      <c r="AC30" s="11" t="str">
        <f>IF(AND(O30&gt;0,AB30="S"),O30*AC$4," ")</f>
        <v xml:space="preserve"> </v>
      </c>
    </row>
    <row r="31" spans="1:29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IF(AND(O31&gt;0,AB31&lt;&gt;"S"),O31*R$4," ")</f>
        <v xml:space="preserve"> </v>
      </c>
      <c r="S31" s="11" t="str">
        <f>IF(O31&gt;0,O31-N(R31)-N(AC31),"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  <c r="AB31" s="42"/>
      <c r="AC31" s="11" t="str">
        <f>IF(AND(O31&gt;0,AB31="S"),O31*AC$4," ")</f>
        <v xml:space="preserve"> </v>
      </c>
    </row>
    <row r="32" spans="1:29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IF(AND(O32&gt;0,AB32&lt;&gt;"S"),O32*R$4," ")</f>
        <v xml:space="preserve"> </v>
      </c>
      <c r="S32" s="11" t="str">
        <f>IF(O32&gt;0,O32-N(R32)-N(AC32),"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  <c r="AB32" s="42"/>
      <c r="AC32" s="11" t="str">
        <f>IF(AND(O32&gt;0,AB32="S"),O32*AC$4," ")</f>
        <v xml:space="preserve"> </v>
      </c>
    </row>
    <row r="33" spans="1:29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IF(AND(O33&gt;0,AB33&lt;&gt;"S"),O33*R$4," ")</f>
        <v xml:space="preserve"> </v>
      </c>
      <c r="S33" s="11" t="str">
        <f>IF(O33&gt;0,O33-N(R33)-N(AC33),"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  <c r="AB33" s="42"/>
      <c r="AC33" s="11" t="str">
        <f>IF(AND(O33&gt;0,AB33="S"),O33*AC$4," ")</f>
        <v xml:space="preserve"> </v>
      </c>
    </row>
    <row r="34" spans="1:29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IF(AND(O34&gt;0,AB34&lt;&gt;"S"),O34*R$4," ")</f>
        <v xml:space="preserve"> </v>
      </c>
      <c r="S34" s="11" t="str">
        <f>IF(O34&gt;0,O34-N(R34)-N(AC34),"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  <c r="AB34" s="42"/>
      <c r="AC34" s="11" t="str">
        <f>IF(AND(O34&gt;0,AB34="S"),O34*AC$4," ")</f>
        <v xml:space="preserve"> </v>
      </c>
    </row>
    <row r="35" spans="1:29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  <c r="AB35" s="22"/>
      <c r="AC35" s="17">
        <f>SUM(AC30:AC34)</f>
        <v>0</v>
      </c>
    </row>
    <row r="36" spans="1:29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9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9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IF(AND(O38&gt;0,AB38&lt;&gt;"S"),O38*R$4*(1-M38)," ")</f>
        <v xml:space="preserve"> </v>
      </c>
      <c r="S38" s="11" t="str">
        <f>IF(O38&gt;0,O38-N(R38)-N(AC38),"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  <c r="AB38" s="42"/>
      <c r="AC38" s="11" t="str">
        <f>IF(AND(O38&gt;0,AB38="S"),O38*AC$4*(1-M38)," ")</f>
        <v xml:space="preserve"> </v>
      </c>
    </row>
    <row r="39" spans="1:29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IF(AND(O39&gt;0,AB39&lt;&gt;"S"),O39*R$4*(1-M39)," ")</f>
        <v xml:space="preserve"> </v>
      </c>
      <c r="S39" s="11" t="str">
        <f>IF(O39&gt;0,O39-N(R39)-N(AC39),"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  <c r="AB39" s="42"/>
      <c r="AC39" s="11" t="str">
        <f>IF(AND(O39&gt;0,AB39="S"),O39*AC$4*(1-M39)," ")</f>
        <v xml:space="preserve"> </v>
      </c>
    </row>
    <row r="40" spans="1:29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IF(AND(O40&gt;0,AB40&lt;&gt;"S"),O40*R$4*(1-M40)," ")</f>
        <v xml:space="preserve"> </v>
      </c>
      <c r="S40" s="11" t="str">
        <f>IF(O40&gt;0,O40-N(R40)-N(AC40),"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  <c r="AB40" s="42"/>
      <c r="AC40" s="11" t="str">
        <f>IF(AND(O40&gt;0,AB40="S"),O40*AC$4*(1-M40)," ")</f>
        <v xml:space="preserve"> </v>
      </c>
    </row>
    <row r="41" spans="1:29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IF(AND(O41&gt;0,AB41&lt;&gt;"S"),O41*R$4*(1-M41)," ")</f>
        <v xml:space="preserve"> </v>
      </c>
      <c r="S41" s="11" t="str">
        <f>IF(O41&gt;0,O41-N(R41)-N(AC41),"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  <c r="AB41" s="42"/>
      <c r="AC41" s="11" t="str">
        <f>IF(AND(O41&gt;0,AB41="S"),O41*AC$4*(1-M41)," ")</f>
        <v xml:space="preserve"> </v>
      </c>
    </row>
    <row r="42" spans="1:29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IF(AND(O42&gt;0,AB42&lt;&gt;"S"),O42*R$4*(1-M42)," ")</f>
        <v xml:space="preserve"> </v>
      </c>
      <c r="S42" s="11" t="str">
        <f>IF(O42&gt;0,O42-N(R42)-N(AC42),"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  <c r="AB42" s="42"/>
      <c r="AC42" s="11" t="str">
        <f>IF(AND(O42&gt;0,AB42="S"),O42*AC$4*(1-M42)," ")</f>
        <v xml:space="preserve"> </v>
      </c>
    </row>
    <row r="43" spans="1:29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9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IF(AND(O44&gt;0,AB44&lt;&gt;"S"),O44*R$4*(1-M44)," ")</f>
        <v xml:space="preserve"> </v>
      </c>
      <c r="S44" s="11" t="str">
        <f>IF(O44&gt;0,O44-N(R44)-N(AC44),"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  <c r="AB44" s="42"/>
      <c r="AC44" s="11" t="str">
        <f>IF(AND(O44&gt;0,AB44="S"),O44*AC$4*(1-M44)," ")</f>
        <v xml:space="preserve"> </v>
      </c>
    </row>
    <row r="45" spans="1:29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IF(AND(O45&gt;0,AB45&lt;&gt;"S"),O45*R$4*(1-M45)," ")</f>
        <v xml:space="preserve"> </v>
      </c>
      <c r="S45" s="11" t="str">
        <f>IF(O45&gt;0,O45-N(R45)-N(AC45),"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  <c r="AB45" s="42"/>
      <c r="AC45" s="11" t="str">
        <f>IF(AND(O45&gt;0,AB45="S"),O45*AC$4*(1-M45)," ")</f>
        <v xml:space="preserve"> </v>
      </c>
    </row>
    <row r="46" spans="1:29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IF(AND(O46&gt;0,AB46&lt;&gt;"S"),O46*R$4*(1-M46)," ")</f>
        <v xml:space="preserve"> </v>
      </c>
      <c r="S46" s="11" t="str">
        <f>IF(O46&gt;0,O46-N(R46)-N(AC46),"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  <c r="AB46" s="42"/>
      <c r="AC46" s="11" t="str">
        <f>IF(AND(O46&gt;0,AB46="S"),O46*AC$4*(1-M46)," ")</f>
        <v xml:space="preserve"> </v>
      </c>
    </row>
    <row r="47" spans="1:29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IF(AND(O47&gt;0,AB47&lt;&gt;"S"),O47*R$4*(1-M47)," ")</f>
        <v xml:space="preserve"> </v>
      </c>
      <c r="S47" s="11" t="str">
        <f>IF(O47&gt;0,O47-N(R47)-N(AC47),"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  <c r="AB47" s="42"/>
      <c r="AC47" s="11" t="str">
        <f>IF(AND(O47&gt;0,AB47="S"),O47*AC$4*(1-M47)," ")</f>
        <v xml:space="preserve"> </v>
      </c>
    </row>
    <row r="48" spans="1:29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IF(AND(O48&gt;0,AB48&lt;&gt;"S"),O48*R$4*(1-M48)," ")</f>
        <v xml:space="preserve"> </v>
      </c>
      <c r="S48" s="11" t="str">
        <f>IF(O48&gt;0,O48-N(R48)-N(AC48),"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  <c r="AB48" s="42"/>
      <c r="AC48" s="11" t="str">
        <f>IF(AND(O48&gt;0,AB48="S"),O48*AC$4*(1-M48)," ")</f>
        <v xml:space="preserve"> </v>
      </c>
    </row>
    <row r="49" spans="1:29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9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IF(AND(O50&gt;0,AB50&lt;&gt;"S"),O50*R$4," ")</f>
        <v xml:space="preserve"> </v>
      </c>
      <c r="S50" s="11" t="str">
        <f>IF(O50&gt;0,O50-N(R50)-N(AC50),"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  <c r="AB50" s="42"/>
      <c r="AC50" s="11" t="str">
        <f>IF(AND(O50&gt;0,AB50="S"),O50*AC$4," ")</f>
        <v xml:space="preserve"> </v>
      </c>
    </row>
    <row r="51" spans="1:29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IF(AND(O51&gt;0,AB51&lt;&gt;"S"),O51*R$4," ")</f>
        <v xml:space="preserve"> </v>
      </c>
      <c r="S51" s="11" t="str">
        <f>IF(O51&gt;0,O51-N(R51)-N(AC51),"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  <c r="AB51" s="42"/>
      <c r="AC51" s="11" t="str">
        <f>IF(AND(O51&gt;0,AB51="S"),O51*AC$4," ")</f>
        <v xml:space="preserve"> </v>
      </c>
    </row>
    <row r="52" spans="1:29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IF(AND(O52&gt;0,AB52&lt;&gt;"S"),O52*R$4," ")</f>
        <v xml:space="preserve"> </v>
      </c>
      <c r="S52" s="11" t="str">
        <f>IF(O52&gt;0,O52-N(R52)-N(AC52),"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  <c r="AB52" s="42"/>
      <c r="AC52" s="11" t="str">
        <f>IF(AND(O52&gt;0,AB52="S"),O52*AC$4," ")</f>
        <v xml:space="preserve"> </v>
      </c>
    </row>
    <row r="53" spans="1:29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IF(AND(O53&gt;0,AB53&lt;&gt;"S"),O53*R$4," ")</f>
        <v xml:space="preserve"> </v>
      </c>
      <c r="S53" s="11" t="str">
        <f>IF(O53&gt;0,O53-N(R53)-N(AC53),"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  <c r="AB53" s="42"/>
      <c r="AC53" s="11" t="str">
        <f>IF(AND(O53&gt;0,AB53="S"),O53*AC$4," ")</f>
        <v xml:space="preserve"> </v>
      </c>
    </row>
    <row r="54" spans="1:29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IF(AND(O54&gt;0,AB54&lt;&gt;"S"),O54*R$4," ")</f>
        <v xml:space="preserve"> </v>
      </c>
      <c r="S54" s="11" t="str">
        <f>IF(O54&gt;0,O54-N(R54)-N(AC54),"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  <c r="AB54" s="42"/>
      <c r="AC54" s="11" t="str">
        <f>IF(AND(O54&gt;0,AB54="S"),O54*AC$4," ")</f>
        <v xml:space="preserve"> </v>
      </c>
    </row>
    <row r="55" spans="1:29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  <c r="AB55" s="22"/>
      <c r="AC55" s="17">
        <f>SUM(AC38:AC54)</f>
        <v>0</v>
      </c>
    </row>
    <row r="56" spans="1:29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9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  <c r="AB57" s="22"/>
      <c r="AC57" s="19">
        <f>AC11+AC19+AC27+AC35+AC55</f>
        <v>0</v>
      </c>
    </row>
    <row r="58" spans="1:29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9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9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9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9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9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9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  <c r="AB64" s="22"/>
      <c r="AC64" s="17">
        <f>SUM(AC61:AC63)</f>
        <v>0</v>
      </c>
    </row>
    <row r="65" spans="1:29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9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9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9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9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9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9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9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  <c r="AB72" s="22"/>
      <c r="AC72" s="17">
        <f>SUM(AC67:AC71)</f>
        <v>0</v>
      </c>
    </row>
    <row r="73" spans="1:29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9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9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9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9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9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9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9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  <c r="AB80" s="22"/>
      <c r="AC80" s="17">
        <f>SUM(AC75:AC79)</f>
        <v>0</v>
      </c>
    </row>
    <row r="81" spans="1:29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9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9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9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9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9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9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9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  <c r="AB88" s="22"/>
      <c r="AC88" s="17">
        <f>SUM(AC83:AC87)</f>
        <v>0</v>
      </c>
    </row>
    <row r="89" spans="1:29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9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9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IF(AND(E91&gt;0,AB91&lt;&gt;"S"),E91*R$4*(1-M91)," ")</f>
        <v xml:space="preserve"> </v>
      </c>
      <c r="S91" s="11" t="str">
        <f>IF(E91&gt;0,E91-N(R91)-N(AC91),"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  <c r="AB91" s="42"/>
      <c r="AC91" s="11" t="str">
        <f>IF(AND(E91&gt;0,AB91="S"),E91*AC$4*(1-M91)," ")</f>
        <v xml:space="preserve"> </v>
      </c>
    </row>
    <row r="92" spans="1:29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IF(AND(E92&gt;0,AB92&lt;&gt;"S"),E92*R$4*(1-M92)," ")</f>
        <v xml:space="preserve"> </v>
      </c>
      <c r="S92" s="11" t="str">
        <f>IF(E92&gt;0,E92-N(R92)-N(AC92),"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  <c r="AB92" s="42"/>
      <c r="AC92" s="11" t="str">
        <f>IF(AND(E92&gt;0,AB92="S"),E92*AC$4*(1-M92)," ")</f>
        <v xml:space="preserve"> </v>
      </c>
    </row>
    <row r="93" spans="1:29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IF(AND(E93&gt;0,AB93&lt;&gt;"S"),E93*R$4*(1-M93)," ")</f>
        <v xml:space="preserve"> </v>
      </c>
      <c r="S93" s="11" t="str">
        <f>IF(E93&gt;0,E93-N(R93)-N(AC93),"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  <c r="AB93" s="42"/>
      <c r="AC93" s="11" t="str">
        <f>IF(AND(E93&gt;0,AB93="S"),E93*AC$4*(1-M93)," ")</f>
        <v xml:space="preserve"> </v>
      </c>
    </row>
    <row r="94" spans="1:29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IF(AND(E94&gt;0,AB94&lt;&gt;"S"),E94*R$4*(1-M94)," ")</f>
        <v xml:space="preserve"> </v>
      </c>
      <c r="S94" s="11" t="str">
        <f>IF(E94&gt;0,E94-N(R94)-N(AC94),"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  <c r="AB94" s="42"/>
      <c r="AC94" s="11" t="str">
        <f>IF(AND(E94&gt;0,AB94="S"),E94*AC$4*(1-M94)," ")</f>
        <v xml:space="preserve"> </v>
      </c>
    </row>
    <row r="95" spans="1:29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IF(AND(E95&gt;0,AB95&lt;&gt;"S"),E95*R$4*(1-M95)," ")</f>
        <v xml:space="preserve"> </v>
      </c>
      <c r="S95" s="11" t="str">
        <f>IF(E95&gt;0,E95-N(R95)-N(AC95),"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  <c r="AB95" s="42"/>
      <c r="AC95" s="11" t="str">
        <f>IF(AND(E95&gt;0,AB95="S"),E95*AC$4*(1-M95)," ")</f>
        <v xml:space="preserve"> </v>
      </c>
    </row>
    <row r="96" spans="1:29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9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IF(AND(E97&gt;0,AB97&lt;&gt;"S"),E97*R$4*(1-M97)," ")</f>
        <v xml:space="preserve"> </v>
      </c>
      <c r="S97" s="11" t="str">
        <f>IF(E97&gt;0,E97-N(R97)-N(AC97),"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  <c r="AB97" s="42"/>
      <c r="AC97" s="11" t="str">
        <f>IF(AND(E97&gt;0,AB97="S"),E97*AC$4*(1-M97)," ")</f>
        <v xml:space="preserve"> </v>
      </c>
    </row>
    <row r="98" spans="1:29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IF(AND(E98&gt;0,AB98&lt;&gt;"S"),E98*R$4*(1-M98)," ")</f>
        <v xml:space="preserve"> </v>
      </c>
      <c r="S98" s="11" t="str">
        <f>IF(E98&gt;0,E98-N(R98)-N(AC98),"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  <c r="AB98" s="42"/>
      <c r="AC98" s="11" t="str">
        <f>IF(AND(E98&gt;0,AB98="S"),E98*AC$4*(1-M98)," ")</f>
        <v xml:space="preserve"> </v>
      </c>
    </row>
    <row r="99" spans="1:29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IF(AND(E99&gt;0,AB99&lt;&gt;"S"),E99*R$4*(1-M99)," ")</f>
        <v xml:space="preserve"> </v>
      </c>
      <c r="S99" s="11" t="str">
        <f>IF(E99&gt;0,E99-N(R99)-N(AC99),"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  <c r="AB99" s="42"/>
      <c r="AC99" s="11" t="str">
        <f>IF(AND(E99&gt;0,AB99="S"),E99*AC$4*(1-M99)," ")</f>
        <v xml:space="preserve"> </v>
      </c>
    </row>
    <row r="100" spans="1:29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IF(AND(E100&gt;0,AB100&lt;&gt;"S"),E100*R$4*(1-M100)," ")</f>
        <v xml:space="preserve"> </v>
      </c>
      <c r="S100" s="11" t="str">
        <f>IF(E100&gt;0,E100-N(R100)-N(AC100),"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  <c r="AB100" s="42"/>
      <c r="AC100" s="11" t="str">
        <f>IF(AND(E100&gt;0,AB100="S"),E100*AC$4*(1-M100)," ")</f>
        <v xml:space="preserve"> </v>
      </c>
    </row>
    <row r="101" spans="1:29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IF(AND(E101&gt;0,AB101&lt;&gt;"S"),E101*R$4*(1-M101)," ")</f>
        <v xml:space="preserve"> </v>
      </c>
      <c r="S101" s="11" t="str">
        <f>IF(E101&gt;0,E101-N(R101)-N(AC101),"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  <c r="AB101" s="42"/>
      <c r="AC101" s="11" t="str">
        <f>IF(AND(E101&gt;0,AB101="S"),E101*AC$4*(1-M101)," ")</f>
        <v xml:space="preserve"> </v>
      </c>
    </row>
    <row r="102" spans="1:29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9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9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9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9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9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9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  <c r="AB108" s="22"/>
      <c r="AC108" s="17">
        <f>SUM(AC91:AC107)</f>
        <v>0</v>
      </c>
    </row>
    <row r="109" spans="1:29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9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  <c r="AB110" s="22"/>
      <c r="AC110" s="19">
        <f>AC64+AC72+AC80+AC88+AC108</f>
        <v>0</v>
      </c>
    </row>
    <row r="111" spans="1:29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IF(E10&gt;0,(E10+F10+G10)/H10,"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IF(E12&gt;0,(E12+F12+G12)/H12,"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IF(E14&gt;0,(E14+F14+G14)/H14,"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IF(E24&gt;0,(E24+F24+G24)/H24,"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IF(E26&gt;0,(E26+F26+G26)/H26,"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IF(E28&gt;0,(E28+F28+G28)/H28,"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Terry Cartwright</dc:creator>
  <cp:lastModifiedBy>Cartwright, Antony</cp:lastModifiedBy>
  <cp:lastPrinted>2007-03-03T22:52:10Z</cp:lastPrinted>
  <dcterms:created xsi:type="dcterms:W3CDTF">2002-12-30T15:31:19Z</dcterms:created>
  <dcterms:modified xsi:type="dcterms:W3CDTF">2025-04-03T22:50:09Z</dcterms:modified>
</cp:coreProperties>
</file>