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8CC95629-9D39-164A-9BFA-9D038F901A4E}" xr6:coauthVersionLast="47" xr6:coauthVersionMax="47" xr10:uidLastSave="{00000000-0000-0000-0000-000000000000}"/>
  <bookViews>
    <workbookView xWindow="0" yWindow="500" windowWidth="25040" windowHeight="13680" tabRatio="724" xr2:uid="{00000000-000D-0000-FFFF-FFFF00000000}"/>
  </bookViews>
  <sheets>
    <sheet name="Schedule" sheetId="11" r:id="rId1"/>
    <sheet name="FAreconciliation" sheetId="12" r:id="rId2"/>
    <sheet name="HPfinance" sheetId="13" r:id="rId3"/>
  </sheets>
  <externalReferences>
    <externalReference r:id="rId4"/>
    <externalReference r:id="rId5"/>
    <externalReference r:id="rId6"/>
  </externalReferences>
  <definedNames>
    <definedName name="_xlnm.Print_Titles" localSheetId="0">Schedule!$A:$G,Schedule!$1:$4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3" i="12" l="1"/>
  <c r="R101" i="11"/>
  <c r="R100" i="11"/>
  <c r="R99" i="11"/>
  <c r="R98" i="11"/>
  <c r="R97" i="11"/>
  <c r="R95" i="11"/>
  <c r="R94" i="11"/>
  <c r="R93" i="11"/>
  <c r="R92" i="11"/>
  <c r="R91" i="11"/>
  <c r="D59" i="11"/>
  <c r="D43" i="11"/>
  <c r="R48" i="11"/>
  <c r="R47" i="11"/>
  <c r="R46" i="11"/>
  <c r="R45" i="11"/>
  <c r="R44" i="11"/>
  <c r="R42" i="11"/>
  <c r="R41" i="11"/>
  <c r="R40" i="11"/>
  <c r="R39" i="11"/>
  <c r="R38" i="11"/>
  <c r="H37" i="11"/>
  <c r="D37" i="11"/>
  <c r="H29" i="11"/>
  <c r="H21" i="11"/>
  <c r="H13" i="11"/>
  <c r="D6" i="11"/>
  <c r="S4" i="11"/>
  <c r="R4" i="11"/>
  <c r="P4" i="11"/>
  <c r="O4" i="11"/>
  <c r="H7" i="11"/>
  <c r="K4" i="11"/>
  <c r="J4" i="11"/>
  <c r="G4" i="11"/>
  <c r="F4" i="11"/>
  <c r="Z38" i="11" l="1"/>
  <c r="Z39" i="11"/>
  <c r="Z40" i="11"/>
  <c r="Z41" i="11"/>
  <c r="Z42" i="11"/>
  <c r="Z44" i="11"/>
  <c r="Z45" i="11"/>
  <c r="Z46" i="11"/>
  <c r="Z47" i="11"/>
  <c r="Z48" i="11"/>
  <c r="Z50" i="11"/>
  <c r="Z51" i="11"/>
  <c r="Z52" i="11"/>
  <c r="Z53" i="11"/>
  <c r="Z54" i="11"/>
  <c r="Y38" i="11"/>
  <c r="Y39" i="11"/>
  <c r="Y40" i="11"/>
  <c r="Y41" i="11"/>
  <c r="Y42" i="11"/>
  <c r="Y44" i="11"/>
  <c r="Y45" i="11"/>
  <c r="Y46" i="11"/>
  <c r="Y47" i="11"/>
  <c r="Y48" i="11"/>
  <c r="Y50" i="11"/>
  <c r="Y51" i="11"/>
  <c r="Y52" i="11"/>
  <c r="Y53" i="11"/>
  <c r="Y54" i="11"/>
  <c r="X38" i="11"/>
  <c r="X39" i="11"/>
  <c r="X40" i="11"/>
  <c r="X41" i="11"/>
  <c r="X42" i="11"/>
  <c r="X44" i="11"/>
  <c r="X45" i="11"/>
  <c r="X46" i="11"/>
  <c r="X47" i="11"/>
  <c r="X48" i="11"/>
  <c r="X50" i="11"/>
  <c r="X51" i="11"/>
  <c r="X52" i="11"/>
  <c r="X53" i="11"/>
  <c r="X54" i="11"/>
  <c r="V55" i="11"/>
  <c r="S38" i="11"/>
  <c r="S39" i="11"/>
  <c r="S40" i="11"/>
  <c r="S41" i="11"/>
  <c r="S42" i="11"/>
  <c r="S44" i="11"/>
  <c r="S45" i="11"/>
  <c r="S46" i="11"/>
  <c r="S47" i="11"/>
  <c r="S48" i="11"/>
  <c r="S50" i="11"/>
  <c r="S51" i="11"/>
  <c r="S52" i="11"/>
  <c r="S53" i="11"/>
  <c r="S54" i="11"/>
  <c r="R50" i="11"/>
  <c r="R51" i="11"/>
  <c r="R52" i="11"/>
  <c r="R53" i="11"/>
  <c r="R54" i="11"/>
  <c r="Q55" i="11"/>
  <c r="O55" i="11"/>
  <c r="K38" i="11"/>
  <c r="K39" i="11"/>
  <c r="K40" i="11"/>
  <c r="K41" i="11"/>
  <c r="K42" i="11"/>
  <c r="K44" i="11"/>
  <c r="K45" i="11"/>
  <c r="K46" i="11"/>
  <c r="K47" i="11"/>
  <c r="K48" i="11"/>
  <c r="K50" i="11"/>
  <c r="K51" i="11"/>
  <c r="K52" i="11"/>
  <c r="K53" i="11"/>
  <c r="K54" i="11"/>
  <c r="J38" i="11"/>
  <c r="J39" i="11"/>
  <c r="J40" i="11"/>
  <c r="J41" i="11"/>
  <c r="J42" i="11"/>
  <c r="J44" i="11"/>
  <c r="J45" i="11"/>
  <c r="J46" i="11"/>
  <c r="J47" i="11"/>
  <c r="J48" i="11"/>
  <c r="J50" i="11"/>
  <c r="J51" i="11"/>
  <c r="J52" i="11"/>
  <c r="J53" i="11"/>
  <c r="J54" i="11"/>
  <c r="I38" i="11"/>
  <c r="I39" i="11"/>
  <c r="I40" i="11"/>
  <c r="I41" i="11"/>
  <c r="I42" i="11"/>
  <c r="I44" i="11"/>
  <c r="I45" i="11"/>
  <c r="I46" i="11"/>
  <c r="I47" i="11"/>
  <c r="I48" i="11"/>
  <c r="I50" i="11"/>
  <c r="I51" i="11"/>
  <c r="I52" i="11"/>
  <c r="I53" i="11"/>
  <c r="I54" i="11"/>
  <c r="F55" i="11"/>
  <c r="E55" i="11"/>
  <c r="Q67" i="11"/>
  <c r="Q68" i="11"/>
  <c r="Q69" i="11"/>
  <c r="Q70" i="11"/>
  <c r="Q71" i="11"/>
  <c r="Q75" i="11"/>
  <c r="Q76" i="11"/>
  <c r="Q77" i="11"/>
  <c r="Q78" i="11"/>
  <c r="Q79" i="11"/>
  <c r="Q83" i="11"/>
  <c r="Q84" i="11"/>
  <c r="Q85" i="11"/>
  <c r="Q86" i="11"/>
  <c r="Q87" i="11"/>
  <c r="Q103" i="11"/>
  <c r="Q104" i="11"/>
  <c r="Q105" i="11"/>
  <c r="Q106" i="11"/>
  <c r="Q107" i="11"/>
  <c r="R14" i="11"/>
  <c r="R15" i="11"/>
  <c r="R16" i="11"/>
  <c r="R17" i="11"/>
  <c r="R18" i="11"/>
  <c r="R22" i="11"/>
  <c r="R23" i="11"/>
  <c r="R24" i="11"/>
  <c r="R25" i="11"/>
  <c r="R26" i="11"/>
  <c r="R30" i="11"/>
  <c r="R31" i="11"/>
  <c r="R32" i="11"/>
  <c r="R33" i="11"/>
  <c r="R34" i="11"/>
  <c r="Y14" i="11"/>
  <c r="Y15" i="11"/>
  <c r="Y16" i="11"/>
  <c r="Y17" i="11"/>
  <c r="Y18" i="11"/>
  <c r="Y22" i="11"/>
  <c r="Y23" i="11"/>
  <c r="Y24" i="11"/>
  <c r="Y25" i="11"/>
  <c r="Y26" i="11"/>
  <c r="Y30" i="11"/>
  <c r="Y31" i="11"/>
  <c r="Y32" i="11"/>
  <c r="Y33" i="11"/>
  <c r="Y34" i="11"/>
  <c r="Y67" i="11"/>
  <c r="Y68" i="11"/>
  <c r="Y69" i="11"/>
  <c r="Y70" i="11"/>
  <c r="Y71" i="11"/>
  <c r="Y75" i="11"/>
  <c r="Y76" i="11"/>
  <c r="Y77" i="11"/>
  <c r="Y78" i="11"/>
  <c r="Y79" i="11"/>
  <c r="Y83" i="11"/>
  <c r="Y84" i="11"/>
  <c r="Y85" i="11"/>
  <c r="Y86" i="11"/>
  <c r="Y87" i="11"/>
  <c r="Y91" i="11"/>
  <c r="Y92" i="11"/>
  <c r="Y93" i="11"/>
  <c r="Y94" i="11"/>
  <c r="Y95" i="11"/>
  <c r="Y97" i="11"/>
  <c r="Y98" i="11"/>
  <c r="Y99" i="11"/>
  <c r="Y100" i="11"/>
  <c r="Y101" i="11"/>
  <c r="Y103" i="11"/>
  <c r="Y104" i="11"/>
  <c r="Y105" i="11"/>
  <c r="Y106" i="11"/>
  <c r="Y107" i="11"/>
  <c r="Z14" i="11"/>
  <c r="Z15" i="11"/>
  <c r="Z16" i="11"/>
  <c r="Z17" i="11"/>
  <c r="Z18" i="11"/>
  <c r="Z22" i="11"/>
  <c r="Z23" i="11"/>
  <c r="Z24" i="11"/>
  <c r="Z25" i="11"/>
  <c r="Z26" i="11"/>
  <c r="Z30" i="11"/>
  <c r="Z31" i="11"/>
  <c r="Z32" i="11"/>
  <c r="Z33" i="11"/>
  <c r="Z34" i="11"/>
  <c r="Z67" i="11"/>
  <c r="Z68" i="11"/>
  <c r="Z69" i="11"/>
  <c r="Z70" i="11"/>
  <c r="Z71" i="11"/>
  <c r="Z75" i="11"/>
  <c r="Z76" i="11"/>
  <c r="Z77" i="11"/>
  <c r="Z78" i="11"/>
  <c r="Z79" i="11"/>
  <c r="Z83" i="11"/>
  <c r="Z84" i="11"/>
  <c r="Z85" i="11"/>
  <c r="Z86" i="11"/>
  <c r="Z87" i="11"/>
  <c r="Z91" i="11"/>
  <c r="Z92" i="11"/>
  <c r="Z93" i="11"/>
  <c r="Z94" i="11"/>
  <c r="Z95" i="11"/>
  <c r="Z97" i="11"/>
  <c r="Z98" i="11"/>
  <c r="Z99" i="11"/>
  <c r="Z100" i="11"/>
  <c r="Z101" i="11"/>
  <c r="Z103" i="11"/>
  <c r="Z104" i="11"/>
  <c r="Z105" i="11"/>
  <c r="Z106" i="11"/>
  <c r="Z107" i="11"/>
  <c r="I8" i="11"/>
  <c r="I9" i="11"/>
  <c r="I10" i="11"/>
  <c r="I14" i="11"/>
  <c r="I15" i="11"/>
  <c r="I16" i="11"/>
  <c r="I17" i="11"/>
  <c r="I18" i="11"/>
  <c r="I22" i="11"/>
  <c r="I23" i="11"/>
  <c r="I24" i="11"/>
  <c r="I25" i="11"/>
  <c r="I26" i="11"/>
  <c r="I30" i="11"/>
  <c r="I31" i="11"/>
  <c r="I32" i="11"/>
  <c r="I33" i="11"/>
  <c r="I34" i="11"/>
  <c r="I61" i="11"/>
  <c r="I62" i="11"/>
  <c r="I63" i="11"/>
  <c r="I67" i="11"/>
  <c r="I68" i="11"/>
  <c r="I69" i="11"/>
  <c r="I70" i="11"/>
  <c r="I71" i="11"/>
  <c r="I75" i="11"/>
  <c r="I76" i="11"/>
  <c r="I77" i="11"/>
  <c r="I78" i="11"/>
  <c r="I79" i="11"/>
  <c r="I83" i="11"/>
  <c r="I84" i="11"/>
  <c r="I85" i="11"/>
  <c r="I86" i="11"/>
  <c r="I87" i="11"/>
  <c r="I91" i="11"/>
  <c r="I92" i="11"/>
  <c r="I93" i="11"/>
  <c r="I94" i="11"/>
  <c r="I95" i="11"/>
  <c r="I97" i="11"/>
  <c r="I98" i="11"/>
  <c r="I99" i="11"/>
  <c r="I100" i="11"/>
  <c r="I101" i="11"/>
  <c r="I103" i="11"/>
  <c r="I104" i="11"/>
  <c r="I105" i="11"/>
  <c r="I106" i="11"/>
  <c r="I107" i="11"/>
  <c r="X8" i="11"/>
  <c r="X9" i="11"/>
  <c r="X10" i="11"/>
  <c r="X14" i="11"/>
  <c r="X15" i="11"/>
  <c r="X16" i="11"/>
  <c r="X17" i="11"/>
  <c r="X18" i="11"/>
  <c r="X22" i="11"/>
  <c r="X23" i="11"/>
  <c r="X24" i="11"/>
  <c r="X25" i="11"/>
  <c r="X26" i="11"/>
  <c r="X30" i="11"/>
  <c r="X31" i="11"/>
  <c r="X32" i="11"/>
  <c r="X33" i="11"/>
  <c r="X34" i="11"/>
  <c r="X61" i="11"/>
  <c r="X62" i="11"/>
  <c r="X63" i="11"/>
  <c r="X67" i="11"/>
  <c r="X68" i="11"/>
  <c r="X69" i="11"/>
  <c r="X70" i="11"/>
  <c r="X71" i="11"/>
  <c r="X75" i="11"/>
  <c r="X76" i="11"/>
  <c r="X77" i="11"/>
  <c r="X78" i="11"/>
  <c r="X79" i="11"/>
  <c r="X83" i="11"/>
  <c r="X84" i="11"/>
  <c r="X85" i="11"/>
  <c r="X86" i="11"/>
  <c r="X87" i="11"/>
  <c r="X91" i="11"/>
  <c r="X92" i="11"/>
  <c r="X93" i="11"/>
  <c r="X94" i="11"/>
  <c r="X95" i="11"/>
  <c r="X97" i="11"/>
  <c r="X98" i="11"/>
  <c r="X99" i="11"/>
  <c r="X100" i="11"/>
  <c r="X101" i="11"/>
  <c r="X103" i="11"/>
  <c r="X104" i="11"/>
  <c r="X105" i="11"/>
  <c r="X106" i="11"/>
  <c r="X107" i="11"/>
  <c r="D110" i="11"/>
  <c r="D96" i="11"/>
  <c r="H50" i="11"/>
  <c r="D90" i="11"/>
  <c r="H33" i="11"/>
  <c r="H23" i="11"/>
  <c r="H15" i="11"/>
  <c r="D57" i="11"/>
  <c r="P85" i="11"/>
  <c r="H8" i="11"/>
  <c r="B96" i="11"/>
  <c r="B90" i="11"/>
  <c r="B57" i="11"/>
  <c r="B110" i="11"/>
  <c r="W67" i="11"/>
  <c r="S91" i="11"/>
  <c r="J91" i="11"/>
  <c r="W91" i="11"/>
  <c r="V108" i="11"/>
  <c r="K10" i="12" s="1"/>
  <c r="S92" i="11"/>
  <c r="S93" i="11"/>
  <c r="S94" i="11"/>
  <c r="S95" i="11"/>
  <c r="S97" i="11"/>
  <c r="S98" i="11"/>
  <c r="S99" i="11"/>
  <c r="S100" i="11"/>
  <c r="S101" i="11"/>
  <c r="S103" i="11"/>
  <c r="S104" i="11"/>
  <c r="S105" i="11"/>
  <c r="S106" i="11"/>
  <c r="S107" i="11"/>
  <c r="O108" i="11"/>
  <c r="K91" i="11"/>
  <c r="K92" i="11"/>
  <c r="K93" i="11"/>
  <c r="K94" i="11"/>
  <c r="K95" i="11"/>
  <c r="K97" i="11"/>
  <c r="K98" i="11"/>
  <c r="K99" i="11"/>
  <c r="K100" i="11"/>
  <c r="K101" i="11"/>
  <c r="K103" i="11"/>
  <c r="K104" i="11"/>
  <c r="K105" i="11"/>
  <c r="K106" i="11"/>
  <c r="K107" i="11"/>
  <c r="J92" i="11"/>
  <c r="J93" i="11"/>
  <c r="J94" i="11"/>
  <c r="J95" i="11"/>
  <c r="J97" i="11"/>
  <c r="J98" i="11"/>
  <c r="J99" i="11"/>
  <c r="J100" i="11"/>
  <c r="J101" i="11"/>
  <c r="J103" i="11"/>
  <c r="J104" i="11"/>
  <c r="J105" i="11"/>
  <c r="J106" i="11"/>
  <c r="J107" i="11"/>
  <c r="G108" i="11"/>
  <c r="F108" i="11"/>
  <c r="E108" i="11"/>
  <c r="E10" i="12" s="1"/>
  <c r="V88" i="11"/>
  <c r="W83" i="11"/>
  <c r="J83" i="11"/>
  <c r="S83" i="11"/>
  <c r="W95" i="11"/>
  <c r="W94" i="11"/>
  <c r="W93" i="11"/>
  <c r="W92" i="11"/>
  <c r="W42" i="11"/>
  <c r="G42" i="11"/>
  <c r="W41" i="11"/>
  <c r="G41" i="11"/>
  <c r="W40" i="11"/>
  <c r="G40" i="11"/>
  <c r="W39" i="11"/>
  <c r="G39" i="11"/>
  <c r="W38" i="11"/>
  <c r="G38" i="11"/>
  <c r="W14" i="11"/>
  <c r="W15" i="11"/>
  <c r="W16" i="11"/>
  <c r="W17" i="11"/>
  <c r="W18" i="11"/>
  <c r="W22" i="11"/>
  <c r="W23" i="11"/>
  <c r="W24" i="11"/>
  <c r="W25" i="11"/>
  <c r="W26" i="11"/>
  <c r="W30" i="11"/>
  <c r="W31" i="11"/>
  <c r="W32" i="11"/>
  <c r="W33" i="11"/>
  <c r="W34" i="11"/>
  <c r="W44" i="11"/>
  <c r="W50" i="11"/>
  <c r="W45" i="11"/>
  <c r="W46" i="11"/>
  <c r="W47" i="11"/>
  <c r="W48" i="11"/>
  <c r="W51" i="11"/>
  <c r="W52" i="11"/>
  <c r="W53" i="11"/>
  <c r="W54" i="11"/>
  <c r="W8" i="11"/>
  <c r="W9" i="11"/>
  <c r="W10" i="11"/>
  <c r="W61" i="11"/>
  <c r="W62" i="11"/>
  <c r="W63" i="11"/>
  <c r="W68" i="11"/>
  <c r="W69" i="11"/>
  <c r="W70" i="11"/>
  <c r="W71" i="11"/>
  <c r="W75" i="11"/>
  <c r="W76" i="11"/>
  <c r="W77" i="11"/>
  <c r="W78" i="11"/>
  <c r="W79" i="11"/>
  <c r="W84" i="11"/>
  <c r="W85" i="11"/>
  <c r="W86" i="11"/>
  <c r="W87" i="11"/>
  <c r="W97" i="11"/>
  <c r="W103" i="11"/>
  <c r="W98" i="11"/>
  <c r="W99" i="11"/>
  <c r="W100" i="11"/>
  <c r="W101" i="11"/>
  <c r="W104" i="11"/>
  <c r="W105" i="11"/>
  <c r="W106" i="11"/>
  <c r="W107" i="11"/>
  <c r="V64" i="11"/>
  <c r="V72" i="11"/>
  <c r="V80" i="11"/>
  <c r="V11" i="11"/>
  <c r="V19" i="11"/>
  <c r="V27" i="11"/>
  <c r="V35" i="11"/>
  <c r="K9" i="12" s="1"/>
  <c r="G14" i="11"/>
  <c r="G22" i="11"/>
  <c r="G30" i="11"/>
  <c r="G44" i="11"/>
  <c r="G50" i="11"/>
  <c r="Z64" i="11"/>
  <c r="Z11" i="11"/>
  <c r="Y64" i="11"/>
  <c r="Y11" i="11"/>
  <c r="S84" i="11"/>
  <c r="S85" i="11"/>
  <c r="S86" i="11"/>
  <c r="S87" i="11"/>
  <c r="E72" i="11"/>
  <c r="E7" i="12" s="1"/>
  <c r="E80" i="11"/>
  <c r="E8" i="12" s="1"/>
  <c r="E64" i="11"/>
  <c r="E88" i="11"/>
  <c r="E9" i="12" s="1"/>
  <c r="G48" i="11"/>
  <c r="G47" i="11"/>
  <c r="G46" i="11"/>
  <c r="K28" i="13"/>
  <c r="J28" i="13"/>
  <c r="I28" i="13"/>
  <c r="K26" i="13"/>
  <c r="J26" i="13"/>
  <c r="I26" i="13"/>
  <c r="K24" i="13"/>
  <c r="J24" i="13"/>
  <c r="I24" i="13"/>
  <c r="K22" i="13"/>
  <c r="J22" i="13"/>
  <c r="I22" i="13"/>
  <c r="I8" i="13"/>
  <c r="E2" i="13"/>
  <c r="J14" i="13"/>
  <c r="J12" i="13"/>
  <c r="J10" i="13"/>
  <c r="K8" i="13"/>
  <c r="J8" i="13"/>
  <c r="K14" i="13"/>
  <c r="I14" i="13"/>
  <c r="K12" i="13"/>
  <c r="I12" i="13"/>
  <c r="K10" i="13"/>
  <c r="I10" i="13"/>
  <c r="E35" i="11"/>
  <c r="F35" i="11"/>
  <c r="E27" i="11"/>
  <c r="F27" i="11"/>
  <c r="E19" i="11"/>
  <c r="F19" i="11"/>
  <c r="E11" i="11"/>
  <c r="F11" i="11"/>
  <c r="G51" i="11"/>
  <c r="G23" i="11"/>
  <c r="G10" i="11"/>
  <c r="G8" i="11"/>
  <c r="J87" i="11"/>
  <c r="K87" i="11"/>
  <c r="J86" i="11"/>
  <c r="K86" i="11"/>
  <c r="J85" i="11"/>
  <c r="K85" i="11"/>
  <c r="J84" i="11"/>
  <c r="K84" i="11"/>
  <c r="K83" i="11"/>
  <c r="J79" i="11"/>
  <c r="K79" i="11"/>
  <c r="J78" i="11"/>
  <c r="K78" i="11"/>
  <c r="J77" i="11"/>
  <c r="K77" i="11"/>
  <c r="J76" i="11"/>
  <c r="K76" i="11"/>
  <c r="J75" i="11"/>
  <c r="K75" i="11"/>
  <c r="J71" i="11"/>
  <c r="K71" i="11"/>
  <c r="J70" i="11"/>
  <c r="K70" i="11"/>
  <c r="J69" i="11"/>
  <c r="K69" i="11"/>
  <c r="J68" i="11"/>
  <c r="K68" i="11"/>
  <c r="J67" i="11"/>
  <c r="K67" i="11"/>
  <c r="J63" i="11"/>
  <c r="K63" i="11"/>
  <c r="J62" i="11"/>
  <c r="K62" i="11"/>
  <c r="J61" i="11"/>
  <c r="K61" i="11"/>
  <c r="K34" i="11"/>
  <c r="J34" i="11"/>
  <c r="K33" i="11"/>
  <c r="J33" i="11"/>
  <c r="K32" i="11"/>
  <c r="J32" i="11"/>
  <c r="K31" i="11"/>
  <c r="J31" i="11"/>
  <c r="J30" i="11"/>
  <c r="K30" i="11"/>
  <c r="K26" i="11"/>
  <c r="J26" i="11"/>
  <c r="K25" i="11"/>
  <c r="J25" i="11"/>
  <c r="K24" i="11"/>
  <c r="J24" i="11"/>
  <c r="J23" i="11"/>
  <c r="K23" i="11"/>
  <c r="J22" i="11"/>
  <c r="K22" i="11"/>
  <c r="K18" i="11"/>
  <c r="J18" i="11"/>
  <c r="K17" i="11"/>
  <c r="J17" i="11"/>
  <c r="K16" i="11"/>
  <c r="J16" i="11"/>
  <c r="K15" i="11"/>
  <c r="J15" i="11"/>
  <c r="J14" i="11"/>
  <c r="K14" i="11"/>
  <c r="J9" i="11"/>
  <c r="K9" i="11"/>
  <c r="J10" i="11"/>
  <c r="K10" i="11"/>
  <c r="J8" i="11"/>
  <c r="K8" i="11"/>
  <c r="G54" i="11"/>
  <c r="G53" i="11"/>
  <c r="G52" i="11"/>
  <c r="G45" i="11"/>
  <c r="G34" i="11"/>
  <c r="G33" i="11"/>
  <c r="G32" i="11"/>
  <c r="G31" i="11"/>
  <c r="G26" i="11"/>
  <c r="G25" i="11"/>
  <c r="G24" i="11"/>
  <c r="G18" i="11"/>
  <c r="G17" i="11"/>
  <c r="G16" i="11"/>
  <c r="G15" i="11"/>
  <c r="G9" i="11"/>
  <c r="S11" i="11"/>
  <c r="S14" i="11"/>
  <c r="S15" i="11"/>
  <c r="S16" i="11"/>
  <c r="S17" i="11"/>
  <c r="S18" i="11"/>
  <c r="S22" i="11"/>
  <c r="S23" i="11"/>
  <c r="S24" i="11"/>
  <c r="S25" i="11"/>
  <c r="S26" i="11"/>
  <c r="S30" i="11"/>
  <c r="S31" i="11"/>
  <c r="S32" i="11"/>
  <c r="S33" i="11"/>
  <c r="S34" i="11"/>
  <c r="S64" i="11"/>
  <c r="S69" i="11"/>
  <c r="S70" i="11"/>
  <c r="S71" i="11"/>
  <c r="S76" i="11"/>
  <c r="S77" i="11"/>
  <c r="S78" i="11"/>
  <c r="S79" i="11"/>
  <c r="R11" i="11"/>
  <c r="R64" i="11"/>
  <c r="R72" i="11"/>
  <c r="R80" i="11"/>
  <c r="R88" i="11"/>
  <c r="Q11" i="11"/>
  <c r="Q19" i="11"/>
  <c r="Q27" i="11"/>
  <c r="Q35" i="11"/>
  <c r="Q64" i="11"/>
  <c r="O11" i="11"/>
  <c r="O19" i="11"/>
  <c r="O27" i="11"/>
  <c r="O35" i="11"/>
  <c r="O64" i="11"/>
  <c r="O72" i="11"/>
  <c r="O80" i="11"/>
  <c r="O88" i="11"/>
  <c r="G64" i="11"/>
  <c r="G72" i="11"/>
  <c r="G80" i="11"/>
  <c r="G88" i="11"/>
  <c r="F64" i="11"/>
  <c r="F72" i="11"/>
  <c r="F80" i="11"/>
  <c r="F88" i="11"/>
  <c r="S68" i="11"/>
  <c r="S75" i="11"/>
  <c r="S67" i="11"/>
  <c r="E110" i="11" l="1"/>
  <c r="O110" i="11"/>
  <c r="H18" i="11"/>
  <c r="H17" i="11"/>
  <c r="Y88" i="11"/>
  <c r="P78" i="11"/>
  <c r="P67" i="11"/>
  <c r="P103" i="11"/>
  <c r="H9" i="11"/>
  <c r="H54" i="11"/>
  <c r="H52" i="11"/>
  <c r="P77" i="11"/>
  <c r="H47" i="11"/>
  <c r="P104" i="11"/>
  <c r="J11" i="11"/>
  <c r="H25" i="11"/>
  <c r="H48" i="11"/>
  <c r="K6" i="12"/>
  <c r="H42" i="11"/>
  <c r="X11" i="11"/>
  <c r="E57" i="11"/>
  <c r="E1" i="11" s="1"/>
  <c r="H44" i="11"/>
  <c r="Q57" i="11"/>
  <c r="W64" i="11"/>
  <c r="W80" i="11"/>
  <c r="W11" i="11"/>
  <c r="S27" i="11"/>
  <c r="K35" i="11"/>
  <c r="F110" i="11"/>
  <c r="G110" i="11"/>
  <c r="S80" i="11"/>
  <c r="K80" i="11"/>
  <c r="G27" i="11"/>
  <c r="V57" i="11"/>
  <c r="W27" i="11"/>
  <c r="G55" i="11"/>
  <c r="W72" i="11"/>
  <c r="X88" i="11"/>
  <c r="X19" i="11"/>
  <c r="I64" i="11"/>
  <c r="Y27" i="11"/>
  <c r="Q88" i="11"/>
  <c r="O57" i="11"/>
  <c r="O1" i="11" s="1"/>
  <c r="S35" i="11"/>
  <c r="G19" i="11"/>
  <c r="G35" i="11"/>
  <c r="K19" i="11"/>
  <c r="J27" i="11"/>
  <c r="J64" i="11"/>
  <c r="K88" i="11"/>
  <c r="G11" i="11"/>
  <c r="F57" i="11"/>
  <c r="K8" i="12"/>
  <c r="W35" i="11"/>
  <c r="W19" i="11"/>
  <c r="W55" i="11"/>
  <c r="W108" i="11"/>
  <c r="W88" i="11"/>
  <c r="I27" i="11"/>
  <c r="I11" i="11"/>
  <c r="Z72" i="11"/>
  <c r="Y108" i="11"/>
  <c r="R27" i="11"/>
  <c r="X108" i="11"/>
  <c r="X64" i="11"/>
  <c r="I88" i="11"/>
  <c r="I35" i="11"/>
  <c r="Z108" i="11"/>
  <c r="Q72" i="11"/>
  <c r="I72" i="11"/>
  <c r="I55" i="11"/>
  <c r="J55" i="11"/>
  <c r="R55" i="11"/>
  <c r="S72" i="11"/>
  <c r="S19" i="11"/>
  <c r="S88" i="11"/>
  <c r="X27" i="11"/>
  <c r="Y35" i="11"/>
  <c r="Y19" i="11"/>
  <c r="R35" i="11"/>
  <c r="R108" i="11"/>
  <c r="R110" i="11" s="1"/>
  <c r="X80" i="11"/>
  <c r="Z27" i="11"/>
  <c r="J80" i="11"/>
  <c r="H66" i="11"/>
  <c r="H70" i="11" s="1"/>
  <c r="X35" i="11"/>
  <c r="I80" i="11"/>
  <c r="R19" i="11"/>
  <c r="Y55" i="11"/>
  <c r="J108" i="11"/>
  <c r="I108" i="11"/>
  <c r="K55" i="11"/>
  <c r="J35" i="11"/>
  <c r="J72" i="11"/>
  <c r="S108" i="11"/>
  <c r="Z80" i="11"/>
  <c r="Z35" i="11"/>
  <c r="J88" i="11"/>
  <c r="I19" i="11"/>
  <c r="Z88" i="11"/>
  <c r="Q80" i="11"/>
  <c r="Z55" i="11"/>
  <c r="K11" i="11"/>
  <c r="J19" i="11"/>
  <c r="K27" i="11"/>
  <c r="K64" i="11"/>
  <c r="K72" i="11"/>
  <c r="H14" i="11"/>
  <c r="K108" i="11"/>
  <c r="X72" i="11"/>
  <c r="Z19" i="11"/>
  <c r="Y80" i="11"/>
  <c r="Y72" i="11"/>
  <c r="Q108" i="11"/>
  <c r="S55" i="11"/>
  <c r="X55" i="11"/>
  <c r="H22" i="11"/>
  <c r="H32" i="11"/>
  <c r="H45" i="11"/>
  <c r="H74" i="11"/>
  <c r="E6" i="12"/>
  <c r="E11" i="12" s="1"/>
  <c r="H41" i="11"/>
  <c r="P75" i="11"/>
  <c r="P86" i="11"/>
  <c r="H30" i="11"/>
  <c r="K7" i="12"/>
  <c r="P69" i="11"/>
  <c r="P83" i="11"/>
  <c r="P106" i="11"/>
  <c r="H10" i="11"/>
  <c r="H26" i="11"/>
  <c r="H31" i="11"/>
  <c r="H46" i="11"/>
  <c r="V110" i="11"/>
  <c r="H39" i="11"/>
  <c r="P76" i="11"/>
  <c r="P87" i="11"/>
  <c r="H24" i="11"/>
  <c r="H53" i="11"/>
  <c r="H60" i="11"/>
  <c r="H40" i="11"/>
  <c r="P68" i="11"/>
  <c r="P79" i="11"/>
  <c r="P105" i="11"/>
  <c r="H16" i="11"/>
  <c r="H34" i="11"/>
  <c r="H51" i="11"/>
  <c r="H82" i="11"/>
  <c r="H38" i="11"/>
  <c r="H90" i="11"/>
  <c r="P70" i="11"/>
  <c r="P84" i="11"/>
  <c r="P107" i="11"/>
  <c r="P71" i="11"/>
  <c r="G57" i="11" l="1"/>
  <c r="G1" i="11" s="1"/>
  <c r="K11" i="12"/>
  <c r="H71" i="11"/>
  <c r="H68" i="11"/>
  <c r="H67" i="11"/>
  <c r="W57" i="11"/>
  <c r="F1" i="11"/>
  <c r="X110" i="11"/>
  <c r="H69" i="11"/>
  <c r="R57" i="11"/>
  <c r="R1" i="11" s="1"/>
  <c r="V1" i="11"/>
  <c r="Z57" i="11"/>
  <c r="I57" i="11"/>
  <c r="I110" i="11"/>
  <c r="Y57" i="11"/>
  <c r="J57" i="11"/>
  <c r="Y110" i="11"/>
  <c r="X57" i="11"/>
  <c r="J110" i="11"/>
  <c r="S110" i="11"/>
  <c r="Q110" i="11"/>
  <c r="Q1" i="11" s="1"/>
  <c r="W110" i="11"/>
  <c r="W1" i="11" s="1"/>
  <c r="K110" i="11"/>
  <c r="K57" i="11"/>
  <c r="S57" i="11"/>
  <c r="Z110" i="11"/>
  <c r="K15" i="12"/>
  <c r="G15" i="12" s="1"/>
  <c r="H100" i="11"/>
  <c r="H97" i="11"/>
  <c r="H91" i="11"/>
  <c r="H92" i="11"/>
  <c r="H99" i="11"/>
  <c r="H95" i="11"/>
  <c r="H103" i="11"/>
  <c r="H94" i="11"/>
  <c r="H104" i="11"/>
  <c r="H105" i="11"/>
  <c r="H93" i="11"/>
  <c r="H106" i="11"/>
  <c r="H98" i="11"/>
  <c r="H101" i="11"/>
  <c r="H107" i="11"/>
  <c r="H76" i="11"/>
  <c r="H77" i="11"/>
  <c r="H79" i="11"/>
  <c r="H75" i="11"/>
  <c r="H78" i="11"/>
  <c r="H87" i="11"/>
  <c r="H85" i="11"/>
  <c r="H86" i="11"/>
  <c r="H83" i="11"/>
  <c r="H84" i="11"/>
  <c r="H62" i="11"/>
  <c r="H63" i="11"/>
  <c r="H61" i="11"/>
  <c r="Z1" i="11" l="1"/>
  <c r="I1" i="11"/>
  <c r="X1" i="11"/>
  <c r="S1" i="11"/>
  <c r="J1" i="11"/>
  <c r="Y1" i="11"/>
  <c r="K1" i="11"/>
  <c r="E13" i="12" l="1"/>
  <c r="E15" i="12" s="1"/>
  <c r="B15" i="12" s="1"/>
</calcChain>
</file>

<file path=xl/sharedStrings.xml><?xml version="1.0" encoding="utf-8"?>
<sst xmlns="http://schemas.openxmlformats.org/spreadsheetml/2006/main" count="98" uniqueCount="73">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</sst>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[$-F800]dddd\,\ mmmm\ dd\,\ yyyy"/>
  </numFmts>
  <fonts count="19" x14ac:knownFonts="1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Times New Roman"/>
      <family val="1"/>
    </font>
    <font>
      <sz val="10"/>
      <color indexed="18"/>
      <name val="Arial"/>
      <family val="2"/>
    </font>
    <font>
      <sz val="9"/>
      <color indexed="10"/>
      <name val="Times New Roman"/>
      <family val="1"/>
    </font>
    <font>
      <sz val="10"/>
      <color indexed="10"/>
      <name val="Arial"/>
      <family val="2"/>
    </font>
    <font>
      <b/>
      <i/>
      <sz val="8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8"/>
      <name val="Times New Roman"/>
      <family val="1"/>
    </font>
    <font>
      <sz val="10"/>
      <name val="Arial"/>
      <family val="2"/>
    </font>
    <font>
      <b/>
      <sz val="10"/>
      <color indexed="18"/>
      <name val="Times New Roman"/>
      <family val="1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/>
    <xf numFmtId="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15" fontId="2" fillId="0" borderId="0" xfId="0" applyNumberFormat="1" applyFont="1"/>
    <xf numFmtId="0" fontId="2" fillId="0" borderId="0" xfId="0" applyFont="1"/>
    <xf numFmtId="0" fontId="3" fillId="0" borderId="0" xfId="0" applyFont="1"/>
    <xf numFmtId="164" fontId="2" fillId="2" borderId="0" xfId="0" applyNumberFormat="1" applyFont="1" applyFill="1"/>
    <xf numFmtId="164" fontId="2" fillId="2" borderId="0" xfId="0" applyNumberFormat="1" applyFont="1" applyFill="1" applyAlignment="1">
      <alignment horizontal="left" vertical="center" indent="2"/>
    </xf>
    <xf numFmtId="9" fontId="2" fillId="2" borderId="0" xfId="0" applyNumberFormat="1" applyFont="1" applyFill="1" applyAlignment="1">
      <alignment horizontal="center" vertic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/>
    </xf>
    <xf numFmtId="15" fontId="2" fillId="2" borderId="0" xfId="0" applyNumberFormat="1" applyFont="1" applyFill="1"/>
    <xf numFmtId="9" fontId="2" fillId="2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wrapText="1"/>
    </xf>
    <xf numFmtId="9" fontId="3" fillId="2" borderId="1" xfId="0" applyNumberFormat="1" applyFont="1" applyFill="1" applyBorder="1" applyAlignment="1">
      <alignment horizontal="center"/>
    </xf>
    <xf numFmtId="14" fontId="2" fillId="0" borderId="0" xfId="0" applyNumberFormat="1" applyFont="1"/>
    <xf numFmtId="164" fontId="2" fillId="2" borderId="1" xfId="0" applyNumberFormat="1" applyFont="1" applyFill="1" applyBorder="1"/>
    <xf numFmtId="9" fontId="2" fillId="2" borderId="0" xfId="0" applyNumberFormat="1" applyFont="1" applyFill="1"/>
    <xf numFmtId="164" fontId="2" fillId="2" borderId="2" xfId="0" applyNumberFormat="1" applyFont="1" applyFill="1" applyBorder="1"/>
    <xf numFmtId="164" fontId="3" fillId="2" borderId="3" xfId="0" applyNumberFormat="1" applyFont="1" applyFill="1" applyBorder="1" applyAlignment="1">
      <alignment horizontal="center"/>
    </xf>
    <xf numFmtId="0" fontId="3" fillId="2" borderId="4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15" fontId="2" fillId="2" borderId="6" xfId="0" applyNumberFormat="1" applyFont="1" applyFill="1" applyBorder="1"/>
    <xf numFmtId="164" fontId="2" fillId="2" borderId="6" xfId="0" applyNumberFormat="1" applyFont="1" applyFill="1" applyBorder="1"/>
    <xf numFmtId="9" fontId="2" fillId="2" borderId="6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0" fontId="2" fillId="2" borderId="7" xfId="0" applyFont="1" applyFill="1" applyBorder="1"/>
    <xf numFmtId="9" fontId="2" fillId="0" borderId="1" xfId="0" applyNumberFormat="1" applyFont="1" applyBorder="1" applyAlignment="1">
      <alignment horizontal="center"/>
    </xf>
    <xf numFmtId="1" fontId="2" fillId="2" borderId="0" xfId="0" applyNumberFormat="1" applyFont="1" applyFill="1" applyAlignment="1">
      <alignment vertical="center"/>
    </xf>
    <xf numFmtId="1" fontId="2" fillId="0" borderId="0" xfId="0" applyNumberFormat="1" applyFont="1"/>
    <xf numFmtId="1" fontId="2" fillId="2" borderId="0" xfId="0" applyNumberFormat="1" applyFont="1" applyFill="1"/>
    <xf numFmtId="1" fontId="3" fillId="2" borderId="0" xfId="0" applyNumberFormat="1" applyFont="1" applyFill="1"/>
    <xf numFmtId="1" fontId="3" fillId="2" borderId="0" xfId="0" applyNumberFormat="1" applyFont="1" applyFill="1" applyAlignment="1">
      <alignment wrapText="1"/>
    </xf>
    <xf numFmtId="1" fontId="2" fillId="2" borderId="6" xfId="0" applyNumberFormat="1" applyFont="1" applyFill="1" applyBorder="1"/>
    <xf numFmtId="9" fontId="2" fillId="2" borderId="1" xfId="0" applyNumberFormat="1" applyFont="1" applyFill="1" applyBorder="1" applyAlignment="1">
      <alignment horizontal="center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9" fontId="2" fillId="2" borderId="1" xfId="0" applyNumberFormat="1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2" borderId="8" xfId="0" applyNumberFormat="1" applyFont="1" applyFill="1" applyBorder="1"/>
    <xf numFmtId="15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/>
    <xf numFmtId="15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164" fontId="2" fillId="3" borderId="0" xfId="0" applyNumberFormat="1" applyFont="1" applyFill="1"/>
    <xf numFmtId="9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164" fontId="2" fillId="3" borderId="1" xfId="0" applyNumberFormat="1" applyFont="1" applyFill="1" applyBorder="1"/>
    <xf numFmtId="164" fontId="2" fillId="3" borderId="2" xfId="0" applyNumberFormat="1" applyFont="1" applyFill="1" applyBorder="1"/>
    <xf numFmtId="15" fontId="2" fillId="2" borderId="0" xfId="0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9" fontId="2" fillId="2" borderId="0" xfId="0" applyNumberFormat="1" applyFont="1" applyFill="1" applyAlignment="1">
      <alignment horizontal="center" vertical="center" wrapText="1"/>
    </xf>
    <xf numFmtId="9" fontId="3" fillId="2" borderId="0" xfId="0" applyNumberFormat="1" applyFont="1" applyFill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9" fontId="0" fillId="2" borderId="0" xfId="0" applyNumberFormat="1" applyFill="1" applyAlignment="1">
      <alignment horizontal="center" wrapText="1"/>
    </xf>
    <xf numFmtId="0" fontId="2" fillId="3" borderId="9" xfId="0" applyFont="1" applyFill="1" applyBorder="1"/>
    <xf numFmtId="0" fontId="2" fillId="3" borderId="10" xfId="0" applyFont="1" applyFill="1" applyBorder="1"/>
    <xf numFmtId="15" fontId="2" fillId="3" borderId="6" xfId="0" applyNumberFormat="1" applyFont="1" applyFill="1" applyBorder="1"/>
    <xf numFmtId="0" fontId="2" fillId="3" borderId="6" xfId="0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9" fontId="2" fillId="3" borderId="6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2" fillId="3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4" fillId="0" borderId="1" xfId="0" applyFont="1" applyBorder="1"/>
    <xf numFmtId="0" fontId="4" fillId="2" borderId="0" xfId="0" applyFont="1" applyFill="1" applyAlignment="1">
      <alignment horizontal="left" wrapText="1" indent="6"/>
    </xf>
    <xf numFmtId="0" fontId="4" fillId="2" borderId="0" xfId="0" applyFont="1" applyFill="1"/>
    <xf numFmtId="0" fontId="8" fillId="2" borderId="0" xfId="0" applyFont="1" applyFill="1" applyAlignment="1">
      <alignment wrapText="1"/>
    </xf>
    <xf numFmtId="0" fontId="4" fillId="2" borderId="6" xfId="0" applyFont="1" applyFill="1" applyBorder="1"/>
    <xf numFmtId="0" fontId="4" fillId="0" borderId="0" xfId="0" applyFont="1"/>
    <xf numFmtId="4" fontId="2" fillId="2" borderId="0" xfId="0" applyNumberFormat="1" applyFont="1" applyFill="1"/>
    <xf numFmtId="4" fontId="2" fillId="2" borderId="0" xfId="0" applyNumberFormat="1" applyFont="1" applyFill="1" applyAlignment="1">
      <alignment horizontal="center"/>
    </xf>
    <xf numFmtId="4" fontId="2" fillId="0" borderId="0" xfId="0" applyNumberFormat="1" applyFont="1"/>
    <xf numFmtId="4" fontId="2" fillId="0" borderId="1" xfId="0" applyNumberFormat="1" applyFont="1" applyBorder="1"/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4" fontId="2" fillId="3" borderId="0" xfId="0" applyNumberFormat="1" applyFont="1" applyFill="1"/>
    <xf numFmtId="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4" fontId="2" fillId="3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1" fontId="9" fillId="2" borderId="0" xfId="0" applyNumberFormat="1" applyFont="1" applyFill="1"/>
    <xf numFmtId="4" fontId="11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4" fontId="2" fillId="2" borderId="11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12" fillId="3" borderId="0" xfId="0" applyFont="1" applyFill="1" applyAlignment="1">
      <alignment horizontal="center" wrapText="1"/>
    </xf>
    <xf numFmtId="0" fontId="12" fillId="0" borderId="0" xfId="0" applyFont="1"/>
    <xf numFmtId="164" fontId="3" fillId="3" borderId="2" xfId="0" applyNumberFormat="1" applyFont="1" applyFill="1" applyBorder="1" applyAlignment="1">
      <alignment vertical="center"/>
    </xf>
    <xf numFmtId="15" fontId="3" fillId="3" borderId="1" xfId="0" applyNumberFormat="1" applyFont="1" applyFill="1" applyBorder="1" applyAlignment="1">
      <alignment horizontal="left" vertical="center" indent="1"/>
    </xf>
    <xf numFmtId="164" fontId="2" fillId="3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 vertical="center"/>
    </xf>
    <xf numFmtId="1" fontId="2" fillId="2" borderId="1" xfId="0" applyNumberFormat="1" applyFont="1" applyFill="1" applyBorder="1"/>
    <xf numFmtId="1" fontId="2" fillId="2" borderId="6" xfId="0" applyNumberFormat="1" applyFont="1" applyFill="1" applyBorder="1" applyAlignment="1">
      <alignment horizontal="center"/>
    </xf>
    <xf numFmtId="164" fontId="2" fillId="0" borderId="13" xfId="0" applyNumberFormat="1" applyFont="1" applyBorder="1"/>
    <xf numFmtId="15" fontId="4" fillId="2" borderId="1" xfId="0" applyNumberFormat="1" applyFont="1" applyFill="1" applyBorder="1" applyAlignment="1">
      <alignment horizontal="center" vertical="center" wrapText="1"/>
    </xf>
    <xf numFmtId="165" fontId="11" fillId="2" borderId="14" xfId="0" applyNumberFormat="1" applyFont="1" applyFill="1" applyBorder="1" applyAlignment="1">
      <alignment horizontal="center" vertical="center" wrapText="1"/>
    </xf>
    <xf numFmtId="3" fontId="3" fillId="2" borderId="0" xfId="0" applyNumberFormat="1" applyFont="1" applyFill="1" applyAlignment="1">
      <alignment horizontal="left"/>
    </xf>
    <xf numFmtId="4" fontId="2" fillId="3" borderId="2" xfId="0" applyNumberFormat="1" applyFont="1" applyFill="1" applyBorder="1"/>
    <xf numFmtId="9" fontId="11" fillId="2" borderId="8" xfId="0" applyNumberFormat="1" applyFont="1" applyFill="1" applyBorder="1" applyAlignment="1">
      <alignment horizontal="center" wrapText="1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0" fontId="2" fillId="2" borderId="18" xfId="0" applyFont="1" applyFill="1" applyBorder="1" applyAlignment="1">
      <alignment horizontal="left" wrapText="1" indent="6"/>
    </xf>
    <xf numFmtId="0" fontId="3" fillId="2" borderId="21" xfId="0" applyFont="1" applyFill="1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/>
    <xf numFmtId="0" fontId="0" fillId="0" borderId="1" xfId="0" applyBorder="1"/>
    <xf numFmtId="9" fontId="2" fillId="2" borderId="3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wrapText="1"/>
    </xf>
    <xf numFmtId="164" fontId="4" fillId="2" borderId="13" xfId="0" applyNumberFormat="1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164" fontId="2" fillId="2" borderId="13" xfId="0" applyNumberFormat="1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5" fontId="2" fillId="2" borderId="3" xfId="0" applyNumberFormat="1" applyFont="1" applyFill="1" applyBorder="1" applyAlignment="1">
      <alignment horizontal="center" vertical="center" wrapText="1"/>
    </xf>
    <xf numFmtId="15" fontId="2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wrapText="1"/>
    </xf>
    <xf numFmtId="164" fontId="6" fillId="2" borderId="0" xfId="0" applyNumberFormat="1" applyFont="1" applyFill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164" fontId="3" fillId="2" borderId="19" xfId="0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64" fontId="2" fillId="2" borderId="20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" fillId="2" borderId="15" xfId="0" applyFont="1" applyFill="1" applyBorder="1" applyAlignment="1">
      <alignment horizontal="right" vertical="center"/>
    </xf>
    <xf numFmtId="0" fontId="18" fillId="0" borderId="16" xfId="0" applyFont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3" fillId="2" borderId="17" xfId="0" applyFont="1" applyFill="1" applyBorder="1" applyAlignment="1">
      <alignment horizontal="right" vertical="center" wrapText="1"/>
    </xf>
    <xf numFmtId="0" fontId="2" fillId="3" borderId="24" xfId="0" applyFont="1" applyFill="1" applyBorder="1"/>
    <xf numFmtId="0" fontId="12" fillId="3" borderId="25" xfId="0" applyFont="1" applyFill="1" applyBorder="1"/>
    <xf numFmtId="15" fontId="2" fillId="3" borderId="0" xfId="0" applyNumberFormat="1" applyFont="1" applyFill="1" applyAlignment="1">
      <alignment horizontal="left" wrapText="1" indent="6"/>
    </xf>
    <xf numFmtId="0" fontId="2" fillId="3" borderId="0" xfId="0" applyFont="1" applyFill="1" applyAlignment="1">
      <alignment horizontal="left" wrapText="1" indent="6"/>
    </xf>
    <xf numFmtId="0" fontId="12" fillId="3" borderId="18" xfId="0" applyFont="1" applyFill="1" applyBorder="1" applyAlignment="1">
      <alignment horizontal="left" wrapText="1" indent="6"/>
    </xf>
    <xf numFmtId="0" fontId="13" fillId="3" borderId="26" xfId="0" applyFont="1" applyFill="1" applyBorder="1" applyAlignment="1">
      <alignment horizontal="left" vertical="center" wrapText="1" indent="1"/>
    </xf>
    <xf numFmtId="0" fontId="14" fillId="3" borderId="27" xfId="0" applyFont="1" applyFill="1" applyBorder="1" applyAlignment="1">
      <alignment horizontal="left" vertical="center" wrapText="1" indent="1"/>
    </xf>
    <xf numFmtId="0" fontId="14" fillId="3" borderId="28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vertical="center" wrapText="1"/>
    </xf>
    <xf numFmtId="0" fontId="12" fillId="3" borderId="22" xfId="0" applyFont="1" applyFill="1" applyBorder="1" applyAlignment="1">
      <alignment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18" xfId="0" applyFont="1" applyFill="1" applyBorder="1" applyAlignment="1">
      <alignment horizontal="left" wrapText="1" indent="6"/>
    </xf>
    <xf numFmtId="9" fontId="15" fillId="3" borderId="1" xfId="0" applyNumberFormat="1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16" fillId="0" borderId="1" xfId="0" applyFont="1" applyBorder="1" applyAlignment="1">
      <alignment horizontal="left" vertical="center" wrapText="1" indent="1"/>
    </xf>
    <xf numFmtId="164" fontId="3" fillId="3" borderId="22" xfId="0" applyNumberFormat="1" applyFont="1" applyFill="1" applyBorder="1" applyAlignment="1">
      <alignment horizontal="left" vertical="center" wrapText="1" indent="1"/>
    </xf>
    <xf numFmtId="0" fontId="0" fillId="0" borderId="17" xfId="0" applyBorder="1" applyAlignment="1">
      <alignment horizontal="left" vertical="center" wrapText="1" indent="1"/>
    </xf>
    <xf numFmtId="0" fontId="0" fillId="0" borderId="23" xfId="0" applyBorder="1" applyAlignment="1">
      <alignment horizontal="left" vertical="center" wrapText="1" indent="1"/>
    </xf>
    <xf numFmtId="4" fontId="2" fillId="2" borderId="1" xfId="0" applyNumberFormat="1" applyFont="1" applyFill="1" applyBorder="1" applyAlignment="1">
      <alignment horizontal="left" vertical="center" wrapText="1" indent="2"/>
    </xf>
    <xf numFmtId="0" fontId="0" fillId="0" borderId="1" xfId="0" applyBorder="1" applyAlignment="1">
      <alignment horizontal="left" vertical="center" wrapText="1" indent="2"/>
    </xf>
    <xf numFmtId="4" fontId="2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  <cell r="G4">
            <v>1</v>
          </cell>
        </row>
        <row r="5">
          <cell r="G5">
            <v>0.18</v>
          </cell>
        </row>
        <row r="8">
          <cell r="E8">
            <v>12000</v>
          </cell>
          <cell r="G8">
            <v>3000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0</v>
      </c>
      <c r="C1" s="145" t="s">
        <v>8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11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6</v>
      </c>
      <c r="N1" s="142"/>
      <c r="O1" s="20">
        <f>O57+O110</f>
        <v>0</v>
      </c>
      <c r="P1" s="138" t="s">
        <v>72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31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1</v>
      </c>
      <c r="D2" s="137" t="s">
        <v>2</v>
      </c>
      <c r="E2" s="132" t="s">
        <v>3</v>
      </c>
      <c r="F2" s="128" t="s">
        <v>56</v>
      </c>
      <c r="G2" s="130" t="s">
        <v>57</v>
      </c>
      <c r="H2" s="127"/>
      <c r="I2" s="147" t="s">
        <v>17</v>
      </c>
      <c r="J2" s="128" t="s">
        <v>56</v>
      </c>
      <c r="K2" s="130" t="s">
        <v>58</v>
      </c>
      <c r="L2" s="148"/>
      <c r="M2" s="126"/>
      <c r="N2" s="148"/>
      <c r="O2" s="130" t="s">
        <v>59</v>
      </c>
      <c r="P2" s="139"/>
      <c r="Q2" s="130" t="s">
        <v>4</v>
      </c>
      <c r="R2" s="132" t="s">
        <v>5</v>
      </c>
      <c r="S2" s="130" t="s">
        <v>60</v>
      </c>
      <c r="T2" s="143"/>
      <c r="U2" s="134"/>
      <c r="V2" s="144" t="s">
        <v>29</v>
      </c>
      <c r="W2" s="144" t="s">
        <v>30</v>
      </c>
      <c r="X2" s="144" t="s">
        <v>32</v>
      </c>
      <c r="Y2" s="132" t="s">
        <v>50</v>
      </c>
      <c r="Z2" s="132" t="s">
        <v>51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[1]Admin!$B$4</f>
        <v>45753</v>
      </c>
      <c r="G4" s="112">
        <f>[1]Admin!$B$4</f>
        <v>45753</v>
      </c>
      <c r="H4" s="127"/>
      <c r="I4" s="147"/>
      <c r="J4" s="112">
        <f>[1]Admin!$B$17</f>
        <v>46117</v>
      </c>
      <c r="K4" s="112">
        <f>[1]Admin!$B$17</f>
        <v>46117</v>
      </c>
      <c r="L4" s="149"/>
      <c r="M4" s="126"/>
      <c r="N4" s="149"/>
      <c r="O4" s="112">
        <f>[1]Admin!$B$4</f>
        <v>45753</v>
      </c>
      <c r="P4" s="116">
        <f>[1]Admin!$G$4</f>
        <v>1</v>
      </c>
      <c r="Q4" s="151"/>
      <c r="R4" s="15">
        <f>[1]Admin!$G$5</f>
        <v>0.18</v>
      </c>
      <c r="S4" s="112">
        <f>[1]Admin!$B$17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61</v>
      </c>
      <c r="C6" s="154"/>
      <c r="D6" s="113">
        <f>[1]Admin!$B$4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10</v>
      </c>
      <c r="C7" s="122"/>
      <c r="D7" s="30"/>
      <c r="E7" s="8"/>
      <c r="F7" s="8"/>
      <c r="G7" s="8"/>
      <c r="H7" s="40">
        <f>[1]Admin!$G$13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IF(E8&gt;0,IF(V8&gt;0,0,E8-J8),"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IF(E9&gt;0,IF(V9&gt;0,0,E9-J9),"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IF(E10&gt;0,IF(V10&gt;0,0,E10-J10),"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67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9</v>
      </c>
      <c r="C13" s="122"/>
      <c r="D13" s="32"/>
      <c r="E13" s="7"/>
      <c r="F13" s="7"/>
      <c r="G13" s="7"/>
      <c r="H13" s="29">
        <f>[1]Admin!$G$14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IF(E14&gt;0,IF(V14&gt;0,0,E14-J14),"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IF(E15&gt;0,IF(V15&gt;0,0,E15-J15),"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IF(E16&gt;0,IF(V16&gt;0,0,E16-J16),"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IF(E17&gt;0,IF(V17&gt;0,0,E17-J17),"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IF(E18&gt;0,IF(V18&gt;0,0,E18-J18),"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68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55</v>
      </c>
      <c r="C21" s="122"/>
      <c r="D21" s="32"/>
      <c r="E21" s="7"/>
      <c r="F21" s="7"/>
      <c r="G21" s="7"/>
      <c r="H21" s="29">
        <f>[1]Admin!$G$15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IF(E22&gt;0,IF(V22&gt;0,0,E22-J22),"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IF(E23&gt;0,IF(V23&gt;0,0,E23-J23),"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IF(E24&gt;0,IF(V24&gt;0,0,E24-J24),"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IF(E25&gt;0,IF(V25&gt;0,0,E25-J25),"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IF(E26&gt;0,IF(V26&gt;0,0,E26-J26),"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69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7</v>
      </c>
      <c r="C29" s="122"/>
      <c r="D29" s="33"/>
      <c r="E29" s="7"/>
      <c r="F29" s="7"/>
      <c r="G29" s="7"/>
      <c r="H29" s="29">
        <f>[1]Admin!$G$16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IF(E30&gt;0,IF(V30&gt;0,0,E30-J30),"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IF(E31&gt;0,IF(V31&gt;0,0,E31-J31),"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IF(E32&gt;0,IF(V32&gt;0,0,E32-J32),"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IF(E33&gt;0,IF(V33&gt;0,0,E33-J33),"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IF(E34&gt;0,IF(V34&gt;0,0,E34-J34),"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70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63</v>
      </c>
      <c r="C37" s="121"/>
      <c r="D37" s="114">
        <f>[1]Admin!$E$8</f>
        <v>12000</v>
      </c>
      <c r="E37" s="7"/>
      <c r="F37" s="7"/>
      <c r="G37" s="7"/>
      <c r="H37" s="29">
        <f>[1]Admin!$G$17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IF(E38&gt;0,IF(V38&gt;0,0,E38-J38),"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IF(O38&gt;0,MIN(O38*R$4*(1-M38),[1]Admin!$G$8*(1-M38)),"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IF(E39&gt;0,IF(V39&gt;0,0,E39-J39),"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IF(O39&gt;0,MIN(O39*R$4*(1-M39),[1]Admin!$G$8*(1-M39)),"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IF(E40&gt;0,IF(V40&gt;0,0,E40-J40),"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IF(O40&gt;0,MIN(O40*R$4*(1-M40),[1]Admin!$G$8*(1-M40)),"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IF(E41&gt;0,IF(V41&gt;0,0,E41-J41),"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IF(O41&gt;0,MIN(O41*R$4*(1-M41),[1]Admin!$G$8*(1-M41)),"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IF(E42&gt;0,IF(V42&gt;0,0,E42-J42),"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IF(O42&gt;0,MIN(O42*R$4*(1-M42),[1]Admin!$G$8*(1-M42)),"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64</v>
      </c>
      <c r="C43" s="121"/>
      <c r="D43" s="114">
        <f>[1]Admin!$E$8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IF(E44&gt;0,IF(V44&gt;0,0,E44-J44),"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IF(O44&gt;0,MIN(O44*R$4*(1-M44),[1]Admin!$G$8*(1-M44)),"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IF(O45&gt;0,MIN(O45*R$4*(1-M45),[1]Admin!$G$8*(1-M45)),"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IF(E46&gt;0,IF(V46&gt;0,0,E46-J46),"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IF(O46&gt;0,MIN(O46*R$4*(1-M46),[1]Admin!$G$8*(1-M46)),"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IF(E47&gt;0,IF(V47&gt;0,0,E47-J47),"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IF(O47&gt;0,MIN(O47*R$4*(1-M47),[1]Admin!$G$8*(1-M47)),"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IF(E48&gt;0,IF(V48&gt;0,0,E48-J48),"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IF(O48&gt;0,MIN(O48*R$4*(1-M48),[1]Admin!$G$8*(1-M48)),"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54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71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62</v>
      </c>
      <c r="C59" s="153"/>
      <c r="D59" s="113">
        <f>[1]Admin!$B$4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10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IF(E61&gt;0,IF(V61&gt;0,0,E61-J61),"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IF(E62&gt;0,IF(V62&gt;0,0,E62-J62),"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IF(E63&gt;0,IF(V63&gt;0,0,E63-J63),"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12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9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IF(E67&gt;0,IF(V67&gt;0,0,E67-J67),"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IF(E68&gt;0,IF(V68&gt;0,0,E68-J68),"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IF(E69&gt;0,IF(V69&gt;0,0,E69-J69),"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IF(E70&gt;0,IF(V70&gt;0,0,E70-J70),"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IF(E71&gt;0,IF(V71&gt;0,0,E71-J71),"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13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55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IF(E75&gt;0,IF(V75&gt;0,0,E75-J75),"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IF(E76&gt;0,IF(V76&gt;0,0,E76-J76),"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IF(E77&gt;0,IF(V77&gt;0,0,E77-J77),"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IF(E78&gt;0,IF(V78&gt;0,0,E78-J78),"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IF(E79&gt;0,IF(V79&gt;0,0,E79-J79),"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14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7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IF(E83&gt;0,IF(V83&gt;0,0,E83-J83),"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IF(E84&gt;0,IF(V84&gt;0,0,E84-J84),"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IF(E85&gt;0,IF(V85&gt;0,0,E85-J85),"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IF(E86&gt;0,IF(V86&gt;0,0,E86-J86),"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IF(E87&gt;0,IF(V87&gt;0,0,E87-J87),"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15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IF(E91&gt;0,IF(V91&gt;0,0,E91-J91),"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IF(E91&gt;0,MIN(E91*R$4*(1-M91),[1]Admin!$G$8*(1-M91)),"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IF(E92&gt;0,IF(V92&gt;0,0,E92-J92),"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IF(E92&gt;0,MIN(E92*R$4*(1-M92),[1]Admin!$G$8*(1-M92)),"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IF(E93&gt;0,IF(V93&gt;0,0,E93-J93),"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IF(E93&gt;0,MIN(E93*R$4*(1-M93),[1]Admin!$G$8*(1-M93)),"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IF(E94&gt;0,IF(V94&gt;0,0,E94-J94),"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IF(E94&gt;0,MIN(E94*R$4*(1-M94),[1]Admin!$G$8*(1-M94)),"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IF(E95&gt;0,IF(V95&gt;0,0,E95-J95),"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IF(E95&gt;0,MIN(E95*R$4*(1-M95),[1]Admin!$G$8*(1-M95)),"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IF(E97&gt;0,IF(V97&gt;0,0,E97-J97),"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IF(E97&gt;0,MIN(E97*R$4*(1-M97),[1]Admin!$G$8*(1-M97)),"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IF(E98&gt;0,MIN(E98*R$4*(1-M98),[1]Admin!$G$8*(1-M98)),"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IF(E99&gt;0,IF(V99&gt;0,0,E99-J99),"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IF(E99&gt;0,MIN(E99*R$4*(1-M99),[1]Admin!$G$8*(1-M99)),"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IF(E100&gt;0,IF(V100&gt;0,0,E100-J100),"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IF(E100&gt;0,MIN(E100*R$4*(1-M100),[1]Admin!$G$8*(1-M100)),"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IF(E101&gt;0,IF(V101&gt;0,0,E101-J101),"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IF(E101&gt;0,MIN(E101*R$4*(1-M101),[1]Admin!$G$8*(1-M101)),"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54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16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18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65</v>
      </c>
      <c r="C4" s="48"/>
      <c r="D4" s="49"/>
      <c r="E4" s="107" t="s">
        <v>3</v>
      </c>
      <c r="F4" s="50"/>
      <c r="G4" s="176" t="s">
        <v>52</v>
      </c>
      <c r="H4" s="177"/>
      <c r="I4" s="178"/>
      <c r="J4" s="50"/>
      <c r="K4" s="107" t="s">
        <v>27</v>
      </c>
      <c r="L4" s="50"/>
      <c r="M4" s="173" t="s">
        <v>53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19</v>
      </c>
      <c r="C5" s="48"/>
      <c r="D5" s="49"/>
      <c r="E5" s="50"/>
      <c r="F5" s="50"/>
      <c r="G5" s="47" t="s">
        <v>21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12</v>
      </c>
      <c r="C6" s="159"/>
      <c r="D6" s="172"/>
      <c r="E6" s="53">
        <f>Schedule!E64</f>
        <v>0</v>
      </c>
      <c r="F6" s="50"/>
      <c r="G6" s="158" t="s">
        <v>22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13</v>
      </c>
      <c r="C7" s="159"/>
      <c r="D7" s="172"/>
      <c r="E7" s="53">
        <f>Schedule!E72</f>
        <v>0</v>
      </c>
      <c r="F7" s="50"/>
      <c r="G7" s="158" t="s">
        <v>23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14</v>
      </c>
      <c r="C8" s="159"/>
      <c r="D8" s="172"/>
      <c r="E8" s="53">
        <f>Schedule!E80</f>
        <v>0</v>
      </c>
      <c r="F8" s="50"/>
      <c r="G8" s="158" t="s">
        <v>24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15</v>
      </c>
      <c r="C9" s="159"/>
      <c r="D9" s="172"/>
      <c r="E9" s="53">
        <f>Schedule!E88</f>
        <v>0</v>
      </c>
      <c r="F9" s="50"/>
      <c r="G9" s="158" t="s">
        <v>25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16</v>
      </c>
      <c r="C10" s="159"/>
      <c r="D10" s="172"/>
      <c r="E10" s="53">
        <f>Schedule!E108</f>
        <v>0</v>
      </c>
      <c r="F10" s="50"/>
      <c r="G10" s="158" t="s">
        <v>26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20</v>
      </c>
      <c r="C11" s="170"/>
      <c r="D11" s="171"/>
      <c r="E11" s="54">
        <f>SUM(E6:E10)</f>
        <v>0</v>
      </c>
      <c r="F11" s="50"/>
      <c r="G11" s="164" t="s">
        <v>20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66</v>
      </c>
      <c r="C13" s="170"/>
      <c r="D13" s="171"/>
      <c r="E13" s="115">
        <f>[2]Mar!$AB$2</f>
        <v>0</v>
      </c>
      <c r="F13" s="50"/>
      <c r="G13" s="164" t="s">
        <v>28</v>
      </c>
      <c r="H13" s="164"/>
      <c r="I13" s="164"/>
      <c r="J13" s="165"/>
      <c r="K13" s="115">
        <f>[3]Mar!$V$2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</v>
      </c>
      <c r="D2" s="184"/>
      <c r="E2" s="84">
        <f>SUM(E8:E14)</f>
        <v>0</v>
      </c>
      <c r="F2" s="82"/>
      <c r="G2" s="179" t="s">
        <v>49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40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39</v>
      </c>
      <c r="C5" s="137" t="s">
        <v>33</v>
      </c>
      <c r="D5" s="137" t="s">
        <v>37</v>
      </c>
      <c r="E5" s="181" t="s">
        <v>45</v>
      </c>
      <c r="F5" s="181" t="s">
        <v>44</v>
      </c>
      <c r="G5" s="181" t="s">
        <v>38</v>
      </c>
      <c r="H5" s="137" t="s">
        <v>35</v>
      </c>
      <c r="I5" s="181" t="s">
        <v>47</v>
      </c>
      <c r="J5" s="182"/>
      <c r="K5" s="182"/>
      <c r="L5" s="137" t="s">
        <v>46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34</v>
      </c>
      <c r="J6" s="85" t="s">
        <v>42</v>
      </c>
      <c r="K6" s="85" t="s">
        <v>36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IF(H10&gt;0,#REF!/H10,"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IF(H12&gt;0,#REF!/H12,"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IF(H14&gt;0,#REF!/H14,"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41</v>
      </c>
      <c r="C17" s="32"/>
      <c r="D17" s="96"/>
      <c r="E17" s="81"/>
      <c r="F17" s="81"/>
      <c r="G17" s="81"/>
      <c r="H17" s="32" t="s">
        <v>43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39</v>
      </c>
      <c r="C19" s="137" t="s">
        <v>33</v>
      </c>
      <c r="D19" s="137" t="s">
        <v>37</v>
      </c>
      <c r="E19" s="181" t="s">
        <v>45</v>
      </c>
      <c r="F19" s="181" t="s">
        <v>44</v>
      </c>
      <c r="G19" s="181" t="s">
        <v>38</v>
      </c>
      <c r="H19" s="137" t="s">
        <v>35</v>
      </c>
      <c r="I19" s="181" t="s">
        <v>47</v>
      </c>
      <c r="J19" s="182"/>
      <c r="K19" s="182"/>
      <c r="L19" s="137" t="s">
        <v>46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34</v>
      </c>
      <c r="J20" s="85" t="s">
        <v>42</v>
      </c>
      <c r="K20" s="85" t="s">
        <v>36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IF(H24&gt;0,#REF!/H24,"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IF(H26&gt;0,#REF!/H26,"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IF(H28&gt;0,#REF!/H28,"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Schedule</vt:lpstr>
      <vt:lpstr>FAreconciliation</vt:lpstr>
      <vt:lpstr>HPfinance</vt:lpstr>
      <vt:lpstr>Schedule!Print_Titles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Fixed assets spreadsheet</dc:title>
  <dc:creator>Terry Cartwright</dc:creator>
  <cp:lastModifiedBy>Cartwright, Antony</cp:lastModifiedBy>
  <cp:lastPrinted>2007-03-03T22:52:10Z</cp:lastPrinted>
  <dcterms:created xsi:type="dcterms:W3CDTF">2002-12-30T15:31:19Z</dcterms:created>
  <dcterms:modified xsi:type="dcterms:W3CDTF">2025-04-03T22:50:09Z</dcterms:modified>
</cp:coreProperties>
</file>