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<sst xmlns="http://schemas.openxmlformats.org/spreadsheetml/2006/main" count="98" uniqueCount="73">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</sst>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6">
          <cell r="G6">
            <v>0.06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28" width="5.6640625" style="89" customWidth="1"/>
    <col min="29" max="29" width="10.6640625" style="2" customWidth="1"/>
    <col min="30" max="30" width="5.6640625" style="89" customWidth="1"/>
    <col min="31" max="33" width="10.6640625" style="2" customWidth="1"/>
    <col min="34" max="16384" width="9.1640625" style="5"/>
  </cols>
  <sheetData>
    <row r="1" spans="1:33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  <c r="AB1" s="21"/>
      <c r="AC1" s="20">
        <f>AC57+AC110</f>
        <v>0</v>
      </c>
      <c r="AE1" s="20">
        <f>AE57+AE110</f>
      </c>
      <c r="AF1" s="20">
        <f>AF57+AF110</f>
      </c>
      <c r="AG1" s="20">
        <f>AG57+AG110</f>
      </c>
    </row>
    <row r="2" spans="1:33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  <c r="AB2" s="130" t="inlineStr">
        <is>
          <t>Pool (S = special rate)</t>
        </is>
      </c>
      <c r="AC2" s="132" t="inlineStr">
        <is>
          <t>Special Rate W Down Allowance</t>
        </is>
      </c>
      <c r="AD2" s="130" t="inlineStr">
        <is>
          <t>Single asset pool (P = private use or short-life asset)</t>
        </is>
      </c>
      <c r="AE2" s="132" t="inlineStr">
        <is>
          <t>Single Asset Pool W Down Allowance main rate</t>
        </is>
      </c>
      <c r="AF2" s="132" t="inlineStr">
        <is>
          <t>Single Asset Pool W Down Allowance special rate</t>
        </is>
      </c>
      <c r="AG2" s="132" t="inlineStr">
        <is>
          <t>Single Asset Pool Written Down Tax Value</t>
        </is>
      </c>
    </row>
    <row r="3" spans="1:33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33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  <c r="AB4" s="23"/>
      <c r="AC4" s="15">
        <f>[1]Admin!$G$6</f>
        <v>0.06</v>
      </c>
    </row>
    <row r="5" spans="1:33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33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33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33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33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33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33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  <c r="AB11" s="22"/>
      <c r="AC11" s="17">
        <f>SUM(AC8:AC10)</f>
        <v>0</v>
      </c>
      <c r="AE11" s="17">
        <f>SUM(AE8:AE10)</f>
      </c>
      <c r="AF11" s="17">
        <f>SUM(AF8:AF10)</f>
      </c>
      <c r="AG11" s="17">
        <f>SUM(AG8:AG10)</f>
      </c>
    </row>
    <row r="12" spans="1:33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33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33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IF(AND(O14&gt;0,AB14&lt;&gt;"S"),O14*R$4," ")</f>
        <v xml:space="preserve"> </v>
      </c>
      <c r="S14" s="11" t="str">
        <f>IF(O14&gt;0,O14-N(R14)-N(AC14),"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  <c r="AB14" s="42"/>
      <c r="AC14" s="11" t="str">
        <f>IF(AND(O14&gt;0,AB14="S"),O14*AC$4," ")</f>
        <v xml:space="preserve"> </v>
      </c>
      <c r="AE14" s="11" t="str">
        <f>IF(AND(AD14="P",AB14&lt;&gt;"S"),N(R14)," ")</f>
      </c>
      <c r="AF14" s="11" t="str">
        <f>IF(AND(AD14="P",AB14="S"),N(AC14)," ")</f>
      </c>
      <c r="AG14" s="11" t="str">
        <f>IF(AD14="P",N(S14)," ")</f>
      </c>
    </row>
    <row r="15" spans="1:33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IF(AND(O15&gt;0,AB15&lt;&gt;"S"),O15*R$4," ")</f>
        <v xml:space="preserve"> </v>
      </c>
      <c r="S15" s="11" t="str">
        <f>IF(O15&gt;0,O15-N(R15)-N(AC15),"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  <c r="AB15" s="42"/>
      <c r="AC15" s="11" t="str">
        <f>IF(AND(O15&gt;0,AB15="S"),O15*AC$4," ")</f>
        <v xml:space="preserve"> </v>
      </c>
      <c r="AE15" s="11" t="str">
        <f>IF(AND(AD15="P",AB15&lt;&gt;"S"),N(R15)," ")</f>
      </c>
      <c r="AF15" s="11" t="str">
        <f>IF(AND(AD15="P",AB15="S"),N(AC15)," ")</f>
      </c>
      <c r="AG15" s="11" t="str">
        <f>IF(AD15="P",N(S15)," ")</f>
      </c>
    </row>
    <row r="16" spans="1:33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IF(AND(O16&gt;0,AB16&lt;&gt;"S"),O16*R$4," ")</f>
        <v xml:space="preserve"> </v>
      </c>
      <c r="S16" s="11" t="str">
        <f>IF(O16&gt;0,O16-N(R16)-N(AC16),"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  <c r="AB16" s="42"/>
      <c r="AC16" s="11" t="str">
        <f>IF(AND(O16&gt;0,AB16="S"),O16*AC$4," ")</f>
        <v xml:space="preserve"> </v>
      </c>
      <c r="AE16" s="11" t="str">
        <f>IF(AND(AD16="P",AB16&lt;&gt;"S"),N(R16)," ")</f>
      </c>
      <c r="AF16" s="11" t="str">
        <f>IF(AND(AD16="P",AB16="S"),N(AC16)," ")</f>
      </c>
      <c r="AG16" s="11" t="str">
        <f>IF(AD16="P",N(S16)," ")</f>
      </c>
    </row>
    <row r="17" spans="1:33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IF(AND(O17&gt;0,AB17&lt;&gt;"S"),O17*R$4," ")</f>
        <v xml:space="preserve"> </v>
      </c>
      <c r="S17" s="11" t="str">
        <f>IF(O17&gt;0,O17-N(R17)-N(AC17),"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  <c r="AB17" s="42"/>
      <c r="AC17" s="11" t="str">
        <f>IF(AND(O17&gt;0,AB17="S"),O17*AC$4," ")</f>
        <v xml:space="preserve"> </v>
      </c>
      <c r="AE17" s="11" t="str">
        <f>IF(AND(AD17="P",AB17&lt;&gt;"S"),N(R17)," ")</f>
      </c>
      <c r="AF17" s="11" t="str">
        <f>IF(AND(AD17="P",AB17="S"),N(AC17)," ")</f>
      </c>
      <c r="AG17" s="11" t="str">
        <f>IF(AD17="P",N(S17)," ")</f>
      </c>
    </row>
    <row r="18" spans="1:33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IF(AND(O18&gt;0,AB18&lt;&gt;"S"),O18*R$4," ")</f>
        <v xml:space="preserve"> </v>
      </c>
      <c r="S18" s="11" t="str">
        <f>IF(O18&gt;0,O18-N(R18)-N(AC18),"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  <c r="AB18" s="42"/>
      <c r="AC18" s="11" t="str">
        <f>IF(AND(O18&gt;0,AB18="S"),O18*AC$4," ")</f>
        <v xml:space="preserve"> </v>
      </c>
      <c r="AE18" s="11" t="str">
        <f>IF(AND(AD18="P",AB18&lt;&gt;"S"),N(R18)," ")</f>
      </c>
      <c r="AF18" s="11" t="str">
        <f>IF(AND(AD18="P",AB18="S"),N(AC18)," ")</f>
      </c>
      <c r="AG18" s="11" t="str">
        <f>IF(AD18="P",N(S18)," ")</f>
      </c>
    </row>
    <row r="19" spans="1:33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  <c r="AB19" s="22"/>
      <c r="AC19" s="17">
        <f>SUM(AC14:AC18)</f>
        <v>0</v>
      </c>
      <c r="AE19" s="17">
        <f>SUM(AE14:AE18)</f>
      </c>
      <c r="AF19" s="17">
        <f>SUM(AF14:AF18)</f>
      </c>
      <c r="AG19" s="17">
        <f>SUM(AG14:AG18)</f>
      </c>
    </row>
    <row r="20" spans="1:33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33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33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IF(AND(O22&gt;0,AB22&lt;&gt;"S"),O22*R$4," ")</f>
        <v xml:space="preserve"> </v>
      </c>
      <c r="S22" s="11" t="str">
        <f>IF(O22&gt;0,O22-N(R22)-N(AC22),"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  <c r="AB22" s="42"/>
      <c r="AC22" s="11" t="str">
        <f>IF(AND(O22&gt;0,AB22="S"),O22*AC$4," ")</f>
        <v xml:space="preserve"> </v>
      </c>
      <c r="AE22" s="11" t="str">
        <f>IF(AND(AD22="P",AB22&lt;&gt;"S"),N(R22)," ")</f>
      </c>
      <c r="AF22" s="11" t="str">
        <f>IF(AND(AD22="P",AB22="S"),N(AC22)," ")</f>
      </c>
      <c r="AG22" s="11" t="str">
        <f>IF(AD22="P",N(S22)," ")</f>
      </c>
    </row>
    <row r="23" spans="1:33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IF(AND(O23&gt;0,AB23&lt;&gt;"S"),O23*R$4," ")</f>
        <v xml:space="preserve"> </v>
      </c>
      <c r="S23" s="11" t="str">
        <f>IF(O23&gt;0,O23-N(R23)-N(AC23),"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  <c r="AB23" s="42"/>
      <c r="AC23" s="11" t="str">
        <f>IF(AND(O23&gt;0,AB23="S"),O23*AC$4," ")</f>
        <v xml:space="preserve"> </v>
      </c>
      <c r="AE23" s="11" t="str">
        <f>IF(AND(AD23="P",AB23&lt;&gt;"S"),N(R23)," ")</f>
      </c>
      <c r="AF23" s="11" t="str">
        <f>IF(AND(AD23="P",AB23="S"),N(AC23)," ")</f>
      </c>
      <c r="AG23" s="11" t="str">
        <f>IF(AD23="P",N(S23)," ")</f>
      </c>
    </row>
    <row r="24" spans="1:33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IF(AND(O24&gt;0,AB24&lt;&gt;"S"),O24*R$4," ")</f>
        <v xml:space="preserve"> </v>
      </c>
      <c r="S24" s="11" t="str">
        <f>IF(O24&gt;0,O24-N(R24)-N(AC24),"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  <c r="AB24" s="42"/>
      <c r="AC24" s="11" t="str">
        <f>IF(AND(O24&gt;0,AB24="S"),O24*AC$4," ")</f>
        <v xml:space="preserve"> </v>
      </c>
      <c r="AE24" s="11" t="str">
        <f>IF(AND(AD24="P",AB24&lt;&gt;"S"),N(R24)," ")</f>
      </c>
      <c r="AF24" s="11" t="str">
        <f>IF(AND(AD24="P",AB24="S"),N(AC24)," ")</f>
      </c>
      <c r="AG24" s="11" t="str">
        <f>IF(AD24="P",N(S24)," ")</f>
      </c>
    </row>
    <row r="25" spans="1:33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IF(AND(O25&gt;0,AB25&lt;&gt;"S"),O25*R$4," ")</f>
        <v xml:space="preserve"> </v>
      </c>
      <c r="S25" s="11" t="str">
        <f>IF(O25&gt;0,O25-N(R25)-N(AC25),"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  <c r="AB25" s="42"/>
      <c r="AC25" s="11" t="str">
        <f>IF(AND(O25&gt;0,AB25="S"),O25*AC$4," ")</f>
        <v xml:space="preserve"> </v>
      </c>
      <c r="AE25" s="11" t="str">
        <f>IF(AND(AD25="P",AB25&lt;&gt;"S"),N(R25)," ")</f>
      </c>
      <c r="AF25" s="11" t="str">
        <f>IF(AND(AD25="P",AB25="S"),N(AC25)," ")</f>
      </c>
      <c r="AG25" s="11" t="str">
        <f>IF(AD25="P",N(S25)," ")</f>
      </c>
    </row>
    <row r="26" spans="1:33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IF(AND(O26&gt;0,AB26&lt;&gt;"S"),O26*R$4," ")</f>
        <v xml:space="preserve"> </v>
      </c>
      <c r="S26" s="11" t="str">
        <f>IF(O26&gt;0,O26-N(R26)-N(AC26),"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  <c r="AB26" s="42"/>
      <c r="AC26" s="11" t="str">
        <f>IF(AND(O26&gt;0,AB26="S"),O26*AC$4," ")</f>
        <v xml:space="preserve"> </v>
      </c>
      <c r="AE26" s="11" t="str">
        <f>IF(AND(AD26="P",AB26&lt;&gt;"S"),N(R26)," ")</f>
      </c>
      <c r="AF26" s="11" t="str">
        <f>IF(AND(AD26="P",AB26="S"),N(AC26)," ")</f>
      </c>
      <c r="AG26" s="11" t="str">
        <f>IF(AD26="P",N(S26)," ")</f>
      </c>
    </row>
    <row r="27" spans="1:33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  <c r="AB27" s="22"/>
      <c r="AC27" s="17">
        <f>SUM(AC22:AC26)</f>
        <v>0</v>
      </c>
      <c r="AE27" s="17">
        <f>SUM(AE22:AE26)</f>
      </c>
      <c r="AF27" s="17">
        <f>SUM(AF22:AF26)</f>
      </c>
      <c r="AG27" s="17">
        <f>SUM(AG22:AG26)</f>
      </c>
    </row>
    <row r="28" spans="1:33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33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33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IF(AND(O30&gt;0,AB30&lt;&gt;"S"),O30*R$4," ")</f>
        <v xml:space="preserve"> </v>
      </c>
      <c r="S30" s="11" t="str">
        <f>IF(O30&gt;0,O30-N(R30)-N(AC30),"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  <c r="AB30" s="42"/>
      <c r="AC30" s="11" t="str">
        <f>IF(AND(O30&gt;0,AB30="S"),O30*AC$4," ")</f>
        <v xml:space="preserve"> </v>
      </c>
      <c r="AE30" s="11" t="str">
        <f>IF(AND(AD30="P",AB30&lt;&gt;"S"),N(R30)," ")</f>
      </c>
      <c r="AF30" s="11" t="str">
        <f>IF(AND(AD30="P",AB30="S"),N(AC30)," ")</f>
      </c>
      <c r="AG30" s="11" t="str">
        <f>IF(AD30="P",N(S30)," ")</f>
      </c>
    </row>
    <row r="31" spans="1:33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IF(AND(O31&gt;0,AB31&lt;&gt;"S"),O31*R$4," ")</f>
        <v xml:space="preserve"> </v>
      </c>
      <c r="S31" s="11" t="str">
        <f>IF(O31&gt;0,O31-N(R31)-N(AC31),"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  <c r="AB31" s="42"/>
      <c r="AC31" s="11" t="str">
        <f>IF(AND(O31&gt;0,AB31="S"),O31*AC$4," ")</f>
        <v xml:space="preserve"> </v>
      </c>
      <c r="AE31" s="11" t="str">
        <f>IF(AND(AD31="P",AB31&lt;&gt;"S"),N(R31)," ")</f>
      </c>
      <c r="AF31" s="11" t="str">
        <f>IF(AND(AD31="P",AB31="S"),N(AC31)," ")</f>
      </c>
      <c r="AG31" s="11" t="str">
        <f>IF(AD31="P",N(S31)," ")</f>
      </c>
    </row>
    <row r="32" spans="1:33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IF(AND(O32&gt;0,AB32&lt;&gt;"S"),O32*R$4," ")</f>
        <v xml:space="preserve"> </v>
      </c>
      <c r="S32" s="11" t="str">
        <f>IF(O32&gt;0,O32-N(R32)-N(AC32),"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  <c r="AB32" s="42"/>
      <c r="AC32" s="11" t="str">
        <f>IF(AND(O32&gt;0,AB32="S"),O32*AC$4," ")</f>
        <v xml:space="preserve"> </v>
      </c>
      <c r="AE32" s="11" t="str">
        <f>IF(AND(AD32="P",AB32&lt;&gt;"S"),N(R32)," ")</f>
      </c>
      <c r="AF32" s="11" t="str">
        <f>IF(AND(AD32="P",AB32="S"),N(AC32)," ")</f>
      </c>
      <c r="AG32" s="11" t="str">
        <f>IF(AD32="P",N(S32)," ")</f>
      </c>
    </row>
    <row r="33" spans="1:33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IF(AND(O33&gt;0,AB33&lt;&gt;"S"),O33*R$4," ")</f>
        <v xml:space="preserve"> </v>
      </c>
      <c r="S33" s="11" t="str">
        <f>IF(O33&gt;0,O33-N(R33)-N(AC33),"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  <c r="AB33" s="42"/>
      <c r="AC33" s="11" t="str">
        <f>IF(AND(O33&gt;0,AB33="S"),O33*AC$4," ")</f>
        <v xml:space="preserve"> </v>
      </c>
      <c r="AE33" s="11" t="str">
        <f>IF(AND(AD33="P",AB33&lt;&gt;"S"),N(R33)," ")</f>
      </c>
      <c r="AF33" s="11" t="str">
        <f>IF(AND(AD33="P",AB33="S"),N(AC33)," ")</f>
      </c>
      <c r="AG33" s="11" t="str">
        <f>IF(AD33="P",N(S33)," ")</f>
      </c>
    </row>
    <row r="34" spans="1:33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IF(AND(O34&gt;0,AB34&lt;&gt;"S"),O34*R$4," ")</f>
        <v xml:space="preserve"> </v>
      </c>
      <c r="S34" s="11" t="str">
        <f>IF(O34&gt;0,O34-N(R34)-N(AC34),"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  <c r="AB34" s="42"/>
      <c r="AC34" s="11" t="str">
        <f>IF(AND(O34&gt;0,AB34="S"),O34*AC$4," ")</f>
        <v xml:space="preserve"> </v>
      </c>
      <c r="AE34" s="11" t="str">
        <f>IF(AND(AD34="P",AB34&lt;&gt;"S"),N(R34)," ")</f>
      </c>
      <c r="AF34" s="11" t="str">
        <f>IF(AND(AD34="P",AB34="S"),N(AC34)," ")</f>
      </c>
      <c r="AG34" s="11" t="str">
        <f>IF(AD34="P",N(S34)," ")</f>
      </c>
    </row>
    <row r="35" spans="1:33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  <c r="AB35" s="22"/>
      <c r="AC35" s="17">
        <f>SUM(AC30:AC34)</f>
        <v>0</v>
      </c>
      <c r="AE35" s="17">
        <f>SUM(AE30:AE34)</f>
      </c>
      <c r="AF35" s="17">
        <f>SUM(AF30:AF34)</f>
      </c>
      <c r="AG35" s="17">
        <f>SUM(AG30:AG34)</f>
      </c>
    </row>
    <row r="36" spans="1:33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33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33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IF(AND(O38&gt;0,AB38&lt;&gt;"S"),O38*R$4*(1-M38)," ")</f>
        <v xml:space="preserve"> </v>
      </c>
      <c r="S38" s="11" t="str">
        <f>IF(O38&gt;0,O38-N(R38)-N(AC38),"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  <c r="AB38" s="42"/>
      <c r="AC38" s="11" t="str">
        <f>IF(AND(O38&gt;0,AB38="S"),O38*AC$4*(1-M38)," ")</f>
        <v xml:space="preserve"> </v>
      </c>
      <c r="AE38" s="11" t="str">
        <f>IF(AND(AD38="P",AB38&lt;&gt;"S"),N(R38)," ")</f>
      </c>
      <c r="AF38" s="11" t="str">
        <f>IF(AND(AD38="P",AB38="S"),N(AC38)," ")</f>
      </c>
      <c r="AG38" s="11" t="str">
        <f>IF(AD38="P",N(S38)," ")</f>
      </c>
    </row>
    <row r="39" spans="1:33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IF(AND(O39&gt;0,AB39&lt;&gt;"S"),O39*R$4*(1-M39)," ")</f>
        <v xml:space="preserve"> </v>
      </c>
      <c r="S39" s="11" t="str">
        <f>IF(O39&gt;0,O39-N(R39)-N(AC39),"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  <c r="AB39" s="42"/>
      <c r="AC39" s="11" t="str">
        <f>IF(AND(O39&gt;0,AB39="S"),O39*AC$4*(1-M39)," ")</f>
        <v xml:space="preserve"> </v>
      </c>
      <c r="AE39" s="11" t="str">
        <f>IF(AND(AD39="P",AB39&lt;&gt;"S"),N(R39)," ")</f>
      </c>
      <c r="AF39" s="11" t="str">
        <f>IF(AND(AD39="P",AB39="S"),N(AC39)," ")</f>
      </c>
      <c r="AG39" s="11" t="str">
        <f>IF(AD39="P",N(S39)," ")</f>
      </c>
    </row>
    <row r="40" spans="1:33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IF(AND(O40&gt;0,AB40&lt;&gt;"S"),O40*R$4*(1-M40)," ")</f>
        <v xml:space="preserve"> </v>
      </c>
      <c r="S40" s="11" t="str">
        <f>IF(O40&gt;0,O40-N(R40)-N(AC40),"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  <c r="AB40" s="42"/>
      <c r="AC40" s="11" t="str">
        <f>IF(AND(O40&gt;0,AB40="S"),O40*AC$4*(1-M40)," ")</f>
        <v xml:space="preserve"> </v>
      </c>
      <c r="AE40" s="11" t="str">
        <f>IF(AND(AD40="P",AB40&lt;&gt;"S"),N(R40)," ")</f>
      </c>
      <c r="AF40" s="11" t="str">
        <f>IF(AND(AD40="P",AB40="S"),N(AC40)," ")</f>
      </c>
      <c r="AG40" s="11" t="str">
        <f>IF(AD40="P",N(S40)," ")</f>
      </c>
    </row>
    <row r="41" spans="1:33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IF(AND(O41&gt;0,AB41&lt;&gt;"S"),O41*R$4*(1-M41)," ")</f>
        <v xml:space="preserve"> </v>
      </c>
      <c r="S41" s="11" t="str">
        <f>IF(O41&gt;0,O41-N(R41)-N(AC41),"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  <c r="AB41" s="42"/>
      <c r="AC41" s="11" t="str">
        <f>IF(AND(O41&gt;0,AB41="S"),O41*AC$4*(1-M41)," ")</f>
        <v xml:space="preserve"> </v>
      </c>
      <c r="AE41" s="11" t="str">
        <f>IF(AND(AD41="P",AB41&lt;&gt;"S"),N(R41)," ")</f>
      </c>
      <c r="AF41" s="11" t="str">
        <f>IF(AND(AD41="P",AB41="S"),N(AC41)," ")</f>
      </c>
      <c r="AG41" s="11" t="str">
        <f>IF(AD41="P",N(S41)," ")</f>
      </c>
    </row>
    <row r="42" spans="1:33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IF(AND(O42&gt;0,AB42&lt;&gt;"S"),O42*R$4*(1-M42)," ")</f>
        <v xml:space="preserve"> </v>
      </c>
      <c r="S42" s="11" t="str">
        <f>IF(O42&gt;0,O42-N(R42)-N(AC42),"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  <c r="AB42" s="42"/>
      <c r="AC42" s="11" t="str">
        <f>IF(AND(O42&gt;0,AB42="S"),O42*AC$4*(1-M42)," ")</f>
        <v xml:space="preserve"> </v>
      </c>
      <c r="AE42" s="11" t="str">
        <f>IF(AND(AD42="P",AB42&lt;&gt;"S"),N(R42)," ")</f>
      </c>
      <c r="AF42" s="11" t="str">
        <f>IF(AND(AD42="P",AB42="S"),N(AC42)," ")</f>
      </c>
      <c r="AG42" s="11" t="str">
        <f>IF(AD42="P",N(S42)," ")</f>
      </c>
    </row>
    <row r="43" spans="1:33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33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IF(AND(O44&gt;0,AB44&lt;&gt;"S"),O44*R$4*(1-M44)," ")</f>
        <v xml:space="preserve"> </v>
      </c>
      <c r="S44" s="11" t="str">
        <f>IF(O44&gt;0,O44-N(R44)-N(AC44),"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  <c r="AB44" s="42"/>
      <c r="AC44" s="11" t="str">
        <f>IF(AND(O44&gt;0,AB44="S"),O44*AC$4*(1-M44)," ")</f>
        <v xml:space="preserve"> </v>
      </c>
      <c r="AE44" s="11" t="str">
        <f>IF(AND(AD44="P",AB44&lt;&gt;"S"),N(R44)," ")</f>
      </c>
      <c r="AF44" s="11" t="str">
        <f>IF(AND(AD44="P",AB44="S"),N(AC44)," ")</f>
      </c>
      <c r="AG44" s="11" t="str">
        <f>IF(AD44="P",N(S44)," ")</f>
      </c>
    </row>
    <row r="45" spans="1:33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IF(AND(O45&gt;0,AB45&lt;&gt;"S"),O45*R$4*(1-M45)," ")</f>
        <v xml:space="preserve"> </v>
      </c>
      <c r="S45" s="11" t="str">
        <f>IF(O45&gt;0,O45-N(R45)-N(AC45),"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  <c r="AB45" s="42"/>
      <c r="AC45" s="11" t="str">
        <f>IF(AND(O45&gt;0,AB45="S"),O45*AC$4*(1-M45)," ")</f>
        <v xml:space="preserve"> </v>
      </c>
      <c r="AE45" s="11" t="str">
        <f>IF(AND(AD45="P",AB45&lt;&gt;"S"),N(R45)," ")</f>
      </c>
      <c r="AF45" s="11" t="str">
        <f>IF(AND(AD45="P",AB45="S"),N(AC45)," ")</f>
      </c>
      <c r="AG45" s="11" t="str">
        <f>IF(AD45="P",N(S45)," ")</f>
      </c>
    </row>
    <row r="46" spans="1:33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IF(AND(O46&gt;0,AB46&lt;&gt;"S"),O46*R$4*(1-M46)," ")</f>
        <v xml:space="preserve"> </v>
      </c>
      <c r="S46" s="11" t="str">
        <f>IF(O46&gt;0,O46-N(R46)-N(AC46),"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  <c r="AB46" s="42"/>
      <c r="AC46" s="11" t="str">
        <f>IF(AND(O46&gt;0,AB46="S"),O46*AC$4*(1-M46)," ")</f>
        <v xml:space="preserve"> </v>
      </c>
      <c r="AE46" s="11" t="str">
        <f>IF(AND(AD46="P",AB46&lt;&gt;"S"),N(R46)," ")</f>
      </c>
      <c r="AF46" s="11" t="str">
        <f>IF(AND(AD46="P",AB46="S"),N(AC46)," ")</f>
      </c>
      <c r="AG46" s="11" t="str">
        <f>IF(AD46="P",N(S46)," ")</f>
      </c>
    </row>
    <row r="47" spans="1:33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IF(AND(O47&gt;0,AB47&lt;&gt;"S"),O47*R$4*(1-M47)," ")</f>
        <v xml:space="preserve"> </v>
      </c>
      <c r="S47" s="11" t="str">
        <f>IF(O47&gt;0,O47-N(R47)-N(AC47),"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  <c r="AB47" s="42"/>
      <c r="AC47" s="11" t="str">
        <f>IF(AND(O47&gt;0,AB47="S"),O47*AC$4*(1-M47)," ")</f>
        <v xml:space="preserve"> </v>
      </c>
      <c r="AE47" s="11" t="str">
        <f>IF(AND(AD47="P",AB47&lt;&gt;"S"),N(R47)," ")</f>
      </c>
      <c r="AF47" s="11" t="str">
        <f>IF(AND(AD47="P",AB47="S"),N(AC47)," ")</f>
      </c>
      <c r="AG47" s="11" t="str">
        <f>IF(AD47="P",N(S47)," ")</f>
      </c>
    </row>
    <row r="48" spans="1:33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IF(AND(O48&gt;0,AB48&lt;&gt;"S"),O48*R$4*(1-M48)," ")</f>
        <v xml:space="preserve"> </v>
      </c>
      <c r="S48" s="11" t="str">
        <f>IF(O48&gt;0,O48-N(R48)-N(AC48),"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  <c r="AB48" s="42"/>
      <c r="AC48" s="11" t="str">
        <f>IF(AND(O48&gt;0,AB48="S"),O48*AC$4*(1-M48)," ")</f>
        <v xml:space="preserve"> </v>
      </c>
      <c r="AE48" s="11" t="str">
        <f>IF(AND(AD48="P",AB48&lt;&gt;"S"),N(R48)," ")</f>
      </c>
      <c r="AF48" s="11" t="str">
        <f>IF(AND(AD48="P",AB48="S"),N(AC48)," ")</f>
      </c>
      <c r="AG48" s="11" t="str">
        <f>IF(AD48="P",N(S48)," ")</f>
      </c>
    </row>
    <row r="49" spans="1:33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33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IF(AND(O50&gt;0,AB50&lt;&gt;"S"),O50*R$4," ")</f>
        <v xml:space="preserve"> </v>
      </c>
      <c r="S50" s="11" t="str">
        <f>IF(O50&gt;0,O50-N(R50)-N(AC50),"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  <c r="AB50" s="42"/>
      <c r="AC50" s="11" t="str">
        <f>IF(AND(O50&gt;0,AB50="S"),O50*AC$4," ")</f>
        <v xml:space="preserve"> </v>
      </c>
      <c r="AE50" s="11" t="str">
        <f>IF(AND(AD50="P",AB50&lt;&gt;"S"),N(R50)," ")</f>
      </c>
      <c r="AF50" s="11" t="str">
        <f>IF(AND(AD50="P",AB50="S"),N(AC50)," ")</f>
      </c>
      <c r="AG50" s="11" t="str">
        <f>IF(AD50="P",N(S50)," ")</f>
      </c>
    </row>
    <row r="51" spans="1:33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IF(AND(O51&gt;0,AB51&lt;&gt;"S"),O51*R$4," ")</f>
        <v xml:space="preserve"> </v>
      </c>
      <c r="S51" s="11" t="str">
        <f>IF(O51&gt;0,O51-N(R51)-N(AC51),"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  <c r="AB51" s="42"/>
      <c r="AC51" s="11" t="str">
        <f>IF(AND(O51&gt;0,AB51="S"),O51*AC$4," ")</f>
        <v xml:space="preserve"> </v>
      </c>
      <c r="AE51" s="11" t="str">
        <f>IF(AND(AD51="P",AB51&lt;&gt;"S"),N(R51)," ")</f>
      </c>
      <c r="AF51" s="11" t="str">
        <f>IF(AND(AD51="P",AB51="S"),N(AC51)," ")</f>
      </c>
      <c r="AG51" s="11" t="str">
        <f>IF(AD51="P",N(S51)," ")</f>
      </c>
    </row>
    <row r="52" spans="1:33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IF(AND(O52&gt;0,AB52&lt;&gt;"S"),O52*R$4," ")</f>
        <v xml:space="preserve"> </v>
      </c>
      <c r="S52" s="11" t="str">
        <f>IF(O52&gt;0,O52-N(R52)-N(AC52),"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  <c r="AB52" s="42"/>
      <c r="AC52" s="11" t="str">
        <f>IF(AND(O52&gt;0,AB52="S"),O52*AC$4," ")</f>
        <v xml:space="preserve"> </v>
      </c>
      <c r="AE52" s="11" t="str">
        <f>IF(AND(AD52="P",AB52&lt;&gt;"S"),N(R52)," ")</f>
      </c>
      <c r="AF52" s="11" t="str">
        <f>IF(AND(AD52="P",AB52="S"),N(AC52)," ")</f>
      </c>
      <c r="AG52" s="11" t="str">
        <f>IF(AD52="P",N(S52)," ")</f>
      </c>
    </row>
    <row r="53" spans="1:33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IF(AND(O53&gt;0,AB53&lt;&gt;"S"),O53*R$4," ")</f>
        <v xml:space="preserve"> </v>
      </c>
      <c r="S53" s="11" t="str">
        <f>IF(O53&gt;0,O53-N(R53)-N(AC53),"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  <c r="AB53" s="42"/>
      <c r="AC53" s="11" t="str">
        <f>IF(AND(O53&gt;0,AB53="S"),O53*AC$4," ")</f>
        <v xml:space="preserve"> </v>
      </c>
      <c r="AE53" s="11" t="str">
        <f>IF(AND(AD53="P",AB53&lt;&gt;"S"),N(R53)," ")</f>
      </c>
      <c r="AF53" s="11" t="str">
        <f>IF(AND(AD53="P",AB53="S"),N(AC53)," ")</f>
      </c>
      <c r="AG53" s="11" t="str">
        <f>IF(AD53="P",N(S53)," ")</f>
      </c>
    </row>
    <row r="54" spans="1:33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IF(AND(O54&gt;0,AB54&lt;&gt;"S"),O54*R$4," ")</f>
        <v xml:space="preserve"> </v>
      </c>
      <c r="S54" s="11" t="str">
        <f>IF(O54&gt;0,O54-N(R54)-N(AC54),"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  <c r="AB54" s="42"/>
      <c r="AC54" s="11" t="str">
        <f>IF(AND(O54&gt;0,AB54="S"),O54*AC$4," ")</f>
        <v xml:space="preserve"> </v>
      </c>
      <c r="AE54" s="11" t="str">
        <f>IF(AND(AD54="P",AB54&lt;&gt;"S"),N(R54)," ")</f>
      </c>
      <c r="AF54" s="11" t="str">
        <f>IF(AND(AD54="P",AB54="S"),N(AC54)," ")</f>
      </c>
      <c r="AG54" s="11" t="str">
        <f>IF(AD54="P",N(S54)," ")</f>
      </c>
    </row>
    <row r="55" spans="1:33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  <c r="AB55" s="22"/>
      <c r="AC55" s="17">
        <f>SUM(AC38:AC54)</f>
        <v>0</v>
      </c>
      <c r="AE55" s="17">
        <f>SUM(AE38:AE54)</f>
      </c>
      <c r="AF55" s="17">
        <f>SUM(AF38:AF54)</f>
      </c>
      <c r="AG55" s="17">
        <f>SUM(AG38:AG54)</f>
      </c>
    </row>
    <row r="56" spans="1:33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33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  <c r="AB57" s="22"/>
      <c r="AC57" s="19">
        <f>AC11+AC19+AC27+AC35+AC55</f>
        <v>0</v>
      </c>
      <c r="AE57" s="19">
        <f>AE11+AE19+AE27+AE35+AE55</f>
      </c>
      <c r="AF57" s="19">
        <f>AF11+AF19+AF27+AF35+AF55</f>
      </c>
      <c r="AG57" s="19">
        <f>AG11+AG19+AG27+AG35+AG55</f>
      </c>
    </row>
    <row r="58" spans="1:33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33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33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33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33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33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33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  <c r="AB64" s="22"/>
      <c r="AC64" s="17">
        <f>SUM(AC61:AC63)</f>
        <v>0</v>
      </c>
      <c r="AE64" s="17">
        <f>SUM(AE61:AE63)</f>
      </c>
      <c r="AF64" s="17">
        <f>SUM(AF61:AF63)</f>
      </c>
      <c r="AG64" s="17">
        <f>SUM(AG61:AG63)</f>
      </c>
    </row>
    <row r="65" spans="1:33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33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33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33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33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33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33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33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  <c r="AB72" s="22"/>
      <c r="AC72" s="17">
        <f>SUM(AC67:AC71)</f>
        <v>0</v>
      </c>
      <c r="AE72" s="17">
        <f>SUM(AE67:AE71)</f>
      </c>
      <c r="AF72" s="17">
        <f>SUM(AF67:AF71)</f>
      </c>
      <c r="AG72" s="17">
        <f>SUM(AG67:AG71)</f>
      </c>
    </row>
    <row r="73" spans="1:33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33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33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33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33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33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33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33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  <c r="AB80" s="22"/>
      <c r="AC80" s="17">
        <f>SUM(AC75:AC79)</f>
        <v>0</v>
      </c>
      <c r="AE80" s="17">
        <f>SUM(AE75:AE79)</f>
      </c>
      <c r="AF80" s="17">
        <f>SUM(AF75:AF79)</f>
      </c>
      <c r="AG80" s="17">
        <f>SUM(AG75:AG79)</f>
      </c>
    </row>
    <row r="81" spans="1:33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33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33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33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33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33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33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33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  <c r="AB88" s="22"/>
      <c r="AC88" s="17">
        <f>SUM(AC83:AC87)</f>
        <v>0</v>
      </c>
      <c r="AE88" s="17">
        <f>SUM(AE83:AE87)</f>
      </c>
      <c r="AF88" s="17">
        <f>SUM(AF83:AF87)</f>
      </c>
      <c r="AG88" s="17">
        <f>SUM(AG83:AG87)</f>
      </c>
    </row>
    <row r="89" spans="1:33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33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33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IF(AND(E91&gt;0,AB91&lt;&gt;"S"),E91*R$4*(1-M91)," ")</f>
        <v xml:space="preserve"> </v>
      </c>
      <c r="S91" s="11" t="str">
        <f>IF(E91&gt;0,E91-N(R91)-N(AC91),"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  <c r="AB91" s="42"/>
      <c r="AC91" s="11" t="str">
        <f>IF(AND(E91&gt;0,AB91="S"),E91*AC$4*(1-M91)," ")</f>
        <v xml:space="preserve"> </v>
      </c>
      <c r="AE91" s="11" t="str">
        <f>IF(AND(AD91="P",AB91&lt;&gt;"S"),N(R91)," ")</f>
      </c>
      <c r="AF91" s="11" t="str">
        <f>IF(AND(AD91="P",AB91="S"),N(AC91)," ")</f>
      </c>
      <c r="AG91" s="11" t="str">
        <f>IF(AD91="P",N(S91)," ")</f>
      </c>
    </row>
    <row r="92" spans="1:33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IF(AND(E92&gt;0,AB92&lt;&gt;"S"),E92*R$4*(1-M92)," ")</f>
        <v xml:space="preserve"> </v>
      </c>
      <c r="S92" s="11" t="str">
        <f>IF(E92&gt;0,E92-N(R92)-N(AC92),"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  <c r="AB92" s="42"/>
      <c r="AC92" s="11" t="str">
        <f>IF(AND(E92&gt;0,AB92="S"),E92*AC$4*(1-M92)," ")</f>
        <v xml:space="preserve"> </v>
      </c>
      <c r="AE92" s="11" t="str">
        <f>IF(AND(AD92="P",AB92&lt;&gt;"S"),N(R92)," ")</f>
      </c>
      <c r="AF92" s="11" t="str">
        <f>IF(AND(AD92="P",AB92="S"),N(AC92)," ")</f>
      </c>
      <c r="AG92" s="11" t="str">
        <f>IF(AD92="P",N(S92)," ")</f>
      </c>
    </row>
    <row r="93" spans="1:33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IF(AND(E93&gt;0,AB93&lt;&gt;"S"),E93*R$4*(1-M93)," ")</f>
        <v xml:space="preserve"> </v>
      </c>
      <c r="S93" s="11" t="str">
        <f>IF(E93&gt;0,E93-N(R93)-N(AC93),"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  <c r="AB93" s="42"/>
      <c r="AC93" s="11" t="str">
        <f>IF(AND(E93&gt;0,AB93="S"),E93*AC$4*(1-M93)," ")</f>
        <v xml:space="preserve"> </v>
      </c>
      <c r="AE93" s="11" t="str">
        <f>IF(AND(AD93="P",AB93&lt;&gt;"S"),N(R93)," ")</f>
      </c>
      <c r="AF93" s="11" t="str">
        <f>IF(AND(AD93="P",AB93="S"),N(AC93)," ")</f>
      </c>
      <c r="AG93" s="11" t="str">
        <f>IF(AD93="P",N(S93)," ")</f>
      </c>
    </row>
    <row r="94" spans="1:33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IF(AND(E94&gt;0,AB94&lt;&gt;"S"),E94*R$4*(1-M94)," ")</f>
        <v xml:space="preserve"> </v>
      </c>
      <c r="S94" s="11" t="str">
        <f>IF(E94&gt;0,E94-N(R94)-N(AC94),"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  <c r="AB94" s="42"/>
      <c r="AC94" s="11" t="str">
        <f>IF(AND(E94&gt;0,AB94="S"),E94*AC$4*(1-M94)," ")</f>
        <v xml:space="preserve"> </v>
      </c>
      <c r="AE94" s="11" t="str">
        <f>IF(AND(AD94="P",AB94&lt;&gt;"S"),N(R94)," ")</f>
      </c>
      <c r="AF94" s="11" t="str">
        <f>IF(AND(AD94="P",AB94="S"),N(AC94)," ")</f>
      </c>
      <c r="AG94" s="11" t="str">
        <f>IF(AD94="P",N(S94)," ")</f>
      </c>
    </row>
    <row r="95" spans="1:33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IF(AND(E95&gt;0,AB95&lt;&gt;"S"),E95*R$4*(1-M95)," ")</f>
        <v xml:space="preserve"> </v>
      </c>
      <c r="S95" s="11" t="str">
        <f>IF(E95&gt;0,E95-N(R95)-N(AC95),"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  <c r="AB95" s="42"/>
      <c r="AC95" s="11" t="str">
        <f>IF(AND(E95&gt;0,AB95="S"),E95*AC$4*(1-M95)," ")</f>
        <v xml:space="preserve"> </v>
      </c>
      <c r="AE95" s="11" t="str">
        <f>IF(AND(AD95="P",AB95&lt;&gt;"S"),N(R95)," ")</f>
      </c>
      <c r="AF95" s="11" t="str">
        <f>IF(AND(AD95="P",AB95="S"),N(AC95)," ")</f>
      </c>
      <c r="AG95" s="11" t="str">
        <f>IF(AD95="P",N(S95)," ")</f>
      </c>
    </row>
    <row r="96" spans="1:33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33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IF(AND(E97&gt;0,AB97&lt;&gt;"S"),E97*R$4*(1-M97)," ")</f>
        <v xml:space="preserve"> </v>
      </c>
      <c r="S97" s="11" t="str">
        <f>IF(E97&gt;0,E97-N(R97)-N(AC97),"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  <c r="AB97" s="42"/>
      <c r="AC97" s="11" t="str">
        <f>IF(AND(E97&gt;0,AB97="S"),E97*AC$4*(1-M97)," ")</f>
        <v xml:space="preserve"> </v>
      </c>
      <c r="AE97" s="11" t="str">
        <f>IF(AND(AD97="P",AB97&lt;&gt;"S"),N(R97)," ")</f>
      </c>
      <c r="AF97" s="11" t="str">
        <f>IF(AND(AD97="P",AB97="S"),N(AC97)," ")</f>
      </c>
      <c r="AG97" s="11" t="str">
        <f>IF(AD97="P",N(S97)," ")</f>
      </c>
    </row>
    <row r="98" spans="1:33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IF(AND(E98&gt;0,AB98&lt;&gt;"S"),E98*R$4*(1-M98)," ")</f>
        <v xml:space="preserve"> </v>
      </c>
      <c r="S98" s="11" t="str">
        <f>IF(E98&gt;0,E98-N(R98)-N(AC98),"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  <c r="AB98" s="42"/>
      <c r="AC98" s="11" t="str">
        <f>IF(AND(E98&gt;0,AB98="S"),E98*AC$4*(1-M98)," ")</f>
        <v xml:space="preserve"> </v>
      </c>
      <c r="AE98" s="11" t="str">
        <f>IF(AND(AD98="P",AB98&lt;&gt;"S"),N(R98)," ")</f>
      </c>
      <c r="AF98" s="11" t="str">
        <f>IF(AND(AD98="P",AB98="S"),N(AC98)," ")</f>
      </c>
      <c r="AG98" s="11" t="str">
        <f>IF(AD98="P",N(S98)," ")</f>
      </c>
    </row>
    <row r="99" spans="1:33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IF(AND(E99&gt;0,AB99&lt;&gt;"S"),E99*R$4*(1-M99)," ")</f>
        <v xml:space="preserve"> </v>
      </c>
      <c r="S99" s="11" t="str">
        <f>IF(E99&gt;0,E99-N(R99)-N(AC99),"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  <c r="AB99" s="42"/>
      <c r="AC99" s="11" t="str">
        <f>IF(AND(E99&gt;0,AB99="S"),E99*AC$4*(1-M99)," ")</f>
        <v xml:space="preserve"> </v>
      </c>
      <c r="AE99" s="11" t="str">
        <f>IF(AND(AD99="P",AB99&lt;&gt;"S"),N(R99)," ")</f>
      </c>
      <c r="AF99" s="11" t="str">
        <f>IF(AND(AD99="P",AB99="S"),N(AC99)," ")</f>
      </c>
      <c r="AG99" s="11" t="str">
        <f>IF(AD99="P",N(S99)," ")</f>
      </c>
    </row>
    <row r="100" spans="1:33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IF(AND(E100&gt;0,AB100&lt;&gt;"S"),E100*R$4*(1-M100)," ")</f>
        <v xml:space="preserve"> </v>
      </c>
      <c r="S100" s="11" t="str">
        <f>IF(E100&gt;0,E100-N(R100)-N(AC100),"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  <c r="AB100" s="42"/>
      <c r="AC100" s="11" t="str">
        <f>IF(AND(E100&gt;0,AB100="S"),E100*AC$4*(1-M100)," ")</f>
        <v xml:space="preserve"> </v>
      </c>
      <c r="AE100" s="11" t="str">
        <f>IF(AND(AD100="P",AB100&lt;&gt;"S"),N(R100)," ")</f>
      </c>
      <c r="AF100" s="11" t="str">
        <f>IF(AND(AD100="P",AB100="S"),N(AC100)," ")</f>
      </c>
      <c r="AG100" s="11" t="str">
        <f>IF(AD100="P",N(S100)," ")</f>
      </c>
    </row>
    <row r="101" spans="1:33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IF(AND(E101&gt;0,AB101&lt;&gt;"S"),E101*R$4*(1-M101)," ")</f>
        <v xml:space="preserve"> </v>
      </c>
      <c r="S101" s="11" t="str">
        <f>IF(E101&gt;0,E101-N(R101)-N(AC101),"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  <c r="AB101" s="42"/>
      <c r="AC101" s="11" t="str">
        <f>IF(AND(E101&gt;0,AB101="S"),E101*AC$4*(1-M101)," ")</f>
        <v xml:space="preserve"> </v>
      </c>
      <c r="AE101" s="11" t="str">
        <f>IF(AND(AD101="P",AB101&lt;&gt;"S"),N(R101)," ")</f>
      </c>
      <c r="AF101" s="11" t="str">
        <f>IF(AND(AD101="P",AB101="S"),N(AC101)," ")</f>
      </c>
      <c r="AG101" s="11" t="str">
        <f>IF(AD101="P",N(S101)," ")</f>
      </c>
    </row>
    <row r="102" spans="1:33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33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33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33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33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33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33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  <c r="AB108" s="22"/>
      <c r="AC108" s="17">
        <f>SUM(AC91:AC107)</f>
        <v>0</v>
      </c>
      <c r="AE108" s="17">
        <f>SUM(AE91:AE107)</f>
      </c>
      <c r="AF108" s="17">
        <f>SUM(AF91:AF107)</f>
      </c>
      <c r="AG108" s="17">
        <f>SUM(AG91:AG107)</f>
      </c>
    </row>
    <row r="109" spans="1:33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33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  <c r="AB110" s="22"/>
      <c r="AC110" s="19">
        <f>AC64+AC72+AC80+AC88+AC108</f>
        <v>0</v>
      </c>
      <c r="AE110" s="19">
        <f>AE64+AE72+AE80+AE88+AE108</f>
      </c>
      <c r="AF110" s="19">
        <f>AF64+AF72+AF80+AF88+AF108</f>
      </c>
      <c r="AG110" s="19">
        <f>AG64+AG72+AG80+AG88+AG108</f>
      </c>
    </row>
    <row r="111" spans="1:33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