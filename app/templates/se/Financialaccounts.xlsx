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<sst xmlns="http://schemas.openxmlformats.org/spreadsheetml/2006/main" count="819" uniqueCount="439">
  <si>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</si>
  <si>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</si>
  <si>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</si>
  <si>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</si>
  <si>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</si>
  <si>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</si>
  <si>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</si>
  <si>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</si>
  <si>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</si>
  <si>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</si>
  <si>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</si>
  <si>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</si>
  <si>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</si>
  <si>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</si>
  <si>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</si>
  <si>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</si>
  <si>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</si>
  <si>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</si>
  <si>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</si>
  <si>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</si>
  <si>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</si>
  <si>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</si>
  <si>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</si>
  <si>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</si>
  <si>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</si>
  <si>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</si>
  <si>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</si>
  <si>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</si>
  <si>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</si>
  <si>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</si>
  <si>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</si>
  <si>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</si>
  <si>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</si>
  <si>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</si>
  <si>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</si>
  <si>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</si>
  <si>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</si>
  <si>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</si>
  <si>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</si>
  <si>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</si>
  <si>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</si>
  <si>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</si>
  <si>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</si>
  <si>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</si>
  <si>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</si>
  <si>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</si>
  <si>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</si>
  <si>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</si>
  <si>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</si>
  <si>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</si>
  <si>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</si>
  <si>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</si>
  <si>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</si>
  <si>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</si>
  <si>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</si>
  <si>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</si>
  <si>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</si>
  <si>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</si>
  <si>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</si>
  <si>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</si>
  <si>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</si>
  <si>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</si>
  <si>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</si>
  <si>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&amp; Promotion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</si>
  <si>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</si>
  <si>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</si>
  <si>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</si>
  <si>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</si>
  <si>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</si>
  <si>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</si>
  <si>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</si>
  <si>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</si>
  <si>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</si>
  <si>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</si>
  <si>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</si>
  <si>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</si>
  <si>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</si>
  <si>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</si>
  <si>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</si>
  <si>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</si>
  <si>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</si>
  <si>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</si>
  <si>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</si>
  <si>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</si>
  <si>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</si>
  <si>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</si>
  <si>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</si>
  <si>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</si>
  <si>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</si>
  <si>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</si>
  <si>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</si>
  <si>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</si>
  <si>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</si>
  <si>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</si>
  <si>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</si>
  <si>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</si>
  <si>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</si>
  <si>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</si>
  <si>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</si>
  <si>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</si>
  <si>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</si>
  <si>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</si>
  <si>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</si>
  <si>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</si>
  <si>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</si>
  <si>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</si>
  <si>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</si>
  <si>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</si>
  <si>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</si>
  <si>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</si>
  <si>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</si>
  <si>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</si>
  <si>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</si>
  <si>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</si>
  <si>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</si>
  <si>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</si>
  <si>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</si>
  <si>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</si>
  <si>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</si>
  <si>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</si>
  <si>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</si>
  <si>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</si>
  <si>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</si>
  <si>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</si>
  <si>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</si>
  <si>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</si>
  <si>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</si>
  <si>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</si>
  <si>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</si>
  <si>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</si>
  <si>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</si>
  <si>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</si>
  <si>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</si>
  <si>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</si>
  <si>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</si>
  <si>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</si>
  <si>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</si>
  <si>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</si>
  <si>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</si>
  <si>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</si>
  <si>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</si>
  <si>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</si>
  <si>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</si>
  <si>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</si>
  <si>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</si>
  <si>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</si>
  <si>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</si>
  <si>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</si>
  <si>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</si>
  <si>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</si>
  <si>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</si>
  <si>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</si>
  <si>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</si>
  <si>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</si>
  <si>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</si>
  <si>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</si>
  <si>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</si>
  <si>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</si>
  <si>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</si>
  <si>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</si>
  <si>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</si>
  <si>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</si>
  <si>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</si>
  <si>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</si>
  <si>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</si>
  <si>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</si>
  <si>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</si>
  <si>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</si>
  <si>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</si>
  <si>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</si>
  <si>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</si>
  <si>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</si>
  <si>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</si>
  <si>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</si>
  <si>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</si>
  <si>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</si>
  <si>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</si>
  <si>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</si>
  <si>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</si>
  <si>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</si>
  <si>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</si>
  <si>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</si>
  <si>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</si>
  <si>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</si>
  <si>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</si>
  <si>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</si>
  <si>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</si>
  <si>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</si>
  <si>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</si>
  <si>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</si>
  <si>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</si>
  <si>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</si>
  <si>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</si>
  <si>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</si>
  <si>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</si>
  <si>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</si>
  <si>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</si>
  <si>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</si>
  <si>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</si>
  <si>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</si>
  <si>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</si>
  <si>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</si>
  <si>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</si>
  <si>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</si>
  <si>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</si>
  <si>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</si>
  <si>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</si>
  <si>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</si>
  <si>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</si>
  <si>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</si>
  <si>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</si>
  <si>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</si>
  <si>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</si>
  <si>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</si>
  <si>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</si>
  <si>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</si>
  <si>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</si>
  <si>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</si>
  <si>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</si>
  <si>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</si>
  <si>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</si>
  <si>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</si>
  <si>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</si>
  <si>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</si>
  <si>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</si>
  <si>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</si>
  <si>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</si>
  <si>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</si>
  <si>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</si>
  <si>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</si>
  <si>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</si>
  <si>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</si>
  <si>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</si>
  <si>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</si>
  <si>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</si>
  <si>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</si>
  <si>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</si>
  <si>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</si>
  <si>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</si>
  <si>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</si>
  <si>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</si>
  <si>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</si>
  <si>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</si>
  <si>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</si>
  <si>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</si>
  <si>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</si>
  <si>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</si>
  <si>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</si>
  <si>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</si>
  <si>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</si>
  <si>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</si>
  <si>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</si>
  <si>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</si>
  <si>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</si>
  <si>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</si>
  <si>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</si>
  <si>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</si>
  <si>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</si>
  <si>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</si>
  <si>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</si>
  <si>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</si>
  <si>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</si>
  <si>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</si>
  <si>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</si>
  <si>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</si>
  <si>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</si>
  <si>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</si>
  <si>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</si>
  <si>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</si>
  <si>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</si>
  <si>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</si>
  <si>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</si>
  <si>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</si>
  <si>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</si>
  <si>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</si>
  <si>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</si>
  <si>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</si>
  <si>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</si>
  <si>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</si>
  <si>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</si>
  <si>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</si>
  <si>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</si>
  <si>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</si>
  <si>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</si>
  <si>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</si>
  <si>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</si>
  <si>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</si>
  <si>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</si>
  <si>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</si>
  <si>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</si>
  <si>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</si>
  <si>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</si>
  <si>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</si>
  <si>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</si>
  <si>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</si>
  <si>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</si>
  <si>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</si>
  <si>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</si>
  <si>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</si>
  <si>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</si>
  <si>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</si>
  <si>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</si>
  <si>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</si>
  <si>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</si>
  <si>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</si>
  <si>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</si>
  <si>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</si>
  <si>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</si>
  <si>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</si>
  <si>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</si>
  <si>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</si>
  <si>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</si>
  <si>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</si>
  <si>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</si>
  <si>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</si>
  <si>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</si>
  <si>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</si>
  <si>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</si>
  <si>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8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</si>
  <si>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</si>
  <si>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£30,000</t>
    </r>
  </si>
  <si>
    <t>you may just put your total expenses in box 19,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</si>
  <si>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</si>
  <si>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</si>
  <si>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</si>
  <si>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</si>
  <si>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</si>
  <si>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</si>
  <si>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10 to 18</t>
    </r>
  </si>
  <si>
    <t>expenses (box 8 + box 9 minus box 19)</t>
  </si>
  <si>
    <t>income (box 8 + box 9 minus box 19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</si>
  <si>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</si>
  <si>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</si>
  <si>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</si>
  <si>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</si>
  <si>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</si>
  <si>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</si>
  <si>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</si>
  <si>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</si>
  <si>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8 or 9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</si>
  <si>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</si>
  <si>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</si>
  <si>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</si>
  <si>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29),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30 to 32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</si>
  <si>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</si>
  <si>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</si>
  <si>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</si>
  <si>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</si>
  <si>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</si>
  <si>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</si>
  <si>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</si>
  <si>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</si>
  <si>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</si>
  <si>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</si>
  <si>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</si>
  <si>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</si>
  <si>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</si>
  <si>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</si>
  <si>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</si>
  <si>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</si>
  <si>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</si>
  <si>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</si>
  <si>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</si>
  <si>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</si>
  <si>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</si>
  <si>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</si>
  <si>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</si>
  <si>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</si>
  <si>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</si>
  <si>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</si>
  <si>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</si>
  <si>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</si>
  <si>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</si>
  <si>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</si>
  <si>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</si>
  <si>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</si>
  <si>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</si>
  <si>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</si>
  <si>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</si>
  <si>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</si>
  <si>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</si>
  <si>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</si>
  <si>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</si>
  <si>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</si>
  <si>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</si>
  <si>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</si>
  <si>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</si>
  <si>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</si>
  <si>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</si>
  <si>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</si>
  <si>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</si>
  <si>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27</t>
    </r>
  </si>
  <si>
    <t>Net business profit for tax purposes (if box 20 + box 25 +</t>
  </si>
  <si>
    <t>box 26 minus boxes 21 to 24) is positive)</t>
  </si>
  <si>
    <t>Total taxable profits from this business</t>
  </si>
  <si>
    <t>Net business loss for tax purposes (if boxes 21 to 24</t>
  </si>
  <si>
    <t>if box 27 + box 29 minus box 28 is positive</t>
  </si>
  <si>
    <t>minus (box 20 + box 25 + box 26)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</si>
  <si>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</si>
  <si>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</si>
  <si>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</si>
  <si>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</si>
  <si>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</si>
  <si>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</si>
  <si>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</si>
  <si>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</si>
  <si>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Not captured in DIY Accounting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</si>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</sst>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6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96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45753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IF(D38&gt;67000,"SELF-EMPLOYMENT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8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9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10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15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Account'!B9&gt;30000,'Profit &amp; Loss Account'!B17,"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Account'!B9&gt;30000,'Profit &amp; Loss Account'!B28,"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11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16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Account'!B9&gt;30000,'Profit &amp; Loss Account'!B25+'Profit &amp; Loss Account'!B26,"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Account'!B9&gt;30000,'Profit &amp; Loss Account'!B30+'Profit &amp; Loss Account'!B31,"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12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17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Account'!B9&gt;30000,'Profit &amp; Loss Account'!B21,"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Account'!B9&gt;30000,'Profit &amp; Loss Account'!B24,"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13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18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Account'!B9&gt;30000,'Profit &amp; Loss Account'!B22,"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Account'!B9&gt;30000,'Profit &amp; Loss Account'!B27+'Profit &amp; Loss Account'!B29+'Profit &amp; Loss Account'!B32+'Profit &amp; Loss Account'!B33,"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14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19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Account'!B9&gt;30000,'Profit &amp; Loss Account'!B23,"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Account'!B35-'Profit &amp; Loss Account'!B34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20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21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22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24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IF(([1]Schedule!$R$1+[1]Schedule!$Y$1)&gt;0,[1]Schedule!$R$1+[1]Schedule!$Y$1,0)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23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25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26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28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27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29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30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31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32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35</v>
      </c>
      <c r="M111" s="220"/>
      <c r="N111" s="227" t="s">
        <v>345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398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33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36</v>
      </c>
      <c r="M116" s="220"/>
      <c r="N116" s="227" t="s">
        <v>301</v>
      </c>
      <c r="O116" s="220"/>
      <c r="P116" s="220"/>
      <c r="Q116" s="220"/>
      <c r="R116" s="370" t="str">
        <f>Admin!G2</f>
        <v>2025-26</v>
      </c>
      <c r="S116" s="371"/>
      <c r="T116" s="371"/>
      <c r="U116" s="227" t="s">
        <v>347</v>
      </c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399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 t="s">
        <v>236</v>
      </c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34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37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72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/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/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/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/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/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/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/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/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/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/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/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/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/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'Profit &amp; Loss Account'!B34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s">
        <v>214</v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0.18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IF(([1]Schedule!$R$1+[1]Schedule!$S$1)&lt;1000,[1]Schedule!$S$1,0)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52.1</v>
      </c>
      <c r="B154" s="220"/>
      <c r="C154" s="227" t="inlineStr">
        <is>
          <t>Zero-emission car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inlineStr">
        <is>
          <t>The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382"/>
      <c r="D187" s="383"/>
      <c r="E187" s="383"/>
      <c r="F187" s="384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61"/>
      <c r="D188" s="385"/>
      <c r="E188" s="385"/>
      <c r="F188" s="385"/>
      <c r="G188" s="218"/>
      <c r="H188" s="253"/>
      <c r="I188" s="253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382"/>
      <c r="D190" s="383"/>
      <c r="E190" s="383"/>
      <c r="F190" s="384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/>
      <c r="B199" s="220"/>
      <c r="C199" s="227" t="inlineStr">
        <is>
          <t>Boxes 69 and 70 are not in use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17"/>
      <c r="D201" s="356"/>
      <c r="E201" s="357"/>
      <c r="F201" s="358"/>
      <c r="G201" s="218"/>
      <c r="H201" s="219"/>
      <c r="I201" s="219"/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17"/>
      <c r="D206" s="356"/>
      <c r="E206" s="357"/>
      <c r="F206" s="358"/>
      <c r="G206" s="218"/>
      <c r="H206" s="219"/>
      <c r="I206" s="219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7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</f>
        <v>0</v>
      </c>
      <c r="D27" s="75">
        <f>[3]May!$Y$1</f>
        <v>0</v>
      </c>
      <c r="E27" s="78">
        <f>[3]Jun!$Y$1</f>
        <v>0</v>
      </c>
      <c r="F27" s="75">
        <f>[3]Jul!$Y$1</f>
        <v>0</v>
      </c>
      <c r="G27" s="75">
        <f>[3]Aug!$Y$1</f>
        <v>0</v>
      </c>
      <c r="H27" s="78">
        <f>[3]Sep!$Y$1</f>
        <v>0</v>
      </c>
      <c r="I27" s="75">
        <f>[3]Oct!$Y$1</f>
        <v>0</v>
      </c>
      <c r="J27" s="75">
        <f>[3]Nov!$Y$1</f>
        <v>0</v>
      </c>
      <c r="K27" s="78">
        <f>[3]Dec!$Y$1</f>
        <v>0</v>
      </c>
      <c r="L27" s="75">
        <f>[3]Jan!$Y$1</f>
        <v>0</v>
      </c>
      <c r="M27" s="75">
        <f>[3]Feb!$Y$1</f>
        <v>0</v>
      </c>
      <c r="N27" s="75">
        <f>[3]Mar!$Y$1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v>0</v>
      </c>
      <c r="D25" s="299">
        <v>0</v>
      </c>
      <c r="E25" s="299">
        <v>0</v>
      </c>
      <c r="F25" s="299">
        <v>0</v>
      </c>
      <c r="G25" s="299">
        <f>SUM(C25:F25)</f>
        <v>0</v>
      </c>
      <c r="H25" s="298" t="s">
        <v>406</v>
      </c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SUM(C7,C12,C13,C14,C15,C16,C17,C18,C19,C20,C21,C22,C24,C25,C26)</f>
        <v>0</v>
      </c>
      <c r="D29" s="302">
        <f>SUM(D7,D12,D13,D14,D15,D16,D17,D18,D19,D20,D21,D22,D24,D25,D26)</f>
        <v>0</v>
      </c>
      <c r="E29" s="302">
        <f>SUM(E7,E12,E13,E14,E15,E16,E17,E18,E19,E20,E21,E22,E24,E25,E26)</f>
        <v>0</v>
      </c>
      <c r="F29" s="302">
        <f>SUM(F7,F12,F13,F14,F15,F16,F17,F18,F19,F20,F21,F22,F24,F25,F26)</f>
        <v>0</v>
      </c>
      <c r="G29" s="302">
        <f>SUM(G7,G12,G13,G14,G15,G16,G17,G18,G19,G20,G21,G22,G24,G25,G26)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v>0</v>
      </c>
      <c r="D36" s="299">
        <v>0</v>
      </c>
      <c r="E36" s="299">
        <v>0</v>
      </c>
      <c r="F36" s="299"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v>0</v>
      </c>
      <c r="D37" s="299">
        <v>0</v>
      </c>
      <c r="E37" s="299">
        <v>0</v>
      </c>
      <c r="F37" s="299"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v>0</v>
      </c>
      <c r="D38" s="299">
        <v>0</v>
      </c>
      <c r="E38" s="299">
        <v>0</v>
      </c>
      <c r="F38" s="299"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v>0</v>
      </c>
      <c r="D39" s="299">
        <v>0</v>
      </c>
      <c r="E39" s="299">
        <v>0</v>
      </c>
      <c r="F39" s="299"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v>0</v>
      </c>
      <c r="D40" s="299">
        <v>0</v>
      </c>
      <c r="E40" s="299">
        <v>0</v>
      </c>
      <c r="F40" s="299"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v>0</v>
      </c>
      <c r="D41" s="299">
        <v>0</v>
      </c>
      <c r="E41" s="299">
        <v>0</v>
      </c>
      <c r="F41" s="299"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v>0</v>
      </c>
      <c r="D42" s="299">
        <v>0</v>
      </c>
      <c r="E42" s="299">
        <v>0</v>
      </c>
      <c r="F42" s="299"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v>0</v>
      </c>
      <c r="D43" s="299">
        <v>0</v>
      </c>
      <c r="E43" s="299">
        <v>0</v>
      </c>
      <c r="F43" s="299"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v>0</v>
      </c>
      <c r="D44" s="299">
        <v>0</v>
      </c>
      <c r="E44" s="299">
        <v>0</v>
      </c>
      <c r="F44" s="299">
        <v>0</v>
      </c>
      <c r="G44" s="299">
        <f t="shared" si="1"/>
        <v>0</v>
      </c>
      <c r="H44" s="298" t="s">
        <v>406</v>
      </c>
      <c r="I44" s="298"/>
    </row>
    <row r="45" spans="1:9" x14ac:dyDescent="0.15">
      <c r="A45" s="298"/>
      <c r="B45" s="298" t="s">
        <v>411</v>
      </c>
      <c r="C45" s="299">
        <v>0</v>
      </c>
      <c r="D45" s="299">
        <v>0</v>
      </c>
      <c r="E45" s="299">
        <v>0</v>
      </c>
      <c r="F45" s="299"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v>0</v>
      </c>
      <c r="D46" s="299">
        <v>0</v>
      </c>
      <c r="E46" s="299">
        <v>0</v>
      </c>
      <c r="F46" s="299"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v>0</v>
      </c>
      <c r="D47" s="299">
        <v>0</v>
      </c>
      <c r="E47" s="299">
        <v>0</v>
      </c>
      <c r="F47" s="299"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v>0</v>
      </c>
      <c r="D48" s="299">
        <v>0</v>
      </c>
      <c r="E48" s="299">
        <v>0</v>
      </c>
      <c r="F48" s="299"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v>0</v>
      </c>
      <c r="D49" s="299">
        <v>0</v>
      </c>
      <c r="E49" s="299">
        <v>0</v>
      </c>
      <c r="F49" s="299">
        <v>0</v>
      </c>
      <c r="G49" s="299">
        <f t="shared" si="1"/>
        <v>0</v>
      </c>
      <c r="H49" s="298" t="s">
        <v>406</v>
      </c>
      <c r="I49" s="298"/>
    </row>
    <row r="50" spans="1:9" x14ac:dyDescent="0.15">
      <c r="A50" s="298"/>
      <c r="B50" s="298" t="s">
        <v>407</v>
      </c>
      <c r="C50" s="299">
        <v>0</v>
      </c>
      <c r="D50" s="299">
        <v>0</v>
      </c>
      <c r="E50" s="299">
        <v>0</v>
      </c>
      <c r="F50" s="299"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12570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45716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45747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45753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45777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45808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45838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45869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45900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45930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45961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45991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46022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125141</v>
      </c>
      <c r="M13" s="147"/>
      <c r="N13" s="152">
        <v>125140</v>
      </c>
      <c r="O13" s="147"/>
    </row>
    <row r="14" spans="1:15" ht="12" customHeight="1" x14ac:dyDescent="0.15">
      <c r="A14" s="147"/>
      <c r="B14" s="164">
        <v>46053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46081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46112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0</v>
      </c>
      <c r="M16" s="147" t="s">
        <v>436</v>
      </c>
      <c r="N16" s="147"/>
      <c r="O16" s="147"/>
    </row>
    <row r="17" spans="1:15" ht="12" customHeight="1" thickBot="1" x14ac:dyDescent="0.2">
      <c r="A17" s="147"/>
      <c r="B17" s="175">
        <v>46117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46142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46173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46203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0.06</v>
      </c>
      <c r="M20" s="451"/>
      <c r="N20" s="152">
        <v>12570</v>
      </c>
      <c r="O20" s="146" t="s">
        <v>51</v>
      </c>
    </row>
    <row r="21" spans="1:15" ht="12" customHeight="1" x14ac:dyDescent="0.15">
      <c r="A21" s="147"/>
      <c r="B21" s="164">
        <v>46418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46599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s">
        <v>435</v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s">
        <v>437</v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46234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90000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Terry Cartwright</dc:creator>
  <cp:lastModifiedBy>Cartwright, Antony</cp:lastModifiedBy>
  <cp:lastPrinted>2008-06-02T20:53:06Z</cp:lastPrinted>
  <dcterms:created xsi:type="dcterms:W3CDTF">2002-12-30T15:31:19Z</dcterms:created>
  <dcterms:modified xsi:type="dcterms:W3CDTF">2025-04-03T22:48:48Z</dcterms:modified>
</cp:coreProperties>
</file>