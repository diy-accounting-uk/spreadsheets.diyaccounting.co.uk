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66" i="34" l="1"/>
  <c r="A67" i="34"/>
  <c r="A66" i="34"/>
  <c r="F69" i="34" l="1"/>
  <c r="E69" i="34"/>
  <c r="F41" i="23"/>
  <c r="E41" i="23"/>
  <c r="F30" i="23"/>
  <c r="E30" i="23"/>
  <c r="F19" i="23"/>
  <c r="E19" i="23"/>
  <c r="F8" i="23"/>
  <c r="E8" i="23"/>
  <c r="D8" i="22" l="1"/>
  <c r="C8" i="22"/>
  <c r="D9" i="22"/>
  <c r="C9" i="22"/>
  <c r="D10" i="22"/>
  <c r="C10" i="22"/>
  <c r="D11" i="22"/>
  <c r="C11" i="22"/>
  <c r="D12" i="22"/>
  <c r="C12" i="22"/>
  <c r="D13" i="22"/>
  <c r="C13" i="22"/>
  <c r="D14" i="22"/>
  <c r="C14" i="22"/>
  <c r="D15" i="22"/>
  <c r="C15" i="22"/>
  <c r="D16" i="22"/>
  <c r="C16" i="22"/>
  <c r="D17" i="22"/>
  <c r="C17" i="22"/>
  <c r="D18" i="22"/>
  <c r="C18" i="22"/>
  <c r="D19" i="22"/>
  <c r="C19" i="22"/>
  <c r="G50" i="47"/>
  <c r="G49" i="47"/>
  <c r="G48" i="47"/>
  <c r="G47" i="47"/>
  <c r="G46" i="47"/>
  <c r="G45" i="47"/>
  <c r="G44" i="47"/>
  <c r="G43" i="47"/>
  <c r="G42" i="47"/>
  <c r="G41" i="47"/>
  <c r="G40" i="47"/>
  <c r="G39" i="47"/>
  <c r="G38" i="47"/>
  <c r="G37" i="47"/>
  <c r="G36" i="47"/>
  <c r="G25" i="47"/>
  <c r="G24" i="47"/>
  <c r="G20" i="47"/>
  <c r="A5" i="23"/>
  <c r="A6" i="23" s="1"/>
  <c r="B5" i="23" l="1"/>
  <c r="A7" i="23"/>
  <c r="A10" i="23" s="1"/>
  <c r="F1" i="28"/>
  <c r="E1" i="28"/>
  <c r="D1" i="28"/>
  <c r="F58" i="28"/>
  <c r="E58" i="28"/>
  <c r="F1" i="25"/>
  <c r="E1" i="25"/>
  <c r="D1" i="25"/>
  <c r="F58" i="25"/>
  <c r="E58" i="25"/>
  <c r="D1" i="34"/>
  <c r="A11" i="23" l="1"/>
  <c r="B10" i="23"/>
  <c r="F1" i="31"/>
  <c r="D1" i="31"/>
  <c r="E1" i="31"/>
  <c r="F58" i="31"/>
  <c r="E58" i="31"/>
  <c r="D1" i="26"/>
  <c r="F48" i="26"/>
  <c r="E48" i="26"/>
  <c r="A12" i="23" l="1"/>
  <c r="B11" i="23"/>
  <c r="F47" i="33"/>
  <c r="E47" i="33"/>
  <c r="F48" i="29"/>
  <c r="E48" i="29"/>
  <c r="B12" i="23" l="1"/>
  <c r="A13" i="23"/>
  <c r="F14" i="27"/>
  <c r="E14" i="27"/>
  <c r="F58" i="34"/>
  <c r="E58" i="34"/>
  <c r="F36" i="33"/>
  <c r="E36" i="33"/>
  <c r="F47" i="32"/>
  <c r="E47" i="32"/>
  <c r="F15" i="29"/>
  <c r="E15" i="29"/>
  <c r="F15" i="26"/>
  <c r="E15" i="26"/>
  <c r="D1" i="27"/>
  <c r="D1" i="23"/>
  <c r="A1" i="35" s="1"/>
  <c r="A1" i="36" s="1"/>
  <c r="F25" i="27"/>
  <c r="E25" i="27"/>
  <c r="E47" i="30"/>
  <c r="F47" i="30"/>
  <c r="F47" i="25"/>
  <c r="E47" i="25"/>
  <c r="E10" i="22"/>
  <c r="E9" i="22"/>
  <c r="B9" i="22"/>
  <c r="E8" i="22"/>
  <c r="B8" i="22"/>
  <c r="A33" i="19"/>
  <c r="C8" i="8"/>
  <c r="S18" i="20"/>
  <c r="S12" i="20"/>
  <c r="E1" i="46"/>
  <c r="F1" i="46"/>
  <c r="D5" i="46"/>
  <c r="D6" i="46"/>
  <c r="D7" i="46"/>
  <c r="H7" i="46" s="1"/>
  <c r="D8" i="46"/>
  <c r="H8" i="46" s="1"/>
  <c r="D9" i="46"/>
  <c r="D10" i="46"/>
  <c r="J10" i="46" s="1"/>
  <c r="D11" i="46"/>
  <c r="N11" i="46"/>
  <c r="D12" i="46"/>
  <c r="H12" i="46" s="1"/>
  <c r="N12" i="46"/>
  <c r="D13" i="46"/>
  <c r="H13" i="46" s="1"/>
  <c r="D14" i="46"/>
  <c r="D15" i="46"/>
  <c r="H15" i="46" s="1"/>
  <c r="Q15" i="46"/>
  <c r="D16" i="46"/>
  <c r="D17" i="46"/>
  <c r="J17" i="46"/>
  <c r="D18" i="46"/>
  <c r="L18" i="46" s="1"/>
  <c r="D19" i="46"/>
  <c r="G19" i="46" s="1"/>
  <c r="D20" i="46"/>
  <c r="D21" i="46"/>
  <c r="D22" i="46"/>
  <c r="N22" i="46" s="1"/>
  <c r="D23" i="46"/>
  <c r="N23" i="46" s="1"/>
  <c r="D24" i="46"/>
  <c r="G24" i="46" s="1"/>
  <c r="D25" i="46"/>
  <c r="D26" i="46"/>
  <c r="G26" i="46" s="1"/>
  <c r="N26" i="46"/>
  <c r="D27" i="46"/>
  <c r="D28" i="46"/>
  <c r="H28" i="46" s="1"/>
  <c r="K28" i="46"/>
  <c r="M28" i="46"/>
  <c r="R28" i="46"/>
  <c r="D29" i="46"/>
  <c r="S29" i="46" s="1"/>
  <c r="Q29" i="46"/>
  <c r="D30" i="46"/>
  <c r="G30" i="46" s="1"/>
  <c r="D31" i="46"/>
  <c r="H31" i="46" s="1"/>
  <c r="D32" i="46"/>
  <c r="I32" i="46" s="1"/>
  <c r="D33" i="46"/>
  <c r="D34" i="46"/>
  <c r="D35" i="46"/>
  <c r="D36" i="46"/>
  <c r="P36" i="46" s="1"/>
  <c r="D37" i="46"/>
  <c r="D38" i="46"/>
  <c r="M38" i="46" s="1"/>
  <c r="D39" i="46"/>
  <c r="D40" i="46"/>
  <c r="D41" i="46"/>
  <c r="G41" i="46" s="1"/>
  <c r="I41" i="46"/>
  <c r="D42" i="46"/>
  <c r="L42" i="46" s="1"/>
  <c r="G42" i="46"/>
  <c r="S42" i="46"/>
  <c r="D43" i="46"/>
  <c r="D44" i="46"/>
  <c r="D45" i="46"/>
  <c r="M45" i="46" s="1"/>
  <c r="D46" i="46"/>
  <c r="D47" i="46"/>
  <c r="Q47" i="46"/>
  <c r="D48" i="46"/>
  <c r="K48" i="46" s="1"/>
  <c r="D49" i="46"/>
  <c r="M49" i="46"/>
  <c r="D50" i="46"/>
  <c r="M50" i="46" s="1"/>
  <c r="D51" i="46"/>
  <c r="D52" i="46"/>
  <c r="L52" i="46" s="1"/>
  <c r="I52" i="46"/>
  <c r="D53" i="46"/>
  <c r="S53" i="46" s="1"/>
  <c r="K53" i="46"/>
  <c r="D54" i="46"/>
  <c r="G54" i="46" s="1"/>
  <c r="D55" i="46"/>
  <c r="D56" i="46"/>
  <c r="D57" i="46"/>
  <c r="Q57" i="46" s="1"/>
  <c r="D58" i="46"/>
  <c r="G58" i="46" s="1"/>
  <c r="H58" i="46"/>
  <c r="K58" i="46"/>
  <c r="L58" i="46"/>
  <c r="N58" i="46"/>
  <c r="O58" i="46"/>
  <c r="P58" i="46"/>
  <c r="D59" i="46"/>
  <c r="D60" i="46"/>
  <c r="D61" i="46"/>
  <c r="D62" i="46"/>
  <c r="D63" i="46"/>
  <c r="D64" i="46"/>
  <c r="G64" i="46" s="1"/>
  <c r="D65" i="46"/>
  <c r="L65" i="46" s="1"/>
  <c r="D66" i="46"/>
  <c r="N66" i="46"/>
  <c r="D67" i="46"/>
  <c r="M67" i="46" s="1"/>
  <c r="D68" i="46"/>
  <c r="P68" i="46"/>
  <c r="Q68" i="46"/>
  <c r="D69" i="46"/>
  <c r="Q69" i="46" s="1"/>
  <c r="D70" i="46"/>
  <c r="P70" i="46" s="1"/>
  <c r="D71" i="46"/>
  <c r="O71" i="46" s="1"/>
  <c r="D72" i="46"/>
  <c r="I72" i="46" s="1"/>
  <c r="D73" i="46"/>
  <c r="N73" i="46" s="1"/>
  <c r="O73" i="46"/>
  <c r="D74" i="46"/>
  <c r="P74" i="46" s="1"/>
  <c r="D75" i="46"/>
  <c r="K75" i="46" s="1"/>
  <c r="D76" i="46"/>
  <c r="D77" i="46"/>
  <c r="D78" i="46"/>
  <c r="D79" i="46"/>
  <c r="D80" i="46"/>
  <c r="D81" i="46"/>
  <c r="D82" i="46"/>
  <c r="D83" i="46"/>
  <c r="H83" i="46" s="1"/>
  <c r="D84" i="46"/>
  <c r="D85" i="46"/>
  <c r="D86" i="46"/>
  <c r="N86" i="46" s="1"/>
  <c r="D87" i="46"/>
  <c r="O87" i="46" s="1"/>
  <c r="D88" i="46"/>
  <c r="D89" i="46"/>
  <c r="O89" i="46" s="1"/>
  <c r="D90" i="46"/>
  <c r="D91" i="46"/>
  <c r="D92" i="46"/>
  <c r="J92" i="46" s="1"/>
  <c r="D93" i="46"/>
  <c r="D94" i="46"/>
  <c r="P94" i="46" s="1"/>
  <c r="D95" i="46"/>
  <c r="N95" i="46" s="1"/>
  <c r="D96" i="46"/>
  <c r="D97" i="46"/>
  <c r="O97" i="46" s="1"/>
  <c r="D98" i="46"/>
  <c r="O98" i="46" s="1"/>
  <c r="D99" i="46"/>
  <c r="D100" i="46"/>
  <c r="Q100" i="46"/>
  <c r="D101" i="46"/>
  <c r="M101" i="46"/>
  <c r="D102" i="46"/>
  <c r="D103" i="46"/>
  <c r="D104" i="46"/>
  <c r="L104" i="46" s="1"/>
  <c r="I104" i="46"/>
  <c r="S104" i="46"/>
  <c r="D105" i="46"/>
  <c r="D106" i="46"/>
  <c r="O106" i="46" s="1"/>
  <c r="G106" i="46"/>
  <c r="N106" i="46"/>
  <c r="P106" i="46"/>
  <c r="Q106" i="46"/>
  <c r="D107" i="46"/>
  <c r="R107" i="46" s="1"/>
  <c r="D108" i="46"/>
  <c r="M108" i="46"/>
  <c r="D109" i="46"/>
  <c r="N109" i="46" s="1"/>
  <c r="D110" i="46"/>
  <c r="I110" i="46"/>
  <c r="N110" i="46"/>
  <c r="D111" i="46"/>
  <c r="N111" i="46" s="1"/>
  <c r="O111" i="46"/>
  <c r="D112" i="46"/>
  <c r="D113" i="46"/>
  <c r="D114" i="46"/>
  <c r="N114" i="46"/>
  <c r="D115" i="46"/>
  <c r="D116" i="46"/>
  <c r="R116" i="46" s="1"/>
  <c r="D117" i="46"/>
  <c r="D118" i="46"/>
  <c r="R118" i="46" s="1"/>
  <c r="D119" i="46"/>
  <c r="D120" i="46"/>
  <c r="J120" i="46"/>
  <c r="D121" i="46"/>
  <c r="D122" i="46"/>
  <c r="H122" i="46" s="1"/>
  <c r="D123" i="46"/>
  <c r="N123" i="46" s="1"/>
  <c r="D124" i="46"/>
  <c r="R124" i="46" s="1"/>
  <c r="D125" i="46"/>
  <c r="L125" i="46" s="1"/>
  <c r="D126" i="46"/>
  <c r="R126" i="46"/>
  <c r="D127" i="46"/>
  <c r="D128" i="46"/>
  <c r="D129" i="46"/>
  <c r="R129" i="46"/>
  <c r="D130" i="46"/>
  <c r="D131" i="46"/>
  <c r="N131" i="46" s="1"/>
  <c r="D132" i="46"/>
  <c r="J132" i="46" s="1"/>
  <c r="D133" i="46"/>
  <c r="D134" i="46"/>
  <c r="J134" i="46" s="1"/>
  <c r="D135" i="46"/>
  <c r="R135" i="46"/>
  <c r="D136" i="46"/>
  <c r="D137" i="46"/>
  <c r="H137" i="46" s="1"/>
  <c r="D138" i="46"/>
  <c r="D139" i="46"/>
  <c r="N139" i="46" s="1"/>
  <c r="D140" i="46"/>
  <c r="D141" i="46"/>
  <c r="N141" i="46" s="1"/>
  <c r="R141" i="46"/>
  <c r="D142" i="46"/>
  <c r="D143" i="46"/>
  <c r="R143" i="46" s="1"/>
  <c r="H143" i="46"/>
  <c r="D144" i="46"/>
  <c r="R144" i="46" s="1"/>
  <c r="D145" i="46"/>
  <c r="H145" i="46" s="1"/>
  <c r="P145" i="46"/>
  <c r="D146" i="46"/>
  <c r="H146" i="46" s="1"/>
  <c r="D147" i="46"/>
  <c r="D148" i="46"/>
  <c r="H148" i="46"/>
  <c r="D149" i="46"/>
  <c r="D150" i="46"/>
  <c r="J150" i="46" s="1"/>
  <c r="D151" i="46"/>
  <c r="N151" i="46"/>
  <c r="D152" i="46"/>
  <c r="N152" i="46" s="1"/>
  <c r="D153" i="46"/>
  <c r="H153" i="46"/>
  <c r="D154" i="46"/>
  <c r="D155" i="46"/>
  <c r="N155" i="46" s="1"/>
  <c r="D156" i="46"/>
  <c r="D157" i="46"/>
  <c r="H157" i="46" s="1"/>
  <c r="D158" i="46"/>
  <c r="R158" i="46" s="1"/>
  <c r="D159" i="46"/>
  <c r="H159" i="46" s="1"/>
  <c r="D160" i="46"/>
  <c r="D161" i="46"/>
  <c r="D162" i="46"/>
  <c r="H162" i="46" s="1"/>
  <c r="D163" i="46"/>
  <c r="D164" i="46"/>
  <c r="D165" i="46"/>
  <c r="R165" i="46" s="1"/>
  <c r="D166" i="46"/>
  <c r="D167" i="46"/>
  <c r="D168" i="46"/>
  <c r="D169" i="46"/>
  <c r="N169" i="46" s="1"/>
  <c r="G169" i="46"/>
  <c r="D170" i="46"/>
  <c r="N170" i="46" s="1"/>
  <c r="H170" i="46"/>
  <c r="L170" i="46"/>
  <c r="R170" i="46"/>
  <c r="D171" i="46"/>
  <c r="J171" i="46" s="1"/>
  <c r="R171" i="46"/>
  <c r="D172" i="46"/>
  <c r="D173" i="46"/>
  <c r="P173" i="46" s="1"/>
  <c r="D174" i="46"/>
  <c r="R174" i="46" s="1"/>
  <c r="D175" i="46"/>
  <c r="D176" i="46"/>
  <c r="H176" i="46" s="1"/>
  <c r="D177" i="46"/>
  <c r="H177" i="46" s="1"/>
  <c r="D178" i="46"/>
  <c r="D179" i="46"/>
  <c r="N179" i="46" s="1"/>
  <c r="G179" i="46"/>
  <c r="D180" i="46"/>
  <c r="R180" i="46"/>
  <c r="D181" i="46"/>
  <c r="P181" i="46" s="1"/>
  <c r="D182" i="46"/>
  <c r="H182" i="46" s="1"/>
  <c r="D183" i="46"/>
  <c r="D184" i="46"/>
  <c r="D185" i="46"/>
  <c r="D186" i="46"/>
  <c r="D187" i="46"/>
  <c r="L187" i="46" s="1"/>
  <c r="N187" i="46"/>
  <c r="D188" i="46"/>
  <c r="P188" i="46" s="1"/>
  <c r="D189" i="46"/>
  <c r="H189" i="46" s="1"/>
  <c r="D190" i="46"/>
  <c r="J190" i="46" s="1"/>
  <c r="D191" i="46"/>
  <c r="J191" i="46"/>
  <c r="D192" i="46"/>
  <c r="D193" i="46"/>
  <c r="D194" i="46"/>
  <c r="N194" i="46" s="1"/>
  <c r="G194" i="46"/>
  <c r="D195" i="46"/>
  <c r="D196" i="46"/>
  <c r="D197" i="46"/>
  <c r="P197" i="46" s="1"/>
  <c r="D198" i="46"/>
  <c r="D199" i="46"/>
  <c r="J199" i="46" s="1"/>
  <c r="D200" i="46"/>
  <c r="H200" i="46" s="1"/>
  <c r="J200" i="46"/>
  <c r="L200" i="46"/>
  <c r="N200" i="46"/>
  <c r="D201" i="46"/>
  <c r="H201" i="46"/>
  <c r="D202" i="46"/>
  <c r="D203" i="46"/>
  <c r="R203" i="46" s="1"/>
  <c r="D204" i="46"/>
  <c r="N204" i="46" s="1"/>
  <c r="E1" i="45"/>
  <c r="F1" i="45"/>
  <c r="D5" i="45"/>
  <c r="D6" i="45"/>
  <c r="L6" i="45" s="1"/>
  <c r="D7" i="45"/>
  <c r="D8" i="45"/>
  <c r="D9" i="45"/>
  <c r="D10" i="45"/>
  <c r="H10" i="45" s="1"/>
  <c r="N10" i="45"/>
  <c r="D11" i="45"/>
  <c r="D12" i="45"/>
  <c r="P12" i="45" s="1"/>
  <c r="D13" i="45"/>
  <c r="D14" i="45"/>
  <c r="R14" i="45" s="1"/>
  <c r="L14" i="45"/>
  <c r="D15" i="45"/>
  <c r="R15" i="45" s="1"/>
  <c r="D16" i="45"/>
  <c r="D17" i="45"/>
  <c r="R17" i="45"/>
  <c r="D18" i="45"/>
  <c r="J18" i="45" s="1"/>
  <c r="D19" i="45"/>
  <c r="L19" i="45"/>
  <c r="D20" i="45"/>
  <c r="D21" i="45"/>
  <c r="D22" i="45"/>
  <c r="N22" i="45" s="1"/>
  <c r="J22" i="45"/>
  <c r="D23" i="45"/>
  <c r="D24" i="45"/>
  <c r="J24" i="45" s="1"/>
  <c r="D25" i="45"/>
  <c r="Q25" i="45" s="1"/>
  <c r="G25" i="45"/>
  <c r="L25" i="45"/>
  <c r="D26" i="45"/>
  <c r="O26" i="45" s="1"/>
  <c r="N26" i="45"/>
  <c r="D27" i="45"/>
  <c r="D28" i="45"/>
  <c r="N28" i="45" s="1"/>
  <c r="L28" i="45"/>
  <c r="O28" i="45"/>
  <c r="D29" i="45"/>
  <c r="P29" i="45" s="1"/>
  <c r="D30" i="45"/>
  <c r="L30" i="45" s="1"/>
  <c r="K30" i="45"/>
  <c r="D31" i="45"/>
  <c r="J31" i="45" s="1"/>
  <c r="D32" i="45"/>
  <c r="J32" i="45" s="1"/>
  <c r="D33" i="45"/>
  <c r="S33" i="45" s="1"/>
  <c r="D34" i="45"/>
  <c r="S34" i="45" s="1"/>
  <c r="D35" i="45"/>
  <c r="D36" i="45"/>
  <c r="I36" i="45" s="1"/>
  <c r="D37" i="45"/>
  <c r="I37" i="45" s="1"/>
  <c r="R37" i="45"/>
  <c r="D38" i="45"/>
  <c r="D39" i="45"/>
  <c r="Q39" i="45" s="1"/>
  <c r="D40" i="45"/>
  <c r="D41" i="45"/>
  <c r="H41" i="45"/>
  <c r="D42" i="45"/>
  <c r="R42" i="45" s="1"/>
  <c r="D43" i="45"/>
  <c r="D44" i="45"/>
  <c r="P44" i="45" s="1"/>
  <c r="D45" i="45"/>
  <c r="K45" i="45" s="1"/>
  <c r="D46" i="45"/>
  <c r="R46" i="45" s="1"/>
  <c r="D47" i="45"/>
  <c r="J47" i="45" s="1"/>
  <c r="O47" i="45"/>
  <c r="Q47" i="45"/>
  <c r="D48" i="45"/>
  <c r="D49" i="45"/>
  <c r="L49" i="45" s="1"/>
  <c r="I49" i="45"/>
  <c r="Q49" i="45"/>
  <c r="D50" i="45"/>
  <c r="D51" i="45"/>
  <c r="M51" i="45" s="1"/>
  <c r="R51" i="45"/>
  <c r="D52" i="45"/>
  <c r="I52" i="45" s="1"/>
  <c r="D53" i="45"/>
  <c r="H53" i="45" s="1"/>
  <c r="D54" i="45"/>
  <c r="D55" i="45"/>
  <c r="O55" i="45" s="1"/>
  <c r="D56" i="45"/>
  <c r="D57" i="45"/>
  <c r="K57" i="45" s="1"/>
  <c r="N57" i="45"/>
  <c r="D58" i="45"/>
  <c r="D59" i="45"/>
  <c r="Q59" i="45" s="1"/>
  <c r="D60" i="45"/>
  <c r="D61" i="45"/>
  <c r="D62" i="45"/>
  <c r="D63" i="45"/>
  <c r="P63" i="45" s="1"/>
  <c r="D64" i="45"/>
  <c r="Q64" i="45" s="1"/>
  <c r="D65" i="45"/>
  <c r="R65" i="45" s="1"/>
  <c r="D66" i="45"/>
  <c r="L66" i="45" s="1"/>
  <c r="D67" i="45"/>
  <c r="O67" i="45" s="1"/>
  <c r="H67" i="45"/>
  <c r="P67" i="45"/>
  <c r="D68" i="45"/>
  <c r="S68" i="45" s="1"/>
  <c r="D69" i="45"/>
  <c r="N69" i="45" s="1"/>
  <c r="D70" i="45"/>
  <c r="D71" i="45"/>
  <c r="D72" i="45"/>
  <c r="K72" i="45" s="1"/>
  <c r="D73" i="45"/>
  <c r="D74" i="45"/>
  <c r="D75" i="45"/>
  <c r="H75" i="45" s="1"/>
  <c r="D76" i="45"/>
  <c r="D77" i="45"/>
  <c r="O77" i="45" s="1"/>
  <c r="D78" i="45"/>
  <c r="Q78" i="45" s="1"/>
  <c r="D79" i="45"/>
  <c r="G79" i="45" s="1"/>
  <c r="L79" i="45"/>
  <c r="K79" i="45"/>
  <c r="N79" i="45"/>
  <c r="S79" i="45"/>
  <c r="D80" i="45"/>
  <c r="D81" i="45"/>
  <c r="L81" i="45" s="1"/>
  <c r="D82" i="45"/>
  <c r="G82" i="45" s="1"/>
  <c r="D83" i="45"/>
  <c r="D84" i="45"/>
  <c r="R84" i="45" s="1"/>
  <c r="J84" i="45"/>
  <c r="D85" i="45"/>
  <c r="G85" i="45" s="1"/>
  <c r="D86" i="45"/>
  <c r="D87" i="45"/>
  <c r="K87" i="45" s="1"/>
  <c r="G87" i="45"/>
  <c r="J87" i="45"/>
  <c r="P87" i="45"/>
  <c r="D88" i="45"/>
  <c r="D89" i="45"/>
  <c r="L89" i="45" s="1"/>
  <c r="D90" i="45"/>
  <c r="H90" i="45"/>
  <c r="D91" i="45"/>
  <c r="S91" i="45" s="1"/>
  <c r="D92" i="45"/>
  <c r="D93" i="45"/>
  <c r="G93" i="45" s="1"/>
  <c r="D94" i="45"/>
  <c r="G94" i="45" s="1"/>
  <c r="D95" i="45"/>
  <c r="R95" i="45" s="1"/>
  <c r="K95" i="45"/>
  <c r="D96" i="45"/>
  <c r="K96" i="45" s="1"/>
  <c r="M96" i="45"/>
  <c r="S96" i="45"/>
  <c r="D97" i="45"/>
  <c r="G97" i="45" s="1"/>
  <c r="D98" i="45"/>
  <c r="H98" i="45" s="1"/>
  <c r="D99" i="45"/>
  <c r="I99" i="45" s="1"/>
  <c r="G99" i="45"/>
  <c r="N99" i="45"/>
  <c r="Q99" i="45"/>
  <c r="D100" i="45"/>
  <c r="D101" i="45"/>
  <c r="O101" i="45"/>
  <c r="D102" i="45"/>
  <c r="P102" i="45" s="1"/>
  <c r="D103" i="45"/>
  <c r="I103" i="45" s="1"/>
  <c r="L103" i="45"/>
  <c r="G103" i="45"/>
  <c r="J103" i="45"/>
  <c r="M103" i="45"/>
  <c r="Q103" i="45"/>
  <c r="D104" i="45"/>
  <c r="L104" i="45"/>
  <c r="D105" i="45"/>
  <c r="G105" i="45" s="1"/>
  <c r="D106" i="45"/>
  <c r="N106" i="45"/>
  <c r="O106" i="45"/>
  <c r="D107" i="45"/>
  <c r="P107" i="45" s="1"/>
  <c r="D108" i="45"/>
  <c r="D109" i="45"/>
  <c r="G109" i="45"/>
  <c r="R109" i="45"/>
  <c r="D110" i="45"/>
  <c r="D111" i="45"/>
  <c r="H111" i="45"/>
  <c r="D112" i="45"/>
  <c r="H112" i="45" s="1"/>
  <c r="D113" i="45"/>
  <c r="J113" i="45" s="1"/>
  <c r="H113" i="45"/>
  <c r="N113" i="45"/>
  <c r="D114" i="45"/>
  <c r="D115" i="45"/>
  <c r="J115" i="45" s="1"/>
  <c r="D116" i="45"/>
  <c r="J116" i="45" s="1"/>
  <c r="D117" i="45"/>
  <c r="J117" i="45"/>
  <c r="D118" i="45"/>
  <c r="H118" i="45" s="1"/>
  <c r="D119" i="45"/>
  <c r="D120" i="45"/>
  <c r="N120" i="45" s="1"/>
  <c r="P120" i="45"/>
  <c r="D121" i="45"/>
  <c r="D122" i="45"/>
  <c r="H122" i="45" s="1"/>
  <c r="D123" i="45"/>
  <c r="J123" i="45" s="1"/>
  <c r="R123" i="45"/>
  <c r="D124" i="45"/>
  <c r="D125" i="45"/>
  <c r="N125" i="45" s="1"/>
  <c r="D126" i="45"/>
  <c r="H126" i="45" s="1"/>
  <c r="D127" i="45"/>
  <c r="D128" i="45"/>
  <c r="H128" i="45" s="1"/>
  <c r="D129" i="45"/>
  <c r="D130" i="45"/>
  <c r="N130" i="45"/>
  <c r="D131" i="45"/>
  <c r="S131" i="45" s="1"/>
  <c r="D132" i="45"/>
  <c r="G132" i="45"/>
  <c r="D133" i="45"/>
  <c r="D134" i="45"/>
  <c r="D135" i="45"/>
  <c r="M135" i="45" s="1"/>
  <c r="D136" i="45"/>
  <c r="M136" i="45" s="1"/>
  <c r="P136" i="45"/>
  <c r="D137" i="45"/>
  <c r="N137" i="45" s="1"/>
  <c r="P137" i="45"/>
  <c r="D138" i="45"/>
  <c r="I138" i="45"/>
  <c r="D139" i="45"/>
  <c r="N139" i="45" s="1"/>
  <c r="D140" i="45"/>
  <c r="N140" i="45" s="1"/>
  <c r="D141" i="45"/>
  <c r="D142" i="45"/>
  <c r="L142" i="45" s="1"/>
  <c r="D143" i="45"/>
  <c r="S143" i="45" s="1"/>
  <c r="D144" i="45"/>
  <c r="D145" i="45"/>
  <c r="N145" i="45" s="1"/>
  <c r="D146" i="45"/>
  <c r="K146" i="45" s="1"/>
  <c r="D147" i="45"/>
  <c r="N147" i="45" s="1"/>
  <c r="D148" i="45"/>
  <c r="D149" i="45"/>
  <c r="D150" i="45"/>
  <c r="P150" i="45" s="1"/>
  <c r="D151" i="45"/>
  <c r="N151" i="45" s="1"/>
  <c r="D152" i="45"/>
  <c r="O152" i="45" s="1"/>
  <c r="D153" i="45"/>
  <c r="P153" i="45" s="1"/>
  <c r="D154" i="45"/>
  <c r="D155" i="45"/>
  <c r="N155" i="45" s="1"/>
  <c r="D156" i="45"/>
  <c r="D157" i="45"/>
  <c r="Q157" i="45" s="1"/>
  <c r="D158" i="45"/>
  <c r="D159" i="45"/>
  <c r="D160" i="45"/>
  <c r="H160" i="45" s="1"/>
  <c r="G160" i="45"/>
  <c r="M160" i="45"/>
  <c r="D161" i="45"/>
  <c r="J161" i="45" s="1"/>
  <c r="M161" i="45"/>
  <c r="D162" i="45"/>
  <c r="D163" i="45"/>
  <c r="D164" i="45"/>
  <c r="D165" i="45"/>
  <c r="P165" i="45" s="1"/>
  <c r="G165" i="45"/>
  <c r="O165" i="45"/>
  <c r="D166" i="45"/>
  <c r="H166" i="45" s="1"/>
  <c r="G166" i="45"/>
  <c r="K166" i="45"/>
  <c r="N166" i="45"/>
  <c r="P166" i="45"/>
  <c r="D167" i="45"/>
  <c r="R167" i="45" s="1"/>
  <c r="D168" i="45"/>
  <c r="M168" i="45" s="1"/>
  <c r="D169" i="45"/>
  <c r="D170" i="45"/>
  <c r="H170" i="45" s="1"/>
  <c r="D171" i="45"/>
  <c r="R171" i="45" s="1"/>
  <c r="D172" i="45"/>
  <c r="O172" i="45" s="1"/>
  <c r="D173" i="45"/>
  <c r="D174" i="45"/>
  <c r="D175" i="45"/>
  <c r="L175" i="45" s="1"/>
  <c r="D176" i="45"/>
  <c r="D177" i="45"/>
  <c r="N177" i="45" s="1"/>
  <c r="D178" i="45"/>
  <c r="P178" i="45"/>
  <c r="D179" i="45"/>
  <c r="D180" i="45"/>
  <c r="D181" i="45"/>
  <c r="M181" i="45" s="1"/>
  <c r="D182" i="45"/>
  <c r="R182" i="45" s="1"/>
  <c r="D183" i="45"/>
  <c r="G183" i="45" s="1"/>
  <c r="D184" i="45"/>
  <c r="H184" i="45" s="1"/>
  <c r="L184" i="45"/>
  <c r="G184" i="45"/>
  <c r="N184" i="45"/>
  <c r="O184" i="45"/>
  <c r="S184" i="45"/>
  <c r="D185" i="45"/>
  <c r="D186" i="45"/>
  <c r="N186" i="45"/>
  <c r="O186" i="45"/>
  <c r="D187" i="45"/>
  <c r="H187" i="45" s="1"/>
  <c r="G187" i="45"/>
  <c r="N187" i="45"/>
  <c r="R187" i="45"/>
  <c r="D188" i="45"/>
  <c r="D189" i="45"/>
  <c r="M189" i="45" s="1"/>
  <c r="L189" i="45"/>
  <c r="S189" i="45"/>
  <c r="D190" i="45"/>
  <c r="D191" i="45"/>
  <c r="Q191" i="45" s="1"/>
  <c r="D192" i="45"/>
  <c r="H192" i="45"/>
  <c r="D193" i="45"/>
  <c r="D194" i="45"/>
  <c r="D195" i="45"/>
  <c r="D196" i="45"/>
  <c r="K196" i="45" s="1"/>
  <c r="D197" i="45"/>
  <c r="D198" i="45"/>
  <c r="D199" i="45"/>
  <c r="P199" i="45" s="1"/>
  <c r="D200" i="45"/>
  <c r="D201" i="45"/>
  <c r="N201" i="45" s="1"/>
  <c r="D202" i="45"/>
  <c r="G202" i="45" s="1"/>
  <c r="D203" i="45"/>
  <c r="P203" i="45" s="1"/>
  <c r="D204" i="45"/>
  <c r="L204" i="45"/>
  <c r="E1" i="44"/>
  <c r="F1" i="44"/>
  <c r="D5" i="44"/>
  <c r="P5" i="44"/>
  <c r="D6" i="44"/>
  <c r="H6" i="44" s="1"/>
  <c r="D7" i="44"/>
  <c r="H7" i="44"/>
  <c r="J7" i="44"/>
  <c r="D8" i="44"/>
  <c r="N8" i="44" s="1"/>
  <c r="D9" i="44"/>
  <c r="D10" i="44"/>
  <c r="J10" i="44" s="1"/>
  <c r="D11" i="44"/>
  <c r="H11" i="44" s="1"/>
  <c r="D12" i="44"/>
  <c r="R12" i="44" s="1"/>
  <c r="D13" i="44"/>
  <c r="P13" i="44" s="1"/>
  <c r="D14" i="44"/>
  <c r="N14" i="44" s="1"/>
  <c r="D15" i="44"/>
  <c r="N15" i="44" s="1"/>
  <c r="D16" i="44"/>
  <c r="H16" i="44" s="1"/>
  <c r="D17" i="44"/>
  <c r="K17" i="44"/>
  <c r="D18" i="44"/>
  <c r="G18" i="44" s="1"/>
  <c r="D19" i="44"/>
  <c r="O19" i="44" s="1"/>
  <c r="D20" i="44"/>
  <c r="O20" i="44"/>
  <c r="D21" i="44"/>
  <c r="G21" i="44" s="1"/>
  <c r="D22" i="44"/>
  <c r="J22" i="44" s="1"/>
  <c r="K22" i="44"/>
  <c r="D23" i="44"/>
  <c r="G23" i="44" s="1"/>
  <c r="D24" i="44"/>
  <c r="G24" i="44" s="1"/>
  <c r="D25" i="44"/>
  <c r="H25" i="44" s="1"/>
  <c r="G25" i="44"/>
  <c r="K25" i="44"/>
  <c r="P25" i="44"/>
  <c r="Q25" i="44"/>
  <c r="D26" i="44"/>
  <c r="R26" i="44" s="1"/>
  <c r="D27" i="44"/>
  <c r="L27" i="44" s="1"/>
  <c r="D28" i="44"/>
  <c r="D29" i="44"/>
  <c r="D30" i="44"/>
  <c r="D31" i="44"/>
  <c r="D32" i="44"/>
  <c r="D33" i="44"/>
  <c r="H33" i="44" s="1"/>
  <c r="D34" i="44"/>
  <c r="N34" i="44" s="1"/>
  <c r="D35" i="44"/>
  <c r="P35" i="44" s="1"/>
  <c r="D36" i="44"/>
  <c r="N36" i="44" s="1"/>
  <c r="D37" i="44"/>
  <c r="N37" i="44" s="1"/>
  <c r="D38" i="44"/>
  <c r="J38" i="44" s="1"/>
  <c r="D39" i="44"/>
  <c r="D40" i="44"/>
  <c r="N40" i="44" s="1"/>
  <c r="J40" i="44"/>
  <c r="O40" i="44"/>
  <c r="Q40" i="44"/>
  <c r="D41" i="44"/>
  <c r="L41" i="44" s="1"/>
  <c r="D42" i="44"/>
  <c r="D43" i="44"/>
  <c r="D44" i="44"/>
  <c r="D45" i="44"/>
  <c r="J45" i="44"/>
  <c r="R45" i="44"/>
  <c r="D46" i="44"/>
  <c r="D47" i="44"/>
  <c r="M47" i="44"/>
  <c r="D48" i="44"/>
  <c r="D49" i="44"/>
  <c r="H49" i="44" s="1"/>
  <c r="D50" i="44"/>
  <c r="S50" i="44" s="1"/>
  <c r="D51" i="44"/>
  <c r="D52" i="44"/>
  <c r="R52" i="44"/>
  <c r="D53" i="44"/>
  <c r="P53" i="44" s="1"/>
  <c r="D54" i="44"/>
  <c r="D55" i="44"/>
  <c r="D56" i="44"/>
  <c r="O56" i="44" s="1"/>
  <c r="D57" i="44"/>
  <c r="H57" i="44" s="1"/>
  <c r="G57" i="44"/>
  <c r="I57" i="44"/>
  <c r="K57" i="44"/>
  <c r="O57" i="44"/>
  <c r="Q57" i="44"/>
  <c r="D58" i="44"/>
  <c r="D59" i="44"/>
  <c r="H59" i="44" s="1"/>
  <c r="D60" i="44"/>
  <c r="R60" i="44"/>
  <c r="D61" i="44"/>
  <c r="H61" i="44" s="1"/>
  <c r="D62" i="44"/>
  <c r="D63" i="44"/>
  <c r="L63" i="44" s="1"/>
  <c r="D64" i="44"/>
  <c r="D65" i="44"/>
  <c r="D66" i="44"/>
  <c r="S66" i="44" s="1"/>
  <c r="D67" i="44"/>
  <c r="G67" i="44" s="1"/>
  <c r="D68" i="44"/>
  <c r="D69" i="44"/>
  <c r="D70" i="44"/>
  <c r="M70" i="44" s="1"/>
  <c r="D71" i="44"/>
  <c r="D72" i="44"/>
  <c r="D73" i="44"/>
  <c r="M73" i="44" s="1"/>
  <c r="D74" i="44"/>
  <c r="D75" i="44"/>
  <c r="D76" i="44"/>
  <c r="G76" i="44"/>
  <c r="D77" i="44"/>
  <c r="I77" i="44" s="1"/>
  <c r="D78" i="44"/>
  <c r="M78" i="44" s="1"/>
  <c r="D79" i="44"/>
  <c r="K79" i="44" s="1"/>
  <c r="D80" i="44"/>
  <c r="S80" i="44"/>
  <c r="D81" i="44"/>
  <c r="D82" i="44"/>
  <c r="J82" i="44" s="1"/>
  <c r="D83" i="44"/>
  <c r="D84" i="44"/>
  <c r="H84" i="44"/>
  <c r="D85" i="44"/>
  <c r="D86" i="44"/>
  <c r="J86" i="44" s="1"/>
  <c r="N86" i="44"/>
  <c r="D87" i="44"/>
  <c r="D88" i="44"/>
  <c r="N88" i="44" s="1"/>
  <c r="D89" i="44"/>
  <c r="R89" i="44"/>
  <c r="D90" i="44"/>
  <c r="N90" i="44" s="1"/>
  <c r="D91" i="44"/>
  <c r="H91" i="44" s="1"/>
  <c r="D92" i="44"/>
  <c r="D93" i="44"/>
  <c r="D94" i="44"/>
  <c r="D95" i="44"/>
  <c r="L95" i="44" s="1"/>
  <c r="D96" i="44"/>
  <c r="N96" i="44" s="1"/>
  <c r="D97" i="44"/>
  <c r="R97" i="44"/>
  <c r="D98" i="44"/>
  <c r="D99" i="44"/>
  <c r="L99" i="44" s="1"/>
  <c r="D100" i="44"/>
  <c r="D101" i="44"/>
  <c r="P101" i="44" s="1"/>
  <c r="D102" i="44"/>
  <c r="D103" i="44"/>
  <c r="R103" i="44" s="1"/>
  <c r="D104" i="44"/>
  <c r="D105" i="44"/>
  <c r="D106" i="44"/>
  <c r="J106" i="44" s="1"/>
  <c r="D107" i="44"/>
  <c r="H107" i="44" s="1"/>
  <c r="D108" i="44"/>
  <c r="D109" i="44"/>
  <c r="D110" i="44"/>
  <c r="R110" i="44" s="1"/>
  <c r="D111" i="44"/>
  <c r="H111" i="44" s="1"/>
  <c r="D112" i="44"/>
  <c r="J112" i="44" s="1"/>
  <c r="D113" i="44"/>
  <c r="D114" i="44"/>
  <c r="J114" i="44" s="1"/>
  <c r="R114" i="44"/>
  <c r="D115" i="44"/>
  <c r="D116" i="44"/>
  <c r="D117" i="44"/>
  <c r="H117" i="44" s="1"/>
  <c r="D118" i="44"/>
  <c r="M118" i="44" s="1"/>
  <c r="D119" i="44"/>
  <c r="D120" i="44"/>
  <c r="D121" i="44"/>
  <c r="H121" i="44" s="1"/>
  <c r="D122" i="44"/>
  <c r="D123" i="44"/>
  <c r="D124" i="44"/>
  <c r="D125" i="44"/>
  <c r="K125" i="44" s="1"/>
  <c r="D126" i="44"/>
  <c r="L126" i="44"/>
  <c r="D127" i="44"/>
  <c r="D128" i="44"/>
  <c r="Q128" i="44" s="1"/>
  <c r="R128" i="44"/>
  <c r="D129" i="44"/>
  <c r="D130" i="44"/>
  <c r="D131" i="44"/>
  <c r="M131" i="44" s="1"/>
  <c r="I131" i="44"/>
  <c r="N131" i="44"/>
  <c r="D132" i="44"/>
  <c r="N132" i="44" s="1"/>
  <c r="D133" i="44"/>
  <c r="D134" i="44"/>
  <c r="G134" i="44" s="1"/>
  <c r="D135" i="44"/>
  <c r="D136" i="44"/>
  <c r="L136" i="44" s="1"/>
  <c r="D137" i="44"/>
  <c r="D138" i="44"/>
  <c r="N138" i="44" s="1"/>
  <c r="D139" i="44"/>
  <c r="H139" i="44" s="1"/>
  <c r="L139" i="44"/>
  <c r="G139" i="44"/>
  <c r="I139" i="44"/>
  <c r="M139" i="44"/>
  <c r="P139" i="44"/>
  <c r="R139" i="44"/>
  <c r="D140" i="44"/>
  <c r="N140" i="44" s="1"/>
  <c r="D141" i="44"/>
  <c r="D142" i="44"/>
  <c r="P142" i="44"/>
  <c r="D143" i="44"/>
  <c r="D144" i="44"/>
  <c r="L144" i="44" s="1"/>
  <c r="Q144" i="44"/>
  <c r="D145" i="44"/>
  <c r="D146" i="44"/>
  <c r="L146" i="44"/>
  <c r="P146" i="44"/>
  <c r="S146" i="44"/>
  <c r="D147" i="44"/>
  <c r="L147" i="44" s="1"/>
  <c r="N147" i="44"/>
  <c r="D148" i="44"/>
  <c r="D149" i="44"/>
  <c r="D150" i="44"/>
  <c r="O150" i="44" s="1"/>
  <c r="H150" i="44"/>
  <c r="M150" i="44"/>
  <c r="D151" i="44"/>
  <c r="G151" i="44"/>
  <c r="D152" i="44"/>
  <c r="D153" i="44"/>
  <c r="D154" i="44"/>
  <c r="H154" i="44" s="1"/>
  <c r="L154" i="44"/>
  <c r="K154" i="44"/>
  <c r="R154" i="44"/>
  <c r="D155" i="44"/>
  <c r="I155" i="44"/>
  <c r="D156" i="44"/>
  <c r="J156" i="44" s="1"/>
  <c r="M156" i="44"/>
  <c r="P156" i="44"/>
  <c r="D157" i="44"/>
  <c r="M157" i="44" s="1"/>
  <c r="D158" i="44"/>
  <c r="D159" i="44"/>
  <c r="P159" i="44"/>
  <c r="D160" i="44"/>
  <c r="D161" i="44"/>
  <c r="P161" i="44" s="1"/>
  <c r="D162" i="44"/>
  <c r="P162" i="44" s="1"/>
  <c r="N162" i="44"/>
  <c r="D163" i="44"/>
  <c r="D164" i="44"/>
  <c r="H164" i="44"/>
  <c r="P164" i="44"/>
  <c r="D165" i="44"/>
  <c r="D166" i="44"/>
  <c r="H166" i="44"/>
  <c r="G166" i="44"/>
  <c r="D167" i="44"/>
  <c r="M167" i="44" s="1"/>
  <c r="D168" i="44"/>
  <c r="G168" i="44"/>
  <c r="D169" i="44"/>
  <c r="D170" i="44"/>
  <c r="G170" i="44" s="1"/>
  <c r="D171" i="44"/>
  <c r="I171" i="44" s="1"/>
  <c r="G171" i="44"/>
  <c r="L171" i="44"/>
  <c r="M171" i="44"/>
  <c r="Q171" i="44"/>
  <c r="D172" i="44"/>
  <c r="G172" i="44" s="1"/>
  <c r="D173" i="44"/>
  <c r="S173" i="44"/>
  <c r="D174" i="44"/>
  <c r="D175" i="44"/>
  <c r="M175" i="44" s="1"/>
  <c r="D176" i="44"/>
  <c r="H176" i="44" s="1"/>
  <c r="D177" i="44"/>
  <c r="Q177" i="44" s="1"/>
  <c r="D178" i="44"/>
  <c r="G178" i="44" s="1"/>
  <c r="D179" i="44"/>
  <c r="D180" i="44"/>
  <c r="D181" i="44"/>
  <c r="D182" i="44"/>
  <c r="S182" i="44" s="1"/>
  <c r="D183" i="44"/>
  <c r="H183" i="44" s="1"/>
  <c r="D184" i="44"/>
  <c r="R184" i="44" s="1"/>
  <c r="D185" i="44"/>
  <c r="D186" i="44"/>
  <c r="D187" i="44"/>
  <c r="I187" i="44" s="1"/>
  <c r="D188" i="44"/>
  <c r="H188" i="44" s="1"/>
  <c r="D189" i="44"/>
  <c r="O189" i="44" s="1"/>
  <c r="D190" i="44"/>
  <c r="P190" i="44" s="1"/>
  <c r="G190" i="44"/>
  <c r="H190" i="44"/>
  <c r="Q190" i="44"/>
  <c r="R190" i="44"/>
  <c r="D191" i="44"/>
  <c r="D192" i="44"/>
  <c r="L192" i="44" s="1"/>
  <c r="D193" i="44"/>
  <c r="K193" i="44" s="1"/>
  <c r="D194" i="44"/>
  <c r="D195" i="44"/>
  <c r="D196" i="44"/>
  <c r="P196" i="44" s="1"/>
  <c r="D197" i="44"/>
  <c r="J197" i="44"/>
  <c r="D198" i="44"/>
  <c r="N198" i="44" s="1"/>
  <c r="D199" i="44"/>
  <c r="K199" i="44" s="1"/>
  <c r="D200" i="44"/>
  <c r="J200" i="44" s="1"/>
  <c r="D201" i="44"/>
  <c r="S201" i="44" s="1"/>
  <c r="D202" i="44"/>
  <c r="N202" i="44" s="1"/>
  <c r="D203" i="44"/>
  <c r="D204" i="44"/>
  <c r="P204" i="44" s="1"/>
  <c r="J204" i="44"/>
  <c r="E1" i="43"/>
  <c r="A4" i="43" s="1"/>
  <c r="F1" i="43"/>
  <c r="D5" i="43"/>
  <c r="D6" i="43"/>
  <c r="L6" i="43" s="1"/>
  <c r="D7" i="43"/>
  <c r="D8" i="43"/>
  <c r="D9" i="43"/>
  <c r="J9" i="43" s="1"/>
  <c r="D10" i="43"/>
  <c r="D11" i="43"/>
  <c r="D12" i="43"/>
  <c r="H12" i="43" s="1"/>
  <c r="R12" i="43"/>
  <c r="D13" i="43"/>
  <c r="D14" i="43"/>
  <c r="D15" i="43"/>
  <c r="R15" i="43" s="1"/>
  <c r="D16" i="43"/>
  <c r="R16" i="43" s="1"/>
  <c r="D17" i="43"/>
  <c r="D18" i="43"/>
  <c r="P18" i="43" s="1"/>
  <c r="G18" i="43"/>
  <c r="D19" i="43"/>
  <c r="L19" i="43" s="1"/>
  <c r="D20" i="43"/>
  <c r="D21" i="43"/>
  <c r="P21" i="43" s="1"/>
  <c r="D22" i="43"/>
  <c r="J22" i="43"/>
  <c r="D23" i="43"/>
  <c r="O23" i="43"/>
  <c r="D24" i="43"/>
  <c r="O24" i="43" s="1"/>
  <c r="D25" i="43"/>
  <c r="L25" i="43" s="1"/>
  <c r="D26" i="43"/>
  <c r="D27" i="43"/>
  <c r="D28" i="43"/>
  <c r="D29" i="43"/>
  <c r="Q29" i="43" s="1"/>
  <c r="D30" i="43"/>
  <c r="D31" i="43"/>
  <c r="I31" i="43" s="1"/>
  <c r="G31" i="43"/>
  <c r="H31" i="43"/>
  <c r="J31" i="43"/>
  <c r="L31" i="43"/>
  <c r="M31" i="43"/>
  <c r="N31" i="43"/>
  <c r="O31" i="43"/>
  <c r="P31" i="43"/>
  <c r="Q31" i="43"/>
  <c r="R31" i="43"/>
  <c r="D32" i="43"/>
  <c r="D33" i="43"/>
  <c r="I33" i="43" s="1"/>
  <c r="D34" i="43"/>
  <c r="D35" i="43"/>
  <c r="I35" i="43" s="1"/>
  <c r="D36" i="43"/>
  <c r="Q36" i="43" s="1"/>
  <c r="G36" i="43"/>
  <c r="D37" i="43"/>
  <c r="D38" i="43"/>
  <c r="O38" i="43" s="1"/>
  <c r="G38" i="43"/>
  <c r="D39" i="43"/>
  <c r="D40" i="43"/>
  <c r="G40" i="43" s="1"/>
  <c r="R40" i="43"/>
  <c r="D41" i="43"/>
  <c r="D42" i="43"/>
  <c r="D43" i="43"/>
  <c r="D44" i="43"/>
  <c r="N44" i="43" s="1"/>
  <c r="Q44" i="43"/>
  <c r="D45" i="43"/>
  <c r="D46" i="43"/>
  <c r="D47" i="43"/>
  <c r="D48" i="43"/>
  <c r="N48" i="43"/>
  <c r="D49" i="43"/>
  <c r="K49" i="43" s="1"/>
  <c r="D50" i="43"/>
  <c r="G50" i="43"/>
  <c r="D51" i="43"/>
  <c r="D52" i="43"/>
  <c r="H52" i="43" s="1"/>
  <c r="D53" i="43"/>
  <c r="J53" i="43" s="1"/>
  <c r="K53" i="43"/>
  <c r="D54" i="43"/>
  <c r="H54" i="43" s="1"/>
  <c r="D55" i="43"/>
  <c r="R55" i="43" s="1"/>
  <c r="O55" i="43"/>
  <c r="D56" i="43"/>
  <c r="H56" i="43"/>
  <c r="D57" i="43"/>
  <c r="P57" i="43" s="1"/>
  <c r="D58" i="43"/>
  <c r="D59" i="43"/>
  <c r="D60" i="43"/>
  <c r="D61" i="43"/>
  <c r="D62" i="43"/>
  <c r="D63" i="43"/>
  <c r="D64" i="43"/>
  <c r="D65" i="43"/>
  <c r="P65" i="43" s="1"/>
  <c r="D66" i="43"/>
  <c r="K66" i="43" s="1"/>
  <c r="D67" i="43"/>
  <c r="N67" i="43" s="1"/>
  <c r="H67" i="43"/>
  <c r="D68" i="43"/>
  <c r="G68" i="43" s="1"/>
  <c r="D69" i="43"/>
  <c r="M69" i="43"/>
  <c r="N69" i="43"/>
  <c r="D70" i="43"/>
  <c r="O70" i="43" s="1"/>
  <c r="L70" i="43"/>
  <c r="M70" i="43"/>
  <c r="R70" i="43"/>
  <c r="D71" i="43"/>
  <c r="N71" i="43" s="1"/>
  <c r="D72" i="43"/>
  <c r="D73" i="43"/>
  <c r="D74" i="43"/>
  <c r="D75" i="43"/>
  <c r="P75" i="43"/>
  <c r="D76" i="43"/>
  <c r="O76" i="43" s="1"/>
  <c r="D77" i="43"/>
  <c r="K77" i="43" s="1"/>
  <c r="D78" i="43"/>
  <c r="M78" i="43" s="1"/>
  <c r="D79" i="43"/>
  <c r="Q79" i="43" s="1"/>
  <c r="H79" i="43"/>
  <c r="D80" i="43"/>
  <c r="Q80" i="43"/>
  <c r="D81" i="43"/>
  <c r="D82" i="43"/>
  <c r="R82" i="43"/>
  <c r="D83" i="43"/>
  <c r="D84" i="43"/>
  <c r="D85" i="43"/>
  <c r="R85" i="43" s="1"/>
  <c r="D86" i="43"/>
  <c r="D87" i="43"/>
  <c r="D88" i="43"/>
  <c r="G88" i="43" s="1"/>
  <c r="D89" i="43"/>
  <c r="N89" i="43" s="1"/>
  <c r="M89" i="43"/>
  <c r="D90" i="43"/>
  <c r="D91" i="43"/>
  <c r="D92" i="43"/>
  <c r="D93" i="43"/>
  <c r="H93" i="43"/>
  <c r="R93" i="43"/>
  <c r="D94" i="43"/>
  <c r="S94" i="43"/>
  <c r="D95" i="43"/>
  <c r="M95" i="43" s="1"/>
  <c r="H95" i="43"/>
  <c r="J95" i="43"/>
  <c r="D96" i="43"/>
  <c r="N96" i="43" s="1"/>
  <c r="D97" i="43"/>
  <c r="S97" i="43" s="1"/>
  <c r="I97" i="43"/>
  <c r="D98" i="43"/>
  <c r="D99" i="43"/>
  <c r="D100" i="43"/>
  <c r="D101" i="43"/>
  <c r="D102" i="43"/>
  <c r="D103" i="43"/>
  <c r="D104" i="43"/>
  <c r="D105" i="43"/>
  <c r="S105" i="43" s="1"/>
  <c r="D106" i="43"/>
  <c r="O106" i="43" s="1"/>
  <c r="D107" i="43"/>
  <c r="G107" i="43"/>
  <c r="D108" i="43"/>
  <c r="J108" i="43" s="1"/>
  <c r="D109" i="43"/>
  <c r="N109" i="43"/>
  <c r="I109" i="43"/>
  <c r="D110" i="43"/>
  <c r="J110" i="43" s="1"/>
  <c r="K110" i="43"/>
  <c r="O110" i="43"/>
  <c r="D111" i="43"/>
  <c r="H111" i="43" s="1"/>
  <c r="D112" i="43"/>
  <c r="N112" i="43" s="1"/>
  <c r="G112" i="43"/>
  <c r="L112" i="43"/>
  <c r="S112" i="43"/>
  <c r="D113" i="43"/>
  <c r="M113" i="43" s="1"/>
  <c r="H113" i="43"/>
  <c r="D114" i="43"/>
  <c r="R114" i="43" s="1"/>
  <c r="G114" i="43"/>
  <c r="D115" i="43"/>
  <c r="M115" i="43"/>
  <c r="D116" i="43"/>
  <c r="D117" i="43"/>
  <c r="D118" i="43"/>
  <c r="K118" i="43" s="1"/>
  <c r="L118" i="43"/>
  <c r="D119" i="43"/>
  <c r="O119" i="43"/>
  <c r="D120" i="43"/>
  <c r="O120" i="43" s="1"/>
  <c r="J120" i="43"/>
  <c r="S120" i="43"/>
  <c r="D121" i="43"/>
  <c r="D122" i="43"/>
  <c r="D123" i="43"/>
  <c r="J123" i="43"/>
  <c r="L123" i="43"/>
  <c r="D124" i="43"/>
  <c r="J124" i="43"/>
  <c r="G124" i="43"/>
  <c r="D125" i="43"/>
  <c r="Q125" i="43" s="1"/>
  <c r="D126" i="43"/>
  <c r="D127" i="43"/>
  <c r="H127" i="43"/>
  <c r="D128" i="43"/>
  <c r="H128" i="43" s="1"/>
  <c r="D129" i="43"/>
  <c r="I129" i="43" s="1"/>
  <c r="L129" i="43"/>
  <c r="H129" i="43"/>
  <c r="K129" i="43"/>
  <c r="Q129" i="43"/>
  <c r="R129" i="43"/>
  <c r="D130" i="43"/>
  <c r="N130" i="43"/>
  <c r="D131" i="43"/>
  <c r="D132" i="43"/>
  <c r="D133" i="43"/>
  <c r="D134" i="43"/>
  <c r="O134" i="43" s="1"/>
  <c r="D135" i="43"/>
  <c r="D136" i="43"/>
  <c r="P136" i="43" s="1"/>
  <c r="O136" i="43"/>
  <c r="D137" i="43"/>
  <c r="D138" i="43"/>
  <c r="D139" i="43"/>
  <c r="P139" i="43" s="1"/>
  <c r="D140" i="43"/>
  <c r="D141" i="43"/>
  <c r="S141" i="43" s="1"/>
  <c r="D142" i="43"/>
  <c r="L142" i="43"/>
  <c r="D143" i="43"/>
  <c r="I143" i="43"/>
  <c r="D144" i="43"/>
  <c r="D145" i="43"/>
  <c r="N145" i="43" s="1"/>
  <c r="I145" i="43"/>
  <c r="M145" i="43"/>
  <c r="R145" i="43"/>
  <c r="D146" i="43"/>
  <c r="M146" i="43" s="1"/>
  <c r="D147" i="43"/>
  <c r="D148" i="43"/>
  <c r="S148" i="43" s="1"/>
  <c r="P148" i="43"/>
  <c r="D149" i="43"/>
  <c r="D150" i="43"/>
  <c r="S150" i="43"/>
  <c r="D151" i="43"/>
  <c r="D152" i="43"/>
  <c r="D153" i="43"/>
  <c r="D154" i="43"/>
  <c r="D155" i="43"/>
  <c r="O155" i="43" s="1"/>
  <c r="D156" i="43"/>
  <c r="H156" i="43" s="1"/>
  <c r="G156" i="43"/>
  <c r="D157" i="43"/>
  <c r="I157" i="43" s="1"/>
  <c r="H157" i="43"/>
  <c r="K157" i="43"/>
  <c r="M157" i="43"/>
  <c r="R157" i="43"/>
  <c r="S157" i="43"/>
  <c r="D158" i="43"/>
  <c r="G158" i="43" s="1"/>
  <c r="D159" i="43"/>
  <c r="P159" i="43"/>
  <c r="D160" i="43"/>
  <c r="D161" i="43"/>
  <c r="Q161" i="43" s="1"/>
  <c r="I161" i="43"/>
  <c r="D162" i="43"/>
  <c r="G162" i="43" s="1"/>
  <c r="D163" i="43"/>
  <c r="D164" i="43"/>
  <c r="D165" i="43"/>
  <c r="D166" i="43"/>
  <c r="O166" i="43" s="1"/>
  <c r="D167" i="43"/>
  <c r="D168" i="43"/>
  <c r="G168" i="43" s="1"/>
  <c r="K168" i="43"/>
  <c r="D169" i="43"/>
  <c r="D170" i="43"/>
  <c r="L170" i="43" s="1"/>
  <c r="K170" i="43"/>
  <c r="O170" i="43"/>
  <c r="D171" i="43"/>
  <c r="D172" i="43"/>
  <c r="K172" i="43" s="1"/>
  <c r="O172" i="43"/>
  <c r="D173" i="43"/>
  <c r="D174" i="43"/>
  <c r="D175" i="43"/>
  <c r="G175" i="43" s="1"/>
  <c r="D176" i="43"/>
  <c r="K176" i="43" s="1"/>
  <c r="D177" i="43"/>
  <c r="D178" i="43"/>
  <c r="R178" i="43"/>
  <c r="D179" i="43"/>
  <c r="M179" i="43" s="1"/>
  <c r="D180" i="43"/>
  <c r="I180" i="43" s="1"/>
  <c r="D181" i="43"/>
  <c r="H181" i="43"/>
  <c r="D182" i="43"/>
  <c r="S182" i="43" s="1"/>
  <c r="D183" i="43"/>
  <c r="O183" i="43" s="1"/>
  <c r="D184" i="43"/>
  <c r="P184" i="43" s="1"/>
  <c r="D185" i="43"/>
  <c r="D186" i="43"/>
  <c r="D187" i="43"/>
  <c r="D188" i="43"/>
  <c r="H188" i="43" s="1"/>
  <c r="D189" i="43"/>
  <c r="S189" i="43" s="1"/>
  <c r="D190" i="43"/>
  <c r="D191" i="43"/>
  <c r="M191" i="43" s="1"/>
  <c r="L191" i="43"/>
  <c r="D192" i="43"/>
  <c r="D193" i="43"/>
  <c r="D194" i="43"/>
  <c r="M194" i="43" s="1"/>
  <c r="D195" i="43"/>
  <c r="G195" i="43" s="1"/>
  <c r="M195" i="43"/>
  <c r="D196" i="43"/>
  <c r="H196" i="43" s="1"/>
  <c r="D197" i="43"/>
  <c r="D198" i="43"/>
  <c r="G198" i="43" s="1"/>
  <c r="D199" i="43"/>
  <c r="D200" i="43"/>
  <c r="D201" i="43"/>
  <c r="H201" i="43" s="1"/>
  <c r="G201" i="43"/>
  <c r="I201" i="43"/>
  <c r="K201" i="43"/>
  <c r="M201" i="43"/>
  <c r="N201" i="43"/>
  <c r="R201" i="43"/>
  <c r="S201" i="43"/>
  <c r="D202" i="43"/>
  <c r="D203" i="43"/>
  <c r="P203" i="43" s="1"/>
  <c r="D204" i="43"/>
  <c r="K204" i="43"/>
  <c r="E1" i="42"/>
  <c r="A4" i="42" s="1"/>
  <c r="F1" i="42"/>
  <c r="D5" i="42"/>
  <c r="H5" i="42" s="1"/>
  <c r="D6" i="42"/>
  <c r="H6" i="42" s="1"/>
  <c r="N6" i="42"/>
  <c r="D7" i="42"/>
  <c r="D8" i="42"/>
  <c r="D9" i="42"/>
  <c r="P9" i="42" s="1"/>
  <c r="H9" i="42"/>
  <c r="D10" i="42"/>
  <c r="D11" i="42"/>
  <c r="H11" i="42" s="1"/>
  <c r="L11" i="42"/>
  <c r="D12" i="42"/>
  <c r="D13" i="42"/>
  <c r="R13" i="42" s="1"/>
  <c r="L13" i="42"/>
  <c r="D14" i="42"/>
  <c r="J14" i="42" s="1"/>
  <c r="D15" i="42"/>
  <c r="D16" i="42"/>
  <c r="M16" i="42" s="1"/>
  <c r="L16" i="42"/>
  <c r="N16" i="42"/>
  <c r="Q16" i="42"/>
  <c r="D17" i="42"/>
  <c r="R17" i="42" s="1"/>
  <c r="D18" i="42"/>
  <c r="L18" i="42" s="1"/>
  <c r="Q18" i="42"/>
  <c r="D19" i="42"/>
  <c r="D20" i="42"/>
  <c r="G20" i="42" s="1"/>
  <c r="D21" i="42"/>
  <c r="K21" i="42" s="1"/>
  <c r="N21" i="42"/>
  <c r="D22" i="42"/>
  <c r="N22" i="42"/>
  <c r="D23" i="42"/>
  <c r="G23" i="42" s="1"/>
  <c r="D24" i="42"/>
  <c r="O24" i="42" s="1"/>
  <c r="D25" i="42"/>
  <c r="G25" i="42" s="1"/>
  <c r="J25" i="42"/>
  <c r="D26" i="42"/>
  <c r="K26" i="42" s="1"/>
  <c r="N26" i="42"/>
  <c r="S26" i="42"/>
  <c r="D27" i="42"/>
  <c r="G27" i="42" s="1"/>
  <c r="L27" i="42"/>
  <c r="M27" i="42"/>
  <c r="S27" i="42"/>
  <c r="D28" i="42"/>
  <c r="G28" i="42" s="1"/>
  <c r="D29" i="42"/>
  <c r="N29" i="42"/>
  <c r="D30" i="42"/>
  <c r="H30" i="42" s="1"/>
  <c r="D31" i="42"/>
  <c r="K31" i="42" s="1"/>
  <c r="D32" i="42"/>
  <c r="N32" i="42" s="1"/>
  <c r="G32" i="42"/>
  <c r="D33" i="42"/>
  <c r="I33" i="42" s="1"/>
  <c r="D34" i="42"/>
  <c r="K34" i="42"/>
  <c r="D35" i="42"/>
  <c r="G35" i="42" s="1"/>
  <c r="D36" i="42"/>
  <c r="G36" i="42" s="1"/>
  <c r="H36" i="42"/>
  <c r="K36" i="42"/>
  <c r="M36" i="42"/>
  <c r="O36" i="42"/>
  <c r="S36" i="42"/>
  <c r="D37" i="42"/>
  <c r="D38" i="42"/>
  <c r="D39" i="42"/>
  <c r="Q39" i="42" s="1"/>
  <c r="D40" i="42"/>
  <c r="P40" i="42" s="1"/>
  <c r="D41" i="42"/>
  <c r="N41" i="42"/>
  <c r="D42" i="42"/>
  <c r="D43" i="42"/>
  <c r="I43" i="42" s="1"/>
  <c r="D44" i="42"/>
  <c r="G44" i="42" s="1"/>
  <c r="K44" i="42"/>
  <c r="D45" i="42"/>
  <c r="D46" i="42"/>
  <c r="N46" i="42" s="1"/>
  <c r="J46" i="42"/>
  <c r="R46" i="42"/>
  <c r="D47" i="42"/>
  <c r="D48" i="42"/>
  <c r="D49" i="42"/>
  <c r="D50" i="42"/>
  <c r="D51" i="42"/>
  <c r="G51" i="42" s="1"/>
  <c r="I51" i="42"/>
  <c r="K51" i="42"/>
  <c r="M51" i="42"/>
  <c r="O51" i="42"/>
  <c r="D52" i="42"/>
  <c r="D53" i="42"/>
  <c r="I53" i="42" s="1"/>
  <c r="L53" i="42"/>
  <c r="O53" i="42"/>
  <c r="R53" i="42"/>
  <c r="D54" i="42"/>
  <c r="O54" i="42"/>
  <c r="D55" i="42"/>
  <c r="O55" i="42" s="1"/>
  <c r="N55" i="42"/>
  <c r="D56" i="42"/>
  <c r="K56" i="42" s="1"/>
  <c r="O56" i="42"/>
  <c r="D57" i="42"/>
  <c r="G57" i="42" s="1"/>
  <c r="D58" i="42"/>
  <c r="D59" i="42"/>
  <c r="D60" i="42"/>
  <c r="I60" i="42" s="1"/>
  <c r="D61" i="42"/>
  <c r="D62" i="42"/>
  <c r="H62" i="42" s="1"/>
  <c r="K62" i="42"/>
  <c r="S62" i="42"/>
  <c r="D63" i="42"/>
  <c r="J63" i="42" s="1"/>
  <c r="K63" i="42"/>
  <c r="D64" i="42"/>
  <c r="L64" i="42" s="1"/>
  <c r="O64" i="42"/>
  <c r="D65" i="42"/>
  <c r="D66" i="42"/>
  <c r="K66" i="42" s="1"/>
  <c r="J66" i="42"/>
  <c r="R66" i="42"/>
  <c r="D67" i="42"/>
  <c r="G67" i="42" s="1"/>
  <c r="D68" i="42"/>
  <c r="G68" i="42" s="1"/>
  <c r="H68" i="42"/>
  <c r="I68" i="42"/>
  <c r="O68" i="42"/>
  <c r="P68" i="42"/>
  <c r="S68" i="42"/>
  <c r="D69" i="42"/>
  <c r="O69" i="42" s="1"/>
  <c r="D70" i="42"/>
  <c r="K70" i="42"/>
  <c r="S70" i="42"/>
  <c r="D71" i="42"/>
  <c r="K71" i="42" s="1"/>
  <c r="D72" i="42"/>
  <c r="P72" i="42" s="1"/>
  <c r="D73" i="42"/>
  <c r="I73" i="42" s="1"/>
  <c r="O73" i="42"/>
  <c r="D74" i="42"/>
  <c r="K74" i="42" s="1"/>
  <c r="L74" i="42"/>
  <c r="O74" i="42"/>
  <c r="D75" i="42"/>
  <c r="G75" i="42" s="1"/>
  <c r="D76" i="42"/>
  <c r="M76" i="42" s="1"/>
  <c r="D77" i="42"/>
  <c r="J77" i="42" s="1"/>
  <c r="D78" i="42"/>
  <c r="D79" i="42"/>
  <c r="J79" i="42" s="1"/>
  <c r="L79" i="42"/>
  <c r="N79" i="42"/>
  <c r="D80" i="42"/>
  <c r="H80" i="42" s="1"/>
  <c r="D81" i="42"/>
  <c r="H81" i="42" s="1"/>
  <c r="D82" i="42"/>
  <c r="D83" i="42"/>
  <c r="D84" i="42"/>
  <c r="R84" i="42" s="1"/>
  <c r="D85" i="42"/>
  <c r="R85" i="42" s="1"/>
  <c r="D86" i="42"/>
  <c r="D87" i="42"/>
  <c r="D88" i="42"/>
  <c r="D89" i="42"/>
  <c r="L89" i="42"/>
  <c r="D90" i="42"/>
  <c r="D91" i="42"/>
  <c r="R91" i="42" s="1"/>
  <c r="D92" i="42"/>
  <c r="H92" i="42" s="1"/>
  <c r="D93" i="42"/>
  <c r="R93" i="42" s="1"/>
  <c r="D94" i="42"/>
  <c r="D95" i="42"/>
  <c r="J95" i="42" s="1"/>
  <c r="D96" i="42"/>
  <c r="L96" i="42" s="1"/>
  <c r="D97" i="42"/>
  <c r="J97" i="42" s="1"/>
  <c r="D98" i="42"/>
  <c r="L98" i="42" s="1"/>
  <c r="N98" i="42"/>
  <c r="D99" i="42"/>
  <c r="D100" i="42"/>
  <c r="D101" i="42"/>
  <c r="D102" i="42"/>
  <c r="D103" i="42"/>
  <c r="J103" i="42" s="1"/>
  <c r="D104" i="42"/>
  <c r="P104" i="42" s="1"/>
  <c r="D105" i="42"/>
  <c r="D106" i="42"/>
  <c r="H106" i="42"/>
  <c r="J106" i="42"/>
  <c r="L106" i="42"/>
  <c r="P106" i="42"/>
  <c r="D107" i="42"/>
  <c r="R107" i="42" s="1"/>
  <c r="D108" i="42"/>
  <c r="J108" i="42" s="1"/>
  <c r="D109" i="42"/>
  <c r="R109" i="42" s="1"/>
  <c r="D110" i="42"/>
  <c r="J110" i="42" s="1"/>
  <c r="D111" i="42"/>
  <c r="R111" i="42" s="1"/>
  <c r="D112" i="42"/>
  <c r="D113" i="42"/>
  <c r="H113" i="42" s="1"/>
  <c r="D114" i="42"/>
  <c r="L114" i="42" s="1"/>
  <c r="D115" i="42"/>
  <c r="H115" i="42" s="1"/>
  <c r="D116" i="42"/>
  <c r="D117" i="42"/>
  <c r="D118" i="42"/>
  <c r="M118" i="42" s="1"/>
  <c r="K118" i="42"/>
  <c r="D119" i="42"/>
  <c r="L119" i="42" s="1"/>
  <c r="N119" i="42"/>
  <c r="D120" i="42"/>
  <c r="H120" i="42" s="1"/>
  <c r="D121" i="42"/>
  <c r="L121" i="42" s="1"/>
  <c r="D122" i="42"/>
  <c r="R122" i="42"/>
  <c r="D123" i="42"/>
  <c r="J123" i="42" s="1"/>
  <c r="D124" i="42"/>
  <c r="S124" i="42" s="1"/>
  <c r="D125" i="42"/>
  <c r="N125" i="42" s="1"/>
  <c r="I125" i="42"/>
  <c r="R125" i="42"/>
  <c r="D126" i="42"/>
  <c r="G126" i="42"/>
  <c r="D127" i="42"/>
  <c r="I127" i="42" s="1"/>
  <c r="D128" i="42"/>
  <c r="H128" i="42" s="1"/>
  <c r="D129" i="42"/>
  <c r="H129" i="42" s="1"/>
  <c r="N129" i="42"/>
  <c r="D130" i="42"/>
  <c r="I130" i="42" s="1"/>
  <c r="M130" i="42"/>
  <c r="D131" i="42"/>
  <c r="D132" i="42"/>
  <c r="D133" i="42"/>
  <c r="N133" i="42" s="1"/>
  <c r="D134" i="42"/>
  <c r="J134" i="42" s="1"/>
  <c r="H134" i="42"/>
  <c r="O134" i="42"/>
  <c r="D135" i="42"/>
  <c r="K135" i="42" s="1"/>
  <c r="D136" i="42"/>
  <c r="H136" i="42" s="1"/>
  <c r="D137" i="42"/>
  <c r="J137" i="42" s="1"/>
  <c r="Q137" i="42"/>
  <c r="D138" i="42"/>
  <c r="G138" i="42" s="1"/>
  <c r="I138" i="42"/>
  <c r="P138" i="42"/>
  <c r="Q138" i="42"/>
  <c r="D139" i="42"/>
  <c r="D140" i="42"/>
  <c r="D141" i="42"/>
  <c r="H141" i="42" s="1"/>
  <c r="G141" i="42"/>
  <c r="P141" i="42"/>
  <c r="D142" i="42"/>
  <c r="D143" i="42"/>
  <c r="D144" i="42"/>
  <c r="H144" i="42" s="1"/>
  <c r="D145" i="42"/>
  <c r="D146" i="42"/>
  <c r="Q146" i="42" s="1"/>
  <c r="D147" i="42"/>
  <c r="D148" i="42"/>
  <c r="G148" i="42" s="1"/>
  <c r="D149" i="42"/>
  <c r="D150" i="42"/>
  <c r="J150" i="42"/>
  <c r="P150" i="42"/>
  <c r="R150" i="42"/>
  <c r="D151" i="42"/>
  <c r="K151" i="42"/>
  <c r="L151" i="42"/>
  <c r="M151" i="42"/>
  <c r="N151" i="42"/>
  <c r="S151" i="42"/>
  <c r="D152" i="42"/>
  <c r="O152" i="42" s="1"/>
  <c r="D153" i="42"/>
  <c r="D154" i="42"/>
  <c r="P154" i="42"/>
  <c r="D155" i="42"/>
  <c r="K155" i="42"/>
  <c r="D156" i="42"/>
  <c r="D157" i="42"/>
  <c r="G157" i="42" s="1"/>
  <c r="D158" i="42"/>
  <c r="J158" i="42" s="1"/>
  <c r="D159" i="42"/>
  <c r="D160" i="42"/>
  <c r="M160" i="42" s="1"/>
  <c r="D161" i="42"/>
  <c r="D162" i="42"/>
  <c r="I162" i="42" s="1"/>
  <c r="N162" i="42"/>
  <c r="D163" i="42"/>
  <c r="N163" i="42" s="1"/>
  <c r="D164" i="42"/>
  <c r="G164" i="42" s="1"/>
  <c r="D165" i="42"/>
  <c r="J165" i="42"/>
  <c r="D166" i="42"/>
  <c r="D167" i="42"/>
  <c r="J167" i="42" s="1"/>
  <c r="D168" i="42"/>
  <c r="H168" i="42" s="1"/>
  <c r="G168" i="42"/>
  <c r="D169" i="42"/>
  <c r="G169" i="42" s="1"/>
  <c r="R169" i="42"/>
  <c r="D170" i="42"/>
  <c r="D171" i="42"/>
  <c r="K171" i="42" s="1"/>
  <c r="D172" i="42"/>
  <c r="D173" i="42"/>
  <c r="Q173" i="42" s="1"/>
  <c r="R173" i="42"/>
  <c r="D174" i="42"/>
  <c r="M174" i="42"/>
  <c r="D175" i="42"/>
  <c r="J175" i="42" s="1"/>
  <c r="D176" i="42"/>
  <c r="H176" i="42" s="1"/>
  <c r="G176" i="42"/>
  <c r="D177" i="42"/>
  <c r="D178" i="42"/>
  <c r="I178" i="42" s="1"/>
  <c r="K178" i="42"/>
  <c r="D179" i="42"/>
  <c r="D180" i="42"/>
  <c r="G180" i="42" s="1"/>
  <c r="D181" i="42"/>
  <c r="Q181" i="42" s="1"/>
  <c r="D182" i="42"/>
  <c r="J182" i="42" s="1"/>
  <c r="P182" i="42"/>
  <c r="D183" i="42"/>
  <c r="J183" i="42" s="1"/>
  <c r="D184" i="42"/>
  <c r="D185" i="42"/>
  <c r="D186" i="42"/>
  <c r="D187" i="42"/>
  <c r="K187" i="42" s="1"/>
  <c r="J187" i="42"/>
  <c r="D188" i="42"/>
  <c r="G188" i="42" s="1"/>
  <c r="D189" i="42"/>
  <c r="D190" i="42"/>
  <c r="M190" i="42" s="1"/>
  <c r="H190" i="42"/>
  <c r="D191" i="42"/>
  <c r="D192" i="42"/>
  <c r="D193" i="42"/>
  <c r="G193" i="42"/>
  <c r="D194" i="42"/>
  <c r="G194" i="42" s="1"/>
  <c r="M194" i="42"/>
  <c r="D195" i="42"/>
  <c r="K195" i="42" s="1"/>
  <c r="D196" i="42"/>
  <c r="G196" i="42"/>
  <c r="D197" i="42"/>
  <c r="G197" i="42" s="1"/>
  <c r="D198" i="42"/>
  <c r="O198" i="42" s="1"/>
  <c r="G198" i="42"/>
  <c r="D199" i="42"/>
  <c r="J199" i="42" s="1"/>
  <c r="D200" i="42"/>
  <c r="D201" i="42"/>
  <c r="D202" i="42"/>
  <c r="D203" i="42"/>
  <c r="J203" i="42" s="1"/>
  <c r="D204" i="42"/>
  <c r="G204" i="42" s="1"/>
  <c r="E1" i="41"/>
  <c r="A4" i="41" s="1"/>
  <c r="F1" i="41"/>
  <c r="D5" i="41"/>
  <c r="H5" i="41" s="1"/>
  <c r="D6" i="41"/>
  <c r="J6" i="41" s="1"/>
  <c r="D7" i="41"/>
  <c r="D8" i="41"/>
  <c r="R8" i="41" s="1"/>
  <c r="D9" i="41"/>
  <c r="D10" i="41"/>
  <c r="D11" i="41"/>
  <c r="D12" i="41"/>
  <c r="J12" i="41" s="1"/>
  <c r="D13" i="41"/>
  <c r="H13" i="41" s="1"/>
  <c r="L13" i="41"/>
  <c r="D14" i="41"/>
  <c r="D15" i="41"/>
  <c r="D16" i="41"/>
  <c r="S16" i="41" s="1"/>
  <c r="D17" i="41"/>
  <c r="D18" i="41"/>
  <c r="D19" i="41"/>
  <c r="I19" i="41"/>
  <c r="N19" i="41"/>
  <c r="D20" i="41"/>
  <c r="D21" i="41"/>
  <c r="N21" i="41"/>
  <c r="G21" i="41"/>
  <c r="L21" i="41"/>
  <c r="M21" i="41"/>
  <c r="P21" i="41"/>
  <c r="D22" i="41"/>
  <c r="D23" i="41"/>
  <c r="P23" i="41" s="1"/>
  <c r="O23" i="41"/>
  <c r="D24" i="41"/>
  <c r="D25" i="41"/>
  <c r="O25" i="41" s="1"/>
  <c r="M25" i="41"/>
  <c r="D26" i="41"/>
  <c r="O26" i="41" s="1"/>
  <c r="D27" i="41"/>
  <c r="D28" i="41"/>
  <c r="S28" i="41" s="1"/>
  <c r="D29" i="41"/>
  <c r="D30" i="41"/>
  <c r="N30" i="41" s="1"/>
  <c r="D31" i="41"/>
  <c r="O31" i="41" s="1"/>
  <c r="G31" i="41"/>
  <c r="D32" i="41"/>
  <c r="K32" i="41" s="1"/>
  <c r="D33" i="41"/>
  <c r="D34" i="41"/>
  <c r="N34" i="41" s="1"/>
  <c r="O34" i="41"/>
  <c r="D35" i="41"/>
  <c r="D36" i="41"/>
  <c r="N36" i="41" s="1"/>
  <c r="D37" i="41"/>
  <c r="D38" i="41"/>
  <c r="I38" i="41" s="1"/>
  <c r="D39" i="41"/>
  <c r="D40" i="41"/>
  <c r="M40" i="41" s="1"/>
  <c r="D41" i="41"/>
  <c r="N41" i="41" s="1"/>
  <c r="D42" i="41"/>
  <c r="I42" i="41"/>
  <c r="D43" i="41"/>
  <c r="D44" i="41"/>
  <c r="D45" i="41"/>
  <c r="O45" i="41" s="1"/>
  <c r="D46" i="41"/>
  <c r="R46" i="41" s="1"/>
  <c r="D47" i="41"/>
  <c r="D48" i="41"/>
  <c r="D49" i="41"/>
  <c r="L49" i="41" s="1"/>
  <c r="D50" i="41"/>
  <c r="J50" i="41"/>
  <c r="D51" i="41"/>
  <c r="D52" i="41"/>
  <c r="D53" i="41"/>
  <c r="N53" i="41" s="1"/>
  <c r="H53" i="41"/>
  <c r="D54" i="41"/>
  <c r="N54" i="41" s="1"/>
  <c r="I54" i="41"/>
  <c r="D55" i="41"/>
  <c r="L55" i="41" s="1"/>
  <c r="D56" i="41"/>
  <c r="J56" i="41" s="1"/>
  <c r="D57" i="41"/>
  <c r="D58" i="41"/>
  <c r="H58" i="41"/>
  <c r="I58" i="41"/>
  <c r="O58" i="41"/>
  <c r="Q58" i="41"/>
  <c r="D59" i="41"/>
  <c r="K59" i="41" s="1"/>
  <c r="H59" i="41"/>
  <c r="D60" i="41"/>
  <c r="M60" i="41" s="1"/>
  <c r="D61" i="41"/>
  <c r="O61" i="41" s="1"/>
  <c r="M61" i="41"/>
  <c r="D62" i="41"/>
  <c r="G62" i="41" s="1"/>
  <c r="D63" i="41"/>
  <c r="D64" i="41"/>
  <c r="N64" i="41" s="1"/>
  <c r="K64" i="41"/>
  <c r="S64" i="41"/>
  <c r="D65" i="41"/>
  <c r="D66" i="41"/>
  <c r="D67" i="41"/>
  <c r="H67" i="41"/>
  <c r="L67" i="41"/>
  <c r="D68" i="41"/>
  <c r="D69" i="41"/>
  <c r="L69" i="41" s="1"/>
  <c r="H69" i="41"/>
  <c r="M69" i="41"/>
  <c r="P69" i="41"/>
  <c r="D70" i="41"/>
  <c r="P70" i="41" s="1"/>
  <c r="D71" i="41"/>
  <c r="K71" i="41"/>
  <c r="D72" i="41"/>
  <c r="D73" i="41"/>
  <c r="O73" i="41" s="1"/>
  <c r="D74" i="41"/>
  <c r="D75" i="41"/>
  <c r="K75" i="41" s="1"/>
  <c r="G75" i="41"/>
  <c r="H75" i="41"/>
  <c r="L75" i="41"/>
  <c r="N75" i="41"/>
  <c r="P75" i="41"/>
  <c r="S75" i="41"/>
  <c r="D76" i="41"/>
  <c r="D77" i="41"/>
  <c r="O77" i="41" s="1"/>
  <c r="D78" i="41"/>
  <c r="P78" i="41"/>
  <c r="R78" i="41"/>
  <c r="D79" i="41"/>
  <c r="P79" i="41" s="1"/>
  <c r="D80" i="41"/>
  <c r="L80" i="41" s="1"/>
  <c r="K80" i="41"/>
  <c r="R80" i="41"/>
  <c r="D81" i="41"/>
  <c r="P81" i="41" s="1"/>
  <c r="D82" i="41"/>
  <c r="D83" i="41"/>
  <c r="P83" i="41" s="1"/>
  <c r="D84" i="41"/>
  <c r="D85" i="41"/>
  <c r="G85" i="41" s="1"/>
  <c r="N85" i="41"/>
  <c r="D86" i="41"/>
  <c r="N86" i="41" s="1"/>
  <c r="D87" i="41"/>
  <c r="D88" i="41"/>
  <c r="J88" i="41" s="1"/>
  <c r="D89" i="41"/>
  <c r="D90" i="41"/>
  <c r="D91" i="41"/>
  <c r="D92" i="41"/>
  <c r="N92" i="41" s="1"/>
  <c r="H92" i="41"/>
  <c r="D93" i="41"/>
  <c r="D94" i="41"/>
  <c r="J94" i="41"/>
  <c r="D95" i="41"/>
  <c r="H95" i="41" s="1"/>
  <c r="D96" i="41"/>
  <c r="H96" i="41" s="1"/>
  <c r="D97" i="41"/>
  <c r="G97" i="41" s="1"/>
  <c r="D98" i="41"/>
  <c r="D99" i="41"/>
  <c r="N99" i="41" s="1"/>
  <c r="D100" i="41"/>
  <c r="D101" i="41"/>
  <c r="H101" i="41" s="1"/>
  <c r="D102" i="41"/>
  <c r="D103" i="41"/>
  <c r="D104" i="41"/>
  <c r="D105" i="41"/>
  <c r="P105" i="41" s="1"/>
  <c r="R105" i="41"/>
  <c r="D106" i="41"/>
  <c r="D107" i="41"/>
  <c r="D108" i="41"/>
  <c r="D109" i="41"/>
  <c r="D110" i="41"/>
  <c r="D111" i="41"/>
  <c r="R111" i="41" s="1"/>
  <c r="D112" i="41"/>
  <c r="H112" i="41"/>
  <c r="D113" i="41"/>
  <c r="D114" i="41"/>
  <c r="D115" i="41"/>
  <c r="D116" i="41"/>
  <c r="J116" i="41" s="1"/>
  <c r="D117" i="41"/>
  <c r="D118" i="41"/>
  <c r="Q118" i="41"/>
  <c r="D119" i="41"/>
  <c r="M119" i="41" s="1"/>
  <c r="D120" i="41"/>
  <c r="M120" i="41"/>
  <c r="D121" i="41"/>
  <c r="I121" i="41" s="1"/>
  <c r="D122" i="41"/>
  <c r="D123" i="41"/>
  <c r="D124" i="41"/>
  <c r="D125" i="41"/>
  <c r="D126" i="41"/>
  <c r="D127" i="41"/>
  <c r="K127" i="41"/>
  <c r="M127" i="41"/>
  <c r="Q127" i="41"/>
  <c r="D128" i="41"/>
  <c r="H128" i="41"/>
  <c r="M128" i="41"/>
  <c r="S128" i="41"/>
  <c r="D129" i="41"/>
  <c r="D130" i="41"/>
  <c r="L130" i="41" s="1"/>
  <c r="Q130" i="41"/>
  <c r="D131" i="41"/>
  <c r="R131" i="41" s="1"/>
  <c r="D132" i="41"/>
  <c r="D133" i="41"/>
  <c r="Q133" i="41" s="1"/>
  <c r="D134" i="41"/>
  <c r="D135" i="41"/>
  <c r="S135" i="41" s="1"/>
  <c r="D136" i="41"/>
  <c r="N136" i="41"/>
  <c r="D137" i="41"/>
  <c r="D138" i="41"/>
  <c r="D139" i="41"/>
  <c r="D140" i="41"/>
  <c r="D141" i="41"/>
  <c r="G141" i="41" s="1"/>
  <c r="O141" i="41"/>
  <c r="Q141" i="41"/>
  <c r="D142" i="41"/>
  <c r="D143" i="41"/>
  <c r="D144" i="41"/>
  <c r="D145" i="41"/>
  <c r="H145" i="41"/>
  <c r="L145" i="41"/>
  <c r="N145" i="41"/>
  <c r="D146" i="41"/>
  <c r="G146" i="41" s="1"/>
  <c r="D147" i="41"/>
  <c r="D148" i="41"/>
  <c r="O148" i="41" s="1"/>
  <c r="P148" i="41"/>
  <c r="D149" i="41"/>
  <c r="R149" i="41"/>
  <c r="D150" i="41"/>
  <c r="D151" i="41"/>
  <c r="Q151" i="41" s="1"/>
  <c r="I151" i="41"/>
  <c r="D152" i="41"/>
  <c r="D153" i="41"/>
  <c r="D154" i="41"/>
  <c r="L154" i="41"/>
  <c r="D155" i="41"/>
  <c r="I155" i="41"/>
  <c r="S155" i="41"/>
  <c r="D156" i="41"/>
  <c r="N156" i="41" s="1"/>
  <c r="D157" i="41"/>
  <c r="R157" i="41" s="1"/>
  <c r="D158" i="41"/>
  <c r="D159" i="41"/>
  <c r="D160" i="41"/>
  <c r="S160" i="41" s="1"/>
  <c r="D161" i="41"/>
  <c r="D162" i="41"/>
  <c r="S162" i="41"/>
  <c r="D163" i="41"/>
  <c r="H163" i="41" s="1"/>
  <c r="D164" i="41"/>
  <c r="H164" i="41" s="1"/>
  <c r="G164" i="41"/>
  <c r="M164" i="41"/>
  <c r="R164" i="41"/>
  <c r="D165" i="41"/>
  <c r="G165" i="41" s="1"/>
  <c r="D166" i="41"/>
  <c r="D167" i="41"/>
  <c r="D168" i="41"/>
  <c r="M168" i="41"/>
  <c r="D169" i="41"/>
  <c r="G169" i="41" s="1"/>
  <c r="D170" i="41"/>
  <c r="O170" i="41" s="1"/>
  <c r="G170" i="41"/>
  <c r="D171" i="41"/>
  <c r="N171" i="41" s="1"/>
  <c r="D172" i="41"/>
  <c r="J172" i="41" s="1"/>
  <c r="D173" i="41"/>
  <c r="D174" i="41"/>
  <c r="G174" i="41" s="1"/>
  <c r="D175" i="41"/>
  <c r="D176" i="41"/>
  <c r="P176" i="41" s="1"/>
  <c r="D177" i="41"/>
  <c r="D178" i="41"/>
  <c r="R178" i="41" s="1"/>
  <c r="I178" i="41"/>
  <c r="D179" i="41"/>
  <c r="I179" i="41" s="1"/>
  <c r="D180" i="41"/>
  <c r="G180" i="41" s="1"/>
  <c r="D181" i="41"/>
  <c r="I181" i="41" s="1"/>
  <c r="O181" i="41"/>
  <c r="Q181" i="41"/>
  <c r="D182" i="41"/>
  <c r="D183" i="41"/>
  <c r="H183" i="41" s="1"/>
  <c r="I183" i="41"/>
  <c r="M183" i="41"/>
  <c r="Q183" i="41"/>
  <c r="D184" i="41"/>
  <c r="G184" i="41" s="1"/>
  <c r="M184" i="41"/>
  <c r="D185" i="41"/>
  <c r="D186" i="41"/>
  <c r="G186" i="41" s="1"/>
  <c r="D187" i="41"/>
  <c r="H187" i="41" s="1"/>
  <c r="D188" i="41"/>
  <c r="D189" i="41"/>
  <c r="Q189" i="41" s="1"/>
  <c r="D190" i="41"/>
  <c r="D191" i="41"/>
  <c r="J191" i="41" s="1"/>
  <c r="D192" i="41"/>
  <c r="N192" i="41" s="1"/>
  <c r="D193" i="41"/>
  <c r="D194" i="41"/>
  <c r="L194" i="41" s="1"/>
  <c r="D195" i="41"/>
  <c r="H195" i="41" s="1"/>
  <c r="D196" i="41"/>
  <c r="M196" i="41" s="1"/>
  <c r="D197" i="41"/>
  <c r="D198" i="41"/>
  <c r="I198" i="41" s="1"/>
  <c r="M198" i="41"/>
  <c r="J198" i="41"/>
  <c r="K198" i="41"/>
  <c r="L198" i="41"/>
  <c r="Q198" i="41"/>
  <c r="R198" i="41"/>
  <c r="D199" i="41"/>
  <c r="D200" i="41"/>
  <c r="R200" i="41" s="1"/>
  <c r="M200" i="41"/>
  <c r="D201" i="41"/>
  <c r="D202" i="41"/>
  <c r="D203" i="41"/>
  <c r="K203" i="41"/>
  <c r="D204" i="41"/>
  <c r="K204" i="41" s="1"/>
  <c r="E1" i="40"/>
  <c r="F1" i="40"/>
  <c r="D5" i="40"/>
  <c r="P5" i="40" s="1"/>
  <c r="D6" i="40"/>
  <c r="D7" i="40"/>
  <c r="H7" i="40" s="1"/>
  <c r="D8" i="40"/>
  <c r="D9" i="40"/>
  <c r="D10" i="40"/>
  <c r="D11" i="40"/>
  <c r="R11" i="40"/>
  <c r="D12" i="40"/>
  <c r="J12" i="40"/>
  <c r="D13" i="40"/>
  <c r="L13" i="40" s="1"/>
  <c r="D14" i="40"/>
  <c r="D15" i="40"/>
  <c r="H15" i="40"/>
  <c r="D16" i="40"/>
  <c r="P16" i="40"/>
  <c r="D17" i="40"/>
  <c r="S17" i="40" s="1"/>
  <c r="D18" i="40"/>
  <c r="D19" i="40"/>
  <c r="J19" i="40" s="1"/>
  <c r="I19" i="40"/>
  <c r="P19" i="40"/>
  <c r="D20" i="40"/>
  <c r="D21" i="40"/>
  <c r="D22" i="40"/>
  <c r="D23" i="40"/>
  <c r="L23" i="40" s="1"/>
  <c r="K23" i="40"/>
  <c r="D24" i="40"/>
  <c r="D25" i="40"/>
  <c r="O25" i="40"/>
  <c r="D26" i="40"/>
  <c r="D27" i="40"/>
  <c r="D28" i="40"/>
  <c r="D29" i="40"/>
  <c r="P29" i="40"/>
  <c r="D30" i="40"/>
  <c r="L30" i="40" s="1"/>
  <c r="O30" i="40"/>
  <c r="D31" i="40"/>
  <c r="J31" i="40"/>
  <c r="D32" i="40"/>
  <c r="H32" i="40" s="1"/>
  <c r="I32" i="40"/>
  <c r="J32" i="40"/>
  <c r="M32" i="40"/>
  <c r="N32" i="40"/>
  <c r="Q32" i="40"/>
  <c r="S32" i="40"/>
  <c r="D33" i="40"/>
  <c r="D34" i="40"/>
  <c r="G34" i="40" s="1"/>
  <c r="O34" i="40"/>
  <c r="J34" i="40"/>
  <c r="P34" i="40"/>
  <c r="R34" i="40"/>
  <c r="D35" i="40"/>
  <c r="P35" i="40" s="1"/>
  <c r="D36" i="40"/>
  <c r="I36" i="40" s="1"/>
  <c r="D37" i="40"/>
  <c r="D38" i="40"/>
  <c r="D39" i="40"/>
  <c r="H39" i="40" s="1"/>
  <c r="D40" i="40"/>
  <c r="I40" i="40" s="1"/>
  <c r="H40" i="40"/>
  <c r="R40" i="40"/>
  <c r="D41" i="40"/>
  <c r="G41" i="40"/>
  <c r="D42" i="40"/>
  <c r="D43" i="40"/>
  <c r="G43" i="40" s="1"/>
  <c r="D44" i="40"/>
  <c r="P44" i="40" s="1"/>
  <c r="D45" i="40"/>
  <c r="D46" i="40"/>
  <c r="G46" i="40" s="1"/>
  <c r="D47" i="40"/>
  <c r="D48" i="40"/>
  <c r="H48" i="40"/>
  <c r="D49" i="40"/>
  <c r="G49" i="40" s="1"/>
  <c r="D50" i="40"/>
  <c r="G50" i="40" s="1"/>
  <c r="D51" i="40"/>
  <c r="N51" i="40"/>
  <c r="D52" i="40"/>
  <c r="D53" i="40"/>
  <c r="D54" i="40"/>
  <c r="O54" i="40" s="1"/>
  <c r="D55" i="40"/>
  <c r="K55" i="40" s="1"/>
  <c r="J55" i="40"/>
  <c r="D56" i="40"/>
  <c r="D57" i="40"/>
  <c r="R57" i="40" s="1"/>
  <c r="G57" i="40"/>
  <c r="D58" i="40"/>
  <c r="G58" i="40" s="1"/>
  <c r="D59" i="40"/>
  <c r="J59" i="40" s="1"/>
  <c r="G59" i="40"/>
  <c r="H59" i="40"/>
  <c r="L59" i="40"/>
  <c r="O59" i="40"/>
  <c r="P59" i="40"/>
  <c r="D60" i="40"/>
  <c r="D61" i="40"/>
  <c r="R61" i="40" s="1"/>
  <c r="D62" i="40"/>
  <c r="J62" i="40" s="1"/>
  <c r="D63" i="40"/>
  <c r="H63" i="40" s="1"/>
  <c r="D64" i="40"/>
  <c r="K64" i="40" s="1"/>
  <c r="H64" i="40"/>
  <c r="D65" i="40"/>
  <c r="G65" i="40" s="1"/>
  <c r="H65" i="40"/>
  <c r="D66" i="40"/>
  <c r="G66" i="40" s="1"/>
  <c r="D67" i="40"/>
  <c r="G67" i="40" s="1"/>
  <c r="D68" i="40"/>
  <c r="L68" i="40" s="1"/>
  <c r="S68" i="40"/>
  <c r="D69" i="40"/>
  <c r="H69" i="40" s="1"/>
  <c r="D70" i="40"/>
  <c r="Q70" i="40" s="1"/>
  <c r="D71" i="40"/>
  <c r="D72" i="40"/>
  <c r="R72" i="40" s="1"/>
  <c r="H72" i="40"/>
  <c r="D73" i="40"/>
  <c r="M73" i="40" s="1"/>
  <c r="D74" i="40"/>
  <c r="D75" i="40"/>
  <c r="G75" i="40" s="1"/>
  <c r="D76" i="40"/>
  <c r="D77" i="40"/>
  <c r="L77" i="40" s="1"/>
  <c r="D78" i="40"/>
  <c r="D79" i="40"/>
  <c r="K79" i="40" s="1"/>
  <c r="L79" i="40"/>
  <c r="D80" i="40"/>
  <c r="D81" i="40"/>
  <c r="N81" i="40" s="1"/>
  <c r="M81" i="40"/>
  <c r="D82" i="40"/>
  <c r="G82" i="40" s="1"/>
  <c r="D83" i="40"/>
  <c r="G83" i="40" s="1"/>
  <c r="D84" i="40"/>
  <c r="D85" i="40"/>
  <c r="H85" i="40" s="1"/>
  <c r="J85" i="40"/>
  <c r="D86" i="40"/>
  <c r="G86" i="40" s="1"/>
  <c r="D87" i="40"/>
  <c r="O87" i="40" s="1"/>
  <c r="K87" i="40"/>
  <c r="D88" i="40"/>
  <c r="Q88" i="40" s="1"/>
  <c r="D89" i="40"/>
  <c r="H89" i="40" s="1"/>
  <c r="D90" i="40"/>
  <c r="P90" i="40"/>
  <c r="D91" i="40"/>
  <c r="J91" i="40"/>
  <c r="D92" i="40"/>
  <c r="D93" i="40"/>
  <c r="D94" i="40"/>
  <c r="N94" i="40" s="1"/>
  <c r="D95" i="40"/>
  <c r="D96" i="40"/>
  <c r="H96" i="40" s="1"/>
  <c r="D97" i="40"/>
  <c r="G97" i="40" s="1"/>
  <c r="D98" i="40"/>
  <c r="G98" i="40" s="1"/>
  <c r="R98" i="40"/>
  <c r="D99" i="40"/>
  <c r="D100" i="40"/>
  <c r="H100" i="40" s="1"/>
  <c r="I100" i="40"/>
  <c r="J100" i="40"/>
  <c r="D101" i="40"/>
  <c r="D102" i="40"/>
  <c r="J102" i="40" s="1"/>
  <c r="D103" i="40"/>
  <c r="N103" i="40" s="1"/>
  <c r="D104" i="40"/>
  <c r="D105" i="40"/>
  <c r="J105" i="40" s="1"/>
  <c r="K105" i="40"/>
  <c r="L105" i="40"/>
  <c r="D106" i="40"/>
  <c r="D107" i="40"/>
  <c r="D108" i="40"/>
  <c r="D109" i="40"/>
  <c r="K109" i="40" s="1"/>
  <c r="D110" i="40"/>
  <c r="D111" i="40"/>
  <c r="D112" i="40"/>
  <c r="L112" i="40" s="1"/>
  <c r="D113" i="40"/>
  <c r="N113" i="40" s="1"/>
  <c r="D114" i="40"/>
  <c r="D115" i="40"/>
  <c r="G115" i="40"/>
  <c r="D116" i="40"/>
  <c r="R116" i="40" s="1"/>
  <c r="D117" i="40"/>
  <c r="Q117" i="40" s="1"/>
  <c r="D118" i="40"/>
  <c r="H118" i="40" s="1"/>
  <c r="D119" i="40"/>
  <c r="G119" i="40" s="1"/>
  <c r="D120" i="40"/>
  <c r="D121" i="40"/>
  <c r="D122" i="40"/>
  <c r="M122" i="40" s="1"/>
  <c r="N122" i="40"/>
  <c r="D123" i="40"/>
  <c r="G123" i="40"/>
  <c r="D124" i="40"/>
  <c r="D125" i="40"/>
  <c r="L125" i="40" s="1"/>
  <c r="D126" i="40"/>
  <c r="D127" i="40"/>
  <c r="P127" i="40" s="1"/>
  <c r="D128" i="40"/>
  <c r="G128" i="40" s="1"/>
  <c r="D129" i="40"/>
  <c r="L129" i="40" s="1"/>
  <c r="J129" i="40"/>
  <c r="D130" i="40"/>
  <c r="H130" i="40" s="1"/>
  <c r="L130" i="40"/>
  <c r="D131" i="40"/>
  <c r="H131" i="40"/>
  <c r="D132" i="40"/>
  <c r="R132" i="40" s="1"/>
  <c r="P132" i="40"/>
  <c r="D133" i="40"/>
  <c r="H133" i="40" s="1"/>
  <c r="D134" i="40"/>
  <c r="J134" i="40" s="1"/>
  <c r="D135" i="40"/>
  <c r="J135" i="40" s="1"/>
  <c r="R135" i="40"/>
  <c r="D136" i="40"/>
  <c r="D137" i="40"/>
  <c r="P137" i="40" s="1"/>
  <c r="D138" i="40"/>
  <c r="D139" i="40"/>
  <c r="D140" i="40"/>
  <c r="D141" i="40"/>
  <c r="H141" i="40" s="1"/>
  <c r="D142" i="40"/>
  <c r="D143" i="40"/>
  <c r="L143" i="40" s="1"/>
  <c r="J143" i="40"/>
  <c r="D144" i="40"/>
  <c r="J144" i="40" s="1"/>
  <c r="D145" i="40"/>
  <c r="H145" i="40" s="1"/>
  <c r="J145" i="40"/>
  <c r="D146" i="40"/>
  <c r="N146" i="40" s="1"/>
  <c r="D147" i="40"/>
  <c r="D148" i="40"/>
  <c r="L148" i="40" s="1"/>
  <c r="J148" i="40"/>
  <c r="N148" i="40"/>
  <c r="R148" i="40"/>
  <c r="D149" i="40"/>
  <c r="J149" i="40" s="1"/>
  <c r="D150" i="40"/>
  <c r="D151" i="40"/>
  <c r="J151" i="40" s="1"/>
  <c r="D152" i="40"/>
  <c r="J152" i="40" s="1"/>
  <c r="D153" i="40"/>
  <c r="D154" i="40"/>
  <c r="D155" i="40"/>
  <c r="J155" i="40" s="1"/>
  <c r="D156" i="40"/>
  <c r="D157" i="40"/>
  <c r="D158" i="40"/>
  <c r="P158" i="40" s="1"/>
  <c r="D159" i="40"/>
  <c r="J159" i="40" s="1"/>
  <c r="D160" i="40"/>
  <c r="D161" i="40"/>
  <c r="D162" i="40"/>
  <c r="D163" i="40"/>
  <c r="J163" i="40" s="1"/>
  <c r="D164" i="40"/>
  <c r="Q164" i="40" s="1"/>
  <c r="M164" i="40"/>
  <c r="D165" i="40"/>
  <c r="J165" i="40" s="1"/>
  <c r="D166" i="40"/>
  <c r="L166" i="40" s="1"/>
  <c r="J166" i="40"/>
  <c r="D167" i="40"/>
  <c r="J167" i="40" s="1"/>
  <c r="D168" i="40"/>
  <c r="P168" i="40" s="1"/>
  <c r="D169" i="40"/>
  <c r="D170" i="40"/>
  <c r="D171" i="40"/>
  <c r="D172" i="40"/>
  <c r="D173" i="40"/>
  <c r="D174" i="40"/>
  <c r="L174" i="40" s="1"/>
  <c r="D175" i="40"/>
  <c r="N175" i="40" s="1"/>
  <c r="D176" i="40"/>
  <c r="H176" i="40" s="1"/>
  <c r="D177" i="40"/>
  <c r="D178" i="40"/>
  <c r="R178" i="40" s="1"/>
  <c r="D179" i="40"/>
  <c r="D180" i="40"/>
  <c r="D181" i="40"/>
  <c r="D182" i="40"/>
  <c r="P182" i="40" s="1"/>
  <c r="D183" i="40"/>
  <c r="N183" i="40" s="1"/>
  <c r="D184" i="40"/>
  <c r="D185" i="40"/>
  <c r="H185" i="40" s="1"/>
  <c r="D186" i="40"/>
  <c r="D187" i="40"/>
  <c r="L187" i="40" s="1"/>
  <c r="D188" i="40"/>
  <c r="D189" i="40"/>
  <c r="H189" i="40" s="1"/>
  <c r="D190" i="40"/>
  <c r="D191" i="40"/>
  <c r="G191" i="40" s="1"/>
  <c r="D192" i="40"/>
  <c r="J192" i="40" s="1"/>
  <c r="D193" i="40"/>
  <c r="H193" i="40" s="1"/>
  <c r="D194" i="40"/>
  <c r="D195" i="40"/>
  <c r="D196" i="40"/>
  <c r="D197" i="40"/>
  <c r="N197" i="40" s="1"/>
  <c r="D198" i="40"/>
  <c r="D199" i="40"/>
  <c r="D200" i="40"/>
  <c r="H200" i="40" s="1"/>
  <c r="J200" i="40"/>
  <c r="D201" i="40"/>
  <c r="H201" i="40" s="1"/>
  <c r="D202" i="40"/>
  <c r="D203" i="40"/>
  <c r="H203" i="40" s="1"/>
  <c r="D204" i="40"/>
  <c r="H204" i="40" s="1"/>
  <c r="E1" i="39"/>
  <c r="A4" i="39" s="1"/>
  <c r="F1" i="39"/>
  <c r="D5" i="39"/>
  <c r="J5" i="39" s="1"/>
  <c r="D6" i="39"/>
  <c r="N6" i="39" s="1"/>
  <c r="D7" i="39"/>
  <c r="D8" i="39"/>
  <c r="N8" i="39" s="1"/>
  <c r="D9" i="39"/>
  <c r="D10" i="39"/>
  <c r="R10" i="39" s="1"/>
  <c r="J10" i="39"/>
  <c r="D11" i="39"/>
  <c r="P11" i="39" s="1"/>
  <c r="D12" i="39"/>
  <c r="N12" i="39" s="1"/>
  <c r="D13" i="39"/>
  <c r="D14" i="39"/>
  <c r="J14" i="39" s="1"/>
  <c r="D15" i="39"/>
  <c r="H15" i="39" s="1"/>
  <c r="D16" i="39"/>
  <c r="L16" i="39" s="1"/>
  <c r="D17" i="39"/>
  <c r="G17" i="39" s="1"/>
  <c r="D18" i="39"/>
  <c r="D19" i="39"/>
  <c r="Q19" i="39" s="1"/>
  <c r="D20" i="39"/>
  <c r="D21" i="39"/>
  <c r="M21" i="39" s="1"/>
  <c r="G21" i="39"/>
  <c r="D22" i="39"/>
  <c r="K22" i="39" s="1"/>
  <c r="L22" i="39"/>
  <c r="P22" i="39"/>
  <c r="D23" i="39"/>
  <c r="S23" i="39" s="1"/>
  <c r="D24" i="39"/>
  <c r="M24" i="39" s="1"/>
  <c r="H24" i="39"/>
  <c r="Q24" i="39"/>
  <c r="D25" i="39"/>
  <c r="I25" i="39" s="1"/>
  <c r="D26" i="39"/>
  <c r="D27" i="39"/>
  <c r="J27" i="39"/>
  <c r="D28" i="39"/>
  <c r="M28" i="39"/>
  <c r="D29" i="39"/>
  <c r="D30" i="39"/>
  <c r="D31" i="39"/>
  <c r="K31" i="39" s="1"/>
  <c r="D32" i="39"/>
  <c r="D33" i="39"/>
  <c r="D34" i="39"/>
  <c r="K34" i="39"/>
  <c r="Q34" i="39"/>
  <c r="D35" i="39"/>
  <c r="Q35" i="39"/>
  <c r="D36" i="39"/>
  <c r="D37" i="39"/>
  <c r="D38" i="39"/>
  <c r="D39" i="39"/>
  <c r="Q39" i="39" s="1"/>
  <c r="D40" i="39"/>
  <c r="L40" i="39" s="1"/>
  <c r="S40" i="39"/>
  <c r="D41" i="39"/>
  <c r="Q41" i="39" s="1"/>
  <c r="O41" i="39"/>
  <c r="D42" i="39"/>
  <c r="K42" i="39" s="1"/>
  <c r="G42" i="39"/>
  <c r="P42" i="39"/>
  <c r="D43" i="39"/>
  <c r="D44" i="39"/>
  <c r="O44" i="39" s="1"/>
  <c r="N44" i="39"/>
  <c r="H44" i="39"/>
  <c r="P44" i="39"/>
  <c r="D45" i="39"/>
  <c r="J45" i="39" s="1"/>
  <c r="K45" i="39"/>
  <c r="D46" i="39"/>
  <c r="G46" i="39" s="1"/>
  <c r="D47" i="39"/>
  <c r="D48" i="39"/>
  <c r="D49" i="39"/>
  <c r="D50" i="39"/>
  <c r="Q50" i="39"/>
  <c r="D51" i="39"/>
  <c r="D52" i="39"/>
  <c r="D53" i="39"/>
  <c r="D54" i="39"/>
  <c r="G54" i="39" s="1"/>
  <c r="H54" i="39"/>
  <c r="K54" i="39"/>
  <c r="S54" i="39"/>
  <c r="D55" i="39"/>
  <c r="J55" i="39"/>
  <c r="D56" i="39"/>
  <c r="Q56" i="39"/>
  <c r="D57" i="39"/>
  <c r="D58" i="39"/>
  <c r="K58" i="39" s="1"/>
  <c r="D59" i="39"/>
  <c r="D60" i="39"/>
  <c r="G60" i="39" s="1"/>
  <c r="H60" i="39"/>
  <c r="L60" i="39"/>
  <c r="D61" i="39"/>
  <c r="D62" i="39"/>
  <c r="H62" i="39" s="1"/>
  <c r="G62" i="39"/>
  <c r="O62" i="39"/>
  <c r="R62" i="39"/>
  <c r="D63" i="39"/>
  <c r="K63" i="39" s="1"/>
  <c r="D64" i="39"/>
  <c r="D65" i="39"/>
  <c r="H65" i="39" s="1"/>
  <c r="D66" i="39"/>
  <c r="D67" i="39"/>
  <c r="R67" i="39" s="1"/>
  <c r="D68" i="39"/>
  <c r="D69" i="39"/>
  <c r="H69" i="39" s="1"/>
  <c r="R69" i="39"/>
  <c r="D70" i="39"/>
  <c r="O70" i="39" s="1"/>
  <c r="H70" i="39"/>
  <c r="D71" i="39"/>
  <c r="R71" i="39" s="1"/>
  <c r="I71" i="39"/>
  <c r="D72" i="39"/>
  <c r="L72" i="39"/>
  <c r="H72" i="39"/>
  <c r="I72" i="39"/>
  <c r="K72" i="39"/>
  <c r="S72" i="39"/>
  <c r="D73" i="39"/>
  <c r="J73" i="39" s="1"/>
  <c r="H73" i="39"/>
  <c r="D74" i="39"/>
  <c r="H74" i="39" s="1"/>
  <c r="I74" i="39"/>
  <c r="K74" i="39"/>
  <c r="N74" i="39"/>
  <c r="Q74" i="39"/>
  <c r="S74" i="39"/>
  <c r="D75" i="39"/>
  <c r="G75" i="39" s="1"/>
  <c r="K75" i="39"/>
  <c r="N75" i="39"/>
  <c r="S75" i="39"/>
  <c r="D76" i="39"/>
  <c r="Q76" i="39"/>
  <c r="D77" i="39"/>
  <c r="H77" i="39" s="1"/>
  <c r="J77" i="39"/>
  <c r="N77" i="39"/>
  <c r="R77" i="39"/>
  <c r="D78" i="39"/>
  <c r="D79" i="39"/>
  <c r="G79" i="39" s="1"/>
  <c r="D80" i="39"/>
  <c r="Q80" i="39" s="1"/>
  <c r="D81" i="39"/>
  <c r="J81" i="39" s="1"/>
  <c r="I81" i="39"/>
  <c r="D82" i="39"/>
  <c r="D83" i="39"/>
  <c r="D84" i="39"/>
  <c r="P84" i="39"/>
  <c r="D85" i="39"/>
  <c r="I85" i="39" s="1"/>
  <c r="G85" i="39"/>
  <c r="P85" i="39"/>
  <c r="S85" i="39"/>
  <c r="D86" i="39"/>
  <c r="I86" i="39" s="1"/>
  <c r="H86" i="39"/>
  <c r="Q86" i="39"/>
  <c r="D87" i="39"/>
  <c r="K87" i="39" s="1"/>
  <c r="D88" i="39"/>
  <c r="G88" i="39"/>
  <c r="D89" i="39"/>
  <c r="K89" i="39" s="1"/>
  <c r="D90" i="39"/>
  <c r="G90" i="39" s="1"/>
  <c r="H90" i="39"/>
  <c r="O90" i="39"/>
  <c r="D91" i="39"/>
  <c r="D92" i="39"/>
  <c r="S92" i="39" s="1"/>
  <c r="G92" i="39"/>
  <c r="D93" i="39"/>
  <c r="R93" i="39" s="1"/>
  <c r="D94" i="39"/>
  <c r="Q94" i="39" s="1"/>
  <c r="D95" i="39"/>
  <c r="D96" i="39"/>
  <c r="H96" i="39" s="1"/>
  <c r="D97" i="39"/>
  <c r="M97" i="39" s="1"/>
  <c r="D98" i="39"/>
  <c r="R98" i="39" s="1"/>
  <c r="D99" i="39"/>
  <c r="Q99" i="39" s="1"/>
  <c r="D100" i="39"/>
  <c r="D101" i="39"/>
  <c r="D102" i="39"/>
  <c r="G102" i="39" s="1"/>
  <c r="J102" i="39"/>
  <c r="N102" i="39"/>
  <c r="D103" i="39"/>
  <c r="D104" i="39"/>
  <c r="P104" i="39" s="1"/>
  <c r="D105" i="39"/>
  <c r="S105" i="39" s="1"/>
  <c r="D106" i="39"/>
  <c r="O106" i="39" s="1"/>
  <c r="D107" i="39"/>
  <c r="J107" i="39" s="1"/>
  <c r="G107" i="39"/>
  <c r="K107" i="39"/>
  <c r="S107" i="39"/>
  <c r="D108" i="39"/>
  <c r="S108" i="39" s="1"/>
  <c r="D109" i="39"/>
  <c r="D110" i="39"/>
  <c r="D111" i="39"/>
  <c r="Q111" i="39" s="1"/>
  <c r="N111" i="39"/>
  <c r="D112" i="39"/>
  <c r="D113" i="39"/>
  <c r="H113" i="39" s="1"/>
  <c r="P113" i="39"/>
  <c r="D114" i="39"/>
  <c r="R114" i="39"/>
  <c r="D115" i="39"/>
  <c r="D116" i="39"/>
  <c r="I116" i="39" s="1"/>
  <c r="K116" i="39"/>
  <c r="D117" i="39"/>
  <c r="D118" i="39"/>
  <c r="D119" i="39"/>
  <c r="D120" i="39"/>
  <c r="D121" i="39"/>
  <c r="D122" i="39"/>
  <c r="O122" i="39" s="1"/>
  <c r="J122" i="39"/>
  <c r="D123" i="39"/>
  <c r="D124" i="39"/>
  <c r="R124" i="39" s="1"/>
  <c r="G124" i="39"/>
  <c r="J124" i="39"/>
  <c r="D125" i="39"/>
  <c r="D126" i="39"/>
  <c r="J126" i="39" s="1"/>
  <c r="D127" i="39"/>
  <c r="L127" i="39" s="1"/>
  <c r="D128" i="39"/>
  <c r="D129" i="39"/>
  <c r="P129" i="39" s="1"/>
  <c r="D130" i="39"/>
  <c r="J130" i="39" s="1"/>
  <c r="D131" i="39"/>
  <c r="D132" i="39"/>
  <c r="R132" i="39"/>
  <c r="D133" i="39"/>
  <c r="D134" i="39"/>
  <c r="R134" i="39" s="1"/>
  <c r="D135" i="39"/>
  <c r="R135" i="39" s="1"/>
  <c r="D136" i="39"/>
  <c r="H136" i="39" s="1"/>
  <c r="D137" i="39"/>
  <c r="J137" i="39" s="1"/>
  <c r="L137" i="39"/>
  <c r="D138" i="39"/>
  <c r="J138" i="39" s="1"/>
  <c r="H138" i="39"/>
  <c r="P138" i="39"/>
  <c r="D139" i="39"/>
  <c r="J139" i="39" s="1"/>
  <c r="D140" i="39"/>
  <c r="R140" i="39" s="1"/>
  <c r="J140" i="39"/>
  <c r="D141" i="39"/>
  <c r="D142" i="39"/>
  <c r="D143" i="39"/>
  <c r="D144" i="39"/>
  <c r="P144" i="39" s="1"/>
  <c r="D145" i="39"/>
  <c r="R145" i="39" s="1"/>
  <c r="N145" i="39"/>
  <c r="D146" i="39"/>
  <c r="D147" i="39"/>
  <c r="R147" i="39" s="1"/>
  <c r="J147" i="39"/>
  <c r="D148" i="39"/>
  <c r="D149" i="39"/>
  <c r="N149" i="39" s="1"/>
  <c r="D150" i="39"/>
  <c r="D151" i="39"/>
  <c r="D152" i="39"/>
  <c r="R152" i="39" s="1"/>
  <c r="D153" i="39"/>
  <c r="D154" i="39"/>
  <c r="D155" i="39"/>
  <c r="D156" i="39"/>
  <c r="D157" i="39"/>
  <c r="D158" i="39"/>
  <c r="N158" i="39" s="1"/>
  <c r="D159" i="39"/>
  <c r="D160" i="39"/>
  <c r="D161" i="39"/>
  <c r="N161" i="39" s="1"/>
  <c r="D162" i="39"/>
  <c r="J162" i="39" s="1"/>
  <c r="D163" i="39"/>
  <c r="N163" i="39" s="1"/>
  <c r="R163" i="39"/>
  <c r="D164" i="39"/>
  <c r="R164" i="39"/>
  <c r="D165" i="39"/>
  <c r="N165" i="39" s="1"/>
  <c r="J165" i="39"/>
  <c r="D166" i="39"/>
  <c r="P166" i="39" s="1"/>
  <c r="D167" i="39"/>
  <c r="J167" i="39"/>
  <c r="D168" i="39"/>
  <c r="J168" i="39" s="1"/>
  <c r="D169" i="39"/>
  <c r="D170" i="39"/>
  <c r="L170" i="39" s="1"/>
  <c r="D171" i="39"/>
  <c r="J171" i="39" s="1"/>
  <c r="D172" i="39"/>
  <c r="H172" i="39" s="1"/>
  <c r="D173" i="39"/>
  <c r="J173" i="39" s="1"/>
  <c r="D174" i="39"/>
  <c r="P174" i="39" s="1"/>
  <c r="N174" i="39"/>
  <c r="D175" i="39"/>
  <c r="J175" i="39" s="1"/>
  <c r="D176" i="39"/>
  <c r="N176" i="39" s="1"/>
  <c r="P176" i="39"/>
  <c r="D177" i="39"/>
  <c r="D178" i="39"/>
  <c r="D179" i="39"/>
  <c r="D180" i="39"/>
  <c r="H180" i="39" s="1"/>
  <c r="D181" i="39"/>
  <c r="J181" i="39" s="1"/>
  <c r="D182" i="39"/>
  <c r="P182" i="39" s="1"/>
  <c r="D183" i="39"/>
  <c r="D184" i="39"/>
  <c r="R184" i="39"/>
  <c r="D185" i="39"/>
  <c r="D186" i="39"/>
  <c r="N186" i="39" s="1"/>
  <c r="D187" i="39"/>
  <c r="R187" i="39" s="1"/>
  <c r="D188" i="39"/>
  <c r="H188" i="39" s="1"/>
  <c r="D189" i="39"/>
  <c r="N189" i="39"/>
  <c r="D190" i="39"/>
  <c r="L190" i="39" s="1"/>
  <c r="H190" i="39"/>
  <c r="P190" i="39"/>
  <c r="D191" i="39"/>
  <c r="D192" i="39"/>
  <c r="N192" i="39" s="1"/>
  <c r="D193" i="39"/>
  <c r="D194" i="39"/>
  <c r="L194" i="39" s="1"/>
  <c r="H194" i="39"/>
  <c r="D195" i="39"/>
  <c r="D196" i="39"/>
  <c r="R196" i="39" s="1"/>
  <c r="D197" i="39"/>
  <c r="H197" i="39" s="1"/>
  <c r="J197" i="39"/>
  <c r="D198" i="39"/>
  <c r="N198" i="39" s="1"/>
  <c r="D199" i="39"/>
  <c r="D200" i="39"/>
  <c r="H200" i="39"/>
  <c r="D201" i="39"/>
  <c r="R201" i="39" s="1"/>
  <c r="D202" i="39"/>
  <c r="L202" i="39" s="1"/>
  <c r="D203" i="39"/>
  <c r="D204" i="39"/>
  <c r="E1" i="38"/>
  <c r="F1" i="38"/>
  <c r="D5" i="38"/>
  <c r="O5" i="38" s="1"/>
  <c r="D6" i="38"/>
  <c r="G6" i="38" s="1"/>
  <c r="D7" i="38"/>
  <c r="R7" i="38" s="1"/>
  <c r="D8" i="38"/>
  <c r="L8" i="38" s="1"/>
  <c r="G8" i="38"/>
  <c r="R8" i="38"/>
  <c r="D9" i="38"/>
  <c r="R9" i="38" s="1"/>
  <c r="D10" i="38"/>
  <c r="I10" i="38" s="1"/>
  <c r="M10" i="38"/>
  <c r="D11" i="38"/>
  <c r="Q11" i="38" s="1"/>
  <c r="D12" i="38"/>
  <c r="J12" i="38" s="1"/>
  <c r="D13" i="38"/>
  <c r="D14" i="38"/>
  <c r="S14" i="38" s="1"/>
  <c r="D15" i="38"/>
  <c r="K15" i="38" s="1"/>
  <c r="I15" i="38"/>
  <c r="D16" i="38"/>
  <c r="S16" i="38" s="1"/>
  <c r="D17" i="38"/>
  <c r="G17" i="38" s="1"/>
  <c r="O17" i="38"/>
  <c r="K17" i="38"/>
  <c r="R17" i="38"/>
  <c r="D18" i="38"/>
  <c r="D19" i="38"/>
  <c r="G19" i="38"/>
  <c r="D20" i="38"/>
  <c r="P20" i="38" s="1"/>
  <c r="J20" i="38"/>
  <c r="D21" i="38"/>
  <c r="D22" i="38"/>
  <c r="N22" i="38" s="1"/>
  <c r="D23" i="38"/>
  <c r="D24" i="38"/>
  <c r="H24" i="38" s="1"/>
  <c r="I24" i="38"/>
  <c r="D25" i="38"/>
  <c r="D26" i="38"/>
  <c r="M26" i="38"/>
  <c r="D27" i="38"/>
  <c r="M27" i="38"/>
  <c r="D28" i="38"/>
  <c r="H28" i="38"/>
  <c r="D29" i="38"/>
  <c r="H29" i="38" s="1"/>
  <c r="R29" i="38"/>
  <c r="N29" i="38"/>
  <c r="D30" i="38"/>
  <c r="K30" i="38" s="1"/>
  <c r="D31" i="38"/>
  <c r="D32" i="38"/>
  <c r="P32" i="38" s="1"/>
  <c r="D33" i="38"/>
  <c r="D34" i="38"/>
  <c r="D35" i="38"/>
  <c r="G35" i="38" s="1"/>
  <c r="D36" i="38"/>
  <c r="J36" i="38" s="1"/>
  <c r="D37" i="38"/>
  <c r="D38" i="38"/>
  <c r="L38" i="38" s="1"/>
  <c r="D39" i="38"/>
  <c r="G39" i="38"/>
  <c r="D40" i="38"/>
  <c r="D41" i="38"/>
  <c r="D42" i="38"/>
  <c r="M42" i="38" s="1"/>
  <c r="D43" i="38"/>
  <c r="N43" i="38" s="1"/>
  <c r="D44" i="38"/>
  <c r="D45" i="38"/>
  <c r="D46" i="38"/>
  <c r="K46" i="38" s="1"/>
  <c r="D47" i="38"/>
  <c r="M47" i="38" s="1"/>
  <c r="D48" i="38"/>
  <c r="Q48" i="38"/>
  <c r="D49" i="38"/>
  <c r="D50" i="38"/>
  <c r="D51" i="38"/>
  <c r="G51" i="38"/>
  <c r="D52" i="38"/>
  <c r="K52" i="38"/>
  <c r="G52" i="38"/>
  <c r="I52" i="38"/>
  <c r="P52" i="38"/>
  <c r="Q52" i="38"/>
  <c r="R52" i="38"/>
  <c r="D53" i="38"/>
  <c r="D54" i="38"/>
  <c r="N54" i="38" s="1"/>
  <c r="D55" i="38"/>
  <c r="G55" i="38" s="1"/>
  <c r="D56" i="38"/>
  <c r="D57" i="38"/>
  <c r="Q57" i="38" s="1"/>
  <c r="D58" i="38"/>
  <c r="L58" i="38" s="1"/>
  <c r="K58" i="38"/>
  <c r="D59" i="38"/>
  <c r="D60" i="38"/>
  <c r="Q60" i="38" s="1"/>
  <c r="D61" i="38"/>
  <c r="N61" i="38" s="1"/>
  <c r="H61" i="38"/>
  <c r="D62" i="38"/>
  <c r="K62" i="38" s="1"/>
  <c r="D63" i="38"/>
  <c r="D64" i="38"/>
  <c r="D65" i="38"/>
  <c r="I65" i="38" s="1"/>
  <c r="N65" i="38"/>
  <c r="D66" i="38"/>
  <c r="D67" i="38"/>
  <c r="G67" i="38" s="1"/>
  <c r="D68" i="38"/>
  <c r="D69" i="38"/>
  <c r="M69" i="38" s="1"/>
  <c r="D70" i="38"/>
  <c r="L70" i="38" s="1"/>
  <c r="D71" i="38"/>
  <c r="G71" i="38" s="1"/>
  <c r="D72" i="38"/>
  <c r="D73" i="38"/>
  <c r="N73" i="38" s="1"/>
  <c r="D74" i="38"/>
  <c r="D75" i="38"/>
  <c r="D76" i="38"/>
  <c r="I76" i="38" s="1"/>
  <c r="H76" i="38"/>
  <c r="D77" i="38"/>
  <c r="D78" i="38"/>
  <c r="K78" i="38" s="1"/>
  <c r="D79" i="38"/>
  <c r="P79" i="38" s="1"/>
  <c r="G79" i="38"/>
  <c r="D80" i="38"/>
  <c r="D81" i="38"/>
  <c r="D82" i="38"/>
  <c r="D83" i="38"/>
  <c r="G83" i="38" s="1"/>
  <c r="D84" i="38"/>
  <c r="G84" i="38" s="1"/>
  <c r="J84" i="38"/>
  <c r="D85" i="38"/>
  <c r="N85" i="38" s="1"/>
  <c r="D86" i="38"/>
  <c r="N86" i="38" s="1"/>
  <c r="D87" i="38"/>
  <c r="G87" i="38" s="1"/>
  <c r="D88" i="38"/>
  <c r="D89" i="38"/>
  <c r="N89" i="38" s="1"/>
  <c r="D90" i="38"/>
  <c r="M90" i="38" s="1"/>
  <c r="D91" i="38"/>
  <c r="O91" i="38" s="1"/>
  <c r="M91" i="38"/>
  <c r="D92" i="38"/>
  <c r="I92" i="38" s="1"/>
  <c r="H92" i="38"/>
  <c r="D93" i="38"/>
  <c r="Q93" i="38"/>
  <c r="H93" i="38"/>
  <c r="N93" i="38"/>
  <c r="D94" i="38"/>
  <c r="K94" i="38"/>
  <c r="D95" i="38"/>
  <c r="M95" i="38" s="1"/>
  <c r="O95" i="38"/>
  <c r="D96" i="38"/>
  <c r="Q96" i="38" s="1"/>
  <c r="D97" i="38"/>
  <c r="N97" i="38" s="1"/>
  <c r="D98" i="38"/>
  <c r="D99" i="38"/>
  <c r="G99" i="38" s="1"/>
  <c r="D100" i="38"/>
  <c r="Q100" i="38" s="1"/>
  <c r="D101" i="38"/>
  <c r="J101" i="38" s="1"/>
  <c r="P101" i="38"/>
  <c r="D102" i="38"/>
  <c r="K102" i="38" s="1"/>
  <c r="D103" i="38"/>
  <c r="G103" i="38"/>
  <c r="D104" i="38"/>
  <c r="D105" i="38"/>
  <c r="D106" i="38"/>
  <c r="D107" i="38"/>
  <c r="D108" i="38"/>
  <c r="D109" i="38"/>
  <c r="Q109" i="38" s="1"/>
  <c r="D110" i="38"/>
  <c r="N110" i="38"/>
  <c r="L110" i="38"/>
  <c r="D111" i="38"/>
  <c r="M111" i="38" s="1"/>
  <c r="D112" i="38"/>
  <c r="H112" i="38" s="1"/>
  <c r="Q112" i="38"/>
  <c r="D113" i="38"/>
  <c r="P113" i="38"/>
  <c r="D114" i="38"/>
  <c r="D115" i="38"/>
  <c r="G115" i="38" s="1"/>
  <c r="P115" i="38"/>
  <c r="D116" i="38"/>
  <c r="G116" i="38" s="1"/>
  <c r="D117" i="38"/>
  <c r="K117" i="38" s="1"/>
  <c r="D118" i="38"/>
  <c r="J118" i="38" s="1"/>
  <c r="D119" i="38"/>
  <c r="D120" i="38"/>
  <c r="J120" i="38" s="1"/>
  <c r="D121" i="38"/>
  <c r="D122" i="38"/>
  <c r="N122" i="38" s="1"/>
  <c r="D123" i="38"/>
  <c r="D124" i="38"/>
  <c r="D125" i="38"/>
  <c r="L125" i="38" s="1"/>
  <c r="J125" i="38"/>
  <c r="H125" i="38"/>
  <c r="N125" i="38"/>
  <c r="P125" i="38"/>
  <c r="R125" i="38"/>
  <c r="D126" i="38"/>
  <c r="D127" i="38"/>
  <c r="D128" i="38"/>
  <c r="G128" i="38" s="1"/>
  <c r="D129" i="38"/>
  <c r="H129" i="38" s="1"/>
  <c r="D130" i="38"/>
  <c r="L130" i="38" s="1"/>
  <c r="D131" i="38"/>
  <c r="D132" i="38"/>
  <c r="D133" i="38"/>
  <c r="Q133" i="38" s="1"/>
  <c r="D134" i="38"/>
  <c r="D135" i="38"/>
  <c r="O135" i="38"/>
  <c r="D136" i="38"/>
  <c r="D137" i="38"/>
  <c r="D138" i="38"/>
  <c r="K138" i="38" s="1"/>
  <c r="R138" i="38"/>
  <c r="D139" i="38"/>
  <c r="H139" i="38" s="1"/>
  <c r="L139" i="38"/>
  <c r="D140" i="38"/>
  <c r="N140" i="38"/>
  <c r="H140" i="38"/>
  <c r="I140" i="38"/>
  <c r="R140" i="38"/>
  <c r="D141" i="38"/>
  <c r="J141" i="38" s="1"/>
  <c r="P141" i="38"/>
  <c r="D142" i="38"/>
  <c r="D143" i="38"/>
  <c r="D144" i="38"/>
  <c r="D145" i="38"/>
  <c r="J145" i="38" s="1"/>
  <c r="M145" i="38"/>
  <c r="D146" i="38"/>
  <c r="J146" i="38" s="1"/>
  <c r="D147" i="38"/>
  <c r="D148" i="38"/>
  <c r="P148" i="38" s="1"/>
  <c r="D149" i="38"/>
  <c r="D150" i="38"/>
  <c r="J150" i="38" s="1"/>
  <c r="D151" i="38"/>
  <c r="H151" i="38" s="1"/>
  <c r="D152" i="38"/>
  <c r="J152" i="38" s="1"/>
  <c r="D153" i="38"/>
  <c r="I153" i="38"/>
  <c r="L153" i="38"/>
  <c r="Q153" i="38"/>
  <c r="D154" i="38"/>
  <c r="D155" i="38"/>
  <c r="D156" i="38"/>
  <c r="D157" i="38"/>
  <c r="H157" i="38" s="1"/>
  <c r="P157" i="38"/>
  <c r="J157" i="38"/>
  <c r="K157" i="38"/>
  <c r="Q157" i="38"/>
  <c r="D158" i="38"/>
  <c r="K158" i="38" s="1"/>
  <c r="D159" i="38"/>
  <c r="H159" i="38" s="1"/>
  <c r="D160" i="38"/>
  <c r="G160" i="38" s="1"/>
  <c r="D161" i="38"/>
  <c r="H161" i="38"/>
  <c r="K161" i="38"/>
  <c r="P161" i="38"/>
  <c r="R161" i="38"/>
  <c r="D162" i="38"/>
  <c r="L162" i="38" s="1"/>
  <c r="D163" i="38"/>
  <c r="O163" i="38" s="1"/>
  <c r="D164" i="38"/>
  <c r="O164" i="38" s="1"/>
  <c r="D165" i="38"/>
  <c r="K165" i="38" s="1"/>
  <c r="D166" i="38"/>
  <c r="S166" i="38" s="1"/>
  <c r="D167" i="38"/>
  <c r="D168" i="38"/>
  <c r="P168" i="38" s="1"/>
  <c r="O168" i="38"/>
  <c r="Q168" i="38"/>
  <c r="D169" i="38"/>
  <c r="D170" i="38"/>
  <c r="L170" i="38" s="1"/>
  <c r="D171" i="38"/>
  <c r="H171" i="38" s="1"/>
  <c r="G171" i="38"/>
  <c r="D172" i="38"/>
  <c r="I172" i="38" s="1"/>
  <c r="Q172" i="38"/>
  <c r="D173" i="38"/>
  <c r="N173" i="38" s="1"/>
  <c r="I173" i="38"/>
  <c r="D174" i="38"/>
  <c r="L174" i="38" s="1"/>
  <c r="J174" i="38"/>
  <c r="N174" i="38"/>
  <c r="D175" i="38"/>
  <c r="N175" i="38" s="1"/>
  <c r="D176" i="38"/>
  <c r="J176" i="38" s="1"/>
  <c r="D177" i="38"/>
  <c r="H177" i="38"/>
  <c r="D178" i="38"/>
  <c r="J178" i="38" s="1"/>
  <c r="D179" i="38"/>
  <c r="D180" i="38"/>
  <c r="D181" i="38"/>
  <c r="S181" i="38"/>
  <c r="D182" i="38"/>
  <c r="K182" i="38" s="1"/>
  <c r="L182" i="38"/>
  <c r="M182" i="38"/>
  <c r="D183" i="38"/>
  <c r="H183" i="38" s="1"/>
  <c r="D184" i="38"/>
  <c r="H184" i="38" s="1"/>
  <c r="Q184" i="38"/>
  <c r="D185" i="38"/>
  <c r="I185" i="38" s="1"/>
  <c r="D186" i="38"/>
  <c r="D187" i="38"/>
  <c r="D188" i="38"/>
  <c r="N188" i="38" s="1"/>
  <c r="D189" i="38"/>
  <c r="Q189" i="38" s="1"/>
  <c r="D190" i="38"/>
  <c r="K190" i="38"/>
  <c r="D191" i="38"/>
  <c r="G191" i="38" s="1"/>
  <c r="D192" i="38"/>
  <c r="Q192" i="38" s="1"/>
  <c r="H192" i="38"/>
  <c r="D193" i="38"/>
  <c r="K193" i="38" s="1"/>
  <c r="D194" i="38"/>
  <c r="K194" i="38" s="1"/>
  <c r="S194" i="38"/>
  <c r="D195" i="38"/>
  <c r="G195" i="38" s="1"/>
  <c r="D196" i="38"/>
  <c r="D197" i="38"/>
  <c r="D198" i="38"/>
  <c r="S198" i="38" s="1"/>
  <c r="D199" i="38"/>
  <c r="O199" i="38" s="1"/>
  <c r="D200" i="38"/>
  <c r="O200" i="38" s="1"/>
  <c r="D201" i="38"/>
  <c r="K201" i="38" s="1"/>
  <c r="D202" i="38"/>
  <c r="J202" i="38" s="1"/>
  <c r="D203" i="38"/>
  <c r="D204" i="38"/>
  <c r="E1" i="37"/>
  <c r="A4" i="37" s="1"/>
  <c r="F1" i="37"/>
  <c r="D5" i="37"/>
  <c r="D6" i="37"/>
  <c r="H6" i="37"/>
  <c r="L6" i="37"/>
  <c r="P6" i="37"/>
  <c r="D7" i="37"/>
  <c r="D8" i="37"/>
  <c r="D9" i="37"/>
  <c r="D10" i="37"/>
  <c r="Q10" i="37" s="1"/>
  <c r="D11" i="37"/>
  <c r="N11" i="37"/>
  <c r="D12" i="37"/>
  <c r="O12" i="37" s="1"/>
  <c r="D13" i="37"/>
  <c r="P13" i="37"/>
  <c r="D14" i="37"/>
  <c r="P14" i="37" s="1"/>
  <c r="S14" i="37"/>
  <c r="D15" i="37"/>
  <c r="D16" i="37"/>
  <c r="L16" i="37" s="1"/>
  <c r="D17" i="37"/>
  <c r="M17" i="37" s="1"/>
  <c r="D18" i="37"/>
  <c r="O18" i="37" s="1"/>
  <c r="D19" i="37"/>
  <c r="S19" i="37" s="1"/>
  <c r="N19" i="37"/>
  <c r="D20" i="37"/>
  <c r="K20" i="37" s="1"/>
  <c r="D21" i="37"/>
  <c r="D22" i="37"/>
  <c r="D23" i="37"/>
  <c r="K23" i="37" s="1"/>
  <c r="L23" i="37"/>
  <c r="S23" i="37"/>
  <c r="D24" i="37"/>
  <c r="N24" i="37" s="1"/>
  <c r="D25" i="37"/>
  <c r="D26" i="37"/>
  <c r="J26" i="37" s="1"/>
  <c r="G26" i="37"/>
  <c r="P26" i="37"/>
  <c r="R26" i="37"/>
  <c r="D27" i="37"/>
  <c r="K27" i="37"/>
  <c r="R27" i="37"/>
  <c r="D28" i="37"/>
  <c r="L28" i="37" s="1"/>
  <c r="D29" i="37"/>
  <c r="H29" i="37"/>
  <c r="Q29" i="37"/>
  <c r="D30" i="37"/>
  <c r="G30" i="37" s="1"/>
  <c r="M30" i="37"/>
  <c r="R30" i="37"/>
  <c r="S30" i="37"/>
  <c r="D31" i="37"/>
  <c r="I31" i="37" s="1"/>
  <c r="M31" i="37"/>
  <c r="O31" i="37"/>
  <c r="D32" i="37"/>
  <c r="G32" i="37" s="1"/>
  <c r="D33" i="37"/>
  <c r="G33" i="37"/>
  <c r="D34" i="37"/>
  <c r="Q34" i="37" s="1"/>
  <c r="D35" i="37"/>
  <c r="D36" i="37"/>
  <c r="D37" i="37"/>
  <c r="N37" i="37" s="1"/>
  <c r="D38" i="37"/>
  <c r="M38" i="37" s="1"/>
  <c r="D39" i="37"/>
  <c r="L39" i="37"/>
  <c r="R39" i="37"/>
  <c r="D40" i="37"/>
  <c r="D41" i="37"/>
  <c r="H41" i="37"/>
  <c r="D42" i="37"/>
  <c r="N42" i="37" s="1"/>
  <c r="D43" i="37"/>
  <c r="L43" i="37" s="1"/>
  <c r="J43" i="37"/>
  <c r="S43" i="37"/>
  <c r="D44" i="37"/>
  <c r="O44" i="37" s="1"/>
  <c r="D45" i="37"/>
  <c r="O45" i="37" s="1"/>
  <c r="P45" i="37"/>
  <c r="D46" i="37"/>
  <c r="D47" i="37"/>
  <c r="L47" i="37" s="1"/>
  <c r="S47" i="37"/>
  <c r="D48" i="37"/>
  <c r="G48" i="37" s="1"/>
  <c r="N48" i="37"/>
  <c r="S48" i="37"/>
  <c r="D49" i="37"/>
  <c r="H49" i="37" s="1"/>
  <c r="I49" i="37"/>
  <c r="M49" i="37"/>
  <c r="N49" i="37"/>
  <c r="P49" i="37"/>
  <c r="Q49" i="37"/>
  <c r="D50" i="37"/>
  <c r="D51" i="37"/>
  <c r="K51" i="37" s="1"/>
  <c r="D52" i="37"/>
  <c r="G52" i="37" s="1"/>
  <c r="D53" i="37"/>
  <c r="Q53" i="37" s="1"/>
  <c r="D54" i="37"/>
  <c r="P54" i="37" s="1"/>
  <c r="D55" i="37"/>
  <c r="L55" i="37" s="1"/>
  <c r="K55" i="37"/>
  <c r="D56" i="37"/>
  <c r="D57" i="37"/>
  <c r="D58" i="37"/>
  <c r="J58" i="37" s="1"/>
  <c r="D59" i="37"/>
  <c r="S59" i="37" s="1"/>
  <c r="D60" i="37"/>
  <c r="M60" i="37" s="1"/>
  <c r="D61" i="37"/>
  <c r="D62" i="37"/>
  <c r="Q62" i="37" s="1"/>
  <c r="D63" i="37"/>
  <c r="N63" i="37" s="1"/>
  <c r="D64" i="37"/>
  <c r="S64" i="37" s="1"/>
  <c r="D65" i="37"/>
  <c r="P65" i="37" s="1"/>
  <c r="D66" i="37"/>
  <c r="J66" i="37" s="1"/>
  <c r="D67" i="37"/>
  <c r="N67" i="37" s="1"/>
  <c r="D68" i="37"/>
  <c r="D69" i="37"/>
  <c r="N69" i="37" s="1"/>
  <c r="D70" i="37"/>
  <c r="L70" i="37" s="1"/>
  <c r="D71" i="37"/>
  <c r="L71" i="37" s="1"/>
  <c r="D72" i="37"/>
  <c r="D73" i="37"/>
  <c r="G73" i="37" s="1"/>
  <c r="D74" i="37"/>
  <c r="D75" i="37"/>
  <c r="M75" i="37" s="1"/>
  <c r="O75" i="37"/>
  <c r="D76" i="37"/>
  <c r="S76" i="37" s="1"/>
  <c r="D77" i="37"/>
  <c r="D78" i="37"/>
  <c r="P78" i="37" s="1"/>
  <c r="D79" i="37"/>
  <c r="S79" i="37" s="1"/>
  <c r="D80" i="37"/>
  <c r="O80" i="37" s="1"/>
  <c r="D81" i="37"/>
  <c r="D82" i="37"/>
  <c r="D83" i="37"/>
  <c r="G83" i="37" s="1"/>
  <c r="S83" i="37"/>
  <c r="D84" i="37"/>
  <c r="G84" i="37" s="1"/>
  <c r="D85" i="37"/>
  <c r="D86" i="37"/>
  <c r="O86" i="37" s="1"/>
  <c r="J86" i="37"/>
  <c r="D87" i="37"/>
  <c r="D88" i="37"/>
  <c r="D89" i="37"/>
  <c r="I89" i="37" s="1"/>
  <c r="D90" i="37"/>
  <c r="D91" i="37"/>
  <c r="D92" i="37"/>
  <c r="L92" i="37" s="1"/>
  <c r="D93" i="37"/>
  <c r="R93" i="37" s="1"/>
  <c r="D94" i="37"/>
  <c r="H94" i="37" s="1"/>
  <c r="D95" i="37"/>
  <c r="H95" i="37"/>
  <c r="D96" i="37"/>
  <c r="D97" i="37"/>
  <c r="N97" i="37" s="1"/>
  <c r="D98" i="37"/>
  <c r="D99" i="37"/>
  <c r="D100" i="37"/>
  <c r="H100" i="37"/>
  <c r="D101" i="37"/>
  <c r="I101" i="37" s="1"/>
  <c r="D102" i="37"/>
  <c r="D103" i="37"/>
  <c r="K103" i="37" s="1"/>
  <c r="O103" i="37"/>
  <c r="D104" i="37"/>
  <c r="D105" i="37"/>
  <c r="G105" i="37" s="1"/>
  <c r="I105" i="37"/>
  <c r="L105" i="37"/>
  <c r="D106" i="37"/>
  <c r="D107" i="37"/>
  <c r="H107" i="37" s="1"/>
  <c r="D108" i="37"/>
  <c r="D109" i="37"/>
  <c r="O109" i="37" s="1"/>
  <c r="D110" i="37"/>
  <c r="D111" i="37"/>
  <c r="H111" i="37" s="1"/>
  <c r="D112" i="37"/>
  <c r="O112" i="37" s="1"/>
  <c r="G112" i="37"/>
  <c r="R112" i="37"/>
  <c r="D113" i="37"/>
  <c r="Q113" i="37"/>
  <c r="D114" i="37"/>
  <c r="Q114" i="37" s="1"/>
  <c r="D115" i="37"/>
  <c r="I115" i="37" s="1"/>
  <c r="D116" i="37"/>
  <c r="D117" i="37"/>
  <c r="G117" i="37" s="1"/>
  <c r="D118" i="37"/>
  <c r="D119" i="37"/>
  <c r="I119" i="37" s="1"/>
  <c r="D120" i="37"/>
  <c r="N120" i="37"/>
  <c r="D121" i="37"/>
  <c r="D122" i="37"/>
  <c r="K122" i="37" s="1"/>
  <c r="M122" i="37"/>
  <c r="S122" i="37"/>
  <c r="D123" i="37"/>
  <c r="D124" i="37"/>
  <c r="D125" i="37"/>
  <c r="G125" i="37" s="1"/>
  <c r="D126" i="37"/>
  <c r="D127" i="37"/>
  <c r="H127" i="37" s="1"/>
  <c r="P127" i="37"/>
  <c r="D128" i="37"/>
  <c r="O128" i="37" s="1"/>
  <c r="D129" i="37"/>
  <c r="G129" i="37" s="1"/>
  <c r="D130" i="37"/>
  <c r="O130" i="37" s="1"/>
  <c r="D131" i="37"/>
  <c r="K131" i="37"/>
  <c r="D132" i="37"/>
  <c r="G132" i="37" s="1"/>
  <c r="I132" i="37"/>
  <c r="J132" i="37"/>
  <c r="K132" i="37"/>
  <c r="M132" i="37"/>
  <c r="N132" i="37"/>
  <c r="O132" i="37"/>
  <c r="R132" i="37"/>
  <c r="S132" i="37"/>
  <c r="D133" i="37"/>
  <c r="D134" i="37"/>
  <c r="G134" i="37" s="1"/>
  <c r="D135" i="37"/>
  <c r="R135" i="37" s="1"/>
  <c r="D136" i="37"/>
  <c r="K136" i="37" s="1"/>
  <c r="D137" i="37"/>
  <c r="D138" i="37"/>
  <c r="G138" i="37" s="1"/>
  <c r="D139" i="37"/>
  <c r="P139" i="37" s="1"/>
  <c r="D140" i="37"/>
  <c r="J140" i="37"/>
  <c r="D141" i="37"/>
  <c r="K141" i="37" s="1"/>
  <c r="D142" i="37"/>
  <c r="Q142" i="37"/>
  <c r="D143" i="37"/>
  <c r="N143" i="37" s="1"/>
  <c r="D144" i="37"/>
  <c r="G144" i="37"/>
  <c r="D145" i="37"/>
  <c r="I145" i="37" s="1"/>
  <c r="N145" i="37"/>
  <c r="Q145" i="37"/>
  <c r="D146" i="37"/>
  <c r="K146" i="37" s="1"/>
  <c r="D147" i="37"/>
  <c r="J147" i="37" s="1"/>
  <c r="D148" i="37"/>
  <c r="H148" i="37" s="1"/>
  <c r="D149" i="37"/>
  <c r="D150" i="37"/>
  <c r="G150" i="37" s="1"/>
  <c r="D151" i="37"/>
  <c r="O151" i="37" s="1"/>
  <c r="D152" i="37"/>
  <c r="O152" i="37"/>
  <c r="D153" i="37"/>
  <c r="N153" i="37" s="1"/>
  <c r="D154" i="37"/>
  <c r="S154" i="37" s="1"/>
  <c r="D155" i="37"/>
  <c r="P155" i="37" s="1"/>
  <c r="D156" i="37"/>
  <c r="M156" i="37" s="1"/>
  <c r="D157" i="37"/>
  <c r="G157" i="37" s="1"/>
  <c r="O157" i="37"/>
  <c r="D158" i="37"/>
  <c r="G158" i="37" s="1"/>
  <c r="K158" i="37"/>
  <c r="M158" i="37"/>
  <c r="P158" i="37"/>
  <c r="D159" i="37"/>
  <c r="D160" i="37"/>
  <c r="O160" i="37" s="1"/>
  <c r="D161" i="37"/>
  <c r="D162" i="37"/>
  <c r="D163" i="37"/>
  <c r="N163" i="37" s="1"/>
  <c r="K163" i="37"/>
  <c r="D164" i="37"/>
  <c r="G164" i="37" s="1"/>
  <c r="J164" i="37"/>
  <c r="K164" i="37"/>
  <c r="N164" i="37"/>
  <c r="S164" i="37"/>
  <c r="D165" i="37"/>
  <c r="D166" i="37"/>
  <c r="O166" i="37" s="1"/>
  <c r="D167" i="37"/>
  <c r="I167" i="37"/>
  <c r="D168" i="37"/>
  <c r="L168" i="37" s="1"/>
  <c r="D169" i="37"/>
  <c r="G169" i="37" s="1"/>
  <c r="L169" i="37"/>
  <c r="D170" i="37"/>
  <c r="G170" i="37" s="1"/>
  <c r="D171" i="37"/>
  <c r="D172" i="37"/>
  <c r="I172" i="37"/>
  <c r="D173" i="37"/>
  <c r="L173" i="37"/>
  <c r="D174" i="37"/>
  <c r="D175" i="37"/>
  <c r="D176" i="37"/>
  <c r="K176" i="37"/>
  <c r="L176" i="37"/>
  <c r="O176" i="37"/>
  <c r="D177" i="37"/>
  <c r="I177" i="37"/>
  <c r="M177" i="37"/>
  <c r="D178" i="37"/>
  <c r="D179" i="37"/>
  <c r="L179" i="37" s="1"/>
  <c r="D180" i="37"/>
  <c r="D181" i="37"/>
  <c r="L181" i="37" s="1"/>
  <c r="D182" i="37"/>
  <c r="I182" i="37" s="1"/>
  <c r="D183" i="37"/>
  <c r="G183" i="37"/>
  <c r="J183" i="37"/>
  <c r="M183" i="37"/>
  <c r="Q183" i="37"/>
  <c r="R183" i="37"/>
  <c r="D184" i="37"/>
  <c r="H184" i="37" s="1"/>
  <c r="D185" i="37"/>
  <c r="N185" i="37" s="1"/>
  <c r="D186" i="37"/>
  <c r="D187" i="37"/>
  <c r="J187" i="37" s="1"/>
  <c r="O187" i="37"/>
  <c r="D188" i="37"/>
  <c r="N188" i="37" s="1"/>
  <c r="D189" i="37"/>
  <c r="D190" i="37"/>
  <c r="D191" i="37"/>
  <c r="J191" i="37"/>
  <c r="D192" i="37"/>
  <c r="S192" i="37" s="1"/>
  <c r="D193" i="37"/>
  <c r="S193" i="37" s="1"/>
  <c r="G193" i="37"/>
  <c r="D194" i="37"/>
  <c r="N194" i="37" s="1"/>
  <c r="D195" i="37"/>
  <c r="R195" i="37" s="1"/>
  <c r="M195" i="37"/>
  <c r="D196" i="37"/>
  <c r="L196" i="37" s="1"/>
  <c r="M196" i="37"/>
  <c r="S196" i="37"/>
  <c r="D197" i="37"/>
  <c r="D198" i="37"/>
  <c r="J198" i="37" s="1"/>
  <c r="D199" i="37"/>
  <c r="G199" i="37" s="1"/>
  <c r="D200" i="37"/>
  <c r="R200" i="37"/>
  <c r="D201" i="37"/>
  <c r="D202" i="37"/>
  <c r="I202" i="37" s="1"/>
  <c r="L202" i="37"/>
  <c r="J202" i="37"/>
  <c r="Q202" i="37"/>
  <c r="R202" i="37"/>
  <c r="D203" i="37"/>
  <c r="K203" i="37" s="1"/>
  <c r="N203" i="37"/>
  <c r="D204" i="37"/>
  <c r="G204" i="37" s="1"/>
  <c r="E1" i="36"/>
  <c r="A4" i="36" s="1"/>
  <c r="F1" i="36"/>
  <c r="D5" i="36"/>
  <c r="L5" i="36" s="1"/>
  <c r="D6" i="36"/>
  <c r="D7" i="36"/>
  <c r="H7" i="36" s="1"/>
  <c r="D8" i="36"/>
  <c r="H8" i="36" s="1"/>
  <c r="D9" i="36"/>
  <c r="P9" i="36" s="1"/>
  <c r="D10" i="36"/>
  <c r="J10" i="36" s="1"/>
  <c r="D11" i="36"/>
  <c r="H11" i="36" s="1"/>
  <c r="D12" i="36"/>
  <c r="N12" i="36" s="1"/>
  <c r="D13" i="36"/>
  <c r="H13" i="36" s="1"/>
  <c r="D14" i="36"/>
  <c r="R14" i="36" s="1"/>
  <c r="D15" i="36"/>
  <c r="H15" i="36" s="1"/>
  <c r="D16" i="36"/>
  <c r="D17" i="36"/>
  <c r="G17" i="36" s="1"/>
  <c r="D18" i="36"/>
  <c r="M18" i="36" s="1"/>
  <c r="D19" i="36"/>
  <c r="D20" i="36"/>
  <c r="D21" i="36"/>
  <c r="I21" i="36" s="1"/>
  <c r="O21" i="36"/>
  <c r="D22" i="36"/>
  <c r="D23" i="36"/>
  <c r="D24" i="36"/>
  <c r="H24" i="36" s="1"/>
  <c r="G24" i="36"/>
  <c r="J24" i="36"/>
  <c r="L24" i="36"/>
  <c r="O24" i="36"/>
  <c r="R24" i="36"/>
  <c r="D25" i="36"/>
  <c r="G25" i="36" s="1"/>
  <c r="D26" i="36"/>
  <c r="D27" i="36"/>
  <c r="L27" i="36" s="1"/>
  <c r="J27" i="36"/>
  <c r="O27" i="36"/>
  <c r="S27" i="36"/>
  <c r="D28" i="36"/>
  <c r="G28" i="36"/>
  <c r="J28" i="36"/>
  <c r="M28" i="36"/>
  <c r="Q28" i="36"/>
  <c r="R28" i="36"/>
  <c r="D29" i="36"/>
  <c r="G29" i="36" s="1"/>
  <c r="D30" i="36"/>
  <c r="D31" i="36"/>
  <c r="D32" i="36"/>
  <c r="D33" i="36"/>
  <c r="I33" i="36" s="1"/>
  <c r="G33" i="36"/>
  <c r="M33" i="36"/>
  <c r="D34" i="36"/>
  <c r="G34" i="36"/>
  <c r="D35" i="36"/>
  <c r="I35" i="36"/>
  <c r="D36" i="36"/>
  <c r="D37" i="36"/>
  <c r="D38" i="36"/>
  <c r="K38" i="36" s="1"/>
  <c r="D39" i="36"/>
  <c r="L39" i="36" s="1"/>
  <c r="D40" i="36"/>
  <c r="D41" i="36"/>
  <c r="D42" i="36"/>
  <c r="O42" i="36" s="1"/>
  <c r="D43" i="36"/>
  <c r="D44" i="36"/>
  <c r="G44" i="36" s="1"/>
  <c r="I44" i="36"/>
  <c r="K44" i="36"/>
  <c r="P44" i="36"/>
  <c r="D45" i="36"/>
  <c r="M45" i="36" s="1"/>
  <c r="J45" i="36"/>
  <c r="D46" i="36"/>
  <c r="P46" i="36"/>
  <c r="D47" i="36"/>
  <c r="O47" i="36" s="1"/>
  <c r="D48" i="36"/>
  <c r="N48" i="36" s="1"/>
  <c r="D49" i="36"/>
  <c r="I49" i="36" s="1"/>
  <c r="D50" i="36"/>
  <c r="M50" i="36" s="1"/>
  <c r="D51" i="36"/>
  <c r="D52" i="36"/>
  <c r="D53" i="36"/>
  <c r="M53" i="36" s="1"/>
  <c r="L53" i="36"/>
  <c r="S53" i="36"/>
  <c r="D54" i="36"/>
  <c r="H54" i="36" s="1"/>
  <c r="D55" i="36"/>
  <c r="R55" i="36" s="1"/>
  <c r="D56" i="36"/>
  <c r="N56" i="36" s="1"/>
  <c r="D57" i="36"/>
  <c r="S57" i="36" s="1"/>
  <c r="D58" i="36"/>
  <c r="D59" i="36"/>
  <c r="I59" i="36" s="1"/>
  <c r="D60" i="36"/>
  <c r="I60" i="36" s="1"/>
  <c r="K60" i="36"/>
  <c r="D61" i="36"/>
  <c r="D62" i="36"/>
  <c r="O62" i="36"/>
  <c r="D63" i="36"/>
  <c r="G63" i="36" s="1"/>
  <c r="D64" i="36"/>
  <c r="H64" i="36" s="1"/>
  <c r="N64" i="36"/>
  <c r="R64" i="36"/>
  <c r="D65" i="36"/>
  <c r="S65" i="36" s="1"/>
  <c r="D66" i="36"/>
  <c r="P66" i="36" s="1"/>
  <c r="O66" i="36"/>
  <c r="D67" i="36"/>
  <c r="D68" i="36"/>
  <c r="N68" i="36" s="1"/>
  <c r="D69" i="36"/>
  <c r="D70" i="36"/>
  <c r="H70" i="36" s="1"/>
  <c r="P70" i="36"/>
  <c r="S70" i="36"/>
  <c r="D71" i="36"/>
  <c r="G71" i="36" s="1"/>
  <c r="D72" i="36"/>
  <c r="H72" i="36"/>
  <c r="D73" i="36"/>
  <c r="M73" i="36" s="1"/>
  <c r="D74" i="36"/>
  <c r="O74" i="36" s="1"/>
  <c r="D75" i="36"/>
  <c r="D76" i="36"/>
  <c r="D77" i="36"/>
  <c r="D78" i="36"/>
  <c r="D79" i="36"/>
  <c r="D80" i="36"/>
  <c r="N80" i="36"/>
  <c r="D81" i="36"/>
  <c r="D82" i="36"/>
  <c r="H82" i="36"/>
  <c r="D83" i="36"/>
  <c r="D84" i="36"/>
  <c r="N84" i="36" s="1"/>
  <c r="P84" i="36"/>
  <c r="D85" i="36"/>
  <c r="J85" i="36" s="1"/>
  <c r="D86" i="36"/>
  <c r="G86" i="36" s="1"/>
  <c r="D87" i="36"/>
  <c r="L87" i="36" s="1"/>
  <c r="P87" i="36"/>
  <c r="D88" i="36"/>
  <c r="N88" i="36" s="1"/>
  <c r="D89" i="36"/>
  <c r="S89" i="36" s="1"/>
  <c r="D90" i="36"/>
  <c r="M90" i="36" s="1"/>
  <c r="D91" i="36"/>
  <c r="Q91" i="36" s="1"/>
  <c r="D92" i="36"/>
  <c r="I92" i="36"/>
  <c r="G92" i="36"/>
  <c r="H92" i="36"/>
  <c r="J92" i="36"/>
  <c r="K92" i="36"/>
  <c r="L92" i="36"/>
  <c r="N92" i="36"/>
  <c r="O92" i="36"/>
  <c r="P92" i="36"/>
  <c r="R92" i="36"/>
  <c r="S92" i="36"/>
  <c r="D93" i="36"/>
  <c r="D94" i="36"/>
  <c r="G94" i="36" s="1"/>
  <c r="K94" i="36"/>
  <c r="S94" i="36"/>
  <c r="D95" i="36"/>
  <c r="G95" i="36" s="1"/>
  <c r="D96" i="36"/>
  <c r="M96" i="36"/>
  <c r="D97" i="36"/>
  <c r="D98" i="36"/>
  <c r="D99" i="36"/>
  <c r="D100" i="36"/>
  <c r="H100" i="36" s="1"/>
  <c r="D101" i="36"/>
  <c r="N101" i="36" s="1"/>
  <c r="D102" i="36"/>
  <c r="L102" i="36"/>
  <c r="D103" i="36"/>
  <c r="G103" i="36"/>
  <c r="D104" i="36"/>
  <c r="G104" i="36" s="1"/>
  <c r="D105" i="36"/>
  <c r="M105" i="36" s="1"/>
  <c r="Q105" i="36"/>
  <c r="D106" i="36"/>
  <c r="L106" i="36" s="1"/>
  <c r="D107" i="36"/>
  <c r="G107" i="36" s="1"/>
  <c r="D108" i="36"/>
  <c r="Q108" i="36"/>
  <c r="D109" i="36"/>
  <c r="D110" i="36"/>
  <c r="L110" i="36" s="1"/>
  <c r="D111" i="36"/>
  <c r="G111" i="36" s="1"/>
  <c r="D112" i="36"/>
  <c r="G112" i="36" s="1"/>
  <c r="D113" i="36"/>
  <c r="Q113" i="36"/>
  <c r="D114" i="36"/>
  <c r="M114" i="36" s="1"/>
  <c r="D115" i="36"/>
  <c r="H115" i="36" s="1"/>
  <c r="P115" i="36"/>
  <c r="D116" i="36"/>
  <c r="P116" i="36" s="1"/>
  <c r="D117" i="36"/>
  <c r="M117" i="36" s="1"/>
  <c r="H117" i="36"/>
  <c r="I117" i="36"/>
  <c r="J117" i="36"/>
  <c r="N117" i="36"/>
  <c r="P117" i="36"/>
  <c r="Q117" i="36"/>
  <c r="S117" i="36"/>
  <c r="D118" i="36"/>
  <c r="L118" i="36" s="1"/>
  <c r="D119" i="36"/>
  <c r="D120" i="36"/>
  <c r="D121" i="36"/>
  <c r="H121" i="36" s="1"/>
  <c r="I121" i="36"/>
  <c r="D122" i="36"/>
  <c r="L122" i="36" s="1"/>
  <c r="D123" i="36"/>
  <c r="N123" i="36" s="1"/>
  <c r="D124" i="36"/>
  <c r="J124" i="36"/>
  <c r="D125" i="36"/>
  <c r="D126" i="36"/>
  <c r="M126" i="36" s="1"/>
  <c r="D127" i="36"/>
  <c r="P127" i="36" s="1"/>
  <c r="D128" i="36"/>
  <c r="I128" i="36" s="1"/>
  <c r="D129" i="36"/>
  <c r="J129" i="36" s="1"/>
  <c r="D130" i="36"/>
  <c r="L130" i="36"/>
  <c r="D131" i="36"/>
  <c r="H131" i="36" s="1"/>
  <c r="D132" i="36"/>
  <c r="R132" i="36" s="1"/>
  <c r="J132" i="36"/>
  <c r="D133" i="36"/>
  <c r="R133" i="36" s="1"/>
  <c r="D134" i="36"/>
  <c r="M134" i="36" s="1"/>
  <c r="L134" i="36"/>
  <c r="D135" i="36"/>
  <c r="G135" i="36" s="1"/>
  <c r="D136" i="36"/>
  <c r="I136" i="36" s="1"/>
  <c r="D137" i="36"/>
  <c r="K137" i="36" s="1"/>
  <c r="S137" i="36"/>
  <c r="D138" i="36"/>
  <c r="M138" i="36" s="1"/>
  <c r="D139" i="36"/>
  <c r="G139" i="36" s="1"/>
  <c r="D140" i="36"/>
  <c r="Q140" i="36"/>
  <c r="D141" i="36"/>
  <c r="H141" i="36" s="1"/>
  <c r="D142" i="36"/>
  <c r="L142" i="36" s="1"/>
  <c r="D143" i="36"/>
  <c r="D144" i="36"/>
  <c r="D145" i="36"/>
  <c r="R145" i="36" s="1"/>
  <c r="Q145" i="36"/>
  <c r="D146" i="36"/>
  <c r="L146" i="36" s="1"/>
  <c r="D147" i="36"/>
  <c r="D148" i="36"/>
  <c r="D149" i="36"/>
  <c r="H149" i="36"/>
  <c r="R149" i="36"/>
  <c r="D150" i="36"/>
  <c r="D151" i="36"/>
  <c r="O151" i="36" s="1"/>
  <c r="D152" i="36"/>
  <c r="P152" i="36" s="1"/>
  <c r="D153" i="36"/>
  <c r="P153" i="36" s="1"/>
  <c r="D154" i="36"/>
  <c r="L154" i="36" s="1"/>
  <c r="D155" i="36"/>
  <c r="G155" i="36"/>
  <c r="D156" i="36"/>
  <c r="H156" i="36" s="1"/>
  <c r="K156" i="36"/>
  <c r="G156" i="36"/>
  <c r="J156" i="36"/>
  <c r="O156" i="36"/>
  <c r="P156" i="36"/>
  <c r="D157" i="36"/>
  <c r="Q157" i="36" s="1"/>
  <c r="D158" i="36"/>
  <c r="L158" i="36" s="1"/>
  <c r="D159" i="36"/>
  <c r="H159" i="36" s="1"/>
  <c r="N159" i="36"/>
  <c r="D160" i="36"/>
  <c r="P160" i="36" s="1"/>
  <c r="D161" i="36"/>
  <c r="N161" i="36" s="1"/>
  <c r="D162" i="36"/>
  <c r="D163" i="36"/>
  <c r="G163" i="36" s="1"/>
  <c r="D164" i="36"/>
  <c r="R164" i="36" s="1"/>
  <c r="D165" i="36"/>
  <c r="D166" i="36"/>
  <c r="L166" i="36" s="1"/>
  <c r="M166" i="36"/>
  <c r="D167" i="36"/>
  <c r="G167" i="36" s="1"/>
  <c r="D168" i="36"/>
  <c r="R168" i="36"/>
  <c r="D169" i="36"/>
  <c r="H169" i="36" s="1"/>
  <c r="Q169" i="36"/>
  <c r="D170" i="36"/>
  <c r="M170" i="36" s="1"/>
  <c r="D171" i="36"/>
  <c r="D172" i="36"/>
  <c r="D173" i="36"/>
  <c r="N173" i="36" s="1"/>
  <c r="D174" i="36"/>
  <c r="L174" i="36" s="1"/>
  <c r="D175" i="36"/>
  <c r="O175" i="36" s="1"/>
  <c r="G175" i="36"/>
  <c r="D176" i="36"/>
  <c r="D177" i="36"/>
  <c r="J177" i="36" s="1"/>
  <c r="I177" i="36"/>
  <c r="Q177" i="36"/>
  <c r="D178" i="36"/>
  <c r="D179" i="36"/>
  <c r="G179" i="36" s="1"/>
  <c r="D180" i="36"/>
  <c r="D181" i="36"/>
  <c r="D182" i="36"/>
  <c r="M182" i="36" s="1"/>
  <c r="D183" i="36"/>
  <c r="G183" i="36" s="1"/>
  <c r="D184" i="36"/>
  <c r="H184" i="36" s="1"/>
  <c r="D185" i="36"/>
  <c r="D186" i="36"/>
  <c r="D187" i="36"/>
  <c r="D188" i="36"/>
  <c r="H188" i="36" s="1"/>
  <c r="D189" i="36"/>
  <c r="D190" i="36"/>
  <c r="N190" i="36" s="1"/>
  <c r="D191" i="36"/>
  <c r="D192" i="36"/>
  <c r="D193" i="36"/>
  <c r="J193" i="36" s="1"/>
  <c r="D194" i="36"/>
  <c r="Q194" i="36"/>
  <c r="D195" i="36"/>
  <c r="N195" i="36" s="1"/>
  <c r="D196" i="36"/>
  <c r="P196" i="36" s="1"/>
  <c r="D197" i="36"/>
  <c r="D198" i="36"/>
  <c r="R198" i="36" s="1"/>
  <c r="D199" i="36"/>
  <c r="R199" i="36"/>
  <c r="D200" i="36"/>
  <c r="H200" i="36" s="1"/>
  <c r="D201" i="36"/>
  <c r="D202" i="36"/>
  <c r="H202" i="36" s="1"/>
  <c r="D203" i="36"/>
  <c r="L203" i="36" s="1"/>
  <c r="J203" i="36"/>
  <c r="D204" i="36"/>
  <c r="H204" i="36" s="1"/>
  <c r="J204" i="36"/>
  <c r="L204" i="36"/>
  <c r="E1" i="35"/>
  <c r="A4" i="35"/>
  <c r="F1" i="35"/>
  <c r="D5" i="35"/>
  <c r="D6" i="35"/>
  <c r="G6" i="35" s="1"/>
  <c r="S6" i="35"/>
  <c r="D7" i="35"/>
  <c r="G7" i="35" s="1"/>
  <c r="D8" i="35"/>
  <c r="G8" i="35" s="1"/>
  <c r="O8" i="35"/>
  <c r="Q8" i="35"/>
  <c r="D9" i="35"/>
  <c r="D10" i="35"/>
  <c r="Q10" i="35" s="1"/>
  <c r="D11" i="35"/>
  <c r="D12" i="35"/>
  <c r="D13" i="35"/>
  <c r="H13" i="35"/>
  <c r="D14" i="35"/>
  <c r="H14" i="35" s="1"/>
  <c r="G14" i="35"/>
  <c r="O14" i="35"/>
  <c r="R14" i="35"/>
  <c r="D15" i="35"/>
  <c r="D16" i="35"/>
  <c r="P16" i="35"/>
  <c r="D17" i="35"/>
  <c r="S17" i="35" s="1"/>
  <c r="D18" i="35"/>
  <c r="I18" i="35" s="1"/>
  <c r="D19" i="35"/>
  <c r="M19" i="35" s="1"/>
  <c r="D20" i="35"/>
  <c r="J20" i="35"/>
  <c r="D21" i="35"/>
  <c r="H21" i="35" s="1"/>
  <c r="J21" i="35"/>
  <c r="O21" i="35"/>
  <c r="D22" i="35"/>
  <c r="M22" i="35" s="1"/>
  <c r="D23" i="35"/>
  <c r="M23" i="35"/>
  <c r="O23" i="35"/>
  <c r="D24" i="35"/>
  <c r="D25" i="35"/>
  <c r="D26" i="35"/>
  <c r="D27" i="35"/>
  <c r="M27" i="35" s="1"/>
  <c r="D28" i="35"/>
  <c r="D29" i="35"/>
  <c r="J29" i="35"/>
  <c r="D30" i="35"/>
  <c r="D31" i="35"/>
  <c r="G31" i="35" s="1"/>
  <c r="D32" i="35"/>
  <c r="J32" i="35" s="1"/>
  <c r="D33" i="35"/>
  <c r="D34" i="35"/>
  <c r="H34" i="35" s="1"/>
  <c r="D35" i="35"/>
  <c r="D36" i="35"/>
  <c r="O36" i="35" s="1"/>
  <c r="D37" i="35"/>
  <c r="D38" i="35"/>
  <c r="D39" i="35"/>
  <c r="M39" i="35"/>
  <c r="D40" i="35"/>
  <c r="D41" i="35"/>
  <c r="H41" i="35" s="1"/>
  <c r="Q41" i="35"/>
  <c r="D42" i="35"/>
  <c r="H42" i="35" s="1"/>
  <c r="D43" i="35"/>
  <c r="D44" i="35"/>
  <c r="J44" i="35"/>
  <c r="D45" i="35"/>
  <c r="D46" i="35"/>
  <c r="H46" i="35" s="1"/>
  <c r="I46" i="35"/>
  <c r="M46" i="35"/>
  <c r="N46" i="35"/>
  <c r="O46" i="35"/>
  <c r="S46" i="35"/>
  <c r="D47" i="35"/>
  <c r="D48" i="35"/>
  <c r="I48" i="35" s="1"/>
  <c r="D49" i="35"/>
  <c r="H49" i="35" s="1"/>
  <c r="D50" i="35"/>
  <c r="D51" i="35"/>
  <c r="G51" i="35" s="1"/>
  <c r="D52" i="35"/>
  <c r="D53" i="35"/>
  <c r="H53" i="35" s="1"/>
  <c r="M53" i="35"/>
  <c r="D54" i="35"/>
  <c r="D55" i="35"/>
  <c r="M55" i="35" s="1"/>
  <c r="D56" i="35"/>
  <c r="H56" i="35" s="1"/>
  <c r="D57" i="35"/>
  <c r="N57" i="35" s="1"/>
  <c r="D58" i="35"/>
  <c r="K58" i="35"/>
  <c r="D59" i="35"/>
  <c r="G59" i="35"/>
  <c r="D60" i="35"/>
  <c r="D61" i="35"/>
  <c r="L61" i="35" s="1"/>
  <c r="D62" i="35"/>
  <c r="D63" i="35"/>
  <c r="G63" i="35" s="1"/>
  <c r="D64" i="35"/>
  <c r="H64" i="35" s="1"/>
  <c r="D65" i="35"/>
  <c r="J65" i="35" s="1"/>
  <c r="D66" i="35"/>
  <c r="I66" i="35"/>
  <c r="D67" i="35"/>
  <c r="D68" i="35"/>
  <c r="D69" i="35"/>
  <c r="D70" i="35"/>
  <c r="N70" i="35"/>
  <c r="D71" i="35"/>
  <c r="D72" i="35"/>
  <c r="H72" i="35" s="1"/>
  <c r="D73" i="35"/>
  <c r="J73" i="35" s="1"/>
  <c r="I73" i="35"/>
  <c r="D74" i="35"/>
  <c r="H74" i="35" s="1"/>
  <c r="I74" i="35"/>
  <c r="L74" i="35"/>
  <c r="D75" i="35"/>
  <c r="N75" i="35" s="1"/>
  <c r="G75" i="35"/>
  <c r="M75" i="35"/>
  <c r="O75" i="35"/>
  <c r="D76" i="35"/>
  <c r="J76" i="35" s="1"/>
  <c r="D77" i="35"/>
  <c r="L77" i="35" s="1"/>
  <c r="D78" i="35"/>
  <c r="H78" i="35" s="1"/>
  <c r="D79" i="35"/>
  <c r="D80" i="35"/>
  <c r="I80" i="35" s="1"/>
  <c r="J80" i="35"/>
  <c r="D81" i="35"/>
  <c r="D82" i="35"/>
  <c r="G82" i="35" s="1"/>
  <c r="M82" i="35"/>
  <c r="D83" i="35"/>
  <c r="G83" i="35" s="1"/>
  <c r="D84" i="35"/>
  <c r="O84" i="35"/>
  <c r="P84" i="35"/>
  <c r="D85" i="35"/>
  <c r="N85" i="35" s="1"/>
  <c r="D86" i="35"/>
  <c r="R86" i="35" s="1"/>
  <c r="I86" i="35"/>
  <c r="L86" i="35"/>
  <c r="D87" i="35"/>
  <c r="O87" i="35" s="1"/>
  <c r="D88" i="35"/>
  <c r="D89" i="35"/>
  <c r="O89" i="35"/>
  <c r="D90" i="35"/>
  <c r="I90" i="35" s="1"/>
  <c r="O90" i="35"/>
  <c r="D91" i="35"/>
  <c r="G91" i="35" s="1"/>
  <c r="N91" i="35"/>
  <c r="D92" i="35"/>
  <c r="D93" i="35"/>
  <c r="D94" i="35"/>
  <c r="I94" i="35" s="1"/>
  <c r="J94" i="35"/>
  <c r="D95" i="35"/>
  <c r="D96" i="35"/>
  <c r="P96" i="35" s="1"/>
  <c r="D97" i="35"/>
  <c r="H97" i="35" s="1"/>
  <c r="D98" i="35"/>
  <c r="D99" i="35"/>
  <c r="G99" i="35" s="1"/>
  <c r="D100" i="35"/>
  <c r="J100" i="35" s="1"/>
  <c r="D101" i="35"/>
  <c r="N101" i="35" s="1"/>
  <c r="H101" i="35"/>
  <c r="K101" i="35"/>
  <c r="D102" i="35"/>
  <c r="S102" i="35" s="1"/>
  <c r="D103" i="35"/>
  <c r="M103" i="35" s="1"/>
  <c r="D104" i="35"/>
  <c r="J104" i="35" s="1"/>
  <c r="D105" i="35"/>
  <c r="L105" i="35" s="1"/>
  <c r="N105" i="35"/>
  <c r="D106" i="35"/>
  <c r="K106" i="35" s="1"/>
  <c r="N106" i="35"/>
  <c r="D107" i="35"/>
  <c r="G107" i="35" s="1"/>
  <c r="D108" i="35"/>
  <c r="J108" i="35" s="1"/>
  <c r="H108" i="35"/>
  <c r="I108" i="35"/>
  <c r="D109" i="35"/>
  <c r="G109" i="35"/>
  <c r="D110" i="35"/>
  <c r="M110" i="35" s="1"/>
  <c r="D111" i="35"/>
  <c r="G111" i="35" s="1"/>
  <c r="D112" i="35"/>
  <c r="J112" i="35" s="1"/>
  <c r="D113" i="35"/>
  <c r="I113" i="35" s="1"/>
  <c r="D114" i="35"/>
  <c r="H114" i="35" s="1"/>
  <c r="D115" i="35"/>
  <c r="M115" i="35" s="1"/>
  <c r="D116" i="35"/>
  <c r="P116" i="35" s="1"/>
  <c r="J116" i="35"/>
  <c r="O116" i="35"/>
  <c r="D117" i="35"/>
  <c r="I117" i="35" s="1"/>
  <c r="H117" i="35"/>
  <c r="K117" i="35"/>
  <c r="P117" i="35"/>
  <c r="S117" i="35"/>
  <c r="D118" i="35"/>
  <c r="H118" i="35" s="1"/>
  <c r="N118" i="35"/>
  <c r="D119" i="35"/>
  <c r="M119" i="35" s="1"/>
  <c r="D120" i="35"/>
  <c r="J120" i="35" s="1"/>
  <c r="D121" i="35"/>
  <c r="G121" i="35"/>
  <c r="D122" i="35"/>
  <c r="O122" i="35" s="1"/>
  <c r="D123" i="35"/>
  <c r="D124" i="35"/>
  <c r="J124" i="35"/>
  <c r="D125" i="35"/>
  <c r="O125" i="35" s="1"/>
  <c r="D126" i="35"/>
  <c r="H126" i="35" s="1"/>
  <c r="D127" i="35"/>
  <c r="O127" i="35" s="1"/>
  <c r="D128" i="35"/>
  <c r="H128" i="35" s="1"/>
  <c r="G128" i="35"/>
  <c r="D129" i="35"/>
  <c r="G129" i="35" s="1"/>
  <c r="D130" i="35"/>
  <c r="N130" i="35"/>
  <c r="D131" i="35"/>
  <c r="G131" i="35" s="1"/>
  <c r="D132" i="35"/>
  <c r="H132" i="35" s="1"/>
  <c r="G132" i="35"/>
  <c r="Q132" i="35"/>
  <c r="D133" i="35"/>
  <c r="G133" i="35" s="1"/>
  <c r="H133" i="35"/>
  <c r="I133" i="35"/>
  <c r="J133" i="35"/>
  <c r="M133" i="35"/>
  <c r="N133" i="35"/>
  <c r="P133" i="35"/>
  <c r="Q133" i="35"/>
  <c r="R133" i="35"/>
  <c r="S133" i="35"/>
  <c r="D134" i="35"/>
  <c r="H134" i="35" s="1"/>
  <c r="K134" i="35"/>
  <c r="O134" i="35"/>
  <c r="D135" i="35"/>
  <c r="O135" i="35" s="1"/>
  <c r="D136" i="35"/>
  <c r="P136" i="35" s="1"/>
  <c r="D137" i="35"/>
  <c r="D138" i="35"/>
  <c r="H138" i="35" s="1"/>
  <c r="D139" i="35"/>
  <c r="G139" i="35" s="1"/>
  <c r="D140" i="35"/>
  <c r="P140" i="35" s="1"/>
  <c r="D141" i="35"/>
  <c r="D142" i="35"/>
  <c r="L142" i="35" s="1"/>
  <c r="S142" i="35"/>
  <c r="D143" i="35"/>
  <c r="O143" i="35" s="1"/>
  <c r="D144" i="35"/>
  <c r="G144" i="35" s="1"/>
  <c r="H144" i="35"/>
  <c r="Q144" i="35"/>
  <c r="D145" i="35"/>
  <c r="N145" i="35" s="1"/>
  <c r="D146" i="35"/>
  <c r="K146" i="35" s="1"/>
  <c r="G146" i="35"/>
  <c r="Q146" i="35"/>
  <c r="D147" i="35"/>
  <c r="G147" i="35" s="1"/>
  <c r="D148" i="35"/>
  <c r="G148" i="35" s="1"/>
  <c r="D149" i="35"/>
  <c r="N149" i="35" s="1"/>
  <c r="D150" i="35"/>
  <c r="O150" i="35" s="1"/>
  <c r="D151" i="35"/>
  <c r="O151" i="35"/>
  <c r="D152" i="35"/>
  <c r="Q152" i="35" s="1"/>
  <c r="D153" i="35"/>
  <c r="G153" i="35"/>
  <c r="D154" i="35"/>
  <c r="H154" i="35" s="1"/>
  <c r="L154" i="35"/>
  <c r="M154" i="35"/>
  <c r="N154" i="35"/>
  <c r="D155" i="35"/>
  <c r="O155" i="35" s="1"/>
  <c r="G155" i="35"/>
  <c r="D156" i="35"/>
  <c r="Q156" i="35" s="1"/>
  <c r="G156" i="35"/>
  <c r="P156" i="35"/>
  <c r="D157" i="35"/>
  <c r="K157" i="35" s="1"/>
  <c r="G157" i="35"/>
  <c r="H157" i="35"/>
  <c r="I157" i="35"/>
  <c r="L157" i="35"/>
  <c r="M157" i="35"/>
  <c r="N157" i="35"/>
  <c r="P157" i="35"/>
  <c r="Q157" i="35"/>
  <c r="R157" i="35"/>
  <c r="D158" i="35"/>
  <c r="H158" i="35" s="1"/>
  <c r="D159" i="35"/>
  <c r="G159" i="35" s="1"/>
  <c r="D160" i="35"/>
  <c r="D161" i="35"/>
  <c r="K161" i="35" s="1"/>
  <c r="G161" i="35"/>
  <c r="R161" i="35"/>
  <c r="D162" i="35"/>
  <c r="H162" i="35" s="1"/>
  <c r="K162" i="35"/>
  <c r="Q162" i="35"/>
  <c r="D163" i="35"/>
  <c r="O163" i="35" s="1"/>
  <c r="D164" i="35"/>
  <c r="G164" i="35" s="1"/>
  <c r="D165" i="35"/>
  <c r="S165" i="35" s="1"/>
  <c r="D166" i="35"/>
  <c r="K166" i="35" s="1"/>
  <c r="H166" i="35"/>
  <c r="G166" i="35"/>
  <c r="Q166" i="35"/>
  <c r="D167" i="35"/>
  <c r="G167" i="35"/>
  <c r="D168" i="35"/>
  <c r="Q168" i="35" s="1"/>
  <c r="D169" i="35"/>
  <c r="G169" i="35" s="1"/>
  <c r="D170" i="35"/>
  <c r="H170" i="35" s="1"/>
  <c r="D171" i="35"/>
  <c r="O171" i="35" s="1"/>
  <c r="D172" i="35"/>
  <c r="Q172" i="35" s="1"/>
  <c r="D173" i="35"/>
  <c r="R173" i="35" s="1"/>
  <c r="K173" i="35"/>
  <c r="D174" i="35"/>
  <c r="H174" i="35" s="1"/>
  <c r="D175" i="35"/>
  <c r="G175" i="35" s="1"/>
  <c r="D176" i="35"/>
  <c r="H176" i="35" s="1"/>
  <c r="N176" i="35"/>
  <c r="D177" i="35"/>
  <c r="K177" i="35" s="1"/>
  <c r="D178" i="35"/>
  <c r="G178" i="35" s="1"/>
  <c r="H178" i="35"/>
  <c r="M178" i="35"/>
  <c r="Q178" i="35"/>
  <c r="D179" i="35"/>
  <c r="G179" i="35" s="1"/>
  <c r="D180" i="35"/>
  <c r="G180" i="35" s="1"/>
  <c r="D181" i="35"/>
  <c r="I181" i="35" s="1"/>
  <c r="D182" i="35"/>
  <c r="Q182" i="35" s="1"/>
  <c r="D183" i="35"/>
  <c r="O183" i="35" s="1"/>
  <c r="D184" i="35"/>
  <c r="H184" i="35" s="1"/>
  <c r="G184" i="35"/>
  <c r="D185" i="35"/>
  <c r="G185" i="35" s="1"/>
  <c r="D186" i="35"/>
  <c r="N186" i="35" s="1"/>
  <c r="D187" i="35"/>
  <c r="O187" i="35" s="1"/>
  <c r="D188" i="35"/>
  <c r="Q188" i="35" s="1"/>
  <c r="D189" i="35"/>
  <c r="D190" i="35"/>
  <c r="H190" i="35" s="1"/>
  <c r="D191" i="35"/>
  <c r="O191" i="35" s="1"/>
  <c r="D192" i="35"/>
  <c r="D193" i="35"/>
  <c r="J193" i="35" s="1"/>
  <c r="G193" i="35"/>
  <c r="R193" i="35"/>
  <c r="D194" i="35"/>
  <c r="G194" i="35"/>
  <c r="K194" i="35"/>
  <c r="N194" i="35"/>
  <c r="Q194" i="35"/>
  <c r="D195" i="35"/>
  <c r="G195" i="35" s="1"/>
  <c r="D196" i="35"/>
  <c r="G196" i="35" s="1"/>
  <c r="D197" i="35"/>
  <c r="K197" i="35" s="1"/>
  <c r="D198" i="35"/>
  <c r="H198" i="35" s="1"/>
  <c r="D199" i="35"/>
  <c r="O199" i="35" s="1"/>
  <c r="D200" i="35"/>
  <c r="P200" i="35" s="1"/>
  <c r="Q200" i="35"/>
  <c r="D201" i="35"/>
  <c r="G201" i="35" s="1"/>
  <c r="D202" i="35"/>
  <c r="N202" i="35" s="1"/>
  <c r="H202" i="35"/>
  <c r="L202" i="35"/>
  <c r="D203" i="35"/>
  <c r="G203" i="35" s="1"/>
  <c r="D204" i="35"/>
  <c r="G204" i="35" s="1"/>
  <c r="Q204" i="35"/>
  <c r="E14" i="34"/>
  <c r="F14" i="34"/>
  <c r="E25" i="34"/>
  <c r="F25" i="34"/>
  <c r="E36" i="34"/>
  <c r="F36" i="34"/>
  <c r="E47" i="34"/>
  <c r="F47" i="34"/>
  <c r="D1" i="33"/>
  <c r="E14" i="33"/>
  <c r="E1" i="33" s="1"/>
  <c r="F14" i="33"/>
  <c r="E25" i="33"/>
  <c r="F25" i="33"/>
  <c r="D1" i="32"/>
  <c r="E14" i="32"/>
  <c r="F14" i="32"/>
  <c r="E25" i="32"/>
  <c r="F25" i="32"/>
  <c r="E36" i="32"/>
  <c r="F36" i="32"/>
  <c r="E14" i="31"/>
  <c r="F14" i="31"/>
  <c r="E25" i="31"/>
  <c r="F25" i="31"/>
  <c r="E36" i="31"/>
  <c r="F36" i="31"/>
  <c r="E47" i="31"/>
  <c r="F47" i="31"/>
  <c r="D1" i="30"/>
  <c r="E14" i="30"/>
  <c r="F14" i="30"/>
  <c r="E25" i="30"/>
  <c r="F25" i="30"/>
  <c r="E36" i="30"/>
  <c r="F36" i="30"/>
  <c r="D1" i="29"/>
  <c r="E26" i="29"/>
  <c r="F26" i="29"/>
  <c r="E37" i="29"/>
  <c r="F37" i="29"/>
  <c r="E14" i="28"/>
  <c r="F14" i="28"/>
  <c r="E25" i="28"/>
  <c r="F25" i="28"/>
  <c r="E36" i="28"/>
  <c r="F36" i="28"/>
  <c r="E47" i="28"/>
  <c r="F47" i="28"/>
  <c r="E36" i="27"/>
  <c r="F36" i="27"/>
  <c r="E47" i="27"/>
  <c r="F47" i="27"/>
  <c r="E1" i="27"/>
  <c r="G5" i="6" s="1"/>
  <c r="E26" i="26"/>
  <c r="F26" i="26"/>
  <c r="E37" i="26"/>
  <c r="F37" i="26"/>
  <c r="E14" i="25"/>
  <c r="F14" i="25"/>
  <c r="E25" i="25"/>
  <c r="F25" i="25"/>
  <c r="E36" i="25"/>
  <c r="F36" i="25"/>
  <c r="D1" i="24"/>
  <c r="E14" i="24"/>
  <c r="F14" i="24"/>
  <c r="E25" i="24"/>
  <c r="F25" i="24"/>
  <c r="E36" i="24"/>
  <c r="F36" i="24"/>
  <c r="E47" i="24"/>
  <c r="F47" i="24"/>
  <c r="M170" i="35"/>
  <c r="O162" i="35"/>
  <c r="J162" i="35"/>
  <c r="M145" i="35"/>
  <c r="S134" i="35"/>
  <c r="N134" i="35"/>
  <c r="J134" i="35"/>
  <c r="S97" i="35"/>
  <c r="M87" i="35"/>
  <c r="H62" i="35"/>
  <c r="K62" i="35"/>
  <c r="R62" i="35"/>
  <c r="G41" i="35"/>
  <c r="K41" i="35"/>
  <c r="O41" i="35"/>
  <c r="S41" i="35"/>
  <c r="J33" i="35"/>
  <c r="P32" i="35"/>
  <c r="H26" i="35"/>
  <c r="I26" i="35"/>
  <c r="H18" i="35"/>
  <c r="L18" i="35"/>
  <c r="N18" i="35"/>
  <c r="P13" i="35"/>
  <c r="J6" i="35"/>
  <c r="I6" i="35"/>
  <c r="Q6" i="35"/>
  <c r="R6" i="35"/>
  <c r="O182" i="36"/>
  <c r="N182" i="36"/>
  <c r="M169" i="36"/>
  <c r="R169" i="36"/>
  <c r="I169" i="36"/>
  <c r="N75" i="36"/>
  <c r="M75" i="36"/>
  <c r="O20" i="36"/>
  <c r="G20" i="36"/>
  <c r="P20" i="36"/>
  <c r="H20" i="36"/>
  <c r="S20" i="36"/>
  <c r="K20" i="36"/>
  <c r="M188" i="37"/>
  <c r="K171" i="37"/>
  <c r="N171" i="37"/>
  <c r="S171" i="37"/>
  <c r="K151" i="37"/>
  <c r="G151" i="37"/>
  <c r="R151" i="37"/>
  <c r="J151" i="37"/>
  <c r="N151" i="37"/>
  <c r="G146" i="37"/>
  <c r="P146" i="37"/>
  <c r="H146" i="37"/>
  <c r="Q146" i="37"/>
  <c r="I146" i="37"/>
  <c r="S146" i="37"/>
  <c r="H200" i="35"/>
  <c r="Q198" i="35"/>
  <c r="N189" i="35"/>
  <c r="P188" i="35"/>
  <c r="K182" i="35"/>
  <c r="P181" i="35"/>
  <c r="J178" i="35"/>
  <c r="R170" i="35"/>
  <c r="S162" i="35"/>
  <c r="N162" i="35"/>
  <c r="I162" i="35"/>
  <c r="O161" i="35"/>
  <c r="N152" i="35"/>
  <c r="K150" i="35"/>
  <c r="O146" i="35"/>
  <c r="J146" i="35"/>
  <c r="P144" i="35"/>
  <c r="R134" i="35"/>
  <c r="M134" i="35"/>
  <c r="I134" i="35"/>
  <c r="N121" i="35"/>
  <c r="I121" i="35"/>
  <c r="P112" i="35"/>
  <c r="R106" i="35"/>
  <c r="Q101" i="35"/>
  <c r="M101" i="35"/>
  <c r="I101" i="35"/>
  <c r="K97" i="35"/>
  <c r="J93" i="35"/>
  <c r="P93" i="35"/>
  <c r="H90" i="35"/>
  <c r="M90" i="35"/>
  <c r="R90" i="35"/>
  <c r="H86" i="35"/>
  <c r="N86" i="35"/>
  <c r="J84" i="35"/>
  <c r="H84" i="35"/>
  <c r="Q82" i="35"/>
  <c r="J81" i="35"/>
  <c r="H69" i="35"/>
  <c r="N69" i="35"/>
  <c r="R66" i="35"/>
  <c r="N62" i="35"/>
  <c r="H58" i="35"/>
  <c r="I58" i="35"/>
  <c r="H54" i="35"/>
  <c r="L54" i="35"/>
  <c r="H50" i="35"/>
  <c r="P41" i="35"/>
  <c r="J41" i="35"/>
  <c r="H38" i="35"/>
  <c r="L38" i="35"/>
  <c r="H37" i="35"/>
  <c r="J36" i="35"/>
  <c r="H36" i="35"/>
  <c r="H33" i="35"/>
  <c r="H30" i="35"/>
  <c r="O30" i="35"/>
  <c r="R18" i="35"/>
  <c r="K17" i="35"/>
  <c r="N13" i="35"/>
  <c r="O6" i="35"/>
  <c r="J195" i="36"/>
  <c r="H175" i="36"/>
  <c r="N175" i="36"/>
  <c r="P164" i="36"/>
  <c r="K132" i="36"/>
  <c r="G132" i="36"/>
  <c r="O132" i="36"/>
  <c r="H132" i="36"/>
  <c r="P132" i="36"/>
  <c r="I132" i="36"/>
  <c r="Q132" i="36"/>
  <c r="J116" i="36"/>
  <c r="I116" i="36"/>
  <c r="N116" i="36"/>
  <c r="H99" i="36"/>
  <c r="G99" i="36"/>
  <c r="P99" i="36"/>
  <c r="O83" i="36"/>
  <c r="P83" i="36"/>
  <c r="K79" i="36"/>
  <c r="O77" i="36"/>
  <c r="H67" i="36"/>
  <c r="I67" i="36"/>
  <c r="O67" i="36"/>
  <c r="G50" i="36"/>
  <c r="H50" i="36"/>
  <c r="O50" i="36"/>
  <c r="I50" i="36"/>
  <c r="Q50" i="36"/>
  <c r="K50" i="36"/>
  <c r="S50" i="36"/>
  <c r="N43" i="36"/>
  <c r="M43" i="36"/>
  <c r="G195" i="37"/>
  <c r="H195" i="37"/>
  <c r="N195" i="37"/>
  <c r="I195" i="37"/>
  <c r="P195" i="37"/>
  <c r="J195" i="37"/>
  <c r="Q195" i="37"/>
  <c r="N200" i="35"/>
  <c r="P204" i="35"/>
  <c r="M202" i="35"/>
  <c r="O194" i="35"/>
  <c r="J194" i="35"/>
  <c r="M189" i="35"/>
  <c r="G188" i="35"/>
  <c r="L186" i="35"/>
  <c r="S178" i="35"/>
  <c r="N178" i="35"/>
  <c r="P173" i="35"/>
  <c r="O170" i="35"/>
  <c r="R162" i="35"/>
  <c r="M162" i="35"/>
  <c r="G162" i="35"/>
  <c r="J161" i="35"/>
  <c r="H152" i="35"/>
  <c r="Q150" i="35"/>
  <c r="S146" i="35"/>
  <c r="N146" i="35"/>
  <c r="I146" i="35"/>
  <c r="Q134" i="35"/>
  <c r="L134" i="35"/>
  <c r="G134" i="35"/>
  <c r="Q121" i="35"/>
  <c r="H121" i="35"/>
  <c r="I116" i="35"/>
  <c r="G115" i="35"/>
  <c r="H112" i="35"/>
  <c r="O108" i="35"/>
  <c r="O107" i="35"/>
  <c r="P101" i="35"/>
  <c r="L101" i="35"/>
  <c r="L94" i="35"/>
  <c r="Q94" i="35"/>
  <c r="S90" i="35"/>
  <c r="K90" i="35"/>
  <c r="O86" i="35"/>
  <c r="G85" i="35"/>
  <c r="O82" i="35"/>
  <c r="J68" i="35"/>
  <c r="I68" i="35"/>
  <c r="L62" i="35"/>
  <c r="L58" i="35"/>
  <c r="I57" i="35"/>
  <c r="H57" i="35"/>
  <c r="P57" i="35"/>
  <c r="O55" i="35"/>
  <c r="K53" i="35"/>
  <c r="G53" i="35"/>
  <c r="L53" i="35"/>
  <c r="P53" i="35"/>
  <c r="J45" i="35"/>
  <c r="N41" i="35"/>
  <c r="I41" i="35"/>
  <c r="N38" i="35"/>
  <c r="P37" i="35"/>
  <c r="P36" i="35"/>
  <c r="R30" i="35"/>
  <c r="K22" i="35"/>
  <c r="O18" i="35"/>
  <c r="P12" i="35"/>
  <c r="J8" i="35"/>
  <c r="H8" i="35"/>
  <c r="I8" i="35"/>
  <c r="M6" i="35"/>
  <c r="G202" i="36"/>
  <c r="J202" i="36"/>
  <c r="L202" i="36"/>
  <c r="P175" i="36"/>
  <c r="N171" i="36"/>
  <c r="H171" i="36"/>
  <c r="H168" i="36"/>
  <c r="I168" i="36"/>
  <c r="P168" i="36"/>
  <c r="L157" i="36"/>
  <c r="L150" i="36"/>
  <c r="N150" i="36"/>
  <c r="K144" i="36"/>
  <c r="G144" i="36"/>
  <c r="O144" i="36"/>
  <c r="H144" i="36"/>
  <c r="P144" i="36"/>
  <c r="I144" i="36"/>
  <c r="Q144" i="36"/>
  <c r="L98" i="36"/>
  <c r="M98" i="36"/>
  <c r="N98" i="36"/>
  <c r="K56" i="36"/>
  <c r="G56" i="36"/>
  <c r="P56" i="36"/>
  <c r="H56" i="36"/>
  <c r="S56" i="36"/>
  <c r="L56" i="36"/>
  <c r="O41" i="36"/>
  <c r="M41" i="36"/>
  <c r="N41" i="36"/>
  <c r="N37" i="36"/>
  <c r="I37" i="36"/>
  <c r="J37" i="36"/>
  <c r="Q37" i="36"/>
  <c r="N192" i="37"/>
  <c r="M192" i="37"/>
  <c r="O192" i="37"/>
  <c r="H190" i="37"/>
  <c r="N190" i="37"/>
  <c r="I190" i="37"/>
  <c r="O190" i="37"/>
  <c r="P190" i="37"/>
  <c r="G154" i="37"/>
  <c r="I154" i="37"/>
  <c r="K154" i="37"/>
  <c r="M154" i="37"/>
  <c r="G147" i="37"/>
  <c r="K147" i="37"/>
  <c r="S147" i="37"/>
  <c r="H147" i="37"/>
  <c r="L147" i="37"/>
  <c r="I147" i="37"/>
  <c r="M147" i="37"/>
  <c r="Q147" i="37"/>
  <c r="L97" i="35"/>
  <c r="P97" i="35"/>
  <c r="H82" i="35"/>
  <c r="I82" i="35"/>
  <c r="N82" i="35"/>
  <c r="S82" i="35"/>
  <c r="L81" i="35"/>
  <c r="H66" i="35"/>
  <c r="L66" i="35"/>
  <c r="Q33" i="35"/>
  <c r="J16" i="35"/>
  <c r="H16" i="35"/>
  <c r="O16" i="35"/>
  <c r="I13" i="35"/>
  <c r="K13" i="35"/>
  <c r="S13" i="35"/>
  <c r="M13" i="35"/>
  <c r="M7" i="35"/>
  <c r="H201" i="36"/>
  <c r="J201" i="36"/>
  <c r="L162" i="36"/>
  <c r="M162" i="36"/>
  <c r="N162" i="36"/>
  <c r="I91" i="36"/>
  <c r="R91" i="36"/>
  <c r="J91" i="36"/>
  <c r="P91" i="36"/>
  <c r="M58" i="36"/>
  <c r="N58" i="36"/>
  <c r="O58" i="36"/>
  <c r="Q51" i="36"/>
  <c r="G51" i="36"/>
  <c r="H51" i="36"/>
  <c r="G36" i="36"/>
  <c r="H36" i="36"/>
  <c r="N36" i="36"/>
  <c r="S36" i="36"/>
  <c r="N20" i="36"/>
  <c r="G18" i="36"/>
  <c r="H18" i="36"/>
  <c r="I18" i="36"/>
  <c r="S18" i="36"/>
  <c r="L18" i="36"/>
  <c r="G189" i="37"/>
  <c r="O189" i="37"/>
  <c r="Q189" i="37"/>
  <c r="S189" i="37"/>
  <c r="Q185" i="37"/>
  <c r="M174" i="37"/>
  <c r="G174" i="37"/>
  <c r="Q174" i="37"/>
  <c r="O162" i="37"/>
  <c r="N162" i="37"/>
  <c r="R147" i="37"/>
  <c r="O81" i="37"/>
  <c r="H81" i="37"/>
  <c r="G70" i="37"/>
  <c r="L68" i="37"/>
  <c r="N68" i="37"/>
  <c r="H63" i="37"/>
  <c r="G63" i="37"/>
  <c r="M63" i="37"/>
  <c r="R63" i="37"/>
  <c r="I54" i="37"/>
  <c r="M54" i="37"/>
  <c r="Q54" i="37"/>
  <c r="I42" i="37"/>
  <c r="M42" i="37"/>
  <c r="Q42" i="37"/>
  <c r="G42" i="37"/>
  <c r="K42" i="37"/>
  <c r="O42" i="37"/>
  <c r="S42" i="37"/>
  <c r="O40" i="37"/>
  <c r="L40" i="37"/>
  <c r="G40" i="37"/>
  <c r="G7" i="37"/>
  <c r="L7" i="37"/>
  <c r="J7" i="37"/>
  <c r="S7" i="37"/>
  <c r="K7" i="37"/>
  <c r="J196" i="38"/>
  <c r="I196" i="38"/>
  <c r="Q196" i="38"/>
  <c r="G196" i="38"/>
  <c r="O196" i="38"/>
  <c r="H196" i="38"/>
  <c r="P196" i="38"/>
  <c r="G188" i="38"/>
  <c r="O188" i="38"/>
  <c r="I188" i="38"/>
  <c r="R134" i="38"/>
  <c r="S134" i="38"/>
  <c r="H131" i="38"/>
  <c r="L131" i="38"/>
  <c r="M129" i="38"/>
  <c r="J129" i="38"/>
  <c r="Q129" i="38"/>
  <c r="N129" i="38"/>
  <c r="S129" i="38"/>
  <c r="I129" i="38"/>
  <c r="L145" i="36"/>
  <c r="R137" i="36"/>
  <c r="I137" i="36"/>
  <c r="N133" i="36"/>
  <c r="P131" i="36"/>
  <c r="P128" i="36"/>
  <c r="H128" i="36"/>
  <c r="I124" i="36"/>
  <c r="O87" i="36"/>
  <c r="I87" i="36"/>
  <c r="Q82" i="36"/>
  <c r="Q53" i="36"/>
  <c r="J53" i="36"/>
  <c r="Q49" i="36"/>
  <c r="S45" i="36"/>
  <c r="K45" i="36"/>
  <c r="H39" i="36"/>
  <c r="P28" i="36"/>
  <c r="I28" i="36"/>
  <c r="R27" i="36"/>
  <c r="H27" i="36"/>
  <c r="S25" i="36"/>
  <c r="P202" i="37"/>
  <c r="H202" i="37"/>
  <c r="N201" i="37"/>
  <c r="M198" i="37"/>
  <c r="I197" i="37"/>
  <c r="Q196" i="37"/>
  <c r="J196" i="37"/>
  <c r="O194" i="37"/>
  <c r="Q193" i="37"/>
  <c r="S191" i="37"/>
  <c r="N191" i="37"/>
  <c r="H191" i="37"/>
  <c r="S187" i="37"/>
  <c r="N187" i="37"/>
  <c r="H187" i="37"/>
  <c r="P179" i="37"/>
  <c r="H179" i="37"/>
  <c r="H178" i="37"/>
  <c r="P170" i="37"/>
  <c r="Q167" i="37"/>
  <c r="M167" i="37"/>
  <c r="H167" i="37"/>
  <c r="O153" i="37"/>
  <c r="S150" i="37"/>
  <c r="I150" i="37"/>
  <c r="O136" i="37"/>
  <c r="I136" i="37"/>
  <c r="Q135" i="37"/>
  <c r="J135" i="37"/>
  <c r="P123" i="37"/>
  <c r="L123" i="37"/>
  <c r="H123" i="37"/>
  <c r="P122" i="37"/>
  <c r="I122" i="37"/>
  <c r="O121" i="37"/>
  <c r="R120" i="37"/>
  <c r="M120" i="37"/>
  <c r="I120" i="37"/>
  <c r="O119" i="37"/>
  <c r="M118" i="37"/>
  <c r="S108" i="37"/>
  <c r="K108" i="37"/>
  <c r="O104" i="37"/>
  <c r="S103" i="37"/>
  <c r="N103" i="37"/>
  <c r="I103" i="37"/>
  <c r="N94" i="37"/>
  <c r="P92" i="37"/>
  <c r="L89" i="37"/>
  <c r="Q87" i="37"/>
  <c r="S86" i="37"/>
  <c r="N86" i="37"/>
  <c r="I86" i="37"/>
  <c r="Q81" i="37"/>
  <c r="H75" i="37"/>
  <c r="I75" i="37"/>
  <c r="N75" i="37"/>
  <c r="S75" i="37"/>
  <c r="R74" i="37"/>
  <c r="K71" i="37"/>
  <c r="S63" i="37"/>
  <c r="L63" i="37"/>
  <c r="O56" i="37"/>
  <c r="N56" i="37"/>
  <c r="G55" i="37"/>
  <c r="J55" i="37"/>
  <c r="S55" i="37"/>
  <c r="O54" i="37"/>
  <c r="J54" i="37"/>
  <c r="H53" i="37"/>
  <c r="K50" i="37"/>
  <c r="Q47" i="37"/>
  <c r="I47" i="37"/>
  <c r="G43" i="37"/>
  <c r="N43" i="37"/>
  <c r="K43" i="37"/>
  <c r="Q43" i="37"/>
  <c r="L42" i="37"/>
  <c r="L35" i="37"/>
  <c r="K31" i="37"/>
  <c r="M29" i="37"/>
  <c r="I29" i="37"/>
  <c r="G29" i="37"/>
  <c r="K18" i="37"/>
  <c r="O16" i="37"/>
  <c r="G180" i="38"/>
  <c r="P180" i="38"/>
  <c r="I169" i="38"/>
  <c r="J169" i="38"/>
  <c r="Q169" i="38"/>
  <c r="G163" i="38"/>
  <c r="L163" i="38"/>
  <c r="M137" i="38"/>
  <c r="J137" i="38"/>
  <c r="P137" i="38"/>
  <c r="H137" i="38"/>
  <c r="L137" i="38"/>
  <c r="R137" i="38"/>
  <c r="I137" i="38"/>
  <c r="N137" i="38"/>
  <c r="S137" i="38"/>
  <c r="S106" i="38"/>
  <c r="K106" i="38"/>
  <c r="Q14" i="35"/>
  <c r="K14" i="35"/>
  <c r="J10" i="35"/>
  <c r="P194" i="36"/>
  <c r="Q156" i="36"/>
  <c r="I156" i="36"/>
  <c r="P155" i="36"/>
  <c r="I145" i="36"/>
  <c r="Q137" i="36"/>
  <c r="H137" i="36"/>
  <c r="I133" i="36"/>
  <c r="G131" i="36"/>
  <c r="O128" i="36"/>
  <c r="G128" i="36"/>
  <c r="N125" i="36"/>
  <c r="Q124" i="36"/>
  <c r="H124" i="36"/>
  <c r="S121" i="36"/>
  <c r="N115" i="36"/>
  <c r="K109" i="36"/>
  <c r="R97" i="36"/>
  <c r="L96" i="36"/>
  <c r="S87" i="36"/>
  <c r="N87" i="36"/>
  <c r="G87" i="36"/>
  <c r="S84" i="36"/>
  <c r="K84" i="36"/>
  <c r="L82" i="36"/>
  <c r="P74" i="36"/>
  <c r="O60" i="36"/>
  <c r="J60" i="36"/>
  <c r="R59" i="36"/>
  <c r="N53" i="36"/>
  <c r="G53" i="36"/>
  <c r="G49" i="36"/>
  <c r="O45" i="36"/>
  <c r="Q40" i="36"/>
  <c r="J40" i="36"/>
  <c r="R39" i="36"/>
  <c r="G39" i="36"/>
  <c r="N32" i="36"/>
  <c r="N28" i="36"/>
  <c r="H28" i="36"/>
  <c r="P27" i="36"/>
  <c r="G27" i="36"/>
  <c r="K25" i="36"/>
  <c r="Q24" i="36"/>
  <c r="M24" i="36"/>
  <c r="L21" i="36"/>
  <c r="S16" i="36"/>
  <c r="R12" i="36"/>
  <c r="S203" i="37"/>
  <c r="S202" i="37"/>
  <c r="O202" i="37"/>
  <c r="G202" i="37"/>
  <c r="K200" i="37"/>
  <c r="K198" i="37"/>
  <c r="H197" i="37"/>
  <c r="N196" i="37"/>
  <c r="G196" i="37"/>
  <c r="I193" i="37"/>
  <c r="R191" i="37"/>
  <c r="L191" i="37"/>
  <c r="G191" i="37"/>
  <c r="R187" i="37"/>
  <c r="L187" i="37"/>
  <c r="G187" i="37"/>
  <c r="M186" i="37"/>
  <c r="Q184" i="37"/>
  <c r="K184" i="37"/>
  <c r="O182" i="37"/>
  <c r="Q181" i="37"/>
  <c r="O179" i="37"/>
  <c r="G179" i="37"/>
  <c r="G178" i="37"/>
  <c r="S175" i="37"/>
  <c r="Q173" i="37"/>
  <c r="K173" i="37"/>
  <c r="S172" i="37"/>
  <c r="N172" i="37"/>
  <c r="J172" i="37"/>
  <c r="H170" i="37"/>
  <c r="P167" i="37"/>
  <c r="L167" i="37"/>
  <c r="G167" i="37"/>
  <c r="O159" i="37"/>
  <c r="P150" i="37"/>
  <c r="H150" i="37"/>
  <c r="L144" i="37"/>
  <c r="S140" i="37"/>
  <c r="K140" i="37"/>
  <c r="S139" i="37"/>
  <c r="K139" i="37"/>
  <c r="M136" i="37"/>
  <c r="G136" i="37"/>
  <c r="P135" i="37"/>
  <c r="I135" i="37"/>
  <c r="S123" i="37"/>
  <c r="O123" i="37"/>
  <c r="K123" i="37"/>
  <c r="N122" i="37"/>
  <c r="H122" i="37"/>
  <c r="Q120" i="37"/>
  <c r="L120" i="37"/>
  <c r="G120" i="37"/>
  <c r="H118" i="37"/>
  <c r="K116" i="37"/>
  <c r="Q112" i="37"/>
  <c r="O108" i="37"/>
  <c r="J108" i="37"/>
  <c r="P107" i="37"/>
  <c r="I104" i="37"/>
  <c r="R103" i="37"/>
  <c r="M103" i="37"/>
  <c r="R95" i="37"/>
  <c r="J94" i="37"/>
  <c r="H92" i="37"/>
  <c r="Q89" i="37"/>
  <c r="J89" i="37"/>
  <c r="O87" i="37"/>
  <c r="Q86" i="37"/>
  <c r="M86" i="37"/>
  <c r="H86" i="37"/>
  <c r="M81" i="37"/>
  <c r="R75" i="37"/>
  <c r="L75" i="37"/>
  <c r="K74" i="37"/>
  <c r="S71" i="37"/>
  <c r="Q63" i="37"/>
  <c r="J63" i="37"/>
  <c r="G60" i="37"/>
  <c r="L60" i="37"/>
  <c r="Q55" i="37"/>
  <c r="S54" i="37"/>
  <c r="N54" i="37"/>
  <c r="H54" i="37"/>
  <c r="G53" i="37"/>
  <c r="N47" i="37"/>
  <c r="O43" i="37"/>
  <c r="R42" i="37"/>
  <c r="J42" i="37"/>
  <c r="N41" i="37"/>
  <c r="I41" i="37"/>
  <c r="G41" i="37"/>
  <c r="R31" i="37"/>
  <c r="I27" i="37"/>
  <c r="J27" i="37"/>
  <c r="S27" i="37"/>
  <c r="M27" i="37"/>
  <c r="Q18" i="37"/>
  <c r="J14" i="37"/>
  <c r="L14" i="37"/>
  <c r="G14" i="37"/>
  <c r="R14" i="37"/>
  <c r="R196" i="38"/>
  <c r="L186" i="38"/>
  <c r="M186" i="38"/>
  <c r="S186" i="38"/>
  <c r="R129" i="38"/>
  <c r="P121" i="38"/>
  <c r="L121" i="38"/>
  <c r="N135" i="37"/>
  <c r="H135" i="37"/>
  <c r="N108" i="37"/>
  <c r="G104" i="37"/>
  <c r="J95" i="37"/>
  <c r="P89" i="37"/>
  <c r="P86" i="37"/>
  <c r="L86" i="37"/>
  <c r="G86" i="37"/>
  <c r="O82" i="37"/>
  <c r="I81" i="37"/>
  <c r="I79" i="37"/>
  <c r="G71" i="37"/>
  <c r="N71" i="37"/>
  <c r="H70" i="37"/>
  <c r="M68" i="37"/>
  <c r="G64" i="37"/>
  <c r="O63" i="37"/>
  <c r="I63" i="37"/>
  <c r="G61" i="37"/>
  <c r="N59" i="37"/>
  <c r="R54" i="37"/>
  <c r="L54" i="37"/>
  <c r="G54" i="37"/>
  <c r="H47" i="37"/>
  <c r="J47" i="37"/>
  <c r="O47" i="37"/>
  <c r="P42" i="37"/>
  <c r="H42" i="37"/>
  <c r="K40" i="37"/>
  <c r="H31" i="37"/>
  <c r="J31" i="37"/>
  <c r="N31" i="37"/>
  <c r="S31" i="37"/>
  <c r="G31" i="37"/>
  <c r="L31" i="37"/>
  <c r="Q31" i="37"/>
  <c r="G28" i="37"/>
  <c r="M28" i="37"/>
  <c r="K28" i="37"/>
  <c r="J18" i="37"/>
  <c r="I18" i="37"/>
  <c r="N18" i="37"/>
  <c r="S18" i="37"/>
  <c r="G18" i="37"/>
  <c r="L18" i="37"/>
  <c r="P18" i="37"/>
  <c r="M16" i="37"/>
  <c r="K16" i="37"/>
  <c r="S16" i="37"/>
  <c r="Q7" i="37"/>
  <c r="N196" i="38"/>
  <c r="P189" i="38"/>
  <c r="H189" i="38"/>
  <c r="R189" i="38"/>
  <c r="J189" i="38"/>
  <c r="J142" i="38"/>
  <c r="N142" i="38"/>
  <c r="L142" i="38"/>
  <c r="M142" i="38"/>
  <c r="L129" i="38"/>
  <c r="G120" i="38"/>
  <c r="I120" i="38"/>
  <c r="N102" i="38"/>
  <c r="K122" i="38"/>
  <c r="R122" i="38"/>
  <c r="G111" i="38"/>
  <c r="N111" i="38"/>
  <c r="H91" i="38"/>
  <c r="P91" i="38"/>
  <c r="R89" i="38"/>
  <c r="Q88" i="38"/>
  <c r="H88" i="38"/>
  <c r="M85" i="38"/>
  <c r="H85" i="38"/>
  <c r="L85" i="38"/>
  <c r="R85" i="38"/>
  <c r="Q73" i="38"/>
  <c r="M70" i="38"/>
  <c r="P69" i="38"/>
  <c r="I69" i="38"/>
  <c r="Q64" i="38"/>
  <c r="P64" i="38"/>
  <c r="M49" i="38"/>
  <c r="I49" i="38"/>
  <c r="P49" i="38"/>
  <c r="H49" i="38"/>
  <c r="N49" i="38"/>
  <c r="S49" i="38"/>
  <c r="N45" i="38"/>
  <c r="R45" i="38"/>
  <c r="H45" i="38"/>
  <c r="H43" i="38"/>
  <c r="P43" i="38"/>
  <c r="G43" i="38"/>
  <c r="O43" i="38"/>
  <c r="K37" i="38"/>
  <c r="N34" i="38"/>
  <c r="M34" i="38"/>
  <c r="M21" i="38"/>
  <c r="J21" i="38"/>
  <c r="Q21" i="38"/>
  <c r="I21" i="38"/>
  <c r="P21" i="38"/>
  <c r="J16" i="38"/>
  <c r="H16" i="38"/>
  <c r="M16" i="38"/>
  <c r="Q16" i="38"/>
  <c r="G16" i="38"/>
  <c r="L16" i="38"/>
  <c r="P16" i="38"/>
  <c r="L12" i="38"/>
  <c r="M5" i="38"/>
  <c r="K5" i="38"/>
  <c r="I5" i="38"/>
  <c r="R5" i="38"/>
  <c r="R192" i="39"/>
  <c r="I46" i="37"/>
  <c r="O38" i="37"/>
  <c r="I38" i="37"/>
  <c r="S26" i="37"/>
  <c r="N26" i="37"/>
  <c r="M24" i="37"/>
  <c r="Q23" i="37"/>
  <c r="J23" i="37"/>
  <c r="Q22" i="37"/>
  <c r="M22" i="37"/>
  <c r="H22" i="37"/>
  <c r="O15" i="37"/>
  <c r="Q6" i="37"/>
  <c r="M6" i="37"/>
  <c r="I6" i="37"/>
  <c r="L194" i="38"/>
  <c r="N193" i="38"/>
  <c r="Q185" i="38"/>
  <c r="J185" i="38"/>
  <c r="J184" i="38"/>
  <c r="P181" i="38"/>
  <c r="J181" i="38"/>
  <c r="P173" i="38"/>
  <c r="J173" i="38"/>
  <c r="J164" i="38"/>
  <c r="M162" i="38"/>
  <c r="S161" i="38"/>
  <c r="N161" i="38"/>
  <c r="I161" i="38"/>
  <c r="L151" i="38"/>
  <c r="M150" i="38"/>
  <c r="N149" i="38"/>
  <c r="Q148" i="38"/>
  <c r="K145" i="38"/>
  <c r="L138" i="38"/>
  <c r="I132" i="38"/>
  <c r="Q125" i="38"/>
  <c r="H123" i="38"/>
  <c r="M123" i="38"/>
  <c r="H119" i="38"/>
  <c r="M119" i="38"/>
  <c r="Q113" i="38"/>
  <c r="R108" i="38"/>
  <c r="R97" i="38"/>
  <c r="N91" i="38"/>
  <c r="H89" i="38"/>
  <c r="S85" i="38"/>
  <c r="K85" i="38"/>
  <c r="R81" i="38"/>
  <c r="M79" i="38"/>
  <c r="R77" i="38"/>
  <c r="Q76" i="38"/>
  <c r="N75" i="38"/>
  <c r="M74" i="38"/>
  <c r="L69" i="38"/>
  <c r="H63" i="38"/>
  <c r="M63" i="38"/>
  <c r="G63" i="38"/>
  <c r="Q49" i="38"/>
  <c r="K38" i="38"/>
  <c r="N38" i="38"/>
  <c r="M38" i="38"/>
  <c r="H27" i="38"/>
  <c r="P27" i="38"/>
  <c r="G27" i="38"/>
  <c r="O27" i="38"/>
  <c r="H198" i="39"/>
  <c r="L198" i="39"/>
  <c r="J198" i="39"/>
  <c r="H173" i="39"/>
  <c r="R173" i="39"/>
  <c r="H162" i="39"/>
  <c r="H73" i="38"/>
  <c r="K70" i="38"/>
  <c r="N70" i="38"/>
  <c r="M66" i="38"/>
  <c r="N66" i="38"/>
  <c r="P48" i="38"/>
  <c r="N48" i="38"/>
  <c r="L42" i="38"/>
  <c r="K42" i="38"/>
  <c r="M37" i="38"/>
  <c r="I37" i="38"/>
  <c r="N37" i="38"/>
  <c r="S37" i="38"/>
  <c r="H37" i="38"/>
  <c r="L37" i="38"/>
  <c r="R37" i="38"/>
  <c r="N32" i="38"/>
  <c r="Q32" i="38"/>
  <c r="Q28" i="38"/>
  <c r="I28" i="38"/>
  <c r="G12" i="38"/>
  <c r="I12" i="38"/>
  <c r="N12" i="38"/>
  <c r="H12" i="38"/>
  <c r="M12" i="38"/>
  <c r="R12" i="38"/>
  <c r="G192" i="39"/>
  <c r="L192" i="39"/>
  <c r="J192" i="39"/>
  <c r="H186" i="39"/>
  <c r="R186" i="39"/>
  <c r="P180" i="39"/>
  <c r="L180" i="39"/>
  <c r="J180" i="39"/>
  <c r="J155" i="39"/>
  <c r="R155" i="39"/>
  <c r="N144" i="39"/>
  <c r="J144" i="39"/>
  <c r="L144" i="39"/>
  <c r="H144" i="39"/>
  <c r="R144" i="39"/>
  <c r="S6" i="37"/>
  <c r="O6" i="37"/>
  <c r="K6" i="37"/>
  <c r="R194" i="38"/>
  <c r="J194" i="38"/>
  <c r="J190" i="38"/>
  <c r="S185" i="38"/>
  <c r="N185" i="38"/>
  <c r="H185" i="38"/>
  <c r="G184" i="38"/>
  <c r="R181" i="38"/>
  <c r="L181" i="38"/>
  <c r="H181" i="38"/>
  <c r="R173" i="38"/>
  <c r="L173" i="38"/>
  <c r="H173" i="38"/>
  <c r="R166" i="38"/>
  <c r="P164" i="38"/>
  <c r="H164" i="38"/>
  <c r="S162" i="38"/>
  <c r="K162" i="38"/>
  <c r="G156" i="38"/>
  <c r="K150" i="38"/>
  <c r="Q145" i="38"/>
  <c r="H145" i="38"/>
  <c r="K130" i="38"/>
  <c r="M125" i="38"/>
  <c r="I125" i="38"/>
  <c r="J124" i="38"/>
  <c r="L122" i="38"/>
  <c r="M113" i="38"/>
  <c r="H113" i="38"/>
  <c r="L113" i="38"/>
  <c r="R113" i="38"/>
  <c r="L111" i="38"/>
  <c r="J110" i="38"/>
  <c r="R110" i="38"/>
  <c r="K100" i="38"/>
  <c r="J100" i="38"/>
  <c r="M97" i="38"/>
  <c r="I97" i="38"/>
  <c r="P97" i="38"/>
  <c r="G95" i="38"/>
  <c r="G91" i="38"/>
  <c r="I88" i="38"/>
  <c r="P85" i="38"/>
  <c r="I85" i="38"/>
  <c r="Q81" i="38"/>
  <c r="H77" i="38"/>
  <c r="H69" i="38"/>
  <c r="K68" i="38"/>
  <c r="I68" i="38"/>
  <c r="R68" i="38"/>
  <c r="G68" i="38"/>
  <c r="Q68" i="38"/>
  <c r="N64" i="38"/>
  <c r="K54" i="38"/>
  <c r="M54" i="38"/>
  <c r="L54" i="38"/>
  <c r="J49" i="38"/>
  <c r="M43" i="38"/>
  <c r="P37" i="38"/>
  <c r="P31" i="38"/>
  <c r="M31" i="38"/>
  <c r="G31" i="38"/>
  <c r="N27" i="38"/>
  <c r="S26" i="38"/>
  <c r="L26" i="38"/>
  <c r="K26" i="38"/>
  <c r="S21" i="38"/>
  <c r="H21" i="38"/>
  <c r="K20" i="38"/>
  <c r="I20" i="38"/>
  <c r="R20" i="38"/>
  <c r="G20" i="38"/>
  <c r="Q20" i="38"/>
  <c r="R16" i="38"/>
  <c r="I16" i="38"/>
  <c r="P12" i="38"/>
  <c r="L7" i="38"/>
  <c r="I7" i="38"/>
  <c r="O7" i="38"/>
  <c r="H7" i="38"/>
  <c r="N7" i="38"/>
  <c r="S7" i="38"/>
  <c r="L5" i="38"/>
  <c r="H202" i="39"/>
  <c r="G199" i="39"/>
  <c r="L199" i="39"/>
  <c r="J199" i="39"/>
  <c r="R199" i="39"/>
  <c r="H184" i="39"/>
  <c r="R171" i="39"/>
  <c r="N168" i="39"/>
  <c r="P168" i="39"/>
  <c r="R158" i="39"/>
  <c r="J158" i="39"/>
  <c r="H158" i="39"/>
  <c r="N135" i="39"/>
  <c r="J135" i="39"/>
  <c r="L135" i="39"/>
  <c r="H135" i="39"/>
  <c r="Q65" i="38"/>
  <c r="J65" i="38"/>
  <c r="R61" i="38"/>
  <c r="J52" i="38"/>
  <c r="Q33" i="38"/>
  <c r="J33" i="38"/>
  <c r="M15" i="38"/>
  <c r="Q10" i="38"/>
  <c r="K10" i="38"/>
  <c r="Q8" i="38"/>
  <c r="M8" i="38"/>
  <c r="R204" i="39"/>
  <c r="N200" i="39"/>
  <c r="N194" i="39"/>
  <c r="N133" i="39"/>
  <c r="P131" i="39"/>
  <c r="L124" i="39"/>
  <c r="N123" i="39"/>
  <c r="K121" i="39"/>
  <c r="G118" i="39"/>
  <c r="S114" i="39"/>
  <c r="O114" i="39"/>
  <c r="K114" i="39"/>
  <c r="G114" i="39"/>
  <c r="Q113" i="39"/>
  <c r="G113" i="39"/>
  <c r="P102" i="39"/>
  <c r="L102" i="39"/>
  <c r="H102" i="39"/>
  <c r="S98" i="39"/>
  <c r="O98" i="39"/>
  <c r="K98" i="39"/>
  <c r="G98" i="39"/>
  <c r="N97" i="39"/>
  <c r="G96" i="39"/>
  <c r="O95" i="39"/>
  <c r="J95" i="39"/>
  <c r="R94" i="39"/>
  <c r="M94" i="39"/>
  <c r="G94" i="39"/>
  <c r="O92" i="39"/>
  <c r="R90" i="39"/>
  <c r="J90" i="39"/>
  <c r="J89" i="39"/>
  <c r="I87" i="39"/>
  <c r="L86" i="39"/>
  <c r="P82" i="39"/>
  <c r="L82" i="39"/>
  <c r="G82" i="39"/>
  <c r="K80" i="39"/>
  <c r="O77" i="39"/>
  <c r="I77" i="39"/>
  <c r="G76" i="39"/>
  <c r="O75" i="39"/>
  <c r="J75" i="39"/>
  <c r="P70" i="39"/>
  <c r="G70" i="39"/>
  <c r="K69" i="39"/>
  <c r="O67" i="39"/>
  <c r="P66" i="39"/>
  <c r="L66" i="39"/>
  <c r="G66" i="39"/>
  <c r="L63" i="39"/>
  <c r="Q62" i="39"/>
  <c r="M62" i="39"/>
  <c r="G59" i="39"/>
  <c r="G56" i="39"/>
  <c r="I55" i="39"/>
  <c r="Q54" i="39"/>
  <c r="M54" i="39"/>
  <c r="O51" i="39"/>
  <c r="R47" i="39"/>
  <c r="S46" i="39"/>
  <c r="I46" i="39"/>
  <c r="J43" i="39"/>
  <c r="Q42" i="39"/>
  <c r="M42" i="39"/>
  <c r="H42" i="39"/>
  <c r="M40" i="39"/>
  <c r="H40" i="39"/>
  <c r="G39" i="39"/>
  <c r="K35" i="39"/>
  <c r="O28" i="39"/>
  <c r="I28" i="39"/>
  <c r="L26" i="39"/>
  <c r="R25" i="39"/>
  <c r="Q22" i="39"/>
  <c r="M22" i="39"/>
  <c r="H22" i="39"/>
  <c r="L19" i="39"/>
  <c r="J17" i="39"/>
  <c r="M16" i="39"/>
  <c r="R14" i="39"/>
  <c r="R6" i="39"/>
  <c r="L201" i="40"/>
  <c r="N200" i="40"/>
  <c r="L197" i="40"/>
  <c r="R194" i="40"/>
  <c r="L191" i="40"/>
  <c r="H182" i="40"/>
  <c r="L170" i="40"/>
  <c r="P166" i="40"/>
  <c r="S164" i="40"/>
  <c r="N155" i="40"/>
  <c r="J146" i="40"/>
  <c r="L145" i="40"/>
  <c r="M129" i="40"/>
  <c r="Q128" i="40"/>
  <c r="Q125" i="40"/>
  <c r="O124" i="40"/>
  <c r="M123" i="40"/>
  <c r="H116" i="40"/>
  <c r="N112" i="40"/>
  <c r="S110" i="40"/>
  <c r="L110" i="40"/>
  <c r="Q109" i="40"/>
  <c r="L98" i="40"/>
  <c r="P97" i="40"/>
  <c r="J96" i="40"/>
  <c r="R89" i="40"/>
  <c r="L89" i="40"/>
  <c r="L88" i="40"/>
  <c r="Q87" i="40"/>
  <c r="J87" i="40"/>
  <c r="K85" i="40"/>
  <c r="P81" i="40"/>
  <c r="L81" i="40"/>
  <c r="K77" i="40"/>
  <c r="K75" i="40"/>
  <c r="P74" i="40"/>
  <c r="H74" i="40"/>
  <c r="I72" i="40"/>
  <c r="R70" i="40"/>
  <c r="J70" i="40"/>
  <c r="M68" i="40"/>
  <c r="I68" i="40"/>
  <c r="N66" i="40"/>
  <c r="O65" i="40"/>
  <c r="L64" i="40"/>
  <c r="R63" i="40"/>
  <c r="P61" i="40"/>
  <c r="R59" i="40"/>
  <c r="N59" i="40"/>
  <c r="I59" i="40"/>
  <c r="H57" i="40"/>
  <c r="L56" i="40"/>
  <c r="R55" i="40"/>
  <c r="I55" i="40"/>
  <c r="L53" i="40"/>
  <c r="Q52" i="40"/>
  <c r="N50" i="40"/>
  <c r="N49" i="40"/>
  <c r="M45" i="40"/>
  <c r="K44" i="40"/>
  <c r="N43" i="40"/>
  <c r="K40" i="40"/>
  <c r="H37" i="40"/>
  <c r="L36" i="40"/>
  <c r="G35" i="40"/>
  <c r="L34" i="40"/>
  <c r="O29" i="40"/>
  <c r="P25" i="40"/>
  <c r="J25" i="40"/>
  <c r="K21" i="40"/>
  <c r="N17" i="40"/>
  <c r="J17" i="40"/>
  <c r="N13" i="40"/>
  <c r="H5" i="40"/>
  <c r="S204" i="41"/>
  <c r="N202" i="41"/>
  <c r="N200" i="41"/>
  <c r="G200" i="41"/>
  <c r="P194" i="41"/>
  <c r="O193" i="41"/>
  <c r="O192" i="41"/>
  <c r="K192" i="41"/>
  <c r="H189" i="41"/>
  <c r="Q187" i="41"/>
  <c r="R181" i="41"/>
  <c r="H178" i="41"/>
  <c r="Q178" i="41"/>
  <c r="S174" i="41"/>
  <c r="H172" i="41"/>
  <c r="S170" i="41"/>
  <c r="G168" i="41"/>
  <c r="P168" i="41"/>
  <c r="K166" i="41"/>
  <c r="G160" i="41"/>
  <c r="N160" i="41"/>
  <c r="P157" i="41"/>
  <c r="G157" i="41"/>
  <c r="J155" i="41"/>
  <c r="R155" i="41"/>
  <c r="H155" i="41"/>
  <c r="P155" i="41"/>
  <c r="S138" i="41"/>
  <c r="J138" i="41"/>
  <c r="O133" i="41"/>
  <c r="G133" i="41"/>
  <c r="N128" i="41"/>
  <c r="G128" i="41"/>
  <c r="P128" i="41"/>
  <c r="L128" i="41"/>
  <c r="J127" i="41"/>
  <c r="I127" i="41"/>
  <c r="N127" i="41"/>
  <c r="L127" i="41"/>
  <c r="S127" i="41"/>
  <c r="H125" i="41"/>
  <c r="M125" i="41"/>
  <c r="G125" i="41"/>
  <c r="Q121" i="41"/>
  <c r="P121" i="41"/>
  <c r="G121" i="41"/>
  <c r="J119" i="41"/>
  <c r="I119" i="41"/>
  <c r="N119" i="41"/>
  <c r="L119" i="41"/>
  <c r="R119" i="41"/>
  <c r="G98" i="41"/>
  <c r="H98" i="41"/>
  <c r="P98" i="41"/>
  <c r="Q95" i="41"/>
  <c r="M76" i="41"/>
  <c r="N76" i="41"/>
  <c r="S76" i="41"/>
  <c r="L76" i="41"/>
  <c r="H179" i="41"/>
  <c r="J179" i="41"/>
  <c r="S179" i="41"/>
  <c r="M170" i="41"/>
  <c r="I170" i="41"/>
  <c r="R170" i="41"/>
  <c r="Q159" i="41"/>
  <c r="H159" i="41"/>
  <c r="M151" i="41"/>
  <c r="H151" i="41"/>
  <c r="P151" i="41"/>
  <c r="K151" i="41"/>
  <c r="R151" i="41"/>
  <c r="Q138" i="41"/>
  <c r="L135" i="41"/>
  <c r="K135" i="41"/>
  <c r="N132" i="41"/>
  <c r="G132" i="41"/>
  <c r="N102" i="41"/>
  <c r="R102" i="41"/>
  <c r="I83" i="41"/>
  <c r="J83" i="41"/>
  <c r="S83" i="41"/>
  <c r="K83" i="41"/>
  <c r="H83" i="41"/>
  <c r="Q83" i="41"/>
  <c r="J71" i="41"/>
  <c r="H71" i="41"/>
  <c r="M71" i="41"/>
  <c r="Q71" i="41"/>
  <c r="I71" i="41"/>
  <c r="N71" i="41"/>
  <c r="S71" i="41"/>
  <c r="G71" i="41"/>
  <c r="L71" i="41"/>
  <c r="P71" i="41"/>
  <c r="N118" i="39"/>
  <c r="I118" i="39"/>
  <c r="Q114" i="39"/>
  <c r="M114" i="39"/>
  <c r="I114" i="39"/>
  <c r="S113" i="39"/>
  <c r="I113" i="39"/>
  <c r="Q98" i="39"/>
  <c r="M98" i="39"/>
  <c r="I98" i="39"/>
  <c r="Q97" i="39"/>
  <c r="P96" i="39"/>
  <c r="O94" i="39"/>
  <c r="J94" i="39"/>
  <c r="S82" i="39"/>
  <c r="N82" i="39"/>
  <c r="I82" i="39"/>
  <c r="K70" i="39"/>
  <c r="S66" i="39"/>
  <c r="N66" i="39"/>
  <c r="I66" i="39"/>
  <c r="Q59" i="39"/>
  <c r="K56" i="39"/>
  <c r="L55" i="39"/>
  <c r="M46" i="39"/>
  <c r="N43" i="39"/>
  <c r="Q40" i="39"/>
  <c r="K40" i="39"/>
  <c r="R39" i="39"/>
  <c r="N19" i="39"/>
  <c r="P197" i="40"/>
  <c r="P191" i="40"/>
  <c r="L182" i="40"/>
  <c r="R146" i="40"/>
  <c r="L116" i="40"/>
  <c r="L87" i="40"/>
  <c r="M74" i="40"/>
  <c r="N72" i="40"/>
  <c r="M70" i="40"/>
  <c r="R68" i="40"/>
  <c r="K68" i="40"/>
  <c r="N57" i="40"/>
  <c r="P43" i="40"/>
  <c r="M21" i="40"/>
  <c r="R5" i="40"/>
  <c r="P200" i="41"/>
  <c r="L200" i="41"/>
  <c r="R189" i="41"/>
  <c r="G181" i="41"/>
  <c r="H181" i="41"/>
  <c r="M181" i="41"/>
  <c r="P179" i="41"/>
  <c r="M166" i="41"/>
  <c r="I166" i="41"/>
  <c r="S166" i="41"/>
  <c r="M138" i="41"/>
  <c r="G138" i="41"/>
  <c r="K138" i="41"/>
  <c r="P138" i="41"/>
  <c r="I138" i="41"/>
  <c r="N138" i="41"/>
  <c r="R138" i="41"/>
  <c r="M122" i="41"/>
  <c r="G122" i="41"/>
  <c r="I82" i="41"/>
  <c r="J82" i="41"/>
  <c r="N82" i="41"/>
  <c r="G82" i="41"/>
  <c r="I74" i="41"/>
  <c r="G74" i="41"/>
  <c r="M72" i="41"/>
  <c r="N72" i="41"/>
  <c r="P127" i="39"/>
  <c r="N124" i="39"/>
  <c r="P123" i="39"/>
  <c r="L121" i="39"/>
  <c r="Q118" i="39"/>
  <c r="M118" i="39"/>
  <c r="P114" i="39"/>
  <c r="L114" i="39"/>
  <c r="R113" i="39"/>
  <c r="Q102" i="39"/>
  <c r="M102" i="39"/>
  <c r="P98" i="39"/>
  <c r="L98" i="39"/>
  <c r="O97" i="39"/>
  <c r="I96" i="39"/>
  <c r="R95" i="39"/>
  <c r="K95" i="39"/>
  <c r="S94" i="39"/>
  <c r="N94" i="39"/>
  <c r="K90" i="39"/>
  <c r="M86" i="39"/>
  <c r="Q82" i="39"/>
  <c r="M82" i="39"/>
  <c r="H82" i="39"/>
  <c r="L80" i="39"/>
  <c r="Q77" i="39"/>
  <c r="Q75" i="39"/>
  <c r="R70" i="39"/>
  <c r="J70" i="39"/>
  <c r="N69" i="39"/>
  <c r="Q66" i="39"/>
  <c r="M66" i="39"/>
  <c r="H66" i="39"/>
  <c r="M63" i="39"/>
  <c r="H56" i="39"/>
  <c r="K55" i="39"/>
  <c r="K46" i="39"/>
  <c r="L43" i="39"/>
  <c r="R42" i="39"/>
  <c r="N42" i="39"/>
  <c r="I42" i="39"/>
  <c r="O40" i="39"/>
  <c r="I40" i="39"/>
  <c r="S22" i="39"/>
  <c r="N22" i="39"/>
  <c r="I22" i="39"/>
  <c r="M19" i="39"/>
  <c r="P201" i="40"/>
  <c r="P200" i="40"/>
  <c r="N191" i="40"/>
  <c r="J182" i="40"/>
  <c r="P146" i="40"/>
  <c r="N145" i="40"/>
  <c r="P124" i="40"/>
  <c r="J116" i="40"/>
  <c r="K96" i="40"/>
  <c r="M89" i="40"/>
  <c r="R87" i="40"/>
  <c r="S81" i="40"/>
  <c r="Q74" i="40"/>
  <c r="L74" i="40"/>
  <c r="K72" i="40"/>
  <c r="L70" i="40"/>
  <c r="P68" i="40"/>
  <c r="J68" i="40"/>
  <c r="O66" i="40"/>
  <c r="P65" i="40"/>
  <c r="S61" i="40"/>
  <c r="K57" i="40"/>
  <c r="S55" i="40"/>
  <c r="R52" i="40"/>
  <c r="O50" i="40"/>
  <c r="N45" i="40"/>
  <c r="O43" i="40"/>
  <c r="L40" i="40"/>
  <c r="M37" i="40"/>
  <c r="M36" i="40"/>
  <c r="O35" i="40"/>
  <c r="S25" i="40"/>
  <c r="L21" i="40"/>
  <c r="O17" i="40"/>
  <c r="K17" i="40"/>
  <c r="P13" i="40"/>
  <c r="O202" i="41"/>
  <c r="O200" i="41"/>
  <c r="H200" i="41"/>
  <c r="R193" i="41"/>
  <c r="P192" i="41"/>
  <c r="L192" i="41"/>
  <c r="I189" i="41"/>
  <c r="R187" i="41"/>
  <c r="L181" i="41"/>
  <c r="M179" i="41"/>
  <c r="I175" i="41"/>
  <c r="H175" i="41"/>
  <c r="P175" i="41"/>
  <c r="S172" i="41"/>
  <c r="L171" i="41"/>
  <c r="P171" i="41"/>
  <c r="J170" i="41"/>
  <c r="L166" i="41"/>
  <c r="M162" i="41"/>
  <c r="K162" i="41"/>
  <c r="P162" i="41"/>
  <c r="I162" i="41"/>
  <c r="N162" i="41"/>
  <c r="L151" i="41"/>
  <c r="G149" i="41"/>
  <c r="J149" i="41"/>
  <c r="Q149" i="41"/>
  <c r="H149" i="41"/>
  <c r="M149" i="41"/>
  <c r="L138" i="41"/>
  <c r="M130" i="41"/>
  <c r="G130" i="41"/>
  <c r="N130" i="41"/>
  <c r="K130" i="41"/>
  <c r="P130" i="41"/>
  <c r="L122" i="41"/>
  <c r="H111" i="41"/>
  <c r="P111" i="41"/>
  <c r="L111" i="41"/>
  <c r="L81" i="41"/>
  <c r="M77" i="41"/>
  <c r="N77" i="41"/>
  <c r="G77" i="41"/>
  <c r="O71" i="41"/>
  <c r="S164" i="41"/>
  <c r="J164" i="41"/>
  <c r="O153" i="41"/>
  <c r="J139" i="41"/>
  <c r="N120" i="41"/>
  <c r="H120" i="41"/>
  <c r="J105" i="41"/>
  <c r="N104" i="41"/>
  <c r="R92" i="41"/>
  <c r="R86" i="41"/>
  <c r="R85" i="41"/>
  <c r="M80" i="41"/>
  <c r="N73" i="41"/>
  <c r="M64" i="41"/>
  <c r="N61" i="41"/>
  <c r="P59" i="41"/>
  <c r="J59" i="41"/>
  <c r="R58" i="41"/>
  <c r="J58" i="41"/>
  <c r="O57" i="41"/>
  <c r="Q55" i="41"/>
  <c r="M55" i="41"/>
  <c r="I55" i="41"/>
  <c r="R54" i="41"/>
  <c r="O53" i="41"/>
  <c r="G53" i="41"/>
  <c r="Q51" i="41"/>
  <c r="H51" i="41"/>
  <c r="G50" i="41"/>
  <c r="S48" i="41"/>
  <c r="J48" i="41"/>
  <c r="G46" i="41"/>
  <c r="N44" i="41"/>
  <c r="Q42" i="41"/>
  <c r="J42" i="41"/>
  <c r="L41" i="41"/>
  <c r="J40" i="41"/>
  <c r="P39" i="41"/>
  <c r="L39" i="41"/>
  <c r="G39" i="41"/>
  <c r="P37" i="41"/>
  <c r="G37" i="41"/>
  <c r="J36" i="41"/>
  <c r="P35" i="41"/>
  <c r="J35" i="41"/>
  <c r="Q34" i="41"/>
  <c r="M32" i="41"/>
  <c r="R31" i="41"/>
  <c r="J31" i="41"/>
  <c r="N25" i="41"/>
  <c r="O22" i="41"/>
  <c r="G22" i="41"/>
  <c r="Q19" i="41"/>
  <c r="G19" i="41"/>
  <c r="R16" i="41"/>
  <c r="S15" i="41"/>
  <c r="L7" i="41"/>
  <c r="P200" i="42"/>
  <c r="J195" i="42"/>
  <c r="N194" i="42"/>
  <c r="S190" i="42"/>
  <c r="N190" i="42"/>
  <c r="J190" i="42"/>
  <c r="S187" i="42"/>
  <c r="Q186" i="42"/>
  <c r="H186" i="42"/>
  <c r="Q182" i="42"/>
  <c r="M182" i="42"/>
  <c r="I182" i="42"/>
  <c r="Q166" i="42"/>
  <c r="L166" i="42"/>
  <c r="H166" i="42"/>
  <c r="S162" i="42"/>
  <c r="K162" i="42"/>
  <c r="P161" i="42"/>
  <c r="K153" i="42"/>
  <c r="H153" i="42"/>
  <c r="O153" i="42"/>
  <c r="I150" i="42"/>
  <c r="O150" i="42"/>
  <c r="J149" i="42"/>
  <c r="P148" i="42"/>
  <c r="M148" i="42"/>
  <c r="H146" i="42"/>
  <c r="L146" i="42"/>
  <c r="P146" i="42"/>
  <c r="P140" i="42"/>
  <c r="G136" i="42"/>
  <c r="R134" i="42"/>
  <c r="Q133" i="42"/>
  <c r="G130" i="42"/>
  <c r="N130" i="42"/>
  <c r="S127" i="42"/>
  <c r="L127" i="42"/>
  <c r="G124" i="42"/>
  <c r="H124" i="42"/>
  <c r="R114" i="42"/>
  <c r="N85" i="42"/>
  <c r="H85" i="42"/>
  <c r="P85" i="42"/>
  <c r="H76" i="42"/>
  <c r="J76" i="42"/>
  <c r="O76" i="42"/>
  <c r="L76" i="42"/>
  <c r="P76" i="42"/>
  <c r="N73" i="42"/>
  <c r="M69" i="42"/>
  <c r="K161" i="42"/>
  <c r="J161" i="42"/>
  <c r="Q161" i="42"/>
  <c r="G160" i="42"/>
  <c r="H160" i="42"/>
  <c r="P160" i="42"/>
  <c r="R127" i="42"/>
  <c r="K127" i="42"/>
  <c r="P114" i="42"/>
  <c r="G113" i="42"/>
  <c r="P113" i="42"/>
  <c r="Q113" i="42"/>
  <c r="H77" i="42"/>
  <c r="L77" i="42"/>
  <c r="M77" i="42"/>
  <c r="H72" i="42"/>
  <c r="N72" i="42"/>
  <c r="J92" i="41"/>
  <c r="L85" i="41"/>
  <c r="S80" i="41"/>
  <c r="J80" i="41"/>
  <c r="P73" i="41"/>
  <c r="R64" i="41"/>
  <c r="J64" i="41"/>
  <c r="S59" i="41"/>
  <c r="L59" i="41"/>
  <c r="P58" i="41"/>
  <c r="G58" i="41"/>
  <c r="G57" i="41"/>
  <c r="S55" i="41"/>
  <c r="O55" i="41"/>
  <c r="K55" i="41"/>
  <c r="M53" i="41"/>
  <c r="L51" i="41"/>
  <c r="O50" i="41"/>
  <c r="M48" i="41"/>
  <c r="L44" i="41"/>
  <c r="O42" i="41"/>
  <c r="G42" i="41"/>
  <c r="N40" i="41"/>
  <c r="S39" i="41"/>
  <c r="N39" i="41"/>
  <c r="I39" i="41"/>
  <c r="M37" i="41"/>
  <c r="S36" i="41"/>
  <c r="R35" i="41"/>
  <c r="M35" i="41"/>
  <c r="H35" i="41"/>
  <c r="J34" i="41"/>
  <c r="M33" i="41"/>
  <c r="R32" i="41"/>
  <c r="J32" i="41"/>
  <c r="N31" i="41"/>
  <c r="R30" i="41"/>
  <c r="P25" i="41"/>
  <c r="G25" i="41"/>
  <c r="Q22" i="41"/>
  <c r="J22" i="41"/>
  <c r="M19" i="41"/>
  <c r="Q18" i="41"/>
  <c r="L16" i="41"/>
  <c r="Q15" i="41"/>
  <c r="S195" i="42"/>
  <c r="Q194" i="42"/>
  <c r="H194" i="42"/>
  <c r="P190" i="42"/>
  <c r="L190" i="42"/>
  <c r="N186" i="42"/>
  <c r="S182" i="42"/>
  <c r="O182" i="42"/>
  <c r="K182" i="42"/>
  <c r="S166" i="42"/>
  <c r="N166" i="42"/>
  <c r="J166" i="42"/>
  <c r="S163" i="42"/>
  <c r="O162" i="42"/>
  <c r="N161" i="42"/>
  <c r="O160" i="42"/>
  <c r="I158" i="42"/>
  <c r="Q158" i="42"/>
  <c r="O154" i="42"/>
  <c r="G154" i="42"/>
  <c r="Q154" i="42"/>
  <c r="P149" i="42"/>
  <c r="L142" i="42"/>
  <c r="S142" i="42"/>
  <c r="G134" i="42"/>
  <c r="N134" i="42"/>
  <c r="K133" i="42"/>
  <c r="I133" i="42"/>
  <c r="P133" i="42"/>
  <c r="K131" i="42"/>
  <c r="M131" i="42"/>
  <c r="P127" i="42"/>
  <c r="G125" i="42"/>
  <c r="M125" i="42"/>
  <c r="H109" i="42"/>
  <c r="J109" i="42"/>
  <c r="N109" i="42"/>
  <c r="N84" i="42"/>
  <c r="S77" i="42"/>
  <c r="R73" i="42"/>
  <c r="P53" i="41"/>
  <c r="L53" i="41"/>
  <c r="R51" i="41"/>
  <c r="I51" i="41"/>
  <c r="N50" i="41"/>
  <c r="L48" i="41"/>
  <c r="Q39" i="41"/>
  <c r="M39" i="41"/>
  <c r="H39" i="41"/>
  <c r="L37" i="41"/>
  <c r="R36" i="41"/>
  <c r="M31" i="41"/>
  <c r="P22" i="41"/>
  <c r="I22" i="41"/>
  <c r="S19" i="41"/>
  <c r="L19" i="41"/>
  <c r="S186" i="42"/>
  <c r="I186" i="42"/>
  <c r="R166" i="42"/>
  <c r="M166" i="42"/>
  <c r="H162" i="42"/>
  <c r="J162" i="42"/>
  <c r="P162" i="42"/>
  <c r="I161" i="42"/>
  <c r="N160" i="42"/>
  <c r="K149" i="42"/>
  <c r="G149" i="42"/>
  <c r="N149" i="42"/>
  <c r="R149" i="42"/>
  <c r="P132" i="42"/>
  <c r="G132" i="42"/>
  <c r="H127" i="42"/>
  <c r="J127" i="42"/>
  <c r="N127" i="42"/>
  <c r="G114" i="42"/>
  <c r="N114" i="42"/>
  <c r="O114" i="42"/>
  <c r="R77" i="42"/>
  <c r="L73" i="42"/>
  <c r="G73" i="42"/>
  <c r="K73" i="42"/>
  <c r="P73" i="42"/>
  <c r="H73" i="42"/>
  <c r="M73" i="42"/>
  <c r="Q73" i="42"/>
  <c r="L50" i="42"/>
  <c r="G50" i="42"/>
  <c r="N50" i="42"/>
  <c r="S50" i="42"/>
  <c r="H50" i="42"/>
  <c r="O50" i="42"/>
  <c r="I50" i="42"/>
  <c r="P50" i="42"/>
  <c r="G146" i="43"/>
  <c r="L146" i="43"/>
  <c r="R146" i="43"/>
  <c r="I139" i="43"/>
  <c r="R139" i="43"/>
  <c r="L125" i="43"/>
  <c r="K125" i="43"/>
  <c r="K104" i="43"/>
  <c r="G104" i="43"/>
  <c r="G102" i="43"/>
  <c r="L102" i="43"/>
  <c r="Q99" i="43"/>
  <c r="G99" i="43"/>
  <c r="S90" i="43"/>
  <c r="G90" i="43"/>
  <c r="K90" i="43"/>
  <c r="L86" i="43"/>
  <c r="O86" i="43"/>
  <c r="H73" i="43"/>
  <c r="N73" i="43"/>
  <c r="J73" i="43"/>
  <c r="Q73" i="43"/>
  <c r="Q46" i="42"/>
  <c r="M46" i="42"/>
  <c r="I46" i="42"/>
  <c r="N42" i="42"/>
  <c r="N30" i="42"/>
  <c r="R23" i="42"/>
  <c r="N20" i="42"/>
  <c r="P13" i="42"/>
  <c r="N9" i="42"/>
  <c r="P200" i="43"/>
  <c r="Q176" i="43"/>
  <c r="I176" i="43"/>
  <c r="N166" i="43"/>
  <c r="S165" i="43"/>
  <c r="L165" i="43"/>
  <c r="S146" i="43"/>
  <c r="K146" i="43"/>
  <c r="O139" i="43"/>
  <c r="G134" i="43"/>
  <c r="M134" i="43"/>
  <c r="J133" i="43"/>
  <c r="Q133" i="43"/>
  <c r="L131" i="43"/>
  <c r="H130" i="43"/>
  <c r="G130" i="43"/>
  <c r="R130" i="43"/>
  <c r="G127" i="43"/>
  <c r="J127" i="43"/>
  <c r="O127" i="43"/>
  <c r="P125" i="43"/>
  <c r="J112" i="43"/>
  <c r="O112" i="43"/>
  <c r="I101" i="43"/>
  <c r="S101" i="43"/>
  <c r="H96" i="43"/>
  <c r="I96" i="43"/>
  <c r="L81" i="43"/>
  <c r="I79" i="43"/>
  <c r="P79" i="43"/>
  <c r="G79" i="43"/>
  <c r="M79" i="43"/>
  <c r="L77" i="43"/>
  <c r="M77" i="43"/>
  <c r="J77" i="43"/>
  <c r="S73" i="43"/>
  <c r="H71" i="43"/>
  <c r="M71" i="43"/>
  <c r="G71" i="43"/>
  <c r="P71" i="43"/>
  <c r="I57" i="43"/>
  <c r="R57" i="43"/>
  <c r="J57" i="43"/>
  <c r="S57" i="43"/>
  <c r="L57" i="43"/>
  <c r="P122" i="42"/>
  <c r="H122" i="42"/>
  <c r="O120" i="42"/>
  <c r="R100" i="42"/>
  <c r="J100" i="42"/>
  <c r="R95" i="42"/>
  <c r="S74" i="42"/>
  <c r="M74" i="42"/>
  <c r="G74" i="42"/>
  <c r="Q70" i="42"/>
  <c r="M70" i="42"/>
  <c r="I70" i="42"/>
  <c r="Q68" i="42"/>
  <c r="L68" i="42"/>
  <c r="M64" i="42"/>
  <c r="Q62" i="42"/>
  <c r="M62" i="42"/>
  <c r="I62" i="42"/>
  <c r="S61" i="42"/>
  <c r="M61" i="42"/>
  <c r="O60" i="42"/>
  <c r="L56" i="42"/>
  <c r="G55" i="42"/>
  <c r="S53" i="42"/>
  <c r="M53" i="42"/>
  <c r="H53" i="42"/>
  <c r="S48" i="42"/>
  <c r="K48" i="42"/>
  <c r="P46" i="42"/>
  <c r="L46" i="42"/>
  <c r="H46" i="42"/>
  <c r="O45" i="42"/>
  <c r="M42" i="42"/>
  <c r="R41" i="42"/>
  <c r="M41" i="42"/>
  <c r="H41" i="42"/>
  <c r="Q34" i="42"/>
  <c r="M34" i="42"/>
  <c r="I34" i="42"/>
  <c r="R33" i="42"/>
  <c r="M30" i="42"/>
  <c r="N27" i="42"/>
  <c r="J27" i="42"/>
  <c r="P26" i="42"/>
  <c r="I26" i="42"/>
  <c r="K23" i="42"/>
  <c r="M20" i="42"/>
  <c r="S18" i="42"/>
  <c r="O18" i="42"/>
  <c r="K18" i="42"/>
  <c r="P16" i="42"/>
  <c r="G16" i="42"/>
  <c r="N13" i="42"/>
  <c r="R11" i="42"/>
  <c r="L9" i="42"/>
  <c r="I200" i="43"/>
  <c r="R196" i="43"/>
  <c r="L195" i="43"/>
  <c r="L192" i="43"/>
  <c r="O191" i="43"/>
  <c r="S190" i="43"/>
  <c r="H190" i="43"/>
  <c r="N183" i="43"/>
  <c r="Q181" i="43"/>
  <c r="P176" i="43"/>
  <c r="H176" i="43"/>
  <c r="S174" i="43"/>
  <c r="J172" i="43"/>
  <c r="L168" i="43"/>
  <c r="M166" i="43"/>
  <c r="R165" i="43"/>
  <c r="K165" i="43"/>
  <c r="R163" i="43"/>
  <c r="I163" i="43"/>
  <c r="O159" i="43"/>
  <c r="G159" i="43"/>
  <c r="G151" i="43"/>
  <c r="P151" i="43"/>
  <c r="J150" i="43"/>
  <c r="P150" i="43"/>
  <c r="P146" i="43"/>
  <c r="J146" i="43"/>
  <c r="H145" i="43"/>
  <c r="P145" i="43"/>
  <c r="R141" i="43"/>
  <c r="J139" i="43"/>
  <c r="G136" i="43"/>
  <c r="L136" i="43"/>
  <c r="S133" i="43"/>
  <c r="K133" i="43"/>
  <c r="P132" i="43"/>
  <c r="P130" i="43"/>
  <c r="R127" i="43"/>
  <c r="L127" i="43"/>
  <c r="I125" i="43"/>
  <c r="M120" i="43"/>
  <c r="G120" i="43"/>
  <c r="K120" i="43"/>
  <c r="R120" i="43"/>
  <c r="L114" i="43"/>
  <c r="H114" i="43"/>
  <c r="R112" i="43"/>
  <c r="K112" i="43"/>
  <c r="R99" i="43"/>
  <c r="Q95" i="43"/>
  <c r="P90" i="43"/>
  <c r="H85" i="43"/>
  <c r="J85" i="43"/>
  <c r="S85" i="43"/>
  <c r="N79" i="43"/>
  <c r="P73" i="43"/>
  <c r="Q71" i="43"/>
  <c r="P70" i="42"/>
  <c r="L70" i="42"/>
  <c r="P62" i="42"/>
  <c r="L62" i="42"/>
  <c r="R61" i="42"/>
  <c r="K61" i="42"/>
  <c r="H60" i="42"/>
  <c r="Q48" i="42"/>
  <c r="I48" i="42"/>
  <c r="S46" i="42"/>
  <c r="O46" i="42"/>
  <c r="K46" i="42"/>
  <c r="I45" i="42"/>
  <c r="L42" i="42"/>
  <c r="P34" i="42"/>
  <c r="L34" i="42"/>
  <c r="P33" i="42"/>
  <c r="L30" i="42"/>
  <c r="O26" i="42"/>
  <c r="H26" i="42"/>
  <c r="J23" i="42"/>
  <c r="P20" i="42"/>
  <c r="L20" i="42"/>
  <c r="J11" i="42"/>
  <c r="R9" i="42"/>
  <c r="J9" i="42"/>
  <c r="R6" i="42"/>
  <c r="S200" i="43"/>
  <c r="H195" i="43"/>
  <c r="H192" i="43"/>
  <c r="Q184" i="43"/>
  <c r="K181" i="43"/>
  <c r="O176" i="43"/>
  <c r="G176" i="43"/>
  <c r="P174" i="43"/>
  <c r="P168" i="43"/>
  <c r="P166" i="43"/>
  <c r="L166" i="43"/>
  <c r="Q165" i="43"/>
  <c r="H165" i="43"/>
  <c r="Q163" i="43"/>
  <c r="H163" i="43"/>
  <c r="S161" i="43"/>
  <c r="P152" i="43"/>
  <c r="G148" i="43"/>
  <c r="I148" i="43"/>
  <c r="O146" i="43"/>
  <c r="H146" i="43"/>
  <c r="J140" i="43"/>
  <c r="O140" i="43"/>
  <c r="G139" i="43"/>
  <c r="R133" i="43"/>
  <c r="I133" i="43"/>
  <c r="M132" i="43"/>
  <c r="L132" i="43"/>
  <c r="Q132" i="43"/>
  <c r="O130" i="43"/>
  <c r="Q127" i="43"/>
  <c r="I127" i="43"/>
  <c r="R125" i="43"/>
  <c r="H125" i="43"/>
  <c r="P112" i="43"/>
  <c r="I112" i="43"/>
  <c r="I107" i="43"/>
  <c r="L104" i="43"/>
  <c r="J103" i="43"/>
  <c r="G103" i="43"/>
  <c r="R103" i="43"/>
  <c r="I103" i="43"/>
  <c r="I99" i="43"/>
  <c r="G95" i="43"/>
  <c r="L95" i="43"/>
  <c r="P95" i="43"/>
  <c r="I95" i="43"/>
  <c r="N95" i="43"/>
  <c r="R95" i="43"/>
  <c r="J90" i="43"/>
  <c r="R86" i="43"/>
  <c r="G82" i="43"/>
  <c r="S82" i="43"/>
  <c r="H81" i="43"/>
  <c r="I81" i="43"/>
  <c r="P81" i="43"/>
  <c r="K81" i="43"/>
  <c r="R81" i="43"/>
  <c r="O78" i="43"/>
  <c r="R78" i="43"/>
  <c r="L78" i="43"/>
  <c r="M73" i="43"/>
  <c r="O60" i="43"/>
  <c r="L60" i="43"/>
  <c r="N60" i="43"/>
  <c r="H39" i="43"/>
  <c r="G39" i="43"/>
  <c r="R39" i="43"/>
  <c r="G123" i="44"/>
  <c r="O123" i="44"/>
  <c r="I119" i="44"/>
  <c r="P119" i="44"/>
  <c r="R113" i="44"/>
  <c r="N113" i="44"/>
  <c r="H102" i="44"/>
  <c r="J102" i="44"/>
  <c r="N102" i="44"/>
  <c r="N55" i="44"/>
  <c r="P55" i="44"/>
  <c r="Q17" i="44"/>
  <c r="L203" i="45"/>
  <c r="G203" i="45"/>
  <c r="Q203" i="45"/>
  <c r="H203" i="45"/>
  <c r="R203" i="45"/>
  <c r="J203" i="45"/>
  <c r="O190" i="45"/>
  <c r="M190" i="45"/>
  <c r="P190" i="45"/>
  <c r="G176" i="45"/>
  <c r="L176" i="45"/>
  <c r="S176" i="45"/>
  <c r="H176" i="45"/>
  <c r="O176" i="45"/>
  <c r="I176" i="45"/>
  <c r="P176" i="45"/>
  <c r="S163" i="45"/>
  <c r="K163" i="45"/>
  <c r="J66" i="43"/>
  <c r="L49" i="43"/>
  <c r="K41" i="43"/>
  <c r="P38" i="43"/>
  <c r="J38" i="43"/>
  <c r="N22" i="43"/>
  <c r="H22" i="43"/>
  <c r="S20" i="43"/>
  <c r="I20" i="43"/>
  <c r="M18" i="43"/>
  <c r="O11" i="43"/>
  <c r="G11" i="43"/>
  <c r="N204" i="44"/>
  <c r="I204" i="44"/>
  <c r="S200" i="44"/>
  <c r="S199" i="44"/>
  <c r="H194" i="44"/>
  <c r="N193" i="44"/>
  <c r="G193" i="44"/>
  <c r="S188" i="44"/>
  <c r="N187" i="44"/>
  <c r="R183" i="44"/>
  <c r="J175" i="44"/>
  <c r="Q168" i="44"/>
  <c r="O164" i="44"/>
  <c r="K158" i="44"/>
  <c r="S156" i="44"/>
  <c r="O156" i="44"/>
  <c r="I156" i="44"/>
  <c r="R149" i="44"/>
  <c r="P147" i="44"/>
  <c r="G147" i="44"/>
  <c r="Q145" i="44"/>
  <c r="K145" i="44"/>
  <c r="K141" i="44"/>
  <c r="K137" i="44"/>
  <c r="L130" i="44"/>
  <c r="J128" i="44"/>
  <c r="N127" i="44"/>
  <c r="O126" i="44"/>
  <c r="N124" i="44"/>
  <c r="M122" i="44"/>
  <c r="G122" i="44"/>
  <c r="R122" i="44"/>
  <c r="G118" i="44"/>
  <c r="K118" i="44"/>
  <c r="O118" i="44"/>
  <c r="L107" i="44"/>
  <c r="P107" i="44"/>
  <c r="H90" i="44"/>
  <c r="R90" i="44"/>
  <c r="Q77" i="44"/>
  <c r="I76" i="44"/>
  <c r="N76" i="44"/>
  <c r="L42" i="44"/>
  <c r="O42" i="44"/>
  <c r="R42" i="44"/>
  <c r="N31" i="44"/>
  <c r="H31" i="44"/>
  <c r="L31" i="44"/>
  <c r="I194" i="45"/>
  <c r="O194" i="45"/>
  <c r="G146" i="45"/>
  <c r="L146" i="45"/>
  <c r="P146" i="45"/>
  <c r="H146" i="45"/>
  <c r="M146" i="45"/>
  <c r="R146" i="45"/>
  <c r="J146" i="45"/>
  <c r="N146" i="45"/>
  <c r="S146" i="45"/>
  <c r="Q20" i="43"/>
  <c r="H20" i="43"/>
  <c r="L18" i="43"/>
  <c r="N10" i="43"/>
  <c r="Q200" i="44"/>
  <c r="R199" i="44"/>
  <c r="R196" i="44"/>
  <c r="S189" i="44"/>
  <c r="R188" i="44"/>
  <c r="J187" i="44"/>
  <c r="P183" i="44"/>
  <c r="P168" i="44"/>
  <c r="R156" i="44"/>
  <c r="L156" i="44"/>
  <c r="H156" i="44"/>
  <c r="P149" i="44"/>
  <c r="P145" i="44"/>
  <c r="J145" i="44"/>
  <c r="S137" i="44"/>
  <c r="I137" i="44"/>
  <c r="K130" i="44"/>
  <c r="M127" i="44"/>
  <c r="K126" i="44"/>
  <c r="Q119" i="44"/>
  <c r="P109" i="44"/>
  <c r="J109" i="44"/>
  <c r="J103" i="44"/>
  <c r="P103" i="44"/>
  <c r="H101" i="44"/>
  <c r="J101" i="44"/>
  <c r="G96" i="44"/>
  <c r="J96" i="44"/>
  <c r="R96" i="44"/>
  <c r="L96" i="44"/>
  <c r="G77" i="44"/>
  <c r="K77" i="44"/>
  <c r="O77" i="44"/>
  <c r="S77" i="44"/>
  <c r="H77" i="44"/>
  <c r="L77" i="44"/>
  <c r="P77" i="44"/>
  <c r="L17" i="44"/>
  <c r="G17" i="44"/>
  <c r="N17" i="44"/>
  <c r="S17" i="44"/>
  <c r="H17" i="44"/>
  <c r="O17" i="44"/>
  <c r="I17" i="44"/>
  <c r="P17" i="44"/>
  <c r="L199" i="45"/>
  <c r="G199" i="45"/>
  <c r="Q199" i="45"/>
  <c r="H199" i="45"/>
  <c r="R199" i="45"/>
  <c r="J199" i="45"/>
  <c r="K193" i="45"/>
  <c r="L193" i="45"/>
  <c r="N193" i="45"/>
  <c r="S193" i="45"/>
  <c r="O94" i="43"/>
  <c r="K89" i="43"/>
  <c r="Q87" i="43"/>
  <c r="O67" i="43"/>
  <c r="N66" i="43"/>
  <c r="N64" i="43"/>
  <c r="P58" i="43"/>
  <c r="L44" i="43"/>
  <c r="L40" i="43"/>
  <c r="N38" i="43"/>
  <c r="N25" i="43"/>
  <c r="J25" i="43"/>
  <c r="R23" i="43"/>
  <c r="P22" i="43"/>
  <c r="K22" i="43"/>
  <c r="L21" i="43"/>
  <c r="P20" i="43"/>
  <c r="G20" i="43"/>
  <c r="G15" i="43"/>
  <c r="Q11" i="43"/>
  <c r="M11" i="43"/>
  <c r="R204" i="44"/>
  <c r="R203" i="44"/>
  <c r="K203" i="44"/>
  <c r="H201" i="44"/>
  <c r="H200" i="44"/>
  <c r="M197" i="44"/>
  <c r="Q196" i="44"/>
  <c r="P195" i="44"/>
  <c r="H195" i="44"/>
  <c r="L194" i="44"/>
  <c r="P193" i="44"/>
  <c r="L193" i="44"/>
  <c r="J190" i="44"/>
  <c r="H189" i="44"/>
  <c r="P184" i="44"/>
  <c r="O168" i="44"/>
  <c r="R164" i="44"/>
  <c r="Q159" i="44"/>
  <c r="M159" i="44"/>
  <c r="H157" i="44"/>
  <c r="Q156" i="44"/>
  <c r="K156" i="44"/>
  <c r="G156" i="44"/>
  <c r="S154" i="44"/>
  <c r="J154" i="44"/>
  <c r="L153" i="44"/>
  <c r="K152" i="44"/>
  <c r="H149" i="44"/>
  <c r="N145" i="44"/>
  <c r="M142" i="44"/>
  <c r="P141" i="44"/>
  <c r="R137" i="44"/>
  <c r="H137" i="44"/>
  <c r="P136" i="44"/>
  <c r="I136" i="44"/>
  <c r="J135" i="44"/>
  <c r="P132" i="44"/>
  <c r="G130" i="44"/>
  <c r="N129" i="44"/>
  <c r="P127" i="44"/>
  <c r="G127" i="44"/>
  <c r="H126" i="44"/>
  <c r="H123" i="44"/>
  <c r="J122" i="44"/>
  <c r="O119" i="44"/>
  <c r="R102" i="44"/>
  <c r="J88" i="44"/>
  <c r="M77" i="44"/>
  <c r="Q76" i="44"/>
  <c r="H71" i="44"/>
  <c r="N71" i="44"/>
  <c r="P71" i="44"/>
  <c r="I41" i="44"/>
  <c r="N41" i="44"/>
  <c r="J41" i="44"/>
  <c r="Q41" i="44"/>
  <c r="K41" i="44"/>
  <c r="S41" i="44"/>
  <c r="G20" i="44"/>
  <c r="J20" i="44"/>
  <c r="P20" i="44"/>
  <c r="K20" i="44"/>
  <c r="R20" i="44"/>
  <c r="N20" i="44"/>
  <c r="I198" i="45"/>
  <c r="H198" i="45"/>
  <c r="M198" i="45"/>
  <c r="Q198" i="45"/>
  <c r="H178" i="45"/>
  <c r="M178" i="45"/>
  <c r="N178" i="45"/>
  <c r="K168" i="45"/>
  <c r="G168" i="45"/>
  <c r="P168" i="45"/>
  <c r="H168" i="45"/>
  <c r="S168" i="45"/>
  <c r="L168" i="45"/>
  <c r="G156" i="45"/>
  <c r="M156" i="45"/>
  <c r="N156" i="45"/>
  <c r="O156" i="45"/>
  <c r="G153" i="45"/>
  <c r="J153" i="45"/>
  <c r="Q153" i="45"/>
  <c r="N153" i="45"/>
  <c r="O153" i="45"/>
  <c r="G150" i="45"/>
  <c r="R150" i="45"/>
  <c r="I150" i="45"/>
  <c r="O150" i="45"/>
  <c r="O146" i="45"/>
  <c r="P142" i="45"/>
  <c r="Q141" i="45"/>
  <c r="J141" i="45"/>
  <c r="S139" i="45"/>
  <c r="J137" i="45"/>
  <c r="R134" i="45"/>
  <c r="N134" i="45"/>
  <c r="I134" i="45"/>
  <c r="M132" i="45"/>
  <c r="J125" i="45"/>
  <c r="R120" i="45"/>
  <c r="L108" i="45"/>
  <c r="L107" i="45"/>
  <c r="H106" i="45"/>
  <c r="L97" i="45"/>
  <c r="N96" i="45"/>
  <c r="J96" i="45"/>
  <c r="P95" i="45"/>
  <c r="J95" i="45"/>
  <c r="S92" i="45"/>
  <c r="J92" i="45"/>
  <c r="S87" i="45"/>
  <c r="N87" i="45"/>
  <c r="H87" i="45"/>
  <c r="O85" i="45"/>
  <c r="M84" i="45"/>
  <c r="G80" i="45"/>
  <c r="J80" i="45"/>
  <c r="R80" i="45"/>
  <c r="P78" i="45"/>
  <c r="S76" i="45"/>
  <c r="G75" i="45"/>
  <c r="J75" i="45"/>
  <c r="P75" i="45"/>
  <c r="S72" i="45"/>
  <c r="N58" i="45"/>
  <c r="J58" i="45"/>
  <c r="K58" i="45"/>
  <c r="L54" i="45"/>
  <c r="M54" i="45"/>
  <c r="O54" i="45"/>
  <c r="K52" i="45"/>
  <c r="N51" i="45"/>
  <c r="G39" i="45"/>
  <c r="O39" i="45"/>
  <c r="P39" i="45"/>
  <c r="M39" i="45"/>
  <c r="O188" i="45"/>
  <c r="H188" i="45"/>
  <c r="S179" i="45"/>
  <c r="I179" i="45"/>
  <c r="O175" i="45"/>
  <c r="N165" i="45"/>
  <c r="H161" i="45"/>
  <c r="P145" i="45"/>
  <c r="N143" i="45"/>
  <c r="R139" i="45"/>
  <c r="S135" i="45"/>
  <c r="Q134" i="45"/>
  <c r="M134" i="45"/>
  <c r="H134" i="45"/>
  <c r="N126" i="45"/>
  <c r="R117" i="45"/>
  <c r="J107" i="45"/>
  <c r="G106" i="45"/>
  <c r="O98" i="45"/>
  <c r="N95" i="45"/>
  <c r="O93" i="45"/>
  <c r="R87" i="45"/>
  <c r="L87" i="45"/>
  <c r="N85" i="45"/>
  <c r="L84" i="45"/>
  <c r="J83" i="45"/>
  <c r="G76" i="45"/>
  <c r="J76" i="45"/>
  <c r="N76" i="45"/>
  <c r="N72" i="45"/>
  <c r="K68" i="45"/>
  <c r="N68" i="45"/>
  <c r="O66" i="45"/>
  <c r="H33" i="45"/>
  <c r="Q33" i="45"/>
  <c r="R33" i="45"/>
  <c r="N33" i="45"/>
  <c r="J93" i="44"/>
  <c r="J74" i="44"/>
  <c r="Q73" i="44"/>
  <c r="L73" i="44"/>
  <c r="H73" i="44"/>
  <c r="N58" i="44"/>
  <c r="S57" i="44"/>
  <c r="N57" i="44"/>
  <c r="J52" i="44"/>
  <c r="G50" i="44"/>
  <c r="O49" i="44"/>
  <c r="K49" i="44"/>
  <c r="L37" i="44"/>
  <c r="O35" i="44"/>
  <c r="O33" i="44"/>
  <c r="K33" i="44"/>
  <c r="J32" i="44"/>
  <c r="J29" i="44"/>
  <c r="O26" i="44"/>
  <c r="S25" i="44"/>
  <c r="N25" i="44"/>
  <c r="J25" i="44"/>
  <c r="J24" i="44"/>
  <c r="R22" i="44"/>
  <c r="S21" i="44"/>
  <c r="N21" i="44"/>
  <c r="J21" i="44"/>
  <c r="N19" i="44"/>
  <c r="S15" i="44"/>
  <c r="O15" i="44"/>
  <c r="R14" i="44"/>
  <c r="J6" i="44"/>
  <c r="S191" i="45"/>
  <c r="O191" i="45"/>
  <c r="I191" i="45"/>
  <c r="N189" i="45"/>
  <c r="S188" i="45"/>
  <c r="N188" i="45"/>
  <c r="G188" i="45"/>
  <c r="P187" i="45"/>
  <c r="J187" i="45"/>
  <c r="P184" i="45"/>
  <c r="I184" i="45"/>
  <c r="R179" i="45"/>
  <c r="G179" i="45"/>
  <c r="M175" i="45"/>
  <c r="P169" i="45"/>
  <c r="M165" i="45"/>
  <c r="G161" i="45"/>
  <c r="O160" i="45"/>
  <c r="M143" i="45"/>
  <c r="O141" i="45"/>
  <c r="O137" i="45"/>
  <c r="R135" i="45"/>
  <c r="P134" i="45"/>
  <c r="L134" i="45"/>
  <c r="G134" i="45"/>
  <c r="O132" i="45"/>
  <c r="R111" i="45"/>
  <c r="N93" i="45"/>
  <c r="I87" i="45"/>
  <c r="M87" i="45"/>
  <c r="Q87" i="45"/>
  <c r="O83" i="45"/>
  <c r="G52" i="45"/>
  <c r="L52" i="45"/>
  <c r="Q52" i="45"/>
  <c r="H52" i="45"/>
  <c r="N52" i="45"/>
  <c r="R52" i="45"/>
  <c r="L51" i="45"/>
  <c r="G51" i="45"/>
  <c r="P51" i="45"/>
  <c r="I51" i="45"/>
  <c r="Q51" i="45"/>
  <c r="M58" i="44"/>
  <c r="N49" i="44"/>
  <c r="J49" i="44"/>
  <c r="K37" i="44"/>
  <c r="N35" i="44"/>
  <c r="N33" i="44"/>
  <c r="J33" i="44"/>
  <c r="P29" i="44"/>
  <c r="N26" i="44"/>
  <c r="R25" i="44"/>
  <c r="M25" i="44"/>
  <c r="I25" i="44"/>
  <c r="M22" i="44"/>
  <c r="R21" i="44"/>
  <c r="M21" i="44"/>
  <c r="I21" i="44"/>
  <c r="L19" i="44"/>
  <c r="G84" i="45"/>
  <c r="K84" i="45"/>
  <c r="S84" i="45"/>
  <c r="L83" i="45"/>
  <c r="G81" i="45"/>
  <c r="M81" i="45"/>
  <c r="G77" i="45"/>
  <c r="N77" i="45"/>
  <c r="G72" i="45"/>
  <c r="M72" i="45"/>
  <c r="H66" i="45"/>
  <c r="R66" i="45"/>
  <c r="J66" i="45"/>
  <c r="M55" i="45"/>
  <c r="Q55" i="45"/>
  <c r="S25" i="45"/>
  <c r="M25" i="45"/>
  <c r="H25" i="45"/>
  <c r="J6" i="45"/>
  <c r="N203" i="46"/>
  <c r="P194" i="46"/>
  <c r="H194" i="46"/>
  <c r="L191" i="46"/>
  <c r="L177" i="46"/>
  <c r="H174" i="46"/>
  <c r="L133" i="46"/>
  <c r="H133" i="46"/>
  <c r="R119" i="46"/>
  <c r="P119" i="46"/>
  <c r="I107" i="46"/>
  <c r="K107" i="46"/>
  <c r="I103" i="46"/>
  <c r="H103" i="46"/>
  <c r="Q103" i="46"/>
  <c r="P99" i="46"/>
  <c r="N90" i="46"/>
  <c r="J90" i="46"/>
  <c r="P90" i="46"/>
  <c r="H90" i="46"/>
  <c r="L90" i="46"/>
  <c r="R90" i="46"/>
  <c r="H99" i="46"/>
  <c r="O99" i="46"/>
  <c r="L92" i="46"/>
  <c r="G92" i="46"/>
  <c r="O92" i="46"/>
  <c r="J83" i="46"/>
  <c r="G83" i="46"/>
  <c r="G66" i="46"/>
  <c r="J66" i="46"/>
  <c r="P66" i="46"/>
  <c r="K66" i="46"/>
  <c r="R66" i="46"/>
  <c r="H66" i="46"/>
  <c r="O66" i="46"/>
  <c r="S64" i="45"/>
  <c r="L64" i="45"/>
  <c r="M63" i="45"/>
  <c r="G59" i="45"/>
  <c r="N49" i="45"/>
  <c r="J49" i="45"/>
  <c r="J44" i="45"/>
  <c r="Q40" i="45"/>
  <c r="I40" i="45"/>
  <c r="S38" i="45"/>
  <c r="H38" i="45"/>
  <c r="L37" i="45"/>
  <c r="L34" i="45"/>
  <c r="S32" i="45"/>
  <c r="K28" i="45"/>
  <c r="M26" i="45"/>
  <c r="P25" i="45"/>
  <c r="K25" i="45"/>
  <c r="J14" i="45"/>
  <c r="R12" i="45"/>
  <c r="H12" i="45"/>
  <c r="P6" i="45"/>
  <c r="R202" i="46"/>
  <c r="J202" i="46"/>
  <c r="L194" i="46"/>
  <c r="J187" i="46"/>
  <c r="R181" i="46"/>
  <c r="J179" i="46"/>
  <c r="J178" i="46"/>
  <c r="R173" i="46"/>
  <c r="J169" i="46"/>
  <c r="J168" i="46"/>
  <c r="J148" i="46"/>
  <c r="R145" i="46"/>
  <c r="J145" i="46"/>
  <c r="J141" i="46"/>
  <c r="N136" i="46"/>
  <c r="N133" i="46"/>
  <c r="J124" i="46"/>
  <c r="P124" i="46"/>
  <c r="L121" i="46"/>
  <c r="J121" i="46"/>
  <c r="H114" i="46"/>
  <c r="J114" i="46"/>
  <c r="H110" i="46"/>
  <c r="Q110" i="46"/>
  <c r="M107" i="46"/>
  <c r="Q104" i="46"/>
  <c r="J104" i="46"/>
  <c r="N104" i="46"/>
  <c r="J103" i="46"/>
  <c r="S99" i="46"/>
  <c r="K99" i="46"/>
  <c r="S94" i="46"/>
  <c r="P92" i="46"/>
  <c r="K90" i="46"/>
  <c r="P89" i="46"/>
  <c r="L89" i="46"/>
  <c r="N74" i="46"/>
  <c r="H74" i="46"/>
  <c r="Q74" i="46"/>
  <c r="S49" i="45"/>
  <c r="M49" i="45"/>
  <c r="H49" i="45"/>
  <c r="K41" i="45"/>
  <c r="P40" i="45"/>
  <c r="G40" i="45"/>
  <c r="R38" i="45"/>
  <c r="G38" i="45"/>
  <c r="H37" i="45"/>
  <c r="J34" i="45"/>
  <c r="N32" i="45"/>
  <c r="N25" i="45"/>
  <c r="J25" i="45"/>
  <c r="P202" i="46"/>
  <c r="H202" i="46"/>
  <c r="R194" i="46"/>
  <c r="J194" i="46"/>
  <c r="P169" i="46"/>
  <c r="H169" i="46"/>
  <c r="P165" i="46"/>
  <c r="L157" i="46"/>
  <c r="P141" i="46"/>
  <c r="H141" i="46"/>
  <c r="J133" i="46"/>
  <c r="M111" i="46"/>
  <c r="Q111" i="46"/>
  <c r="J107" i="46"/>
  <c r="R103" i="46"/>
  <c r="G103" i="46"/>
  <c r="R99" i="46"/>
  <c r="J99" i="46"/>
  <c r="P98" i="46"/>
  <c r="G98" i="46"/>
  <c r="M92" i="46"/>
  <c r="S90" i="46"/>
  <c r="I90" i="46"/>
  <c r="G84" i="46"/>
  <c r="N84" i="46"/>
  <c r="I84" i="46"/>
  <c r="R84" i="46"/>
  <c r="J67" i="46"/>
  <c r="L67" i="46"/>
  <c r="I67" i="46"/>
  <c r="S67" i="46"/>
  <c r="N88" i="46"/>
  <c r="I88" i="46"/>
  <c r="S86" i="46"/>
  <c r="S79" i="46"/>
  <c r="H79" i="46"/>
  <c r="P73" i="46"/>
  <c r="H73" i="46"/>
  <c r="O72" i="46"/>
  <c r="S61" i="46"/>
  <c r="O59" i="46"/>
  <c r="O55" i="46"/>
  <c r="S52" i="46"/>
  <c r="M52" i="46"/>
  <c r="G52" i="46"/>
  <c r="S48" i="46"/>
  <c r="N48" i="46"/>
  <c r="J48" i="46"/>
  <c r="Q43" i="46"/>
  <c r="N41" i="46"/>
  <c r="J41" i="46"/>
  <c r="Q40" i="46"/>
  <c r="G40" i="46"/>
  <c r="I37" i="46"/>
  <c r="N36" i="46"/>
  <c r="Q33" i="46"/>
  <c r="K33" i="46"/>
  <c r="R32" i="46"/>
  <c r="N29" i="46"/>
  <c r="S28" i="46"/>
  <c r="N28" i="46"/>
  <c r="J28" i="46"/>
  <c r="R25" i="46"/>
  <c r="K25" i="46"/>
  <c r="R21" i="46"/>
  <c r="I21" i="46"/>
  <c r="Q20" i="46"/>
  <c r="L20" i="46"/>
  <c r="G20" i="46"/>
  <c r="O19" i="46"/>
  <c r="R12" i="46"/>
  <c r="N8" i="46"/>
  <c r="Q70" i="46"/>
  <c r="M55" i="46"/>
  <c r="O52" i="46"/>
  <c r="K52" i="46"/>
  <c r="R49" i="46"/>
  <c r="Q48" i="46"/>
  <c r="L48" i="46"/>
  <c r="H48" i="46"/>
  <c r="N40" i="46"/>
  <c r="R37" i="46"/>
  <c r="Q36" i="46"/>
  <c r="S33" i="46"/>
  <c r="M33" i="46"/>
  <c r="I33" i="46"/>
  <c r="I31" i="46"/>
  <c r="R29" i="46"/>
  <c r="I29" i="46"/>
  <c r="Q28" i="46"/>
  <c r="L28" i="46"/>
  <c r="G28" i="46"/>
  <c r="N21" i="46"/>
  <c r="S20" i="46"/>
  <c r="N20" i="46"/>
  <c r="J20" i="46"/>
  <c r="Q19" i="46"/>
  <c r="I19" i="46"/>
  <c r="N52" i="46"/>
  <c r="H52" i="46"/>
  <c r="R40" i="46"/>
  <c r="S21" i="46"/>
  <c r="M21" i="46"/>
  <c r="M20" i="46"/>
  <c r="I20" i="46"/>
  <c r="N201" i="35"/>
  <c r="O138" i="35"/>
  <c r="O114" i="35"/>
  <c r="Q65" i="35"/>
  <c r="O54" i="35"/>
  <c r="I44" i="35"/>
  <c r="S34" i="35"/>
  <c r="J34" i="35"/>
  <c r="Q29" i="35"/>
  <c r="I29" i="35"/>
  <c r="N17" i="35"/>
  <c r="O5" i="35"/>
  <c r="G196" i="36"/>
  <c r="R196" i="36"/>
  <c r="N188" i="36"/>
  <c r="L183" i="36"/>
  <c r="R181" i="36"/>
  <c r="M173" i="36"/>
  <c r="K173" i="36"/>
  <c r="M165" i="36"/>
  <c r="H165" i="36"/>
  <c r="R165" i="36"/>
  <c r="R161" i="36"/>
  <c r="K160" i="36"/>
  <c r="O160" i="36"/>
  <c r="R157" i="36"/>
  <c r="O123" i="36"/>
  <c r="K113" i="36"/>
  <c r="J112" i="36"/>
  <c r="K101" i="36"/>
  <c r="R89" i="36"/>
  <c r="J89" i="36"/>
  <c r="K89" i="36"/>
  <c r="K88" i="36"/>
  <c r="S88" i="36"/>
  <c r="G88" i="36"/>
  <c r="O88" i="36"/>
  <c r="H88" i="36"/>
  <c r="P88" i="36"/>
  <c r="H62" i="36"/>
  <c r="Q62" i="36"/>
  <c r="M62" i="36"/>
  <c r="N62" i="36"/>
  <c r="K57" i="36"/>
  <c r="R52" i="36"/>
  <c r="R48" i="36"/>
  <c r="L47" i="36"/>
  <c r="M47" i="36"/>
  <c r="H47" i="36"/>
  <c r="Q47" i="36"/>
  <c r="I47" i="36"/>
  <c r="R47" i="36"/>
  <c r="M22" i="36"/>
  <c r="Q22" i="36"/>
  <c r="S22" i="36"/>
  <c r="I22" i="36"/>
  <c r="O22" i="36"/>
  <c r="P11" i="36"/>
  <c r="P98" i="37"/>
  <c r="H98" i="37"/>
  <c r="J98" i="37"/>
  <c r="L98" i="37"/>
  <c r="H25" i="37"/>
  <c r="Q25" i="37"/>
  <c r="M25" i="37"/>
  <c r="G25" i="37"/>
  <c r="I25" i="37"/>
  <c r="N25" i="37"/>
  <c r="O25" i="37"/>
  <c r="H187" i="38"/>
  <c r="O187" i="38"/>
  <c r="P187" i="38"/>
  <c r="L187" i="38"/>
  <c r="G187" i="38"/>
  <c r="M187" i="38"/>
  <c r="L125" i="39"/>
  <c r="J125" i="39"/>
  <c r="N125" i="39"/>
  <c r="P125" i="39"/>
  <c r="J110" i="39"/>
  <c r="R110" i="39"/>
  <c r="K110" i="39"/>
  <c r="S110" i="39"/>
  <c r="L110" i="39"/>
  <c r="M110" i="39"/>
  <c r="G110" i="39"/>
  <c r="O110" i="39"/>
  <c r="H110" i="39"/>
  <c r="I110" i="39"/>
  <c r="N110" i="39"/>
  <c r="P110" i="39"/>
  <c r="L37" i="39"/>
  <c r="K37" i="39"/>
  <c r="N37" i="39"/>
  <c r="H37" i="39"/>
  <c r="R37" i="39"/>
  <c r="O37" i="39"/>
  <c r="P37" i="39"/>
  <c r="Q37" i="39"/>
  <c r="S37" i="39"/>
  <c r="G37" i="39"/>
  <c r="I37" i="39"/>
  <c r="J37" i="39"/>
  <c r="M134" i="41"/>
  <c r="G134" i="41"/>
  <c r="P134" i="41"/>
  <c r="H134" i="41"/>
  <c r="Q134" i="41"/>
  <c r="I134" i="41"/>
  <c r="R134" i="41"/>
  <c r="J134" i="41"/>
  <c r="S134" i="41"/>
  <c r="L134" i="41"/>
  <c r="K134" i="41"/>
  <c r="N134" i="41"/>
  <c r="O134" i="41"/>
  <c r="J97" i="41"/>
  <c r="N204" i="35"/>
  <c r="Q202" i="35"/>
  <c r="G202" i="35"/>
  <c r="M201" i="35"/>
  <c r="O197" i="35"/>
  <c r="G197" i="35"/>
  <c r="O195" i="35"/>
  <c r="L194" i="35"/>
  <c r="Q193" i="35"/>
  <c r="I193" i="35"/>
  <c r="G192" i="35"/>
  <c r="N188" i="35"/>
  <c r="M185" i="35"/>
  <c r="S182" i="35"/>
  <c r="J182" i="35"/>
  <c r="O181" i="35"/>
  <c r="G181" i="35"/>
  <c r="O179" i="35"/>
  <c r="L178" i="35"/>
  <c r="G176" i="35"/>
  <c r="N174" i="35"/>
  <c r="S173" i="35"/>
  <c r="N172" i="35"/>
  <c r="Q170" i="35"/>
  <c r="G170" i="35"/>
  <c r="M169" i="35"/>
  <c r="S166" i="35"/>
  <c r="J166" i="35"/>
  <c r="O165" i="35"/>
  <c r="L162" i="35"/>
  <c r="Q161" i="35"/>
  <c r="I161" i="35"/>
  <c r="N158" i="35"/>
  <c r="S157" i="35"/>
  <c r="N156" i="35"/>
  <c r="Q154" i="35"/>
  <c r="G154" i="35"/>
  <c r="M153" i="35"/>
  <c r="S150" i="35"/>
  <c r="J150" i="35"/>
  <c r="O147" i="35"/>
  <c r="L146" i="35"/>
  <c r="Q145" i="35"/>
  <c r="I145" i="35"/>
  <c r="M142" i="35"/>
  <c r="R141" i="35"/>
  <c r="J141" i="35"/>
  <c r="G140" i="35"/>
  <c r="N138" i="35"/>
  <c r="H136" i="35"/>
  <c r="L133" i="35"/>
  <c r="P132" i="35"/>
  <c r="Q130" i="35"/>
  <c r="G130" i="35"/>
  <c r="M129" i="35"/>
  <c r="Q128" i="35"/>
  <c r="N122" i="35"/>
  <c r="S121" i="35"/>
  <c r="O120" i="35"/>
  <c r="S118" i="35"/>
  <c r="J118" i="35"/>
  <c r="O117" i="35"/>
  <c r="G117" i="35"/>
  <c r="N114" i="35"/>
  <c r="S113" i="35"/>
  <c r="O112" i="35"/>
  <c r="Q110" i="35"/>
  <c r="G110" i="35"/>
  <c r="M109" i="35"/>
  <c r="Q108" i="35"/>
  <c r="M106" i="35"/>
  <c r="R105" i="35"/>
  <c r="J105" i="35"/>
  <c r="I104" i="35"/>
  <c r="R102" i="35"/>
  <c r="I102" i="35"/>
  <c r="M99" i="35"/>
  <c r="M98" i="35"/>
  <c r="R97" i="35"/>
  <c r="J97" i="35"/>
  <c r="I96" i="35"/>
  <c r="L93" i="35"/>
  <c r="P92" i="35"/>
  <c r="M91" i="35"/>
  <c r="L90" i="35"/>
  <c r="Q89" i="35"/>
  <c r="I89" i="35"/>
  <c r="H88" i="35"/>
  <c r="Q86" i="35"/>
  <c r="G86" i="35"/>
  <c r="M85" i="35"/>
  <c r="Q84" i="35"/>
  <c r="L82" i="35"/>
  <c r="H80" i="35"/>
  <c r="S77" i="35"/>
  <c r="O76" i="35"/>
  <c r="K74" i="35"/>
  <c r="P73" i="35"/>
  <c r="H73" i="35"/>
  <c r="G72" i="35"/>
  <c r="L69" i="35"/>
  <c r="P68" i="35"/>
  <c r="K66" i="35"/>
  <c r="P65" i="35"/>
  <c r="H65" i="35"/>
  <c r="G64" i="35"/>
  <c r="M62" i="35"/>
  <c r="R61" i="35"/>
  <c r="J61" i="35"/>
  <c r="I60" i="35"/>
  <c r="S58" i="35"/>
  <c r="J58" i="35"/>
  <c r="O57" i="35"/>
  <c r="G57" i="35"/>
  <c r="N54" i="35"/>
  <c r="S53" i="35"/>
  <c r="O52" i="35"/>
  <c r="S50" i="35"/>
  <c r="J50" i="35"/>
  <c r="G49" i="35"/>
  <c r="L46" i="35"/>
  <c r="Q45" i="35"/>
  <c r="I45" i="35"/>
  <c r="H44" i="35"/>
  <c r="O39" i="35"/>
  <c r="M38" i="35"/>
  <c r="I36" i="35"/>
  <c r="R34" i="35"/>
  <c r="I34" i="35"/>
  <c r="K30" i="35"/>
  <c r="P29" i="35"/>
  <c r="H29" i="35"/>
  <c r="G28" i="35"/>
  <c r="Q26" i="35"/>
  <c r="G26" i="35"/>
  <c r="M25" i="35"/>
  <c r="Q24" i="35"/>
  <c r="G23" i="35"/>
  <c r="L22" i="35"/>
  <c r="Q21" i="35"/>
  <c r="I21" i="35"/>
  <c r="H20" i="35"/>
  <c r="Q18" i="35"/>
  <c r="G18" i="35"/>
  <c r="M17" i="35"/>
  <c r="Q16" i="35"/>
  <c r="S14" i="35"/>
  <c r="J14" i="35"/>
  <c r="O13" i="35"/>
  <c r="G13" i="35"/>
  <c r="L9" i="35"/>
  <c r="P8" i="35"/>
  <c r="G204" i="36"/>
  <c r="N204" i="36"/>
  <c r="L194" i="36"/>
  <c r="H191" i="36"/>
  <c r="N191" i="36"/>
  <c r="L188" i="36"/>
  <c r="N186" i="36"/>
  <c r="J183" i="36"/>
  <c r="P177" i="36"/>
  <c r="Q176" i="36"/>
  <c r="Q173" i="36"/>
  <c r="P171" i="36"/>
  <c r="Q165" i="36"/>
  <c r="P163" i="36"/>
  <c r="R160" i="36"/>
  <c r="P159" i="36"/>
  <c r="I153" i="36"/>
  <c r="H152" i="36"/>
  <c r="M149" i="36"/>
  <c r="K149" i="36"/>
  <c r="K148" i="36"/>
  <c r="O148" i="36"/>
  <c r="S145" i="36"/>
  <c r="J141" i="36"/>
  <c r="H140" i="36"/>
  <c r="L138" i="36"/>
  <c r="M129" i="36"/>
  <c r="N129" i="36"/>
  <c r="I129" i="36"/>
  <c r="S129" i="36"/>
  <c r="Q125" i="36"/>
  <c r="H123" i="36"/>
  <c r="L121" i="36"/>
  <c r="M118" i="36"/>
  <c r="J113" i="36"/>
  <c r="H112" i="36"/>
  <c r="N106" i="36"/>
  <c r="N104" i="36"/>
  <c r="I101" i="36"/>
  <c r="L91" i="36"/>
  <c r="O91" i="36"/>
  <c r="G91" i="36"/>
  <c r="S91" i="36"/>
  <c r="H91" i="36"/>
  <c r="R88" i="36"/>
  <c r="O85" i="36"/>
  <c r="Q83" i="36"/>
  <c r="G83" i="36"/>
  <c r="H83" i="36"/>
  <c r="S67" i="36"/>
  <c r="S62" i="36"/>
  <c r="G61" i="36"/>
  <c r="N61" i="36"/>
  <c r="J57" i="36"/>
  <c r="J55" i="36"/>
  <c r="S47" i="36"/>
  <c r="L45" i="36"/>
  <c r="G45" i="36"/>
  <c r="Q45" i="36"/>
  <c r="I45" i="36"/>
  <c r="R45" i="36"/>
  <c r="L38" i="36"/>
  <c r="P36" i="36"/>
  <c r="N31" i="36"/>
  <c r="O31" i="36"/>
  <c r="R16" i="36"/>
  <c r="R15" i="36"/>
  <c r="S15" i="36"/>
  <c r="J11" i="36"/>
  <c r="G203" i="37"/>
  <c r="O203" i="37"/>
  <c r="H203" i="37"/>
  <c r="P203" i="37"/>
  <c r="L203" i="37"/>
  <c r="M203" i="37"/>
  <c r="O168" i="37"/>
  <c r="N131" i="37"/>
  <c r="L119" i="37"/>
  <c r="J119" i="37"/>
  <c r="S119" i="37"/>
  <c r="K119" i="37"/>
  <c r="M119" i="37"/>
  <c r="N119" i="37"/>
  <c r="G119" i="37"/>
  <c r="P119" i="37"/>
  <c r="H119" i="37"/>
  <c r="Q119" i="37"/>
  <c r="O115" i="37"/>
  <c r="G109" i="37"/>
  <c r="S109" i="37"/>
  <c r="M109" i="37"/>
  <c r="I109" i="37"/>
  <c r="K109" i="37"/>
  <c r="L109" i="37"/>
  <c r="N109" i="37"/>
  <c r="Q109" i="37"/>
  <c r="L91" i="37"/>
  <c r="H91" i="37"/>
  <c r="J91" i="37"/>
  <c r="N91" i="37"/>
  <c r="G69" i="37"/>
  <c r="M69" i="37"/>
  <c r="O69" i="37"/>
  <c r="Q69" i="37"/>
  <c r="H69" i="37"/>
  <c r="I69" i="37"/>
  <c r="G152" i="38"/>
  <c r="O107" i="38"/>
  <c r="H107" i="38"/>
  <c r="L107" i="38"/>
  <c r="G107" i="38"/>
  <c r="K96" i="38"/>
  <c r="G96" i="38"/>
  <c r="R96" i="38"/>
  <c r="H96" i="38"/>
  <c r="I96" i="38"/>
  <c r="J96" i="38"/>
  <c r="O96" i="38"/>
  <c r="N96" i="38"/>
  <c r="P96" i="38"/>
  <c r="M41" i="38"/>
  <c r="I41" i="38"/>
  <c r="S41" i="38"/>
  <c r="J41" i="38"/>
  <c r="K41" i="38"/>
  <c r="L41" i="38"/>
  <c r="P41" i="38"/>
  <c r="H41" i="38"/>
  <c r="N41" i="38"/>
  <c r="Q41" i="38"/>
  <c r="R41" i="38"/>
  <c r="O158" i="35"/>
  <c r="N129" i="35"/>
  <c r="N109" i="35"/>
  <c r="I65" i="35"/>
  <c r="N25" i="35"/>
  <c r="I20" i="35"/>
  <c r="H5" i="35"/>
  <c r="P5" i="35"/>
  <c r="H187" i="36"/>
  <c r="N187" i="36"/>
  <c r="M181" i="36"/>
  <c r="N181" i="36"/>
  <c r="K180" i="36"/>
  <c r="Q180" i="36"/>
  <c r="R173" i="36"/>
  <c r="K172" i="36"/>
  <c r="O172" i="36"/>
  <c r="K164" i="36"/>
  <c r="H164" i="36"/>
  <c r="M161" i="36"/>
  <c r="K161" i="36"/>
  <c r="M157" i="36"/>
  <c r="P157" i="36"/>
  <c r="K153" i="36"/>
  <c r="I152" i="36"/>
  <c r="K141" i="36"/>
  <c r="J140" i="36"/>
  <c r="G119" i="36"/>
  <c r="N119" i="36"/>
  <c r="N93" i="36"/>
  <c r="G93" i="36"/>
  <c r="N69" i="36"/>
  <c r="J69" i="36"/>
  <c r="Q69" i="36"/>
  <c r="K68" i="36"/>
  <c r="S68" i="36"/>
  <c r="G68" i="36"/>
  <c r="O68" i="36"/>
  <c r="H68" i="36"/>
  <c r="P68" i="36"/>
  <c r="G65" i="36"/>
  <c r="O65" i="36"/>
  <c r="J65" i="36"/>
  <c r="K65" i="36"/>
  <c r="K55" i="36"/>
  <c r="G52" i="36"/>
  <c r="O52" i="36"/>
  <c r="K52" i="36"/>
  <c r="S52" i="36"/>
  <c r="L52" i="36"/>
  <c r="G48" i="36"/>
  <c r="O48" i="36"/>
  <c r="K48" i="36"/>
  <c r="S48" i="36"/>
  <c r="L48" i="36"/>
  <c r="M38" i="36"/>
  <c r="S131" i="37"/>
  <c r="S115" i="37"/>
  <c r="O104" i="38"/>
  <c r="P104" i="38"/>
  <c r="H204" i="35"/>
  <c r="L201" i="35"/>
  <c r="R198" i="35"/>
  <c r="I198" i="35"/>
  <c r="P193" i="35"/>
  <c r="H193" i="35"/>
  <c r="M190" i="35"/>
  <c r="H188" i="35"/>
  <c r="L185" i="35"/>
  <c r="R182" i="35"/>
  <c r="I182" i="35"/>
  <c r="P177" i="35"/>
  <c r="H177" i="35"/>
  <c r="M174" i="35"/>
  <c r="H172" i="35"/>
  <c r="L169" i="35"/>
  <c r="R166" i="35"/>
  <c r="I166" i="35"/>
  <c r="P161" i="35"/>
  <c r="H161" i="35"/>
  <c r="M158" i="35"/>
  <c r="H156" i="35"/>
  <c r="L153" i="35"/>
  <c r="R150" i="35"/>
  <c r="I150" i="35"/>
  <c r="P145" i="35"/>
  <c r="H145" i="35"/>
  <c r="Q141" i="35"/>
  <c r="I141" i="35"/>
  <c r="M138" i="35"/>
  <c r="G136" i="35"/>
  <c r="L129" i="35"/>
  <c r="P128" i="35"/>
  <c r="G126" i="35"/>
  <c r="Q124" i="35"/>
  <c r="M122" i="35"/>
  <c r="I120" i="35"/>
  <c r="R118" i="35"/>
  <c r="I118" i="35"/>
  <c r="M114" i="35"/>
  <c r="I112" i="35"/>
  <c r="L109" i="35"/>
  <c r="Q105" i="35"/>
  <c r="I105" i="35"/>
  <c r="H104" i="35"/>
  <c r="Q102" i="35"/>
  <c r="G102" i="35"/>
  <c r="Q100" i="35"/>
  <c r="Q97" i="35"/>
  <c r="I97" i="35"/>
  <c r="G88" i="35"/>
  <c r="L85" i="35"/>
  <c r="G80" i="35"/>
  <c r="I76" i="35"/>
  <c r="S74" i="35"/>
  <c r="J74" i="35"/>
  <c r="O73" i="35"/>
  <c r="G73" i="35"/>
  <c r="S66" i="35"/>
  <c r="J66" i="35"/>
  <c r="O65" i="35"/>
  <c r="G65" i="35"/>
  <c r="Q61" i="35"/>
  <c r="I61" i="35"/>
  <c r="M54" i="35"/>
  <c r="I52" i="35"/>
  <c r="G44" i="35"/>
  <c r="Q40" i="35"/>
  <c r="G39" i="35"/>
  <c r="Q34" i="35"/>
  <c r="G34" i="35"/>
  <c r="Q32" i="35"/>
  <c r="S30" i="35"/>
  <c r="J30" i="35"/>
  <c r="O29" i="35"/>
  <c r="G29" i="35"/>
  <c r="L25" i="35"/>
  <c r="G20" i="35"/>
  <c r="L17" i="35"/>
  <c r="O11" i="35"/>
  <c r="M5" i="35"/>
  <c r="N203" i="36"/>
  <c r="L190" i="36"/>
  <c r="H183" i="36"/>
  <c r="P181" i="36"/>
  <c r="P180" i="36"/>
  <c r="H179" i="36"/>
  <c r="P179" i="36"/>
  <c r="N177" i="36"/>
  <c r="P176" i="36"/>
  <c r="P173" i="36"/>
  <c r="Q172" i="36"/>
  <c r="O171" i="36"/>
  <c r="K168" i="36"/>
  <c r="G168" i="36"/>
  <c r="P165" i="36"/>
  <c r="Q164" i="36"/>
  <c r="P161" i="36"/>
  <c r="Q160" i="36"/>
  <c r="O159" i="36"/>
  <c r="N157" i="36"/>
  <c r="S153" i="36"/>
  <c r="H153" i="36"/>
  <c r="G152" i="36"/>
  <c r="M145" i="36"/>
  <c r="P145" i="36"/>
  <c r="G140" i="36"/>
  <c r="M133" i="36"/>
  <c r="J133" i="36"/>
  <c r="P133" i="36"/>
  <c r="G123" i="36"/>
  <c r="K121" i="36"/>
  <c r="L114" i="36"/>
  <c r="I113" i="36"/>
  <c r="M106" i="36"/>
  <c r="J104" i="36"/>
  <c r="H101" i="36"/>
  <c r="K100" i="36"/>
  <c r="N100" i="36"/>
  <c r="G100" i="36"/>
  <c r="R100" i="36"/>
  <c r="M97" i="36"/>
  <c r="P97" i="36"/>
  <c r="J97" i="36"/>
  <c r="Q88" i="36"/>
  <c r="L85" i="36"/>
  <c r="S82" i="36"/>
  <c r="L71" i="36"/>
  <c r="R71" i="36"/>
  <c r="H71" i="36"/>
  <c r="I71" i="36"/>
  <c r="Q68" i="36"/>
  <c r="R67" i="36"/>
  <c r="Q66" i="36"/>
  <c r="G66" i="36"/>
  <c r="H66" i="36"/>
  <c r="P62" i="36"/>
  <c r="L59" i="36"/>
  <c r="O59" i="36"/>
  <c r="G59" i="36"/>
  <c r="S59" i="36"/>
  <c r="H59" i="36"/>
  <c r="I57" i="36"/>
  <c r="G55" i="36"/>
  <c r="P52" i="36"/>
  <c r="P48" i="36"/>
  <c r="P47" i="36"/>
  <c r="N46" i="36"/>
  <c r="G46" i="36"/>
  <c r="O36" i="36"/>
  <c r="S30" i="36"/>
  <c r="N26" i="36"/>
  <c r="M26" i="36"/>
  <c r="Q16" i="36"/>
  <c r="K199" i="37"/>
  <c r="L198" i="37"/>
  <c r="G198" i="37"/>
  <c r="R198" i="37"/>
  <c r="I198" i="37"/>
  <c r="S198" i="37"/>
  <c r="N198" i="37"/>
  <c r="O198" i="37"/>
  <c r="H188" i="37"/>
  <c r="K188" i="37"/>
  <c r="L188" i="37"/>
  <c r="G188" i="37"/>
  <c r="Q188" i="37"/>
  <c r="I188" i="37"/>
  <c r="R188" i="37"/>
  <c r="H176" i="37"/>
  <c r="G176" i="37"/>
  <c r="Q176" i="37"/>
  <c r="I176" i="37"/>
  <c r="R176" i="37"/>
  <c r="J176" i="37"/>
  <c r="S176" i="37"/>
  <c r="M176" i="37"/>
  <c r="N176" i="37"/>
  <c r="G171" i="37"/>
  <c r="O171" i="37"/>
  <c r="H171" i="37"/>
  <c r="P171" i="37"/>
  <c r="I171" i="37"/>
  <c r="Q171" i="37"/>
  <c r="J171" i="37"/>
  <c r="R171" i="37"/>
  <c r="L171" i="37"/>
  <c r="M171" i="37"/>
  <c r="I149" i="37"/>
  <c r="G149" i="37"/>
  <c r="K149" i="37"/>
  <c r="L149" i="37"/>
  <c r="M149" i="37"/>
  <c r="O149" i="37"/>
  <c r="Q149" i="37"/>
  <c r="H128" i="37"/>
  <c r="G128" i="37"/>
  <c r="Q128" i="37"/>
  <c r="I128" i="37"/>
  <c r="R128" i="37"/>
  <c r="J128" i="37"/>
  <c r="S128" i="37"/>
  <c r="K128" i="37"/>
  <c r="M128" i="37"/>
  <c r="N128" i="37"/>
  <c r="P90" i="37"/>
  <c r="N90" i="37"/>
  <c r="J90" i="37"/>
  <c r="L90" i="37"/>
  <c r="M66" i="37"/>
  <c r="I66" i="37"/>
  <c r="Q66" i="37"/>
  <c r="K66" i="37"/>
  <c r="L66" i="37"/>
  <c r="N66" i="37"/>
  <c r="O66" i="37"/>
  <c r="G66" i="37"/>
  <c r="R66" i="37"/>
  <c r="H66" i="37"/>
  <c r="S66" i="37"/>
  <c r="K60" i="38"/>
  <c r="J60" i="38"/>
  <c r="N60" i="38"/>
  <c r="O60" i="38"/>
  <c r="P60" i="38"/>
  <c r="G60" i="38"/>
  <c r="R60" i="38"/>
  <c r="H60" i="38"/>
  <c r="I60" i="38"/>
  <c r="J162" i="40"/>
  <c r="N162" i="40"/>
  <c r="R162" i="40"/>
  <c r="P162" i="40"/>
  <c r="R157" i="40"/>
  <c r="N157" i="40"/>
  <c r="N185" i="35"/>
  <c r="N153" i="35"/>
  <c r="Q196" i="35"/>
  <c r="L190" i="35"/>
  <c r="Q180" i="35"/>
  <c r="L174" i="35"/>
  <c r="K169" i="35"/>
  <c r="S129" i="35"/>
  <c r="L122" i="35"/>
  <c r="K109" i="35"/>
  <c r="N73" i="35"/>
  <c r="O34" i="35"/>
  <c r="R153" i="36"/>
  <c r="M141" i="36"/>
  <c r="I141" i="36"/>
  <c r="S141" i="36"/>
  <c r="K112" i="36"/>
  <c r="P112" i="36"/>
  <c r="I112" i="36"/>
  <c r="P148" i="35"/>
  <c r="O141" i="35"/>
  <c r="G141" i="35"/>
  <c r="K138" i="35"/>
  <c r="R129" i="35"/>
  <c r="J129" i="35"/>
  <c r="O124" i="35"/>
  <c r="K122" i="35"/>
  <c r="G120" i="35"/>
  <c r="K114" i="35"/>
  <c r="G112" i="35"/>
  <c r="R109" i="35"/>
  <c r="J109" i="35"/>
  <c r="O105" i="35"/>
  <c r="G105" i="35"/>
  <c r="N102" i="35"/>
  <c r="O100" i="35"/>
  <c r="O97" i="35"/>
  <c r="G97" i="35"/>
  <c r="Q93" i="35"/>
  <c r="I93" i="35"/>
  <c r="M86" i="35"/>
  <c r="R85" i="35"/>
  <c r="J85" i="35"/>
  <c r="I84" i="35"/>
  <c r="G76" i="35"/>
  <c r="Q74" i="35"/>
  <c r="G74" i="35"/>
  <c r="M73" i="35"/>
  <c r="Q72" i="35"/>
  <c r="G71" i="35"/>
  <c r="Q69" i="35"/>
  <c r="I69" i="35"/>
  <c r="Q66" i="35"/>
  <c r="G66" i="35"/>
  <c r="M65" i="35"/>
  <c r="Q64" i="35"/>
  <c r="S62" i="35"/>
  <c r="J62" i="35"/>
  <c r="O61" i="35"/>
  <c r="G61" i="35"/>
  <c r="L57" i="35"/>
  <c r="K54" i="35"/>
  <c r="G52" i="35"/>
  <c r="O43" i="35"/>
  <c r="N42" i="35"/>
  <c r="O40" i="35"/>
  <c r="S38" i="35"/>
  <c r="J38" i="35"/>
  <c r="O37" i="35"/>
  <c r="N34" i="35"/>
  <c r="O32" i="35"/>
  <c r="Q30" i="35"/>
  <c r="G30" i="35"/>
  <c r="M29" i="35"/>
  <c r="Q28" i="35"/>
  <c r="M26" i="35"/>
  <c r="R25" i="35"/>
  <c r="J25" i="35"/>
  <c r="I24" i="35"/>
  <c r="M18" i="35"/>
  <c r="R17" i="35"/>
  <c r="J17" i="35"/>
  <c r="I16" i="35"/>
  <c r="L13" i="35"/>
  <c r="M11" i="35"/>
  <c r="Q9" i="35"/>
  <c r="I9" i="35"/>
  <c r="H6" i="35"/>
  <c r="K6" i="35"/>
  <c r="K5" i="35"/>
  <c r="G198" i="36"/>
  <c r="H198" i="36"/>
  <c r="N196" i="36"/>
  <c r="G195" i="36"/>
  <c r="L195" i="36"/>
  <c r="H190" i="36"/>
  <c r="R187" i="36"/>
  <c r="K181" i="36"/>
  <c r="J180" i="36"/>
  <c r="K177" i="36"/>
  <c r="J176" i="36"/>
  <c r="L173" i="36"/>
  <c r="J172" i="36"/>
  <c r="G171" i="36"/>
  <c r="Q168" i="36"/>
  <c r="N166" i="36"/>
  <c r="L165" i="36"/>
  <c r="O164" i="36"/>
  <c r="L161" i="36"/>
  <c r="J160" i="36"/>
  <c r="G159" i="36"/>
  <c r="K157" i="36"/>
  <c r="N155" i="36"/>
  <c r="Q153" i="36"/>
  <c r="R152" i="36"/>
  <c r="N145" i="36"/>
  <c r="Q141" i="36"/>
  <c r="R140" i="36"/>
  <c r="P139" i="36"/>
  <c r="M137" i="36"/>
  <c r="N137" i="36"/>
  <c r="K136" i="36"/>
  <c r="Q136" i="36"/>
  <c r="Q133" i="36"/>
  <c r="K125" i="36"/>
  <c r="K120" i="36"/>
  <c r="N120" i="36"/>
  <c r="G120" i="36"/>
  <c r="R120" i="36"/>
  <c r="K116" i="36"/>
  <c r="H116" i="36"/>
  <c r="O116" i="36"/>
  <c r="S113" i="36"/>
  <c r="R112" i="36"/>
  <c r="R101" i="36"/>
  <c r="Q100" i="36"/>
  <c r="Q97" i="36"/>
  <c r="K96" i="36"/>
  <c r="S96" i="36"/>
  <c r="G96" i="36"/>
  <c r="O96" i="36"/>
  <c r="Q89" i="36"/>
  <c r="M88" i="36"/>
  <c r="Q86" i="36"/>
  <c r="M82" i="36"/>
  <c r="G80" i="36"/>
  <c r="O80" i="36"/>
  <c r="K80" i="36"/>
  <c r="S80" i="36"/>
  <c r="L80" i="36"/>
  <c r="M79" i="36"/>
  <c r="R79" i="36"/>
  <c r="Q74" i="36"/>
  <c r="I74" i="36"/>
  <c r="K74" i="36"/>
  <c r="S69" i="36"/>
  <c r="M68" i="36"/>
  <c r="M67" i="36"/>
  <c r="R65" i="36"/>
  <c r="L62" i="36"/>
  <c r="M56" i="36"/>
  <c r="I56" i="36"/>
  <c r="Q56" i="36"/>
  <c r="J56" i="36"/>
  <c r="R56" i="36"/>
  <c r="P54" i="36"/>
  <c r="M52" i="36"/>
  <c r="O51" i="36"/>
  <c r="P51" i="36"/>
  <c r="M48" i="36"/>
  <c r="N47" i="36"/>
  <c r="Q42" i="36"/>
  <c r="I42" i="36"/>
  <c r="K42" i="36"/>
  <c r="K36" i="36"/>
  <c r="L30" i="36"/>
  <c r="R25" i="36"/>
  <c r="L23" i="36"/>
  <c r="N23" i="36"/>
  <c r="O23" i="36"/>
  <c r="J23" i="36"/>
  <c r="K23" i="36"/>
  <c r="K16" i="36"/>
  <c r="J5" i="36"/>
  <c r="H192" i="37"/>
  <c r="K192" i="37"/>
  <c r="L192" i="37"/>
  <c r="G192" i="37"/>
  <c r="Q192" i="37"/>
  <c r="I192" i="37"/>
  <c r="R192" i="37"/>
  <c r="S181" i="37"/>
  <c r="G113" i="37"/>
  <c r="L113" i="37"/>
  <c r="I113" i="37"/>
  <c r="K113" i="37"/>
  <c r="M113" i="37"/>
  <c r="N113" i="37"/>
  <c r="H59" i="37"/>
  <c r="L59" i="37"/>
  <c r="G59" i="37"/>
  <c r="Q59" i="37"/>
  <c r="I59" i="37"/>
  <c r="J59" i="37"/>
  <c r="K59" i="37"/>
  <c r="M59" i="37"/>
  <c r="O59" i="37"/>
  <c r="R59" i="37"/>
  <c r="G36" i="37"/>
  <c r="M36" i="37"/>
  <c r="K36" i="37"/>
  <c r="L36" i="37"/>
  <c r="N36" i="37"/>
  <c r="O36" i="37"/>
  <c r="G17" i="37"/>
  <c r="N17" i="37"/>
  <c r="O17" i="37"/>
  <c r="P17" i="37"/>
  <c r="Q17" i="37"/>
  <c r="H17" i="37"/>
  <c r="I17" i="37"/>
  <c r="H10" i="37"/>
  <c r="P10" i="37"/>
  <c r="L10" i="37"/>
  <c r="G10" i="37"/>
  <c r="R10" i="37"/>
  <c r="I10" i="37"/>
  <c r="S10" i="37"/>
  <c r="J10" i="37"/>
  <c r="K10" i="37"/>
  <c r="N10" i="37"/>
  <c r="O10" i="37"/>
  <c r="M201" i="38"/>
  <c r="L201" i="38"/>
  <c r="N201" i="38"/>
  <c r="I201" i="38"/>
  <c r="S201" i="38"/>
  <c r="P201" i="38"/>
  <c r="Q201" i="38"/>
  <c r="R201" i="38"/>
  <c r="H201" i="38"/>
  <c r="J201" i="38"/>
  <c r="G143" i="38"/>
  <c r="L143" i="38"/>
  <c r="M143" i="38"/>
  <c r="O143" i="38"/>
  <c r="H143" i="38"/>
  <c r="N143" i="38"/>
  <c r="H126" i="40"/>
  <c r="J126" i="40"/>
  <c r="K126" i="40"/>
  <c r="L126" i="40"/>
  <c r="M126" i="40"/>
  <c r="P126" i="40"/>
  <c r="R126" i="40"/>
  <c r="S126" i="40"/>
  <c r="O190" i="35"/>
  <c r="O174" i="35"/>
  <c r="K201" i="35"/>
  <c r="Q164" i="35"/>
  <c r="P124" i="35"/>
  <c r="P100" i="35"/>
  <c r="S85" i="35"/>
  <c r="N29" i="35"/>
  <c r="R141" i="36"/>
  <c r="R11" i="36"/>
  <c r="L11" i="36"/>
  <c r="N11" i="36"/>
  <c r="H168" i="37"/>
  <c r="G168" i="37"/>
  <c r="Q168" i="37"/>
  <c r="I168" i="37"/>
  <c r="R168" i="37"/>
  <c r="J168" i="37"/>
  <c r="S168" i="37"/>
  <c r="K168" i="37"/>
  <c r="M168" i="37"/>
  <c r="N168" i="37"/>
  <c r="K72" i="37"/>
  <c r="G72" i="37"/>
  <c r="L72" i="37"/>
  <c r="G144" i="38"/>
  <c r="N144" i="38"/>
  <c r="O144" i="38"/>
  <c r="H144" i="38"/>
  <c r="I144" i="38"/>
  <c r="J144" i="38"/>
  <c r="Q144" i="38"/>
  <c r="R201" i="35"/>
  <c r="J201" i="35"/>
  <c r="O198" i="35"/>
  <c r="N193" i="35"/>
  <c r="N177" i="35"/>
  <c r="J169" i="35"/>
  <c r="I201" i="35"/>
  <c r="M193" i="35"/>
  <c r="S190" i="35"/>
  <c r="Q185" i="35"/>
  <c r="Q169" i="35"/>
  <c r="I169" i="35"/>
  <c r="N166" i="35"/>
  <c r="M161" i="35"/>
  <c r="N141" i="35"/>
  <c r="Q129" i="35"/>
  <c r="I129" i="35"/>
  <c r="M126" i="35"/>
  <c r="S122" i="35"/>
  <c r="J122" i="35"/>
  <c r="S114" i="35"/>
  <c r="J114" i="35"/>
  <c r="I109" i="35"/>
  <c r="I100" i="35"/>
  <c r="N97" i="35"/>
  <c r="Q88" i="35"/>
  <c r="Q80" i="35"/>
  <c r="N61" i="35"/>
  <c r="O59" i="35"/>
  <c r="S54" i="35"/>
  <c r="J54" i="35"/>
  <c r="I40" i="35"/>
  <c r="M34" i="35"/>
  <c r="I32" i="35"/>
  <c r="L29" i="35"/>
  <c r="Q25" i="35"/>
  <c r="I25" i="35"/>
  <c r="Q20" i="35"/>
  <c r="Q17" i="35"/>
  <c r="I17" i="35"/>
  <c r="S5" i="35"/>
  <c r="J5" i="35"/>
  <c r="G203" i="36"/>
  <c r="H203" i="36"/>
  <c r="L196" i="36"/>
  <c r="P187" i="36"/>
  <c r="J185" i="36"/>
  <c r="H185" i="36"/>
  <c r="J181" i="36"/>
  <c r="I180" i="36"/>
  <c r="J173" i="36"/>
  <c r="I172" i="36"/>
  <c r="K165" i="36"/>
  <c r="J164" i="36"/>
  <c r="J161" i="36"/>
  <c r="I160" i="36"/>
  <c r="J157" i="36"/>
  <c r="Q152" i="36"/>
  <c r="N146" i="36"/>
  <c r="P141" i="36"/>
  <c r="O139" i="36"/>
  <c r="M121" i="36"/>
  <c r="J121" i="36"/>
  <c r="P121" i="36"/>
  <c r="P119" i="36"/>
  <c r="Q112" i="36"/>
  <c r="H111" i="36"/>
  <c r="O111" i="36"/>
  <c r="K104" i="36"/>
  <c r="H104" i="36"/>
  <c r="O104" i="36"/>
  <c r="Q101" i="36"/>
  <c r="O89" i="36"/>
  <c r="L88" i="36"/>
  <c r="I85" i="36"/>
  <c r="G85" i="36"/>
  <c r="S85" i="36"/>
  <c r="M85" i="36"/>
  <c r="N85" i="36"/>
  <c r="R69" i="36"/>
  <c r="L68" i="36"/>
  <c r="M65" i="36"/>
  <c r="K62" i="36"/>
  <c r="J52" i="36"/>
  <c r="J48" i="36"/>
  <c r="K47" i="36"/>
  <c r="P22" i="36"/>
  <c r="P13" i="36"/>
  <c r="J13" i="36"/>
  <c r="L13" i="36"/>
  <c r="M199" i="37"/>
  <c r="R199" i="37"/>
  <c r="M78" i="37"/>
  <c r="I78" i="37"/>
  <c r="Q78" i="37"/>
  <c r="G78" i="37"/>
  <c r="R78" i="37"/>
  <c r="H78" i="37"/>
  <c r="S78" i="37"/>
  <c r="J78" i="37"/>
  <c r="K78" i="37"/>
  <c r="N78" i="37"/>
  <c r="O78" i="37"/>
  <c r="H51" i="37"/>
  <c r="L51" i="37"/>
  <c r="G51" i="37"/>
  <c r="Q51" i="37"/>
  <c r="M51" i="37"/>
  <c r="N51" i="37"/>
  <c r="O51" i="37"/>
  <c r="R51" i="37"/>
  <c r="I51" i="37"/>
  <c r="J51" i="37"/>
  <c r="O9" i="37"/>
  <c r="H9" i="37"/>
  <c r="G9" i="37"/>
  <c r="I9" i="37"/>
  <c r="M109" i="38"/>
  <c r="H109" i="38"/>
  <c r="R109" i="38"/>
  <c r="I109" i="38"/>
  <c r="S109" i="38"/>
  <c r="J109" i="38"/>
  <c r="K109" i="38"/>
  <c r="N109" i="38"/>
  <c r="L109" i="38"/>
  <c r="P109" i="38"/>
  <c r="K80" i="38"/>
  <c r="G80" i="38"/>
  <c r="R80" i="38"/>
  <c r="H80" i="38"/>
  <c r="I80" i="38"/>
  <c r="J80" i="38"/>
  <c r="O80" i="38"/>
  <c r="N80" i="38"/>
  <c r="P80" i="38"/>
  <c r="Q80" i="38"/>
  <c r="K44" i="38"/>
  <c r="J44" i="38"/>
  <c r="N44" i="38"/>
  <c r="O44" i="38"/>
  <c r="P44" i="38"/>
  <c r="G44" i="38"/>
  <c r="R44" i="38"/>
  <c r="H44" i="38"/>
  <c r="I44" i="38"/>
  <c r="Q44" i="38"/>
  <c r="P100" i="39"/>
  <c r="G100" i="39"/>
  <c r="K100" i="39"/>
  <c r="L100" i="39"/>
  <c r="S100" i="39"/>
  <c r="I100" i="39"/>
  <c r="K50" i="39"/>
  <c r="S50" i="39"/>
  <c r="G50" i="39"/>
  <c r="O50" i="39"/>
  <c r="I50" i="39"/>
  <c r="J50" i="39"/>
  <c r="L50" i="39"/>
  <c r="M50" i="39"/>
  <c r="P50" i="39"/>
  <c r="R50" i="39"/>
  <c r="H50" i="39"/>
  <c r="N50" i="39"/>
  <c r="J140" i="40"/>
  <c r="R140" i="40"/>
  <c r="S185" i="35"/>
  <c r="S153" i="35"/>
  <c r="S109" i="35"/>
  <c r="K85" i="35"/>
  <c r="N65" i="35"/>
  <c r="M153" i="36"/>
  <c r="J153" i="36"/>
  <c r="K140" i="36"/>
  <c r="I140" i="36"/>
  <c r="M113" i="36"/>
  <c r="L113" i="36"/>
  <c r="H113" i="36"/>
  <c r="R113" i="36"/>
  <c r="S101" i="36"/>
  <c r="L55" i="36"/>
  <c r="I55" i="36"/>
  <c r="S55" i="36"/>
  <c r="N55" i="36"/>
  <c r="O55" i="36"/>
  <c r="H38" i="36"/>
  <c r="G38" i="36"/>
  <c r="S38" i="36"/>
  <c r="I38" i="36"/>
  <c r="N38" i="36"/>
  <c r="O38" i="36"/>
  <c r="H14" i="36"/>
  <c r="J14" i="36"/>
  <c r="N14" i="36"/>
  <c r="J115" i="37"/>
  <c r="R115" i="37"/>
  <c r="K115" i="37"/>
  <c r="L115" i="37"/>
  <c r="M115" i="37"/>
  <c r="N115" i="37"/>
  <c r="G115" i="37"/>
  <c r="P115" i="37"/>
  <c r="H115" i="37"/>
  <c r="Q115" i="37"/>
  <c r="G37" i="37"/>
  <c r="O37" i="37"/>
  <c r="H37" i="37"/>
  <c r="Q37" i="37"/>
  <c r="I37" i="37"/>
  <c r="M37" i="37"/>
  <c r="H23" i="38"/>
  <c r="M23" i="38"/>
  <c r="N23" i="38"/>
  <c r="O23" i="38"/>
  <c r="P23" i="38"/>
  <c r="G23" i="38"/>
  <c r="L193" i="39"/>
  <c r="J193" i="39"/>
  <c r="K190" i="35"/>
  <c r="O182" i="35"/>
  <c r="P164" i="35"/>
  <c r="N161" i="35"/>
  <c r="K158" i="35"/>
  <c r="R153" i="35"/>
  <c r="N198" i="35"/>
  <c r="I185" i="35"/>
  <c r="M177" i="35"/>
  <c r="S174" i="35"/>
  <c r="J174" i="35"/>
  <c r="S158" i="35"/>
  <c r="J158" i="35"/>
  <c r="Q153" i="35"/>
  <c r="I153" i="35"/>
  <c r="N148" i="35"/>
  <c r="S138" i="35"/>
  <c r="J138" i="35"/>
  <c r="I124" i="35"/>
  <c r="Q109" i="35"/>
  <c r="M102" i="35"/>
  <c r="Q85" i="35"/>
  <c r="I85" i="35"/>
  <c r="O74" i="35"/>
  <c r="L73" i="35"/>
  <c r="O66" i="35"/>
  <c r="L65" i="35"/>
  <c r="Q44" i="35"/>
  <c r="K202" i="35"/>
  <c r="P201" i="35"/>
  <c r="H201" i="35"/>
  <c r="M198" i="35"/>
  <c r="R197" i="35"/>
  <c r="J197" i="35"/>
  <c r="H196" i="35"/>
  <c r="L193" i="35"/>
  <c r="P192" i="35"/>
  <c r="R190" i="35"/>
  <c r="I190" i="35"/>
  <c r="K186" i="35"/>
  <c r="P185" i="35"/>
  <c r="H185" i="35"/>
  <c r="M182" i="35"/>
  <c r="R181" i="35"/>
  <c r="J181" i="35"/>
  <c r="H180" i="35"/>
  <c r="L177" i="35"/>
  <c r="P176" i="35"/>
  <c r="R174" i="35"/>
  <c r="I174" i="35"/>
  <c r="K170" i="35"/>
  <c r="P169" i="35"/>
  <c r="H169" i="35"/>
  <c r="M166" i="35"/>
  <c r="J165" i="35"/>
  <c r="H164" i="35"/>
  <c r="L161" i="35"/>
  <c r="R158" i="35"/>
  <c r="I158" i="35"/>
  <c r="K154" i="35"/>
  <c r="P153" i="35"/>
  <c r="H153" i="35"/>
  <c r="M150" i="35"/>
  <c r="H148" i="35"/>
  <c r="L145" i="35"/>
  <c r="Q142" i="35"/>
  <c r="G142" i="35"/>
  <c r="M141" i="35"/>
  <c r="Q140" i="35"/>
  <c r="R138" i="35"/>
  <c r="I138" i="35"/>
  <c r="O133" i="35"/>
  <c r="K130" i="35"/>
  <c r="P129" i="35"/>
  <c r="H129" i="35"/>
  <c r="L126" i="35"/>
  <c r="H124" i="35"/>
  <c r="R122" i="35"/>
  <c r="I122" i="35"/>
  <c r="O119" i="35"/>
  <c r="M118" i="35"/>
  <c r="R117" i="35"/>
  <c r="J117" i="35"/>
  <c r="R114" i="35"/>
  <c r="I114" i="35"/>
  <c r="K110" i="35"/>
  <c r="P109" i="35"/>
  <c r="H109" i="35"/>
  <c r="G108" i="35"/>
  <c r="Q106" i="35"/>
  <c r="G106" i="35"/>
  <c r="M105" i="35"/>
  <c r="Q104" i="35"/>
  <c r="G103" i="35"/>
  <c r="L102" i="35"/>
  <c r="H100" i="35"/>
  <c r="Q98" i="35"/>
  <c r="G98" i="35"/>
  <c r="M97" i="35"/>
  <c r="Q96" i="35"/>
  <c r="O93" i="35"/>
  <c r="P88" i="35"/>
  <c r="K86" i="35"/>
  <c r="P85" i="35"/>
  <c r="H85" i="35"/>
  <c r="G84" i="35"/>
  <c r="P80" i="35"/>
  <c r="R78" i="35"/>
  <c r="N74" i="35"/>
  <c r="S73" i="35"/>
  <c r="K73" i="35"/>
  <c r="O72" i="35"/>
  <c r="O69" i="35"/>
  <c r="N66" i="35"/>
  <c r="S65" i="35"/>
  <c r="K65" i="35"/>
  <c r="O64" i="35"/>
  <c r="Q62" i="35"/>
  <c r="G62" i="35"/>
  <c r="M61" i="35"/>
  <c r="Q60" i="35"/>
  <c r="N59" i="35"/>
  <c r="M58" i="35"/>
  <c r="R57" i="35"/>
  <c r="J57" i="35"/>
  <c r="R54" i="35"/>
  <c r="I54" i="35"/>
  <c r="M51" i="35"/>
  <c r="M50" i="35"/>
  <c r="J49" i="35"/>
  <c r="P44" i="35"/>
  <c r="M43" i="35"/>
  <c r="H40" i="35"/>
  <c r="Q38" i="35"/>
  <c r="G38" i="35"/>
  <c r="Q36" i="35"/>
  <c r="L34" i="35"/>
  <c r="H32" i="35"/>
  <c r="N30" i="35"/>
  <c r="S29" i="35"/>
  <c r="K29" i="35"/>
  <c r="O28" i="35"/>
  <c r="K26" i="35"/>
  <c r="P25" i="35"/>
  <c r="H25" i="35"/>
  <c r="G24" i="35"/>
  <c r="P20" i="35"/>
  <c r="K18" i="35"/>
  <c r="P17" i="35"/>
  <c r="H17" i="35"/>
  <c r="G16" i="35"/>
  <c r="M14" i="35"/>
  <c r="R13" i="35"/>
  <c r="J13" i="35"/>
  <c r="O9" i="35"/>
  <c r="N6" i="35"/>
  <c r="R5" i="35"/>
  <c r="I5" i="35"/>
  <c r="J196" i="36"/>
  <c r="R194" i="36"/>
  <c r="L187" i="36"/>
  <c r="I181" i="36"/>
  <c r="H180" i="36"/>
  <c r="I173" i="36"/>
  <c r="H172" i="36"/>
  <c r="L170" i="36"/>
  <c r="O168" i="36"/>
  <c r="J165" i="36"/>
  <c r="I164" i="36"/>
  <c r="I161" i="36"/>
  <c r="H160" i="36"/>
  <c r="I157" i="36"/>
  <c r="N153" i="36"/>
  <c r="M150" i="36"/>
  <c r="M146" i="36"/>
  <c r="K145" i="36"/>
  <c r="N141" i="36"/>
  <c r="P140" i="36"/>
  <c r="N139" i="36"/>
  <c r="P137" i="36"/>
  <c r="P136" i="36"/>
  <c r="L133" i="36"/>
  <c r="K124" i="36"/>
  <c r="G124" i="36"/>
  <c r="R124" i="36"/>
  <c r="N124" i="36"/>
  <c r="R121" i="36"/>
  <c r="Q120" i="36"/>
  <c r="O119" i="36"/>
  <c r="Q116" i="36"/>
  <c r="P113" i="36"/>
  <c r="O112" i="36"/>
  <c r="M109" i="36"/>
  <c r="N109" i="36"/>
  <c r="I109" i="36"/>
  <c r="S109" i="36"/>
  <c r="R104" i="36"/>
  <c r="H103" i="36"/>
  <c r="O100" i="36"/>
  <c r="L97" i="36"/>
  <c r="N96" i="36"/>
  <c r="H94" i="36"/>
  <c r="Q94" i="36"/>
  <c r="M94" i="36"/>
  <c r="I89" i="36"/>
  <c r="J88" i="36"/>
  <c r="M84" i="36"/>
  <c r="I84" i="36"/>
  <c r="Q84" i="36"/>
  <c r="J84" i="36"/>
  <c r="R84" i="36"/>
  <c r="P80" i="36"/>
  <c r="I77" i="36"/>
  <c r="M72" i="36"/>
  <c r="I72" i="36"/>
  <c r="Q72" i="36"/>
  <c r="J72" i="36"/>
  <c r="R72" i="36"/>
  <c r="I69" i="36"/>
  <c r="J68" i="36"/>
  <c r="L65" i="36"/>
  <c r="I62" i="36"/>
  <c r="Q59" i="36"/>
  <c r="O56" i="36"/>
  <c r="P55" i="36"/>
  <c r="I52" i="36"/>
  <c r="I48" i="36"/>
  <c r="J47" i="36"/>
  <c r="S23" i="36"/>
  <c r="H22" i="36"/>
  <c r="L20" i="36"/>
  <c r="M20" i="36"/>
  <c r="I20" i="36"/>
  <c r="Q20" i="36"/>
  <c r="J20" i="36"/>
  <c r="R20" i="36"/>
  <c r="L9" i="36"/>
  <c r="R9" i="36"/>
  <c r="H9" i="36"/>
  <c r="N9" i="36"/>
  <c r="P198" i="37"/>
  <c r="O188" i="37"/>
  <c r="G177" i="37"/>
  <c r="N177" i="37"/>
  <c r="Q177" i="37"/>
  <c r="K177" i="37"/>
  <c r="L177" i="37"/>
  <c r="G163" i="37"/>
  <c r="O163" i="37"/>
  <c r="H163" i="37"/>
  <c r="P163" i="37"/>
  <c r="I163" i="37"/>
  <c r="Q163" i="37"/>
  <c r="J163" i="37"/>
  <c r="R163" i="37"/>
  <c r="L163" i="37"/>
  <c r="M163" i="37"/>
  <c r="H160" i="37"/>
  <c r="K160" i="37"/>
  <c r="L160" i="37"/>
  <c r="M160" i="37"/>
  <c r="N160" i="37"/>
  <c r="G160" i="37"/>
  <c r="Q160" i="37"/>
  <c r="I160" i="37"/>
  <c r="R160" i="37"/>
  <c r="J143" i="37"/>
  <c r="R143" i="37"/>
  <c r="K143" i="37"/>
  <c r="S143" i="37"/>
  <c r="L143" i="37"/>
  <c r="M143" i="37"/>
  <c r="G143" i="37"/>
  <c r="O143" i="37"/>
  <c r="H143" i="37"/>
  <c r="P143" i="37"/>
  <c r="L141" i="37"/>
  <c r="G141" i="37"/>
  <c r="K34" i="37"/>
  <c r="S34" i="37"/>
  <c r="G34" i="37"/>
  <c r="O34" i="37"/>
  <c r="L34" i="37"/>
  <c r="M34" i="37"/>
  <c r="N34" i="37"/>
  <c r="P34" i="37"/>
  <c r="H34" i="37"/>
  <c r="R34" i="37"/>
  <c r="I34" i="37"/>
  <c r="H19" i="37"/>
  <c r="I19" i="37"/>
  <c r="R19" i="37"/>
  <c r="M19" i="37"/>
  <c r="G19" i="37"/>
  <c r="J19" i="37"/>
  <c r="K19" i="37"/>
  <c r="L19" i="37"/>
  <c r="O19" i="37"/>
  <c r="Q19" i="37"/>
  <c r="H160" i="38"/>
  <c r="H195" i="39"/>
  <c r="N195" i="39"/>
  <c r="P195" i="39"/>
  <c r="R195" i="39"/>
  <c r="J195" i="39"/>
  <c r="J106" i="39"/>
  <c r="R106" i="39"/>
  <c r="G106" i="39"/>
  <c r="P106" i="39"/>
  <c r="H106" i="39"/>
  <c r="Q106" i="39"/>
  <c r="I106" i="39"/>
  <c r="S106" i="39"/>
  <c r="K106" i="39"/>
  <c r="M106" i="39"/>
  <c r="L106" i="39"/>
  <c r="N106" i="39"/>
  <c r="N169" i="35"/>
  <c r="S201" i="35"/>
  <c r="K185" i="35"/>
  <c r="S169" i="35"/>
  <c r="L158" i="35"/>
  <c r="K153" i="35"/>
  <c r="Q148" i="35"/>
  <c r="L138" i="35"/>
  <c r="K129" i="35"/>
  <c r="L114" i="35"/>
  <c r="O102" i="35"/>
  <c r="J188" i="36"/>
  <c r="R188" i="36"/>
  <c r="K152" i="36"/>
  <c r="J152" i="36"/>
  <c r="M101" i="36"/>
  <c r="J101" i="36"/>
  <c r="P101" i="36"/>
  <c r="G57" i="36"/>
  <c r="O57" i="36"/>
  <c r="Q57" i="36"/>
  <c r="J6" i="36"/>
  <c r="R6" i="36"/>
  <c r="G131" i="37"/>
  <c r="O131" i="37"/>
  <c r="H131" i="37"/>
  <c r="P131" i="37"/>
  <c r="I131" i="37"/>
  <c r="Q131" i="37"/>
  <c r="J131" i="37"/>
  <c r="R131" i="37"/>
  <c r="L131" i="37"/>
  <c r="M131" i="37"/>
  <c r="H155" i="38"/>
  <c r="O155" i="38"/>
  <c r="P155" i="38"/>
  <c r="L155" i="38"/>
  <c r="G155" i="38"/>
  <c r="M155" i="38"/>
  <c r="N155" i="38"/>
  <c r="L148" i="39"/>
  <c r="J148" i="39"/>
  <c r="P148" i="39"/>
  <c r="R148" i="39"/>
  <c r="H181" i="40"/>
  <c r="R181" i="40"/>
  <c r="J181" i="40"/>
  <c r="M152" i="41"/>
  <c r="N152" i="41"/>
  <c r="O152" i="41"/>
  <c r="P152" i="41"/>
  <c r="G152" i="41"/>
  <c r="P196" i="35"/>
  <c r="R185" i="35"/>
  <c r="J185" i="35"/>
  <c r="P180" i="35"/>
  <c r="K174" i="35"/>
  <c r="R169" i="35"/>
  <c r="O166" i="35"/>
  <c r="J153" i="35"/>
  <c r="Q201" i="35"/>
  <c r="N196" i="35"/>
  <c r="J190" i="35"/>
  <c r="N182" i="35"/>
  <c r="N180" i="35"/>
  <c r="N164" i="35"/>
  <c r="S202" i="35"/>
  <c r="J202" i="35"/>
  <c r="O201" i="35"/>
  <c r="L198" i="35"/>
  <c r="Q197" i="35"/>
  <c r="S193" i="35"/>
  <c r="Q190" i="35"/>
  <c r="G190" i="35"/>
  <c r="S186" i="35"/>
  <c r="J186" i="35"/>
  <c r="O185" i="35"/>
  <c r="L182" i="35"/>
  <c r="Q181" i="35"/>
  <c r="S177" i="35"/>
  <c r="Q174" i="35"/>
  <c r="G174" i="35"/>
  <c r="S170" i="35"/>
  <c r="J170" i="35"/>
  <c r="O169" i="35"/>
  <c r="O167" i="35"/>
  <c r="L166" i="35"/>
  <c r="S161" i="35"/>
  <c r="Q158" i="35"/>
  <c r="G158" i="35"/>
  <c r="S154" i="35"/>
  <c r="J154" i="35"/>
  <c r="O153" i="35"/>
  <c r="L150" i="35"/>
  <c r="S145" i="35"/>
  <c r="Q138" i="35"/>
  <c r="G138" i="35"/>
  <c r="S130" i="35"/>
  <c r="J130" i="35"/>
  <c r="O129" i="35"/>
  <c r="G124" i="35"/>
  <c r="Q122" i="35"/>
  <c r="G122" i="35"/>
  <c r="Q120" i="35"/>
  <c r="G119" i="35"/>
  <c r="L118" i="35"/>
  <c r="Q117" i="35"/>
  <c r="Q114" i="35"/>
  <c r="G114" i="35"/>
  <c r="Q112" i="35"/>
  <c r="S110" i="35"/>
  <c r="J110" i="35"/>
  <c r="O109" i="35"/>
  <c r="P104" i="35"/>
  <c r="K102" i="35"/>
  <c r="G100" i="35"/>
  <c r="O91" i="35"/>
  <c r="O88" i="35"/>
  <c r="S86" i="35"/>
  <c r="J86" i="35"/>
  <c r="O85" i="35"/>
  <c r="O80" i="35"/>
  <c r="Q76" i="35"/>
  <c r="M74" i="35"/>
  <c r="R73" i="35"/>
  <c r="I72" i="35"/>
  <c r="M66" i="35"/>
  <c r="R65" i="35"/>
  <c r="I64" i="35"/>
  <c r="M59" i="35"/>
  <c r="Q57" i="35"/>
  <c r="Q54" i="35"/>
  <c r="G54" i="35"/>
  <c r="Q52" i="35"/>
  <c r="O44" i="35"/>
  <c r="G40" i="35"/>
  <c r="K34" i="35"/>
  <c r="G32" i="35"/>
  <c r="M30" i="35"/>
  <c r="R29" i="35"/>
  <c r="I28" i="35"/>
  <c r="S26" i="35"/>
  <c r="J26" i="35"/>
  <c r="O25" i="35"/>
  <c r="O20" i="35"/>
  <c r="S18" i="35"/>
  <c r="J18" i="35"/>
  <c r="O17" i="35"/>
  <c r="Q13" i="35"/>
  <c r="Q5" i="35"/>
  <c r="G5" i="35"/>
  <c r="H196" i="36"/>
  <c r="P188" i="36"/>
  <c r="J187" i="36"/>
  <c r="S183" i="36"/>
  <c r="S181" i="36"/>
  <c r="H181" i="36"/>
  <c r="G180" i="36"/>
  <c r="M177" i="36"/>
  <c r="H177" i="36"/>
  <c r="R177" i="36"/>
  <c r="K176" i="36"/>
  <c r="H176" i="36"/>
  <c r="S173" i="36"/>
  <c r="H173" i="36"/>
  <c r="G172" i="36"/>
  <c r="J168" i="36"/>
  <c r="I165" i="36"/>
  <c r="G164" i="36"/>
  <c r="S161" i="36"/>
  <c r="H161" i="36"/>
  <c r="G160" i="36"/>
  <c r="S157" i="36"/>
  <c r="H157" i="36"/>
  <c r="L153" i="36"/>
  <c r="O152" i="36"/>
  <c r="J145" i="36"/>
  <c r="L141" i="36"/>
  <c r="O140" i="36"/>
  <c r="H139" i="36"/>
  <c r="K133" i="36"/>
  <c r="M125" i="36"/>
  <c r="P125" i="36"/>
  <c r="J125" i="36"/>
  <c r="P123" i="36"/>
  <c r="Q121" i="36"/>
  <c r="H119" i="36"/>
  <c r="N113" i="36"/>
  <c r="N112" i="36"/>
  <c r="Q104" i="36"/>
  <c r="L101" i="36"/>
  <c r="J100" i="36"/>
  <c r="K97" i="36"/>
  <c r="Q93" i="36"/>
  <c r="G89" i="36"/>
  <c r="I88" i="36"/>
  <c r="I86" i="36"/>
  <c r="P86" i="36"/>
  <c r="G82" i="36"/>
  <c r="O82" i="36"/>
  <c r="I82" i="36"/>
  <c r="K82" i="36"/>
  <c r="G78" i="36"/>
  <c r="O78" i="36"/>
  <c r="G69" i="36"/>
  <c r="I68" i="36"/>
  <c r="L67" i="36"/>
  <c r="Q67" i="36"/>
  <c r="J67" i="36"/>
  <c r="K67" i="36"/>
  <c r="I65" i="36"/>
  <c r="G62" i="36"/>
  <c r="R57" i="36"/>
  <c r="M55" i="36"/>
  <c r="L54" i="36"/>
  <c r="G54" i="36"/>
  <c r="Q54" i="36"/>
  <c r="S54" i="36"/>
  <c r="H52" i="36"/>
  <c r="H48" i="36"/>
  <c r="G47" i="36"/>
  <c r="P38" i="36"/>
  <c r="L36" i="36"/>
  <c r="M36" i="36"/>
  <c r="I36" i="36"/>
  <c r="Q36" i="36"/>
  <c r="J36" i="36"/>
  <c r="R36" i="36"/>
  <c r="G30" i="36"/>
  <c r="P30" i="36"/>
  <c r="H30" i="36"/>
  <c r="Q30" i="36"/>
  <c r="M30" i="36"/>
  <c r="N30" i="36"/>
  <c r="O25" i="36"/>
  <c r="Q25" i="36"/>
  <c r="I25" i="36"/>
  <c r="J25" i="36"/>
  <c r="G22" i="36"/>
  <c r="H19" i="36"/>
  <c r="G19" i="36"/>
  <c r="P19" i="36"/>
  <c r="G16" i="36"/>
  <c r="O16" i="36"/>
  <c r="H16" i="36"/>
  <c r="P16" i="36"/>
  <c r="L16" i="36"/>
  <c r="M16" i="36"/>
  <c r="I181" i="37"/>
  <c r="M181" i="37"/>
  <c r="N181" i="37"/>
  <c r="O181" i="37"/>
  <c r="G181" i="37"/>
  <c r="K181" i="37"/>
  <c r="H124" i="37"/>
  <c r="I124" i="37"/>
  <c r="R124" i="37"/>
  <c r="G124" i="37"/>
  <c r="S124" i="37"/>
  <c r="J124" i="37"/>
  <c r="K124" i="37"/>
  <c r="L124" i="37"/>
  <c r="N124" i="37"/>
  <c r="O124" i="37"/>
  <c r="H67" i="37"/>
  <c r="G67" i="37"/>
  <c r="Q67" i="37"/>
  <c r="L67" i="37"/>
  <c r="I67" i="37"/>
  <c r="J67" i="37"/>
  <c r="K67" i="37"/>
  <c r="M67" i="37"/>
  <c r="O67" i="37"/>
  <c r="R67" i="37"/>
  <c r="I58" i="37"/>
  <c r="Q58" i="37"/>
  <c r="M58" i="37"/>
  <c r="K58" i="37"/>
  <c r="L58" i="37"/>
  <c r="N58" i="37"/>
  <c r="O58" i="37"/>
  <c r="G58" i="37"/>
  <c r="R58" i="37"/>
  <c r="H58" i="37"/>
  <c r="S58" i="37"/>
  <c r="P25" i="37"/>
  <c r="N187" i="38"/>
  <c r="M165" i="38"/>
  <c r="N165" i="38"/>
  <c r="P165" i="38"/>
  <c r="J165" i="38"/>
  <c r="L165" i="38"/>
  <c r="Q165" i="38"/>
  <c r="R165" i="38"/>
  <c r="S165" i="38"/>
  <c r="H165" i="38"/>
  <c r="I165" i="38"/>
  <c r="M57" i="38"/>
  <c r="I57" i="38"/>
  <c r="S57" i="38"/>
  <c r="J57" i="38"/>
  <c r="K57" i="38"/>
  <c r="L57" i="38"/>
  <c r="P57" i="38"/>
  <c r="R57" i="38"/>
  <c r="H57" i="38"/>
  <c r="N57" i="38"/>
  <c r="J203" i="39"/>
  <c r="N203" i="39"/>
  <c r="P203" i="39"/>
  <c r="H203" i="39"/>
  <c r="Q110" i="39"/>
  <c r="M91" i="39"/>
  <c r="G91" i="39"/>
  <c r="R91" i="39"/>
  <c r="J91" i="39"/>
  <c r="L91" i="39"/>
  <c r="N91" i="39"/>
  <c r="O91" i="39"/>
  <c r="S91" i="39"/>
  <c r="I91" i="39"/>
  <c r="Q91" i="39"/>
  <c r="G38" i="39"/>
  <c r="O38" i="39"/>
  <c r="H38" i="39"/>
  <c r="P38" i="39"/>
  <c r="L38" i="39"/>
  <c r="M38" i="39"/>
  <c r="N38" i="39"/>
  <c r="Q38" i="39"/>
  <c r="R38" i="39"/>
  <c r="I38" i="39"/>
  <c r="J38" i="39"/>
  <c r="K38" i="39"/>
  <c r="S38" i="39"/>
  <c r="N190" i="40"/>
  <c r="L190" i="40"/>
  <c r="P190" i="40"/>
  <c r="R190" i="40"/>
  <c r="J190" i="40"/>
  <c r="L40" i="36"/>
  <c r="S37" i="36"/>
  <c r="O35" i="36"/>
  <c r="L32" i="36"/>
  <c r="L28" i="36"/>
  <c r="N21" i="36"/>
  <c r="Q200" i="37"/>
  <c r="S197" i="37"/>
  <c r="L195" i="37"/>
  <c r="L183" i="37"/>
  <c r="R179" i="37"/>
  <c r="J179" i="37"/>
  <c r="K178" i="37"/>
  <c r="I174" i="37"/>
  <c r="S170" i="37"/>
  <c r="K169" i="37"/>
  <c r="P162" i="37"/>
  <c r="L155" i="37"/>
  <c r="P154" i="37"/>
  <c r="Q151" i="37"/>
  <c r="I151" i="37"/>
  <c r="N150" i="37"/>
  <c r="S148" i="37"/>
  <c r="J148" i="37"/>
  <c r="K144" i="37"/>
  <c r="M140" i="37"/>
  <c r="R139" i="37"/>
  <c r="J139" i="37"/>
  <c r="L137" i="37"/>
  <c r="L135" i="37"/>
  <c r="S127" i="37"/>
  <c r="J127" i="37"/>
  <c r="K126" i="37"/>
  <c r="K118" i="37"/>
  <c r="M117" i="37"/>
  <c r="N116" i="37"/>
  <c r="J111" i="37"/>
  <c r="N110" i="37"/>
  <c r="I110" i="37"/>
  <c r="H108" i="37"/>
  <c r="L108" i="37"/>
  <c r="G108" i="37"/>
  <c r="Q108" i="37"/>
  <c r="J107" i="37"/>
  <c r="N101" i="37"/>
  <c r="K101" i="37"/>
  <c r="N92" i="37"/>
  <c r="I88" i="37"/>
  <c r="H83" i="37"/>
  <c r="M83" i="37"/>
  <c r="I83" i="37"/>
  <c r="R83" i="37"/>
  <c r="P81" i="37"/>
  <c r="M80" i="37"/>
  <c r="M79" i="37"/>
  <c r="P77" i="37"/>
  <c r="O77" i="37"/>
  <c r="H71" i="37"/>
  <c r="I71" i="37"/>
  <c r="R71" i="37"/>
  <c r="M71" i="37"/>
  <c r="K62" i="37"/>
  <c r="O55" i="37"/>
  <c r="K46" i="37"/>
  <c r="N35" i="37"/>
  <c r="K30" i="37"/>
  <c r="O27" i="37"/>
  <c r="O24" i="37"/>
  <c r="G16" i="37"/>
  <c r="N16" i="37"/>
  <c r="K14" i="37"/>
  <c r="O7" i="37"/>
  <c r="L193" i="38"/>
  <c r="M189" i="38"/>
  <c r="L189" i="38"/>
  <c r="N189" i="38"/>
  <c r="I189" i="38"/>
  <c r="S189" i="38"/>
  <c r="Q177" i="38"/>
  <c r="O172" i="38"/>
  <c r="G172" i="38"/>
  <c r="H172" i="38"/>
  <c r="P169" i="38"/>
  <c r="P167" i="38"/>
  <c r="O167" i="38"/>
  <c r="N156" i="38"/>
  <c r="S154" i="38"/>
  <c r="P139" i="38"/>
  <c r="G139" i="38"/>
  <c r="M133" i="38"/>
  <c r="I133" i="38"/>
  <c r="S133" i="38"/>
  <c r="J133" i="38"/>
  <c r="L133" i="38"/>
  <c r="P133" i="38"/>
  <c r="M131" i="38"/>
  <c r="N131" i="38"/>
  <c r="O131" i="38"/>
  <c r="P131" i="38"/>
  <c r="G131" i="38"/>
  <c r="M121" i="38"/>
  <c r="H121" i="38"/>
  <c r="R121" i="38"/>
  <c r="I121" i="38"/>
  <c r="S121" i="38"/>
  <c r="J121" i="38"/>
  <c r="K121" i="38"/>
  <c r="N121" i="38"/>
  <c r="R93" i="38"/>
  <c r="K92" i="38"/>
  <c r="J92" i="38"/>
  <c r="N92" i="38"/>
  <c r="O92" i="38"/>
  <c r="P92" i="38"/>
  <c r="G92" i="38"/>
  <c r="R92" i="38"/>
  <c r="M89" i="38"/>
  <c r="I89" i="38"/>
  <c r="S89" i="38"/>
  <c r="J89" i="38"/>
  <c r="K89" i="38"/>
  <c r="L89" i="38"/>
  <c r="P89" i="38"/>
  <c r="H55" i="38"/>
  <c r="M55" i="38"/>
  <c r="N55" i="38"/>
  <c r="O55" i="38"/>
  <c r="P55" i="38"/>
  <c r="Q45" i="38"/>
  <c r="Q40" i="38"/>
  <c r="L34" i="38"/>
  <c r="S34" i="38"/>
  <c r="K34" i="38"/>
  <c r="M29" i="38"/>
  <c r="I29" i="38"/>
  <c r="S29" i="38"/>
  <c r="J29" i="38"/>
  <c r="K29" i="38"/>
  <c r="L29" i="38"/>
  <c r="P29" i="38"/>
  <c r="R25" i="38"/>
  <c r="K24" i="38"/>
  <c r="J24" i="38"/>
  <c r="N24" i="38"/>
  <c r="O24" i="38"/>
  <c r="P24" i="38"/>
  <c r="G24" i="38"/>
  <c r="R24" i="38"/>
  <c r="Q13" i="38"/>
  <c r="H167" i="39"/>
  <c r="N167" i="39"/>
  <c r="R167" i="39"/>
  <c r="J154" i="39"/>
  <c r="L154" i="39"/>
  <c r="N154" i="39"/>
  <c r="P154" i="39"/>
  <c r="Q116" i="39"/>
  <c r="O109" i="39"/>
  <c r="G93" i="39"/>
  <c r="P93" i="39"/>
  <c r="I93" i="39"/>
  <c r="H93" i="39"/>
  <c r="K93" i="39"/>
  <c r="M93" i="39"/>
  <c r="N93" i="39"/>
  <c r="G81" i="39"/>
  <c r="P81" i="39"/>
  <c r="Q81" i="39"/>
  <c r="R81" i="39"/>
  <c r="S81" i="39"/>
  <c r="H81" i="39"/>
  <c r="P68" i="39"/>
  <c r="N68" i="39"/>
  <c r="O68" i="39"/>
  <c r="I61" i="39"/>
  <c r="Q61" i="39"/>
  <c r="R61" i="39"/>
  <c r="G61" i="39"/>
  <c r="R202" i="40"/>
  <c r="N202" i="40"/>
  <c r="J128" i="36"/>
  <c r="K117" i="36"/>
  <c r="J108" i="36"/>
  <c r="K105" i="36"/>
  <c r="M92" i="36"/>
  <c r="K87" i="36"/>
  <c r="L70" i="36"/>
  <c r="M60" i="36"/>
  <c r="O53" i="36"/>
  <c r="L50" i="36"/>
  <c r="M44" i="36"/>
  <c r="S40" i="36"/>
  <c r="K40" i="36"/>
  <c r="P39" i="36"/>
  <c r="R37" i="36"/>
  <c r="M35" i="36"/>
  <c r="R33" i="36"/>
  <c r="S32" i="36"/>
  <c r="K32" i="36"/>
  <c r="S28" i="36"/>
  <c r="K28" i="36"/>
  <c r="Q27" i="36"/>
  <c r="M21" i="36"/>
  <c r="Q18" i="36"/>
  <c r="O200" i="37"/>
  <c r="Q197" i="37"/>
  <c r="O196" i="37"/>
  <c r="S195" i="37"/>
  <c r="K195" i="37"/>
  <c r="M191" i="37"/>
  <c r="M187" i="37"/>
  <c r="S186" i="37"/>
  <c r="N184" i="37"/>
  <c r="S183" i="37"/>
  <c r="K183" i="37"/>
  <c r="Q179" i="37"/>
  <c r="I179" i="37"/>
  <c r="I178" i="37"/>
  <c r="R175" i="37"/>
  <c r="H174" i="37"/>
  <c r="Q170" i="37"/>
  <c r="I169" i="37"/>
  <c r="R167" i="37"/>
  <c r="M159" i="37"/>
  <c r="N156" i="37"/>
  <c r="S155" i="37"/>
  <c r="K155" i="37"/>
  <c r="N154" i="37"/>
  <c r="K152" i="37"/>
  <c r="P151" i="37"/>
  <c r="H151" i="37"/>
  <c r="M150" i="37"/>
  <c r="R148" i="37"/>
  <c r="I148" i="37"/>
  <c r="S144" i="37"/>
  <c r="J144" i="37"/>
  <c r="L140" i="37"/>
  <c r="Q139" i="37"/>
  <c r="I139" i="37"/>
  <c r="K137" i="37"/>
  <c r="N136" i="37"/>
  <c r="S135" i="37"/>
  <c r="K135" i="37"/>
  <c r="R127" i="37"/>
  <c r="L116" i="37"/>
  <c r="H112" i="37"/>
  <c r="J112" i="37"/>
  <c r="N112" i="37"/>
  <c r="R108" i="37"/>
  <c r="S107" i="37"/>
  <c r="L103" i="37"/>
  <c r="H103" i="37"/>
  <c r="P103" i="37"/>
  <c r="R94" i="37"/>
  <c r="N89" i="37"/>
  <c r="H89" i="37"/>
  <c r="R89" i="37"/>
  <c r="H87" i="37"/>
  <c r="I87" i="37"/>
  <c r="R87" i="37"/>
  <c r="M87" i="37"/>
  <c r="Q83" i="37"/>
  <c r="L74" i="37"/>
  <c r="H74" i="37"/>
  <c r="P74" i="37"/>
  <c r="Q71" i="37"/>
  <c r="N55" i="37"/>
  <c r="H43" i="37"/>
  <c r="M43" i="37"/>
  <c r="I43" i="37"/>
  <c r="R43" i="37"/>
  <c r="N27" i="37"/>
  <c r="M26" i="37"/>
  <c r="I26" i="37"/>
  <c r="Q26" i="37"/>
  <c r="H15" i="37"/>
  <c r="L15" i="37"/>
  <c r="G15" i="37"/>
  <c r="Q15" i="37"/>
  <c r="N7" i="37"/>
  <c r="G5" i="37"/>
  <c r="L203" i="38"/>
  <c r="R188" i="38"/>
  <c r="G176" i="38"/>
  <c r="N176" i="38"/>
  <c r="O176" i="38"/>
  <c r="H176" i="38"/>
  <c r="L171" i="38"/>
  <c r="N169" i="38"/>
  <c r="K126" i="38"/>
  <c r="J126" i="38"/>
  <c r="H103" i="38"/>
  <c r="M103" i="38"/>
  <c r="N103" i="38"/>
  <c r="O103" i="38"/>
  <c r="P103" i="38"/>
  <c r="L82" i="38"/>
  <c r="S82" i="38"/>
  <c r="K82" i="38"/>
  <c r="M77" i="38"/>
  <c r="I77" i="38"/>
  <c r="S77" i="38"/>
  <c r="J77" i="38"/>
  <c r="K77" i="38"/>
  <c r="L77" i="38"/>
  <c r="P77" i="38"/>
  <c r="K72" i="38"/>
  <c r="J72" i="38"/>
  <c r="N72" i="38"/>
  <c r="O72" i="38"/>
  <c r="P72" i="38"/>
  <c r="G72" i="38"/>
  <c r="R72" i="38"/>
  <c r="K48" i="38"/>
  <c r="G48" i="38"/>
  <c r="R48" i="38"/>
  <c r="H48" i="38"/>
  <c r="I48" i="38"/>
  <c r="J48" i="38"/>
  <c r="O48" i="38"/>
  <c r="H181" i="39"/>
  <c r="L181" i="39"/>
  <c r="N181" i="39"/>
  <c r="R181" i="39"/>
  <c r="N137" i="39"/>
  <c r="P137" i="39"/>
  <c r="H137" i="39"/>
  <c r="H134" i="39"/>
  <c r="J134" i="39"/>
  <c r="L134" i="39"/>
  <c r="P134" i="39"/>
  <c r="O120" i="39"/>
  <c r="H89" i="39"/>
  <c r="M89" i="39"/>
  <c r="G89" i="39"/>
  <c r="S89" i="39"/>
  <c r="O89" i="39"/>
  <c r="P89" i="39"/>
  <c r="Q89" i="39"/>
  <c r="I89" i="39"/>
  <c r="J83" i="39"/>
  <c r="G83" i="39"/>
  <c r="O83" i="39"/>
  <c r="Q83" i="39"/>
  <c r="S83" i="39"/>
  <c r="H76" i="39"/>
  <c r="O76" i="39"/>
  <c r="I76" i="39"/>
  <c r="L76" i="39"/>
  <c r="M76" i="39"/>
  <c r="N76" i="39"/>
  <c r="P76" i="39"/>
  <c r="O52" i="39"/>
  <c r="I52" i="39"/>
  <c r="H52" i="39"/>
  <c r="K52" i="39"/>
  <c r="L52" i="39"/>
  <c r="N52" i="39"/>
  <c r="Q52" i="39"/>
  <c r="L13" i="39"/>
  <c r="J13" i="39"/>
  <c r="J187" i="40"/>
  <c r="H187" i="40"/>
  <c r="M27" i="40"/>
  <c r="L27" i="40"/>
  <c r="N27" i="40"/>
  <c r="I27" i="40"/>
  <c r="R27" i="40"/>
  <c r="H27" i="40"/>
  <c r="J27" i="40"/>
  <c r="K27" i="40"/>
  <c r="O27" i="40"/>
  <c r="P27" i="40"/>
  <c r="Q27" i="40"/>
  <c r="G27" i="40"/>
  <c r="S27" i="40"/>
  <c r="I127" i="37"/>
  <c r="Q127" i="37"/>
  <c r="H126" i="37"/>
  <c r="M126" i="37"/>
  <c r="G118" i="37"/>
  <c r="Q118" i="37"/>
  <c r="I117" i="37"/>
  <c r="K117" i="37"/>
  <c r="G111" i="37"/>
  <c r="O111" i="37"/>
  <c r="K111" i="37"/>
  <c r="S111" i="37"/>
  <c r="I107" i="37"/>
  <c r="Q107" i="37"/>
  <c r="M107" i="37"/>
  <c r="G92" i="37"/>
  <c r="J92" i="37"/>
  <c r="R92" i="37"/>
  <c r="N80" i="37"/>
  <c r="G80" i="37"/>
  <c r="S202" i="38"/>
  <c r="K202" i="38"/>
  <c r="L202" i="38"/>
  <c r="M193" i="38"/>
  <c r="I193" i="38"/>
  <c r="S193" i="38"/>
  <c r="J193" i="38"/>
  <c r="P193" i="38"/>
  <c r="H156" i="38"/>
  <c r="P156" i="38"/>
  <c r="Q156" i="38"/>
  <c r="J156" i="38"/>
  <c r="K154" i="38"/>
  <c r="N154" i="38"/>
  <c r="R154" i="38"/>
  <c r="J154" i="38"/>
  <c r="M130" i="38"/>
  <c r="N130" i="38"/>
  <c r="R130" i="38"/>
  <c r="S130" i="38"/>
  <c r="J130" i="38"/>
  <c r="K118" i="38"/>
  <c r="L118" i="38"/>
  <c r="M118" i="38"/>
  <c r="H71" i="38"/>
  <c r="M71" i="38"/>
  <c r="N71" i="38"/>
  <c r="O71" i="38"/>
  <c r="P71" i="38"/>
  <c r="L50" i="38"/>
  <c r="S50" i="38"/>
  <c r="K50" i="38"/>
  <c r="M45" i="38"/>
  <c r="I45" i="38"/>
  <c r="S45" i="38"/>
  <c r="J45" i="38"/>
  <c r="K45" i="38"/>
  <c r="L45" i="38"/>
  <c r="P45" i="38"/>
  <c r="K40" i="38"/>
  <c r="J40" i="38"/>
  <c r="N40" i="38"/>
  <c r="O40" i="38"/>
  <c r="P40" i="38"/>
  <c r="G40" i="38"/>
  <c r="R40" i="38"/>
  <c r="I13" i="38"/>
  <c r="J13" i="38"/>
  <c r="K13" i="38"/>
  <c r="L13" i="38"/>
  <c r="M13" i="38"/>
  <c r="O13" i="38"/>
  <c r="L174" i="39"/>
  <c r="R174" i="39"/>
  <c r="H174" i="39"/>
  <c r="H169" i="39"/>
  <c r="N169" i="39"/>
  <c r="R169" i="39"/>
  <c r="H156" i="39"/>
  <c r="J156" i="39"/>
  <c r="L156" i="39"/>
  <c r="S156" i="39"/>
  <c r="L152" i="39"/>
  <c r="H152" i="39"/>
  <c r="J152" i="39"/>
  <c r="N152" i="39"/>
  <c r="P152" i="39"/>
  <c r="N141" i="39"/>
  <c r="J141" i="39"/>
  <c r="R141" i="39"/>
  <c r="H116" i="39"/>
  <c r="L116" i="39"/>
  <c r="N116" i="39"/>
  <c r="O116" i="39"/>
  <c r="P116" i="39"/>
  <c r="G116" i="39"/>
  <c r="L109" i="39"/>
  <c r="G109" i="39"/>
  <c r="P109" i="39"/>
  <c r="H109" i="39"/>
  <c r="Q109" i="39"/>
  <c r="I109" i="39"/>
  <c r="R109" i="39"/>
  <c r="J109" i="39"/>
  <c r="S109" i="39"/>
  <c r="M109" i="39"/>
  <c r="N71" i="39"/>
  <c r="G71" i="39"/>
  <c r="K71" i="39"/>
  <c r="M71" i="39"/>
  <c r="O71" i="39"/>
  <c r="Q71" i="39"/>
  <c r="N67" i="39"/>
  <c r="I67" i="39"/>
  <c r="S67" i="39"/>
  <c r="G67" i="39"/>
  <c r="J67" i="39"/>
  <c r="K67" i="39"/>
  <c r="L67" i="39"/>
  <c r="Q67" i="39"/>
  <c r="H177" i="40"/>
  <c r="N177" i="40"/>
  <c r="R177" i="40"/>
  <c r="J177" i="40"/>
  <c r="J139" i="40"/>
  <c r="N139" i="40"/>
  <c r="P139" i="40"/>
  <c r="R139" i="40"/>
  <c r="M151" i="37"/>
  <c r="N148" i="37"/>
  <c r="N127" i="37"/>
  <c r="Q126" i="37"/>
  <c r="P118" i="37"/>
  <c r="S117" i="37"/>
  <c r="P111" i="37"/>
  <c r="O107" i="37"/>
  <c r="G106" i="37"/>
  <c r="S106" i="37"/>
  <c r="G102" i="37"/>
  <c r="P102" i="37"/>
  <c r="H99" i="37"/>
  <c r="J99" i="37"/>
  <c r="H79" i="37"/>
  <c r="G79" i="37"/>
  <c r="Q79" i="37"/>
  <c r="L79" i="37"/>
  <c r="G65" i="37"/>
  <c r="Q65" i="37"/>
  <c r="L62" i="37"/>
  <c r="H62" i="37"/>
  <c r="P62" i="37"/>
  <c r="L46" i="37"/>
  <c r="H46" i="37"/>
  <c r="P46" i="37"/>
  <c r="H30" i="37"/>
  <c r="P30" i="37"/>
  <c r="L30" i="37"/>
  <c r="K24" i="37"/>
  <c r="S24" i="37"/>
  <c r="L24" i="37"/>
  <c r="I14" i="37"/>
  <c r="Q14" i="37"/>
  <c r="M14" i="37"/>
  <c r="M169" i="38"/>
  <c r="K169" i="38"/>
  <c r="L169" i="38"/>
  <c r="H169" i="38"/>
  <c r="R169" i="38"/>
  <c r="P116" i="38"/>
  <c r="Q116" i="38"/>
  <c r="R116" i="38"/>
  <c r="L98" i="38"/>
  <c r="S98" i="38"/>
  <c r="K98" i="38"/>
  <c r="M93" i="38"/>
  <c r="I93" i="38"/>
  <c r="S93" i="38"/>
  <c r="J93" i="38"/>
  <c r="K93" i="38"/>
  <c r="L93" i="38"/>
  <c r="P93" i="38"/>
  <c r="K88" i="38"/>
  <c r="J88" i="38"/>
  <c r="N88" i="38"/>
  <c r="O88" i="38"/>
  <c r="P88" i="38"/>
  <c r="G88" i="38"/>
  <c r="R88" i="38"/>
  <c r="K64" i="38"/>
  <c r="G64" i="38"/>
  <c r="R64" i="38"/>
  <c r="H64" i="38"/>
  <c r="I64" i="38"/>
  <c r="J64" i="38"/>
  <c r="O64" i="38"/>
  <c r="K28" i="38"/>
  <c r="J28" i="38"/>
  <c r="N28" i="38"/>
  <c r="O28" i="38"/>
  <c r="P28" i="38"/>
  <c r="G28" i="38"/>
  <c r="R28" i="38"/>
  <c r="M25" i="38"/>
  <c r="I25" i="38"/>
  <c r="S25" i="38"/>
  <c r="J25" i="38"/>
  <c r="K25" i="38"/>
  <c r="L25" i="38"/>
  <c r="P25" i="38"/>
  <c r="L18" i="38"/>
  <c r="S18" i="38"/>
  <c r="K18" i="38"/>
  <c r="N115" i="39"/>
  <c r="G115" i="39"/>
  <c r="O115" i="39"/>
  <c r="Q115" i="39"/>
  <c r="S115" i="39"/>
  <c r="I99" i="39"/>
  <c r="O99" i="39"/>
  <c r="J99" i="39"/>
  <c r="G99" i="39"/>
  <c r="K99" i="39"/>
  <c r="L99" i="39"/>
  <c r="N99" i="39"/>
  <c r="R99" i="39"/>
  <c r="H92" i="39"/>
  <c r="Q92" i="39"/>
  <c r="M92" i="39"/>
  <c r="I92" i="39"/>
  <c r="K92" i="39"/>
  <c r="L92" i="39"/>
  <c r="N92" i="39"/>
  <c r="P92" i="39"/>
  <c r="Q64" i="39"/>
  <c r="G64" i="39"/>
  <c r="S64" i="39"/>
  <c r="H64" i="39"/>
  <c r="H138" i="40"/>
  <c r="J138" i="40"/>
  <c r="R138" i="40"/>
  <c r="Q92" i="36"/>
  <c r="Q81" i="36"/>
  <c r="Q60" i="36"/>
  <c r="K53" i="36"/>
  <c r="Q44" i="36"/>
  <c r="O40" i="36"/>
  <c r="G37" i="36"/>
  <c r="S35" i="36"/>
  <c r="H35" i="36"/>
  <c r="K33" i="36"/>
  <c r="O32" i="36"/>
  <c r="O28" i="36"/>
  <c r="I27" i="36"/>
  <c r="S21" i="36"/>
  <c r="G21" i="36"/>
  <c r="K18" i="36"/>
  <c r="J8" i="36"/>
  <c r="G197" i="37"/>
  <c r="K196" i="37"/>
  <c r="O195" i="37"/>
  <c r="Q191" i="37"/>
  <c r="Q187" i="37"/>
  <c r="K186" i="37"/>
  <c r="S184" i="37"/>
  <c r="J184" i="37"/>
  <c r="O183" i="37"/>
  <c r="G180" i="37"/>
  <c r="M179" i="37"/>
  <c r="S178" i="37"/>
  <c r="S169" i="37"/>
  <c r="G161" i="37"/>
  <c r="Q159" i="37"/>
  <c r="S156" i="37"/>
  <c r="J156" i="37"/>
  <c r="O155" i="37"/>
  <c r="H154" i="37"/>
  <c r="L151" i="37"/>
  <c r="Q150" i="37"/>
  <c r="M148" i="37"/>
  <c r="L145" i="37"/>
  <c r="N144" i="37"/>
  <c r="I142" i="37"/>
  <c r="Q140" i="37"/>
  <c r="G140" i="37"/>
  <c r="M139" i="37"/>
  <c r="S136" i="37"/>
  <c r="J136" i="37"/>
  <c r="O135" i="37"/>
  <c r="M127" i="37"/>
  <c r="P126" i="37"/>
  <c r="O118" i="37"/>
  <c r="Q117" i="37"/>
  <c r="R116" i="37"/>
  <c r="N111" i="37"/>
  <c r="Q110" i="37"/>
  <c r="N107" i="37"/>
  <c r="J96" i="37"/>
  <c r="H96" i="37"/>
  <c r="R96" i="37"/>
  <c r="N93" i="37"/>
  <c r="N81" i="37"/>
  <c r="G81" i="37"/>
  <c r="R79" i="37"/>
  <c r="O62" i="37"/>
  <c r="K60" i="37"/>
  <c r="K56" i="37"/>
  <c r="L56" i="37"/>
  <c r="S56" i="37"/>
  <c r="M50" i="37"/>
  <c r="O46" i="37"/>
  <c r="L38" i="37"/>
  <c r="H38" i="37"/>
  <c r="P38" i="37"/>
  <c r="O30" i="37"/>
  <c r="H23" i="37"/>
  <c r="I23" i="37"/>
  <c r="R23" i="37"/>
  <c r="M23" i="37"/>
  <c r="G20" i="37"/>
  <c r="O14" i="37"/>
  <c r="S8" i="37"/>
  <c r="K8" i="37"/>
  <c r="R198" i="38"/>
  <c r="M197" i="38"/>
  <c r="L197" i="38"/>
  <c r="N197" i="38"/>
  <c r="I197" i="38"/>
  <c r="S197" i="38"/>
  <c r="R193" i="38"/>
  <c r="K189" i="38"/>
  <c r="R184" i="38"/>
  <c r="I184" i="38"/>
  <c r="G179" i="38"/>
  <c r="P179" i="38"/>
  <c r="M177" i="38"/>
  <c r="L177" i="38"/>
  <c r="N177" i="38"/>
  <c r="I177" i="38"/>
  <c r="S177" i="38"/>
  <c r="G175" i="38"/>
  <c r="L175" i="38"/>
  <c r="M175" i="38"/>
  <c r="R172" i="38"/>
  <c r="S170" i="38"/>
  <c r="J170" i="38"/>
  <c r="K170" i="38"/>
  <c r="J158" i="38"/>
  <c r="M157" i="38"/>
  <c r="L157" i="38"/>
  <c r="N157" i="38"/>
  <c r="I157" i="38"/>
  <c r="S157" i="38"/>
  <c r="N133" i="38"/>
  <c r="J132" i="38"/>
  <c r="N132" i="38"/>
  <c r="P132" i="38"/>
  <c r="G132" i="38"/>
  <c r="R132" i="38"/>
  <c r="Q121" i="38"/>
  <c r="M105" i="38"/>
  <c r="H105" i="38"/>
  <c r="R105" i="38"/>
  <c r="I105" i="38"/>
  <c r="S105" i="38"/>
  <c r="J105" i="38"/>
  <c r="K105" i="38"/>
  <c r="N105" i="38"/>
  <c r="Q92" i="38"/>
  <c r="Q89" i="38"/>
  <c r="K76" i="38"/>
  <c r="J76" i="38"/>
  <c r="N76" i="38"/>
  <c r="O76" i="38"/>
  <c r="P76" i="38"/>
  <c r="G76" i="38"/>
  <c r="R76" i="38"/>
  <c r="M73" i="38"/>
  <c r="I73" i="38"/>
  <c r="S73" i="38"/>
  <c r="J73" i="38"/>
  <c r="K73" i="38"/>
  <c r="L73" i="38"/>
  <c r="P73" i="38"/>
  <c r="H39" i="38"/>
  <c r="M39" i="38"/>
  <c r="N39" i="38"/>
  <c r="O39" i="38"/>
  <c r="P39" i="38"/>
  <c r="Q29" i="38"/>
  <c r="Q24" i="38"/>
  <c r="G184" i="39"/>
  <c r="J184" i="39"/>
  <c r="L184" i="39"/>
  <c r="N184" i="39"/>
  <c r="P184" i="39"/>
  <c r="H129" i="39"/>
  <c r="N129" i="39"/>
  <c r="G104" i="39"/>
  <c r="M104" i="39"/>
  <c r="H104" i="39"/>
  <c r="I104" i="39"/>
  <c r="K104" i="39"/>
  <c r="L104" i="39"/>
  <c r="S104" i="39"/>
  <c r="S87" i="39"/>
  <c r="J87" i="39"/>
  <c r="Q87" i="39"/>
  <c r="R87" i="39"/>
  <c r="G87" i="39"/>
  <c r="G23" i="39"/>
  <c r="M23" i="39"/>
  <c r="O23" i="39"/>
  <c r="J23" i="39"/>
  <c r="I23" i="39"/>
  <c r="K23" i="39"/>
  <c r="L23" i="39"/>
  <c r="R23" i="39"/>
  <c r="J172" i="40"/>
  <c r="N172" i="40"/>
  <c r="H172" i="40"/>
  <c r="J154" i="40"/>
  <c r="H154" i="40"/>
  <c r="I120" i="40"/>
  <c r="H120" i="40"/>
  <c r="J120" i="40"/>
  <c r="L120" i="40"/>
  <c r="O120" i="40"/>
  <c r="P120" i="40"/>
  <c r="Q120" i="40"/>
  <c r="G120" i="40"/>
  <c r="R120" i="40"/>
  <c r="G93" i="40"/>
  <c r="H93" i="40"/>
  <c r="J93" i="40"/>
  <c r="K93" i="40"/>
  <c r="O93" i="40"/>
  <c r="R93" i="40"/>
  <c r="S93" i="40"/>
  <c r="S174" i="37"/>
  <c r="S151" i="37"/>
  <c r="L148" i="37"/>
  <c r="M144" i="37"/>
  <c r="L127" i="37"/>
  <c r="O126" i="37"/>
  <c r="N118" i="37"/>
  <c r="O117" i="37"/>
  <c r="H116" i="37"/>
  <c r="M116" i="37"/>
  <c r="M111" i="37"/>
  <c r="L107" i="37"/>
  <c r="S80" i="37"/>
  <c r="O79" i="37"/>
  <c r="G68" i="37"/>
  <c r="O68" i="37"/>
  <c r="K68" i="37"/>
  <c r="N62" i="37"/>
  <c r="H55" i="37"/>
  <c r="M55" i="37"/>
  <c r="I55" i="37"/>
  <c r="R55" i="37"/>
  <c r="N46" i="37"/>
  <c r="N30" i="37"/>
  <c r="H27" i="37"/>
  <c r="G27" i="37"/>
  <c r="Q27" i="37"/>
  <c r="L27" i="37"/>
  <c r="N14" i="37"/>
  <c r="O13" i="37"/>
  <c r="Q13" i="37"/>
  <c r="H7" i="37"/>
  <c r="M7" i="37"/>
  <c r="I7" i="37"/>
  <c r="R7" i="37"/>
  <c r="H204" i="38"/>
  <c r="I204" i="38"/>
  <c r="Q193" i="38"/>
  <c r="G192" i="38"/>
  <c r="R192" i="38"/>
  <c r="H188" i="38"/>
  <c r="P188" i="38"/>
  <c r="Q188" i="38"/>
  <c r="J188" i="38"/>
  <c r="K186" i="38"/>
  <c r="N186" i="38"/>
  <c r="R186" i="38"/>
  <c r="J186" i="38"/>
  <c r="S169" i="38"/>
  <c r="R156" i="38"/>
  <c r="G112" i="38"/>
  <c r="I112" i="38"/>
  <c r="J112" i="38"/>
  <c r="N112" i="38"/>
  <c r="O112" i="38"/>
  <c r="H87" i="38"/>
  <c r="M87" i="38"/>
  <c r="N87" i="38"/>
  <c r="O87" i="38"/>
  <c r="P87" i="38"/>
  <c r="L66" i="38"/>
  <c r="S66" i="38"/>
  <c r="K66" i="38"/>
  <c r="M61" i="38"/>
  <c r="I61" i="38"/>
  <c r="S61" i="38"/>
  <c r="J61" i="38"/>
  <c r="K61" i="38"/>
  <c r="L61" i="38"/>
  <c r="P61" i="38"/>
  <c r="K56" i="38"/>
  <c r="J56" i="38"/>
  <c r="N56" i="38"/>
  <c r="O56" i="38"/>
  <c r="P56" i="38"/>
  <c r="G56" i="38"/>
  <c r="R56" i="38"/>
  <c r="K32" i="38"/>
  <c r="G32" i="38"/>
  <c r="R32" i="38"/>
  <c r="H32" i="38"/>
  <c r="I32" i="38"/>
  <c r="J32" i="38"/>
  <c r="O32" i="38"/>
  <c r="J183" i="39"/>
  <c r="H183" i="39"/>
  <c r="H179" i="39"/>
  <c r="J179" i="39"/>
  <c r="H112" i="39"/>
  <c r="S112" i="39"/>
  <c r="I112" i="39"/>
  <c r="K112" i="39"/>
  <c r="L112" i="39"/>
  <c r="N112" i="39"/>
  <c r="G108" i="39"/>
  <c r="H108" i="39"/>
  <c r="I108" i="39"/>
  <c r="L108" i="39"/>
  <c r="M108" i="39"/>
  <c r="P108" i="39"/>
  <c r="H150" i="40"/>
  <c r="J150" i="40"/>
  <c r="N150" i="40"/>
  <c r="H142" i="40"/>
  <c r="J142" i="40"/>
  <c r="L142" i="40"/>
  <c r="N142" i="40"/>
  <c r="R142" i="40"/>
  <c r="M115" i="40"/>
  <c r="P115" i="40"/>
  <c r="R115" i="40"/>
  <c r="N115" i="40"/>
  <c r="O115" i="40"/>
  <c r="M83" i="40"/>
  <c r="N83" i="40"/>
  <c r="O83" i="40"/>
  <c r="I83" i="40"/>
  <c r="J83" i="40"/>
  <c r="K83" i="40"/>
  <c r="L83" i="40"/>
  <c r="P83" i="40"/>
  <c r="R83" i="40"/>
  <c r="G33" i="40"/>
  <c r="J33" i="40"/>
  <c r="N33" i="40"/>
  <c r="H144" i="41"/>
  <c r="S144" i="41"/>
  <c r="P11" i="41"/>
  <c r="N11" i="41"/>
  <c r="R11" i="41"/>
  <c r="M116" i="43"/>
  <c r="H116" i="43"/>
  <c r="K116" i="43"/>
  <c r="L116" i="43"/>
  <c r="O116" i="43"/>
  <c r="P116" i="43"/>
  <c r="I116" i="43"/>
  <c r="S116" i="43"/>
  <c r="J116" i="43"/>
  <c r="Q116" i="43"/>
  <c r="R116" i="43"/>
  <c r="G116" i="43"/>
  <c r="K104" i="37"/>
  <c r="R86" i="37"/>
  <c r="K75" i="37"/>
  <c r="R70" i="37"/>
  <c r="K63" i="37"/>
  <c r="K47" i="37"/>
  <c r="K39" i="37"/>
  <c r="R22" i="37"/>
  <c r="R18" i="37"/>
  <c r="K185" i="38"/>
  <c r="R174" i="38"/>
  <c r="N164" i="38"/>
  <c r="N163" i="38"/>
  <c r="N162" i="38"/>
  <c r="K153" i="38"/>
  <c r="S145" i="38"/>
  <c r="I145" i="38"/>
  <c r="R142" i="38"/>
  <c r="K129" i="38"/>
  <c r="K125" i="38"/>
  <c r="O124" i="38"/>
  <c r="N123" i="38"/>
  <c r="M122" i="38"/>
  <c r="Q120" i="38"/>
  <c r="S117" i="38"/>
  <c r="I117" i="38"/>
  <c r="O111" i="38"/>
  <c r="M110" i="38"/>
  <c r="I108" i="38"/>
  <c r="L106" i="38"/>
  <c r="S102" i="38"/>
  <c r="H100" i="38"/>
  <c r="K97" i="38"/>
  <c r="H95" i="38"/>
  <c r="S86" i="38"/>
  <c r="H84" i="38"/>
  <c r="H79" i="38"/>
  <c r="S70" i="38"/>
  <c r="H68" i="38"/>
  <c r="K65" i="38"/>
  <c r="S54" i="38"/>
  <c r="H52" i="38"/>
  <c r="K49" i="38"/>
  <c r="S38" i="38"/>
  <c r="H36" i="38"/>
  <c r="K33" i="38"/>
  <c r="H31" i="38"/>
  <c r="S22" i="38"/>
  <c r="H20" i="38"/>
  <c r="I17" i="38"/>
  <c r="J15" i="38"/>
  <c r="S12" i="38"/>
  <c r="K12" i="38"/>
  <c r="K7" i="38"/>
  <c r="S5" i="38"/>
  <c r="J5" i="38"/>
  <c r="L204" i="39"/>
  <c r="J200" i="39"/>
  <c r="P192" i="39"/>
  <c r="P186" i="39"/>
  <c r="R177" i="39"/>
  <c r="L176" i="39"/>
  <c r="L168" i="39"/>
  <c r="R166" i="39"/>
  <c r="J160" i="39"/>
  <c r="P150" i="39"/>
  <c r="N140" i="39"/>
  <c r="L133" i="39"/>
  <c r="L131" i="39"/>
  <c r="P124" i="39"/>
  <c r="N121" i="39"/>
  <c r="O111" i="39"/>
  <c r="R107" i="39"/>
  <c r="I107" i="39"/>
  <c r="O103" i="39"/>
  <c r="L94" i="39"/>
  <c r="H94" i="39"/>
  <c r="P94" i="39"/>
  <c r="S90" i="39"/>
  <c r="J86" i="39"/>
  <c r="L77" i="39"/>
  <c r="K77" i="39"/>
  <c r="G77" i="39"/>
  <c r="P77" i="39"/>
  <c r="I75" i="39"/>
  <c r="R75" i="39"/>
  <c r="M75" i="39"/>
  <c r="Q73" i="39"/>
  <c r="S70" i="39"/>
  <c r="J69" i="39"/>
  <c r="S58" i="39"/>
  <c r="S55" i="39"/>
  <c r="Q51" i="39"/>
  <c r="Q49" i="39"/>
  <c r="J46" i="39"/>
  <c r="M45" i="39"/>
  <c r="K43" i="39"/>
  <c r="G35" i="39"/>
  <c r="R35" i="39"/>
  <c r="I35" i="39"/>
  <c r="S35" i="39"/>
  <c r="N35" i="39"/>
  <c r="N26" i="39"/>
  <c r="O25" i="39"/>
  <c r="N24" i="39"/>
  <c r="O24" i="39"/>
  <c r="G24" i="39"/>
  <c r="L20" i="39"/>
  <c r="H10" i="39"/>
  <c r="N10" i="39"/>
  <c r="R199" i="40"/>
  <c r="G197" i="40"/>
  <c r="H197" i="40"/>
  <c r="J197" i="40"/>
  <c r="R197" i="40"/>
  <c r="N194" i="40"/>
  <c r="N189" i="40"/>
  <c r="N164" i="40"/>
  <c r="G143" i="40"/>
  <c r="N143" i="40"/>
  <c r="P143" i="40"/>
  <c r="R143" i="40"/>
  <c r="H143" i="40"/>
  <c r="L119" i="40"/>
  <c r="M119" i="40"/>
  <c r="H119" i="40"/>
  <c r="J119" i="40"/>
  <c r="N119" i="40"/>
  <c r="O119" i="40"/>
  <c r="P119" i="40"/>
  <c r="R119" i="40"/>
  <c r="H99" i="41"/>
  <c r="R99" i="41"/>
  <c r="L99" i="41"/>
  <c r="P99" i="41"/>
  <c r="K52" i="41"/>
  <c r="M52" i="41"/>
  <c r="R52" i="41"/>
  <c r="S52" i="41"/>
  <c r="J52" i="41"/>
  <c r="L52" i="41"/>
  <c r="N52" i="41"/>
  <c r="J122" i="38"/>
  <c r="K110" i="38"/>
  <c r="G108" i="38"/>
  <c r="J106" i="38"/>
  <c r="R15" i="38"/>
  <c r="G15" i="38"/>
  <c r="Q5" i="38"/>
  <c r="G5" i="38"/>
  <c r="L186" i="39"/>
  <c r="H176" i="39"/>
  <c r="J170" i="39"/>
  <c r="H168" i="39"/>
  <c r="H150" i="39"/>
  <c r="H131" i="39"/>
  <c r="I90" i="39"/>
  <c r="Q90" i="39"/>
  <c r="M90" i="39"/>
  <c r="R86" i="39"/>
  <c r="G73" i="39"/>
  <c r="I70" i="39"/>
  <c r="Q70" i="39"/>
  <c r="M70" i="39"/>
  <c r="I60" i="39"/>
  <c r="S60" i="39"/>
  <c r="N60" i="39"/>
  <c r="L58" i="39"/>
  <c r="H58" i="39"/>
  <c r="P58" i="39"/>
  <c r="M49" i="39"/>
  <c r="R46" i="39"/>
  <c r="G44" i="39"/>
  <c r="I44" i="39"/>
  <c r="S44" i="39"/>
  <c r="P41" i="39"/>
  <c r="L18" i="39"/>
  <c r="M18" i="39"/>
  <c r="I18" i="39"/>
  <c r="Q18" i="39"/>
  <c r="J204" i="40"/>
  <c r="L204" i="40"/>
  <c r="J183" i="40"/>
  <c r="N171" i="40"/>
  <c r="R171" i="40"/>
  <c r="J185" i="41"/>
  <c r="L185" i="41"/>
  <c r="M185" i="41"/>
  <c r="G185" i="41"/>
  <c r="P185" i="41"/>
  <c r="H185" i="41"/>
  <c r="I185" i="41"/>
  <c r="N185" i="41"/>
  <c r="O185" i="41"/>
  <c r="Q185" i="41"/>
  <c r="R185" i="41"/>
  <c r="H113" i="41"/>
  <c r="J113" i="41"/>
  <c r="L113" i="41"/>
  <c r="K86" i="39"/>
  <c r="S86" i="39"/>
  <c r="G86" i="39"/>
  <c r="O86" i="39"/>
  <c r="L69" i="39"/>
  <c r="O69" i="39"/>
  <c r="I69" i="39"/>
  <c r="S69" i="39"/>
  <c r="L46" i="39"/>
  <c r="H46" i="39"/>
  <c r="P46" i="39"/>
  <c r="M43" i="39"/>
  <c r="I43" i="39"/>
  <c r="R43" i="39"/>
  <c r="L25" i="39"/>
  <c r="K25" i="39"/>
  <c r="M25" i="39"/>
  <c r="H25" i="39"/>
  <c r="S25" i="39"/>
  <c r="G20" i="39"/>
  <c r="Q20" i="39"/>
  <c r="H20" i="39"/>
  <c r="S20" i="39"/>
  <c r="N20" i="39"/>
  <c r="H12" i="39"/>
  <c r="R12" i="39"/>
  <c r="H6" i="39"/>
  <c r="J6" i="39"/>
  <c r="G199" i="40"/>
  <c r="H199" i="40"/>
  <c r="L199" i="40"/>
  <c r="G189" i="40"/>
  <c r="P189" i="40"/>
  <c r="R189" i="40"/>
  <c r="J189" i="40"/>
  <c r="J168" i="40"/>
  <c r="N168" i="40"/>
  <c r="R168" i="40"/>
  <c r="O164" i="40"/>
  <c r="P164" i="40"/>
  <c r="H164" i="40"/>
  <c r="R164" i="40"/>
  <c r="L164" i="40"/>
  <c r="J160" i="40"/>
  <c r="L160" i="40"/>
  <c r="H136" i="40"/>
  <c r="J136" i="40"/>
  <c r="R136" i="40"/>
  <c r="J132" i="40"/>
  <c r="N132" i="40"/>
  <c r="H121" i="40"/>
  <c r="I121" i="40"/>
  <c r="S121" i="40"/>
  <c r="G95" i="40"/>
  <c r="P95" i="40"/>
  <c r="R95" i="40"/>
  <c r="H95" i="40"/>
  <c r="I95" i="40"/>
  <c r="J95" i="40"/>
  <c r="O95" i="40"/>
  <c r="N47" i="40"/>
  <c r="O47" i="40"/>
  <c r="M42" i="40"/>
  <c r="N42" i="40"/>
  <c r="H42" i="40"/>
  <c r="I42" i="40"/>
  <c r="J42" i="40"/>
  <c r="L42" i="40"/>
  <c r="O42" i="40"/>
  <c r="P42" i="40"/>
  <c r="G39" i="40"/>
  <c r="O39" i="40"/>
  <c r="P39" i="40"/>
  <c r="L39" i="40"/>
  <c r="N39" i="40"/>
  <c r="K28" i="40"/>
  <c r="L28" i="40"/>
  <c r="M28" i="40"/>
  <c r="N28" i="40"/>
  <c r="P28" i="40"/>
  <c r="K158" i="41"/>
  <c r="L158" i="41"/>
  <c r="N158" i="41"/>
  <c r="O158" i="41"/>
  <c r="M142" i="41"/>
  <c r="G142" i="41"/>
  <c r="P142" i="41"/>
  <c r="H142" i="41"/>
  <c r="Q142" i="41"/>
  <c r="I142" i="41"/>
  <c r="R142" i="41"/>
  <c r="J142" i="41"/>
  <c r="S142" i="41"/>
  <c r="L142" i="41"/>
  <c r="K142" i="41"/>
  <c r="N142" i="41"/>
  <c r="O142" i="41"/>
  <c r="S123" i="41"/>
  <c r="I123" i="41"/>
  <c r="H117" i="41"/>
  <c r="J117" i="41"/>
  <c r="K60" i="41"/>
  <c r="J60" i="41"/>
  <c r="R60" i="41"/>
  <c r="S60" i="41"/>
  <c r="L60" i="41"/>
  <c r="N60" i="41"/>
  <c r="K56" i="41"/>
  <c r="S56" i="41"/>
  <c r="L56" i="41"/>
  <c r="M56" i="41"/>
  <c r="N56" i="41"/>
  <c r="R56" i="41"/>
  <c r="K174" i="38"/>
  <c r="R164" i="38"/>
  <c r="N145" i="38"/>
  <c r="K142" i="38"/>
  <c r="G140" i="38"/>
  <c r="J138" i="38"/>
  <c r="G124" i="38"/>
  <c r="N117" i="38"/>
  <c r="H111" i="38"/>
  <c r="O100" i="38"/>
  <c r="O84" i="38"/>
  <c r="O68" i="38"/>
  <c r="O52" i="38"/>
  <c r="O36" i="38"/>
  <c r="K21" i="38"/>
  <c r="O20" i="38"/>
  <c r="Q17" i="38"/>
  <c r="O15" i="38"/>
  <c r="G14" i="38"/>
  <c r="O12" i="38"/>
  <c r="P7" i="38"/>
  <c r="G7" i="38"/>
  <c r="N5" i="38"/>
  <c r="R200" i="39"/>
  <c r="H192" i="39"/>
  <c r="J190" i="39"/>
  <c r="H166" i="39"/>
  <c r="J163" i="39"/>
  <c r="R160" i="39"/>
  <c r="J149" i="39"/>
  <c r="N139" i="39"/>
  <c r="H124" i="39"/>
  <c r="L122" i="39"/>
  <c r="I121" i="39"/>
  <c r="R118" i="39"/>
  <c r="M107" i="39"/>
  <c r="N90" i="39"/>
  <c r="P86" i="39"/>
  <c r="N70" i="39"/>
  <c r="Q69" i="39"/>
  <c r="I63" i="39"/>
  <c r="O60" i="39"/>
  <c r="N58" i="39"/>
  <c r="O46" i="39"/>
  <c r="S45" i="39"/>
  <c r="Q43" i="39"/>
  <c r="N27" i="39"/>
  <c r="O27" i="39"/>
  <c r="G27" i="39"/>
  <c r="K21" i="39"/>
  <c r="O18" i="39"/>
  <c r="N9" i="39"/>
  <c r="P9" i="39"/>
  <c r="H9" i="39"/>
  <c r="H5" i="39"/>
  <c r="J186" i="40"/>
  <c r="N186" i="40"/>
  <c r="J174" i="40"/>
  <c r="P174" i="40"/>
  <c r="R174" i="40"/>
  <c r="H174" i="40"/>
  <c r="M84" i="40"/>
  <c r="N84" i="40"/>
  <c r="H84" i="40"/>
  <c r="I84" i="40"/>
  <c r="P84" i="40"/>
  <c r="R84" i="40"/>
  <c r="G38" i="40"/>
  <c r="M38" i="40"/>
  <c r="O38" i="40"/>
  <c r="H38" i="40"/>
  <c r="I38" i="40"/>
  <c r="J38" i="40"/>
  <c r="L38" i="40"/>
  <c r="Q38" i="40"/>
  <c r="R38" i="40"/>
  <c r="H62" i="41"/>
  <c r="J62" i="41"/>
  <c r="Q62" i="41"/>
  <c r="I62" i="41"/>
  <c r="N62" i="41"/>
  <c r="O62" i="41"/>
  <c r="P62" i="41"/>
  <c r="R62" i="41"/>
  <c r="L145" i="38"/>
  <c r="S122" i="38"/>
  <c r="L117" i="38"/>
  <c r="N100" i="38"/>
  <c r="N84" i="38"/>
  <c r="N68" i="38"/>
  <c r="N52" i="38"/>
  <c r="N36" i="38"/>
  <c r="N20" i="38"/>
  <c r="N15" i="38"/>
  <c r="P200" i="39"/>
  <c r="L90" i="39"/>
  <c r="N86" i="39"/>
  <c r="L70" i="39"/>
  <c r="P69" i="39"/>
  <c r="M60" i="39"/>
  <c r="M58" i="39"/>
  <c r="J51" i="39"/>
  <c r="S51" i="39"/>
  <c r="M51" i="39"/>
  <c r="N46" i="39"/>
  <c r="L45" i="39"/>
  <c r="I45" i="39"/>
  <c r="R45" i="39"/>
  <c r="N45" i="39"/>
  <c r="O43" i="39"/>
  <c r="H26" i="39"/>
  <c r="P26" i="39"/>
  <c r="I26" i="39"/>
  <c r="Q26" i="39"/>
  <c r="M26" i="39"/>
  <c r="N18" i="39"/>
  <c r="J11" i="39"/>
  <c r="H11" i="39"/>
  <c r="L11" i="39"/>
  <c r="J141" i="40"/>
  <c r="L141" i="40"/>
  <c r="N141" i="40"/>
  <c r="P141" i="40"/>
  <c r="R141" i="40"/>
  <c r="G131" i="40"/>
  <c r="L131" i="40"/>
  <c r="N131" i="40"/>
  <c r="P131" i="40"/>
  <c r="R131" i="40"/>
  <c r="G104" i="40"/>
  <c r="N104" i="40"/>
  <c r="O104" i="40"/>
  <c r="Q104" i="40"/>
  <c r="R104" i="40"/>
  <c r="S83" i="40"/>
  <c r="R82" i="39"/>
  <c r="M80" i="39"/>
  <c r="S47" i="39"/>
  <c r="O19" i="39"/>
  <c r="O17" i="39"/>
  <c r="R191" i="40"/>
  <c r="R159" i="40"/>
  <c r="R152" i="40"/>
  <c r="O130" i="40"/>
  <c r="K129" i="40"/>
  <c r="P125" i="40"/>
  <c r="I124" i="40"/>
  <c r="H123" i="40"/>
  <c r="K122" i="40"/>
  <c r="I116" i="40"/>
  <c r="S114" i="40"/>
  <c r="P109" i="40"/>
  <c r="R102" i="40"/>
  <c r="J101" i="40"/>
  <c r="G100" i="40"/>
  <c r="O100" i="40"/>
  <c r="Q100" i="40"/>
  <c r="M98" i="40"/>
  <c r="J94" i="40"/>
  <c r="M94" i="40"/>
  <c r="N89" i="40"/>
  <c r="M87" i="40"/>
  <c r="H87" i="40"/>
  <c r="S87" i="40"/>
  <c r="I87" i="40"/>
  <c r="H81" i="40"/>
  <c r="J81" i="40"/>
  <c r="K81" i="40"/>
  <c r="N74" i="40"/>
  <c r="J72" i="40"/>
  <c r="G69" i="40"/>
  <c r="M66" i="40"/>
  <c r="J57" i="40"/>
  <c r="N56" i="40"/>
  <c r="P56" i="40"/>
  <c r="M55" i="40"/>
  <c r="O55" i="40"/>
  <c r="Q55" i="40"/>
  <c r="G53" i="40"/>
  <c r="H53" i="40"/>
  <c r="J53" i="40"/>
  <c r="O45" i="40"/>
  <c r="R44" i="40"/>
  <c r="S44" i="40"/>
  <c r="J40" i="40"/>
  <c r="O26" i="40"/>
  <c r="G26" i="40"/>
  <c r="P26" i="40"/>
  <c r="L25" i="40"/>
  <c r="M25" i="40"/>
  <c r="H25" i="40"/>
  <c r="R25" i="40"/>
  <c r="M19" i="40"/>
  <c r="K19" i="40"/>
  <c r="L19" i="40"/>
  <c r="G19" i="40"/>
  <c r="R19" i="40"/>
  <c r="H16" i="40"/>
  <c r="S16" i="40"/>
  <c r="N16" i="40"/>
  <c r="N6" i="40"/>
  <c r="J6" i="40"/>
  <c r="K202" i="41"/>
  <c r="O196" i="41"/>
  <c r="O194" i="41"/>
  <c r="S191" i="41"/>
  <c r="O180" i="41"/>
  <c r="P180" i="41"/>
  <c r="H177" i="41"/>
  <c r="I177" i="41"/>
  <c r="J177" i="41"/>
  <c r="L177" i="41"/>
  <c r="M177" i="41"/>
  <c r="O177" i="41"/>
  <c r="O168" i="41"/>
  <c r="P160" i="41"/>
  <c r="R153" i="41"/>
  <c r="H147" i="41"/>
  <c r="L147" i="41"/>
  <c r="M147" i="41"/>
  <c r="P147" i="41"/>
  <c r="R147" i="41"/>
  <c r="I147" i="41"/>
  <c r="K28" i="41"/>
  <c r="N28" i="41"/>
  <c r="J28" i="41"/>
  <c r="L28" i="41"/>
  <c r="M28" i="41"/>
  <c r="R28" i="41"/>
  <c r="H113" i="40"/>
  <c r="J113" i="40"/>
  <c r="K113" i="40"/>
  <c r="M105" i="40"/>
  <c r="H105" i="40"/>
  <c r="R105" i="40"/>
  <c r="I105" i="40"/>
  <c r="S105" i="40"/>
  <c r="R97" i="40"/>
  <c r="S97" i="40"/>
  <c r="I96" i="40"/>
  <c r="N96" i="40"/>
  <c r="P96" i="40"/>
  <c r="G85" i="40"/>
  <c r="L85" i="40"/>
  <c r="M85" i="40"/>
  <c r="G73" i="40"/>
  <c r="L73" i="40"/>
  <c r="L41" i="40"/>
  <c r="P41" i="40"/>
  <c r="M23" i="40"/>
  <c r="I23" i="40"/>
  <c r="J23" i="40"/>
  <c r="Q23" i="40"/>
  <c r="H20" i="40"/>
  <c r="I20" i="40"/>
  <c r="Q20" i="40"/>
  <c r="G204" i="41"/>
  <c r="J204" i="41"/>
  <c r="H102" i="41"/>
  <c r="J102" i="41"/>
  <c r="H30" i="41"/>
  <c r="P30" i="41"/>
  <c r="I30" i="41"/>
  <c r="J30" i="41"/>
  <c r="O30" i="41"/>
  <c r="Q30" i="41"/>
  <c r="G30" i="41"/>
  <c r="H27" i="41"/>
  <c r="P27" i="41"/>
  <c r="I27" i="41"/>
  <c r="R27" i="41"/>
  <c r="J27" i="41"/>
  <c r="S27" i="41"/>
  <c r="L27" i="41"/>
  <c r="M27" i="41"/>
  <c r="N27" i="41"/>
  <c r="G27" i="41"/>
  <c r="K27" i="41"/>
  <c r="O27" i="41"/>
  <c r="Q27" i="41"/>
  <c r="L65" i="42"/>
  <c r="I65" i="42"/>
  <c r="J65" i="42"/>
  <c r="G65" i="42"/>
  <c r="S65" i="42"/>
  <c r="H65" i="42"/>
  <c r="O65" i="42"/>
  <c r="P65" i="42"/>
  <c r="Q65" i="42"/>
  <c r="R65" i="42"/>
  <c r="K125" i="40"/>
  <c r="H122" i="40"/>
  <c r="J117" i="40"/>
  <c r="K117" i="40"/>
  <c r="S96" i="40"/>
  <c r="S72" i="40"/>
  <c r="J65" i="40"/>
  <c r="N65" i="40"/>
  <c r="I64" i="40"/>
  <c r="M64" i="40"/>
  <c r="N64" i="40"/>
  <c r="G61" i="40"/>
  <c r="H61" i="40"/>
  <c r="S57" i="40"/>
  <c r="H49" i="40"/>
  <c r="J49" i="40"/>
  <c r="K49" i="40"/>
  <c r="S40" i="40"/>
  <c r="H36" i="40"/>
  <c r="P36" i="40"/>
  <c r="R36" i="40"/>
  <c r="K36" i="40"/>
  <c r="N15" i="40"/>
  <c r="O15" i="40"/>
  <c r="L203" i="41"/>
  <c r="I191" i="41"/>
  <c r="G176" i="41"/>
  <c r="H176" i="41"/>
  <c r="J176" i="41"/>
  <c r="N176" i="41"/>
  <c r="O176" i="41"/>
  <c r="S176" i="41"/>
  <c r="K172" i="41"/>
  <c r="O172" i="41"/>
  <c r="P172" i="41"/>
  <c r="R172" i="41"/>
  <c r="G172" i="41"/>
  <c r="H157" i="41"/>
  <c r="I157" i="41"/>
  <c r="J157" i="41"/>
  <c r="O157" i="41"/>
  <c r="Q157" i="41"/>
  <c r="I143" i="41"/>
  <c r="L143" i="41"/>
  <c r="M143" i="41"/>
  <c r="N143" i="41"/>
  <c r="P143" i="41"/>
  <c r="H143" i="41"/>
  <c r="S143" i="41"/>
  <c r="H141" i="41"/>
  <c r="I141" i="41"/>
  <c r="J141" i="41"/>
  <c r="M141" i="41"/>
  <c r="N141" i="41"/>
  <c r="P141" i="41"/>
  <c r="J135" i="41"/>
  <c r="M135" i="41"/>
  <c r="N135" i="41"/>
  <c r="Q135" i="41"/>
  <c r="R135" i="41"/>
  <c r="I135" i="41"/>
  <c r="H133" i="41"/>
  <c r="I133" i="41"/>
  <c r="J133" i="41"/>
  <c r="M133" i="41"/>
  <c r="N133" i="41"/>
  <c r="P133" i="41"/>
  <c r="L79" i="41"/>
  <c r="H79" i="41"/>
  <c r="M79" i="41"/>
  <c r="N79" i="41"/>
  <c r="R79" i="41"/>
  <c r="H41" i="41"/>
  <c r="M41" i="41"/>
  <c r="P41" i="41"/>
  <c r="O41" i="41"/>
  <c r="G41" i="41"/>
  <c r="N116" i="40"/>
  <c r="O116" i="40"/>
  <c r="K114" i="40"/>
  <c r="P114" i="40"/>
  <c r="Q105" i="40"/>
  <c r="M101" i="40"/>
  <c r="N101" i="40"/>
  <c r="P101" i="40"/>
  <c r="Q96" i="40"/>
  <c r="S85" i="40"/>
  <c r="L72" i="40"/>
  <c r="M72" i="40"/>
  <c r="H66" i="40"/>
  <c r="I66" i="40"/>
  <c r="J66" i="40"/>
  <c r="L57" i="40"/>
  <c r="M57" i="40"/>
  <c r="M40" i="40"/>
  <c r="N40" i="40"/>
  <c r="J30" i="40"/>
  <c r="M30" i="40"/>
  <c r="N30" i="40"/>
  <c r="S23" i="40"/>
  <c r="M202" i="41"/>
  <c r="G202" i="41"/>
  <c r="P202" i="41"/>
  <c r="H202" i="41"/>
  <c r="Q202" i="41"/>
  <c r="L202" i="41"/>
  <c r="G196" i="41"/>
  <c r="J196" i="41"/>
  <c r="K196" i="41"/>
  <c r="L196" i="41"/>
  <c r="R196" i="41"/>
  <c r="M194" i="41"/>
  <c r="G194" i="41"/>
  <c r="R194" i="41"/>
  <c r="I194" i="41"/>
  <c r="S194" i="41"/>
  <c r="J194" i="41"/>
  <c r="N194" i="41"/>
  <c r="H168" i="41"/>
  <c r="R168" i="41"/>
  <c r="J168" i="41"/>
  <c r="S168" i="41"/>
  <c r="K168" i="41"/>
  <c r="L168" i="41"/>
  <c r="N168" i="41"/>
  <c r="H160" i="41"/>
  <c r="J160" i="41"/>
  <c r="K160" i="41"/>
  <c r="L160" i="41"/>
  <c r="M160" i="41"/>
  <c r="O160" i="41"/>
  <c r="R95" i="41"/>
  <c r="S95" i="41"/>
  <c r="J95" i="41"/>
  <c r="L95" i="41"/>
  <c r="N95" i="41"/>
  <c r="P95" i="41"/>
  <c r="H90" i="41"/>
  <c r="R90" i="41"/>
  <c r="H66" i="41"/>
  <c r="P66" i="41"/>
  <c r="Q66" i="41"/>
  <c r="R66" i="41"/>
  <c r="H49" i="41"/>
  <c r="G49" i="41"/>
  <c r="O49" i="41"/>
  <c r="M49" i="41"/>
  <c r="N49" i="41"/>
  <c r="P49" i="41"/>
  <c r="H26" i="41"/>
  <c r="J26" i="41"/>
  <c r="I26" i="41"/>
  <c r="N26" i="41"/>
  <c r="P26" i="41"/>
  <c r="Q26" i="41"/>
  <c r="R26" i="41"/>
  <c r="G26" i="41"/>
  <c r="R66" i="39"/>
  <c r="R30" i="39"/>
  <c r="R22" i="39"/>
  <c r="S17" i="39"/>
  <c r="H191" i="40"/>
  <c r="H152" i="40"/>
  <c r="R149" i="40"/>
  <c r="P145" i="40"/>
  <c r="R129" i="40"/>
  <c r="R124" i="40"/>
  <c r="P123" i="40"/>
  <c r="R122" i="40"/>
  <c r="N118" i="40"/>
  <c r="P118" i="40"/>
  <c r="Q116" i="40"/>
  <c r="S113" i="40"/>
  <c r="P105" i="40"/>
  <c r="R101" i="40"/>
  <c r="N100" i="40"/>
  <c r="G99" i="40"/>
  <c r="M99" i="40"/>
  <c r="N99" i="40"/>
  <c r="M96" i="40"/>
  <c r="R85" i="40"/>
  <c r="Q72" i="40"/>
  <c r="G70" i="40"/>
  <c r="H70" i="40"/>
  <c r="I70" i="40"/>
  <c r="R66" i="40"/>
  <c r="S65" i="40"/>
  <c r="Q64" i="40"/>
  <c r="P57" i="40"/>
  <c r="M51" i="40"/>
  <c r="G51" i="40"/>
  <c r="R51" i="40"/>
  <c r="I51" i="40"/>
  <c r="S51" i="40"/>
  <c r="P49" i="40"/>
  <c r="Q40" i="40"/>
  <c r="O37" i="40"/>
  <c r="P37" i="40"/>
  <c r="H34" i="40"/>
  <c r="M34" i="40"/>
  <c r="N34" i="40"/>
  <c r="I34" i="40"/>
  <c r="R23" i="40"/>
  <c r="G21" i="40"/>
  <c r="H21" i="40"/>
  <c r="J21" i="40"/>
  <c r="O21" i="40"/>
  <c r="L5" i="40"/>
  <c r="N5" i="40"/>
  <c r="S202" i="41"/>
  <c r="J190" i="41"/>
  <c r="K190" i="41"/>
  <c r="S190" i="41"/>
  <c r="M167" i="41"/>
  <c r="N167" i="41"/>
  <c r="J126" i="41"/>
  <c r="S126" i="41"/>
  <c r="N126" i="41"/>
  <c r="G126" i="41"/>
  <c r="H114" i="41"/>
  <c r="N114" i="41"/>
  <c r="R114" i="41"/>
  <c r="H65" i="41"/>
  <c r="O65" i="41"/>
  <c r="G65" i="41"/>
  <c r="L65" i="41"/>
  <c r="M65" i="41"/>
  <c r="N65" i="41"/>
  <c r="P65" i="41"/>
  <c r="H38" i="41"/>
  <c r="G38" i="41"/>
  <c r="N38" i="41"/>
  <c r="O38" i="41"/>
  <c r="J38" i="41"/>
  <c r="P38" i="41"/>
  <c r="Q38" i="41"/>
  <c r="R38" i="41"/>
  <c r="O129" i="40"/>
  <c r="Q124" i="40"/>
  <c r="O123" i="40"/>
  <c r="P122" i="40"/>
  <c r="S117" i="40"/>
  <c r="P116" i="40"/>
  <c r="Q113" i="40"/>
  <c r="H108" i="40"/>
  <c r="I108" i="40"/>
  <c r="N105" i="40"/>
  <c r="Q101" i="40"/>
  <c r="K98" i="40"/>
  <c r="N98" i="40"/>
  <c r="O98" i="40"/>
  <c r="L96" i="40"/>
  <c r="J89" i="40"/>
  <c r="S89" i="40"/>
  <c r="K89" i="40"/>
  <c r="O85" i="40"/>
  <c r="I74" i="40"/>
  <c r="R74" i="40"/>
  <c r="J74" i="40"/>
  <c r="P72" i="40"/>
  <c r="P66" i="40"/>
  <c r="R65" i="40"/>
  <c r="P64" i="40"/>
  <c r="I63" i="40"/>
  <c r="Q63" i="40"/>
  <c r="O57" i="40"/>
  <c r="O49" i="40"/>
  <c r="K43" i="40"/>
  <c r="L43" i="40"/>
  <c r="P40" i="40"/>
  <c r="S36" i="40"/>
  <c r="O23" i="40"/>
  <c r="R20" i="40"/>
  <c r="R202" i="41"/>
  <c r="S187" i="41"/>
  <c r="I187" i="41"/>
  <c r="H174" i="41"/>
  <c r="P174" i="41"/>
  <c r="Q174" i="41"/>
  <c r="R174" i="41"/>
  <c r="N165" i="41"/>
  <c r="O165" i="41"/>
  <c r="J153" i="41"/>
  <c r="L153" i="41"/>
  <c r="M153" i="41"/>
  <c r="N153" i="41"/>
  <c r="G153" i="41"/>
  <c r="P153" i="41"/>
  <c r="H109" i="41"/>
  <c r="N109" i="41"/>
  <c r="K72" i="41"/>
  <c r="L72" i="41"/>
  <c r="S72" i="41"/>
  <c r="R72" i="41"/>
  <c r="J72" i="41"/>
  <c r="H46" i="41"/>
  <c r="Q46" i="41"/>
  <c r="J46" i="41"/>
  <c r="I46" i="41"/>
  <c r="N46" i="41"/>
  <c r="O46" i="41"/>
  <c r="P46" i="41"/>
  <c r="Q170" i="41"/>
  <c r="H170" i="41"/>
  <c r="J166" i="41"/>
  <c r="S151" i="41"/>
  <c r="J151" i="41"/>
  <c r="K128" i="41"/>
  <c r="I125" i="41"/>
  <c r="H121" i="41"/>
  <c r="O118" i="41"/>
  <c r="P85" i="41"/>
  <c r="R83" i="41"/>
  <c r="H81" i="41"/>
  <c r="H78" i="41"/>
  <c r="Q78" i="41"/>
  <c r="J78" i="41"/>
  <c r="H63" i="41"/>
  <c r="P63" i="41"/>
  <c r="L63" i="41"/>
  <c r="L47" i="41"/>
  <c r="H47" i="41"/>
  <c r="P47" i="41"/>
  <c r="S179" i="42"/>
  <c r="J179" i="42"/>
  <c r="K179" i="42"/>
  <c r="M185" i="43"/>
  <c r="N185" i="43"/>
  <c r="P185" i="43"/>
  <c r="K185" i="43"/>
  <c r="J185" i="43"/>
  <c r="L185" i="43"/>
  <c r="G83" i="41"/>
  <c r="L83" i="41"/>
  <c r="H82" i="41"/>
  <c r="P82" i="41"/>
  <c r="K76" i="41"/>
  <c r="R76" i="41"/>
  <c r="J76" i="41"/>
  <c r="K67" i="41"/>
  <c r="S67" i="41"/>
  <c r="G67" i="41"/>
  <c r="O67" i="41"/>
  <c r="H57" i="41"/>
  <c r="M57" i="41"/>
  <c r="H50" i="41"/>
  <c r="I50" i="41"/>
  <c r="P50" i="41"/>
  <c r="K36" i="41"/>
  <c r="L36" i="41"/>
  <c r="M36" i="41"/>
  <c r="H34" i="41"/>
  <c r="P34" i="41"/>
  <c r="G34" i="41"/>
  <c r="I34" i="41"/>
  <c r="N67" i="42"/>
  <c r="O67" i="42"/>
  <c r="N170" i="41"/>
  <c r="P125" i="41"/>
  <c r="O83" i="41"/>
  <c r="R82" i="41"/>
  <c r="P67" i="41"/>
  <c r="G51" i="41"/>
  <c r="O51" i="41"/>
  <c r="K51" i="41"/>
  <c r="S51" i="41"/>
  <c r="I43" i="41"/>
  <c r="Q43" i="41"/>
  <c r="L43" i="41"/>
  <c r="M43" i="41"/>
  <c r="G103" i="40"/>
  <c r="O71" i="40"/>
  <c r="G54" i="40"/>
  <c r="H50" i="40"/>
  <c r="R35" i="40"/>
  <c r="L32" i="40"/>
  <c r="K29" i="40"/>
  <c r="H24" i="40"/>
  <c r="H22" i="40"/>
  <c r="J13" i="40"/>
  <c r="J8" i="40"/>
  <c r="K200" i="41"/>
  <c r="S198" i="41"/>
  <c r="H198" i="41"/>
  <c r="S192" i="41"/>
  <c r="G192" i="41"/>
  <c r="K183" i="41"/>
  <c r="L179" i="41"/>
  <c r="L175" i="41"/>
  <c r="M171" i="41"/>
  <c r="L170" i="41"/>
  <c r="Q166" i="41"/>
  <c r="L164" i="41"/>
  <c r="R162" i="41"/>
  <c r="G162" i="41"/>
  <c r="N151" i="41"/>
  <c r="R139" i="41"/>
  <c r="L136" i="41"/>
  <c r="S130" i="41"/>
  <c r="J130" i="41"/>
  <c r="O128" i="41"/>
  <c r="O125" i="41"/>
  <c r="N105" i="41"/>
  <c r="N98" i="41"/>
  <c r="N83" i="41"/>
  <c r="Q82" i="41"/>
  <c r="O78" i="41"/>
  <c r="H73" i="41"/>
  <c r="M73" i="41"/>
  <c r="H70" i="41"/>
  <c r="G70" i="41"/>
  <c r="O70" i="41"/>
  <c r="N67" i="41"/>
  <c r="K63" i="41"/>
  <c r="H61" i="41"/>
  <c r="L61" i="41"/>
  <c r="P61" i="41"/>
  <c r="M59" i="41"/>
  <c r="I59" i="41"/>
  <c r="Q59" i="41"/>
  <c r="H54" i="41"/>
  <c r="O54" i="41"/>
  <c r="G54" i="41"/>
  <c r="P51" i="41"/>
  <c r="R50" i="41"/>
  <c r="K47" i="41"/>
  <c r="H45" i="41"/>
  <c r="P45" i="41"/>
  <c r="L45" i="41"/>
  <c r="P43" i="41"/>
  <c r="K157" i="42"/>
  <c r="I157" i="42"/>
  <c r="J157" i="42"/>
  <c r="N157" i="42"/>
  <c r="O157" i="42"/>
  <c r="P157" i="42"/>
  <c r="H157" i="42"/>
  <c r="Q157" i="42"/>
  <c r="R157" i="42"/>
  <c r="K32" i="40"/>
  <c r="R10" i="40"/>
  <c r="S200" i="41"/>
  <c r="S183" i="41"/>
  <c r="K179" i="41"/>
  <c r="K175" i="41"/>
  <c r="K170" i="41"/>
  <c r="O166" i="41"/>
  <c r="K164" i="41"/>
  <c r="R130" i="41"/>
  <c r="I130" i="41"/>
  <c r="R127" i="41"/>
  <c r="N125" i="41"/>
  <c r="N107" i="41"/>
  <c r="L98" i="41"/>
  <c r="M83" i="41"/>
  <c r="O82" i="41"/>
  <c r="M81" i="41"/>
  <c r="N78" i="41"/>
  <c r="H77" i="41"/>
  <c r="P77" i="41"/>
  <c r="L77" i="41"/>
  <c r="I75" i="41"/>
  <c r="Q75" i="41"/>
  <c r="M75" i="41"/>
  <c r="N68" i="41"/>
  <c r="M67" i="41"/>
  <c r="J63" i="41"/>
  <c r="O59" i="41"/>
  <c r="P57" i="41"/>
  <c r="N51" i="41"/>
  <c r="Q50" i="41"/>
  <c r="J47" i="41"/>
  <c r="O43" i="41"/>
  <c r="K40" i="41"/>
  <c r="L40" i="41"/>
  <c r="R40" i="41"/>
  <c r="S40" i="41"/>
  <c r="R34" i="41"/>
  <c r="H31" i="41"/>
  <c r="P31" i="41"/>
  <c r="I31" i="41"/>
  <c r="Q31" i="41"/>
  <c r="K31" i="41"/>
  <c r="S31" i="41"/>
  <c r="L31" i="41"/>
  <c r="K23" i="41"/>
  <c r="S23" i="41"/>
  <c r="M23" i="41"/>
  <c r="G23" i="41"/>
  <c r="Q23" i="41"/>
  <c r="H23" i="41"/>
  <c r="R23" i="41"/>
  <c r="I23" i="41"/>
  <c r="J23" i="41"/>
  <c r="L23" i="41"/>
  <c r="N23" i="41"/>
  <c r="H87" i="42"/>
  <c r="N87" i="42"/>
  <c r="P87" i="42"/>
  <c r="J87" i="42"/>
  <c r="L87" i="42"/>
  <c r="N24" i="41"/>
  <c r="N18" i="41"/>
  <c r="H17" i="41"/>
  <c r="L17" i="41"/>
  <c r="N17" i="41"/>
  <c r="J198" i="42"/>
  <c r="R198" i="42"/>
  <c r="I198" i="42"/>
  <c r="S198" i="42"/>
  <c r="K198" i="42"/>
  <c r="L198" i="42"/>
  <c r="G173" i="42"/>
  <c r="H173" i="42"/>
  <c r="P173" i="42"/>
  <c r="N170" i="42"/>
  <c r="J104" i="42"/>
  <c r="R104" i="42"/>
  <c r="N104" i="42"/>
  <c r="Q71" i="42"/>
  <c r="I71" i="42"/>
  <c r="R71" i="42"/>
  <c r="M71" i="42"/>
  <c r="O71" i="42"/>
  <c r="S71" i="42"/>
  <c r="J54" i="42"/>
  <c r="R54" i="42"/>
  <c r="K54" i="42"/>
  <c r="S54" i="42"/>
  <c r="L54" i="42"/>
  <c r="H54" i="42"/>
  <c r="P54" i="42"/>
  <c r="G54" i="42"/>
  <c r="I54" i="42"/>
  <c r="M54" i="42"/>
  <c r="N54" i="42"/>
  <c r="Q54" i="42"/>
  <c r="G167" i="43"/>
  <c r="R167" i="43"/>
  <c r="H167" i="43"/>
  <c r="I167" i="43"/>
  <c r="J167" i="43"/>
  <c r="P167" i="43"/>
  <c r="O167" i="43"/>
  <c r="Q167" i="43"/>
  <c r="L167" i="43"/>
  <c r="G5" i="43"/>
  <c r="N5" i="43"/>
  <c r="P5" i="43"/>
  <c r="J5" i="43"/>
  <c r="H5" i="43"/>
  <c r="L5" i="43"/>
  <c r="R5" i="43"/>
  <c r="N185" i="44"/>
  <c r="O185" i="44"/>
  <c r="P185" i="44"/>
  <c r="S185" i="44"/>
  <c r="G81" i="44"/>
  <c r="J81" i="44"/>
  <c r="R81" i="44"/>
  <c r="K81" i="44"/>
  <c r="S81" i="44"/>
  <c r="H81" i="44"/>
  <c r="P81" i="44"/>
  <c r="I81" i="44"/>
  <c r="L81" i="44"/>
  <c r="M81" i="44"/>
  <c r="N81" i="44"/>
  <c r="O81" i="44"/>
  <c r="Q81" i="44"/>
  <c r="N80" i="41"/>
  <c r="R71" i="41"/>
  <c r="N69" i="41"/>
  <c r="N58" i="41"/>
  <c r="N48" i="41"/>
  <c r="J44" i="41"/>
  <c r="R39" i="41"/>
  <c r="N37" i="41"/>
  <c r="O35" i="41"/>
  <c r="G35" i="41"/>
  <c r="M24" i="41"/>
  <c r="K19" i="41"/>
  <c r="I18" i="41"/>
  <c r="H9" i="41"/>
  <c r="N7" i="41"/>
  <c r="R7" i="41"/>
  <c r="Q198" i="42"/>
  <c r="M170" i="42"/>
  <c r="K145" i="42"/>
  <c r="G145" i="42"/>
  <c r="R145" i="42"/>
  <c r="H145" i="42"/>
  <c r="P145" i="42"/>
  <c r="N145" i="42"/>
  <c r="O145" i="42"/>
  <c r="Q145" i="42"/>
  <c r="K141" i="42"/>
  <c r="N141" i="42"/>
  <c r="O141" i="42"/>
  <c r="I141" i="42"/>
  <c r="Q141" i="42"/>
  <c r="R141" i="42"/>
  <c r="I129" i="42"/>
  <c r="H93" i="42"/>
  <c r="N93" i="42"/>
  <c r="J93" i="42"/>
  <c r="N82" i="42"/>
  <c r="J82" i="42"/>
  <c r="G59" i="42"/>
  <c r="N59" i="42"/>
  <c r="O59" i="42"/>
  <c r="S59" i="42"/>
  <c r="L59" i="42"/>
  <c r="J59" i="42"/>
  <c r="K59" i="42"/>
  <c r="M59" i="42"/>
  <c r="P180" i="43"/>
  <c r="P98" i="43"/>
  <c r="M98" i="43"/>
  <c r="N98" i="43"/>
  <c r="O98" i="43"/>
  <c r="R98" i="43"/>
  <c r="G98" i="43"/>
  <c r="H98" i="43"/>
  <c r="K20" i="41"/>
  <c r="N20" i="41"/>
  <c r="S20" i="41"/>
  <c r="H15" i="41"/>
  <c r="J15" i="41"/>
  <c r="J13" i="41"/>
  <c r="N13" i="41"/>
  <c r="N6" i="41"/>
  <c r="K203" i="42"/>
  <c r="P198" i="42"/>
  <c r="L194" i="42"/>
  <c r="I194" i="42"/>
  <c r="R194" i="42"/>
  <c r="J194" i="42"/>
  <c r="S194" i="42"/>
  <c r="K194" i="42"/>
  <c r="J186" i="42"/>
  <c r="R186" i="42"/>
  <c r="K186" i="42"/>
  <c r="L186" i="42"/>
  <c r="M186" i="42"/>
  <c r="P176" i="42"/>
  <c r="K163" i="42"/>
  <c r="M163" i="42"/>
  <c r="G158" i="42"/>
  <c r="O158" i="42"/>
  <c r="H158" i="42"/>
  <c r="P158" i="42"/>
  <c r="K158" i="42"/>
  <c r="L158" i="42"/>
  <c r="M158" i="42"/>
  <c r="G144" i="42"/>
  <c r="J120" i="42"/>
  <c r="K120" i="42"/>
  <c r="G120" i="42"/>
  <c r="P120" i="42"/>
  <c r="R120" i="42"/>
  <c r="S120" i="42"/>
  <c r="O75" i="42"/>
  <c r="I75" i="42"/>
  <c r="J75" i="42"/>
  <c r="G171" i="43"/>
  <c r="I171" i="43"/>
  <c r="J171" i="43"/>
  <c r="O171" i="43"/>
  <c r="P171" i="43"/>
  <c r="Q171" i="43"/>
  <c r="R171" i="43"/>
  <c r="P26" i="43"/>
  <c r="R26" i="43"/>
  <c r="J26" i="43"/>
  <c r="O26" i="43"/>
  <c r="S26" i="43"/>
  <c r="G26" i="43"/>
  <c r="H26" i="43"/>
  <c r="K24" i="41"/>
  <c r="J24" i="41"/>
  <c r="H18" i="41"/>
  <c r="J18" i="41"/>
  <c r="O18" i="41"/>
  <c r="M159" i="42"/>
  <c r="N159" i="42"/>
  <c r="K159" i="42"/>
  <c r="L159" i="42"/>
  <c r="K129" i="42"/>
  <c r="O129" i="42"/>
  <c r="P129" i="42"/>
  <c r="J129" i="42"/>
  <c r="Q129" i="42"/>
  <c r="R129" i="42"/>
  <c r="G129" i="42"/>
  <c r="H78" i="42"/>
  <c r="J78" i="42"/>
  <c r="M180" i="43"/>
  <c r="J180" i="43"/>
  <c r="K180" i="43"/>
  <c r="L180" i="43"/>
  <c r="O180" i="43"/>
  <c r="H180" i="43"/>
  <c r="R180" i="43"/>
  <c r="Q180" i="43"/>
  <c r="S180" i="43"/>
  <c r="G180" i="43"/>
  <c r="M144" i="43"/>
  <c r="J144" i="43"/>
  <c r="S144" i="43"/>
  <c r="K144" i="43"/>
  <c r="L144" i="43"/>
  <c r="N144" i="43"/>
  <c r="H144" i="43"/>
  <c r="Q144" i="43"/>
  <c r="I144" i="43"/>
  <c r="O144" i="43"/>
  <c r="P144" i="43"/>
  <c r="R144" i="43"/>
  <c r="G144" i="43"/>
  <c r="G59" i="43"/>
  <c r="J59" i="43"/>
  <c r="L59" i="43"/>
  <c r="H59" i="43"/>
  <c r="R59" i="43"/>
  <c r="N59" i="43"/>
  <c r="O59" i="43"/>
  <c r="Q59" i="43"/>
  <c r="I59" i="43"/>
  <c r="M59" i="43"/>
  <c r="H19" i="41"/>
  <c r="P19" i="41"/>
  <c r="J19" i="41"/>
  <c r="R19" i="41"/>
  <c r="P17" i="41"/>
  <c r="N198" i="42"/>
  <c r="H170" i="42"/>
  <c r="P170" i="42"/>
  <c r="I170" i="42"/>
  <c r="R170" i="42"/>
  <c r="J170" i="42"/>
  <c r="S170" i="42"/>
  <c r="K170" i="42"/>
  <c r="M136" i="42"/>
  <c r="N136" i="42"/>
  <c r="J8" i="42"/>
  <c r="N8" i="42"/>
  <c r="K189" i="43"/>
  <c r="L189" i="43"/>
  <c r="M189" i="43"/>
  <c r="N189" i="43"/>
  <c r="I189" i="43"/>
  <c r="R189" i="43"/>
  <c r="H189" i="43"/>
  <c r="J189" i="43"/>
  <c r="P189" i="43"/>
  <c r="Q189" i="43"/>
  <c r="H173" i="43"/>
  <c r="P173" i="43"/>
  <c r="Q173" i="43"/>
  <c r="R173" i="43"/>
  <c r="S173" i="43"/>
  <c r="J173" i="43"/>
  <c r="N173" i="43"/>
  <c r="R44" i="41"/>
  <c r="S35" i="41"/>
  <c r="O33" i="41"/>
  <c r="H29" i="41"/>
  <c r="O29" i="41"/>
  <c r="H21" i="41"/>
  <c r="O21" i="41"/>
  <c r="O19" i="41"/>
  <c r="R18" i="41"/>
  <c r="O17" i="41"/>
  <c r="K16" i="41"/>
  <c r="J16" i="41"/>
  <c r="M16" i="41"/>
  <c r="H14" i="41"/>
  <c r="R14" i="41"/>
  <c r="P5" i="41"/>
  <c r="R5" i="41"/>
  <c r="M198" i="42"/>
  <c r="O194" i="42"/>
  <c r="G192" i="42"/>
  <c r="H192" i="42"/>
  <c r="P192" i="42"/>
  <c r="G189" i="42"/>
  <c r="Q189" i="42"/>
  <c r="R189" i="42"/>
  <c r="O186" i="42"/>
  <c r="G174" i="42"/>
  <c r="O174" i="42"/>
  <c r="J174" i="42"/>
  <c r="S174" i="42"/>
  <c r="K174" i="42"/>
  <c r="L174" i="42"/>
  <c r="R158" i="42"/>
  <c r="L154" i="42"/>
  <c r="M154" i="42"/>
  <c r="J154" i="42"/>
  <c r="K154" i="42"/>
  <c r="N154" i="42"/>
  <c r="H123" i="42"/>
  <c r="P123" i="42"/>
  <c r="S123" i="42"/>
  <c r="M123" i="42"/>
  <c r="L123" i="42"/>
  <c r="N123" i="42"/>
  <c r="M112" i="42"/>
  <c r="N112" i="42"/>
  <c r="K112" i="42"/>
  <c r="O112" i="42"/>
  <c r="P112" i="42"/>
  <c r="R112" i="42"/>
  <c r="G112" i="42"/>
  <c r="L39" i="42"/>
  <c r="M39" i="42"/>
  <c r="N39" i="42"/>
  <c r="J39" i="42"/>
  <c r="S39" i="42"/>
  <c r="G39" i="42"/>
  <c r="I39" i="42"/>
  <c r="K39" i="42"/>
  <c r="O39" i="42"/>
  <c r="R39" i="42"/>
  <c r="H10" i="42"/>
  <c r="J10" i="42"/>
  <c r="N10" i="42"/>
  <c r="R10" i="42"/>
  <c r="N147" i="43"/>
  <c r="O147" i="43"/>
  <c r="P147" i="43"/>
  <c r="Q147" i="43"/>
  <c r="H147" i="43"/>
  <c r="G135" i="43"/>
  <c r="R135" i="43"/>
  <c r="H135" i="43"/>
  <c r="I135" i="43"/>
  <c r="J135" i="43"/>
  <c r="P135" i="43"/>
  <c r="P121" i="43"/>
  <c r="L121" i="43"/>
  <c r="G72" i="43"/>
  <c r="J72" i="43"/>
  <c r="P72" i="43"/>
  <c r="Q72" i="43"/>
  <c r="M63" i="43"/>
  <c r="N63" i="43"/>
  <c r="J63" i="43"/>
  <c r="G63" i="43"/>
  <c r="H63" i="43"/>
  <c r="I63" i="43"/>
  <c r="L63" i="43"/>
  <c r="Q63" i="43"/>
  <c r="G30" i="43"/>
  <c r="H30" i="43"/>
  <c r="J30" i="43"/>
  <c r="P30" i="43"/>
  <c r="L30" i="43"/>
  <c r="M30" i="43"/>
  <c r="N30" i="43"/>
  <c r="O30" i="43"/>
  <c r="S30" i="43"/>
  <c r="G14" i="43"/>
  <c r="P14" i="43"/>
  <c r="H14" i="43"/>
  <c r="R14" i="43"/>
  <c r="N14" i="43"/>
  <c r="L14" i="43"/>
  <c r="M14" i="43"/>
  <c r="O14" i="43"/>
  <c r="S14" i="43"/>
  <c r="J14" i="43"/>
  <c r="H186" i="44"/>
  <c r="O186" i="44"/>
  <c r="Q186" i="44"/>
  <c r="R186" i="44"/>
  <c r="L186" i="44"/>
  <c r="J186" i="44"/>
  <c r="N186" i="44"/>
  <c r="I69" i="44"/>
  <c r="Q69" i="44"/>
  <c r="J69" i="44"/>
  <c r="R69" i="44"/>
  <c r="G69" i="44"/>
  <c r="O69" i="44"/>
  <c r="M69" i="44"/>
  <c r="N69" i="44"/>
  <c r="P69" i="44"/>
  <c r="S69" i="44"/>
  <c r="K69" i="44"/>
  <c r="H69" i="44"/>
  <c r="L62" i="44"/>
  <c r="O62" i="44"/>
  <c r="R62" i="44"/>
  <c r="I16" i="46"/>
  <c r="Q16" i="46"/>
  <c r="J16" i="46"/>
  <c r="R16" i="46"/>
  <c r="K16" i="46"/>
  <c r="S16" i="46"/>
  <c r="G16" i="46"/>
  <c r="O16" i="46"/>
  <c r="H16" i="46"/>
  <c r="L16" i="46"/>
  <c r="M16" i="46"/>
  <c r="N16" i="46"/>
  <c r="P16" i="46"/>
  <c r="H6" i="46"/>
  <c r="J6" i="46"/>
  <c r="G66" i="42"/>
  <c r="O66" i="42"/>
  <c r="H66" i="42"/>
  <c r="P66" i="42"/>
  <c r="M66" i="42"/>
  <c r="G63" i="42"/>
  <c r="I63" i="42"/>
  <c r="R63" i="42"/>
  <c r="G24" i="42"/>
  <c r="P24" i="42"/>
  <c r="Q24" i="42"/>
  <c r="N24" i="42"/>
  <c r="G193" i="43"/>
  <c r="J193" i="43"/>
  <c r="S193" i="43"/>
  <c r="K193" i="43"/>
  <c r="L193" i="43"/>
  <c r="M193" i="43"/>
  <c r="H193" i="43"/>
  <c r="Q193" i="43"/>
  <c r="I188" i="43"/>
  <c r="Q188" i="43"/>
  <c r="R188" i="43"/>
  <c r="S188" i="43"/>
  <c r="G188" i="43"/>
  <c r="S154" i="43"/>
  <c r="P154" i="43"/>
  <c r="M152" i="43"/>
  <c r="I152" i="43"/>
  <c r="J152" i="43"/>
  <c r="K152" i="43"/>
  <c r="O152" i="43"/>
  <c r="G152" i="43"/>
  <c r="R152" i="43"/>
  <c r="O124" i="43"/>
  <c r="P124" i="43"/>
  <c r="R124" i="43"/>
  <c r="I124" i="43"/>
  <c r="N75" i="43"/>
  <c r="O75" i="43"/>
  <c r="G75" i="43"/>
  <c r="Q75" i="43"/>
  <c r="H75" i="43"/>
  <c r="L29" i="43"/>
  <c r="M29" i="43"/>
  <c r="J29" i="43"/>
  <c r="S29" i="43"/>
  <c r="H29" i="43"/>
  <c r="I29" i="43"/>
  <c r="K29" i="43"/>
  <c r="N29" i="43"/>
  <c r="P29" i="43"/>
  <c r="R29" i="43"/>
  <c r="P17" i="43"/>
  <c r="Q17" i="43"/>
  <c r="I17" i="43"/>
  <c r="H17" i="43"/>
  <c r="K17" i="43"/>
  <c r="L167" i="45"/>
  <c r="M167" i="45"/>
  <c r="N167" i="45"/>
  <c r="Q167" i="45"/>
  <c r="J167" i="45"/>
  <c r="S167" i="45"/>
  <c r="K167" i="45"/>
  <c r="I167" i="45"/>
  <c r="H56" i="46"/>
  <c r="P56" i="46"/>
  <c r="I56" i="46"/>
  <c r="Q56" i="46"/>
  <c r="M56" i="46"/>
  <c r="L56" i="46"/>
  <c r="N56" i="46"/>
  <c r="O56" i="46"/>
  <c r="R56" i="46"/>
  <c r="J56" i="46"/>
  <c r="K56" i="46"/>
  <c r="G56" i="46"/>
  <c r="S56" i="46"/>
  <c r="N143" i="43"/>
  <c r="O143" i="43"/>
  <c r="Q143" i="43"/>
  <c r="R143" i="43"/>
  <c r="H143" i="43"/>
  <c r="N128" i="43"/>
  <c r="H115" i="43"/>
  <c r="N115" i="43"/>
  <c r="O115" i="43"/>
  <c r="P115" i="43"/>
  <c r="Q115" i="43"/>
  <c r="G115" i="43"/>
  <c r="R101" i="43"/>
  <c r="K97" i="43"/>
  <c r="Q93" i="43"/>
  <c r="O68" i="43"/>
  <c r="O52" i="43"/>
  <c r="R52" i="43"/>
  <c r="I52" i="43"/>
  <c r="J52" i="43"/>
  <c r="S52" i="43"/>
  <c r="G52" i="43"/>
  <c r="R104" i="44"/>
  <c r="N104" i="44"/>
  <c r="L25" i="41"/>
  <c r="P197" i="42"/>
  <c r="I190" i="42"/>
  <c r="Q190" i="42"/>
  <c r="P184" i="42"/>
  <c r="Q178" i="42"/>
  <c r="P168" i="42"/>
  <c r="G166" i="42"/>
  <c r="O166" i="42"/>
  <c r="R162" i="42"/>
  <c r="K150" i="42"/>
  <c r="S150" i="42"/>
  <c r="L150" i="42"/>
  <c r="I142" i="42"/>
  <c r="Q142" i="42"/>
  <c r="J142" i="42"/>
  <c r="R142" i="42"/>
  <c r="G142" i="42"/>
  <c r="O142" i="42"/>
  <c r="S138" i="42"/>
  <c r="K134" i="42"/>
  <c r="S134" i="42"/>
  <c r="L134" i="42"/>
  <c r="I134" i="42"/>
  <c r="Q134" i="42"/>
  <c r="J130" i="42"/>
  <c r="R130" i="42"/>
  <c r="K130" i="42"/>
  <c r="S130" i="42"/>
  <c r="H130" i="42"/>
  <c r="P130" i="42"/>
  <c r="N128" i="42"/>
  <c r="I114" i="42"/>
  <c r="L108" i="42"/>
  <c r="H108" i="42"/>
  <c r="N101" i="42"/>
  <c r="R101" i="42"/>
  <c r="G72" i="42"/>
  <c r="Q72" i="42"/>
  <c r="O72" i="42"/>
  <c r="G69" i="42"/>
  <c r="P69" i="42"/>
  <c r="N69" i="42"/>
  <c r="Q66" i="42"/>
  <c r="L58" i="42"/>
  <c r="M52" i="42"/>
  <c r="Q43" i="42"/>
  <c r="L38" i="42"/>
  <c r="N31" i="42"/>
  <c r="G21" i="42"/>
  <c r="R21" i="42"/>
  <c r="H21" i="42"/>
  <c r="S21" i="42"/>
  <c r="I21" i="42"/>
  <c r="J21" i="42"/>
  <c r="P21" i="42"/>
  <c r="H15" i="42"/>
  <c r="J15" i="42"/>
  <c r="L15" i="42"/>
  <c r="N15" i="42"/>
  <c r="J200" i="43"/>
  <c r="K200" i="43"/>
  <c r="N200" i="43"/>
  <c r="O200" i="43"/>
  <c r="H200" i="43"/>
  <c r="R200" i="43"/>
  <c r="G191" i="43"/>
  <c r="P191" i="43"/>
  <c r="H191" i="43"/>
  <c r="Q191" i="43"/>
  <c r="I191" i="43"/>
  <c r="R191" i="43"/>
  <c r="J191" i="43"/>
  <c r="N191" i="43"/>
  <c r="J174" i="43"/>
  <c r="P161" i="43"/>
  <c r="H117" i="43"/>
  <c r="M117" i="43"/>
  <c r="P117" i="43"/>
  <c r="Q117" i="43"/>
  <c r="P113" i="43"/>
  <c r="N113" i="43"/>
  <c r="Q113" i="43"/>
  <c r="R113" i="43"/>
  <c r="I113" i="43"/>
  <c r="K106" i="43"/>
  <c r="N106" i="43"/>
  <c r="K93" i="43"/>
  <c r="G85" i="43"/>
  <c r="K85" i="43"/>
  <c r="L85" i="43"/>
  <c r="M85" i="43"/>
  <c r="N85" i="43"/>
  <c r="P85" i="43"/>
  <c r="Q85" i="43"/>
  <c r="I85" i="43"/>
  <c r="J61" i="43"/>
  <c r="S61" i="43"/>
  <c r="K61" i="43"/>
  <c r="H61" i="43"/>
  <c r="Q61" i="43"/>
  <c r="I61" i="43"/>
  <c r="L61" i="43"/>
  <c r="M61" i="43"/>
  <c r="N61" i="43"/>
  <c r="G47" i="43"/>
  <c r="L47" i="43"/>
  <c r="M47" i="43"/>
  <c r="N47" i="43"/>
  <c r="O47" i="43"/>
  <c r="P47" i="43"/>
  <c r="M16" i="43"/>
  <c r="G16" i="43"/>
  <c r="P16" i="43"/>
  <c r="H16" i="43"/>
  <c r="Q16" i="43"/>
  <c r="N16" i="43"/>
  <c r="I16" i="43"/>
  <c r="J16" i="43"/>
  <c r="K16" i="43"/>
  <c r="L16" i="43"/>
  <c r="O16" i="43"/>
  <c r="S16" i="43"/>
  <c r="G46" i="44"/>
  <c r="L46" i="44"/>
  <c r="H178" i="42"/>
  <c r="P178" i="42"/>
  <c r="K165" i="42"/>
  <c r="I165" i="42"/>
  <c r="K147" i="42"/>
  <c r="M147" i="42"/>
  <c r="L138" i="42"/>
  <c r="M138" i="42"/>
  <c r="J138" i="42"/>
  <c r="R138" i="42"/>
  <c r="M116" i="42"/>
  <c r="O116" i="42"/>
  <c r="K116" i="42"/>
  <c r="S110" i="42"/>
  <c r="R106" i="42"/>
  <c r="N106" i="42"/>
  <c r="R96" i="42"/>
  <c r="P96" i="42"/>
  <c r="H83" i="42"/>
  <c r="R83" i="42"/>
  <c r="N66" i="42"/>
  <c r="S63" i="42"/>
  <c r="G56" i="42"/>
  <c r="P56" i="42"/>
  <c r="H56" i="42"/>
  <c r="Q56" i="42"/>
  <c r="I56" i="42"/>
  <c r="S56" i="42"/>
  <c r="N56" i="42"/>
  <c r="G52" i="42"/>
  <c r="J43" i="42"/>
  <c r="I42" i="42"/>
  <c r="Q42" i="42"/>
  <c r="J42" i="42"/>
  <c r="R42" i="42"/>
  <c r="K42" i="42"/>
  <c r="S42" i="42"/>
  <c r="G42" i="42"/>
  <c r="O42" i="42"/>
  <c r="G33" i="42"/>
  <c r="S33" i="42"/>
  <c r="Q33" i="42"/>
  <c r="L31" i="42"/>
  <c r="I30" i="42"/>
  <c r="Q30" i="42"/>
  <c r="J30" i="42"/>
  <c r="R30" i="42"/>
  <c r="K30" i="42"/>
  <c r="S30" i="42"/>
  <c r="G30" i="42"/>
  <c r="O30" i="42"/>
  <c r="G203" i="43"/>
  <c r="Q203" i="43"/>
  <c r="O203" i="43"/>
  <c r="M199" i="43"/>
  <c r="N199" i="43"/>
  <c r="O199" i="43"/>
  <c r="P199" i="43"/>
  <c r="I196" i="43"/>
  <c r="J196" i="43"/>
  <c r="P196" i="43"/>
  <c r="Q196" i="43"/>
  <c r="G196" i="43"/>
  <c r="G179" i="43"/>
  <c r="N179" i="43"/>
  <c r="O179" i="43"/>
  <c r="P179" i="43"/>
  <c r="Q179" i="43"/>
  <c r="L179" i="43"/>
  <c r="J158" i="43"/>
  <c r="M148" i="43"/>
  <c r="J148" i="43"/>
  <c r="K148" i="43"/>
  <c r="L148" i="43"/>
  <c r="O148" i="43"/>
  <c r="H148" i="43"/>
  <c r="R148" i="43"/>
  <c r="Q135" i="43"/>
  <c r="O128" i="43"/>
  <c r="Q128" i="43"/>
  <c r="R128" i="43"/>
  <c r="I128" i="43"/>
  <c r="G119" i="43"/>
  <c r="P119" i="43"/>
  <c r="M119" i="43"/>
  <c r="J101" i="43"/>
  <c r="K101" i="43"/>
  <c r="L101" i="43"/>
  <c r="P101" i="43"/>
  <c r="Q101" i="43"/>
  <c r="H101" i="43"/>
  <c r="H97" i="43"/>
  <c r="R97" i="43"/>
  <c r="L97" i="43"/>
  <c r="M97" i="43"/>
  <c r="P97" i="43"/>
  <c r="Q97" i="43"/>
  <c r="J97" i="43"/>
  <c r="J68" i="43"/>
  <c r="N68" i="43"/>
  <c r="H68" i="43"/>
  <c r="Q68" i="43"/>
  <c r="R68" i="43"/>
  <c r="I68" i="43"/>
  <c r="R63" i="43"/>
  <c r="L87" i="44"/>
  <c r="R87" i="44"/>
  <c r="G200" i="45"/>
  <c r="O200" i="45"/>
  <c r="H200" i="45"/>
  <c r="P200" i="45"/>
  <c r="I200" i="45"/>
  <c r="Q200" i="45"/>
  <c r="J200" i="45"/>
  <c r="R200" i="45"/>
  <c r="M200" i="45"/>
  <c r="N200" i="45"/>
  <c r="S200" i="45"/>
  <c r="K200" i="45"/>
  <c r="L200" i="45"/>
  <c r="N178" i="42"/>
  <c r="Q165" i="42"/>
  <c r="L162" i="42"/>
  <c r="M162" i="42"/>
  <c r="G128" i="42"/>
  <c r="O128" i="42"/>
  <c r="P128" i="42"/>
  <c r="M128" i="42"/>
  <c r="M114" i="42"/>
  <c r="J114" i="42"/>
  <c r="S114" i="42"/>
  <c r="K114" i="42"/>
  <c r="H114" i="42"/>
  <c r="Q114" i="42"/>
  <c r="H91" i="42"/>
  <c r="J91" i="42"/>
  <c r="N91" i="42"/>
  <c r="H89" i="42"/>
  <c r="J89" i="42"/>
  <c r="L66" i="42"/>
  <c r="Q63" i="42"/>
  <c r="I58" i="42"/>
  <c r="Q58" i="42"/>
  <c r="J58" i="42"/>
  <c r="R58" i="42"/>
  <c r="K58" i="42"/>
  <c r="S58" i="42"/>
  <c r="G58" i="42"/>
  <c r="O58" i="42"/>
  <c r="I38" i="42"/>
  <c r="Q38" i="42"/>
  <c r="J38" i="42"/>
  <c r="R38" i="42"/>
  <c r="K38" i="42"/>
  <c r="S38" i="42"/>
  <c r="G38" i="42"/>
  <c r="O38" i="42"/>
  <c r="O29" i="42"/>
  <c r="R193" i="43"/>
  <c r="H177" i="43"/>
  <c r="L177" i="43"/>
  <c r="R177" i="43"/>
  <c r="K174" i="43"/>
  <c r="L174" i="43"/>
  <c r="M174" i="43"/>
  <c r="N174" i="43"/>
  <c r="H174" i="43"/>
  <c r="R174" i="43"/>
  <c r="J161" i="43"/>
  <c r="K161" i="43"/>
  <c r="L161" i="43"/>
  <c r="M161" i="43"/>
  <c r="H161" i="43"/>
  <c r="R161" i="43"/>
  <c r="S152" i="43"/>
  <c r="M147" i="43"/>
  <c r="O135" i="43"/>
  <c r="N121" i="43"/>
  <c r="Q105" i="43"/>
  <c r="H105" i="43"/>
  <c r="J105" i="43"/>
  <c r="K105" i="43"/>
  <c r="P105" i="43"/>
  <c r="J93" i="43"/>
  <c r="S93" i="43"/>
  <c r="L93" i="43"/>
  <c r="M93" i="43"/>
  <c r="N93" i="43"/>
  <c r="P93" i="43"/>
  <c r="I93" i="43"/>
  <c r="P63" i="43"/>
  <c r="N7" i="43"/>
  <c r="P7" i="43"/>
  <c r="H7" i="43"/>
  <c r="L7" i="43"/>
  <c r="G43" i="42"/>
  <c r="R43" i="42"/>
  <c r="S43" i="42"/>
  <c r="O43" i="42"/>
  <c r="G31" i="42"/>
  <c r="O31" i="42"/>
  <c r="R31" i="42"/>
  <c r="M31" i="42"/>
  <c r="J198" i="43"/>
  <c r="O198" i="43"/>
  <c r="N158" i="43"/>
  <c r="S158" i="43"/>
  <c r="H158" i="43"/>
  <c r="G147" i="43"/>
  <c r="L135" i="43"/>
  <c r="K121" i="43"/>
  <c r="P109" i="43"/>
  <c r="R109" i="43"/>
  <c r="S109" i="43"/>
  <c r="J109" i="43"/>
  <c r="M99" i="43"/>
  <c r="J99" i="43"/>
  <c r="L99" i="43"/>
  <c r="O99" i="43"/>
  <c r="P99" i="43"/>
  <c r="H99" i="43"/>
  <c r="S72" i="43"/>
  <c r="J65" i="43"/>
  <c r="K65" i="43"/>
  <c r="H65" i="43"/>
  <c r="Q65" i="43"/>
  <c r="R65" i="43"/>
  <c r="S65" i="43"/>
  <c r="I65" i="43"/>
  <c r="O63" i="43"/>
  <c r="L46" i="43"/>
  <c r="M46" i="43"/>
  <c r="J46" i="43"/>
  <c r="S46" i="43"/>
  <c r="G46" i="43"/>
  <c r="H46" i="43"/>
  <c r="K46" i="43"/>
  <c r="N46" i="43"/>
  <c r="R46" i="43"/>
  <c r="Q33" i="43"/>
  <c r="R33" i="43"/>
  <c r="J33" i="43"/>
  <c r="K33" i="43"/>
  <c r="S33" i="43"/>
  <c r="H33" i="43"/>
  <c r="K14" i="43"/>
  <c r="H169" i="44"/>
  <c r="Q169" i="44"/>
  <c r="I169" i="44"/>
  <c r="R169" i="44"/>
  <c r="J169" i="44"/>
  <c r="S169" i="44"/>
  <c r="K169" i="44"/>
  <c r="N169" i="44"/>
  <c r="L169" i="44"/>
  <c r="M169" i="44"/>
  <c r="P169" i="44"/>
  <c r="P72" i="44"/>
  <c r="Q72" i="44"/>
  <c r="L69" i="44"/>
  <c r="I53" i="44"/>
  <c r="Q53" i="44"/>
  <c r="J53" i="44"/>
  <c r="R53" i="44"/>
  <c r="G53" i="44"/>
  <c r="O53" i="44"/>
  <c r="H53" i="44"/>
  <c r="K53" i="44"/>
  <c r="L53" i="44"/>
  <c r="M53" i="44"/>
  <c r="S53" i="44"/>
  <c r="N53" i="44"/>
  <c r="R50" i="42"/>
  <c r="J50" i="42"/>
  <c r="P45" i="42"/>
  <c r="M44" i="42"/>
  <c r="L32" i="42"/>
  <c r="R26" i="42"/>
  <c r="J26" i="42"/>
  <c r="N25" i="42"/>
  <c r="R22" i="42"/>
  <c r="J22" i="42"/>
  <c r="I195" i="43"/>
  <c r="I192" i="43"/>
  <c r="J186" i="43"/>
  <c r="K178" i="43"/>
  <c r="S176" i="43"/>
  <c r="J176" i="43"/>
  <c r="J163" i="43"/>
  <c r="J159" i="43"/>
  <c r="P134" i="43"/>
  <c r="J129" i="43"/>
  <c r="S125" i="43"/>
  <c r="J125" i="43"/>
  <c r="J118" i="43"/>
  <c r="J114" i="43"/>
  <c r="O104" i="43"/>
  <c r="L103" i="43"/>
  <c r="M100" i="43"/>
  <c r="L100" i="43"/>
  <c r="O90" i="43"/>
  <c r="O83" i="43"/>
  <c r="P83" i="43"/>
  <c r="P56" i="43"/>
  <c r="Q56" i="43"/>
  <c r="G56" i="43"/>
  <c r="G35" i="43"/>
  <c r="P35" i="43"/>
  <c r="M35" i="43"/>
  <c r="Q15" i="43"/>
  <c r="H192" i="44"/>
  <c r="I192" i="44"/>
  <c r="J192" i="44"/>
  <c r="M188" i="44"/>
  <c r="N188" i="44"/>
  <c r="P188" i="44"/>
  <c r="J188" i="44"/>
  <c r="J176" i="44"/>
  <c r="L176" i="44"/>
  <c r="N176" i="44"/>
  <c r="G176" i="44"/>
  <c r="S176" i="44"/>
  <c r="H161" i="44"/>
  <c r="J161" i="44"/>
  <c r="L161" i="44"/>
  <c r="M161" i="44"/>
  <c r="S161" i="44"/>
  <c r="Q155" i="44"/>
  <c r="P155" i="44"/>
  <c r="N155" i="44"/>
  <c r="G78" i="44"/>
  <c r="K78" i="44"/>
  <c r="Q78" i="44"/>
  <c r="N78" i="44"/>
  <c r="R9" i="44"/>
  <c r="L9" i="44"/>
  <c r="G5" i="44"/>
  <c r="H5" i="44"/>
  <c r="J5" i="44"/>
  <c r="L5" i="44"/>
  <c r="N5" i="44"/>
  <c r="R5" i="44"/>
  <c r="G196" i="45"/>
  <c r="O196" i="45"/>
  <c r="H196" i="45"/>
  <c r="P196" i="45"/>
  <c r="I196" i="45"/>
  <c r="Q196" i="45"/>
  <c r="J196" i="45"/>
  <c r="R196" i="45"/>
  <c r="M196" i="45"/>
  <c r="S196" i="45"/>
  <c r="L196" i="45"/>
  <c r="L71" i="45"/>
  <c r="M71" i="45"/>
  <c r="G71" i="45"/>
  <c r="O71" i="45"/>
  <c r="J71" i="45"/>
  <c r="R71" i="45"/>
  <c r="H71" i="45"/>
  <c r="I71" i="45"/>
  <c r="K71" i="45"/>
  <c r="N71" i="45"/>
  <c r="S71" i="45"/>
  <c r="P71" i="45"/>
  <c r="Q71" i="45"/>
  <c r="H41" i="43"/>
  <c r="I41" i="43"/>
  <c r="J41" i="43"/>
  <c r="Q41" i="43"/>
  <c r="J116" i="44"/>
  <c r="Q116" i="44"/>
  <c r="J94" i="44"/>
  <c r="H94" i="44"/>
  <c r="L94" i="44"/>
  <c r="G68" i="44"/>
  <c r="K68" i="44"/>
  <c r="N68" i="44"/>
  <c r="H68" i="44"/>
  <c r="J68" i="44"/>
  <c r="O68" i="44"/>
  <c r="P68" i="44"/>
  <c r="R68" i="44"/>
  <c r="J56" i="44"/>
  <c r="P56" i="44"/>
  <c r="Q56" i="44"/>
  <c r="N56" i="44"/>
  <c r="G56" i="44"/>
  <c r="N50" i="44"/>
  <c r="R50" i="44"/>
  <c r="J50" i="44"/>
  <c r="K50" i="44"/>
  <c r="G34" i="44"/>
  <c r="R34" i="44"/>
  <c r="K34" i="44"/>
  <c r="J34" i="44"/>
  <c r="G88" i="45"/>
  <c r="N88" i="45"/>
  <c r="S88" i="45"/>
  <c r="K88" i="45"/>
  <c r="J88" i="45"/>
  <c r="L88" i="45"/>
  <c r="M88" i="45"/>
  <c r="R88" i="45"/>
  <c r="J44" i="46"/>
  <c r="R44" i="46"/>
  <c r="K44" i="46"/>
  <c r="S44" i="46"/>
  <c r="G44" i="46"/>
  <c r="O44" i="46"/>
  <c r="M44" i="46"/>
  <c r="N44" i="46"/>
  <c r="P44" i="46"/>
  <c r="Q44" i="46"/>
  <c r="I44" i="46"/>
  <c r="H44" i="46"/>
  <c r="L44" i="46"/>
  <c r="G77" i="43"/>
  <c r="H77" i="43"/>
  <c r="Q77" i="43"/>
  <c r="I77" i="43"/>
  <c r="R77" i="43"/>
  <c r="N77" i="43"/>
  <c r="G60" i="43"/>
  <c r="H60" i="43"/>
  <c r="H177" i="44"/>
  <c r="R177" i="44"/>
  <c r="I177" i="44"/>
  <c r="S177" i="44"/>
  <c r="J177" i="44"/>
  <c r="P177" i="44"/>
  <c r="K172" i="44"/>
  <c r="O172" i="44"/>
  <c r="P172" i="44"/>
  <c r="Q172" i="44"/>
  <c r="H172" i="44"/>
  <c r="I160" i="44"/>
  <c r="H160" i="44"/>
  <c r="J160" i="44"/>
  <c r="K160" i="44"/>
  <c r="L160" i="44"/>
  <c r="S160" i="44"/>
  <c r="R115" i="44"/>
  <c r="J115" i="44"/>
  <c r="N115" i="44"/>
  <c r="P115" i="44"/>
  <c r="J111" i="44"/>
  <c r="R111" i="44"/>
  <c r="G69" i="45"/>
  <c r="O69" i="45"/>
  <c r="M69" i="45"/>
  <c r="H62" i="45"/>
  <c r="R62" i="45"/>
  <c r="N62" i="45"/>
  <c r="O62" i="45"/>
  <c r="S62" i="45"/>
  <c r="O195" i="43"/>
  <c r="P192" i="43"/>
  <c r="R186" i="43"/>
  <c r="P129" i="43"/>
  <c r="N125" i="43"/>
  <c r="P118" i="43"/>
  <c r="P114" i="43"/>
  <c r="G89" i="43"/>
  <c r="I89" i="43"/>
  <c r="R89" i="43"/>
  <c r="J89" i="43"/>
  <c r="S89" i="43"/>
  <c r="K82" i="43"/>
  <c r="L82" i="43"/>
  <c r="G69" i="43"/>
  <c r="J69" i="43"/>
  <c r="S69" i="43"/>
  <c r="K69" i="43"/>
  <c r="H69" i="43"/>
  <c r="Q69" i="43"/>
  <c r="H53" i="43"/>
  <c r="N53" i="43"/>
  <c r="P53" i="43"/>
  <c r="L53" i="43"/>
  <c r="O35" i="43"/>
  <c r="P34" i="43"/>
  <c r="R34" i="43"/>
  <c r="N34" i="43"/>
  <c r="Q27" i="43"/>
  <c r="N27" i="43"/>
  <c r="Q21" i="43"/>
  <c r="R18" i="43"/>
  <c r="O18" i="43"/>
  <c r="L10" i="43"/>
  <c r="M10" i="43"/>
  <c r="H10" i="43"/>
  <c r="Q188" i="44"/>
  <c r="G187" i="44"/>
  <c r="O187" i="44"/>
  <c r="P187" i="44"/>
  <c r="R187" i="44"/>
  <c r="L187" i="44"/>
  <c r="J179" i="44"/>
  <c r="L179" i="44"/>
  <c r="N179" i="44"/>
  <c r="H179" i="44"/>
  <c r="R179" i="44"/>
  <c r="Q176" i="44"/>
  <c r="M120" i="44"/>
  <c r="K120" i="44"/>
  <c r="L120" i="44"/>
  <c r="H120" i="44"/>
  <c r="J120" i="44"/>
  <c r="N120" i="44"/>
  <c r="O120" i="44"/>
  <c r="L75" i="44"/>
  <c r="M75" i="44"/>
  <c r="H75" i="44"/>
  <c r="I75" i="44"/>
  <c r="G204" i="45"/>
  <c r="O204" i="45"/>
  <c r="H204" i="45"/>
  <c r="P204" i="45"/>
  <c r="I204" i="45"/>
  <c r="Q204" i="45"/>
  <c r="J204" i="45"/>
  <c r="R204" i="45"/>
  <c r="M204" i="45"/>
  <c r="N204" i="45"/>
  <c r="S204" i="45"/>
  <c r="K204" i="45"/>
  <c r="G104" i="45"/>
  <c r="S104" i="45"/>
  <c r="M104" i="45"/>
  <c r="N104" i="45"/>
  <c r="R104" i="45"/>
  <c r="K104" i="45"/>
  <c r="J104" i="45"/>
  <c r="R161" i="42"/>
  <c r="G161" i="42"/>
  <c r="R153" i="42"/>
  <c r="G153" i="42"/>
  <c r="O140" i="42"/>
  <c r="R137" i="42"/>
  <c r="G137" i="42"/>
  <c r="Q127" i="42"/>
  <c r="L125" i="42"/>
  <c r="S122" i="42"/>
  <c r="G122" i="42"/>
  <c r="S118" i="42"/>
  <c r="I118" i="42"/>
  <c r="O113" i="42"/>
  <c r="H98" i="42"/>
  <c r="H90" i="42"/>
  <c r="L85" i="42"/>
  <c r="R80" i="42"/>
  <c r="Q74" i="42"/>
  <c r="I74" i="42"/>
  <c r="I61" i="42"/>
  <c r="Q53" i="42"/>
  <c r="G53" i="42"/>
  <c r="R51" i="42"/>
  <c r="M50" i="42"/>
  <c r="S44" i="42"/>
  <c r="P41" i="42"/>
  <c r="G41" i="42"/>
  <c r="P32" i="42"/>
  <c r="M26" i="42"/>
  <c r="S25" i="42"/>
  <c r="M22" i="42"/>
  <c r="I20" i="42"/>
  <c r="I16" i="42"/>
  <c r="J6" i="42"/>
  <c r="K202" i="43"/>
  <c r="O201" i="43"/>
  <c r="Q197" i="43"/>
  <c r="I197" i="43"/>
  <c r="N195" i="43"/>
  <c r="O192" i="43"/>
  <c r="O186" i="43"/>
  <c r="O184" i="43"/>
  <c r="O178" i="43"/>
  <c r="N176" i="43"/>
  <c r="H175" i="43"/>
  <c r="L172" i="43"/>
  <c r="J165" i="43"/>
  <c r="O163" i="43"/>
  <c r="M162" i="43"/>
  <c r="O160" i="43"/>
  <c r="N159" i="43"/>
  <c r="Q157" i="43"/>
  <c r="M153" i="43"/>
  <c r="I131" i="43"/>
  <c r="M130" i="43"/>
  <c r="M129" i="43"/>
  <c r="P127" i="43"/>
  <c r="M125" i="43"/>
  <c r="O118" i="43"/>
  <c r="O114" i="43"/>
  <c r="M112" i="43"/>
  <c r="H112" i="43"/>
  <c r="Q112" i="43"/>
  <c r="Q103" i="43"/>
  <c r="O102" i="43"/>
  <c r="N100" i="43"/>
  <c r="N94" i="43"/>
  <c r="Q89" i="43"/>
  <c r="M87" i="43"/>
  <c r="N87" i="43"/>
  <c r="N83" i="43"/>
  <c r="S81" i="43"/>
  <c r="S77" i="43"/>
  <c r="J76" i="43"/>
  <c r="P76" i="43"/>
  <c r="H57" i="43"/>
  <c r="M57" i="43"/>
  <c r="N57" i="43"/>
  <c r="K57" i="43"/>
  <c r="G55" i="43"/>
  <c r="L55" i="43"/>
  <c r="M55" i="43"/>
  <c r="I55" i="43"/>
  <c r="S41" i="43"/>
  <c r="L35" i="43"/>
  <c r="G32" i="43"/>
  <c r="N32" i="43"/>
  <c r="O32" i="43"/>
  <c r="K32" i="43"/>
  <c r="N21" i="43"/>
  <c r="G199" i="44"/>
  <c r="I199" i="44"/>
  <c r="J199" i="44"/>
  <c r="S192" i="44"/>
  <c r="K188" i="44"/>
  <c r="P176" i="44"/>
  <c r="O167" i="44"/>
  <c r="Q167" i="44"/>
  <c r="H167" i="44"/>
  <c r="G162" i="44"/>
  <c r="R162" i="44"/>
  <c r="H162" i="44"/>
  <c r="S162" i="44"/>
  <c r="J162" i="44"/>
  <c r="K162" i="44"/>
  <c r="O162" i="44"/>
  <c r="R148" i="44"/>
  <c r="G148" i="44"/>
  <c r="I148" i="44"/>
  <c r="K148" i="44"/>
  <c r="L148" i="44"/>
  <c r="H144" i="44"/>
  <c r="N144" i="44"/>
  <c r="M124" i="44"/>
  <c r="J124" i="44"/>
  <c r="S124" i="44"/>
  <c r="K124" i="44"/>
  <c r="G124" i="44"/>
  <c r="R124" i="44"/>
  <c r="H124" i="44"/>
  <c r="I124" i="44"/>
  <c r="L124" i="44"/>
  <c r="P124" i="44"/>
  <c r="P85" i="44"/>
  <c r="L85" i="44"/>
  <c r="N85" i="44"/>
  <c r="H85" i="44"/>
  <c r="J85" i="44"/>
  <c r="R85" i="44"/>
  <c r="L181" i="45"/>
  <c r="G181" i="45"/>
  <c r="Q181" i="45"/>
  <c r="H181" i="45"/>
  <c r="R181" i="45"/>
  <c r="I181" i="45"/>
  <c r="S181" i="45"/>
  <c r="J181" i="45"/>
  <c r="O181" i="45"/>
  <c r="P181" i="45"/>
  <c r="K181" i="45"/>
  <c r="N140" i="42"/>
  <c r="J125" i="42"/>
  <c r="R118" i="42"/>
  <c r="H118" i="42"/>
  <c r="N113" i="42"/>
  <c r="J85" i="42"/>
  <c r="N80" i="42"/>
  <c r="P74" i="42"/>
  <c r="R45" i="42"/>
  <c r="O44" i="42"/>
  <c r="P25" i="42"/>
  <c r="P197" i="43"/>
  <c r="L176" i="43"/>
  <c r="N160" i="43"/>
  <c r="R131" i="43"/>
  <c r="M114" i="43"/>
  <c r="P103" i="43"/>
  <c r="M102" i="43"/>
  <c r="H100" i="43"/>
  <c r="P89" i="43"/>
  <c r="H83" i="43"/>
  <c r="G81" i="43"/>
  <c r="M81" i="43"/>
  <c r="N81" i="43"/>
  <c r="P77" i="43"/>
  <c r="G73" i="43"/>
  <c r="K73" i="43"/>
  <c r="L73" i="43"/>
  <c r="I73" i="43"/>
  <c r="R73" i="43"/>
  <c r="R69" i="43"/>
  <c r="L67" i="43"/>
  <c r="M67" i="43"/>
  <c r="G67" i="43"/>
  <c r="M58" i="43"/>
  <c r="N58" i="43"/>
  <c r="G58" i="43"/>
  <c r="R56" i="43"/>
  <c r="M44" i="43"/>
  <c r="H44" i="43"/>
  <c r="R44" i="43"/>
  <c r="I44" i="43"/>
  <c r="S44" i="43"/>
  <c r="O44" i="43"/>
  <c r="P41" i="43"/>
  <c r="J35" i="43"/>
  <c r="M21" i="43"/>
  <c r="H196" i="44"/>
  <c r="K196" i="44"/>
  <c r="L196" i="44"/>
  <c r="N196" i="44"/>
  <c r="R192" i="44"/>
  <c r="M190" i="44"/>
  <c r="N190" i="44"/>
  <c r="O190" i="44"/>
  <c r="I190" i="44"/>
  <c r="I188" i="44"/>
  <c r="O180" i="44"/>
  <c r="R180" i="44"/>
  <c r="O176" i="44"/>
  <c r="M164" i="44"/>
  <c r="I164" i="44"/>
  <c r="S164" i="44"/>
  <c r="J164" i="44"/>
  <c r="K164" i="44"/>
  <c r="N164" i="44"/>
  <c r="G164" i="44"/>
  <c r="Q164" i="44"/>
  <c r="Q161" i="44"/>
  <c r="O155" i="44"/>
  <c r="G140" i="44"/>
  <c r="P140" i="44"/>
  <c r="H140" i="44"/>
  <c r="L105" i="44"/>
  <c r="R105" i="44"/>
  <c r="R99" i="44"/>
  <c r="N99" i="44"/>
  <c r="P99" i="44"/>
  <c r="J99" i="44"/>
  <c r="H99" i="44"/>
  <c r="O78" i="44"/>
  <c r="K70" i="44"/>
  <c r="R70" i="44"/>
  <c r="L54" i="44"/>
  <c r="J54" i="44"/>
  <c r="K54" i="44"/>
  <c r="G44" i="44"/>
  <c r="S44" i="44"/>
  <c r="H44" i="44"/>
  <c r="R44" i="44"/>
  <c r="N196" i="45"/>
  <c r="H119" i="45"/>
  <c r="N119" i="45"/>
  <c r="J119" i="45"/>
  <c r="R119" i="45"/>
  <c r="S195" i="44"/>
  <c r="J195" i="44"/>
  <c r="M194" i="44"/>
  <c r="R168" i="44"/>
  <c r="L152" i="44"/>
  <c r="H147" i="44"/>
  <c r="R147" i="44"/>
  <c r="I143" i="44"/>
  <c r="O143" i="44"/>
  <c r="J139" i="44"/>
  <c r="J138" i="44"/>
  <c r="O138" i="44"/>
  <c r="J137" i="44"/>
  <c r="H128" i="44"/>
  <c r="I128" i="44"/>
  <c r="I121" i="44"/>
  <c r="L121" i="44"/>
  <c r="N121" i="44"/>
  <c r="N91" i="44"/>
  <c r="P91" i="44"/>
  <c r="R91" i="44"/>
  <c r="J91" i="44"/>
  <c r="H82" i="44"/>
  <c r="S82" i="44"/>
  <c r="G36" i="44"/>
  <c r="H36" i="44"/>
  <c r="J36" i="44"/>
  <c r="K36" i="44"/>
  <c r="R36" i="44"/>
  <c r="I27" i="44"/>
  <c r="M27" i="44"/>
  <c r="P27" i="44"/>
  <c r="H27" i="44"/>
  <c r="I170" i="45"/>
  <c r="Q170" i="45"/>
  <c r="J170" i="45"/>
  <c r="R170" i="45"/>
  <c r="K170" i="45"/>
  <c r="S170" i="45"/>
  <c r="L170" i="45"/>
  <c r="G170" i="45"/>
  <c r="O170" i="45"/>
  <c r="G157" i="45"/>
  <c r="J157" i="45"/>
  <c r="N157" i="45"/>
  <c r="O157" i="45"/>
  <c r="P157" i="45"/>
  <c r="H116" i="45"/>
  <c r="R116" i="45"/>
  <c r="P116" i="45"/>
  <c r="L116" i="45"/>
  <c r="M36" i="45"/>
  <c r="N36" i="45"/>
  <c r="K36" i="45"/>
  <c r="J36" i="45"/>
  <c r="L36" i="45"/>
  <c r="O36" i="45"/>
  <c r="P36" i="45"/>
  <c r="H36" i="45"/>
  <c r="S36" i="45"/>
  <c r="Q36" i="45"/>
  <c r="R36" i="45"/>
  <c r="G36" i="45"/>
  <c r="G31" i="45"/>
  <c r="R31" i="45"/>
  <c r="P31" i="45"/>
  <c r="O31" i="45"/>
  <c r="Q31" i="45"/>
  <c r="H193" i="46"/>
  <c r="N193" i="46"/>
  <c r="L193" i="46"/>
  <c r="J193" i="46"/>
  <c r="P193" i="46"/>
  <c r="J163" i="46"/>
  <c r="L163" i="46"/>
  <c r="H163" i="46"/>
  <c r="I153" i="44"/>
  <c r="H153" i="44"/>
  <c r="J126" i="44"/>
  <c r="R126" i="44"/>
  <c r="G66" i="44"/>
  <c r="N66" i="44"/>
  <c r="G31" i="44"/>
  <c r="O31" i="44"/>
  <c r="P31" i="44"/>
  <c r="M31" i="44"/>
  <c r="G154" i="45"/>
  <c r="O154" i="45"/>
  <c r="H154" i="45"/>
  <c r="P154" i="45"/>
  <c r="I154" i="45"/>
  <c r="Q154" i="45"/>
  <c r="J154" i="45"/>
  <c r="R154" i="45"/>
  <c r="M154" i="45"/>
  <c r="G152" i="45"/>
  <c r="N152" i="45"/>
  <c r="P152" i="45"/>
  <c r="M152" i="45"/>
  <c r="P110" i="45"/>
  <c r="R110" i="45"/>
  <c r="G98" i="45"/>
  <c r="I98" i="45"/>
  <c r="P98" i="45"/>
  <c r="N98" i="45"/>
  <c r="N128" i="46"/>
  <c r="R128" i="46"/>
  <c r="J128" i="46"/>
  <c r="S105" i="46"/>
  <c r="G105" i="46"/>
  <c r="H105" i="46"/>
  <c r="K105" i="46"/>
  <c r="P105" i="46"/>
  <c r="G154" i="44"/>
  <c r="P154" i="44"/>
  <c r="S152" i="44"/>
  <c r="P137" i="44"/>
  <c r="H130" i="44"/>
  <c r="S130" i="44"/>
  <c r="J130" i="44"/>
  <c r="K122" i="44"/>
  <c r="L122" i="44"/>
  <c r="H110" i="44"/>
  <c r="J110" i="44"/>
  <c r="N110" i="44"/>
  <c r="H97" i="44"/>
  <c r="L97" i="44"/>
  <c r="P97" i="44"/>
  <c r="O93" i="44"/>
  <c r="Q93" i="44"/>
  <c r="M93" i="44"/>
  <c r="H86" i="44"/>
  <c r="R86" i="44"/>
  <c r="R83" i="44"/>
  <c r="N83" i="44"/>
  <c r="G55" i="44"/>
  <c r="H55" i="44"/>
  <c r="I55" i="44"/>
  <c r="G52" i="44"/>
  <c r="K52" i="44"/>
  <c r="N52" i="44"/>
  <c r="H52" i="44"/>
  <c r="G42" i="44"/>
  <c r="M42" i="44"/>
  <c r="N42" i="44"/>
  <c r="J42" i="44"/>
  <c r="G39" i="44"/>
  <c r="I39" i="44"/>
  <c r="G37" i="44"/>
  <c r="O37" i="44"/>
  <c r="H37" i="44"/>
  <c r="P37" i="44"/>
  <c r="I37" i="44"/>
  <c r="Q37" i="44"/>
  <c r="M37" i="44"/>
  <c r="K201" i="45"/>
  <c r="S201" i="45"/>
  <c r="G201" i="45"/>
  <c r="I192" i="45"/>
  <c r="Q192" i="45"/>
  <c r="J192" i="45"/>
  <c r="R192" i="45"/>
  <c r="K192" i="45"/>
  <c r="S192" i="45"/>
  <c r="L192" i="45"/>
  <c r="G192" i="45"/>
  <c r="O192" i="45"/>
  <c r="P170" i="45"/>
  <c r="G145" i="45"/>
  <c r="J145" i="45"/>
  <c r="Q145" i="45"/>
  <c r="O145" i="45"/>
  <c r="G142" i="45"/>
  <c r="O142" i="45"/>
  <c r="H142" i="45"/>
  <c r="Q142" i="45"/>
  <c r="I142" i="45"/>
  <c r="R142" i="45"/>
  <c r="J142" i="45"/>
  <c r="S142" i="45"/>
  <c r="K142" i="45"/>
  <c r="N142" i="45"/>
  <c r="G140" i="45"/>
  <c r="P140" i="45"/>
  <c r="O140" i="45"/>
  <c r="M140" i="45"/>
  <c r="J126" i="45"/>
  <c r="P126" i="45"/>
  <c r="R126" i="45"/>
  <c r="L126" i="45"/>
  <c r="R45" i="45"/>
  <c r="J45" i="45"/>
  <c r="S45" i="45"/>
  <c r="I45" i="45"/>
  <c r="G42" i="45"/>
  <c r="S42" i="45"/>
  <c r="G5" i="45"/>
  <c r="N5" i="45"/>
  <c r="P5" i="45"/>
  <c r="J5" i="45"/>
  <c r="R5" i="45"/>
  <c r="H5" i="45"/>
  <c r="L5" i="45"/>
  <c r="I71" i="43"/>
  <c r="L66" i="43"/>
  <c r="L64" i="43"/>
  <c r="R48" i="43"/>
  <c r="I48" i="43"/>
  <c r="Q39" i="43"/>
  <c r="L38" i="43"/>
  <c r="I11" i="43"/>
  <c r="P200" i="44"/>
  <c r="J198" i="44"/>
  <c r="L197" i="44"/>
  <c r="N195" i="44"/>
  <c r="Q194" i="44"/>
  <c r="S193" i="44"/>
  <c r="J193" i="44"/>
  <c r="K191" i="44"/>
  <c r="R189" i="44"/>
  <c r="J159" i="44"/>
  <c r="O154" i="44"/>
  <c r="S153" i="44"/>
  <c r="Q152" i="44"/>
  <c r="J149" i="44"/>
  <c r="J147" i="44"/>
  <c r="L143" i="44"/>
  <c r="K142" i="44"/>
  <c r="O139" i="44"/>
  <c r="R138" i="44"/>
  <c r="N137" i="44"/>
  <c r="O134" i="44"/>
  <c r="R130" i="44"/>
  <c r="O128" i="44"/>
  <c r="P122" i="44"/>
  <c r="Q121" i="44"/>
  <c r="N109" i="44"/>
  <c r="J107" i="44"/>
  <c r="R107" i="44"/>
  <c r="N107" i="44"/>
  <c r="L103" i="44"/>
  <c r="N103" i="44"/>
  <c r="H103" i="44"/>
  <c r="L101" i="44"/>
  <c r="R101" i="44"/>
  <c r="N101" i="44"/>
  <c r="N89" i="44"/>
  <c r="H89" i="44"/>
  <c r="R82" i="44"/>
  <c r="H76" i="44"/>
  <c r="S76" i="44"/>
  <c r="P76" i="44"/>
  <c r="G41" i="44"/>
  <c r="O41" i="44"/>
  <c r="H41" i="44"/>
  <c r="P41" i="44"/>
  <c r="M41" i="44"/>
  <c r="P36" i="44"/>
  <c r="K29" i="44"/>
  <c r="S29" i="44"/>
  <c r="L29" i="44"/>
  <c r="M29" i="44"/>
  <c r="I29" i="44"/>
  <c r="Q29" i="44"/>
  <c r="H12" i="44"/>
  <c r="N12" i="44"/>
  <c r="N170" i="45"/>
  <c r="K150" i="45"/>
  <c r="S150" i="45"/>
  <c r="J150" i="45"/>
  <c r="L150" i="45"/>
  <c r="M150" i="45"/>
  <c r="N150" i="45"/>
  <c r="H150" i="45"/>
  <c r="Q150" i="45"/>
  <c r="J147" i="45"/>
  <c r="R147" i="45"/>
  <c r="S147" i="45"/>
  <c r="M147" i="45"/>
  <c r="G144" i="45"/>
  <c r="M144" i="45"/>
  <c r="N144" i="45"/>
  <c r="O144" i="45"/>
  <c r="P144" i="45"/>
  <c r="H138" i="45"/>
  <c r="M138" i="45"/>
  <c r="J138" i="45"/>
  <c r="S138" i="45"/>
  <c r="K138" i="45"/>
  <c r="L138" i="45"/>
  <c r="N138" i="45"/>
  <c r="G138" i="45"/>
  <c r="Q138" i="45"/>
  <c r="G136" i="45"/>
  <c r="N136" i="45"/>
  <c r="O136" i="45"/>
  <c r="G133" i="45"/>
  <c r="O133" i="45"/>
  <c r="J133" i="45"/>
  <c r="N133" i="45"/>
  <c r="P133" i="45"/>
  <c r="Q133" i="45"/>
  <c r="J91" i="45"/>
  <c r="R91" i="45"/>
  <c r="L91" i="45"/>
  <c r="G91" i="45"/>
  <c r="O91" i="45"/>
  <c r="K91" i="45"/>
  <c r="M91" i="45"/>
  <c r="N91" i="45"/>
  <c r="P91" i="45"/>
  <c r="H91" i="45"/>
  <c r="H23" i="45"/>
  <c r="J23" i="45"/>
  <c r="R23" i="45"/>
  <c r="P23" i="45"/>
  <c r="J9" i="45"/>
  <c r="N9" i="45"/>
  <c r="R9" i="45"/>
  <c r="Q48" i="43"/>
  <c r="H48" i="43"/>
  <c r="K38" i="43"/>
  <c r="P28" i="43"/>
  <c r="P19" i="43"/>
  <c r="R11" i="43"/>
  <c r="K197" i="44"/>
  <c r="L195" i="44"/>
  <c r="P194" i="44"/>
  <c r="R193" i="44"/>
  <c r="N156" i="44"/>
  <c r="N154" i="44"/>
  <c r="R153" i="44"/>
  <c r="O152" i="44"/>
  <c r="I147" i="44"/>
  <c r="I145" i="44"/>
  <c r="S145" i="44"/>
  <c r="J143" i="44"/>
  <c r="H142" i="44"/>
  <c r="N139" i="44"/>
  <c r="P138" i="44"/>
  <c r="L137" i="44"/>
  <c r="H133" i="44"/>
  <c r="N133" i="44"/>
  <c r="P133" i="44"/>
  <c r="M132" i="44"/>
  <c r="G132" i="44"/>
  <c r="Q132" i="44"/>
  <c r="H132" i="44"/>
  <c r="R132" i="44"/>
  <c r="P130" i="44"/>
  <c r="K128" i="44"/>
  <c r="O122" i="44"/>
  <c r="P121" i="44"/>
  <c r="L109" i="44"/>
  <c r="L91" i="44"/>
  <c r="P82" i="44"/>
  <c r="G63" i="44"/>
  <c r="P63" i="44"/>
  <c r="N63" i="44"/>
  <c r="L57" i="44"/>
  <c r="M57" i="44"/>
  <c r="J57" i="44"/>
  <c r="R57" i="44"/>
  <c r="G47" i="44"/>
  <c r="P47" i="44"/>
  <c r="N47" i="44"/>
  <c r="R41" i="44"/>
  <c r="S37" i="44"/>
  <c r="O36" i="44"/>
  <c r="R29" i="44"/>
  <c r="I178" i="45"/>
  <c r="Q178" i="45"/>
  <c r="J178" i="45"/>
  <c r="R178" i="45"/>
  <c r="K178" i="45"/>
  <c r="S178" i="45"/>
  <c r="L178" i="45"/>
  <c r="G178" i="45"/>
  <c r="O178" i="45"/>
  <c r="M170" i="45"/>
  <c r="J162" i="45"/>
  <c r="R162" i="45"/>
  <c r="K162" i="45"/>
  <c r="S162" i="45"/>
  <c r="L162" i="45"/>
  <c r="M162" i="45"/>
  <c r="H162" i="45"/>
  <c r="P162" i="45"/>
  <c r="I158" i="45"/>
  <c r="Q158" i="45"/>
  <c r="J158" i="45"/>
  <c r="R158" i="45"/>
  <c r="K158" i="45"/>
  <c r="S158" i="45"/>
  <c r="L158" i="45"/>
  <c r="G158" i="45"/>
  <c r="O158" i="45"/>
  <c r="J155" i="45"/>
  <c r="R155" i="45"/>
  <c r="S155" i="45"/>
  <c r="M155" i="45"/>
  <c r="G149" i="45"/>
  <c r="O149" i="45"/>
  <c r="J149" i="45"/>
  <c r="N149" i="45"/>
  <c r="P149" i="45"/>
  <c r="Q149" i="45"/>
  <c r="N116" i="45"/>
  <c r="G86" i="45"/>
  <c r="P86" i="45"/>
  <c r="G27" i="45"/>
  <c r="R27" i="45"/>
  <c r="H27" i="45"/>
  <c r="P27" i="45"/>
  <c r="I27" i="45"/>
  <c r="J27" i="45"/>
  <c r="L27" i="45"/>
  <c r="O27" i="45"/>
  <c r="Q27" i="45"/>
  <c r="R17" i="44"/>
  <c r="J17" i="44"/>
  <c r="S203" i="45"/>
  <c r="I203" i="45"/>
  <c r="S199" i="45"/>
  <c r="I199" i="45"/>
  <c r="S195" i="45"/>
  <c r="I195" i="45"/>
  <c r="O193" i="45"/>
  <c r="R188" i="45"/>
  <c r="J188" i="45"/>
  <c r="R184" i="45"/>
  <c r="J184" i="45"/>
  <c r="Q182" i="45"/>
  <c r="I182" i="45"/>
  <c r="J179" i="45"/>
  <c r="L174" i="45"/>
  <c r="I161" i="45"/>
  <c r="Q159" i="45"/>
  <c r="P156" i="45"/>
  <c r="H123" i="45"/>
  <c r="N123" i="45"/>
  <c r="G101" i="45"/>
  <c r="N101" i="45"/>
  <c r="N82" i="45"/>
  <c r="O82" i="45"/>
  <c r="H82" i="45"/>
  <c r="R19" i="45"/>
  <c r="N19" i="45"/>
  <c r="P19" i="45"/>
  <c r="G185" i="46"/>
  <c r="N185" i="46"/>
  <c r="P185" i="46"/>
  <c r="J185" i="46"/>
  <c r="H185" i="46"/>
  <c r="L185" i="46"/>
  <c r="M60" i="46"/>
  <c r="K60" i="46"/>
  <c r="L60" i="46"/>
  <c r="H60" i="46"/>
  <c r="Q60" i="46"/>
  <c r="G60" i="46"/>
  <c r="I60" i="46"/>
  <c r="J60" i="46"/>
  <c r="N60" i="46"/>
  <c r="R60" i="46"/>
  <c r="O60" i="46"/>
  <c r="P60" i="46"/>
  <c r="S60" i="46"/>
  <c r="J143" i="45"/>
  <c r="R143" i="45"/>
  <c r="P106" i="45"/>
  <c r="I106" i="45"/>
  <c r="J13" i="45"/>
  <c r="N13" i="45"/>
  <c r="R13" i="45"/>
  <c r="G180" i="46"/>
  <c r="N180" i="46"/>
  <c r="P180" i="46"/>
  <c r="J127" i="46"/>
  <c r="H127" i="46"/>
  <c r="K24" i="46"/>
  <c r="S24" i="46"/>
  <c r="L24" i="46"/>
  <c r="M24" i="46"/>
  <c r="I24" i="46"/>
  <c r="Q24" i="46"/>
  <c r="N24" i="46"/>
  <c r="O24" i="46"/>
  <c r="P24" i="46"/>
  <c r="R24" i="46"/>
  <c r="H24" i="46"/>
  <c r="J24" i="46"/>
  <c r="O203" i="45"/>
  <c r="O199" i="45"/>
  <c r="O195" i="45"/>
  <c r="M182" i="45"/>
  <c r="O179" i="45"/>
  <c r="Q161" i="45"/>
  <c r="K103" i="45"/>
  <c r="S103" i="45"/>
  <c r="H103" i="45"/>
  <c r="P103" i="45"/>
  <c r="M66" i="45"/>
  <c r="N66" i="45"/>
  <c r="G66" i="45"/>
  <c r="P66" i="45"/>
  <c r="K66" i="45"/>
  <c r="G123" i="46"/>
  <c r="H123" i="46"/>
  <c r="J123" i="46"/>
  <c r="P123" i="46"/>
  <c r="R123" i="46"/>
  <c r="L123" i="46"/>
  <c r="L34" i="46"/>
  <c r="G34" i="46"/>
  <c r="R136" i="44"/>
  <c r="J129" i="44"/>
  <c r="H118" i="44"/>
  <c r="R112" i="44"/>
  <c r="H96" i="44"/>
  <c r="J90" i="44"/>
  <c r="M74" i="44"/>
  <c r="O73" i="44"/>
  <c r="I71" i="44"/>
  <c r="J58" i="44"/>
  <c r="Q49" i="44"/>
  <c r="I49" i="44"/>
  <c r="Q33" i="44"/>
  <c r="I33" i="44"/>
  <c r="M26" i="44"/>
  <c r="O25" i="44"/>
  <c r="L22" i="44"/>
  <c r="O21" i="44"/>
  <c r="H20" i="44"/>
  <c r="K18" i="44"/>
  <c r="M17" i="44"/>
  <c r="L15" i="44"/>
  <c r="R6" i="44"/>
  <c r="N203" i="45"/>
  <c r="N199" i="45"/>
  <c r="N198" i="45"/>
  <c r="N195" i="45"/>
  <c r="N194" i="45"/>
  <c r="M188" i="45"/>
  <c r="S187" i="45"/>
  <c r="I187" i="45"/>
  <c r="M184" i="45"/>
  <c r="L182" i="45"/>
  <c r="M179" i="45"/>
  <c r="O174" i="45"/>
  <c r="M172" i="45"/>
  <c r="Q166" i="45"/>
  <c r="J165" i="45"/>
  <c r="P161" i="45"/>
  <c r="M151" i="45"/>
  <c r="I146" i="45"/>
  <c r="Q146" i="45"/>
  <c r="J139" i="45"/>
  <c r="M139" i="45"/>
  <c r="H117" i="45"/>
  <c r="N117" i="45"/>
  <c r="O103" i="45"/>
  <c r="G100" i="45"/>
  <c r="M100" i="45"/>
  <c r="R100" i="45"/>
  <c r="J100" i="45"/>
  <c r="G95" i="45"/>
  <c r="O95" i="45"/>
  <c r="I95" i="45"/>
  <c r="Q95" i="45"/>
  <c r="L95" i="45"/>
  <c r="P82" i="45"/>
  <c r="L55" i="45"/>
  <c r="G55" i="45"/>
  <c r="R55" i="45"/>
  <c r="H55" i="45"/>
  <c r="I55" i="45"/>
  <c r="J55" i="45"/>
  <c r="P55" i="45"/>
  <c r="G195" i="46"/>
  <c r="J195" i="46"/>
  <c r="L195" i="46"/>
  <c r="P195" i="46"/>
  <c r="N195" i="46"/>
  <c r="R195" i="46"/>
  <c r="H154" i="46"/>
  <c r="R154" i="46"/>
  <c r="J154" i="46"/>
  <c r="N154" i="46"/>
  <c r="M77" i="46"/>
  <c r="G77" i="46"/>
  <c r="P77" i="46"/>
  <c r="H77" i="46"/>
  <c r="Q77" i="46"/>
  <c r="L77" i="46"/>
  <c r="I77" i="46"/>
  <c r="J77" i="46"/>
  <c r="K77" i="46"/>
  <c r="N77" i="46"/>
  <c r="S77" i="46"/>
  <c r="O77" i="46"/>
  <c r="R77" i="46"/>
  <c r="N112" i="44"/>
  <c r="L74" i="44"/>
  <c r="P49" i="44"/>
  <c r="P33" i="44"/>
  <c r="L26" i="44"/>
  <c r="N6" i="44"/>
  <c r="K203" i="45"/>
  <c r="K199" i="45"/>
  <c r="K195" i="45"/>
  <c r="S182" i="45"/>
  <c r="S159" i="45"/>
  <c r="J135" i="45"/>
  <c r="N135" i="45"/>
  <c r="H120" i="45"/>
  <c r="L120" i="45"/>
  <c r="G107" i="45"/>
  <c r="N107" i="45"/>
  <c r="N103" i="45"/>
  <c r="G102" i="45"/>
  <c r="Q102" i="45"/>
  <c r="H99" i="45"/>
  <c r="P99" i="45"/>
  <c r="J99" i="45"/>
  <c r="R99" i="45"/>
  <c r="M99" i="45"/>
  <c r="I82" i="45"/>
  <c r="G68" i="45"/>
  <c r="L68" i="45"/>
  <c r="M68" i="45"/>
  <c r="R68" i="45"/>
  <c r="J68" i="45"/>
  <c r="S66" i="45"/>
  <c r="H57" i="45"/>
  <c r="P57" i="45"/>
  <c r="Q57" i="45"/>
  <c r="L57" i="45"/>
  <c r="G172" i="46"/>
  <c r="R172" i="46"/>
  <c r="N172" i="46"/>
  <c r="P172" i="46"/>
  <c r="H164" i="46"/>
  <c r="J164" i="46"/>
  <c r="N164" i="46"/>
  <c r="R164" i="46"/>
  <c r="M76" i="46"/>
  <c r="N76" i="46"/>
  <c r="G76" i="46"/>
  <c r="Q137" i="45"/>
  <c r="S134" i="45"/>
  <c r="L92" i="45"/>
  <c r="N84" i="45"/>
  <c r="Q83" i="45"/>
  <c r="I83" i="45"/>
  <c r="N80" i="45"/>
  <c r="Q79" i="45"/>
  <c r="I79" i="45"/>
  <c r="L75" i="45"/>
  <c r="R72" i="45"/>
  <c r="N61" i="45"/>
  <c r="O60" i="45"/>
  <c r="O59" i="45"/>
  <c r="L58" i="45"/>
  <c r="P54" i="45"/>
  <c r="Q48" i="45"/>
  <c r="M34" i="45"/>
  <c r="R29" i="45"/>
  <c r="G203" i="46"/>
  <c r="J203" i="46"/>
  <c r="L203" i="46"/>
  <c r="P203" i="46"/>
  <c r="L199" i="46"/>
  <c r="H199" i="46"/>
  <c r="P190" i="46"/>
  <c r="R190" i="46"/>
  <c r="H190" i="46"/>
  <c r="H175" i="46"/>
  <c r="J175" i="46"/>
  <c r="G38" i="46"/>
  <c r="N38" i="46"/>
  <c r="O38" i="46"/>
  <c r="K38" i="46"/>
  <c r="S38" i="46"/>
  <c r="L38" i="46"/>
  <c r="Q75" i="45"/>
  <c r="I75" i="45"/>
  <c r="L72" i="45"/>
  <c r="N63" i="45"/>
  <c r="J61" i="45"/>
  <c r="K60" i="45"/>
  <c r="G58" i="45"/>
  <c r="J51" i="45"/>
  <c r="H51" i="45"/>
  <c r="N50" i="45"/>
  <c r="L50" i="45"/>
  <c r="J48" i="45"/>
  <c r="H47" i="45"/>
  <c r="N47" i="45"/>
  <c r="L47" i="45"/>
  <c r="L38" i="45"/>
  <c r="J38" i="45"/>
  <c r="O32" i="45"/>
  <c r="G26" i="45"/>
  <c r="P26" i="45"/>
  <c r="H197" i="46"/>
  <c r="N197" i="46"/>
  <c r="R197" i="46"/>
  <c r="H192" i="46"/>
  <c r="J192" i="46"/>
  <c r="L188" i="46"/>
  <c r="N188" i="46"/>
  <c r="R188" i="46"/>
  <c r="H161" i="46"/>
  <c r="J161" i="46"/>
  <c r="L161" i="46"/>
  <c r="N161" i="46"/>
  <c r="P161" i="46"/>
  <c r="R161" i="46"/>
  <c r="R131" i="46"/>
  <c r="P131" i="46"/>
  <c r="G75" i="46"/>
  <c r="P75" i="46"/>
  <c r="H75" i="46"/>
  <c r="R75" i="46"/>
  <c r="M75" i="46"/>
  <c r="L75" i="46"/>
  <c r="N75" i="46"/>
  <c r="O75" i="46"/>
  <c r="S75" i="46"/>
  <c r="J75" i="46"/>
  <c r="G54" i="45"/>
  <c r="N54" i="45"/>
  <c r="K34" i="45"/>
  <c r="H34" i="45"/>
  <c r="R34" i="45"/>
  <c r="H29" i="45"/>
  <c r="J29" i="45"/>
  <c r="L196" i="46"/>
  <c r="N196" i="46"/>
  <c r="G186" i="46"/>
  <c r="R186" i="46"/>
  <c r="H186" i="46"/>
  <c r="N186" i="46"/>
  <c r="R166" i="46"/>
  <c r="H166" i="46"/>
  <c r="R157" i="46"/>
  <c r="P157" i="46"/>
  <c r="N157" i="46"/>
  <c r="J157" i="46"/>
  <c r="H139" i="46"/>
  <c r="R139" i="46"/>
  <c r="P139" i="46"/>
  <c r="G109" i="46"/>
  <c r="L109" i="46"/>
  <c r="M109" i="46"/>
  <c r="O109" i="46"/>
  <c r="P109" i="46"/>
  <c r="K109" i="46"/>
  <c r="G70" i="46"/>
  <c r="I70" i="46"/>
  <c r="R70" i="46"/>
  <c r="J70" i="46"/>
  <c r="S70" i="46"/>
  <c r="N70" i="46"/>
  <c r="H70" i="46"/>
  <c r="K70" i="46"/>
  <c r="L70" i="46"/>
  <c r="M70" i="46"/>
  <c r="I45" i="46"/>
  <c r="Q45" i="46"/>
  <c r="R45" i="46"/>
  <c r="L45" i="46"/>
  <c r="N45" i="46"/>
  <c r="K45" i="46"/>
  <c r="R92" i="45"/>
  <c r="O75" i="45"/>
  <c r="J72" i="45"/>
  <c r="J63" i="45"/>
  <c r="S61" i="45"/>
  <c r="P58" i="45"/>
  <c r="O51" i="45"/>
  <c r="R50" i="45"/>
  <c r="M40" i="45"/>
  <c r="J40" i="45"/>
  <c r="H40" i="45"/>
  <c r="R40" i="45"/>
  <c r="P38" i="45"/>
  <c r="P34" i="45"/>
  <c r="L32" i="45"/>
  <c r="H22" i="45"/>
  <c r="R22" i="45"/>
  <c r="H6" i="45"/>
  <c r="R6" i="45"/>
  <c r="N6" i="45"/>
  <c r="P204" i="46"/>
  <c r="R204" i="46"/>
  <c r="L204" i="46"/>
  <c r="H151" i="46"/>
  <c r="J151" i="46"/>
  <c r="P151" i="46"/>
  <c r="R151" i="46"/>
  <c r="L151" i="46"/>
  <c r="G17" i="46"/>
  <c r="M17" i="46"/>
  <c r="N17" i="46"/>
  <c r="Q17" i="46"/>
  <c r="K17" i="46"/>
  <c r="L17" i="46"/>
  <c r="R17" i="46"/>
  <c r="S17" i="46"/>
  <c r="I17" i="46"/>
  <c r="L48" i="45"/>
  <c r="I48" i="45"/>
  <c r="O34" i="45"/>
  <c r="H191" i="46"/>
  <c r="R191" i="46"/>
  <c r="G177" i="46"/>
  <c r="N177" i="46"/>
  <c r="P177" i="46"/>
  <c r="J177" i="46"/>
  <c r="K57" i="46"/>
  <c r="R57" i="46"/>
  <c r="M57" i="46"/>
  <c r="N57" i="46"/>
  <c r="G50" i="46"/>
  <c r="O50" i="46"/>
  <c r="P50" i="46"/>
  <c r="L50" i="46"/>
  <c r="N50" i="46"/>
  <c r="K50" i="46"/>
  <c r="J32" i="46"/>
  <c r="K32" i="46"/>
  <c r="S32" i="46"/>
  <c r="L32" i="46"/>
  <c r="H32" i="46"/>
  <c r="P32" i="46"/>
  <c r="M32" i="46"/>
  <c r="N32" i="46"/>
  <c r="O32" i="46"/>
  <c r="Q32" i="46"/>
  <c r="G32" i="46"/>
  <c r="P28" i="45"/>
  <c r="R187" i="46"/>
  <c r="R179" i="46"/>
  <c r="N178" i="46"/>
  <c r="P170" i="46"/>
  <c r="H125" i="46"/>
  <c r="R125" i="46"/>
  <c r="P117" i="46"/>
  <c r="R114" i="46"/>
  <c r="P111" i="46"/>
  <c r="O110" i="46"/>
  <c r="L107" i="46"/>
  <c r="G102" i="46"/>
  <c r="N102" i="46"/>
  <c r="O102" i="46"/>
  <c r="K95" i="46"/>
  <c r="O95" i="46"/>
  <c r="G71" i="46"/>
  <c r="S71" i="46"/>
  <c r="R59" i="46"/>
  <c r="N43" i="46"/>
  <c r="O43" i="46"/>
  <c r="H43" i="46"/>
  <c r="K40" i="46"/>
  <c r="S40" i="46"/>
  <c r="L40" i="46"/>
  <c r="H40" i="46"/>
  <c r="P40" i="46"/>
  <c r="G37" i="46"/>
  <c r="N37" i="46"/>
  <c r="Q37" i="46"/>
  <c r="K37" i="46"/>
  <c r="J36" i="46"/>
  <c r="R36" i="46"/>
  <c r="K36" i="46"/>
  <c r="S36" i="46"/>
  <c r="G36" i="46"/>
  <c r="O36" i="46"/>
  <c r="H178" i="46"/>
  <c r="N119" i="46"/>
  <c r="S107" i="46"/>
  <c r="K103" i="46"/>
  <c r="S103" i="46"/>
  <c r="L103" i="46"/>
  <c r="Q94" i="46"/>
  <c r="R94" i="46"/>
  <c r="G68" i="46"/>
  <c r="H68" i="46"/>
  <c r="I68" i="46"/>
  <c r="I53" i="46"/>
  <c r="R53" i="46"/>
  <c r="L26" i="46"/>
  <c r="O26" i="46"/>
  <c r="M18" i="46"/>
  <c r="G18" i="46"/>
  <c r="G170" i="46"/>
  <c r="J170" i="46"/>
  <c r="H152" i="46"/>
  <c r="R152" i="46"/>
  <c r="L124" i="46"/>
  <c r="N124" i="46"/>
  <c r="H117" i="46"/>
  <c r="R117" i="46"/>
  <c r="G111" i="46"/>
  <c r="J111" i="46"/>
  <c r="L111" i="46"/>
  <c r="J110" i="46"/>
  <c r="K110" i="46"/>
  <c r="G107" i="46"/>
  <c r="O107" i="46"/>
  <c r="H107" i="46"/>
  <c r="P107" i="46"/>
  <c r="G59" i="46"/>
  <c r="P59" i="46"/>
  <c r="Q59" i="46"/>
  <c r="I59" i="46"/>
  <c r="N49" i="46"/>
  <c r="Q49" i="46"/>
  <c r="H23" i="46"/>
  <c r="O23" i="46"/>
  <c r="P23" i="46"/>
  <c r="Q23" i="46"/>
  <c r="G23" i="46"/>
  <c r="H155" i="46"/>
  <c r="P155" i="46"/>
  <c r="R155" i="46"/>
  <c r="P125" i="46"/>
  <c r="S110" i="46"/>
  <c r="Q107" i="46"/>
  <c r="N103" i="46"/>
  <c r="M102" i="46"/>
  <c r="H92" i="46"/>
  <c r="Q92" i="46"/>
  <c r="I92" i="46"/>
  <c r="R92" i="46"/>
  <c r="N92" i="46"/>
  <c r="G89" i="46"/>
  <c r="Q89" i="46"/>
  <c r="N89" i="46"/>
  <c r="G72" i="46"/>
  <c r="L72" i="46"/>
  <c r="M72" i="46"/>
  <c r="N51" i="46"/>
  <c r="O51" i="46"/>
  <c r="I51" i="46"/>
  <c r="G46" i="46"/>
  <c r="P46" i="46"/>
  <c r="M43" i="46"/>
  <c r="N42" i="46"/>
  <c r="O42" i="46"/>
  <c r="K42" i="46"/>
  <c r="J40" i="46"/>
  <c r="G39" i="46"/>
  <c r="O39" i="46"/>
  <c r="P39" i="46"/>
  <c r="I39" i="46"/>
  <c r="L37" i="46"/>
  <c r="L36" i="46"/>
  <c r="R49" i="45"/>
  <c r="K44" i="45"/>
  <c r="N39" i="45"/>
  <c r="P33" i="45"/>
  <c r="M30" i="45"/>
  <c r="R25" i="45"/>
  <c r="I25" i="45"/>
  <c r="R16" i="45"/>
  <c r="R178" i="46"/>
  <c r="G171" i="46"/>
  <c r="N171" i="46"/>
  <c r="N125" i="46"/>
  <c r="H116" i="46"/>
  <c r="J116" i="46"/>
  <c r="N116" i="46"/>
  <c r="S111" i="46"/>
  <c r="R110" i="46"/>
  <c r="N107" i="46"/>
  <c r="M103" i="46"/>
  <c r="J102" i="46"/>
  <c r="L99" i="46"/>
  <c r="M99" i="46"/>
  <c r="I99" i="46"/>
  <c r="Q99" i="46"/>
  <c r="P96" i="46"/>
  <c r="Q96" i="46"/>
  <c r="G93" i="46"/>
  <c r="P93" i="46"/>
  <c r="H86" i="46"/>
  <c r="J86" i="46"/>
  <c r="K86" i="46"/>
  <c r="P86" i="46"/>
  <c r="M81" i="46"/>
  <c r="G81" i="46"/>
  <c r="S81" i="46"/>
  <c r="H81" i="46"/>
  <c r="P81" i="46"/>
  <c r="R71" i="46"/>
  <c r="J65" i="46"/>
  <c r="S65" i="46"/>
  <c r="M65" i="46"/>
  <c r="R51" i="46"/>
  <c r="I43" i="46"/>
  <c r="I40" i="46"/>
  <c r="J37" i="46"/>
  <c r="I36" i="46"/>
  <c r="Q98" i="46"/>
  <c r="M84" i="46"/>
  <c r="K79" i="46"/>
  <c r="J73" i="46"/>
  <c r="J55" i="46"/>
  <c r="R52" i="46"/>
  <c r="J52" i="46"/>
  <c r="O48" i="46"/>
  <c r="O35" i="46"/>
  <c r="G31" i="46"/>
  <c r="L29" i="46"/>
  <c r="P28" i="46"/>
  <c r="S25" i="46"/>
  <c r="I25" i="46"/>
  <c r="M22" i="46"/>
  <c r="L21" i="46"/>
  <c r="P20" i="46"/>
  <c r="H19" i="46"/>
  <c r="P15" i="46"/>
  <c r="O88" i="46"/>
  <c r="L84" i="46"/>
  <c r="S82" i="46"/>
  <c r="S73" i="46"/>
  <c r="Q52" i="46"/>
  <c r="N35" i="46"/>
  <c r="K29" i="46"/>
  <c r="K21" i="46"/>
  <c r="O15" i="46"/>
  <c r="J29" i="46"/>
  <c r="Q25" i="46"/>
  <c r="J21" i="46"/>
  <c r="N15" i="46"/>
  <c r="H119" i="39"/>
  <c r="P119" i="39"/>
  <c r="N119" i="39"/>
  <c r="K119" i="39"/>
  <c r="L119" i="39"/>
  <c r="M119" i="39"/>
  <c r="O119" i="39"/>
  <c r="J119" i="39"/>
  <c r="Q119" i="39"/>
  <c r="R119" i="39"/>
  <c r="S119" i="39"/>
  <c r="I119" i="39"/>
  <c r="G119" i="39"/>
  <c r="H199" i="35"/>
  <c r="P199" i="35"/>
  <c r="K199" i="35"/>
  <c r="S199" i="35"/>
  <c r="I199" i="35"/>
  <c r="Q199" i="35"/>
  <c r="J199" i="35"/>
  <c r="R199" i="35"/>
  <c r="H191" i="35"/>
  <c r="P191" i="35"/>
  <c r="I191" i="35"/>
  <c r="Q191" i="35"/>
  <c r="J191" i="35"/>
  <c r="R191" i="35"/>
  <c r="K191" i="35"/>
  <c r="S191" i="35"/>
  <c r="H183" i="35"/>
  <c r="P183" i="35"/>
  <c r="K183" i="35"/>
  <c r="I183" i="35"/>
  <c r="Q183" i="35"/>
  <c r="S183" i="35"/>
  <c r="J183" i="35"/>
  <c r="R183" i="35"/>
  <c r="H171" i="35"/>
  <c r="P171" i="35"/>
  <c r="I171" i="35"/>
  <c r="Q171" i="35"/>
  <c r="J171" i="35"/>
  <c r="R171" i="35"/>
  <c r="S171" i="35"/>
  <c r="K171" i="35"/>
  <c r="H163" i="35"/>
  <c r="P163" i="35"/>
  <c r="S163" i="35"/>
  <c r="I163" i="35"/>
  <c r="Q163" i="35"/>
  <c r="K163" i="35"/>
  <c r="J163" i="35"/>
  <c r="R163" i="35"/>
  <c r="H151" i="35"/>
  <c r="P151" i="35"/>
  <c r="K151" i="35"/>
  <c r="S151" i="35"/>
  <c r="I151" i="35"/>
  <c r="Q151" i="35"/>
  <c r="J151" i="35"/>
  <c r="R151" i="35"/>
  <c r="H143" i="35"/>
  <c r="P143" i="35"/>
  <c r="I143" i="35"/>
  <c r="Q143" i="35"/>
  <c r="J143" i="35"/>
  <c r="R143" i="35"/>
  <c r="S143" i="35"/>
  <c r="K143" i="35"/>
  <c r="H135" i="35"/>
  <c r="P135" i="35"/>
  <c r="I135" i="35"/>
  <c r="Q135" i="35"/>
  <c r="J135" i="35"/>
  <c r="R135" i="35"/>
  <c r="S135" i="35"/>
  <c r="K135" i="35"/>
  <c r="H127" i="35"/>
  <c r="P127" i="35"/>
  <c r="I127" i="35"/>
  <c r="Q127" i="35"/>
  <c r="J127" i="35"/>
  <c r="R127" i="35"/>
  <c r="K127" i="35"/>
  <c r="S127" i="35"/>
  <c r="H95" i="35"/>
  <c r="P95" i="35"/>
  <c r="I95" i="35"/>
  <c r="Q95" i="35"/>
  <c r="J95" i="35"/>
  <c r="R95" i="35"/>
  <c r="K95" i="35"/>
  <c r="S95" i="35"/>
  <c r="L95" i="35"/>
  <c r="H79" i="35"/>
  <c r="P79" i="35"/>
  <c r="I79" i="35"/>
  <c r="Q79" i="35"/>
  <c r="L79" i="35"/>
  <c r="J79" i="35"/>
  <c r="R79" i="35"/>
  <c r="S79" i="35"/>
  <c r="K79" i="35"/>
  <c r="H47" i="35"/>
  <c r="P47" i="35"/>
  <c r="I47" i="35"/>
  <c r="Q47" i="35"/>
  <c r="J47" i="35"/>
  <c r="R47" i="35"/>
  <c r="K47" i="35"/>
  <c r="S47" i="35"/>
  <c r="L47" i="35"/>
  <c r="H15" i="35"/>
  <c r="P15" i="35"/>
  <c r="L15" i="35"/>
  <c r="I15" i="35"/>
  <c r="Q15" i="35"/>
  <c r="J15" i="35"/>
  <c r="R15" i="35"/>
  <c r="K15" i="35"/>
  <c r="S15" i="35"/>
  <c r="H192" i="36"/>
  <c r="J192" i="36"/>
  <c r="L192" i="36"/>
  <c r="P192" i="36"/>
  <c r="N192" i="36"/>
  <c r="N174" i="36"/>
  <c r="N158" i="36"/>
  <c r="N151" i="36"/>
  <c r="N142" i="36"/>
  <c r="N135" i="36"/>
  <c r="I127" i="36"/>
  <c r="Q127" i="36"/>
  <c r="J127" i="36"/>
  <c r="R127" i="36"/>
  <c r="K127" i="36"/>
  <c r="S127" i="36"/>
  <c r="M127" i="36"/>
  <c r="L127" i="36"/>
  <c r="N122" i="36"/>
  <c r="N107" i="36"/>
  <c r="O95" i="36"/>
  <c r="J85" i="37"/>
  <c r="R85" i="37"/>
  <c r="K85" i="37"/>
  <c r="S85" i="37"/>
  <c r="L85" i="37"/>
  <c r="I85" i="37"/>
  <c r="P85" i="37"/>
  <c r="M85" i="37"/>
  <c r="N85" i="37"/>
  <c r="O85" i="37"/>
  <c r="Q200" i="38"/>
  <c r="I147" i="38"/>
  <c r="Q147" i="38"/>
  <c r="J147" i="38"/>
  <c r="R147" i="38"/>
  <c r="K147" i="38"/>
  <c r="S147" i="38"/>
  <c r="H147" i="38"/>
  <c r="L147" i="38"/>
  <c r="M147" i="38"/>
  <c r="N147" i="38"/>
  <c r="O147" i="38"/>
  <c r="K136" i="38"/>
  <c r="S136" i="38"/>
  <c r="L136" i="38"/>
  <c r="M136" i="38"/>
  <c r="G136" i="38"/>
  <c r="R136" i="38"/>
  <c r="H136" i="38"/>
  <c r="I136" i="38"/>
  <c r="N136" i="38"/>
  <c r="J136" i="38"/>
  <c r="Q128" i="38"/>
  <c r="J142" i="39"/>
  <c r="H142" i="39"/>
  <c r="R142" i="39"/>
  <c r="N142" i="39"/>
  <c r="P142" i="39"/>
  <c r="J32" i="39"/>
  <c r="R32" i="39"/>
  <c r="L32" i="39"/>
  <c r="M32" i="39"/>
  <c r="N32" i="39"/>
  <c r="K32" i="39"/>
  <c r="O32" i="39"/>
  <c r="P32" i="39"/>
  <c r="Q32" i="39"/>
  <c r="H32" i="39"/>
  <c r="I32" i="39"/>
  <c r="S32" i="39"/>
  <c r="J156" i="40"/>
  <c r="N156" i="40"/>
  <c r="H156" i="40"/>
  <c r="L156" i="40"/>
  <c r="P156" i="40"/>
  <c r="R156" i="40"/>
  <c r="K173" i="41"/>
  <c r="S173" i="41"/>
  <c r="G173" i="41"/>
  <c r="P173" i="41"/>
  <c r="H173" i="41"/>
  <c r="Q173" i="41"/>
  <c r="I173" i="41"/>
  <c r="R173" i="41"/>
  <c r="J173" i="41"/>
  <c r="L173" i="41"/>
  <c r="M173" i="41"/>
  <c r="O173" i="41"/>
  <c r="K201" i="42"/>
  <c r="S201" i="42"/>
  <c r="L201" i="42"/>
  <c r="M201" i="42"/>
  <c r="I201" i="42"/>
  <c r="J201" i="42"/>
  <c r="N201" i="42"/>
  <c r="O201" i="42"/>
  <c r="H201" i="42"/>
  <c r="P201" i="42"/>
  <c r="Q201" i="42"/>
  <c r="R201" i="42"/>
  <c r="N119" i="35"/>
  <c r="N103" i="35"/>
  <c r="N87" i="35"/>
  <c r="N39" i="35"/>
  <c r="N7" i="35"/>
  <c r="G200" i="36"/>
  <c r="J200" i="36"/>
  <c r="L200" i="36"/>
  <c r="N200" i="36"/>
  <c r="P200" i="36"/>
  <c r="R200" i="36"/>
  <c r="I163" i="36"/>
  <c r="Q163" i="36"/>
  <c r="J163" i="36"/>
  <c r="R163" i="36"/>
  <c r="K163" i="36"/>
  <c r="S163" i="36"/>
  <c r="L163" i="36"/>
  <c r="M163" i="36"/>
  <c r="M158" i="36"/>
  <c r="G154" i="36"/>
  <c r="O154" i="36"/>
  <c r="K154" i="36"/>
  <c r="H154" i="36"/>
  <c r="P154" i="36"/>
  <c r="I154" i="36"/>
  <c r="Q154" i="36"/>
  <c r="J154" i="36"/>
  <c r="R154" i="36"/>
  <c r="S154" i="36"/>
  <c r="H151" i="36"/>
  <c r="I147" i="36"/>
  <c r="Q147" i="36"/>
  <c r="J147" i="36"/>
  <c r="R147" i="36"/>
  <c r="K147" i="36"/>
  <c r="S147" i="36"/>
  <c r="M147" i="36"/>
  <c r="L147" i="36"/>
  <c r="M122" i="36"/>
  <c r="N111" i="36"/>
  <c r="O75" i="36"/>
  <c r="H73" i="36"/>
  <c r="P73" i="36"/>
  <c r="G73" i="36"/>
  <c r="Q73" i="36"/>
  <c r="I73" i="36"/>
  <c r="R73" i="36"/>
  <c r="L73" i="36"/>
  <c r="J73" i="36"/>
  <c r="S73" i="36"/>
  <c r="K73" i="36"/>
  <c r="L63" i="36"/>
  <c r="H63" i="36"/>
  <c r="Q63" i="36"/>
  <c r="M63" i="36"/>
  <c r="I63" i="36"/>
  <c r="R63" i="36"/>
  <c r="J63" i="36"/>
  <c r="S63" i="36"/>
  <c r="K63" i="36"/>
  <c r="O19" i="36"/>
  <c r="I17" i="36"/>
  <c r="H204" i="37"/>
  <c r="P204" i="37"/>
  <c r="I204" i="37"/>
  <c r="R204" i="37"/>
  <c r="J204" i="37"/>
  <c r="S204" i="37"/>
  <c r="M204" i="37"/>
  <c r="K204" i="37"/>
  <c r="L204" i="37"/>
  <c r="J134" i="37"/>
  <c r="R134" i="37"/>
  <c r="L134" i="37"/>
  <c r="H134" i="37"/>
  <c r="S134" i="37"/>
  <c r="I134" i="37"/>
  <c r="K134" i="37"/>
  <c r="N134" i="37"/>
  <c r="M134" i="37"/>
  <c r="H129" i="37"/>
  <c r="P129" i="37"/>
  <c r="J129" i="37"/>
  <c r="R129" i="37"/>
  <c r="K129" i="37"/>
  <c r="L129" i="37"/>
  <c r="M129" i="37"/>
  <c r="O129" i="37"/>
  <c r="N129" i="37"/>
  <c r="H125" i="37"/>
  <c r="P125" i="37"/>
  <c r="J125" i="37"/>
  <c r="R125" i="37"/>
  <c r="I125" i="37"/>
  <c r="K125" i="37"/>
  <c r="L125" i="37"/>
  <c r="N125" i="37"/>
  <c r="M125" i="37"/>
  <c r="K84" i="37"/>
  <c r="Q77" i="37"/>
  <c r="H12" i="37"/>
  <c r="P12" i="37"/>
  <c r="I12" i="37"/>
  <c r="Q12" i="37"/>
  <c r="J12" i="37"/>
  <c r="R12" i="37"/>
  <c r="G12" i="37"/>
  <c r="K12" i="37"/>
  <c r="L12" i="37"/>
  <c r="M12" i="37"/>
  <c r="N12" i="37"/>
  <c r="P200" i="38"/>
  <c r="I191" i="38"/>
  <c r="Q191" i="38"/>
  <c r="J191" i="38"/>
  <c r="R191" i="38"/>
  <c r="K191" i="38"/>
  <c r="S191" i="38"/>
  <c r="L191" i="38"/>
  <c r="P191" i="38"/>
  <c r="M191" i="38"/>
  <c r="N191" i="38"/>
  <c r="O191" i="38"/>
  <c r="S146" i="38"/>
  <c r="H128" i="38"/>
  <c r="L11" i="38"/>
  <c r="I11" i="38"/>
  <c r="R11" i="38"/>
  <c r="J11" i="38"/>
  <c r="S11" i="38"/>
  <c r="K11" i="38"/>
  <c r="M11" i="38"/>
  <c r="G11" i="38"/>
  <c r="H11" i="38"/>
  <c r="N11" i="38"/>
  <c r="O11" i="38"/>
  <c r="P11" i="38"/>
  <c r="J6" i="38"/>
  <c r="R6" i="38"/>
  <c r="H6" i="38"/>
  <c r="Q6" i="38"/>
  <c r="I6" i="38"/>
  <c r="S6" i="38"/>
  <c r="K6" i="38"/>
  <c r="L6" i="38"/>
  <c r="M6" i="38"/>
  <c r="N6" i="38"/>
  <c r="O6" i="38"/>
  <c r="P6" i="38"/>
  <c r="H126" i="39"/>
  <c r="N126" i="39"/>
  <c r="J204" i="35"/>
  <c r="R204" i="35"/>
  <c r="K204" i="35"/>
  <c r="S204" i="35"/>
  <c r="M204" i="35"/>
  <c r="L204" i="35"/>
  <c r="J200" i="35"/>
  <c r="R200" i="35"/>
  <c r="S200" i="35"/>
  <c r="K200" i="35"/>
  <c r="L200" i="35"/>
  <c r="M200" i="35"/>
  <c r="J196" i="35"/>
  <c r="R196" i="35"/>
  <c r="K196" i="35"/>
  <c r="S196" i="35"/>
  <c r="L196" i="35"/>
  <c r="M196" i="35"/>
  <c r="J192" i="35"/>
  <c r="R192" i="35"/>
  <c r="K192" i="35"/>
  <c r="S192" i="35"/>
  <c r="L192" i="35"/>
  <c r="M192" i="35"/>
  <c r="J188" i="35"/>
  <c r="R188" i="35"/>
  <c r="K188" i="35"/>
  <c r="M188" i="35"/>
  <c r="S188" i="35"/>
  <c r="L188" i="35"/>
  <c r="J184" i="35"/>
  <c r="R184" i="35"/>
  <c r="K184" i="35"/>
  <c r="S184" i="35"/>
  <c r="M184" i="35"/>
  <c r="L184" i="35"/>
  <c r="J180" i="35"/>
  <c r="R180" i="35"/>
  <c r="K180" i="35"/>
  <c r="S180" i="35"/>
  <c r="M180" i="35"/>
  <c r="L180" i="35"/>
  <c r="J176" i="35"/>
  <c r="R176" i="35"/>
  <c r="K176" i="35"/>
  <c r="S176" i="35"/>
  <c r="M176" i="35"/>
  <c r="L176" i="35"/>
  <c r="J172" i="35"/>
  <c r="R172" i="35"/>
  <c r="K172" i="35"/>
  <c r="S172" i="35"/>
  <c r="M172" i="35"/>
  <c r="L172" i="35"/>
  <c r="J168" i="35"/>
  <c r="R168" i="35"/>
  <c r="K168" i="35"/>
  <c r="S168" i="35"/>
  <c r="M168" i="35"/>
  <c r="L168" i="35"/>
  <c r="J164" i="35"/>
  <c r="R164" i="35"/>
  <c r="K164" i="35"/>
  <c r="S164" i="35"/>
  <c r="M164" i="35"/>
  <c r="L164" i="35"/>
  <c r="J160" i="35"/>
  <c r="R160" i="35"/>
  <c r="K160" i="35"/>
  <c r="S160" i="35"/>
  <c r="L160" i="35"/>
  <c r="M160" i="35"/>
  <c r="J156" i="35"/>
  <c r="R156" i="35"/>
  <c r="K156" i="35"/>
  <c r="S156" i="35"/>
  <c r="M156" i="35"/>
  <c r="L156" i="35"/>
  <c r="J152" i="35"/>
  <c r="R152" i="35"/>
  <c r="M152" i="35"/>
  <c r="K152" i="35"/>
  <c r="S152" i="35"/>
  <c r="L152" i="35"/>
  <c r="J148" i="35"/>
  <c r="R148" i="35"/>
  <c r="M148" i="35"/>
  <c r="K148" i="35"/>
  <c r="S148" i="35"/>
  <c r="L148" i="35"/>
  <c r="J144" i="35"/>
  <c r="R144" i="35"/>
  <c r="K144" i="35"/>
  <c r="S144" i="35"/>
  <c r="L144" i="35"/>
  <c r="M144" i="35"/>
  <c r="J140" i="35"/>
  <c r="R140" i="35"/>
  <c r="K140" i="35"/>
  <c r="S140" i="35"/>
  <c r="L140" i="35"/>
  <c r="M140" i="35"/>
  <c r="J136" i="35"/>
  <c r="R136" i="35"/>
  <c r="K136" i="35"/>
  <c r="S136" i="35"/>
  <c r="L136" i="35"/>
  <c r="M136" i="35"/>
  <c r="J132" i="35"/>
  <c r="R132" i="35"/>
  <c r="K132" i="35"/>
  <c r="S132" i="35"/>
  <c r="L132" i="35"/>
  <c r="M132" i="35"/>
  <c r="J128" i="35"/>
  <c r="R128" i="35"/>
  <c r="K128" i="35"/>
  <c r="S128" i="35"/>
  <c r="L128" i="35"/>
  <c r="M128" i="35"/>
  <c r="H115" i="35"/>
  <c r="P115" i="35"/>
  <c r="I115" i="35"/>
  <c r="Q115" i="35"/>
  <c r="J115" i="35"/>
  <c r="R115" i="35"/>
  <c r="S115" i="35"/>
  <c r="K115" i="35"/>
  <c r="L115" i="35"/>
  <c r="H99" i="35"/>
  <c r="P99" i="35"/>
  <c r="I99" i="35"/>
  <c r="Q99" i="35"/>
  <c r="J99" i="35"/>
  <c r="R99" i="35"/>
  <c r="S99" i="35"/>
  <c r="K99" i="35"/>
  <c r="L99" i="35"/>
  <c r="H83" i="35"/>
  <c r="P83" i="35"/>
  <c r="I83" i="35"/>
  <c r="Q83" i="35"/>
  <c r="J83" i="35"/>
  <c r="R83" i="35"/>
  <c r="K83" i="35"/>
  <c r="L83" i="35"/>
  <c r="S83" i="35"/>
  <c r="H67" i="35"/>
  <c r="P67" i="35"/>
  <c r="L67" i="35"/>
  <c r="I67" i="35"/>
  <c r="Q67" i="35"/>
  <c r="J67" i="35"/>
  <c r="R67" i="35"/>
  <c r="S67" i="35"/>
  <c r="K67" i="35"/>
  <c r="H51" i="35"/>
  <c r="P51" i="35"/>
  <c r="L51" i="35"/>
  <c r="I51" i="35"/>
  <c r="Q51" i="35"/>
  <c r="J51" i="35"/>
  <c r="R51" i="35"/>
  <c r="S51" i="35"/>
  <c r="K51" i="35"/>
  <c r="H35" i="35"/>
  <c r="P35" i="35"/>
  <c r="L35" i="35"/>
  <c r="I35" i="35"/>
  <c r="Q35" i="35"/>
  <c r="J35" i="35"/>
  <c r="R35" i="35"/>
  <c r="K35" i="35"/>
  <c r="S35" i="35"/>
  <c r="H19" i="35"/>
  <c r="P19" i="35"/>
  <c r="L19" i="35"/>
  <c r="I19" i="35"/>
  <c r="Q19" i="35"/>
  <c r="J19" i="35"/>
  <c r="R19" i="35"/>
  <c r="K19" i="35"/>
  <c r="S19" i="35"/>
  <c r="G151" i="36"/>
  <c r="G118" i="36"/>
  <c r="O118" i="36"/>
  <c r="H118" i="36"/>
  <c r="P118" i="36"/>
  <c r="I118" i="36"/>
  <c r="Q118" i="36"/>
  <c r="J118" i="36"/>
  <c r="R118" i="36"/>
  <c r="K118" i="36"/>
  <c r="S118" i="36"/>
  <c r="I103" i="36"/>
  <c r="Q103" i="36"/>
  <c r="J103" i="36"/>
  <c r="R103" i="36"/>
  <c r="M103" i="36"/>
  <c r="K103" i="36"/>
  <c r="S103" i="36"/>
  <c r="L103" i="36"/>
  <c r="H61" i="36"/>
  <c r="P61" i="36"/>
  <c r="I61" i="36"/>
  <c r="R61" i="36"/>
  <c r="M61" i="36"/>
  <c r="J61" i="36"/>
  <c r="S61" i="36"/>
  <c r="K61" i="36"/>
  <c r="L61" i="36"/>
  <c r="L43" i="36"/>
  <c r="G43" i="36"/>
  <c r="P43" i="36"/>
  <c r="H43" i="36"/>
  <c r="Q43" i="36"/>
  <c r="I43" i="36"/>
  <c r="R43" i="36"/>
  <c r="J43" i="36"/>
  <c r="S43" i="36"/>
  <c r="K43" i="36"/>
  <c r="J194" i="37"/>
  <c r="R194" i="37"/>
  <c r="L194" i="37"/>
  <c r="G194" i="37"/>
  <c r="Q194" i="37"/>
  <c r="M194" i="37"/>
  <c r="H194" i="37"/>
  <c r="S194" i="37"/>
  <c r="I194" i="37"/>
  <c r="K194" i="37"/>
  <c r="H153" i="37"/>
  <c r="P153" i="37"/>
  <c r="J153" i="37"/>
  <c r="R153" i="37"/>
  <c r="G153" i="37"/>
  <c r="S153" i="37"/>
  <c r="I153" i="37"/>
  <c r="K153" i="37"/>
  <c r="M153" i="37"/>
  <c r="L153" i="37"/>
  <c r="J21" i="37"/>
  <c r="R21" i="37"/>
  <c r="K21" i="37"/>
  <c r="S21" i="37"/>
  <c r="L21" i="37"/>
  <c r="I21" i="37"/>
  <c r="P21" i="37"/>
  <c r="M21" i="37"/>
  <c r="N21" i="37"/>
  <c r="O21" i="37"/>
  <c r="K180" i="38"/>
  <c r="S180" i="38"/>
  <c r="L180" i="38"/>
  <c r="M180" i="38"/>
  <c r="H180" i="38"/>
  <c r="I180" i="38"/>
  <c r="O180" i="38"/>
  <c r="J180" i="38"/>
  <c r="N180" i="38"/>
  <c r="I115" i="38"/>
  <c r="Q115" i="38"/>
  <c r="J115" i="38"/>
  <c r="R115" i="38"/>
  <c r="K115" i="38"/>
  <c r="S115" i="38"/>
  <c r="H115" i="38"/>
  <c r="L115" i="38"/>
  <c r="M115" i="38"/>
  <c r="N115" i="38"/>
  <c r="O115" i="38"/>
  <c r="K104" i="38"/>
  <c r="S104" i="38"/>
  <c r="L104" i="38"/>
  <c r="M104" i="38"/>
  <c r="G104" i="38"/>
  <c r="R104" i="38"/>
  <c r="H104" i="38"/>
  <c r="I104" i="38"/>
  <c r="J104" i="38"/>
  <c r="N104" i="38"/>
  <c r="R172" i="39"/>
  <c r="J172" i="39"/>
  <c r="L172" i="39"/>
  <c r="N172" i="39"/>
  <c r="P172" i="39"/>
  <c r="J88" i="39"/>
  <c r="R88" i="39"/>
  <c r="I88" i="39"/>
  <c r="S88" i="39"/>
  <c r="H88" i="39"/>
  <c r="K88" i="39"/>
  <c r="L88" i="39"/>
  <c r="M88" i="39"/>
  <c r="N88" i="39"/>
  <c r="O88" i="39"/>
  <c r="P88" i="39"/>
  <c r="Q88" i="39"/>
  <c r="L57" i="39"/>
  <c r="N57" i="39"/>
  <c r="G57" i="39"/>
  <c r="P57" i="39"/>
  <c r="J57" i="39"/>
  <c r="K57" i="39"/>
  <c r="M57" i="39"/>
  <c r="O57" i="39"/>
  <c r="H57" i="39"/>
  <c r="S57" i="39"/>
  <c r="I57" i="39"/>
  <c r="Q57" i="39"/>
  <c r="R57" i="39"/>
  <c r="J36" i="39"/>
  <c r="R36" i="39"/>
  <c r="H36" i="39"/>
  <c r="Q36" i="39"/>
  <c r="I36" i="39"/>
  <c r="S36" i="39"/>
  <c r="K36" i="39"/>
  <c r="M36" i="39"/>
  <c r="N36" i="39"/>
  <c r="O36" i="39"/>
  <c r="P36" i="39"/>
  <c r="G36" i="39"/>
  <c r="L36" i="39"/>
  <c r="R161" i="40"/>
  <c r="J161" i="40"/>
  <c r="N161" i="40"/>
  <c r="G199" i="41"/>
  <c r="O199" i="41"/>
  <c r="I199" i="41"/>
  <c r="R199" i="41"/>
  <c r="J199" i="41"/>
  <c r="S199" i="41"/>
  <c r="K199" i="41"/>
  <c r="L199" i="41"/>
  <c r="M199" i="41"/>
  <c r="N199" i="41"/>
  <c r="Q199" i="41"/>
  <c r="M182" i="41"/>
  <c r="I182" i="41"/>
  <c r="R182" i="41"/>
  <c r="J182" i="41"/>
  <c r="S182" i="41"/>
  <c r="K182" i="41"/>
  <c r="G182" i="41"/>
  <c r="H182" i="41"/>
  <c r="L182" i="41"/>
  <c r="P182" i="41"/>
  <c r="Q182" i="41"/>
  <c r="G5" i="42"/>
  <c r="P5" i="42"/>
  <c r="R5" i="42"/>
  <c r="J5" i="42"/>
  <c r="L5" i="42"/>
  <c r="N5" i="42"/>
  <c r="G165" i="44"/>
  <c r="O165" i="44"/>
  <c r="H165" i="44"/>
  <c r="Q165" i="44"/>
  <c r="J165" i="44"/>
  <c r="S165" i="44"/>
  <c r="M165" i="44"/>
  <c r="N165" i="44"/>
  <c r="R165" i="44"/>
  <c r="I165" i="44"/>
  <c r="K165" i="44"/>
  <c r="L165" i="44"/>
  <c r="P165" i="44"/>
  <c r="L28" i="44"/>
  <c r="M28" i="44"/>
  <c r="J28" i="44"/>
  <c r="K28" i="44"/>
  <c r="O28" i="44"/>
  <c r="G28" i="44"/>
  <c r="H28" i="44"/>
  <c r="I28" i="44"/>
  <c r="N28" i="44"/>
  <c r="Q28" i="44"/>
  <c r="R28" i="44"/>
  <c r="S28" i="44"/>
  <c r="P28" i="44"/>
  <c r="G174" i="36"/>
  <c r="O174" i="36"/>
  <c r="H174" i="36"/>
  <c r="P174" i="36"/>
  <c r="S174" i="36"/>
  <c r="I174" i="36"/>
  <c r="Q174" i="36"/>
  <c r="J174" i="36"/>
  <c r="R174" i="36"/>
  <c r="K174" i="36"/>
  <c r="I167" i="36"/>
  <c r="Q167" i="36"/>
  <c r="J167" i="36"/>
  <c r="R167" i="36"/>
  <c r="K167" i="36"/>
  <c r="S167" i="36"/>
  <c r="L167" i="36"/>
  <c r="M167" i="36"/>
  <c r="I107" i="36"/>
  <c r="Q107" i="36"/>
  <c r="M107" i="36"/>
  <c r="J107" i="36"/>
  <c r="R107" i="36"/>
  <c r="K107" i="36"/>
  <c r="S107" i="36"/>
  <c r="L107" i="36"/>
  <c r="H17" i="36"/>
  <c r="P17" i="36"/>
  <c r="J17" i="36"/>
  <c r="S17" i="36"/>
  <c r="N17" i="36"/>
  <c r="K17" i="36"/>
  <c r="L17" i="36"/>
  <c r="M17" i="36"/>
  <c r="R7" i="36"/>
  <c r="J7" i="36"/>
  <c r="L7" i="36"/>
  <c r="N7" i="36"/>
  <c r="P7" i="36"/>
  <c r="J138" i="37"/>
  <c r="R138" i="37"/>
  <c r="L138" i="37"/>
  <c r="I138" i="37"/>
  <c r="K138" i="37"/>
  <c r="M138" i="37"/>
  <c r="N138" i="37"/>
  <c r="O138" i="37"/>
  <c r="G199" i="36"/>
  <c r="H199" i="36"/>
  <c r="J199" i="36"/>
  <c r="L199" i="36"/>
  <c r="N199" i="36"/>
  <c r="P199" i="36"/>
  <c r="G158" i="36"/>
  <c r="O158" i="36"/>
  <c r="K158" i="36"/>
  <c r="S158" i="36"/>
  <c r="H158" i="36"/>
  <c r="P158" i="36"/>
  <c r="I158" i="36"/>
  <c r="Q158" i="36"/>
  <c r="J158" i="36"/>
  <c r="R158" i="36"/>
  <c r="G142" i="36"/>
  <c r="O142" i="36"/>
  <c r="H142" i="36"/>
  <c r="P142" i="36"/>
  <c r="I142" i="36"/>
  <c r="Q142" i="36"/>
  <c r="J142" i="36"/>
  <c r="R142" i="36"/>
  <c r="K142" i="36"/>
  <c r="S142" i="36"/>
  <c r="I135" i="36"/>
  <c r="Q135" i="36"/>
  <c r="J135" i="36"/>
  <c r="R135" i="36"/>
  <c r="K135" i="36"/>
  <c r="S135" i="36"/>
  <c r="L135" i="36"/>
  <c r="M135" i="36"/>
  <c r="G122" i="36"/>
  <c r="O122" i="36"/>
  <c r="H122" i="36"/>
  <c r="P122" i="36"/>
  <c r="K122" i="36"/>
  <c r="I122" i="36"/>
  <c r="Q122" i="36"/>
  <c r="S122" i="36"/>
  <c r="J122" i="36"/>
  <c r="R122" i="36"/>
  <c r="L95" i="36"/>
  <c r="H95" i="36"/>
  <c r="Q95" i="36"/>
  <c r="I95" i="36"/>
  <c r="R95" i="36"/>
  <c r="M95" i="36"/>
  <c r="J95" i="36"/>
  <c r="S95" i="36"/>
  <c r="K95" i="36"/>
  <c r="J34" i="36"/>
  <c r="R34" i="36"/>
  <c r="I34" i="36"/>
  <c r="S34" i="36"/>
  <c r="K34" i="36"/>
  <c r="L34" i="36"/>
  <c r="M34" i="36"/>
  <c r="N34" i="36"/>
  <c r="H84" i="37"/>
  <c r="P84" i="37"/>
  <c r="I84" i="37"/>
  <c r="Q84" i="37"/>
  <c r="J84" i="37"/>
  <c r="R84" i="37"/>
  <c r="L84" i="37"/>
  <c r="S84" i="37"/>
  <c r="M84" i="37"/>
  <c r="N84" i="37"/>
  <c r="O84" i="37"/>
  <c r="J33" i="37"/>
  <c r="R33" i="37"/>
  <c r="K33" i="37"/>
  <c r="S33" i="37"/>
  <c r="L33" i="37"/>
  <c r="H33" i="37"/>
  <c r="O33" i="37"/>
  <c r="I33" i="37"/>
  <c r="M33" i="37"/>
  <c r="N33" i="37"/>
  <c r="K200" i="38"/>
  <c r="S200" i="38"/>
  <c r="L200" i="38"/>
  <c r="M200" i="38"/>
  <c r="G200" i="38"/>
  <c r="R200" i="38"/>
  <c r="N200" i="38"/>
  <c r="H200" i="38"/>
  <c r="I200" i="38"/>
  <c r="J200" i="38"/>
  <c r="G146" i="38"/>
  <c r="O146" i="38"/>
  <c r="H146" i="38"/>
  <c r="P146" i="38"/>
  <c r="I146" i="38"/>
  <c r="Q146" i="38"/>
  <c r="K146" i="38"/>
  <c r="L146" i="38"/>
  <c r="R146" i="38"/>
  <c r="M146" i="38"/>
  <c r="N146" i="38"/>
  <c r="I135" i="38"/>
  <c r="Q135" i="38"/>
  <c r="J135" i="38"/>
  <c r="R135" i="38"/>
  <c r="K135" i="38"/>
  <c r="S135" i="38"/>
  <c r="G135" i="38"/>
  <c r="H135" i="38"/>
  <c r="L135" i="38"/>
  <c r="M135" i="38"/>
  <c r="N135" i="38"/>
  <c r="K128" i="38"/>
  <c r="S128" i="38"/>
  <c r="L128" i="38"/>
  <c r="M128" i="38"/>
  <c r="I128" i="38"/>
  <c r="P128" i="38"/>
  <c r="J128" i="38"/>
  <c r="N128" i="38"/>
  <c r="O128" i="38"/>
  <c r="G178" i="39"/>
  <c r="J178" i="39"/>
  <c r="H178" i="39"/>
  <c r="L178" i="39"/>
  <c r="N178" i="39"/>
  <c r="P178" i="39"/>
  <c r="R178" i="39"/>
  <c r="R151" i="39"/>
  <c r="J151" i="39"/>
  <c r="N151" i="39"/>
  <c r="N191" i="35"/>
  <c r="N187" i="35"/>
  <c r="N183" i="35"/>
  <c r="N175" i="35"/>
  <c r="N167" i="35"/>
  <c r="N163" i="35"/>
  <c r="N159" i="35"/>
  <c r="N147" i="35"/>
  <c r="N143" i="35"/>
  <c r="N135" i="35"/>
  <c r="H87" i="35"/>
  <c r="P87" i="35"/>
  <c r="L87" i="35"/>
  <c r="I87" i="35"/>
  <c r="Q87" i="35"/>
  <c r="J87" i="35"/>
  <c r="R87" i="35"/>
  <c r="S87" i="35"/>
  <c r="K87" i="35"/>
  <c r="O79" i="35"/>
  <c r="H71" i="35"/>
  <c r="P71" i="35"/>
  <c r="I71" i="35"/>
  <c r="Q71" i="35"/>
  <c r="L71" i="35"/>
  <c r="J71" i="35"/>
  <c r="R71" i="35"/>
  <c r="K71" i="35"/>
  <c r="S71" i="35"/>
  <c r="O63" i="35"/>
  <c r="H55" i="35"/>
  <c r="P55" i="35"/>
  <c r="L55" i="35"/>
  <c r="I55" i="35"/>
  <c r="Q55" i="35"/>
  <c r="J55" i="35"/>
  <c r="R55" i="35"/>
  <c r="K55" i="35"/>
  <c r="S55" i="35"/>
  <c r="O47" i="35"/>
  <c r="H39" i="35"/>
  <c r="P39" i="35"/>
  <c r="I39" i="35"/>
  <c r="Q39" i="35"/>
  <c r="J39" i="35"/>
  <c r="R39" i="35"/>
  <c r="K39" i="35"/>
  <c r="L39" i="35"/>
  <c r="S39" i="35"/>
  <c r="O31" i="35"/>
  <c r="H7" i="35"/>
  <c r="P7" i="35"/>
  <c r="I7" i="35"/>
  <c r="Q7" i="35"/>
  <c r="J7" i="35"/>
  <c r="R7" i="35"/>
  <c r="K7" i="35"/>
  <c r="S7" i="35"/>
  <c r="L7" i="35"/>
  <c r="G126" i="36"/>
  <c r="O126" i="36"/>
  <c r="S126" i="36"/>
  <c r="H126" i="36"/>
  <c r="P126" i="36"/>
  <c r="K126" i="36"/>
  <c r="I126" i="36"/>
  <c r="Q126" i="36"/>
  <c r="J126" i="36"/>
  <c r="R126" i="36"/>
  <c r="H93" i="36"/>
  <c r="P93" i="36"/>
  <c r="I93" i="36"/>
  <c r="R93" i="36"/>
  <c r="M93" i="36"/>
  <c r="J93" i="36"/>
  <c r="S93" i="36"/>
  <c r="K93" i="36"/>
  <c r="L93" i="36"/>
  <c r="L19" i="36"/>
  <c r="I19" i="36"/>
  <c r="R19" i="36"/>
  <c r="J19" i="36"/>
  <c r="S19" i="36"/>
  <c r="K19" i="36"/>
  <c r="N19" i="36"/>
  <c r="M19" i="36"/>
  <c r="J166" i="37"/>
  <c r="R166" i="37"/>
  <c r="L166" i="37"/>
  <c r="H166" i="37"/>
  <c r="S166" i="37"/>
  <c r="N166" i="37"/>
  <c r="I166" i="37"/>
  <c r="K166" i="37"/>
  <c r="M166" i="37"/>
  <c r="H161" i="37"/>
  <c r="P161" i="37"/>
  <c r="J161" i="37"/>
  <c r="R161" i="37"/>
  <c r="K161" i="37"/>
  <c r="L161" i="37"/>
  <c r="O161" i="37"/>
  <c r="M161" i="37"/>
  <c r="N161" i="37"/>
  <c r="H157" i="37"/>
  <c r="P157" i="37"/>
  <c r="J157" i="37"/>
  <c r="R157" i="37"/>
  <c r="I157" i="37"/>
  <c r="K157" i="37"/>
  <c r="L157" i="37"/>
  <c r="M157" i="37"/>
  <c r="N157" i="37"/>
  <c r="J130" i="37"/>
  <c r="R130" i="37"/>
  <c r="L130" i="37"/>
  <c r="G130" i="37"/>
  <c r="Q130" i="37"/>
  <c r="M130" i="37"/>
  <c r="H130" i="37"/>
  <c r="S130" i="37"/>
  <c r="I130" i="37"/>
  <c r="K130" i="37"/>
  <c r="G190" i="38"/>
  <c r="O190" i="38"/>
  <c r="H190" i="38"/>
  <c r="P190" i="38"/>
  <c r="I190" i="38"/>
  <c r="Q190" i="38"/>
  <c r="L190" i="38"/>
  <c r="M190" i="38"/>
  <c r="S190" i="38"/>
  <c r="N190" i="38"/>
  <c r="R190" i="38"/>
  <c r="I159" i="38"/>
  <c r="Q159" i="38"/>
  <c r="J159" i="38"/>
  <c r="R159" i="38"/>
  <c r="K159" i="38"/>
  <c r="S159" i="38"/>
  <c r="L159" i="38"/>
  <c r="M159" i="38"/>
  <c r="N159" i="38"/>
  <c r="O159" i="38"/>
  <c r="P159" i="38"/>
  <c r="H9" i="38"/>
  <c r="P9" i="38"/>
  <c r="J9" i="38"/>
  <c r="S9" i="38"/>
  <c r="K9" i="38"/>
  <c r="L9" i="38"/>
  <c r="M9" i="38"/>
  <c r="G9" i="38"/>
  <c r="I9" i="38"/>
  <c r="N9" i="38"/>
  <c r="Q9" i="38"/>
  <c r="O9" i="38"/>
  <c r="G203" i="40"/>
  <c r="R203" i="40"/>
  <c r="L203" i="40"/>
  <c r="N203" i="40"/>
  <c r="P203" i="40"/>
  <c r="J203" i="40"/>
  <c r="I107" i="40"/>
  <c r="Q107" i="40"/>
  <c r="J107" i="40"/>
  <c r="K107" i="40"/>
  <c r="S107" i="40"/>
  <c r="N107" i="40"/>
  <c r="O107" i="40"/>
  <c r="P107" i="40"/>
  <c r="H107" i="40"/>
  <c r="L107" i="40"/>
  <c r="M107" i="40"/>
  <c r="R107" i="40"/>
  <c r="G107" i="40"/>
  <c r="K58" i="40"/>
  <c r="S58" i="40"/>
  <c r="H58" i="40"/>
  <c r="Q58" i="40"/>
  <c r="I58" i="40"/>
  <c r="R58" i="40"/>
  <c r="J58" i="40"/>
  <c r="O58" i="40"/>
  <c r="P58" i="40"/>
  <c r="L58" i="40"/>
  <c r="M58" i="40"/>
  <c r="N58" i="40"/>
  <c r="K54" i="40"/>
  <c r="S54" i="40"/>
  <c r="I54" i="40"/>
  <c r="R54" i="40"/>
  <c r="J54" i="40"/>
  <c r="L54" i="40"/>
  <c r="H54" i="40"/>
  <c r="M54" i="40"/>
  <c r="N54" i="40"/>
  <c r="Q54" i="40"/>
  <c r="P54" i="40"/>
  <c r="K185" i="42"/>
  <c r="S185" i="42"/>
  <c r="L185" i="42"/>
  <c r="M185" i="42"/>
  <c r="I185" i="42"/>
  <c r="J185" i="42"/>
  <c r="N185" i="42"/>
  <c r="O185" i="42"/>
  <c r="H185" i="42"/>
  <c r="P185" i="42"/>
  <c r="Q185" i="42"/>
  <c r="G185" i="42"/>
  <c r="R185" i="42"/>
  <c r="O204" i="35"/>
  <c r="M203" i="35"/>
  <c r="O200" i="35"/>
  <c r="M199" i="35"/>
  <c r="O196" i="35"/>
  <c r="M195" i="35"/>
  <c r="O192" i="35"/>
  <c r="M191" i="35"/>
  <c r="O188" i="35"/>
  <c r="M187" i="35"/>
  <c r="O184" i="35"/>
  <c r="M183" i="35"/>
  <c r="O180" i="35"/>
  <c r="M179" i="35"/>
  <c r="O176" i="35"/>
  <c r="M175" i="35"/>
  <c r="O172" i="35"/>
  <c r="M171" i="35"/>
  <c r="O168" i="35"/>
  <c r="M167" i="35"/>
  <c r="O164" i="35"/>
  <c r="M163" i="35"/>
  <c r="O160" i="35"/>
  <c r="M159" i="35"/>
  <c r="O156" i="35"/>
  <c r="M155" i="35"/>
  <c r="O152" i="35"/>
  <c r="M151" i="35"/>
  <c r="O148" i="35"/>
  <c r="M147" i="35"/>
  <c r="O144" i="35"/>
  <c r="M143" i="35"/>
  <c r="O140" i="35"/>
  <c r="M139" i="35"/>
  <c r="O136" i="35"/>
  <c r="M135" i="35"/>
  <c r="O132" i="35"/>
  <c r="M131" i="35"/>
  <c r="O128" i="35"/>
  <c r="M127" i="35"/>
  <c r="N111" i="35"/>
  <c r="N95" i="35"/>
  <c r="N79" i="35"/>
  <c r="N63" i="35"/>
  <c r="N47" i="35"/>
  <c r="N31" i="35"/>
  <c r="N15" i="35"/>
  <c r="O179" i="36"/>
  <c r="G178" i="36"/>
  <c r="O178" i="36"/>
  <c r="H178" i="36"/>
  <c r="P178" i="36"/>
  <c r="K178" i="36"/>
  <c r="S178" i="36"/>
  <c r="I178" i="36"/>
  <c r="Q178" i="36"/>
  <c r="J178" i="36"/>
  <c r="R178" i="36"/>
  <c r="I171" i="36"/>
  <c r="Q171" i="36"/>
  <c r="J171" i="36"/>
  <c r="R171" i="36"/>
  <c r="M171" i="36"/>
  <c r="K171" i="36"/>
  <c r="S171" i="36"/>
  <c r="L171" i="36"/>
  <c r="O163" i="36"/>
  <c r="G162" i="36"/>
  <c r="O162" i="36"/>
  <c r="S162" i="36"/>
  <c r="H162" i="36"/>
  <c r="P162" i="36"/>
  <c r="I162" i="36"/>
  <c r="Q162" i="36"/>
  <c r="K162" i="36"/>
  <c r="J162" i="36"/>
  <c r="R162" i="36"/>
  <c r="I155" i="36"/>
  <c r="Q155" i="36"/>
  <c r="J155" i="36"/>
  <c r="R155" i="36"/>
  <c r="K155" i="36"/>
  <c r="S155" i="36"/>
  <c r="L155" i="36"/>
  <c r="M155" i="36"/>
  <c r="O147" i="36"/>
  <c r="G146" i="36"/>
  <c r="O146" i="36"/>
  <c r="H146" i="36"/>
  <c r="P146" i="36"/>
  <c r="S146" i="36"/>
  <c r="I146" i="36"/>
  <c r="Q146" i="36"/>
  <c r="R146" i="36"/>
  <c r="K146" i="36"/>
  <c r="J146" i="36"/>
  <c r="I139" i="36"/>
  <c r="Q139" i="36"/>
  <c r="J139" i="36"/>
  <c r="R139" i="36"/>
  <c r="M139" i="36"/>
  <c r="K139" i="36"/>
  <c r="S139" i="36"/>
  <c r="L139" i="36"/>
  <c r="O131" i="36"/>
  <c r="G130" i="36"/>
  <c r="O130" i="36"/>
  <c r="H130" i="36"/>
  <c r="P130" i="36"/>
  <c r="K130" i="36"/>
  <c r="I130" i="36"/>
  <c r="Q130" i="36"/>
  <c r="J130" i="36"/>
  <c r="R130" i="36"/>
  <c r="S130" i="36"/>
  <c r="N127" i="36"/>
  <c r="I115" i="36"/>
  <c r="Q115" i="36"/>
  <c r="J115" i="36"/>
  <c r="R115" i="36"/>
  <c r="M115" i="36"/>
  <c r="K115" i="36"/>
  <c r="S115" i="36"/>
  <c r="L115" i="36"/>
  <c r="N110" i="36"/>
  <c r="P103" i="36"/>
  <c r="O99" i="36"/>
  <c r="G98" i="36"/>
  <c r="O98" i="36"/>
  <c r="H98" i="36"/>
  <c r="P98" i="36"/>
  <c r="S98" i="36"/>
  <c r="I98" i="36"/>
  <c r="Q98" i="36"/>
  <c r="K98" i="36"/>
  <c r="J98" i="36"/>
  <c r="R98" i="36"/>
  <c r="O90" i="36"/>
  <c r="J66" i="36"/>
  <c r="R66" i="36"/>
  <c r="I66" i="36"/>
  <c r="S66" i="36"/>
  <c r="K66" i="36"/>
  <c r="N66" i="36"/>
  <c r="L66" i="36"/>
  <c r="M66" i="36"/>
  <c r="P63" i="36"/>
  <c r="L51" i="36"/>
  <c r="I51" i="36"/>
  <c r="R51" i="36"/>
  <c r="J51" i="36"/>
  <c r="S51" i="36"/>
  <c r="K51" i="36"/>
  <c r="M51" i="36"/>
  <c r="N51" i="36"/>
  <c r="O29" i="36"/>
  <c r="J15" i="36"/>
  <c r="L15" i="36"/>
  <c r="N15" i="36"/>
  <c r="O15" i="36"/>
  <c r="Q15" i="36"/>
  <c r="P15" i="36"/>
  <c r="Q204" i="37"/>
  <c r="J201" i="37"/>
  <c r="R201" i="37"/>
  <c r="G201" i="37"/>
  <c r="P201" i="37"/>
  <c r="H201" i="37"/>
  <c r="Q201" i="37"/>
  <c r="L201" i="37"/>
  <c r="I201" i="37"/>
  <c r="S201" i="37"/>
  <c r="K201" i="37"/>
  <c r="H185" i="37"/>
  <c r="P185" i="37"/>
  <c r="J185" i="37"/>
  <c r="R185" i="37"/>
  <c r="G185" i="37"/>
  <c r="S185" i="37"/>
  <c r="M185" i="37"/>
  <c r="I185" i="37"/>
  <c r="K185" i="37"/>
  <c r="L185" i="37"/>
  <c r="Q134" i="37"/>
  <c r="S129" i="37"/>
  <c r="S125" i="37"/>
  <c r="P106" i="37"/>
  <c r="J100" i="37"/>
  <c r="N100" i="37"/>
  <c r="L100" i="37"/>
  <c r="P100" i="37"/>
  <c r="R100" i="37"/>
  <c r="S100" i="37"/>
  <c r="Q85" i="37"/>
  <c r="J53" i="37"/>
  <c r="R53" i="37"/>
  <c r="K53" i="37"/>
  <c r="S53" i="37"/>
  <c r="L53" i="37"/>
  <c r="I53" i="37"/>
  <c r="M53" i="37"/>
  <c r="N53" i="37"/>
  <c r="O53" i="37"/>
  <c r="P53" i="37"/>
  <c r="H20" i="37"/>
  <c r="P20" i="37"/>
  <c r="I20" i="37"/>
  <c r="Q20" i="37"/>
  <c r="J20" i="37"/>
  <c r="R20" i="37"/>
  <c r="L20" i="37"/>
  <c r="M20" i="37"/>
  <c r="S20" i="37"/>
  <c r="N20" i="37"/>
  <c r="O20" i="37"/>
  <c r="I179" i="38"/>
  <c r="Q179" i="38"/>
  <c r="J179" i="38"/>
  <c r="R179" i="38"/>
  <c r="K179" i="38"/>
  <c r="S179" i="38"/>
  <c r="H179" i="38"/>
  <c r="L179" i="38"/>
  <c r="M179" i="38"/>
  <c r="N179" i="38"/>
  <c r="O179" i="38"/>
  <c r="R160" i="38"/>
  <c r="K148" i="38"/>
  <c r="S148" i="38"/>
  <c r="L148" i="38"/>
  <c r="M148" i="38"/>
  <c r="H148" i="38"/>
  <c r="O148" i="38"/>
  <c r="I148" i="38"/>
  <c r="J148" i="38"/>
  <c r="N148" i="38"/>
  <c r="Q136" i="38"/>
  <c r="G114" i="38"/>
  <c r="O114" i="38"/>
  <c r="H114" i="38"/>
  <c r="P114" i="38"/>
  <c r="I114" i="38"/>
  <c r="Q114" i="38"/>
  <c r="K114" i="38"/>
  <c r="L114" i="38"/>
  <c r="M114" i="38"/>
  <c r="R114" i="38"/>
  <c r="N114" i="38"/>
  <c r="I99" i="38"/>
  <c r="Q99" i="38"/>
  <c r="J99" i="38"/>
  <c r="R99" i="38"/>
  <c r="K99" i="38"/>
  <c r="S99" i="38"/>
  <c r="L99" i="38"/>
  <c r="H99" i="38"/>
  <c r="M99" i="38"/>
  <c r="N99" i="38"/>
  <c r="O99" i="38"/>
  <c r="P99" i="38"/>
  <c r="G94" i="38"/>
  <c r="O94" i="38"/>
  <c r="H94" i="38"/>
  <c r="P94" i="38"/>
  <c r="I94" i="38"/>
  <c r="Q94" i="38"/>
  <c r="J94" i="38"/>
  <c r="R94" i="38"/>
  <c r="L94" i="38"/>
  <c r="M94" i="38"/>
  <c r="N94" i="38"/>
  <c r="S94" i="38"/>
  <c r="I83" i="38"/>
  <c r="Q83" i="38"/>
  <c r="J83" i="38"/>
  <c r="R83" i="38"/>
  <c r="K83" i="38"/>
  <c r="S83" i="38"/>
  <c r="L83" i="38"/>
  <c r="H83" i="38"/>
  <c r="P83" i="38"/>
  <c r="M83" i="38"/>
  <c r="N83" i="38"/>
  <c r="O83" i="38"/>
  <c r="G78" i="38"/>
  <c r="O78" i="38"/>
  <c r="H78" i="38"/>
  <c r="P78" i="38"/>
  <c r="I78" i="38"/>
  <c r="Q78" i="38"/>
  <c r="J78" i="38"/>
  <c r="R78" i="38"/>
  <c r="L78" i="38"/>
  <c r="M78" i="38"/>
  <c r="N78" i="38"/>
  <c r="S78" i="38"/>
  <c r="I67" i="38"/>
  <c r="Q67" i="38"/>
  <c r="J67" i="38"/>
  <c r="R67" i="38"/>
  <c r="K67" i="38"/>
  <c r="S67" i="38"/>
  <c r="L67" i="38"/>
  <c r="H67" i="38"/>
  <c r="P67" i="38"/>
  <c r="M67" i="38"/>
  <c r="N67" i="38"/>
  <c r="O67" i="38"/>
  <c r="G62" i="38"/>
  <c r="O62" i="38"/>
  <c r="H62" i="38"/>
  <c r="P62" i="38"/>
  <c r="I62" i="38"/>
  <c r="Q62" i="38"/>
  <c r="J62" i="38"/>
  <c r="R62" i="38"/>
  <c r="L62" i="38"/>
  <c r="M62" i="38"/>
  <c r="N62" i="38"/>
  <c r="S62" i="38"/>
  <c r="I51" i="38"/>
  <c r="Q51" i="38"/>
  <c r="J51" i="38"/>
  <c r="R51" i="38"/>
  <c r="K51" i="38"/>
  <c r="S51" i="38"/>
  <c r="L51" i="38"/>
  <c r="H51" i="38"/>
  <c r="M51" i="38"/>
  <c r="N51" i="38"/>
  <c r="O51" i="38"/>
  <c r="P51" i="38"/>
  <c r="G46" i="38"/>
  <c r="O46" i="38"/>
  <c r="H46" i="38"/>
  <c r="P46" i="38"/>
  <c r="I46" i="38"/>
  <c r="Q46" i="38"/>
  <c r="J46" i="38"/>
  <c r="R46" i="38"/>
  <c r="L46" i="38"/>
  <c r="M46" i="38"/>
  <c r="N46" i="38"/>
  <c r="S46" i="38"/>
  <c r="I35" i="38"/>
  <c r="Q35" i="38"/>
  <c r="J35" i="38"/>
  <c r="R35" i="38"/>
  <c r="K35" i="38"/>
  <c r="S35" i="38"/>
  <c r="L35" i="38"/>
  <c r="H35" i="38"/>
  <c r="M35" i="38"/>
  <c r="P35" i="38"/>
  <c r="N35" i="38"/>
  <c r="O35" i="38"/>
  <c r="G30" i="38"/>
  <c r="O30" i="38"/>
  <c r="H30" i="38"/>
  <c r="P30" i="38"/>
  <c r="I30" i="38"/>
  <c r="Q30" i="38"/>
  <c r="J30" i="38"/>
  <c r="R30" i="38"/>
  <c r="L30" i="38"/>
  <c r="M30" i="38"/>
  <c r="N30" i="38"/>
  <c r="S30" i="38"/>
  <c r="I19" i="38"/>
  <c r="Q19" i="38"/>
  <c r="J19" i="38"/>
  <c r="R19" i="38"/>
  <c r="K19" i="38"/>
  <c r="S19" i="38"/>
  <c r="L19" i="38"/>
  <c r="H19" i="38"/>
  <c r="M19" i="38"/>
  <c r="N19" i="38"/>
  <c r="P19" i="38"/>
  <c r="O19" i="38"/>
  <c r="G157" i="39"/>
  <c r="J157" i="39"/>
  <c r="L157" i="39"/>
  <c r="P157" i="39"/>
  <c r="R157" i="39"/>
  <c r="H157" i="39"/>
  <c r="N157" i="39"/>
  <c r="H79" i="39"/>
  <c r="P79" i="39"/>
  <c r="L79" i="39"/>
  <c r="I79" i="39"/>
  <c r="S79" i="39"/>
  <c r="J79" i="39"/>
  <c r="K79" i="39"/>
  <c r="M79" i="39"/>
  <c r="N79" i="39"/>
  <c r="O79" i="39"/>
  <c r="Q79" i="39"/>
  <c r="R79" i="39"/>
  <c r="J7" i="39"/>
  <c r="H7" i="39"/>
  <c r="L7" i="39"/>
  <c r="N7" i="39"/>
  <c r="P7" i="39"/>
  <c r="R7" i="39"/>
  <c r="G195" i="40"/>
  <c r="N195" i="40"/>
  <c r="R195" i="40"/>
  <c r="L195" i="40"/>
  <c r="P195" i="40"/>
  <c r="H195" i="40"/>
  <c r="J195" i="40"/>
  <c r="G193" i="40"/>
  <c r="J193" i="40"/>
  <c r="N193" i="40"/>
  <c r="P193" i="40"/>
  <c r="R193" i="40"/>
  <c r="G188" i="40"/>
  <c r="P188" i="40"/>
  <c r="L188" i="40"/>
  <c r="N188" i="40"/>
  <c r="R188" i="40"/>
  <c r="K86" i="40"/>
  <c r="S86" i="40"/>
  <c r="I86" i="40"/>
  <c r="R86" i="40"/>
  <c r="J86" i="40"/>
  <c r="L86" i="40"/>
  <c r="O86" i="40"/>
  <c r="P86" i="40"/>
  <c r="Q86" i="40"/>
  <c r="H86" i="40"/>
  <c r="M86" i="40"/>
  <c r="N86" i="40"/>
  <c r="G80" i="40"/>
  <c r="O80" i="40"/>
  <c r="K80" i="40"/>
  <c r="L80" i="40"/>
  <c r="M80" i="40"/>
  <c r="P80" i="40"/>
  <c r="Q80" i="40"/>
  <c r="R80" i="40"/>
  <c r="I80" i="40"/>
  <c r="H80" i="40"/>
  <c r="J80" i="40"/>
  <c r="N80" i="40"/>
  <c r="S80" i="40"/>
  <c r="G76" i="40"/>
  <c r="O76" i="40"/>
  <c r="L76" i="40"/>
  <c r="M76" i="40"/>
  <c r="N76" i="40"/>
  <c r="K76" i="40"/>
  <c r="P76" i="40"/>
  <c r="Q76" i="40"/>
  <c r="H76" i="40"/>
  <c r="I76" i="40"/>
  <c r="J76" i="40"/>
  <c r="R76" i="40"/>
  <c r="S76" i="40"/>
  <c r="O67" i="35"/>
  <c r="M63" i="35"/>
  <c r="H59" i="35"/>
  <c r="P59" i="35"/>
  <c r="I59" i="35"/>
  <c r="Q59" i="35"/>
  <c r="L59" i="35"/>
  <c r="J59" i="35"/>
  <c r="R59" i="35"/>
  <c r="K59" i="35"/>
  <c r="S59" i="35"/>
  <c r="O51" i="35"/>
  <c r="M47" i="35"/>
  <c r="H43" i="35"/>
  <c r="P43" i="35"/>
  <c r="I43" i="35"/>
  <c r="Q43" i="35"/>
  <c r="J43" i="35"/>
  <c r="R43" i="35"/>
  <c r="K43" i="35"/>
  <c r="S43" i="35"/>
  <c r="L43" i="35"/>
  <c r="O35" i="35"/>
  <c r="M31" i="35"/>
  <c r="H27" i="35"/>
  <c r="P27" i="35"/>
  <c r="I27" i="35"/>
  <c r="Q27" i="35"/>
  <c r="J27" i="35"/>
  <c r="R27" i="35"/>
  <c r="L27" i="35"/>
  <c r="K27" i="35"/>
  <c r="S27" i="35"/>
  <c r="O19" i="35"/>
  <c r="M15" i="35"/>
  <c r="H11" i="35"/>
  <c r="P11" i="35"/>
  <c r="I11" i="35"/>
  <c r="Q11" i="35"/>
  <c r="L11" i="35"/>
  <c r="J11" i="35"/>
  <c r="R11" i="35"/>
  <c r="S11" i="35"/>
  <c r="K11" i="35"/>
  <c r="H193" i="36"/>
  <c r="N193" i="36"/>
  <c r="R193" i="36"/>
  <c r="G184" i="36"/>
  <c r="J184" i="36"/>
  <c r="R184" i="36"/>
  <c r="L184" i="36"/>
  <c r="N184" i="36"/>
  <c r="P184" i="36"/>
  <c r="N179" i="36"/>
  <c r="N170" i="36"/>
  <c r="P167" i="36"/>
  <c r="N163" i="36"/>
  <c r="N154" i="36"/>
  <c r="P151" i="36"/>
  <c r="N147" i="36"/>
  <c r="N138" i="36"/>
  <c r="P135" i="36"/>
  <c r="N131" i="36"/>
  <c r="H127" i="36"/>
  <c r="I119" i="36"/>
  <c r="Q119" i="36"/>
  <c r="M119" i="36"/>
  <c r="J119" i="36"/>
  <c r="R119" i="36"/>
  <c r="K119" i="36"/>
  <c r="S119" i="36"/>
  <c r="L119" i="36"/>
  <c r="N114" i="36"/>
  <c r="M110" i="36"/>
  <c r="P107" i="36"/>
  <c r="O103" i="36"/>
  <c r="G102" i="36"/>
  <c r="O102" i="36"/>
  <c r="H102" i="36"/>
  <c r="P102" i="36"/>
  <c r="K102" i="36"/>
  <c r="I102" i="36"/>
  <c r="Q102" i="36"/>
  <c r="S102" i="36"/>
  <c r="J102" i="36"/>
  <c r="R102" i="36"/>
  <c r="N99" i="36"/>
  <c r="N90" i="36"/>
  <c r="H81" i="36"/>
  <c r="P81" i="36"/>
  <c r="J81" i="36"/>
  <c r="S81" i="36"/>
  <c r="K81" i="36"/>
  <c r="L81" i="36"/>
  <c r="N81" i="36"/>
  <c r="M81" i="36"/>
  <c r="J78" i="36"/>
  <c r="R78" i="36"/>
  <c r="H78" i="36"/>
  <c r="Q78" i="36"/>
  <c r="I78" i="36"/>
  <c r="S78" i="36"/>
  <c r="M78" i="36"/>
  <c r="K78" i="36"/>
  <c r="L78" i="36"/>
  <c r="O73" i="36"/>
  <c r="O63" i="36"/>
  <c r="Q61" i="36"/>
  <c r="J58" i="36"/>
  <c r="R58" i="36"/>
  <c r="G58" i="36"/>
  <c r="P58" i="36"/>
  <c r="H58" i="36"/>
  <c r="Q58" i="36"/>
  <c r="I58" i="36"/>
  <c r="S58" i="36"/>
  <c r="K58" i="36"/>
  <c r="L58" i="36"/>
  <c r="Q34" i="36"/>
  <c r="N29" i="36"/>
  <c r="R17" i="36"/>
  <c r="O204" i="37"/>
  <c r="J170" i="37"/>
  <c r="R170" i="37"/>
  <c r="L170" i="37"/>
  <c r="I170" i="37"/>
  <c r="K170" i="37"/>
  <c r="M170" i="37"/>
  <c r="O170" i="37"/>
  <c r="N170" i="37"/>
  <c r="S138" i="37"/>
  <c r="P134" i="37"/>
  <c r="Q129" i="37"/>
  <c r="Q125" i="37"/>
  <c r="H106" i="37"/>
  <c r="J102" i="37"/>
  <c r="R102" i="37"/>
  <c r="L102" i="37"/>
  <c r="H102" i="37"/>
  <c r="S102" i="37"/>
  <c r="N102" i="37"/>
  <c r="I102" i="37"/>
  <c r="K102" i="37"/>
  <c r="M102" i="37"/>
  <c r="H85" i="37"/>
  <c r="J65" i="37"/>
  <c r="R65" i="37"/>
  <c r="K65" i="37"/>
  <c r="S65" i="37"/>
  <c r="L65" i="37"/>
  <c r="H65" i="37"/>
  <c r="O65" i="37"/>
  <c r="I65" i="37"/>
  <c r="M65" i="37"/>
  <c r="N65" i="37"/>
  <c r="K52" i="37"/>
  <c r="Q45" i="37"/>
  <c r="H32" i="37"/>
  <c r="P32" i="37"/>
  <c r="I32" i="37"/>
  <c r="Q32" i="37"/>
  <c r="J32" i="37"/>
  <c r="R32" i="37"/>
  <c r="K32" i="37"/>
  <c r="L32" i="37"/>
  <c r="M32" i="37"/>
  <c r="O32" i="37"/>
  <c r="N32" i="37"/>
  <c r="J13" i="37"/>
  <c r="R13" i="37"/>
  <c r="K13" i="37"/>
  <c r="S13" i="37"/>
  <c r="L13" i="37"/>
  <c r="G13" i="37"/>
  <c r="H13" i="37"/>
  <c r="I13" i="37"/>
  <c r="N13" i="37"/>
  <c r="M13" i="37"/>
  <c r="I199" i="38"/>
  <c r="Q199" i="38"/>
  <c r="J199" i="38"/>
  <c r="R199" i="38"/>
  <c r="K199" i="38"/>
  <c r="S199" i="38"/>
  <c r="G199" i="38"/>
  <c r="H199" i="38"/>
  <c r="L199" i="38"/>
  <c r="N199" i="38"/>
  <c r="M199" i="38"/>
  <c r="K192" i="38"/>
  <c r="S192" i="38"/>
  <c r="L192" i="38"/>
  <c r="M192" i="38"/>
  <c r="I192" i="38"/>
  <c r="J192" i="38"/>
  <c r="P192" i="38"/>
  <c r="N192" i="38"/>
  <c r="O192" i="38"/>
  <c r="R180" i="38"/>
  <c r="S178" i="38"/>
  <c r="K168" i="38"/>
  <c r="S168" i="38"/>
  <c r="L168" i="38"/>
  <c r="M168" i="38"/>
  <c r="G168" i="38"/>
  <c r="R168" i="38"/>
  <c r="H168" i="38"/>
  <c r="N168" i="38"/>
  <c r="I168" i="38"/>
  <c r="J168" i="38"/>
  <c r="Q160" i="38"/>
  <c r="P147" i="38"/>
  <c r="P136" i="38"/>
  <c r="G134" i="38"/>
  <c r="O134" i="38"/>
  <c r="H134" i="38"/>
  <c r="P134" i="38"/>
  <c r="I134" i="38"/>
  <c r="Q134" i="38"/>
  <c r="J134" i="38"/>
  <c r="K134" i="38"/>
  <c r="L134" i="38"/>
  <c r="N134" i="38"/>
  <c r="M134" i="38"/>
  <c r="I127" i="38"/>
  <c r="Q127" i="38"/>
  <c r="J127" i="38"/>
  <c r="R127" i="38"/>
  <c r="K127" i="38"/>
  <c r="S127" i="38"/>
  <c r="L127" i="38"/>
  <c r="M127" i="38"/>
  <c r="N127" i="38"/>
  <c r="P127" i="38"/>
  <c r="O127" i="38"/>
  <c r="G182" i="39"/>
  <c r="R182" i="39"/>
  <c r="H182" i="39"/>
  <c r="J182" i="39"/>
  <c r="L182" i="39"/>
  <c r="N182" i="39"/>
  <c r="J48" i="39"/>
  <c r="R48" i="39"/>
  <c r="G48" i="39"/>
  <c r="P48" i="39"/>
  <c r="I48" i="39"/>
  <c r="S48" i="39"/>
  <c r="H48" i="39"/>
  <c r="K48" i="39"/>
  <c r="L48" i="39"/>
  <c r="M48" i="39"/>
  <c r="N48" i="39"/>
  <c r="O48" i="39"/>
  <c r="Q48" i="39"/>
  <c r="I127" i="40"/>
  <c r="Q127" i="40"/>
  <c r="K127" i="40"/>
  <c r="S127" i="40"/>
  <c r="L127" i="40"/>
  <c r="M127" i="40"/>
  <c r="N127" i="40"/>
  <c r="G127" i="40"/>
  <c r="H127" i="40"/>
  <c r="J127" i="40"/>
  <c r="O127" i="40"/>
  <c r="R127" i="40"/>
  <c r="L105" i="39"/>
  <c r="I105" i="39"/>
  <c r="R105" i="39"/>
  <c r="K105" i="39"/>
  <c r="M105" i="39"/>
  <c r="N105" i="39"/>
  <c r="O105" i="39"/>
  <c r="G105" i="39"/>
  <c r="H105" i="39"/>
  <c r="Q105" i="39"/>
  <c r="J105" i="39"/>
  <c r="P105" i="39"/>
  <c r="M67" i="40"/>
  <c r="J67" i="40"/>
  <c r="S67" i="40"/>
  <c r="K67" i="40"/>
  <c r="L67" i="40"/>
  <c r="O67" i="40"/>
  <c r="P67" i="40"/>
  <c r="Q67" i="40"/>
  <c r="H67" i="40"/>
  <c r="N67" i="40"/>
  <c r="R67" i="40"/>
  <c r="I67" i="40"/>
  <c r="N203" i="35"/>
  <c r="N199" i="35"/>
  <c r="N195" i="35"/>
  <c r="N179" i="35"/>
  <c r="N171" i="35"/>
  <c r="N155" i="35"/>
  <c r="N151" i="35"/>
  <c r="N139" i="35"/>
  <c r="N131" i="35"/>
  <c r="N127" i="35"/>
  <c r="H119" i="35"/>
  <c r="P119" i="35"/>
  <c r="L119" i="35"/>
  <c r="I119" i="35"/>
  <c r="Q119" i="35"/>
  <c r="J119" i="35"/>
  <c r="R119" i="35"/>
  <c r="K119" i="35"/>
  <c r="S119" i="35"/>
  <c r="O111" i="35"/>
  <c r="H103" i="35"/>
  <c r="P103" i="35"/>
  <c r="I103" i="35"/>
  <c r="Q103" i="35"/>
  <c r="J103" i="35"/>
  <c r="R103" i="35"/>
  <c r="K103" i="35"/>
  <c r="S103" i="35"/>
  <c r="L103" i="35"/>
  <c r="O95" i="35"/>
  <c r="H23" i="35"/>
  <c r="P23" i="35"/>
  <c r="I23" i="35"/>
  <c r="Q23" i="35"/>
  <c r="L23" i="35"/>
  <c r="J23" i="35"/>
  <c r="R23" i="35"/>
  <c r="K23" i="35"/>
  <c r="S23" i="35"/>
  <c r="O15" i="35"/>
  <c r="G185" i="36"/>
  <c r="L185" i="36"/>
  <c r="N185" i="36"/>
  <c r="P185" i="36"/>
  <c r="R185" i="36"/>
  <c r="O127" i="36"/>
  <c r="I111" i="36"/>
  <c r="Q111" i="36"/>
  <c r="J111" i="36"/>
  <c r="R111" i="36"/>
  <c r="K111" i="36"/>
  <c r="S111" i="36"/>
  <c r="M111" i="36"/>
  <c r="L111" i="36"/>
  <c r="L75" i="36"/>
  <c r="G75" i="36"/>
  <c r="P75" i="36"/>
  <c r="K75" i="36"/>
  <c r="H75" i="36"/>
  <c r="Q75" i="36"/>
  <c r="I75" i="36"/>
  <c r="R75" i="36"/>
  <c r="J75" i="36"/>
  <c r="S75" i="36"/>
  <c r="H49" i="36"/>
  <c r="P49" i="36"/>
  <c r="J49" i="36"/>
  <c r="S49" i="36"/>
  <c r="N49" i="36"/>
  <c r="K49" i="36"/>
  <c r="L49" i="36"/>
  <c r="M49" i="36"/>
  <c r="J46" i="36"/>
  <c r="R46" i="36"/>
  <c r="H46" i="36"/>
  <c r="Q46" i="36"/>
  <c r="I46" i="36"/>
  <c r="S46" i="36"/>
  <c r="K46" i="36"/>
  <c r="M46" i="36"/>
  <c r="L46" i="36"/>
  <c r="Q29" i="36"/>
  <c r="J26" i="36"/>
  <c r="R26" i="36"/>
  <c r="G26" i="36"/>
  <c r="P26" i="36"/>
  <c r="L26" i="36"/>
  <c r="H26" i="36"/>
  <c r="Q26" i="36"/>
  <c r="I26" i="36"/>
  <c r="S26" i="36"/>
  <c r="K26" i="36"/>
  <c r="Q106" i="37"/>
  <c r="J77" i="37"/>
  <c r="R77" i="37"/>
  <c r="K77" i="37"/>
  <c r="S77" i="37"/>
  <c r="L77" i="37"/>
  <c r="G77" i="37"/>
  <c r="H77" i="37"/>
  <c r="I77" i="37"/>
  <c r="M77" i="37"/>
  <c r="N77" i="37"/>
  <c r="H44" i="37"/>
  <c r="P44" i="37"/>
  <c r="I44" i="37"/>
  <c r="Q44" i="37"/>
  <c r="J44" i="37"/>
  <c r="R44" i="37"/>
  <c r="G44" i="37"/>
  <c r="K44" i="37"/>
  <c r="N44" i="37"/>
  <c r="L44" i="37"/>
  <c r="M44" i="37"/>
  <c r="G166" i="38"/>
  <c r="O166" i="38"/>
  <c r="H166" i="38"/>
  <c r="P166" i="38"/>
  <c r="I166" i="38"/>
  <c r="Q166" i="38"/>
  <c r="J166" i="38"/>
  <c r="N166" i="38"/>
  <c r="K166" i="38"/>
  <c r="L166" i="38"/>
  <c r="M166" i="38"/>
  <c r="L203" i="35"/>
  <c r="L199" i="35"/>
  <c r="L195" i="35"/>
  <c r="L191" i="35"/>
  <c r="L187" i="35"/>
  <c r="L183" i="35"/>
  <c r="L179" i="35"/>
  <c r="L175" i="35"/>
  <c r="L171" i="35"/>
  <c r="L167" i="35"/>
  <c r="L163" i="35"/>
  <c r="L159" i="35"/>
  <c r="L155" i="35"/>
  <c r="L151" i="35"/>
  <c r="L147" i="35"/>
  <c r="N144" i="35"/>
  <c r="L143" i="35"/>
  <c r="N140" i="35"/>
  <c r="L139" i="35"/>
  <c r="N136" i="35"/>
  <c r="L135" i="35"/>
  <c r="N132" i="35"/>
  <c r="L131" i="35"/>
  <c r="N128" i="35"/>
  <c r="L127" i="35"/>
  <c r="H123" i="35"/>
  <c r="P123" i="35"/>
  <c r="S123" i="35"/>
  <c r="I123" i="35"/>
  <c r="Q123" i="35"/>
  <c r="L123" i="35"/>
  <c r="J123" i="35"/>
  <c r="R123" i="35"/>
  <c r="K123" i="35"/>
  <c r="O115" i="35"/>
  <c r="M111" i="35"/>
  <c r="H107" i="35"/>
  <c r="P107" i="35"/>
  <c r="I107" i="35"/>
  <c r="Q107" i="35"/>
  <c r="J107" i="35"/>
  <c r="R107" i="35"/>
  <c r="K107" i="35"/>
  <c r="S107" i="35"/>
  <c r="L107" i="35"/>
  <c r="O99" i="35"/>
  <c r="M95" i="35"/>
  <c r="H91" i="35"/>
  <c r="P91" i="35"/>
  <c r="L91" i="35"/>
  <c r="I91" i="35"/>
  <c r="Q91" i="35"/>
  <c r="J91" i="35"/>
  <c r="R91" i="35"/>
  <c r="K91" i="35"/>
  <c r="S91" i="35"/>
  <c r="O83" i="35"/>
  <c r="M79" i="35"/>
  <c r="H75" i="35"/>
  <c r="P75" i="35"/>
  <c r="I75" i="35"/>
  <c r="Q75" i="35"/>
  <c r="L75" i="35"/>
  <c r="J75" i="35"/>
  <c r="R75" i="35"/>
  <c r="K75" i="35"/>
  <c r="S75" i="35"/>
  <c r="I204" i="35"/>
  <c r="I200" i="35"/>
  <c r="G199" i="35"/>
  <c r="I196" i="35"/>
  <c r="I192" i="35"/>
  <c r="G191" i="35"/>
  <c r="I188" i="35"/>
  <c r="I184" i="35"/>
  <c r="G183" i="35"/>
  <c r="I180" i="35"/>
  <c r="I176" i="35"/>
  <c r="I172" i="35"/>
  <c r="G171" i="35"/>
  <c r="I168" i="35"/>
  <c r="I164" i="35"/>
  <c r="G163" i="35"/>
  <c r="I160" i="35"/>
  <c r="I156" i="35"/>
  <c r="I152" i="35"/>
  <c r="G151" i="35"/>
  <c r="I148" i="35"/>
  <c r="I144" i="35"/>
  <c r="G143" i="35"/>
  <c r="I140" i="35"/>
  <c r="I136" i="35"/>
  <c r="G135" i="35"/>
  <c r="I132" i="35"/>
  <c r="I128" i="35"/>
  <c r="G127" i="35"/>
  <c r="N115" i="35"/>
  <c r="N99" i="35"/>
  <c r="G95" i="35"/>
  <c r="N83" i="35"/>
  <c r="G79" i="35"/>
  <c r="N67" i="35"/>
  <c r="N51" i="35"/>
  <c r="G47" i="35"/>
  <c r="N35" i="35"/>
  <c r="N19" i="35"/>
  <c r="G15" i="35"/>
  <c r="G201" i="36"/>
  <c r="L201" i="36"/>
  <c r="N201" i="36"/>
  <c r="P201" i="36"/>
  <c r="R201" i="36"/>
  <c r="R192" i="36"/>
  <c r="G182" i="36"/>
  <c r="H182" i="36"/>
  <c r="P182" i="36"/>
  <c r="I182" i="36"/>
  <c r="Q182" i="36"/>
  <c r="L182" i="36"/>
  <c r="J182" i="36"/>
  <c r="R182" i="36"/>
  <c r="K182" i="36"/>
  <c r="S182" i="36"/>
  <c r="I175" i="36"/>
  <c r="Q175" i="36"/>
  <c r="J175" i="36"/>
  <c r="R175" i="36"/>
  <c r="K175" i="36"/>
  <c r="S175" i="36"/>
  <c r="L175" i="36"/>
  <c r="M175" i="36"/>
  <c r="O167" i="36"/>
  <c r="G166" i="36"/>
  <c r="O166" i="36"/>
  <c r="H166" i="36"/>
  <c r="P166" i="36"/>
  <c r="S166" i="36"/>
  <c r="I166" i="36"/>
  <c r="Q166" i="36"/>
  <c r="J166" i="36"/>
  <c r="R166" i="36"/>
  <c r="K166" i="36"/>
  <c r="H163" i="36"/>
  <c r="I159" i="36"/>
  <c r="Q159" i="36"/>
  <c r="J159" i="36"/>
  <c r="R159" i="36"/>
  <c r="M159" i="36"/>
  <c r="K159" i="36"/>
  <c r="S159" i="36"/>
  <c r="L159" i="36"/>
  <c r="M154" i="36"/>
  <c r="G150" i="36"/>
  <c r="O150" i="36"/>
  <c r="K150" i="36"/>
  <c r="H150" i="36"/>
  <c r="P150" i="36"/>
  <c r="S150" i="36"/>
  <c r="I150" i="36"/>
  <c r="Q150" i="36"/>
  <c r="J150" i="36"/>
  <c r="R150" i="36"/>
  <c r="H147" i="36"/>
  <c r="I143" i="36"/>
  <c r="Q143" i="36"/>
  <c r="M143" i="36"/>
  <c r="J143" i="36"/>
  <c r="R143" i="36"/>
  <c r="K143" i="36"/>
  <c r="S143" i="36"/>
  <c r="L143" i="36"/>
  <c r="O135" i="36"/>
  <c r="G134" i="36"/>
  <c r="O134" i="36"/>
  <c r="H134" i="36"/>
  <c r="P134" i="36"/>
  <c r="S134" i="36"/>
  <c r="I134" i="36"/>
  <c r="Q134" i="36"/>
  <c r="J134" i="36"/>
  <c r="R134" i="36"/>
  <c r="K134" i="36"/>
  <c r="G127" i="36"/>
  <c r="I123" i="36"/>
  <c r="Q123" i="36"/>
  <c r="M123" i="36"/>
  <c r="J123" i="36"/>
  <c r="R123" i="36"/>
  <c r="K123" i="36"/>
  <c r="S123" i="36"/>
  <c r="L123" i="36"/>
  <c r="N118" i="36"/>
  <c r="P111" i="36"/>
  <c r="O107" i="36"/>
  <c r="G106" i="36"/>
  <c r="O106" i="36"/>
  <c r="H106" i="36"/>
  <c r="P106" i="36"/>
  <c r="I106" i="36"/>
  <c r="Q106" i="36"/>
  <c r="J106" i="36"/>
  <c r="K106" i="36"/>
  <c r="S106" i="36"/>
  <c r="R106" i="36"/>
  <c r="N103" i="36"/>
  <c r="P95" i="36"/>
  <c r="L83" i="36"/>
  <c r="I83" i="36"/>
  <c r="R83" i="36"/>
  <c r="J83" i="36"/>
  <c r="S83" i="36"/>
  <c r="K83" i="36"/>
  <c r="N83" i="36"/>
  <c r="M83" i="36"/>
  <c r="N73" i="36"/>
  <c r="N63" i="36"/>
  <c r="O61" i="36"/>
  <c r="R49" i="36"/>
  <c r="O43" i="36"/>
  <c r="H41" i="36"/>
  <c r="P41" i="36"/>
  <c r="G41" i="36"/>
  <c r="Q41" i="36"/>
  <c r="L41" i="36"/>
  <c r="I41" i="36"/>
  <c r="R41" i="36"/>
  <c r="J41" i="36"/>
  <c r="S41" i="36"/>
  <c r="K41" i="36"/>
  <c r="P34" i="36"/>
  <c r="L31" i="36"/>
  <c r="H31" i="36"/>
  <c r="Q31" i="36"/>
  <c r="I31" i="36"/>
  <c r="R31" i="36"/>
  <c r="M31" i="36"/>
  <c r="J31" i="36"/>
  <c r="S31" i="36"/>
  <c r="K31" i="36"/>
  <c r="Q19" i="36"/>
  <c r="Q17" i="36"/>
  <c r="N204" i="37"/>
  <c r="P194" i="37"/>
  <c r="H193" i="37"/>
  <c r="P193" i="37"/>
  <c r="J193" i="37"/>
  <c r="R193" i="37"/>
  <c r="K193" i="37"/>
  <c r="O193" i="37"/>
  <c r="L193" i="37"/>
  <c r="M193" i="37"/>
  <c r="N193" i="37"/>
  <c r="H189" i="37"/>
  <c r="P189" i="37"/>
  <c r="J189" i="37"/>
  <c r="R189" i="37"/>
  <c r="I189" i="37"/>
  <c r="K189" i="37"/>
  <c r="L189" i="37"/>
  <c r="N189" i="37"/>
  <c r="M189" i="37"/>
  <c r="J162" i="37"/>
  <c r="R162" i="37"/>
  <c r="L162" i="37"/>
  <c r="G162" i="37"/>
  <c r="Q162" i="37"/>
  <c r="M162" i="37"/>
  <c r="H162" i="37"/>
  <c r="S162" i="37"/>
  <c r="I162" i="37"/>
  <c r="K162" i="37"/>
  <c r="Q153" i="37"/>
  <c r="Q138" i="37"/>
  <c r="O134" i="37"/>
  <c r="I129" i="37"/>
  <c r="O125" i="37"/>
  <c r="H121" i="37"/>
  <c r="P121" i="37"/>
  <c r="J121" i="37"/>
  <c r="R121" i="37"/>
  <c r="G121" i="37"/>
  <c r="S121" i="37"/>
  <c r="M121" i="37"/>
  <c r="I121" i="37"/>
  <c r="K121" i="37"/>
  <c r="L121" i="37"/>
  <c r="G85" i="37"/>
  <c r="H76" i="37"/>
  <c r="P76" i="37"/>
  <c r="I76" i="37"/>
  <c r="Q76" i="37"/>
  <c r="J76" i="37"/>
  <c r="R76" i="37"/>
  <c r="G76" i="37"/>
  <c r="N76" i="37"/>
  <c r="K76" i="37"/>
  <c r="L76" i="37"/>
  <c r="M76" i="37"/>
  <c r="Q21" i="37"/>
  <c r="S12" i="37"/>
  <c r="H191" i="38"/>
  <c r="Q180" i="38"/>
  <c r="G158" i="38"/>
  <c r="O158" i="38"/>
  <c r="H158" i="38"/>
  <c r="P158" i="38"/>
  <c r="I158" i="38"/>
  <c r="Q158" i="38"/>
  <c r="L158" i="38"/>
  <c r="M158" i="38"/>
  <c r="N158" i="38"/>
  <c r="R158" i="38"/>
  <c r="S158" i="38"/>
  <c r="G147" i="38"/>
  <c r="O136" i="38"/>
  <c r="R128" i="38"/>
  <c r="K116" i="38"/>
  <c r="S116" i="38"/>
  <c r="L116" i="38"/>
  <c r="M116" i="38"/>
  <c r="H116" i="38"/>
  <c r="O116" i="38"/>
  <c r="I116" i="38"/>
  <c r="J116" i="38"/>
  <c r="N116" i="38"/>
  <c r="Q104" i="38"/>
  <c r="J14" i="38"/>
  <c r="R14" i="38"/>
  <c r="K14" i="38"/>
  <c r="L14" i="38"/>
  <c r="M14" i="38"/>
  <c r="N14" i="38"/>
  <c r="H14" i="38"/>
  <c r="I14" i="38"/>
  <c r="O14" i="38"/>
  <c r="P14" i="38"/>
  <c r="Q14" i="38"/>
  <c r="G188" i="39"/>
  <c r="N188" i="39"/>
  <c r="L188" i="39"/>
  <c r="P188" i="39"/>
  <c r="R188" i="39"/>
  <c r="J188" i="39"/>
  <c r="H159" i="39"/>
  <c r="J159" i="39"/>
  <c r="N159" i="39"/>
  <c r="R159" i="39"/>
  <c r="L142" i="39"/>
  <c r="R126" i="39"/>
  <c r="G32" i="39"/>
  <c r="J153" i="40"/>
  <c r="R153" i="40"/>
  <c r="N153" i="40"/>
  <c r="N173" i="41"/>
  <c r="G201" i="42"/>
  <c r="K193" i="42"/>
  <c r="S193" i="42"/>
  <c r="L193" i="42"/>
  <c r="M193" i="42"/>
  <c r="I193" i="42"/>
  <c r="J193" i="42"/>
  <c r="N193" i="42"/>
  <c r="O193" i="42"/>
  <c r="H193" i="42"/>
  <c r="P193" i="42"/>
  <c r="Q193" i="42"/>
  <c r="R193" i="42"/>
  <c r="I151" i="36"/>
  <c r="Q151" i="36"/>
  <c r="M151" i="36"/>
  <c r="J151" i="36"/>
  <c r="R151" i="36"/>
  <c r="K151" i="36"/>
  <c r="S151" i="36"/>
  <c r="L151" i="36"/>
  <c r="H203" i="35"/>
  <c r="P203" i="35"/>
  <c r="I203" i="35"/>
  <c r="Q203" i="35"/>
  <c r="K203" i="35"/>
  <c r="S203" i="35"/>
  <c r="J203" i="35"/>
  <c r="R203" i="35"/>
  <c r="H195" i="35"/>
  <c r="P195" i="35"/>
  <c r="I195" i="35"/>
  <c r="Q195" i="35"/>
  <c r="S195" i="35"/>
  <c r="J195" i="35"/>
  <c r="R195" i="35"/>
  <c r="K195" i="35"/>
  <c r="H187" i="35"/>
  <c r="P187" i="35"/>
  <c r="I187" i="35"/>
  <c r="Q187" i="35"/>
  <c r="K187" i="35"/>
  <c r="S187" i="35"/>
  <c r="J187" i="35"/>
  <c r="R187" i="35"/>
  <c r="H179" i="35"/>
  <c r="P179" i="35"/>
  <c r="I179" i="35"/>
  <c r="Q179" i="35"/>
  <c r="K179" i="35"/>
  <c r="J179" i="35"/>
  <c r="R179" i="35"/>
  <c r="S179" i="35"/>
  <c r="H175" i="35"/>
  <c r="P175" i="35"/>
  <c r="I175" i="35"/>
  <c r="Q175" i="35"/>
  <c r="K175" i="35"/>
  <c r="J175" i="35"/>
  <c r="R175" i="35"/>
  <c r="S175" i="35"/>
  <c r="H167" i="35"/>
  <c r="P167" i="35"/>
  <c r="I167" i="35"/>
  <c r="S167" i="35"/>
  <c r="Q167" i="35"/>
  <c r="J167" i="35"/>
  <c r="R167" i="35"/>
  <c r="K167" i="35"/>
  <c r="H159" i="35"/>
  <c r="P159" i="35"/>
  <c r="I159" i="35"/>
  <c r="Q159" i="35"/>
  <c r="J159" i="35"/>
  <c r="R159" i="35"/>
  <c r="K159" i="35"/>
  <c r="S159" i="35"/>
  <c r="H155" i="35"/>
  <c r="P155" i="35"/>
  <c r="S155" i="35"/>
  <c r="I155" i="35"/>
  <c r="Q155" i="35"/>
  <c r="J155" i="35"/>
  <c r="R155" i="35"/>
  <c r="K155" i="35"/>
  <c r="H147" i="35"/>
  <c r="P147" i="35"/>
  <c r="K147" i="35"/>
  <c r="I147" i="35"/>
  <c r="Q147" i="35"/>
  <c r="J147" i="35"/>
  <c r="R147" i="35"/>
  <c r="S147" i="35"/>
  <c r="H139" i="35"/>
  <c r="P139" i="35"/>
  <c r="I139" i="35"/>
  <c r="Q139" i="35"/>
  <c r="S139" i="35"/>
  <c r="J139" i="35"/>
  <c r="R139" i="35"/>
  <c r="K139" i="35"/>
  <c r="H131" i="35"/>
  <c r="P131" i="35"/>
  <c r="I131" i="35"/>
  <c r="Q131" i="35"/>
  <c r="J131" i="35"/>
  <c r="R131" i="35"/>
  <c r="K131" i="35"/>
  <c r="S131" i="35"/>
  <c r="H111" i="35"/>
  <c r="P111" i="35"/>
  <c r="I111" i="35"/>
  <c r="Q111" i="35"/>
  <c r="J111" i="35"/>
  <c r="R111" i="35"/>
  <c r="K111" i="35"/>
  <c r="S111" i="35"/>
  <c r="L111" i="35"/>
  <c r="H63" i="35"/>
  <c r="P63" i="35"/>
  <c r="I63" i="35"/>
  <c r="Q63" i="35"/>
  <c r="J63" i="35"/>
  <c r="R63" i="35"/>
  <c r="K63" i="35"/>
  <c r="L63" i="35"/>
  <c r="S63" i="35"/>
  <c r="H31" i="35"/>
  <c r="P31" i="35"/>
  <c r="L31" i="35"/>
  <c r="I31" i="35"/>
  <c r="Q31" i="35"/>
  <c r="J31" i="35"/>
  <c r="R31" i="35"/>
  <c r="K31" i="35"/>
  <c r="S31" i="35"/>
  <c r="N167" i="36"/>
  <c r="G110" i="36"/>
  <c r="O110" i="36"/>
  <c r="H110" i="36"/>
  <c r="P110" i="36"/>
  <c r="S110" i="36"/>
  <c r="I110" i="36"/>
  <c r="Q110" i="36"/>
  <c r="K110" i="36"/>
  <c r="J110" i="36"/>
  <c r="R110" i="36"/>
  <c r="J90" i="36"/>
  <c r="R90" i="36"/>
  <c r="G90" i="36"/>
  <c r="P90" i="36"/>
  <c r="H90" i="36"/>
  <c r="Q90" i="36"/>
  <c r="L90" i="36"/>
  <c r="I90" i="36"/>
  <c r="S90" i="36"/>
  <c r="K90" i="36"/>
  <c r="O34" i="36"/>
  <c r="H29" i="36"/>
  <c r="P29" i="36"/>
  <c r="I29" i="36"/>
  <c r="R29" i="36"/>
  <c r="J29" i="36"/>
  <c r="S29" i="36"/>
  <c r="K29" i="36"/>
  <c r="L29" i="36"/>
  <c r="M29" i="36"/>
  <c r="O17" i="36"/>
  <c r="H10" i="36"/>
  <c r="N10" i="36"/>
  <c r="R10" i="36"/>
  <c r="P138" i="37"/>
  <c r="J106" i="37"/>
  <c r="R106" i="37"/>
  <c r="L106" i="37"/>
  <c r="I106" i="37"/>
  <c r="K106" i="37"/>
  <c r="M106" i="37"/>
  <c r="N106" i="37"/>
  <c r="O106" i="37"/>
  <c r="H52" i="37"/>
  <c r="P52" i="37"/>
  <c r="I52" i="37"/>
  <c r="Q52" i="37"/>
  <c r="J52" i="37"/>
  <c r="R52" i="37"/>
  <c r="L52" i="37"/>
  <c r="M52" i="37"/>
  <c r="N52" i="37"/>
  <c r="S52" i="37"/>
  <c r="O52" i="37"/>
  <c r="Q33" i="37"/>
  <c r="G178" i="38"/>
  <c r="O178" i="38"/>
  <c r="H178" i="38"/>
  <c r="P178" i="38"/>
  <c r="I178" i="38"/>
  <c r="Q178" i="38"/>
  <c r="K178" i="38"/>
  <c r="L178" i="38"/>
  <c r="R178" i="38"/>
  <c r="M178" i="38"/>
  <c r="N178" i="38"/>
  <c r="G136" i="39"/>
  <c r="R136" i="39"/>
  <c r="J136" i="39"/>
  <c r="L136" i="39"/>
  <c r="N136" i="39"/>
  <c r="P136" i="39"/>
  <c r="G149" i="43"/>
  <c r="O149" i="43"/>
  <c r="I149" i="43"/>
  <c r="R149" i="43"/>
  <c r="J149" i="43"/>
  <c r="S149" i="43"/>
  <c r="K149" i="43"/>
  <c r="M149" i="43"/>
  <c r="N149" i="43"/>
  <c r="P149" i="43"/>
  <c r="Q149" i="43"/>
  <c r="H149" i="43"/>
  <c r="L149" i="43"/>
  <c r="N71" i="35"/>
  <c r="N55" i="35"/>
  <c r="N23" i="35"/>
  <c r="H189" i="36"/>
  <c r="J189" i="36"/>
  <c r="N189" i="36"/>
  <c r="P189" i="36"/>
  <c r="R189" i="36"/>
  <c r="I179" i="36"/>
  <c r="Q179" i="36"/>
  <c r="J179" i="36"/>
  <c r="R179" i="36"/>
  <c r="M179" i="36"/>
  <c r="K179" i="36"/>
  <c r="S179" i="36"/>
  <c r="L179" i="36"/>
  <c r="M174" i="36"/>
  <c r="G170" i="36"/>
  <c r="O170" i="36"/>
  <c r="H170" i="36"/>
  <c r="P170" i="36"/>
  <c r="I170" i="36"/>
  <c r="Q170" i="36"/>
  <c r="J170" i="36"/>
  <c r="R170" i="36"/>
  <c r="K170" i="36"/>
  <c r="S170" i="36"/>
  <c r="H167" i="36"/>
  <c r="M142" i="36"/>
  <c r="G138" i="36"/>
  <c r="O138" i="36"/>
  <c r="K138" i="36"/>
  <c r="H138" i="36"/>
  <c r="P138" i="36"/>
  <c r="I138" i="36"/>
  <c r="Q138" i="36"/>
  <c r="J138" i="36"/>
  <c r="R138" i="36"/>
  <c r="S138" i="36"/>
  <c r="H135" i="36"/>
  <c r="I131" i="36"/>
  <c r="Q131" i="36"/>
  <c r="M131" i="36"/>
  <c r="J131" i="36"/>
  <c r="R131" i="36"/>
  <c r="K131" i="36"/>
  <c r="S131" i="36"/>
  <c r="L131" i="36"/>
  <c r="N126" i="36"/>
  <c r="G114" i="36"/>
  <c r="O114" i="36"/>
  <c r="H114" i="36"/>
  <c r="P114" i="36"/>
  <c r="I114" i="36"/>
  <c r="Q114" i="36"/>
  <c r="S114" i="36"/>
  <c r="J114" i="36"/>
  <c r="R114" i="36"/>
  <c r="K114" i="36"/>
  <c r="H107" i="36"/>
  <c r="I99" i="36"/>
  <c r="Q99" i="36"/>
  <c r="J99" i="36"/>
  <c r="R99" i="36"/>
  <c r="K99" i="36"/>
  <c r="S99" i="36"/>
  <c r="M99" i="36"/>
  <c r="L99" i="36"/>
  <c r="N95" i="36"/>
  <c r="O93" i="36"/>
  <c r="O49" i="36"/>
  <c r="O46" i="36"/>
  <c r="H34" i="36"/>
  <c r="O26" i="36"/>
  <c r="G5" i="36"/>
  <c r="H5" i="36"/>
  <c r="N5" i="36"/>
  <c r="P5" i="36"/>
  <c r="R5" i="36"/>
  <c r="P166" i="37"/>
  <c r="Q161" i="37"/>
  <c r="Q157" i="37"/>
  <c r="H138" i="37"/>
  <c r="P130" i="37"/>
  <c r="H64" i="37"/>
  <c r="P64" i="37"/>
  <c r="I64" i="37"/>
  <c r="Q64" i="37"/>
  <c r="J64" i="37"/>
  <c r="R64" i="37"/>
  <c r="K64" i="37"/>
  <c r="L64" i="37"/>
  <c r="O64" i="37"/>
  <c r="M64" i="37"/>
  <c r="N64" i="37"/>
  <c r="J45" i="37"/>
  <c r="R45" i="37"/>
  <c r="K45" i="37"/>
  <c r="S45" i="37"/>
  <c r="L45" i="37"/>
  <c r="G45" i="37"/>
  <c r="H45" i="37"/>
  <c r="I45" i="37"/>
  <c r="M45" i="37"/>
  <c r="N45" i="37"/>
  <c r="P33" i="37"/>
  <c r="G198" i="38"/>
  <c r="O198" i="38"/>
  <c r="H198" i="38"/>
  <c r="P198" i="38"/>
  <c r="I198" i="38"/>
  <c r="Q198" i="38"/>
  <c r="J198" i="38"/>
  <c r="K198" i="38"/>
  <c r="N198" i="38"/>
  <c r="L198" i="38"/>
  <c r="M198" i="38"/>
  <c r="I167" i="38"/>
  <c r="Q167" i="38"/>
  <c r="J167" i="38"/>
  <c r="R167" i="38"/>
  <c r="K167" i="38"/>
  <c r="S167" i="38"/>
  <c r="G167" i="38"/>
  <c r="H167" i="38"/>
  <c r="L167" i="38"/>
  <c r="N167" i="38"/>
  <c r="M167" i="38"/>
  <c r="K160" i="38"/>
  <c r="S160" i="38"/>
  <c r="L160" i="38"/>
  <c r="M160" i="38"/>
  <c r="I160" i="38"/>
  <c r="J160" i="38"/>
  <c r="P160" i="38"/>
  <c r="N160" i="38"/>
  <c r="O160" i="38"/>
  <c r="P135" i="38"/>
  <c r="G126" i="38"/>
  <c r="O126" i="38"/>
  <c r="H126" i="38"/>
  <c r="P126" i="38"/>
  <c r="I126" i="38"/>
  <c r="Q126" i="38"/>
  <c r="L126" i="38"/>
  <c r="M126" i="38"/>
  <c r="S126" i="38"/>
  <c r="N126" i="38"/>
  <c r="R126" i="38"/>
  <c r="G193" i="39"/>
  <c r="H193" i="39"/>
  <c r="N193" i="39"/>
  <c r="P193" i="39"/>
  <c r="R193" i="39"/>
  <c r="N146" i="39"/>
  <c r="R146" i="39"/>
  <c r="H146" i="39"/>
  <c r="J146" i="39"/>
  <c r="L146" i="39"/>
  <c r="P146" i="39"/>
  <c r="L101" i="39"/>
  <c r="M101" i="39"/>
  <c r="I101" i="39"/>
  <c r="S101" i="39"/>
  <c r="J101" i="39"/>
  <c r="K101" i="39"/>
  <c r="N101" i="39"/>
  <c r="O101" i="39"/>
  <c r="P101" i="39"/>
  <c r="Q101" i="39"/>
  <c r="R101" i="39"/>
  <c r="L65" i="39"/>
  <c r="G65" i="39"/>
  <c r="P65" i="39"/>
  <c r="I65" i="39"/>
  <c r="R65" i="39"/>
  <c r="K65" i="39"/>
  <c r="M65" i="39"/>
  <c r="N65" i="39"/>
  <c r="O65" i="39"/>
  <c r="J65" i="39"/>
  <c r="Q65" i="39"/>
  <c r="S65" i="39"/>
  <c r="H179" i="40"/>
  <c r="R179" i="40"/>
  <c r="J179" i="40"/>
  <c r="N179" i="40"/>
  <c r="M31" i="40"/>
  <c r="K31" i="40"/>
  <c r="L31" i="40"/>
  <c r="N31" i="40"/>
  <c r="G31" i="40"/>
  <c r="S31" i="40"/>
  <c r="H31" i="40"/>
  <c r="I31" i="40"/>
  <c r="P31" i="40"/>
  <c r="Q31" i="40"/>
  <c r="R31" i="40"/>
  <c r="O31" i="40"/>
  <c r="K18" i="40"/>
  <c r="S18" i="40"/>
  <c r="J18" i="40"/>
  <c r="L18" i="40"/>
  <c r="M18" i="40"/>
  <c r="N18" i="40"/>
  <c r="O18" i="40"/>
  <c r="P18" i="40"/>
  <c r="G18" i="40"/>
  <c r="H18" i="40"/>
  <c r="I18" i="40"/>
  <c r="Q18" i="40"/>
  <c r="R18" i="40"/>
  <c r="K129" i="41"/>
  <c r="S129" i="41"/>
  <c r="L129" i="41"/>
  <c r="J129" i="41"/>
  <c r="M129" i="41"/>
  <c r="N129" i="41"/>
  <c r="O129" i="41"/>
  <c r="Q129" i="41"/>
  <c r="R129" i="41"/>
  <c r="H129" i="41"/>
  <c r="G129" i="41"/>
  <c r="I129" i="41"/>
  <c r="P129" i="41"/>
  <c r="H106" i="41"/>
  <c r="J106" i="41"/>
  <c r="N106" i="41"/>
  <c r="R106" i="41"/>
  <c r="G96" i="41"/>
  <c r="P96" i="41"/>
  <c r="R96" i="41"/>
  <c r="L96" i="41"/>
  <c r="N96" i="41"/>
  <c r="J96" i="41"/>
  <c r="N91" i="41"/>
  <c r="P91" i="41"/>
  <c r="R91" i="41"/>
  <c r="H91" i="41"/>
  <c r="J91" i="41"/>
  <c r="L91" i="41"/>
  <c r="H12" i="41"/>
  <c r="N12" i="41"/>
  <c r="R12" i="41"/>
  <c r="H19" i="42"/>
  <c r="P19" i="42"/>
  <c r="I19" i="42"/>
  <c r="Q19" i="42"/>
  <c r="J19" i="42"/>
  <c r="K19" i="42"/>
  <c r="L19" i="42"/>
  <c r="M19" i="42"/>
  <c r="O19" i="42"/>
  <c r="R19" i="42"/>
  <c r="S19" i="42"/>
  <c r="N19" i="42"/>
  <c r="G19" i="42"/>
  <c r="L17" i="42"/>
  <c r="M17" i="42"/>
  <c r="J17" i="42"/>
  <c r="K17" i="42"/>
  <c r="N17" i="42"/>
  <c r="O17" i="42"/>
  <c r="G17" i="42"/>
  <c r="H17" i="42"/>
  <c r="I17" i="42"/>
  <c r="P17" i="42"/>
  <c r="Q17" i="42"/>
  <c r="S17" i="42"/>
  <c r="I126" i="43"/>
  <c r="Q126" i="43"/>
  <c r="K126" i="43"/>
  <c r="L126" i="43"/>
  <c r="M126" i="43"/>
  <c r="G126" i="43"/>
  <c r="P126" i="43"/>
  <c r="J126" i="43"/>
  <c r="N126" i="43"/>
  <c r="O126" i="43"/>
  <c r="R126" i="43"/>
  <c r="H126" i="43"/>
  <c r="S126" i="43"/>
  <c r="H98" i="44"/>
  <c r="N98" i="44"/>
  <c r="R98" i="44"/>
  <c r="J98" i="44"/>
  <c r="N124" i="35"/>
  <c r="N116" i="35"/>
  <c r="N104" i="35"/>
  <c r="N100" i="35"/>
  <c r="N88" i="35"/>
  <c r="N76" i="35"/>
  <c r="N72" i="35"/>
  <c r="N68" i="35"/>
  <c r="N64" i="35"/>
  <c r="N56" i="35"/>
  <c r="N48" i="35"/>
  <c r="N32" i="35"/>
  <c r="J86" i="36"/>
  <c r="R86" i="36"/>
  <c r="O71" i="36"/>
  <c r="O54" i="36"/>
  <c r="O39" i="36"/>
  <c r="H165" i="37"/>
  <c r="P165" i="37"/>
  <c r="J165" i="37"/>
  <c r="R165" i="37"/>
  <c r="H133" i="37"/>
  <c r="P133" i="37"/>
  <c r="J133" i="37"/>
  <c r="R133" i="37"/>
  <c r="P110" i="37"/>
  <c r="H72" i="37"/>
  <c r="P72" i="37"/>
  <c r="I72" i="37"/>
  <c r="Q72" i="37"/>
  <c r="J72" i="37"/>
  <c r="R72" i="37"/>
  <c r="K204" i="38"/>
  <c r="S204" i="38"/>
  <c r="L204" i="38"/>
  <c r="M204" i="38"/>
  <c r="I171" i="38"/>
  <c r="Q171" i="38"/>
  <c r="J171" i="38"/>
  <c r="R171" i="38"/>
  <c r="K171" i="38"/>
  <c r="S171" i="38"/>
  <c r="Q140" i="38"/>
  <c r="Q108" i="38"/>
  <c r="G90" i="38"/>
  <c r="O90" i="38"/>
  <c r="H90" i="38"/>
  <c r="P90" i="38"/>
  <c r="I90" i="38"/>
  <c r="Q90" i="38"/>
  <c r="J90" i="38"/>
  <c r="R90" i="38"/>
  <c r="G74" i="38"/>
  <c r="O74" i="38"/>
  <c r="H74" i="38"/>
  <c r="P74" i="38"/>
  <c r="I74" i="38"/>
  <c r="Q74" i="38"/>
  <c r="J74" i="38"/>
  <c r="R74" i="38"/>
  <c r="I47" i="38"/>
  <c r="Q47" i="38"/>
  <c r="J47" i="38"/>
  <c r="R47" i="38"/>
  <c r="K47" i="38"/>
  <c r="S47" i="38"/>
  <c r="L47" i="38"/>
  <c r="G42" i="38"/>
  <c r="O42" i="38"/>
  <c r="H42" i="38"/>
  <c r="P42" i="38"/>
  <c r="I42" i="38"/>
  <c r="Q42" i="38"/>
  <c r="J42" i="38"/>
  <c r="R42" i="38"/>
  <c r="G159" i="41"/>
  <c r="O159" i="41"/>
  <c r="K159" i="41"/>
  <c r="L159" i="41"/>
  <c r="M159" i="41"/>
  <c r="N159" i="41"/>
  <c r="I159" i="41"/>
  <c r="J159" i="41"/>
  <c r="P159" i="41"/>
  <c r="S159" i="41"/>
  <c r="R159" i="41"/>
  <c r="L37" i="42"/>
  <c r="H37" i="42"/>
  <c r="Q37" i="42"/>
  <c r="I37" i="42"/>
  <c r="R37" i="42"/>
  <c r="J37" i="42"/>
  <c r="S37" i="42"/>
  <c r="K37" i="42"/>
  <c r="G37" i="42"/>
  <c r="M37" i="42"/>
  <c r="N37" i="42"/>
  <c r="O37" i="42"/>
  <c r="P37" i="42"/>
  <c r="J70" i="45"/>
  <c r="R70" i="45"/>
  <c r="K70" i="45"/>
  <c r="S70" i="45"/>
  <c r="L70" i="45"/>
  <c r="M70" i="45"/>
  <c r="H70" i="45"/>
  <c r="I70" i="45"/>
  <c r="N70" i="45"/>
  <c r="O70" i="45"/>
  <c r="Q70" i="45"/>
  <c r="G70" i="45"/>
  <c r="P70" i="45"/>
  <c r="M120" i="35"/>
  <c r="M116" i="35"/>
  <c r="M108" i="35"/>
  <c r="M104" i="35"/>
  <c r="M100" i="35"/>
  <c r="M88" i="35"/>
  <c r="M80" i="35"/>
  <c r="M68" i="35"/>
  <c r="M52" i="35"/>
  <c r="M16" i="35"/>
  <c r="M12" i="35"/>
  <c r="N180" i="36"/>
  <c r="N160" i="36"/>
  <c r="N156" i="36"/>
  <c r="N148" i="36"/>
  <c r="N144" i="36"/>
  <c r="N136" i="36"/>
  <c r="H89" i="36"/>
  <c r="P89" i="36"/>
  <c r="N86" i="36"/>
  <c r="J74" i="36"/>
  <c r="R74" i="36"/>
  <c r="N71" i="36"/>
  <c r="H57" i="36"/>
  <c r="P57" i="36"/>
  <c r="N54" i="36"/>
  <c r="J42" i="36"/>
  <c r="R42" i="36"/>
  <c r="N39" i="36"/>
  <c r="H25" i="36"/>
  <c r="P25" i="36"/>
  <c r="N22" i="36"/>
  <c r="H6" i="36"/>
  <c r="N6" i="36"/>
  <c r="H200" i="37"/>
  <c r="P200" i="37"/>
  <c r="J178" i="37"/>
  <c r="R178" i="37"/>
  <c r="L178" i="37"/>
  <c r="O174" i="37"/>
  <c r="H169" i="37"/>
  <c r="P169" i="37"/>
  <c r="J169" i="37"/>
  <c r="R169" i="37"/>
  <c r="O165" i="37"/>
  <c r="J146" i="37"/>
  <c r="R146" i="37"/>
  <c r="L146" i="37"/>
  <c r="O142" i="37"/>
  <c r="H137" i="37"/>
  <c r="P137" i="37"/>
  <c r="J137" i="37"/>
  <c r="R137" i="37"/>
  <c r="O133" i="37"/>
  <c r="J114" i="37"/>
  <c r="R114" i="37"/>
  <c r="L114" i="37"/>
  <c r="O110" i="37"/>
  <c r="H105" i="37"/>
  <c r="P105" i="37"/>
  <c r="J105" i="37"/>
  <c r="R105" i="37"/>
  <c r="O101" i="37"/>
  <c r="L94" i="37"/>
  <c r="P94" i="37"/>
  <c r="G91" i="37"/>
  <c r="P91" i="37"/>
  <c r="P73" i="37"/>
  <c r="S72" i="37"/>
  <c r="J61" i="37"/>
  <c r="R61" i="37"/>
  <c r="K61" i="37"/>
  <c r="S61" i="37"/>
  <c r="L61" i="37"/>
  <c r="H60" i="37"/>
  <c r="P60" i="37"/>
  <c r="I60" i="37"/>
  <c r="Q60" i="37"/>
  <c r="J60" i="37"/>
  <c r="R60" i="37"/>
  <c r="P41" i="37"/>
  <c r="S40" i="37"/>
  <c r="J29" i="37"/>
  <c r="R29" i="37"/>
  <c r="K29" i="37"/>
  <c r="S29" i="37"/>
  <c r="L29" i="37"/>
  <c r="H28" i="37"/>
  <c r="P28" i="37"/>
  <c r="I28" i="37"/>
  <c r="Q28" i="37"/>
  <c r="J28" i="37"/>
  <c r="R28" i="37"/>
  <c r="P9" i="37"/>
  <c r="P204" i="38"/>
  <c r="P203" i="38"/>
  <c r="K184" i="38"/>
  <c r="S184" i="38"/>
  <c r="L184" i="38"/>
  <c r="M184" i="38"/>
  <c r="I183" i="38"/>
  <c r="Q183" i="38"/>
  <c r="J183" i="38"/>
  <c r="R183" i="38"/>
  <c r="K183" i="38"/>
  <c r="S183" i="38"/>
  <c r="G182" i="38"/>
  <c r="O182" i="38"/>
  <c r="H182" i="38"/>
  <c r="P182" i="38"/>
  <c r="I182" i="38"/>
  <c r="Q182" i="38"/>
  <c r="P172" i="38"/>
  <c r="P171" i="38"/>
  <c r="K152" i="38"/>
  <c r="S152" i="38"/>
  <c r="L152" i="38"/>
  <c r="M152" i="38"/>
  <c r="I151" i="38"/>
  <c r="Q151" i="38"/>
  <c r="J151" i="38"/>
  <c r="R151" i="38"/>
  <c r="K151" i="38"/>
  <c r="S151" i="38"/>
  <c r="G150" i="38"/>
  <c r="O150" i="38"/>
  <c r="H150" i="38"/>
  <c r="P150" i="38"/>
  <c r="I150" i="38"/>
  <c r="Q150" i="38"/>
  <c r="P140" i="38"/>
  <c r="S138" i="38"/>
  <c r="K120" i="38"/>
  <c r="S120" i="38"/>
  <c r="L120" i="38"/>
  <c r="M120" i="38"/>
  <c r="I119" i="38"/>
  <c r="Q119" i="38"/>
  <c r="J119" i="38"/>
  <c r="R119" i="38"/>
  <c r="K119" i="38"/>
  <c r="S119" i="38"/>
  <c r="G118" i="38"/>
  <c r="O118" i="38"/>
  <c r="H118" i="38"/>
  <c r="P118" i="38"/>
  <c r="I118" i="38"/>
  <c r="Q118" i="38"/>
  <c r="P108" i="38"/>
  <c r="P107" i="38"/>
  <c r="G202" i="39"/>
  <c r="J202" i="39"/>
  <c r="N202" i="39"/>
  <c r="P202" i="39"/>
  <c r="R202" i="39"/>
  <c r="G191" i="39"/>
  <c r="H191" i="39"/>
  <c r="J191" i="39"/>
  <c r="L191" i="39"/>
  <c r="N191" i="39"/>
  <c r="H165" i="39"/>
  <c r="R165" i="39"/>
  <c r="H130" i="39"/>
  <c r="N130" i="39"/>
  <c r="R130" i="39"/>
  <c r="H111" i="39"/>
  <c r="P111" i="39"/>
  <c r="L111" i="39"/>
  <c r="G111" i="39"/>
  <c r="R111" i="39"/>
  <c r="I111" i="39"/>
  <c r="S111" i="39"/>
  <c r="J111" i="39"/>
  <c r="K111" i="39"/>
  <c r="J96" i="39"/>
  <c r="R96" i="39"/>
  <c r="L96" i="39"/>
  <c r="K96" i="39"/>
  <c r="M96" i="39"/>
  <c r="N96" i="39"/>
  <c r="O96" i="39"/>
  <c r="H59" i="39"/>
  <c r="P59" i="39"/>
  <c r="K59" i="39"/>
  <c r="M59" i="39"/>
  <c r="J59" i="39"/>
  <c r="L59" i="39"/>
  <c r="N59" i="39"/>
  <c r="O59" i="39"/>
  <c r="L49" i="39"/>
  <c r="K49" i="39"/>
  <c r="N49" i="39"/>
  <c r="G49" i="39"/>
  <c r="R49" i="39"/>
  <c r="H49" i="39"/>
  <c r="S49" i="39"/>
  <c r="I49" i="39"/>
  <c r="J49" i="39"/>
  <c r="L33" i="39"/>
  <c r="G33" i="39"/>
  <c r="P33" i="39"/>
  <c r="H33" i="39"/>
  <c r="Q33" i="39"/>
  <c r="I33" i="39"/>
  <c r="R33" i="39"/>
  <c r="M33" i="39"/>
  <c r="N33" i="39"/>
  <c r="O33" i="39"/>
  <c r="S33" i="39"/>
  <c r="J16" i="39"/>
  <c r="R16" i="39"/>
  <c r="G16" i="39"/>
  <c r="P16" i="39"/>
  <c r="H16" i="39"/>
  <c r="Q16" i="39"/>
  <c r="I16" i="39"/>
  <c r="S16" i="39"/>
  <c r="N16" i="39"/>
  <c r="O16" i="39"/>
  <c r="G198" i="40"/>
  <c r="H198" i="40"/>
  <c r="J198" i="40"/>
  <c r="L198" i="40"/>
  <c r="N198" i="40"/>
  <c r="P198" i="40"/>
  <c r="R198" i="40"/>
  <c r="N137" i="40"/>
  <c r="R137" i="40"/>
  <c r="H137" i="40"/>
  <c r="J137" i="40"/>
  <c r="L137" i="40"/>
  <c r="H134" i="40"/>
  <c r="R134" i="40"/>
  <c r="G130" i="40"/>
  <c r="J130" i="40"/>
  <c r="N130" i="40"/>
  <c r="Q130" i="40"/>
  <c r="R130" i="40"/>
  <c r="S130" i="40"/>
  <c r="P130" i="40"/>
  <c r="I111" i="40"/>
  <c r="Q111" i="40"/>
  <c r="K111" i="40"/>
  <c r="S111" i="40"/>
  <c r="L111" i="40"/>
  <c r="M111" i="40"/>
  <c r="N111" i="40"/>
  <c r="G111" i="40"/>
  <c r="R111" i="40"/>
  <c r="H111" i="40"/>
  <c r="J111" i="40"/>
  <c r="O111" i="40"/>
  <c r="P111" i="40"/>
  <c r="I33" i="40"/>
  <c r="Q33" i="40"/>
  <c r="K33" i="40"/>
  <c r="L33" i="40"/>
  <c r="M33" i="40"/>
  <c r="O33" i="40"/>
  <c r="P33" i="40"/>
  <c r="R33" i="40"/>
  <c r="H33" i="40"/>
  <c r="S33" i="40"/>
  <c r="M186" i="41"/>
  <c r="H186" i="41"/>
  <c r="Q186" i="41"/>
  <c r="I186" i="41"/>
  <c r="R186" i="41"/>
  <c r="J186" i="41"/>
  <c r="S186" i="41"/>
  <c r="K186" i="41"/>
  <c r="L186" i="41"/>
  <c r="N186" i="41"/>
  <c r="P186" i="41"/>
  <c r="I156" i="41"/>
  <c r="Q156" i="41"/>
  <c r="G156" i="41"/>
  <c r="P156" i="41"/>
  <c r="H156" i="41"/>
  <c r="R156" i="41"/>
  <c r="J156" i="41"/>
  <c r="S156" i="41"/>
  <c r="K156" i="41"/>
  <c r="M156" i="41"/>
  <c r="M146" i="41"/>
  <c r="J146" i="41"/>
  <c r="S146" i="41"/>
  <c r="K146" i="41"/>
  <c r="L146" i="41"/>
  <c r="N146" i="41"/>
  <c r="H146" i="41"/>
  <c r="I146" i="41"/>
  <c r="O146" i="41"/>
  <c r="R146" i="41"/>
  <c r="P146" i="41"/>
  <c r="Q146" i="41"/>
  <c r="I172" i="42"/>
  <c r="Q172" i="42"/>
  <c r="J172" i="42"/>
  <c r="R172" i="42"/>
  <c r="K172" i="42"/>
  <c r="S172" i="42"/>
  <c r="L172" i="42"/>
  <c r="M172" i="42"/>
  <c r="N172" i="42"/>
  <c r="O172" i="42"/>
  <c r="H172" i="42"/>
  <c r="P172" i="42"/>
  <c r="G172" i="42"/>
  <c r="H103" i="42"/>
  <c r="N103" i="42"/>
  <c r="R103" i="42"/>
  <c r="L57" i="42"/>
  <c r="I57" i="42"/>
  <c r="R57" i="42"/>
  <c r="J57" i="42"/>
  <c r="S57" i="42"/>
  <c r="K57" i="42"/>
  <c r="M57" i="42"/>
  <c r="H57" i="42"/>
  <c r="N57" i="42"/>
  <c r="O57" i="42"/>
  <c r="P57" i="42"/>
  <c r="Q57" i="42"/>
  <c r="N108" i="35"/>
  <c r="N60" i="35"/>
  <c r="N28" i="35"/>
  <c r="N20" i="35"/>
  <c r="N8" i="35"/>
  <c r="H69" i="36"/>
  <c r="P69" i="36"/>
  <c r="H37" i="36"/>
  <c r="P37" i="36"/>
  <c r="J197" i="37"/>
  <c r="R197" i="37"/>
  <c r="P174" i="37"/>
  <c r="P142" i="37"/>
  <c r="Q73" i="37"/>
  <c r="Q41" i="37"/>
  <c r="H8" i="37"/>
  <c r="P8" i="37"/>
  <c r="I8" i="37"/>
  <c r="Q8" i="37"/>
  <c r="J8" i="37"/>
  <c r="R8" i="37"/>
  <c r="Q204" i="38"/>
  <c r="G202" i="38"/>
  <c r="O202" i="38"/>
  <c r="H202" i="38"/>
  <c r="P202" i="38"/>
  <c r="I202" i="38"/>
  <c r="Q202" i="38"/>
  <c r="G170" i="38"/>
  <c r="O170" i="38"/>
  <c r="H170" i="38"/>
  <c r="P170" i="38"/>
  <c r="I170" i="38"/>
  <c r="Q170" i="38"/>
  <c r="I139" i="38"/>
  <c r="Q139" i="38"/>
  <c r="J139" i="38"/>
  <c r="R139" i="38"/>
  <c r="K139" i="38"/>
  <c r="S139" i="38"/>
  <c r="G106" i="38"/>
  <c r="O106" i="38"/>
  <c r="H106" i="38"/>
  <c r="P106" i="38"/>
  <c r="I106" i="38"/>
  <c r="Q106" i="38"/>
  <c r="I63" i="38"/>
  <c r="Q63" i="38"/>
  <c r="J63" i="38"/>
  <c r="R63" i="38"/>
  <c r="K63" i="38"/>
  <c r="S63" i="38"/>
  <c r="L63" i="38"/>
  <c r="G58" i="38"/>
  <c r="O58" i="38"/>
  <c r="H58" i="38"/>
  <c r="P58" i="38"/>
  <c r="I58" i="38"/>
  <c r="Q58" i="38"/>
  <c r="J58" i="38"/>
  <c r="R58" i="38"/>
  <c r="G197" i="39"/>
  <c r="P197" i="39"/>
  <c r="L197" i="39"/>
  <c r="N197" i="39"/>
  <c r="R197" i="39"/>
  <c r="I188" i="41"/>
  <c r="Q188" i="41"/>
  <c r="G188" i="41"/>
  <c r="P188" i="41"/>
  <c r="H188" i="41"/>
  <c r="R188" i="41"/>
  <c r="J188" i="41"/>
  <c r="S188" i="41"/>
  <c r="L188" i="41"/>
  <c r="M188" i="41"/>
  <c r="N188" i="41"/>
  <c r="K188" i="41"/>
  <c r="O188" i="41"/>
  <c r="M124" i="35"/>
  <c r="M112" i="35"/>
  <c r="M96" i="35"/>
  <c r="M92" i="35"/>
  <c r="M84" i="35"/>
  <c r="M76" i="35"/>
  <c r="M72" i="35"/>
  <c r="M64" i="35"/>
  <c r="M60" i="35"/>
  <c r="M56" i="35"/>
  <c r="M48" i="35"/>
  <c r="M44" i="35"/>
  <c r="M40" i="35"/>
  <c r="M36" i="35"/>
  <c r="M32" i="35"/>
  <c r="M28" i="35"/>
  <c r="M24" i="35"/>
  <c r="M20" i="35"/>
  <c r="M8" i="35"/>
  <c r="Q183" i="36"/>
  <c r="N176" i="36"/>
  <c r="N172" i="36"/>
  <c r="N168" i="36"/>
  <c r="N164" i="36"/>
  <c r="N152" i="36"/>
  <c r="N140" i="36"/>
  <c r="N132" i="36"/>
  <c r="P202" i="35"/>
  <c r="P198" i="35"/>
  <c r="P194" i="35"/>
  <c r="P190" i="35"/>
  <c r="P186" i="35"/>
  <c r="P182" i="35"/>
  <c r="P178" i="35"/>
  <c r="P174" i="35"/>
  <c r="P170" i="35"/>
  <c r="P166" i="35"/>
  <c r="P162" i="35"/>
  <c r="P158" i="35"/>
  <c r="P154" i="35"/>
  <c r="P150" i="35"/>
  <c r="P146" i="35"/>
  <c r="P142" i="35"/>
  <c r="P138" i="35"/>
  <c r="P134" i="35"/>
  <c r="P130" i="35"/>
  <c r="P126" i="35"/>
  <c r="L124" i="35"/>
  <c r="P122" i="35"/>
  <c r="L120" i="35"/>
  <c r="P118" i="35"/>
  <c r="L116" i="35"/>
  <c r="P114" i="35"/>
  <c r="L112" i="35"/>
  <c r="P110" i="35"/>
  <c r="L108" i="35"/>
  <c r="P106" i="35"/>
  <c r="L104" i="35"/>
  <c r="P102" i="35"/>
  <c r="L100" i="35"/>
  <c r="P98" i="35"/>
  <c r="L96" i="35"/>
  <c r="P94" i="35"/>
  <c r="L92" i="35"/>
  <c r="P90" i="35"/>
  <c r="L88" i="35"/>
  <c r="P86" i="35"/>
  <c r="L84" i="35"/>
  <c r="P82" i="35"/>
  <c r="L80" i="35"/>
  <c r="P78" i="35"/>
  <c r="L76" i="35"/>
  <c r="P74" i="35"/>
  <c r="L72" i="35"/>
  <c r="P70" i="35"/>
  <c r="L68" i="35"/>
  <c r="P66" i="35"/>
  <c r="L64" i="35"/>
  <c r="P62" i="35"/>
  <c r="L60" i="35"/>
  <c r="P58" i="35"/>
  <c r="L56" i="35"/>
  <c r="P54" i="35"/>
  <c r="L52" i="35"/>
  <c r="P50" i="35"/>
  <c r="L48" i="35"/>
  <c r="P46" i="35"/>
  <c r="L44" i="35"/>
  <c r="P42" i="35"/>
  <c r="L40" i="35"/>
  <c r="P38" i="35"/>
  <c r="L36" i="35"/>
  <c r="P34" i="35"/>
  <c r="L32" i="35"/>
  <c r="P30" i="35"/>
  <c r="L28" i="35"/>
  <c r="P26" i="35"/>
  <c r="L24" i="35"/>
  <c r="P22" i="35"/>
  <c r="L20" i="35"/>
  <c r="P18" i="35"/>
  <c r="L16" i="35"/>
  <c r="P14" i="35"/>
  <c r="L12" i="35"/>
  <c r="P10" i="35"/>
  <c r="L8" i="35"/>
  <c r="P6" i="35"/>
  <c r="R202" i="36"/>
  <c r="J198" i="36"/>
  <c r="H197" i="36"/>
  <c r="R190" i="36"/>
  <c r="P183" i="36"/>
  <c r="O181" i="36"/>
  <c r="G181" i="36"/>
  <c r="M180" i="36"/>
  <c r="O177" i="36"/>
  <c r="G177" i="36"/>
  <c r="M176" i="36"/>
  <c r="O173" i="36"/>
  <c r="G173" i="36"/>
  <c r="M172" i="36"/>
  <c r="O169" i="36"/>
  <c r="G169" i="36"/>
  <c r="M168" i="36"/>
  <c r="O165" i="36"/>
  <c r="G165" i="36"/>
  <c r="M164" i="36"/>
  <c r="O161" i="36"/>
  <c r="G161" i="36"/>
  <c r="M160" i="36"/>
  <c r="O157" i="36"/>
  <c r="G157" i="36"/>
  <c r="M156" i="36"/>
  <c r="O153" i="36"/>
  <c r="G153" i="36"/>
  <c r="M152" i="36"/>
  <c r="O149" i="36"/>
  <c r="G149" i="36"/>
  <c r="M148" i="36"/>
  <c r="O145" i="36"/>
  <c r="G145" i="36"/>
  <c r="M144" i="36"/>
  <c r="O141" i="36"/>
  <c r="G141" i="36"/>
  <c r="M140" i="36"/>
  <c r="O137" i="36"/>
  <c r="G137" i="36"/>
  <c r="M136" i="36"/>
  <c r="O133" i="36"/>
  <c r="G133" i="36"/>
  <c r="M132" i="36"/>
  <c r="O129" i="36"/>
  <c r="G129" i="36"/>
  <c r="M128" i="36"/>
  <c r="O125" i="36"/>
  <c r="G125" i="36"/>
  <c r="M124" i="36"/>
  <c r="O121" i="36"/>
  <c r="G121" i="36"/>
  <c r="M120" i="36"/>
  <c r="O117" i="36"/>
  <c r="G117" i="36"/>
  <c r="M116" i="36"/>
  <c r="O113" i="36"/>
  <c r="G113" i="36"/>
  <c r="M112" i="36"/>
  <c r="O109" i="36"/>
  <c r="G109" i="36"/>
  <c r="M108" i="36"/>
  <c r="O105" i="36"/>
  <c r="G105" i="36"/>
  <c r="M104" i="36"/>
  <c r="O101" i="36"/>
  <c r="G101" i="36"/>
  <c r="M100" i="36"/>
  <c r="O97" i="36"/>
  <c r="G97" i="36"/>
  <c r="J94" i="36"/>
  <c r="R94" i="36"/>
  <c r="N91" i="36"/>
  <c r="N89" i="36"/>
  <c r="Q87" i="36"/>
  <c r="H87" i="36"/>
  <c r="M86" i="36"/>
  <c r="R85" i="36"/>
  <c r="P82" i="36"/>
  <c r="H77" i="36"/>
  <c r="P77" i="36"/>
  <c r="N74" i="36"/>
  <c r="M71" i="36"/>
  <c r="Q70" i="36"/>
  <c r="M69" i="36"/>
  <c r="P67" i="36"/>
  <c r="G67" i="36"/>
  <c r="Q65" i="36"/>
  <c r="J62" i="36"/>
  <c r="R62" i="36"/>
  <c r="N59" i="36"/>
  <c r="N57" i="36"/>
  <c r="Q55" i="36"/>
  <c r="H55" i="36"/>
  <c r="M54" i="36"/>
  <c r="R53" i="36"/>
  <c r="P50" i="36"/>
  <c r="H45" i="36"/>
  <c r="P45" i="36"/>
  <c r="N42" i="36"/>
  <c r="M39" i="36"/>
  <c r="Q38" i="36"/>
  <c r="M37" i="36"/>
  <c r="P35" i="36"/>
  <c r="G35" i="36"/>
  <c r="Q33" i="36"/>
  <c r="J30" i="36"/>
  <c r="R30" i="36"/>
  <c r="N27" i="36"/>
  <c r="N25" i="36"/>
  <c r="Q23" i="36"/>
  <c r="H23" i="36"/>
  <c r="R21" i="36"/>
  <c r="P18" i="36"/>
  <c r="J9" i="36"/>
  <c r="N202" i="37"/>
  <c r="N200" i="37"/>
  <c r="Q198" i="37"/>
  <c r="H198" i="37"/>
  <c r="M197" i="37"/>
  <c r="R196" i="37"/>
  <c r="S190" i="37"/>
  <c r="Q186" i="37"/>
  <c r="J182" i="37"/>
  <c r="R182" i="37"/>
  <c r="L182" i="37"/>
  <c r="O178" i="37"/>
  <c r="S177" i="37"/>
  <c r="N174" i="37"/>
  <c r="H173" i="37"/>
  <c r="P173" i="37"/>
  <c r="J173" i="37"/>
  <c r="R173" i="37"/>
  <c r="O169" i="37"/>
  <c r="N165" i="37"/>
  <c r="S158" i="37"/>
  <c r="Q154" i="37"/>
  <c r="J150" i="37"/>
  <c r="R150" i="37"/>
  <c r="L150" i="37"/>
  <c r="O146" i="37"/>
  <c r="S145" i="37"/>
  <c r="N142" i="37"/>
  <c r="H141" i="37"/>
  <c r="P141" i="37"/>
  <c r="J141" i="37"/>
  <c r="R141" i="37"/>
  <c r="O137" i="37"/>
  <c r="N133" i="37"/>
  <c r="S126" i="37"/>
  <c r="Q122" i="37"/>
  <c r="J118" i="37"/>
  <c r="R118" i="37"/>
  <c r="L118" i="37"/>
  <c r="O114" i="37"/>
  <c r="S113" i="37"/>
  <c r="H109" i="37"/>
  <c r="P109" i="37"/>
  <c r="J109" i="37"/>
  <c r="R109" i="37"/>
  <c r="O105" i="37"/>
  <c r="H97" i="37"/>
  <c r="J97" i="37"/>
  <c r="R97" i="37"/>
  <c r="N95" i="37"/>
  <c r="R90" i="37"/>
  <c r="G89" i="37"/>
  <c r="K89" i="37"/>
  <c r="S89" i="37"/>
  <c r="M89" i="37"/>
  <c r="J81" i="37"/>
  <c r="R81" i="37"/>
  <c r="K81" i="37"/>
  <c r="S81" i="37"/>
  <c r="L81" i="37"/>
  <c r="H80" i="37"/>
  <c r="P80" i="37"/>
  <c r="I80" i="37"/>
  <c r="Q80" i="37"/>
  <c r="J80" i="37"/>
  <c r="R80" i="37"/>
  <c r="O72" i="37"/>
  <c r="P61" i="37"/>
  <c r="S60" i="37"/>
  <c r="J49" i="37"/>
  <c r="R49" i="37"/>
  <c r="K49" i="37"/>
  <c r="S49" i="37"/>
  <c r="L49" i="37"/>
  <c r="H48" i="37"/>
  <c r="P48" i="37"/>
  <c r="I48" i="37"/>
  <c r="Q48" i="37"/>
  <c r="J48" i="37"/>
  <c r="R48" i="37"/>
  <c r="O41" i="37"/>
  <c r="P29" i="37"/>
  <c r="S28" i="37"/>
  <c r="J17" i="37"/>
  <c r="R17" i="37"/>
  <c r="K17" i="37"/>
  <c r="S17" i="37"/>
  <c r="L17" i="37"/>
  <c r="H16" i="37"/>
  <c r="P16" i="37"/>
  <c r="I16" i="37"/>
  <c r="Q16" i="37"/>
  <c r="J16" i="37"/>
  <c r="R16" i="37"/>
  <c r="O8" i="37"/>
  <c r="O204" i="38"/>
  <c r="O203" i="38"/>
  <c r="R202" i="38"/>
  <c r="K196" i="38"/>
  <c r="S196" i="38"/>
  <c r="L196" i="38"/>
  <c r="M196" i="38"/>
  <c r="I195" i="38"/>
  <c r="Q195" i="38"/>
  <c r="J195" i="38"/>
  <c r="R195" i="38"/>
  <c r="K195" i="38"/>
  <c r="S195" i="38"/>
  <c r="G194" i="38"/>
  <c r="O194" i="38"/>
  <c r="H194" i="38"/>
  <c r="P194" i="38"/>
  <c r="I194" i="38"/>
  <c r="Q194" i="38"/>
  <c r="P184" i="38"/>
  <c r="P183" i="38"/>
  <c r="S182" i="38"/>
  <c r="R176" i="38"/>
  <c r="O171" i="38"/>
  <c r="R170" i="38"/>
  <c r="K164" i="38"/>
  <c r="S164" i="38"/>
  <c r="L164" i="38"/>
  <c r="M164" i="38"/>
  <c r="I163" i="38"/>
  <c r="Q163" i="38"/>
  <c r="J163" i="38"/>
  <c r="R163" i="38"/>
  <c r="K163" i="38"/>
  <c r="S163" i="38"/>
  <c r="G162" i="38"/>
  <c r="O162" i="38"/>
  <c r="H162" i="38"/>
  <c r="P162" i="38"/>
  <c r="I162" i="38"/>
  <c r="Q162" i="38"/>
  <c r="P152" i="38"/>
  <c r="P151" i="38"/>
  <c r="S150" i="38"/>
  <c r="R144" i="38"/>
  <c r="O140" i="38"/>
  <c r="O139" i="38"/>
  <c r="K132" i="38"/>
  <c r="S132" i="38"/>
  <c r="L132" i="38"/>
  <c r="M132" i="38"/>
  <c r="I131" i="38"/>
  <c r="Q131" i="38"/>
  <c r="J131" i="38"/>
  <c r="R131" i="38"/>
  <c r="K131" i="38"/>
  <c r="S131" i="38"/>
  <c r="G130" i="38"/>
  <c r="O130" i="38"/>
  <c r="H130" i="38"/>
  <c r="P130" i="38"/>
  <c r="I130" i="38"/>
  <c r="Q130" i="38"/>
  <c r="P120" i="38"/>
  <c r="P119" i="38"/>
  <c r="S118" i="38"/>
  <c r="R112" i="38"/>
  <c r="O108" i="38"/>
  <c r="R106" i="38"/>
  <c r="G102" i="38"/>
  <c r="O102" i="38"/>
  <c r="H102" i="38"/>
  <c r="P102" i="38"/>
  <c r="I102" i="38"/>
  <c r="Q102" i="38"/>
  <c r="J102" i="38"/>
  <c r="R102" i="38"/>
  <c r="P95" i="38"/>
  <c r="I91" i="38"/>
  <c r="Q91" i="38"/>
  <c r="J91" i="38"/>
  <c r="R91" i="38"/>
  <c r="K91" i="38"/>
  <c r="S91" i="38"/>
  <c r="L91" i="38"/>
  <c r="G86" i="38"/>
  <c r="O86" i="38"/>
  <c r="H86" i="38"/>
  <c r="P86" i="38"/>
  <c r="I86" i="38"/>
  <c r="Q86" i="38"/>
  <c r="J86" i="38"/>
  <c r="R86" i="38"/>
  <c r="I75" i="38"/>
  <c r="Q75" i="38"/>
  <c r="J75" i="38"/>
  <c r="R75" i="38"/>
  <c r="K75" i="38"/>
  <c r="S75" i="38"/>
  <c r="L75" i="38"/>
  <c r="G70" i="38"/>
  <c r="O70" i="38"/>
  <c r="H70" i="38"/>
  <c r="P70" i="38"/>
  <c r="I70" i="38"/>
  <c r="Q70" i="38"/>
  <c r="J70" i="38"/>
  <c r="R70" i="38"/>
  <c r="P63" i="38"/>
  <c r="I59" i="38"/>
  <c r="Q59" i="38"/>
  <c r="J59" i="38"/>
  <c r="R59" i="38"/>
  <c r="K59" i="38"/>
  <c r="S59" i="38"/>
  <c r="L59" i="38"/>
  <c r="G54" i="38"/>
  <c r="O54" i="38"/>
  <c r="H54" i="38"/>
  <c r="P54" i="38"/>
  <c r="I54" i="38"/>
  <c r="Q54" i="38"/>
  <c r="J54" i="38"/>
  <c r="R54" i="38"/>
  <c r="P47" i="38"/>
  <c r="I43" i="38"/>
  <c r="Q43" i="38"/>
  <c r="J43" i="38"/>
  <c r="R43" i="38"/>
  <c r="K43" i="38"/>
  <c r="S43" i="38"/>
  <c r="L43" i="38"/>
  <c r="G38" i="38"/>
  <c r="O38" i="38"/>
  <c r="H38" i="38"/>
  <c r="P38" i="38"/>
  <c r="I38" i="38"/>
  <c r="Q38" i="38"/>
  <c r="J38" i="38"/>
  <c r="R38" i="38"/>
  <c r="I27" i="38"/>
  <c r="Q27" i="38"/>
  <c r="J27" i="38"/>
  <c r="R27" i="38"/>
  <c r="K27" i="38"/>
  <c r="S27" i="38"/>
  <c r="L27" i="38"/>
  <c r="G22" i="38"/>
  <c r="O22" i="38"/>
  <c r="H22" i="38"/>
  <c r="P22" i="38"/>
  <c r="I22" i="38"/>
  <c r="Q22" i="38"/>
  <c r="J22" i="38"/>
  <c r="R22" i="38"/>
  <c r="G196" i="39"/>
  <c r="N196" i="39"/>
  <c r="H196" i="39"/>
  <c r="J196" i="39"/>
  <c r="L196" i="39"/>
  <c r="P196" i="39"/>
  <c r="N173" i="39"/>
  <c r="P162" i="39"/>
  <c r="L162" i="39"/>
  <c r="N162" i="39"/>
  <c r="R162" i="39"/>
  <c r="N156" i="39"/>
  <c r="M156" i="39"/>
  <c r="O156" i="39"/>
  <c r="P156" i="39"/>
  <c r="Q156" i="39"/>
  <c r="R156" i="39"/>
  <c r="R149" i="39"/>
  <c r="L113" i="39"/>
  <c r="K113" i="39"/>
  <c r="J113" i="39"/>
  <c r="M113" i="39"/>
  <c r="N113" i="39"/>
  <c r="O113" i="39"/>
  <c r="H103" i="39"/>
  <c r="P103" i="39"/>
  <c r="J103" i="39"/>
  <c r="S103" i="39"/>
  <c r="G103" i="39"/>
  <c r="R103" i="39"/>
  <c r="I103" i="39"/>
  <c r="K103" i="39"/>
  <c r="L103" i="39"/>
  <c r="L97" i="39"/>
  <c r="G97" i="39"/>
  <c r="P97" i="39"/>
  <c r="H97" i="39"/>
  <c r="R97" i="39"/>
  <c r="I97" i="39"/>
  <c r="S97" i="39"/>
  <c r="J97" i="39"/>
  <c r="K97" i="39"/>
  <c r="H83" i="39"/>
  <c r="P83" i="39"/>
  <c r="I83" i="39"/>
  <c r="R83" i="39"/>
  <c r="K83" i="39"/>
  <c r="L83" i="39"/>
  <c r="M83" i="39"/>
  <c r="N83" i="39"/>
  <c r="L73" i="39"/>
  <c r="I73" i="39"/>
  <c r="R73" i="39"/>
  <c r="K73" i="39"/>
  <c r="M73" i="39"/>
  <c r="N73" i="39"/>
  <c r="O73" i="39"/>
  <c r="P73" i="39"/>
  <c r="J56" i="39"/>
  <c r="R56" i="39"/>
  <c r="I56" i="39"/>
  <c r="S56" i="39"/>
  <c r="L56" i="39"/>
  <c r="M56" i="39"/>
  <c r="N56" i="39"/>
  <c r="O56" i="39"/>
  <c r="P56" i="39"/>
  <c r="H180" i="40"/>
  <c r="J180" i="40"/>
  <c r="L180" i="40"/>
  <c r="N180" i="40"/>
  <c r="P180" i="40"/>
  <c r="R180" i="40"/>
  <c r="N163" i="40"/>
  <c r="R163" i="40"/>
  <c r="H158" i="40"/>
  <c r="J158" i="40"/>
  <c r="L158" i="40"/>
  <c r="N158" i="40"/>
  <c r="M121" i="40"/>
  <c r="G121" i="40"/>
  <c r="O121" i="40"/>
  <c r="J121" i="40"/>
  <c r="K121" i="40"/>
  <c r="L121" i="40"/>
  <c r="N121" i="40"/>
  <c r="P121" i="40"/>
  <c r="Q121" i="40"/>
  <c r="R121" i="40"/>
  <c r="M79" i="40"/>
  <c r="G79" i="40"/>
  <c r="P79" i="40"/>
  <c r="H79" i="40"/>
  <c r="Q79" i="40"/>
  <c r="I79" i="40"/>
  <c r="R79" i="40"/>
  <c r="N79" i="40"/>
  <c r="O79" i="40"/>
  <c r="S79" i="40"/>
  <c r="J79" i="40"/>
  <c r="K197" i="41"/>
  <c r="S197" i="41"/>
  <c r="I197" i="41"/>
  <c r="R197" i="41"/>
  <c r="J197" i="41"/>
  <c r="L197" i="41"/>
  <c r="N197" i="41"/>
  <c r="O197" i="41"/>
  <c r="P197" i="41"/>
  <c r="G197" i="41"/>
  <c r="H197" i="41"/>
  <c r="M197" i="41"/>
  <c r="Q197" i="41"/>
  <c r="M150" i="41"/>
  <c r="I150" i="41"/>
  <c r="R150" i="41"/>
  <c r="J150" i="41"/>
  <c r="S150" i="41"/>
  <c r="K150" i="41"/>
  <c r="L150" i="41"/>
  <c r="G150" i="41"/>
  <c r="H150" i="41"/>
  <c r="N150" i="41"/>
  <c r="Q150" i="41"/>
  <c r="O150" i="41"/>
  <c r="P150" i="41"/>
  <c r="G135" i="42"/>
  <c r="O135" i="42"/>
  <c r="H135" i="42"/>
  <c r="P135" i="42"/>
  <c r="I135" i="42"/>
  <c r="Q135" i="42"/>
  <c r="J135" i="42"/>
  <c r="R135" i="42"/>
  <c r="M135" i="42"/>
  <c r="N135" i="42"/>
  <c r="S135" i="42"/>
  <c r="L135" i="42"/>
  <c r="P102" i="42"/>
  <c r="J102" i="42"/>
  <c r="L102" i="42"/>
  <c r="N102" i="42"/>
  <c r="R102" i="42"/>
  <c r="H102" i="42"/>
  <c r="J81" i="42"/>
  <c r="N81" i="42"/>
  <c r="P81" i="42"/>
  <c r="R81" i="42"/>
  <c r="L81" i="42"/>
  <c r="L29" i="42"/>
  <c r="M29" i="42"/>
  <c r="H29" i="42"/>
  <c r="R29" i="42"/>
  <c r="I29" i="42"/>
  <c r="S29" i="42"/>
  <c r="J29" i="42"/>
  <c r="K29" i="42"/>
  <c r="P29" i="42"/>
  <c r="Q29" i="42"/>
  <c r="G29" i="42"/>
  <c r="N96" i="35"/>
  <c r="N84" i="35"/>
  <c r="N80" i="35"/>
  <c r="N36" i="35"/>
  <c r="N24" i="35"/>
  <c r="N16" i="35"/>
  <c r="N12" i="35"/>
  <c r="R183" i="36"/>
  <c r="O37" i="36"/>
  <c r="J22" i="36"/>
  <c r="R22" i="36"/>
  <c r="O197" i="37"/>
  <c r="Q165" i="37"/>
  <c r="Q133" i="37"/>
  <c r="J110" i="37"/>
  <c r="R110" i="37"/>
  <c r="L110" i="37"/>
  <c r="H101" i="37"/>
  <c r="P101" i="37"/>
  <c r="J101" i="37"/>
  <c r="R101" i="37"/>
  <c r="J73" i="37"/>
  <c r="R73" i="37"/>
  <c r="K73" i="37"/>
  <c r="S73" i="37"/>
  <c r="L73" i="37"/>
  <c r="H40" i="37"/>
  <c r="P40" i="37"/>
  <c r="I40" i="37"/>
  <c r="Q40" i="37"/>
  <c r="J40" i="37"/>
  <c r="R40" i="37"/>
  <c r="J9" i="37"/>
  <c r="R9" i="37"/>
  <c r="K9" i="37"/>
  <c r="S9" i="37"/>
  <c r="L9" i="37"/>
  <c r="K172" i="38"/>
  <c r="S172" i="38"/>
  <c r="L172" i="38"/>
  <c r="M172" i="38"/>
  <c r="G138" i="38"/>
  <c r="O138" i="38"/>
  <c r="H138" i="38"/>
  <c r="P138" i="38"/>
  <c r="I138" i="38"/>
  <c r="Q138" i="38"/>
  <c r="I107" i="38"/>
  <c r="Q107" i="38"/>
  <c r="J107" i="38"/>
  <c r="R107" i="38"/>
  <c r="K107" i="38"/>
  <c r="S107" i="38"/>
  <c r="I79" i="38"/>
  <c r="Q79" i="38"/>
  <c r="J79" i="38"/>
  <c r="R79" i="38"/>
  <c r="K79" i="38"/>
  <c r="S79" i="38"/>
  <c r="L79" i="38"/>
  <c r="I31" i="38"/>
  <c r="Q31" i="38"/>
  <c r="J31" i="38"/>
  <c r="R31" i="38"/>
  <c r="K31" i="38"/>
  <c r="S31" i="38"/>
  <c r="L31" i="38"/>
  <c r="H128" i="39"/>
  <c r="R128" i="39"/>
  <c r="H31" i="39"/>
  <c r="P31" i="39"/>
  <c r="G31" i="39"/>
  <c r="Q31" i="39"/>
  <c r="I31" i="39"/>
  <c r="R31" i="39"/>
  <c r="J31" i="39"/>
  <c r="S31" i="39"/>
  <c r="L31" i="39"/>
  <c r="M31" i="39"/>
  <c r="N31" i="39"/>
  <c r="O31" i="39"/>
  <c r="G60" i="40"/>
  <c r="O60" i="40"/>
  <c r="H60" i="40"/>
  <c r="Q60" i="40"/>
  <c r="I60" i="40"/>
  <c r="R60" i="40"/>
  <c r="J60" i="40"/>
  <c r="S60" i="40"/>
  <c r="K60" i="40"/>
  <c r="L60" i="40"/>
  <c r="M60" i="40"/>
  <c r="N60" i="40"/>
  <c r="P60" i="40"/>
  <c r="I184" i="41"/>
  <c r="Q184" i="41"/>
  <c r="H184" i="41"/>
  <c r="R184" i="41"/>
  <c r="J184" i="41"/>
  <c r="S184" i="41"/>
  <c r="K184" i="41"/>
  <c r="O184" i="41"/>
  <c r="P184" i="41"/>
  <c r="L184" i="41"/>
  <c r="N184" i="41"/>
  <c r="I140" i="41"/>
  <c r="Q140" i="41"/>
  <c r="J140" i="41"/>
  <c r="R140" i="41"/>
  <c r="H140" i="41"/>
  <c r="K140" i="41"/>
  <c r="L140" i="41"/>
  <c r="M140" i="41"/>
  <c r="N140" i="41"/>
  <c r="O140" i="41"/>
  <c r="P140" i="41"/>
  <c r="G143" i="42"/>
  <c r="O143" i="42"/>
  <c r="H143" i="42"/>
  <c r="P143" i="42"/>
  <c r="I143" i="42"/>
  <c r="Q143" i="42"/>
  <c r="J143" i="42"/>
  <c r="R143" i="42"/>
  <c r="K143" i="42"/>
  <c r="L143" i="42"/>
  <c r="M143" i="42"/>
  <c r="N143" i="42"/>
  <c r="S143" i="42"/>
  <c r="I91" i="46"/>
  <c r="Q91" i="46"/>
  <c r="H91" i="46"/>
  <c r="R91" i="46"/>
  <c r="J91" i="46"/>
  <c r="S91" i="46"/>
  <c r="K91" i="46"/>
  <c r="M91" i="46"/>
  <c r="N91" i="46"/>
  <c r="O91" i="46"/>
  <c r="P91" i="46"/>
  <c r="L91" i="46"/>
  <c r="G91" i="46"/>
  <c r="H9" i="46"/>
  <c r="J9" i="46"/>
  <c r="L9" i="46"/>
  <c r="N9" i="46"/>
  <c r="P9" i="46"/>
  <c r="R9" i="46"/>
  <c r="S124" i="35"/>
  <c r="K124" i="35"/>
  <c r="S120" i="35"/>
  <c r="K120" i="35"/>
  <c r="S116" i="35"/>
  <c r="K116" i="35"/>
  <c r="S112" i="35"/>
  <c r="K112" i="35"/>
  <c r="S108" i="35"/>
  <c r="K108" i="35"/>
  <c r="S104" i="35"/>
  <c r="K104" i="35"/>
  <c r="S100" i="35"/>
  <c r="K100" i="35"/>
  <c r="S96" i="35"/>
  <c r="K96" i="35"/>
  <c r="S92" i="35"/>
  <c r="K92" i="35"/>
  <c r="S88" i="35"/>
  <c r="K88" i="35"/>
  <c r="S84" i="35"/>
  <c r="K84" i="35"/>
  <c r="S80" i="35"/>
  <c r="K80" i="35"/>
  <c r="S76" i="35"/>
  <c r="K76" i="35"/>
  <c r="S72" i="35"/>
  <c r="K72" i="35"/>
  <c r="S68" i="35"/>
  <c r="K68" i="35"/>
  <c r="S64" i="35"/>
  <c r="K64" i="35"/>
  <c r="S60" i="35"/>
  <c r="K60" i="35"/>
  <c r="S56" i="35"/>
  <c r="K56" i="35"/>
  <c r="S52" i="35"/>
  <c r="K52" i="35"/>
  <c r="S48" i="35"/>
  <c r="K48" i="35"/>
  <c r="S44" i="35"/>
  <c r="K44" i="35"/>
  <c r="S40" i="35"/>
  <c r="K40" i="35"/>
  <c r="S36" i="35"/>
  <c r="K36" i="35"/>
  <c r="S32" i="35"/>
  <c r="K32" i="35"/>
  <c r="S28" i="35"/>
  <c r="K28" i="35"/>
  <c r="S24" i="35"/>
  <c r="K24" i="35"/>
  <c r="S20" i="35"/>
  <c r="K20" i="35"/>
  <c r="S16" i="35"/>
  <c r="K16" i="35"/>
  <c r="S12" i="35"/>
  <c r="K12" i="35"/>
  <c r="S8" i="35"/>
  <c r="K8" i="35"/>
  <c r="R203" i="36"/>
  <c r="P202" i="36"/>
  <c r="R195" i="36"/>
  <c r="P190" i="36"/>
  <c r="R186" i="36"/>
  <c r="O183" i="36"/>
  <c r="L180" i="36"/>
  <c r="L176" i="36"/>
  <c r="L172" i="36"/>
  <c r="L168" i="36"/>
  <c r="L164" i="36"/>
  <c r="L160" i="36"/>
  <c r="L156" i="36"/>
  <c r="L152" i="36"/>
  <c r="L148" i="36"/>
  <c r="L144" i="36"/>
  <c r="L140" i="36"/>
  <c r="L136" i="36"/>
  <c r="L132" i="36"/>
  <c r="L128" i="36"/>
  <c r="L124" i="36"/>
  <c r="L120" i="36"/>
  <c r="L116" i="36"/>
  <c r="L112" i="36"/>
  <c r="L108" i="36"/>
  <c r="L104" i="36"/>
  <c r="L100" i="36"/>
  <c r="M91" i="36"/>
  <c r="M89" i="36"/>
  <c r="L86" i="36"/>
  <c r="J82" i="36"/>
  <c r="R82" i="36"/>
  <c r="M74" i="36"/>
  <c r="K71" i="36"/>
  <c r="L69" i="36"/>
  <c r="H65" i="36"/>
  <c r="P65" i="36"/>
  <c r="M59" i="36"/>
  <c r="M57" i="36"/>
  <c r="J50" i="36"/>
  <c r="R50" i="36"/>
  <c r="M42" i="36"/>
  <c r="K39" i="36"/>
  <c r="L37" i="36"/>
  <c r="H33" i="36"/>
  <c r="P33" i="36"/>
  <c r="M27" i="36"/>
  <c r="M25" i="36"/>
  <c r="L22" i="36"/>
  <c r="J18" i="36"/>
  <c r="R18" i="36"/>
  <c r="R13" i="36"/>
  <c r="H12" i="36"/>
  <c r="J12" i="36"/>
  <c r="M202" i="37"/>
  <c r="M200" i="37"/>
  <c r="L197" i="37"/>
  <c r="J186" i="37"/>
  <c r="R186" i="37"/>
  <c r="L186" i="37"/>
  <c r="N178" i="37"/>
  <c r="H177" i="37"/>
  <c r="P177" i="37"/>
  <c r="J177" i="37"/>
  <c r="R177" i="37"/>
  <c r="N169" i="37"/>
  <c r="M165" i="37"/>
  <c r="J154" i="37"/>
  <c r="R154" i="37"/>
  <c r="L154" i="37"/>
  <c r="N146" i="37"/>
  <c r="H145" i="37"/>
  <c r="P145" i="37"/>
  <c r="J145" i="37"/>
  <c r="R145" i="37"/>
  <c r="N137" i="37"/>
  <c r="M133" i="37"/>
  <c r="J122" i="37"/>
  <c r="R122" i="37"/>
  <c r="L122" i="37"/>
  <c r="N114" i="37"/>
  <c r="H113" i="37"/>
  <c r="P113" i="37"/>
  <c r="J113" i="37"/>
  <c r="R113" i="37"/>
  <c r="M110" i="37"/>
  <c r="N105" i="37"/>
  <c r="M101" i="37"/>
  <c r="R98" i="37"/>
  <c r="N73" i="37"/>
  <c r="N72" i="37"/>
  <c r="J69" i="37"/>
  <c r="R69" i="37"/>
  <c r="K69" i="37"/>
  <c r="S69" i="37"/>
  <c r="L69" i="37"/>
  <c r="H68" i="37"/>
  <c r="P68" i="37"/>
  <c r="I68" i="37"/>
  <c r="Q68" i="37"/>
  <c r="J68" i="37"/>
  <c r="R68" i="37"/>
  <c r="O61" i="37"/>
  <c r="O60" i="37"/>
  <c r="N40" i="37"/>
  <c r="J37" i="37"/>
  <c r="R37" i="37"/>
  <c r="K37" i="37"/>
  <c r="S37" i="37"/>
  <c r="L37" i="37"/>
  <c r="H36" i="37"/>
  <c r="P36" i="37"/>
  <c r="I36" i="37"/>
  <c r="Q36" i="37"/>
  <c r="J36" i="37"/>
  <c r="R36" i="37"/>
  <c r="O29" i="37"/>
  <c r="O28" i="37"/>
  <c r="N9" i="37"/>
  <c r="N8" i="37"/>
  <c r="J5" i="37"/>
  <c r="R5" i="37"/>
  <c r="K5" i="37"/>
  <c r="S5" i="37"/>
  <c r="L5" i="37"/>
  <c r="N204" i="38"/>
  <c r="N202" i="38"/>
  <c r="O184" i="38"/>
  <c r="O183" i="38"/>
  <c r="R182" i="38"/>
  <c r="K176" i="38"/>
  <c r="S176" i="38"/>
  <c r="L176" i="38"/>
  <c r="M176" i="38"/>
  <c r="I175" i="38"/>
  <c r="Q175" i="38"/>
  <c r="J175" i="38"/>
  <c r="R175" i="38"/>
  <c r="K175" i="38"/>
  <c r="S175" i="38"/>
  <c r="G174" i="38"/>
  <c r="O174" i="38"/>
  <c r="H174" i="38"/>
  <c r="P174" i="38"/>
  <c r="I174" i="38"/>
  <c r="Q174" i="38"/>
  <c r="N172" i="38"/>
  <c r="N171" i="38"/>
  <c r="N170" i="38"/>
  <c r="O152" i="38"/>
  <c r="O151" i="38"/>
  <c r="R150" i="38"/>
  <c r="K144" i="38"/>
  <c r="S144" i="38"/>
  <c r="L144" i="38"/>
  <c r="M144" i="38"/>
  <c r="I143" i="38"/>
  <c r="Q143" i="38"/>
  <c r="J143" i="38"/>
  <c r="R143" i="38"/>
  <c r="K143" i="38"/>
  <c r="S143" i="38"/>
  <c r="G142" i="38"/>
  <c r="O142" i="38"/>
  <c r="H142" i="38"/>
  <c r="P142" i="38"/>
  <c r="I142" i="38"/>
  <c r="Q142" i="38"/>
  <c r="N139" i="38"/>
  <c r="N138" i="38"/>
  <c r="O120" i="38"/>
  <c r="O119" i="38"/>
  <c r="R118" i="38"/>
  <c r="K112" i="38"/>
  <c r="S112" i="38"/>
  <c r="L112" i="38"/>
  <c r="M112" i="38"/>
  <c r="I111" i="38"/>
  <c r="Q111" i="38"/>
  <c r="J111" i="38"/>
  <c r="R111" i="38"/>
  <c r="K111" i="38"/>
  <c r="S111" i="38"/>
  <c r="G110" i="38"/>
  <c r="O110" i="38"/>
  <c r="H110" i="38"/>
  <c r="P110" i="38"/>
  <c r="I110" i="38"/>
  <c r="Q110" i="38"/>
  <c r="N107" i="38"/>
  <c r="N106" i="38"/>
  <c r="S90" i="38"/>
  <c r="O79" i="38"/>
  <c r="S74" i="38"/>
  <c r="O63" i="38"/>
  <c r="S58" i="38"/>
  <c r="O47" i="38"/>
  <c r="S42" i="38"/>
  <c r="O31" i="38"/>
  <c r="G201" i="39"/>
  <c r="H201" i="39"/>
  <c r="J201" i="39"/>
  <c r="L201" i="39"/>
  <c r="N201" i="39"/>
  <c r="P201" i="39"/>
  <c r="G179" i="39"/>
  <c r="L179" i="39"/>
  <c r="N179" i="39"/>
  <c r="P179" i="39"/>
  <c r="R179" i="39"/>
  <c r="H175" i="39"/>
  <c r="N175" i="39"/>
  <c r="R175" i="39"/>
  <c r="J164" i="39"/>
  <c r="H164" i="39"/>
  <c r="L164" i="39"/>
  <c r="N164" i="39"/>
  <c r="P164" i="39"/>
  <c r="G122" i="39"/>
  <c r="H122" i="39"/>
  <c r="S122" i="39"/>
  <c r="N122" i="39"/>
  <c r="P122" i="39"/>
  <c r="Q122" i="39"/>
  <c r="R122" i="39"/>
  <c r="S96" i="39"/>
  <c r="L53" i="39"/>
  <c r="H53" i="39"/>
  <c r="Q53" i="39"/>
  <c r="J53" i="39"/>
  <c r="S53" i="39"/>
  <c r="M53" i="39"/>
  <c r="N53" i="39"/>
  <c r="O53" i="39"/>
  <c r="P53" i="39"/>
  <c r="H47" i="39"/>
  <c r="P47" i="39"/>
  <c r="L47" i="39"/>
  <c r="N47" i="39"/>
  <c r="J47" i="39"/>
  <c r="K47" i="39"/>
  <c r="M47" i="39"/>
  <c r="O47" i="39"/>
  <c r="L41" i="39"/>
  <c r="I41" i="39"/>
  <c r="R41" i="39"/>
  <c r="J41" i="39"/>
  <c r="S41" i="39"/>
  <c r="K41" i="39"/>
  <c r="G41" i="39"/>
  <c r="H41" i="39"/>
  <c r="M41" i="39"/>
  <c r="N41" i="39"/>
  <c r="L29" i="39"/>
  <c r="J29" i="39"/>
  <c r="S29" i="39"/>
  <c r="K29" i="39"/>
  <c r="M29" i="39"/>
  <c r="G29" i="39"/>
  <c r="H29" i="39"/>
  <c r="I29" i="39"/>
  <c r="N29" i="39"/>
  <c r="L21" i="39"/>
  <c r="H21" i="39"/>
  <c r="Q21" i="39"/>
  <c r="I21" i="39"/>
  <c r="R21" i="39"/>
  <c r="J21" i="39"/>
  <c r="S21" i="39"/>
  <c r="N21" i="39"/>
  <c r="O21" i="39"/>
  <c r="P21" i="39"/>
  <c r="P15" i="39"/>
  <c r="J15" i="39"/>
  <c r="L15" i="39"/>
  <c r="N15" i="39"/>
  <c r="O15" i="39"/>
  <c r="Q15" i="39"/>
  <c r="R15" i="39"/>
  <c r="S15" i="39"/>
  <c r="N147" i="40"/>
  <c r="J147" i="40"/>
  <c r="R147" i="40"/>
  <c r="K128" i="40"/>
  <c r="S128" i="40"/>
  <c r="M128" i="40"/>
  <c r="H128" i="40"/>
  <c r="R128" i="40"/>
  <c r="I128" i="40"/>
  <c r="J128" i="40"/>
  <c r="L128" i="40"/>
  <c r="N128" i="40"/>
  <c r="O128" i="40"/>
  <c r="P128" i="40"/>
  <c r="K78" i="40"/>
  <c r="S78" i="40"/>
  <c r="L78" i="40"/>
  <c r="M78" i="40"/>
  <c r="N78" i="40"/>
  <c r="O78" i="40"/>
  <c r="P78" i="40"/>
  <c r="Q78" i="40"/>
  <c r="H78" i="40"/>
  <c r="G78" i="40"/>
  <c r="I78" i="40"/>
  <c r="J78" i="40"/>
  <c r="R78" i="40"/>
  <c r="G48" i="40"/>
  <c r="O48" i="40"/>
  <c r="K48" i="40"/>
  <c r="L48" i="40"/>
  <c r="M48" i="40"/>
  <c r="I48" i="40"/>
  <c r="J48" i="40"/>
  <c r="N48" i="40"/>
  <c r="R48" i="40"/>
  <c r="P48" i="40"/>
  <c r="Q48" i="40"/>
  <c r="S48" i="40"/>
  <c r="G191" i="42"/>
  <c r="O191" i="42"/>
  <c r="H191" i="42"/>
  <c r="P191" i="42"/>
  <c r="I191" i="42"/>
  <c r="Q191" i="42"/>
  <c r="L191" i="42"/>
  <c r="M191" i="42"/>
  <c r="N191" i="42"/>
  <c r="R191" i="42"/>
  <c r="K191" i="42"/>
  <c r="S191" i="42"/>
  <c r="J191" i="42"/>
  <c r="G183" i="42"/>
  <c r="O183" i="42"/>
  <c r="H183" i="42"/>
  <c r="P183" i="42"/>
  <c r="I183" i="42"/>
  <c r="Q183" i="42"/>
  <c r="L183" i="42"/>
  <c r="M183" i="42"/>
  <c r="N183" i="42"/>
  <c r="R183" i="42"/>
  <c r="K183" i="42"/>
  <c r="S183" i="42"/>
  <c r="G155" i="42"/>
  <c r="O155" i="42"/>
  <c r="H155" i="42"/>
  <c r="P155" i="42"/>
  <c r="I155" i="42"/>
  <c r="Q155" i="42"/>
  <c r="J155" i="42"/>
  <c r="R155" i="42"/>
  <c r="L155" i="42"/>
  <c r="M155" i="42"/>
  <c r="N155" i="42"/>
  <c r="S155" i="42"/>
  <c r="G115" i="42"/>
  <c r="O115" i="42"/>
  <c r="I115" i="42"/>
  <c r="R115" i="42"/>
  <c r="J115" i="42"/>
  <c r="S115" i="42"/>
  <c r="K115" i="42"/>
  <c r="L115" i="42"/>
  <c r="N115" i="42"/>
  <c r="P115" i="42"/>
  <c r="Q115" i="42"/>
  <c r="M115" i="42"/>
  <c r="H105" i="42"/>
  <c r="R105" i="42"/>
  <c r="N105" i="42"/>
  <c r="J105" i="42"/>
  <c r="L49" i="42"/>
  <c r="G49" i="42"/>
  <c r="P49" i="42"/>
  <c r="H49" i="42"/>
  <c r="Q49" i="42"/>
  <c r="I49" i="42"/>
  <c r="R49" i="42"/>
  <c r="J49" i="42"/>
  <c r="S49" i="42"/>
  <c r="N49" i="42"/>
  <c r="O49" i="42"/>
  <c r="K49" i="42"/>
  <c r="M49" i="42"/>
  <c r="N120" i="35"/>
  <c r="N112" i="35"/>
  <c r="N92" i="35"/>
  <c r="N52" i="35"/>
  <c r="N44" i="35"/>
  <c r="N40" i="35"/>
  <c r="O86" i="36"/>
  <c r="O69" i="36"/>
  <c r="J54" i="36"/>
  <c r="R54" i="36"/>
  <c r="J174" i="37"/>
  <c r="R174" i="37"/>
  <c r="L174" i="37"/>
  <c r="J142" i="37"/>
  <c r="R142" i="37"/>
  <c r="L142" i="37"/>
  <c r="Q101" i="37"/>
  <c r="G90" i="37"/>
  <c r="Q90" i="37"/>
  <c r="H90" i="37"/>
  <c r="S90" i="37"/>
  <c r="J41" i="37"/>
  <c r="R41" i="37"/>
  <c r="K41" i="37"/>
  <c r="S41" i="37"/>
  <c r="L41" i="37"/>
  <c r="Q9" i="37"/>
  <c r="I203" i="38"/>
  <c r="Q203" i="38"/>
  <c r="J203" i="38"/>
  <c r="R203" i="38"/>
  <c r="K203" i="38"/>
  <c r="S203" i="38"/>
  <c r="K140" i="38"/>
  <c r="S140" i="38"/>
  <c r="L140" i="38"/>
  <c r="M140" i="38"/>
  <c r="K108" i="38"/>
  <c r="S108" i="38"/>
  <c r="L108" i="38"/>
  <c r="M108" i="38"/>
  <c r="I95" i="38"/>
  <c r="Q95" i="38"/>
  <c r="J95" i="38"/>
  <c r="R95" i="38"/>
  <c r="K95" i="38"/>
  <c r="S95" i="38"/>
  <c r="L95" i="38"/>
  <c r="G26" i="38"/>
  <c r="O26" i="38"/>
  <c r="H26" i="38"/>
  <c r="P26" i="38"/>
  <c r="I26" i="38"/>
  <c r="Q26" i="38"/>
  <c r="J26" i="38"/>
  <c r="R26" i="38"/>
  <c r="G187" i="39"/>
  <c r="L187" i="39"/>
  <c r="H187" i="39"/>
  <c r="J187" i="39"/>
  <c r="N187" i="39"/>
  <c r="P187" i="39"/>
  <c r="J120" i="39"/>
  <c r="R120" i="39"/>
  <c r="I120" i="39"/>
  <c r="S120" i="39"/>
  <c r="G120" i="39"/>
  <c r="Q120" i="39"/>
  <c r="H120" i="39"/>
  <c r="K120" i="39"/>
  <c r="L120" i="39"/>
  <c r="J68" i="39"/>
  <c r="R68" i="39"/>
  <c r="H68" i="39"/>
  <c r="Q68" i="39"/>
  <c r="K68" i="39"/>
  <c r="G68" i="39"/>
  <c r="I68" i="39"/>
  <c r="L68" i="39"/>
  <c r="M68" i="39"/>
  <c r="H39" i="39"/>
  <c r="P39" i="39"/>
  <c r="J39" i="39"/>
  <c r="S39" i="39"/>
  <c r="K39" i="39"/>
  <c r="L39" i="39"/>
  <c r="I39" i="39"/>
  <c r="M39" i="39"/>
  <c r="N39" i="39"/>
  <c r="O39" i="39"/>
  <c r="K112" i="40"/>
  <c r="S112" i="40"/>
  <c r="M112" i="40"/>
  <c r="H112" i="40"/>
  <c r="R112" i="40"/>
  <c r="I112" i="40"/>
  <c r="J112" i="40"/>
  <c r="O112" i="40"/>
  <c r="P112" i="40"/>
  <c r="Q112" i="40"/>
  <c r="K46" i="40"/>
  <c r="S46" i="40"/>
  <c r="L46" i="40"/>
  <c r="M46" i="40"/>
  <c r="N46" i="40"/>
  <c r="H46" i="40"/>
  <c r="I46" i="40"/>
  <c r="J46" i="40"/>
  <c r="Q46" i="40"/>
  <c r="O46" i="40"/>
  <c r="P46" i="40"/>
  <c r="R46" i="40"/>
  <c r="G163" i="41"/>
  <c r="O163" i="41"/>
  <c r="J163" i="41"/>
  <c r="S163" i="41"/>
  <c r="K163" i="41"/>
  <c r="L163" i="41"/>
  <c r="M163" i="41"/>
  <c r="Q163" i="41"/>
  <c r="R163" i="41"/>
  <c r="I163" i="41"/>
  <c r="N163" i="41"/>
  <c r="P163" i="41"/>
  <c r="M164" i="43"/>
  <c r="I164" i="43"/>
  <c r="R164" i="43"/>
  <c r="J164" i="43"/>
  <c r="S164" i="43"/>
  <c r="K164" i="43"/>
  <c r="G164" i="43"/>
  <c r="H164" i="43"/>
  <c r="L164" i="43"/>
  <c r="N164" i="43"/>
  <c r="O164" i="43"/>
  <c r="P164" i="43"/>
  <c r="Q164" i="43"/>
  <c r="G137" i="43"/>
  <c r="O137" i="43"/>
  <c r="L137" i="43"/>
  <c r="M137" i="43"/>
  <c r="N137" i="43"/>
  <c r="I137" i="43"/>
  <c r="R137" i="43"/>
  <c r="J137" i="43"/>
  <c r="K137" i="43"/>
  <c r="P137" i="43"/>
  <c r="Q137" i="43"/>
  <c r="H137" i="43"/>
  <c r="S137" i="43"/>
  <c r="M85" i="46"/>
  <c r="J85" i="46"/>
  <c r="S85" i="46"/>
  <c r="K85" i="46"/>
  <c r="L85" i="46"/>
  <c r="N85" i="46"/>
  <c r="O85" i="46"/>
  <c r="P85" i="46"/>
  <c r="Q85" i="46"/>
  <c r="G85" i="46"/>
  <c r="H85" i="46"/>
  <c r="I85" i="46"/>
  <c r="R85" i="46"/>
  <c r="R124" i="35"/>
  <c r="R120" i="35"/>
  <c r="R116" i="35"/>
  <c r="R112" i="35"/>
  <c r="R108" i="35"/>
  <c r="R104" i="35"/>
  <c r="R100" i="35"/>
  <c r="R96" i="35"/>
  <c r="R92" i="35"/>
  <c r="R88" i="35"/>
  <c r="R84" i="35"/>
  <c r="R80" i="35"/>
  <c r="R76" i="35"/>
  <c r="R72" i="35"/>
  <c r="R68" i="35"/>
  <c r="R64" i="35"/>
  <c r="R60" i="35"/>
  <c r="R56" i="35"/>
  <c r="R52" i="35"/>
  <c r="R48" i="35"/>
  <c r="R44" i="35"/>
  <c r="R40" i="35"/>
  <c r="R36" i="35"/>
  <c r="R32" i="35"/>
  <c r="R28" i="35"/>
  <c r="R24" i="35"/>
  <c r="R20" i="35"/>
  <c r="R16" i="35"/>
  <c r="R12" i="35"/>
  <c r="R8" i="35"/>
  <c r="P203" i="36"/>
  <c r="N202" i="36"/>
  <c r="P195" i="36"/>
  <c r="N183" i="36"/>
  <c r="S180" i="36"/>
  <c r="S176" i="36"/>
  <c r="S172" i="36"/>
  <c r="S168" i="36"/>
  <c r="S164" i="36"/>
  <c r="S160" i="36"/>
  <c r="S156" i="36"/>
  <c r="S152" i="36"/>
  <c r="S148" i="36"/>
  <c r="S144" i="36"/>
  <c r="S140" i="36"/>
  <c r="S136" i="36"/>
  <c r="S132" i="36"/>
  <c r="S128" i="36"/>
  <c r="S124" i="36"/>
  <c r="S120" i="36"/>
  <c r="S116" i="36"/>
  <c r="S112" i="36"/>
  <c r="S108" i="36"/>
  <c r="S104" i="36"/>
  <c r="S100" i="36"/>
  <c r="K91" i="36"/>
  <c r="L89" i="36"/>
  <c r="K86" i="36"/>
  <c r="H85" i="36"/>
  <c r="P85" i="36"/>
  <c r="N82" i="36"/>
  <c r="L74" i="36"/>
  <c r="S71" i="36"/>
  <c r="J71" i="36"/>
  <c r="J70" i="36"/>
  <c r="R70" i="36"/>
  <c r="K69" i="36"/>
  <c r="N67" i="36"/>
  <c r="N65" i="36"/>
  <c r="K59" i="36"/>
  <c r="L57" i="36"/>
  <c r="K54" i="36"/>
  <c r="H53" i="36"/>
  <c r="P53" i="36"/>
  <c r="N50" i="36"/>
  <c r="L42" i="36"/>
  <c r="S39" i="36"/>
  <c r="J39" i="36"/>
  <c r="J38" i="36"/>
  <c r="R38" i="36"/>
  <c r="K37" i="36"/>
  <c r="N35" i="36"/>
  <c r="N33" i="36"/>
  <c r="K27" i="36"/>
  <c r="L25" i="36"/>
  <c r="K22" i="36"/>
  <c r="H21" i="36"/>
  <c r="P21" i="36"/>
  <c r="N18" i="36"/>
  <c r="N13" i="36"/>
  <c r="K202" i="37"/>
  <c r="L200" i="37"/>
  <c r="K197" i="37"/>
  <c r="H196" i="37"/>
  <c r="P196" i="37"/>
  <c r="J190" i="37"/>
  <c r="R190" i="37"/>
  <c r="L190" i="37"/>
  <c r="O186" i="37"/>
  <c r="H181" i="37"/>
  <c r="P181" i="37"/>
  <c r="J181" i="37"/>
  <c r="R181" i="37"/>
  <c r="M178" i="37"/>
  <c r="O177" i="37"/>
  <c r="K174" i="37"/>
  <c r="M169" i="37"/>
  <c r="L165" i="37"/>
  <c r="J158" i="37"/>
  <c r="R158" i="37"/>
  <c r="L158" i="37"/>
  <c r="O154" i="37"/>
  <c r="H149" i="37"/>
  <c r="P149" i="37"/>
  <c r="J149" i="37"/>
  <c r="R149" i="37"/>
  <c r="M146" i="37"/>
  <c r="O145" i="37"/>
  <c r="K142" i="37"/>
  <c r="M137" i="37"/>
  <c r="L133" i="37"/>
  <c r="J126" i="37"/>
  <c r="R126" i="37"/>
  <c r="L126" i="37"/>
  <c r="O122" i="37"/>
  <c r="H117" i="37"/>
  <c r="P117" i="37"/>
  <c r="J117" i="37"/>
  <c r="R117" i="37"/>
  <c r="M114" i="37"/>
  <c r="O113" i="37"/>
  <c r="K110" i="37"/>
  <c r="M105" i="37"/>
  <c r="L101" i="37"/>
  <c r="N98" i="37"/>
  <c r="H93" i="37"/>
  <c r="J93" i="37"/>
  <c r="R91" i="37"/>
  <c r="O90" i="37"/>
  <c r="H88" i="37"/>
  <c r="P88" i="37"/>
  <c r="J88" i="37"/>
  <c r="R88" i="37"/>
  <c r="M73" i="37"/>
  <c r="M72" i="37"/>
  <c r="P69" i="37"/>
  <c r="S68" i="37"/>
  <c r="N61" i="37"/>
  <c r="N60" i="37"/>
  <c r="J57" i="37"/>
  <c r="R57" i="37"/>
  <c r="K57" i="37"/>
  <c r="S57" i="37"/>
  <c r="L57" i="37"/>
  <c r="H56" i="37"/>
  <c r="P56" i="37"/>
  <c r="I56" i="37"/>
  <c r="Q56" i="37"/>
  <c r="J56" i="37"/>
  <c r="R56" i="37"/>
  <c r="M41" i="37"/>
  <c r="M40" i="37"/>
  <c r="P37" i="37"/>
  <c r="S36" i="37"/>
  <c r="N29" i="37"/>
  <c r="N28" i="37"/>
  <c r="J25" i="37"/>
  <c r="R25" i="37"/>
  <c r="K25" i="37"/>
  <c r="S25" i="37"/>
  <c r="L25" i="37"/>
  <c r="H24" i="37"/>
  <c r="P24" i="37"/>
  <c r="I24" i="37"/>
  <c r="Q24" i="37"/>
  <c r="J24" i="37"/>
  <c r="R24" i="37"/>
  <c r="M9" i="37"/>
  <c r="M8" i="37"/>
  <c r="P5" i="37"/>
  <c r="J204" i="38"/>
  <c r="M203" i="38"/>
  <c r="M202" i="38"/>
  <c r="K188" i="38"/>
  <c r="S188" i="38"/>
  <c r="L188" i="38"/>
  <c r="M188" i="38"/>
  <c r="I187" i="38"/>
  <c r="Q187" i="38"/>
  <c r="J187" i="38"/>
  <c r="R187" i="38"/>
  <c r="K187" i="38"/>
  <c r="S187" i="38"/>
  <c r="G186" i="38"/>
  <c r="O186" i="38"/>
  <c r="H186" i="38"/>
  <c r="P186" i="38"/>
  <c r="I186" i="38"/>
  <c r="Q186" i="38"/>
  <c r="N184" i="38"/>
  <c r="N183" i="38"/>
  <c r="N182" i="38"/>
  <c r="P176" i="38"/>
  <c r="P175" i="38"/>
  <c r="S174" i="38"/>
  <c r="J172" i="38"/>
  <c r="M171" i="38"/>
  <c r="M170" i="38"/>
  <c r="K156" i="38"/>
  <c r="S156" i="38"/>
  <c r="L156" i="38"/>
  <c r="M156" i="38"/>
  <c r="I155" i="38"/>
  <c r="Q155" i="38"/>
  <c r="J155" i="38"/>
  <c r="R155" i="38"/>
  <c r="K155" i="38"/>
  <c r="S155" i="38"/>
  <c r="G154" i="38"/>
  <c r="O154" i="38"/>
  <c r="H154" i="38"/>
  <c r="P154" i="38"/>
  <c r="I154" i="38"/>
  <c r="Q154" i="38"/>
  <c r="N152" i="38"/>
  <c r="N151" i="38"/>
  <c r="N150" i="38"/>
  <c r="P144" i="38"/>
  <c r="P143" i="38"/>
  <c r="S142" i="38"/>
  <c r="J140" i="38"/>
  <c r="M139" i="38"/>
  <c r="M138" i="38"/>
  <c r="K124" i="38"/>
  <c r="S124" i="38"/>
  <c r="L124" i="38"/>
  <c r="M124" i="38"/>
  <c r="I123" i="38"/>
  <c r="Q123" i="38"/>
  <c r="J123" i="38"/>
  <c r="R123" i="38"/>
  <c r="K123" i="38"/>
  <c r="S123" i="38"/>
  <c r="G122" i="38"/>
  <c r="O122" i="38"/>
  <c r="H122" i="38"/>
  <c r="P122" i="38"/>
  <c r="I122" i="38"/>
  <c r="Q122" i="38"/>
  <c r="N120" i="38"/>
  <c r="N119" i="38"/>
  <c r="N118" i="38"/>
  <c r="P112" i="38"/>
  <c r="P111" i="38"/>
  <c r="S110" i="38"/>
  <c r="J108" i="38"/>
  <c r="M107" i="38"/>
  <c r="M106" i="38"/>
  <c r="I103" i="38"/>
  <c r="Q103" i="38"/>
  <c r="J103" i="38"/>
  <c r="R103" i="38"/>
  <c r="K103" i="38"/>
  <c r="S103" i="38"/>
  <c r="L103" i="38"/>
  <c r="G98" i="38"/>
  <c r="O98" i="38"/>
  <c r="H98" i="38"/>
  <c r="P98" i="38"/>
  <c r="I98" i="38"/>
  <c r="Q98" i="38"/>
  <c r="J98" i="38"/>
  <c r="R98" i="38"/>
  <c r="N95" i="38"/>
  <c r="N90" i="38"/>
  <c r="I87" i="38"/>
  <c r="Q87" i="38"/>
  <c r="J87" i="38"/>
  <c r="R87" i="38"/>
  <c r="K87" i="38"/>
  <c r="S87" i="38"/>
  <c r="L87" i="38"/>
  <c r="G82" i="38"/>
  <c r="O82" i="38"/>
  <c r="H82" i="38"/>
  <c r="P82" i="38"/>
  <c r="I82" i="38"/>
  <c r="Q82" i="38"/>
  <c r="J82" i="38"/>
  <c r="R82" i="38"/>
  <c r="N79" i="38"/>
  <c r="N74" i="38"/>
  <c r="I71" i="38"/>
  <c r="Q71" i="38"/>
  <c r="J71" i="38"/>
  <c r="R71" i="38"/>
  <c r="K71" i="38"/>
  <c r="S71" i="38"/>
  <c r="L71" i="38"/>
  <c r="G66" i="38"/>
  <c r="O66" i="38"/>
  <c r="H66" i="38"/>
  <c r="P66" i="38"/>
  <c r="I66" i="38"/>
  <c r="Q66" i="38"/>
  <c r="J66" i="38"/>
  <c r="R66" i="38"/>
  <c r="N63" i="38"/>
  <c r="N58" i="38"/>
  <c r="I55" i="38"/>
  <c r="Q55" i="38"/>
  <c r="J55" i="38"/>
  <c r="R55" i="38"/>
  <c r="K55" i="38"/>
  <c r="S55" i="38"/>
  <c r="L55" i="38"/>
  <c r="G50" i="38"/>
  <c r="O50" i="38"/>
  <c r="H50" i="38"/>
  <c r="P50" i="38"/>
  <c r="I50" i="38"/>
  <c r="Q50" i="38"/>
  <c r="J50" i="38"/>
  <c r="R50" i="38"/>
  <c r="N47" i="38"/>
  <c r="N42" i="38"/>
  <c r="I39" i="38"/>
  <c r="Q39" i="38"/>
  <c r="J39" i="38"/>
  <c r="R39" i="38"/>
  <c r="K39" i="38"/>
  <c r="S39" i="38"/>
  <c r="L39" i="38"/>
  <c r="G34" i="38"/>
  <c r="O34" i="38"/>
  <c r="H34" i="38"/>
  <c r="P34" i="38"/>
  <c r="I34" i="38"/>
  <c r="Q34" i="38"/>
  <c r="J34" i="38"/>
  <c r="R34" i="38"/>
  <c r="N31" i="38"/>
  <c r="N26" i="38"/>
  <c r="I23" i="38"/>
  <c r="Q23" i="38"/>
  <c r="J23" i="38"/>
  <c r="R23" i="38"/>
  <c r="K23" i="38"/>
  <c r="S23" i="38"/>
  <c r="L23" i="38"/>
  <c r="G18" i="38"/>
  <c r="O18" i="38"/>
  <c r="H18" i="38"/>
  <c r="P18" i="38"/>
  <c r="I18" i="38"/>
  <c r="Q18" i="38"/>
  <c r="J18" i="38"/>
  <c r="R18" i="38"/>
  <c r="A4" i="38"/>
  <c r="G183" i="39"/>
  <c r="L183" i="39"/>
  <c r="N183" i="39"/>
  <c r="P183" i="39"/>
  <c r="R183" i="39"/>
  <c r="H170" i="39"/>
  <c r="N170" i="39"/>
  <c r="P170" i="39"/>
  <c r="R170" i="39"/>
  <c r="N153" i="39"/>
  <c r="J153" i="39"/>
  <c r="R153" i="39"/>
  <c r="P120" i="39"/>
  <c r="H115" i="39"/>
  <c r="P115" i="39"/>
  <c r="I115" i="39"/>
  <c r="R115" i="39"/>
  <c r="J115" i="39"/>
  <c r="K115" i="39"/>
  <c r="L115" i="39"/>
  <c r="M115" i="39"/>
  <c r="Q96" i="39"/>
  <c r="J84" i="39"/>
  <c r="R84" i="39"/>
  <c r="M84" i="39"/>
  <c r="G84" i="39"/>
  <c r="Q84" i="39"/>
  <c r="H84" i="39"/>
  <c r="S84" i="39"/>
  <c r="I84" i="39"/>
  <c r="K84" i="39"/>
  <c r="S68" i="39"/>
  <c r="S59" i="39"/>
  <c r="L172" i="40"/>
  <c r="P172" i="40"/>
  <c r="R172" i="40"/>
  <c r="I103" i="40"/>
  <c r="Q103" i="40"/>
  <c r="J103" i="40"/>
  <c r="R103" i="40"/>
  <c r="K103" i="40"/>
  <c r="S103" i="40"/>
  <c r="H103" i="40"/>
  <c r="L103" i="40"/>
  <c r="M103" i="40"/>
  <c r="P103" i="40"/>
  <c r="O103" i="40"/>
  <c r="K82" i="40"/>
  <c r="S82" i="40"/>
  <c r="J82" i="40"/>
  <c r="L82" i="40"/>
  <c r="M82" i="40"/>
  <c r="H82" i="40"/>
  <c r="I82" i="40"/>
  <c r="N82" i="40"/>
  <c r="Q82" i="40"/>
  <c r="O82" i="40"/>
  <c r="P82" i="40"/>
  <c r="R82" i="40"/>
  <c r="K137" i="41"/>
  <c r="S137" i="41"/>
  <c r="L137" i="41"/>
  <c r="J137" i="41"/>
  <c r="M137" i="41"/>
  <c r="N137" i="41"/>
  <c r="O137" i="41"/>
  <c r="P137" i="41"/>
  <c r="Q137" i="41"/>
  <c r="R137" i="41"/>
  <c r="G137" i="41"/>
  <c r="H137" i="41"/>
  <c r="I137" i="41"/>
  <c r="G175" i="42"/>
  <c r="O175" i="42"/>
  <c r="H175" i="42"/>
  <c r="P175" i="42"/>
  <c r="I175" i="42"/>
  <c r="Q175" i="42"/>
  <c r="L175" i="42"/>
  <c r="M175" i="42"/>
  <c r="N175" i="42"/>
  <c r="R175" i="42"/>
  <c r="K175" i="42"/>
  <c r="S175" i="42"/>
  <c r="G167" i="42"/>
  <c r="O167" i="42"/>
  <c r="H167" i="42"/>
  <c r="P167" i="42"/>
  <c r="I167" i="42"/>
  <c r="Q167" i="42"/>
  <c r="L167" i="42"/>
  <c r="M167" i="42"/>
  <c r="N167" i="42"/>
  <c r="R167" i="42"/>
  <c r="K167" i="42"/>
  <c r="S167" i="42"/>
  <c r="G147" i="42"/>
  <c r="O147" i="42"/>
  <c r="H147" i="42"/>
  <c r="P147" i="42"/>
  <c r="I147" i="42"/>
  <c r="Q147" i="42"/>
  <c r="J147" i="42"/>
  <c r="R147" i="42"/>
  <c r="N147" i="42"/>
  <c r="S147" i="42"/>
  <c r="L147" i="42"/>
  <c r="H17" i="38"/>
  <c r="P17" i="38"/>
  <c r="G203" i="39"/>
  <c r="L203" i="39"/>
  <c r="G198" i="39"/>
  <c r="R198" i="39"/>
  <c r="G194" i="39"/>
  <c r="J194" i="39"/>
  <c r="G189" i="39"/>
  <c r="P189" i="39"/>
  <c r="G185" i="39"/>
  <c r="H185" i="39"/>
  <c r="G180" i="39"/>
  <c r="N180" i="39"/>
  <c r="H171" i="39"/>
  <c r="N171" i="39"/>
  <c r="P140" i="39"/>
  <c r="L140" i="39"/>
  <c r="P133" i="39"/>
  <c r="R133" i="39"/>
  <c r="G123" i="39"/>
  <c r="L123" i="39"/>
  <c r="L117" i="39"/>
  <c r="H117" i="39"/>
  <c r="Q117" i="39"/>
  <c r="J100" i="39"/>
  <c r="R100" i="39"/>
  <c r="H100" i="39"/>
  <c r="Q100" i="39"/>
  <c r="H87" i="39"/>
  <c r="P87" i="39"/>
  <c r="N87" i="39"/>
  <c r="L81" i="39"/>
  <c r="K81" i="39"/>
  <c r="J72" i="39"/>
  <c r="R72" i="39"/>
  <c r="N72" i="39"/>
  <c r="G72" i="39"/>
  <c r="P72" i="39"/>
  <c r="J64" i="39"/>
  <c r="R64" i="39"/>
  <c r="L64" i="39"/>
  <c r="N64" i="39"/>
  <c r="H63" i="39"/>
  <c r="P63" i="39"/>
  <c r="G63" i="39"/>
  <c r="Q63" i="39"/>
  <c r="J63" i="39"/>
  <c r="S63" i="39"/>
  <c r="L61" i="39"/>
  <c r="J61" i="39"/>
  <c r="S61" i="39"/>
  <c r="M61" i="39"/>
  <c r="H55" i="39"/>
  <c r="P55" i="39"/>
  <c r="N55" i="39"/>
  <c r="G55" i="39"/>
  <c r="Q55" i="39"/>
  <c r="H14" i="39"/>
  <c r="N14" i="39"/>
  <c r="G192" i="40"/>
  <c r="H192" i="40"/>
  <c r="L192" i="40"/>
  <c r="N192" i="40"/>
  <c r="P192" i="40"/>
  <c r="R192" i="40"/>
  <c r="G186" i="40"/>
  <c r="L186" i="40"/>
  <c r="P186" i="40"/>
  <c r="P176" i="40"/>
  <c r="L176" i="40"/>
  <c r="N176" i="40"/>
  <c r="R176" i="40"/>
  <c r="H167" i="40"/>
  <c r="N167" i="40"/>
  <c r="R167" i="40"/>
  <c r="G165" i="40"/>
  <c r="L165" i="40"/>
  <c r="P165" i="40"/>
  <c r="R165" i="40"/>
  <c r="J133" i="40"/>
  <c r="N133" i="40"/>
  <c r="L133" i="40"/>
  <c r="P133" i="40"/>
  <c r="R133" i="40"/>
  <c r="K108" i="40"/>
  <c r="S108" i="40"/>
  <c r="M108" i="40"/>
  <c r="J108" i="40"/>
  <c r="L108" i="40"/>
  <c r="N108" i="40"/>
  <c r="G108" i="40"/>
  <c r="Q108" i="40"/>
  <c r="K94" i="40"/>
  <c r="S94" i="40"/>
  <c r="G94" i="40"/>
  <c r="P94" i="40"/>
  <c r="H94" i="40"/>
  <c r="Q94" i="40"/>
  <c r="I94" i="40"/>
  <c r="R94" i="40"/>
  <c r="O94" i="40"/>
  <c r="L94" i="40"/>
  <c r="M63" i="40"/>
  <c r="K63" i="40"/>
  <c r="L63" i="40"/>
  <c r="N63" i="40"/>
  <c r="J63" i="40"/>
  <c r="O63" i="40"/>
  <c r="P63" i="40"/>
  <c r="G63" i="40"/>
  <c r="S63" i="40"/>
  <c r="M47" i="40"/>
  <c r="G47" i="40"/>
  <c r="P47" i="40"/>
  <c r="H47" i="40"/>
  <c r="Q47" i="40"/>
  <c r="I47" i="40"/>
  <c r="R47" i="40"/>
  <c r="J47" i="40"/>
  <c r="K47" i="40"/>
  <c r="L47" i="40"/>
  <c r="S47" i="40"/>
  <c r="G44" i="40"/>
  <c r="O44" i="40"/>
  <c r="L44" i="40"/>
  <c r="M44" i="40"/>
  <c r="N44" i="40"/>
  <c r="H44" i="40"/>
  <c r="I44" i="40"/>
  <c r="J44" i="40"/>
  <c r="Q44" i="40"/>
  <c r="M35" i="40"/>
  <c r="J35" i="40"/>
  <c r="S35" i="40"/>
  <c r="K35" i="40"/>
  <c r="L35" i="40"/>
  <c r="H35" i="40"/>
  <c r="I35" i="40"/>
  <c r="N35" i="40"/>
  <c r="Q35" i="40"/>
  <c r="I204" i="41"/>
  <c r="Q204" i="41"/>
  <c r="L204" i="41"/>
  <c r="M204" i="41"/>
  <c r="N204" i="41"/>
  <c r="O204" i="41"/>
  <c r="P204" i="41"/>
  <c r="R204" i="41"/>
  <c r="H204" i="41"/>
  <c r="G191" i="41"/>
  <c r="O191" i="41"/>
  <c r="K191" i="41"/>
  <c r="L191" i="41"/>
  <c r="M191" i="41"/>
  <c r="N191" i="41"/>
  <c r="P191" i="41"/>
  <c r="Q191" i="41"/>
  <c r="H191" i="41"/>
  <c r="K165" i="41"/>
  <c r="S165" i="41"/>
  <c r="I165" i="41"/>
  <c r="R165" i="41"/>
  <c r="J165" i="41"/>
  <c r="L165" i="41"/>
  <c r="M165" i="41"/>
  <c r="P165" i="41"/>
  <c r="Q165" i="41"/>
  <c r="H165" i="41"/>
  <c r="I148" i="41"/>
  <c r="Q148" i="41"/>
  <c r="J148" i="41"/>
  <c r="S148" i="41"/>
  <c r="K148" i="41"/>
  <c r="L148" i="41"/>
  <c r="M148" i="41"/>
  <c r="G148" i="41"/>
  <c r="H148" i="41"/>
  <c r="N148" i="41"/>
  <c r="R148" i="41"/>
  <c r="I124" i="41"/>
  <c r="Q124" i="41"/>
  <c r="J124" i="41"/>
  <c r="R124" i="41"/>
  <c r="H124" i="41"/>
  <c r="K124" i="41"/>
  <c r="L124" i="41"/>
  <c r="M124" i="41"/>
  <c r="P124" i="41"/>
  <c r="S124" i="41"/>
  <c r="G124" i="41"/>
  <c r="H100" i="41"/>
  <c r="J100" i="41"/>
  <c r="N100" i="41"/>
  <c r="R100" i="41"/>
  <c r="H93" i="41"/>
  <c r="J93" i="41"/>
  <c r="L93" i="41"/>
  <c r="N93" i="41"/>
  <c r="P93" i="41"/>
  <c r="R93" i="41"/>
  <c r="I204" i="42"/>
  <c r="Q204" i="42"/>
  <c r="J204" i="42"/>
  <c r="R204" i="42"/>
  <c r="K204" i="42"/>
  <c r="S204" i="42"/>
  <c r="L204" i="42"/>
  <c r="M204" i="42"/>
  <c r="N204" i="42"/>
  <c r="O204" i="42"/>
  <c r="H204" i="42"/>
  <c r="P204" i="42"/>
  <c r="K177" i="42"/>
  <c r="S177" i="42"/>
  <c r="L177" i="42"/>
  <c r="M177" i="42"/>
  <c r="I177" i="42"/>
  <c r="J177" i="42"/>
  <c r="N177" i="42"/>
  <c r="O177" i="42"/>
  <c r="H177" i="42"/>
  <c r="P177" i="42"/>
  <c r="Q177" i="42"/>
  <c r="I152" i="42"/>
  <c r="Q152" i="42"/>
  <c r="J152" i="42"/>
  <c r="R152" i="42"/>
  <c r="K152" i="42"/>
  <c r="S152" i="42"/>
  <c r="L152" i="42"/>
  <c r="G152" i="42"/>
  <c r="H152" i="42"/>
  <c r="M152" i="42"/>
  <c r="N152" i="42"/>
  <c r="P152" i="42"/>
  <c r="G111" i="42"/>
  <c r="O111" i="42"/>
  <c r="J111" i="42"/>
  <c r="S111" i="42"/>
  <c r="K111" i="42"/>
  <c r="L111" i="42"/>
  <c r="M111" i="42"/>
  <c r="I111" i="42"/>
  <c r="N111" i="42"/>
  <c r="P111" i="42"/>
  <c r="Q111" i="42"/>
  <c r="H111" i="42"/>
  <c r="K187" i="43"/>
  <c r="S187" i="43"/>
  <c r="G187" i="43"/>
  <c r="P187" i="43"/>
  <c r="H187" i="43"/>
  <c r="Q187" i="43"/>
  <c r="M187" i="43"/>
  <c r="N187" i="43"/>
  <c r="O187" i="43"/>
  <c r="R187" i="43"/>
  <c r="J187" i="43"/>
  <c r="L187" i="43"/>
  <c r="I187" i="43"/>
  <c r="I182" i="43"/>
  <c r="Q182" i="43"/>
  <c r="M182" i="43"/>
  <c r="N182" i="43"/>
  <c r="J182" i="43"/>
  <c r="K182" i="43"/>
  <c r="L182" i="43"/>
  <c r="O182" i="43"/>
  <c r="G182" i="43"/>
  <c r="H182" i="43"/>
  <c r="P182" i="43"/>
  <c r="R182" i="43"/>
  <c r="K202" i="44"/>
  <c r="S202" i="44"/>
  <c r="H202" i="44"/>
  <c r="Q202" i="44"/>
  <c r="L202" i="44"/>
  <c r="G202" i="44"/>
  <c r="I202" i="44"/>
  <c r="J202" i="44"/>
  <c r="P202" i="44"/>
  <c r="R202" i="44"/>
  <c r="M202" i="44"/>
  <c r="O202" i="44"/>
  <c r="I174" i="44"/>
  <c r="Q174" i="44"/>
  <c r="J174" i="44"/>
  <c r="S174" i="44"/>
  <c r="L174" i="44"/>
  <c r="H174" i="44"/>
  <c r="K174" i="44"/>
  <c r="N174" i="44"/>
  <c r="O174" i="44"/>
  <c r="P174" i="44"/>
  <c r="R174" i="44"/>
  <c r="M174" i="44"/>
  <c r="G174" i="44"/>
  <c r="P192" i="37"/>
  <c r="P188" i="37"/>
  <c r="P184" i="37"/>
  <c r="P180" i="37"/>
  <c r="P176" i="37"/>
  <c r="P172" i="37"/>
  <c r="P168" i="37"/>
  <c r="P164" i="37"/>
  <c r="P160" i="37"/>
  <c r="P156" i="37"/>
  <c r="P152" i="37"/>
  <c r="P148" i="37"/>
  <c r="P144" i="37"/>
  <c r="P140" i="37"/>
  <c r="P136" i="37"/>
  <c r="P132" i="37"/>
  <c r="P128" i="37"/>
  <c r="P124" i="37"/>
  <c r="P120" i="37"/>
  <c r="P116" i="37"/>
  <c r="P112" i="37"/>
  <c r="P108" i="37"/>
  <c r="P104" i="37"/>
  <c r="P87" i="37"/>
  <c r="P83" i="37"/>
  <c r="P79" i="37"/>
  <c r="P75" i="37"/>
  <c r="P71" i="37"/>
  <c r="P67" i="37"/>
  <c r="P63" i="37"/>
  <c r="P59" i="37"/>
  <c r="P55" i="37"/>
  <c r="P51" i="37"/>
  <c r="P47" i="37"/>
  <c r="P43" i="37"/>
  <c r="P39" i="37"/>
  <c r="P35" i="37"/>
  <c r="P31" i="37"/>
  <c r="P27" i="37"/>
  <c r="P23" i="37"/>
  <c r="P19" i="37"/>
  <c r="P15" i="37"/>
  <c r="P11" i="37"/>
  <c r="P7" i="37"/>
  <c r="O201" i="38"/>
  <c r="G201" i="38"/>
  <c r="O197" i="38"/>
  <c r="G197" i="38"/>
  <c r="O193" i="38"/>
  <c r="G193" i="38"/>
  <c r="O189" i="38"/>
  <c r="G189" i="38"/>
  <c r="O185" i="38"/>
  <c r="G185" i="38"/>
  <c r="O181" i="38"/>
  <c r="G181" i="38"/>
  <c r="O177" i="38"/>
  <c r="G177" i="38"/>
  <c r="O173" i="38"/>
  <c r="G173" i="38"/>
  <c r="O169" i="38"/>
  <c r="G169" i="38"/>
  <c r="O165" i="38"/>
  <c r="G165" i="38"/>
  <c r="O161" i="38"/>
  <c r="G161" i="38"/>
  <c r="O157" i="38"/>
  <c r="G157" i="38"/>
  <c r="O153" i="38"/>
  <c r="G153" i="38"/>
  <c r="O149" i="38"/>
  <c r="G149" i="38"/>
  <c r="O145" i="38"/>
  <c r="G145" i="38"/>
  <c r="O141" i="38"/>
  <c r="G141" i="38"/>
  <c r="O137" i="38"/>
  <c r="G137" i="38"/>
  <c r="O133" i="38"/>
  <c r="G133" i="38"/>
  <c r="O129" i="38"/>
  <c r="G129" i="38"/>
  <c r="O125" i="38"/>
  <c r="G125" i="38"/>
  <c r="O121" i="38"/>
  <c r="G121" i="38"/>
  <c r="O117" i="38"/>
  <c r="G117" i="38"/>
  <c r="O113" i="38"/>
  <c r="G113" i="38"/>
  <c r="O109" i="38"/>
  <c r="G109" i="38"/>
  <c r="O105" i="38"/>
  <c r="G105" i="38"/>
  <c r="O101" i="38"/>
  <c r="G101" i="38"/>
  <c r="M100" i="38"/>
  <c r="O97" i="38"/>
  <c r="G97" i="38"/>
  <c r="M96" i="38"/>
  <c r="O93" i="38"/>
  <c r="G93" i="38"/>
  <c r="M92" i="38"/>
  <c r="O89" i="38"/>
  <c r="G89" i="38"/>
  <c r="M88" i="38"/>
  <c r="O85" i="38"/>
  <c r="G85" i="38"/>
  <c r="M84" i="38"/>
  <c r="O81" i="38"/>
  <c r="G81" i="38"/>
  <c r="M80" i="38"/>
  <c r="O77" i="38"/>
  <c r="G77" i="38"/>
  <c r="M76" i="38"/>
  <c r="O73" i="38"/>
  <c r="G73" i="38"/>
  <c r="M72" i="38"/>
  <c r="O69" i="38"/>
  <c r="G69" i="38"/>
  <c r="M68" i="38"/>
  <c r="O65" i="38"/>
  <c r="G65" i="38"/>
  <c r="M64" i="38"/>
  <c r="O61" i="38"/>
  <c r="G61" i="38"/>
  <c r="M60" i="38"/>
  <c r="O57" i="38"/>
  <c r="G57" i="38"/>
  <c r="M56" i="38"/>
  <c r="O53" i="38"/>
  <c r="G53" i="38"/>
  <c r="M52" i="38"/>
  <c r="O49" i="38"/>
  <c r="G49" i="38"/>
  <c r="M48" i="38"/>
  <c r="O45" i="38"/>
  <c r="G45" i="38"/>
  <c r="M44" i="38"/>
  <c r="O41" i="38"/>
  <c r="G41" i="38"/>
  <c r="M40" i="38"/>
  <c r="O37" i="38"/>
  <c r="G37" i="38"/>
  <c r="M36" i="38"/>
  <c r="O33" i="38"/>
  <c r="G33" i="38"/>
  <c r="M32" i="38"/>
  <c r="O29" i="38"/>
  <c r="G29" i="38"/>
  <c r="M28" i="38"/>
  <c r="O25" i="38"/>
  <c r="G25" i="38"/>
  <c r="M24" i="38"/>
  <c r="O21" i="38"/>
  <c r="G21" i="38"/>
  <c r="M20" i="38"/>
  <c r="N17" i="38"/>
  <c r="Q15" i="38"/>
  <c r="H15" i="38"/>
  <c r="R13" i="38"/>
  <c r="P10" i="38"/>
  <c r="H5" i="38"/>
  <c r="P5" i="38"/>
  <c r="H199" i="39"/>
  <c r="J174" i="39"/>
  <c r="J169" i="39"/>
  <c r="H161" i="39"/>
  <c r="J161" i="39"/>
  <c r="L158" i="39"/>
  <c r="P158" i="39"/>
  <c r="N155" i="39"/>
  <c r="J143" i="39"/>
  <c r="R139" i="39"/>
  <c r="G134" i="39"/>
  <c r="N134" i="39"/>
  <c r="R121" i="39"/>
  <c r="O117" i="39"/>
  <c r="S116" i="39"/>
  <c r="J112" i="39"/>
  <c r="R112" i="39"/>
  <c r="G112" i="39"/>
  <c r="P112" i="39"/>
  <c r="Q108" i="39"/>
  <c r="Q104" i="39"/>
  <c r="O100" i="39"/>
  <c r="S99" i="39"/>
  <c r="H95" i="39"/>
  <c r="P95" i="39"/>
  <c r="G95" i="39"/>
  <c r="Q95" i="39"/>
  <c r="Q93" i="39"/>
  <c r="H91" i="39"/>
  <c r="P91" i="39"/>
  <c r="K91" i="39"/>
  <c r="R89" i="39"/>
  <c r="O87" i="39"/>
  <c r="L85" i="39"/>
  <c r="H85" i="39"/>
  <c r="Q85" i="39"/>
  <c r="O81" i="39"/>
  <c r="S80" i="39"/>
  <c r="S76" i="39"/>
  <c r="Q72" i="39"/>
  <c r="H71" i="39"/>
  <c r="P71" i="39"/>
  <c r="J71" i="39"/>
  <c r="S71" i="39"/>
  <c r="L71" i="39"/>
  <c r="P64" i="39"/>
  <c r="R63" i="39"/>
  <c r="P61" i="39"/>
  <c r="R55" i="39"/>
  <c r="H27" i="39"/>
  <c r="P27" i="39"/>
  <c r="K27" i="39"/>
  <c r="L27" i="39"/>
  <c r="M27" i="39"/>
  <c r="J24" i="39"/>
  <c r="R24" i="39"/>
  <c r="I24" i="39"/>
  <c r="S24" i="39"/>
  <c r="K24" i="39"/>
  <c r="L24" i="39"/>
  <c r="H19" i="39"/>
  <c r="P19" i="39"/>
  <c r="I19" i="39"/>
  <c r="R19" i="39"/>
  <c r="J19" i="39"/>
  <c r="S19" i="39"/>
  <c r="K19" i="39"/>
  <c r="L17" i="39"/>
  <c r="K17" i="39"/>
  <c r="M17" i="39"/>
  <c r="N17" i="39"/>
  <c r="H8" i="39"/>
  <c r="R8" i="39"/>
  <c r="G202" i="40"/>
  <c r="P202" i="40"/>
  <c r="H202" i="40"/>
  <c r="J202" i="40"/>
  <c r="L202" i="40"/>
  <c r="H183" i="40"/>
  <c r="R183" i="40"/>
  <c r="J178" i="40"/>
  <c r="N178" i="40"/>
  <c r="H178" i="40"/>
  <c r="L178" i="40"/>
  <c r="P178" i="40"/>
  <c r="H169" i="40"/>
  <c r="N169" i="40"/>
  <c r="J169" i="40"/>
  <c r="R169" i="40"/>
  <c r="J157" i="40"/>
  <c r="N138" i="40"/>
  <c r="G118" i="40"/>
  <c r="O118" i="40"/>
  <c r="I118" i="40"/>
  <c r="Q118" i="40"/>
  <c r="J118" i="40"/>
  <c r="K118" i="40"/>
  <c r="L118" i="40"/>
  <c r="M117" i="40"/>
  <c r="G117" i="40"/>
  <c r="O117" i="40"/>
  <c r="L117" i="40"/>
  <c r="N117" i="40"/>
  <c r="P117" i="40"/>
  <c r="G114" i="40"/>
  <c r="O114" i="40"/>
  <c r="I114" i="40"/>
  <c r="Q114" i="40"/>
  <c r="L114" i="40"/>
  <c r="M114" i="40"/>
  <c r="N114" i="40"/>
  <c r="H114" i="40"/>
  <c r="G106" i="40"/>
  <c r="O106" i="40"/>
  <c r="H106" i="40"/>
  <c r="P106" i="40"/>
  <c r="I106" i="40"/>
  <c r="Q106" i="40"/>
  <c r="N106" i="40"/>
  <c r="R106" i="40"/>
  <c r="S106" i="40"/>
  <c r="K106" i="40"/>
  <c r="O62" i="40"/>
  <c r="L15" i="40"/>
  <c r="P15" i="40"/>
  <c r="Q15" i="40"/>
  <c r="R15" i="40"/>
  <c r="S15" i="40"/>
  <c r="J15" i="40"/>
  <c r="H12" i="40"/>
  <c r="N12" i="40"/>
  <c r="R12" i="40"/>
  <c r="P7" i="40"/>
  <c r="R7" i="40"/>
  <c r="J7" i="40"/>
  <c r="L7" i="40"/>
  <c r="N7" i="40"/>
  <c r="G195" i="41"/>
  <c r="O195" i="41"/>
  <c r="J195" i="41"/>
  <c r="S195" i="41"/>
  <c r="K195" i="41"/>
  <c r="L195" i="41"/>
  <c r="P195" i="41"/>
  <c r="Q195" i="41"/>
  <c r="R195" i="41"/>
  <c r="I195" i="41"/>
  <c r="K193" i="41"/>
  <c r="S193" i="41"/>
  <c r="J193" i="41"/>
  <c r="L193" i="41"/>
  <c r="M193" i="41"/>
  <c r="G193" i="41"/>
  <c r="H193" i="41"/>
  <c r="I193" i="41"/>
  <c r="P193" i="41"/>
  <c r="K189" i="41"/>
  <c r="S189" i="41"/>
  <c r="L189" i="41"/>
  <c r="M189" i="41"/>
  <c r="N189" i="41"/>
  <c r="J189" i="41"/>
  <c r="O189" i="41"/>
  <c r="P189" i="41"/>
  <c r="G189" i="41"/>
  <c r="M178" i="41"/>
  <c r="J178" i="41"/>
  <c r="S178" i="41"/>
  <c r="K178" i="41"/>
  <c r="L178" i="41"/>
  <c r="N178" i="41"/>
  <c r="O178" i="41"/>
  <c r="P178" i="41"/>
  <c r="G178" i="41"/>
  <c r="P169" i="41"/>
  <c r="N154" i="41"/>
  <c r="J144" i="41"/>
  <c r="S131" i="41"/>
  <c r="H110" i="41"/>
  <c r="R110" i="41"/>
  <c r="N110" i="41"/>
  <c r="J110" i="41"/>
  <c r="J103" i="41"/>
  <c r="L103" i="41"/>
  <c r="N103" i="41"/>
  <c r="H103" i="41"/>
  <c r="P103" i="41"/>
  <c r="R103" i="41"/>
  <c r="H10" i="41"/>
  <c r="J10" i="41"/>
  <c r="N10" i="41"/>
  <c r="R10" i="41"/>
  <c r="I196" i="42"/>
  <c r="Q196" i="42"/>
  <c r="J196" i="42"/>
  <c r="R196" i="42"/>
  <c r="K196" i="42"/>
  <c r="S196" i="42"/>
  <c r="L196" i="42"/>
  <c r="M196" i="42"/>
  <c r="N196" i="42"/>
  <c r="O196" i="42"/>
  <c r="H196" i="42"/>
  <c r="P196" i="42"/>
  <c r="K169" i="42"/>
  <c r="S169" i="42"/>
  <c r="L169" i="42"/>
  <c r="M169" i="42"/>
  <c r="I169" i="42"/>
  <c r="J169" i="42"/>
  <c r="N169" i="42"/>
  <c r="O169" i="42"/>
  <c r="H169" i="42"/>
  <c r="P169" i="42"/>
  <c r="Q169" i="42"/>
  <c r="I164" i="42"/>
  <c r="Q164" i="42"/>
  <c r="J164" i="42"/>
  <c r="R164" i="42"/>
  <c r="K164" i="42"/>
  <c r="S164" i="42"/>
  <c r="L164" i="42"/>
  <c r="H164" i="42"/>
  <c r="M164" i="42"/>
  <c r="N164" i="42"/>
  <c r="O164" i="42"/>
  <c r="P164" i="42"/>
  <c r="M126" i="42"/>
  <c r="J126" i="42"/>
  <c r="S126" i="42"/>
  <c r="K126" i="42"/>
  <c r="L126" i="42"/>
  <c r="N126" i="42"/>
  <c r="I126" i="42"/>
  <c r="O126" i="42"/>
  <c r="P126" i="42"/>
  <c r="Q126" i="42"/>
  <c r="H126" i="42"/>
  <c r="R126" i="42"/>
  <c r="K121" i="42"/>
  <c r="S121" i="42"/>
  <c r="G121" i="42"/>
  <c r="P121" i="42"/>
  <c r="H121" i="42"/>
  <c r="Q121" i="42"/>
  <c r="I121" i="42"/>
  <c r="R121" i="42"/>
  <c r="J121" i="42"/>
  <c r="M121" i="42"/>
  <c r="N121" i="42"/>
  <c r="O121" i="42"/>
  <c r="I182" i="44"/>
  <c r="Q182" i="44"/>
  <c r="G182" i="44"/>
  <c r="P182" i="44"/>
  <c r="K182" i="44"/>
  <c r="N182" i="44"/>
  <c r="J182" i="44"/>
  <c r="L182" i="44"/>
  <c r="M182" i="44"/>
  <c r="O182" i="44"/>
  <c r="H182" i="44"/>
  <c r="R182" i="44"/>
  <c r="L100" i="38"/>
  <c r="L96" i="38"/>
  <c r="L92" i="38"/>
  <c r="L88" i="38"/>
  <c r="L84" i="38"/>
  <c r="L80" i="38"/>
  <c r="L76" i="38"/>
  <c r="L72" i="38"/>
  <c r="L68" i="38"/>
  <c r="L64" i="38"/>
  <c r="L60" i="38"/>
  <c r="L56" i="38"/>
  <c r="L52" i="38"/>
  <c r="L48" i="38"/>
  <c r="L44" i="38"/>
  <c r="L40" i="38"/>
  <c r="L36" i="38"/>
  <c r="L32" i="38"/>
  <c r="L28" i="38"/>
  <c r="L24" i="38"/>
  <c r="L20" i="38"/>
  <c r="M17" i="38"/>
  <c r="J10" i="38"/>
  <c r="R10" i="38"/>
  <c r="G204" i="39"/>
  <c r="N204" i="39"/>
  <c r="G195" i="39"/>
  <c r="L195" i="39"/>
  <c r="G190" i="39"/>
  <c r="R190" i="39"/>
  <c r="G186" i="39"/>
  <c r="J186" i="39"/>
  <c r="G181" i="39"/>
  <c r="P181" i="39"/>
  <c r="G177" i="39"/>
  <c r="H177" i="39"/>
  <c r="S133" i="39"/>
  <c r="H132" i="39"/>
  <c r="J132" i="39"/>
  <c r="N132" i="39"/>
  <c r="L129" i="39"/>
  <c r="J129" i="39"/>
  <c r="G121" i="39"/>
  <c r="M121" i="39"/>
  <c r="O121" i="39"/>
  <c r="N117" i="39"/>
  <c r="J108" i="39"/>
  <c r="R108" i="39"/>
  <c r="K108" i="39"/>
  <c r="J104" i="39"/>
  <c r="R104" i="39"/>
  <c r="N104" i="39"/>
  <c r="N100" i="39"/>
  <c r="L93" i="39"/>
  <c r="J93" i="39"/>
  <c r="S93" i="39"/>
  <c r="M87" i="39"/>
  <c r="N81" i="39"/>
  <c r="J80" i="39"/>
  <c r="R80" i="39"/>
  <c r="G80" i="39"/>
  <c r="P80" i="39"/>
  <c r="O72" i="39"/>
  <c r="O64" i="39"/>
  <c r="O63" i="39"/>
  <c r="O61" i="39"/>
  <c r="O55" i="39"/>
  <c r="J44" i="39"/>
  <c r="R44" i="39"/>
  <c r="K44" i="39"/>
  <c r="L44" i="39"/>
  <c r="M44" i="39"/>
  <c r="G185" i="40"/>
  <c r="J185" i="40"/>
  <c r="N185" i="40"/>
  <c r="L185" i="40"/>
  <c r="P185" i="40"/>
  <c r="R185" i="40"/>
  <c r="H175" i="40"/>
  <c r="J175" i="40"/>
  <c r="R175" i="40"/>
  <c r="L150" i="40"/>
  <c r="P150" i="40"/>
  <c r="R150" i="40"/>
  <c r="G144" i="40"/>
  <c r="H144" i="40"/>
  <c r="L144" i="40"/>
  <c r="N144" i="40"/>
  <c r="P144" i="40"/>
  <c r="H140" i="40"/>
  <c r="N140" i="40"/>
  <c r="M109" i="40"/>
  <c r="G109" i="40"/>
  <c r="O109" i="40"/>
  <c r="H109" i="40"/>
  <c r="R109" i="40"/>
  <c r="I109" i="40"/>
  <c r="S109" i="40"/>
  <c r="J109" i="40"/>
  <c r="N109" i="40"/>
  <c r="K104" i="40"/>
  <c r="S104" i="40"/>
  <c r="L104" i="40"/>
  <c r="M104" i="40"/>
  <c r="H104" i="40"/>
  <c r="I104" i="40"/>
  <c r="J104" i="40"/>
  <c r="P104" i="40"/>
  <c r="G102" i="40"/>
  <c r="O102" i="40"/>
  <c r="H102" i="40"/>
  <c r="P102" i="40"/>
  <c r="I102" i="40"/>
  <c r="Q102" i="40"/>
  <c r="K102" i="40"/>
  <c r="L102" i="40"/>
  <c r="M102" i="40"/>
  <c r="S102" i="40"/>
  <c r="M71" i="40"/>
  <c r="I71" i="40"/>
  <c r="R71" i="40"/>
  <c r="J71" i="40"/>
  <c r="S71" i="40"/>
  <c r="K71" i="40"/>
  <c r="H71" i="40"/>
  <c r="L71" i="40"/>
  <c r="N71" i="40"/>
  <c r="Q71" i="40"/>
  <c r="G167" i="41"/>
  <c r="O167" i="41"/>
  <c r="I167" i="41"/>
  <c r="R167" i="41"/>
  <c r="J167" i="41"/>
  <c r="S167" i="41"/>
  <c r="K167" i="41"/>
  <c r="L167" i="41"/>
  <c r="P167" i="41"/>
  <c r="Q167" i="41"/>
  <c r="H167" i="41"/>
  <c r="I188" i="42"/>
  <c r="Q188" i="42"/>
  <c r="J188" i="42"/>
  <c r="R188" i="42"/>
  <c r="K188" i="42"/>
  <c r="S188" i="42"/>
  <c r="L188" i="42"/>
  <c r="M188" i="42"/>
  <c r="N188" i="42"/>
  <c r="O188" i="42"/>
  <c r="H188" i="42"/>
  <c r="P188" i="42"/>
  <c r="K117" i="42"/>
  <c r="S117" i="42"/>
  <c r="H117" i="42"/>
  <c r="Q117" i="42"/>
  <c r="I117" i="42"/>
  <c r="R117" i="42"/>
  <c r="J117" i="42"/>
  <c r="L117" i="42"/>
  <c r="M117" i="42"/>
  <c r="N117" i="42"/>
  <c r="O117" i="42"/>
  <c r="P117" i="42"/>
  <c r="G117" i="42"/>
  <c r="J40" i="42"/>
  <c r="R40" i="42"/>
  <c r="I40" i="42"/>
  <c r="S40" i="42"/>
  <c r="K40" i="42"/>
  <c r="L40" i="42"/>
  <c r="M40" i="42"/>
  <c r="G40" i="42"/>
  <c r="H40" i="42"/>
  <c r="N40" i="42"/>
  <c r="O40" i="42"/>
  <c r="Q40" i="42"/>
  <c r="G37" i="43"/>
  <c r="O37" i="43"/>
  <c r="M37" i="43"/>
  <c r="I37" i="43"/>
  <c r="S37" i="43"/>
  <c r="J37" i="43"/>
  <c r="K37" i="43"/>
  <c r="L37" i="43"/>
  <c r="N37" i="43"/>
  <c r="P37" i="43"/>
  <c r="H37" i="43"/>
  <c r="Q37" i="43"/>
  <c r="R37" i="43"/>
  <c r="S100" i="38"/>
  <c r="S96" i="38"/>
  <c r="S92" i="38"/>
  <c r="S88" i="38"/>
  <c r="S84" i="38"/>
  <c r="S80" i="38"/>
  <c r="S76" i="38"/>
  <c r="S72" i="38"/>
  <c r="S68" i="38"/>
  <c r="S64" i="38"/>
  <c r="S60" i="38"/>
  <c r="S56" i="38"/>
  <c r="S52" i="38"/>
  <c r="S48" i="38"/>
  <c r="S44" i="38"/>
  <c r="S40" i="38"/>
  <c r="S36" i="38"/>
  <c r="S32" i="38"/>
  <c r="S28" i="38"/>
  <c r="S24" i="38"/>
  <c r="S20" i="38"/>
  <c r="L17" i="38"/>
  <c r="H13" i="38"/>
  <c r="P13" i="38"/>
  <c r="N10" i="38"/>
  <c r="R203" i="39"/>
  <c r="P198" i="39"/>
  <c r="R194" i="39"/>
  <c r="R189" i="39"/>
  <c r="R185" i="39"/>
  <c r="R180" i="39"/>
  <c r="R168" i="39"/>
  <c r="R150" i="39"/>
  <c r="J150" i="39"/>
  <c r="H148" i="39"/>
  <c r="N148" i="39"/>
  <c r="R137" i="39"/>
  <c r="Q133" i="39"/>
  <c r="R127" i="39"/>
  <c r="N127" i="39"/>
  <c r="H125" i="39"/>
  <c r="R125" i="39"/>
  <c r="R123" i="39"/>
  <c r="P121" i="39"/>
  <c r="M117" i="39"/>
  <c r="J116" i="39"/>
  <c r="R116" i="39"/>
  <c r="M116" i="39"/>
  <c r="O108" i="39"/>
  <c r="O104" i="39"/>
  <c r="M100" i="39"/>
  <c r="H99" i="39"/>
  <c r="P99" i="39"/>
  <c r="M99" i="39"/>
  <c r="O93" i="39"/>
  <c r="L89" i="39"/>
  <c r="N89" i="39"/>
  <c r="L87" i="39"/>
  <c r="M81" i="39"/>
  <c r="O80" i="39"/>
  <c r="J76" i="39"/>
  <c r="R76" i="39"/>
  <c r="K76" i="39"/>
  <c r="M72" i="39"/>
  <c r="M64" i="39"/>
  <c r="N63" i="39"/>
  <c r="N61" i="39"/>
  <c r="M55" i="39"/>
  <c r="H51" i="39"/>
  <c r="P51" i="39"/>
  <c r="I51" i="39"/>
  <c r="R51" i="39"/>
  <c r="K51" i="39"/>
  <c r="Q44" i="39"/>
  <c r="H13" i="39"/>
  <c r="N13" i="39"/>
  <c r="P13" i="39"/>
  <c r="R13" i="39"/>
  <c r="N11" i="39"/>
  <c r="R11" i="39"/>
  <c r="G5" i="39"/>
  <c r="P5" i="39"/>
  <c r="L5" i="39"/>
  <c r="N5" i="39"/>
  <c r="R5" i="39"/>
  <c r="G204" i="40"/>
  <c r="P204" i="40"/>
  <c r="R204" i="40"/>
  <c r="G200" i="40"/>
  <c r="L200" i="40"/>
  <c r="R200" i="40"/>
  <c r="P154" i="40"/>
  <c r="L154" i="40"/>
  <c r="N154" i="40"/>
  <c r="R154" i="40"/>
  <c r="H135" i="40"/>
  <c r="L135" i="40"/>
  <c r="N135" i="40"/>
  <c r="P135" i="40"/>
  <c r="M125" i="40"/>
  <c r="G125" i="40"/>
  <c r="O125" i="40"/>
  <c r="H125" i="40"/>
  <c r="R125" i="40"/>
  <c r="I125" i="40"/>
  <c r="S125" i="40"/>
  <c r="J125" i="40"/>
  <c r="K124" i="40"/>
  <c r="S124" i="40"/>
  <c r="M124" i="40"/>
  <c r="J124" i="40"/>
  <c r="L124" i="40"/>
  <c r="N124" i="40"/>
  <c r="I115" i="40"/>
  <c r="Q115" i="40"/>
  <c r="K115" i="40"/>
  <c r="S115" i="40"/>
  <c r="H115" i="40"/>
  <c r="J115" i="40"/>
  <c r="L115" i="40"/>
  <c r="R108" i="40"/>
  <c r="G92" i="40"/>
  <c r="O92" i="40"/>
  <c r="H92" i="40"/>
  <c r="Q92" i="40"/>
  <c r="I92" i="40"/>
  <c r="R92" i="40"/>
  <c r="J92" i="40"/>
  <c r="S92" i="40"/>
  <c r="N92" i="40"/>
  <c r="P92" i="40"/>
  <c r="K92" i="40"/>
  <c r="K62" i="40"/>
  <c r="S62" i="40"/>
  <c r="G62" i="40"/>
  <c r="P62" i="40"/>
  <c r="H62" i="40"/>
  <c r="Q62" i="40"/>
  <c r="I62" i="40"/>
  <c r="R62" i="40"/>
  <c r="L62" i="40"/>
  <c r="M62" i="40"/>
  <c r="N62" i="40"/>
  <c r="K26" i="40"/>
  <c r="S26" i="40"/>
  <c r="H26" i="40"/>
  <c r="Q26" i="40"/>
  <c r="I26" i="40"/>
  <c r="R26" i="40"/>
  <c r="J26" i="40"/>
  <c r="L26" i="40"/>
  <c r="M26" i="40"/>
  <c r="N26" i="40"/>
  <c r="G24" i="40"/>
  <c r="O24" i="40"/>
  <c r="I24" i="40"/>
  <c r="R24" i="40"/>
  <c r="J24" i="40"/>
  <c r="S24" i="40"/>
  <c r="K24" i="40"/>
  <c r="P24" i="40"/>
  <c r="Q24" i="40"/>
  <c r="L24" i="40"/>
  <c r="N9" i="40"/>
  <c r="J9" i="40"/>
  <c r="L9" i="40"/>
  <c r="P9" i="40"/>
  <c r="H9" i="40"/>
  <c r="R9" i="40"/>
  <c r="A4" i="40"/>
  <c r="I180" i="41"/>
  <c r="Q180" i="41"/>
  <c r="J180" i="41"/>
  <c r="S180" i="41"/>
  <c r="K180" i="41"/>
  <c r="L180" i="41"/>
  <c r="H180" i="41"/>
  <c r="M180" i="41"/>
  <c r="N180" i="41"/>
  <c r="R180" i="41"/>
  <c r="K169" i="41"/>
  <c r="S169" i="41"/>
  <c r="H169" i="41"/>
  <c r="Q169" i="41"/>
  <c r="I169" i="41"/>
  <c r="R169" i="41"/>
  <c r="J169" i="41"/>
  <c r="L169" i="41"/>
  <c r="M169" i="41"/>
  <c r="N169" i="41"/>
  <c r="O169" i="41"/>
  <c r="M154" i="41"/>
  <c r="H154" i="41"/>
  <c r="Q154" i="41"/>
  <c r="I154" i="41"/>
  <c r="R154" i="41"/>
  <c r="J154" i="41"/>
  <c r="S154" i="41"/>
  <c r="K154" i="41"/>
  <c r="O154" i="41"/>
  <c r="P154" i="41"/>
  <c r="G154" i="41"/>
  <c r="I144" i="41"/>
  <c r="Q144" i="41"/>
  <c r="K144" i="41"/>
  <c r="L144" i="41"/>
  <c r="M144" i="41"/>
  <c r="N144" i="41"/>
  <c r="O144" i="41"/>
  <c r="P144" i="41"/>
  <c r="R144" i="41"/>
  <c r="G144" i="41"/>
  <c r="G131" i="41"/>
  <c r="O131" i="41"/>
  <c r="H131" i="41"/>
  <c r="P131" i="41"/>
  <c r="L131" i="41"/>
  <c r="M131" i="41"/>
  <c r="N131" i="41"/>
  <c r="Q131" i="41"/>
  <c r="I131" i="41"/>
  <c r="J131" i="41"/>
  <c r="K131" i="41"/>
  <c r="G123" i="41"/>
  <c r="O123" i="41"/>
  <c r="H123" i="41"/>
  <c r="P123" i="41"/>
  <c r="L123" i="41"/>
  <c r="M123" i="41"/>
  <c r="N123" i="41"/>
  <c r="Q123" i="41"/>
  <c r="J123" i="41"/>
  <c r="K123" i="41"/>
  <c r="R123" i="41"/>
  <c r="G199" i="42"/>
  <c r="O199" i="42"/>
  <c r="H199" i="42"/>
  <c r="P199" i="42"/>
  <c r="I199" i="42"/>
  <c r="Q199" i="42"/>
  <c r="L199" i="42"/>
  <c r="M199" i="42"/>
  <c r="N199" i="42"/>
  <c r="R199" i="42"/>
  <c r="K199" i="42"/>
  <c r="S199" i="42"/>
  <c r="I180" i="42"/>
  <c r="Q180" i="42"/>
  <c r="J180" i="42"/>
  <c r="R180" i="42"/>
  <c r="K180" i="42"/>
  <c r="S180" i="42"/>
  <c r="L180" i="42"/>
  <c r="M180" i="42"/>
  <c r="N180" i="42"/>
  <c r="O180" i="42"/>
  <c r="H180" i="42"/>
  <c r="P180" i="42"/>
  <c r="L204" i="43"/>
  <c r="M204" i="43"/>
  <c r="G204" i="43"/>
  <c r="Q204" i="43"/>
  <c r="H204" i="43"/>
  <c r="R204" i="43"/>
  <c r="I204" i="43"/>
  <c r="S204" i="43"/>
  <c r="J204" i="43"/>
  <c r="N204" i="43"/>
  <c r="O204" i="43"/>
  <c r="P204" i="43"/>
  <c r="I122" i="43"/>
  <c r="Q122" i="43"/>
  <c r="L122" i="43"/>
  <c r="M122" i="43"/>
  <c r="N122" i="43"/>
  <c r="H122" i="43"/>
  <c r="R122" i="43"/>
  <c r="J122" i="43"/>
  <c r="K122" i="43"/>
  <c r="O122" i="43"/>
  <c r="P122" i="43"/>
  <c r="S122" i="43"/>
  <c r="G122" i="43"/>
  <c r="K111" i="43"/>
  <c r="S111" i="43"/>
  <c r="J111" i="43"/>
  <c r="L111" i="43"/>
  <c r="M111" i="43"/>
  <c r="G111" i="43"/>
  <c r="P111" i="43"/>
  <c r="N111" i="43"/>
  <c r="O111" i="43"/>
  <c r="Q111" i="43"/>
  <c r="R111" i="43"/>
  <c r="I111" i="43"/>
  <c r="M92" i="43"/>
  <c r="K92" i="43"/>
  <c r="L92" i="43"/>
  <c r="N92" i="43"/>
  <c r="H92" i="43"/>
  <c r="Q92" i="43"/>
  <c r="J92" i="43"/>
  <c r="O92" i="43"/>
  <c r="P92" i="43"/>
  <c r="R92" i="43"/>
  <c r="I92" i="43"/>
  <c r="S92" i="43"/>
  <c r="G92" i="43"/>
  <c r="L88" i="43"/>
  <c r="M88" i="43"/>
  <c r="K88" i="43"/>
  <c r="N88" i="43"/>
  <c r="O88" i="43"/>
  <c r="H88" i="43"/>
  <c r="R88" i="43"/>
  <c r="I88" i="43"/>
  <c r="J88" i="43"/>
  <c r="P88" i="43"/>
  <c r="Q88" i="43"/>
  <c r="S88" i="43"/>
  <c r="I97" i="40"/>
  <c r="Q97" i="40"/>
  <c r="K97" i="40"/>
  <c r="L97" i="40"/>
  <c r="M97" i="40"/>
  <c r="G88" i="40"/>
  <c r="O88" i="40"/>
  <c r="I88" i="40"/>
  <c r="R88" i="40"/>
  <c r="J88" i="40"/>
  <c r="S88" i="40"/>
  <c r="K88" i="40"/>
  <c r="I77" i="40"/>
  <c r="Q77" i="40"/>
  <c r="G77" i="40"/>
  <c r="P77" i="40"/>
  <c r="H77" i="40"/>
  <c r="R77" i="40"/>
  <c r="J77" i="40"/>
  <c r="S77" i="40"/>
  <c r="M75" i="40"/>
  <c r="H75" i="40"/>
  <c r="Q75" i="40"/>
  <c r="I75" i="40"/>
  <c r="R75" i="40"/>
  <c r="J75" i="40"/>
  <c r="S75" i="40"/>
  <c r="I69" i="40"/>
  <c r="Q69" i="40"/>
  <c r="J69" i="40"/>
  <c r="S69" i="40"/>
  <c r="K69" i="40"/>
  <c r="L69" i="40"/>
  <c r="I61" i="40"/>
  <c r="Q61" i="40"/>
  <c r="L61" i="40"/>
  <c r="M61" i="40"/>
  <c r="N61" i="40"/>
  <c r="G52" i="40"/>
  <c r="O52" i="40"/>
  <c r="J52" i="40"/>
  <c r="S52" i="40"/>
  <c r="K52" i="40"/>
  <c r="L52" i="40"/>
  <c r="I41" i="40"/>
  <c r="Q41" i="40"/>
  <c r="H41" i="40"/>
  <c r="R41" i="40"/>
  <c r="J41" i="40"/>
  <c r="S41" i="40"/>
  <c r="K41" i="40"/>
  <c r="G203" i="41"/>
  <c r="O203" i="41"/>
  <c r="H203" i="41"/>
  <c r="Q203" i="41"/>
  <c r="I203" i="41"/>
  <c r="R203" i="41"/>
  <c r="J203" i="41"/>
  <c r="S203" i="41"/>
  <c r="M190" i="41"/>
  <c r="G190" i="41"/>
  <c r="P190" i="41"/>
  <c r="H190" i="41"/>
  <c r="Q190" i="41"/>
  <c r="I190" i="41"/>
  <c r="R190" i="41"/>
  <c r="G187" i="41"/>
  <c r="O187" i="41"/>
  <c r="L187" i="41"/>
  <c r="M187" i="41"/>
  <c r="N187" i="41"/>
  <c r="M174" i="41"/>
  <c r="K174" i="41"/>
  <c r="L174" i="41"/>
  <c r="N174" i="41"/>
  <c r="I132" i="41"/>
  <c r="Q132" i="41"/>
  <c r="J132" i="41"/>
  <c r="R132" i="41"/>
  <c r="H132" i="41"/>
  <c r="K132" i="41"/>
  <c r="L132" i="41"/>
  <c r="M132" i="41"/>
  <c r="R117" i="41"/>
  <c r="N117" i="41"/>
  <c r="P117" i="41"/>
  <c r="H108" i="41"/>
  <c r="R108" i="41"/>
  <c r="P101" i="41"/>
  <c r="R101" i="41"/>
  <c r="J101" i="41"/>
  <c r="L101" i="41"/>
  <c r="N101" i="41"/>
  <c r="G84" i="41"/>
  <c r="J84" i="41"/>
  <c r="L84" i="41"/>
  <c r="N84" i="41"/>
  <c r="H84" i="41"/>
  <c r="O84" i="41"/>
  <c r="P84" i="41"/>
  <c r="Q84" i="41"/>
  <c r="H47" i="42"/>
  <c r="P47" i="42"/>
  <c r="G47" i="42"/>
  <c r="Q47" i="42"/>
  <c r="I47" i="42"/>
  <c r="R47" i="42"/>
  <c r="J47" i="42"/>
  <c r="S47" i="42"/>
  <c r="K47" i="42"/>
  <c r="L47" i="42"/>
  <c r="M47" i="42"/>
  <c r="N47" i="42"/>
  <c r="O47" i="42"/>
  <c r="H194" i="43"/>
  <c r="P194" i="43"/>
  <c r="I194" i="43"/>
  <c r="Q194" i="43"/>
  <c r="G194" i="43"/>
  <c r="S194" i="43"/>
  <c r="J194" i="43"/>
  <c r="K194" i="43"/>
  <c r="L194" i="43"/>
  <c r="N194" i="43"/>
  <c r="O194" i="43"/>
  <c r="R194" i="43"/>
  <c r="I50" i="43"/>
  <c r="Q50" i="43"/>
  <c r="L50" i="43"/>
  <c r="M50" i="43"/>
  <c r="N50" i="43"/>
  <c r="O50" i="43"/>
  <c r="P50" i="43"/>
  <c r="R50" i="43"/>
  <c r="H50" i="43"/>
  <c r="J50" i="43"/>
  <c r="K50" i="43"/>
  <c r="S50" i="43"/>
  <c r="J202" i="45"/>
  <c r="R202" i="45"/>
  <c r="K202" i="45"/>
  <c r="S202" i="45"/>
  <c r="L202" i="45"/>
  <c r="I202" i="45"/>
  <c r="M202" i="45"/>
  <c r="O202" i="45"/>
  <c r="H202" i="45"/>
  <c r="N202" i="45"/>
  <c r="P202" i="45"/>
  <c r="Q202" i="45"/>
  <c r="H67" i="39"/>
  <c r="P67" i="39"/>
  <c r="J52" i="39"/>
  <c r="R52" i="39"/>
  <c r="P40" i="39"/>
  <c r="H35" i="39"/>
  <c r="P35" i="39"/>
  <c r="P25" i="39"/>
  <c r="G25" i="39"/>
  <c r="Q23" i="39"/>
  <c r="J20" i="39"/>
  <c r="R20" i="39"/>
  <c r="J12" i="39"/>
  <c r="G196" i="40"/>
  <c r="P196" i="40"/>
  <c r="G190" i="40"/>
  <c r="H190" i="40"/>
  <c r="J173" i="40"/>
  <c r="H168" i="40"/>
  <c r="L168" i="40"/>
  <c r="N149" i="40"/>
  <c r="H146" i="40"/>
  <c r="L146" i="40"/>
  <c r="S129" i="40"/>
  <c r="G126" i="40"/>
  <c r="O126" i="40"/>
  <c r="I126" i="40"/>
  <c r="Q126" i="40"/>
  <c r="I123" i="40"/>
  <c r="Q123" i="40"/>
  <c r="K123" i="40"/>
  <c r="S123" i="40"/>
  <c r="K120" i="40"/>
  <c r="S120" i="40"/>
  <c r="M120" i="40"/>
  <c r="R113" i="40"/>
  <c r="G110" i="40"/>
  <c r="O110" i="40"/>
  <c r="I110" i="40"/>
  <c r="Q110" i="40"/>
  <c r="R100" i="40"/>
  <c r="O97" i="40"/>
  <c r="S95" i="40"/>
  <c r="I93" i="40"/>
  <c r="Q93" i="40"/>
  <c r="L93" i="40"/>
  <c r="M93" i="40"/>
  <c r="N93" i="40"/>
  <c r="P88" i="40"/>
  <c r="G84" i="40"/>
  <c r="O84" i="40"/>
  <c r="J84" i="40"/>
  <c r="S84" i="40"/>
  <c r="K84" i="40"/>
  <c r="L84" i="40"/>
  <c r="O77" i="40"/>
  <c r="O75" i="40"/>
  <c r="I73" i="40"/>
  <c r="Q73" i="40"/>
  <c r="H73" i="40"/>
  <c r="R73" i="40"/>
  <c r="J73" i="40"/>
  <c r="S73" i="40"/>
  <c r="K73" i="40"/>
  <c r="O69" i="40"/>
  <c r="O61" i="40"/>
  <c r="P52" i="40"/>
  <c r="O41" i="40"/>
  <c r="G28" i="40"/>
  <c r="O28" i="40"/>
  <c r="H28" i="40"/>
  <c r="Q28" i="40"/>
  <c r="I28" i="40"/>
  <c r="R28" i="40"/>
  <c r="J28" i="40"/>
  <c r="S28" i="40"/>
  <c r="H14" i="40"/>
  <c r="J14" i="40"/>
  <c r="N14" i="40"/>
  <c r="R14" i="40"/>
  <c r="P203" i="41"/>
  <c r="O190" i="41"/>
  <c r="P187" i="41"/>
  <c r="O174" i="41"/>
  <c r="I152" i="41"/>
  <c r="Q152" i="41"/>
  <c r="H152" i="41"/>
  <c r="R152" i="41"/>
  <c r="J152" i="41"/>
  <c r="S152" i="41"/>
  <c r="K152" i="41"/>
  <c r="L152" i="41"/>
  <c r="S132" i="41"/>
  <c r="K121" i="41"/>
  <c r="S121" i="41"/>
  <c r="L121" i="41"/>
  <c r="J121" i="41"/>
  <c r="M121" i="41"/>
  <c r="N121" i="41"/>
  <c r="O121" i="41"/>
  <c r="G203" i="42"/>
  <c r="O203" i="42"/>
  <c r="H203" i="42"/>
  <c r="P203" i="42"/>
  <c r="I203" i="42"/>
  <c r="Q203" i="42"/>
  <c r="L203" i="42"/>
  <c r="M203" i="42"/>
  <c r="N203" i="42"/>
  <c r="R203" i="42"/>
  <c r="I200" i="42"/>
  <c r="Q200" i="42"/>
  <c r="J200" i="42"/>
  <c r="R200" i="42"/>
  <c r="K200" i="42"/>
  <c r="S200" i="42"/>
  <c r="L200" i="42"/>
  <c r="M200" i="42"/>
  <c r="N200" i="42"/>
  <c r="O200" i="42"/>
  <c r="K197" i="42"/>
  <c r="S197" i="42"/>
  <c r="L197" i="42"/>
  <c r="M197" i="42"/>
  <c r="I197" i="42"/>
  <c r="J197" i="42"/>
  <c r="N197" i="42"/>
  <c r="O197" i="42"/>
  <c r="G195" i="42"/>
  <c r="O195" i="42"/>
  <c r="H195" i="42"/>
  <c r="P195" i="42"/>
  <c r="I195" i="42"/>
  <c r="Q195" i="42"/>
  <c r="L195" i="42"/>
  <c r="M195" i="42"/>
  <c r="N195" i="42"/>
  <c r="R195" i="42"/>
  <c r="I192" i="42"/>
  <c r="Q192" i="42"/>
  <c r="J192" i="42"/>
  <c r="R192" i="42"/>
  <c r="K192" i="42"/>
  <c r="S192" i="42"/>
  <c r="L192" i="42"/>
  <c r="M192" i="42"/>
  <c r="N192" i="42"/>
  <c r="O192" i="42"/>
  <c r="K189" i="42"/>
  <c r="S189" i="42"/>
  <c r="L189" i="42"/>
  <c r="M189" i="42"/>
  <c r="I189" i="42"/>
  <c r="J189" i="42"/>
  <c r="N189" i="42"/>
  <c r="O189" i="42"/>
  <c r="G187" i="42"/>
  <c r="O187" i="42"/>
  <c r="H187" i="42"/>
  <c r="P187" i="42"/>
  <c r="I187" i="42"/>
  <c r="Q187" i="42"/>
  <c r="L187" i="42"/>
  <c r="M187" i="42"/>
  <c r="N187" i="42"/>
  <c r="R187" i="42"/>
  <c r="I184" i="42"/>
  <c r="Q184" i="42"/>
  <c r="J184" i="42"/>
  <c r="R184" i="42"/>
  <c r="K184" i="42"/>
  <c r="S184" i="42"/>
  <c r="L184" i="42"/>
  <c r="M184" i="42"/>
  <c r="N184" i="42"/>
  <c r="O184" i="42"/>
  <c r="K181" i="42"/>
  <c r="S181" i="42"/>
  <c r="L181" i="42"/>
  <c r="M181" i="42"/>
  <c r="I181" i="42"/>
  <c r="J181" i="42"/>
  <c r="N181" i="42"/>
  <c r="O181" i="42"/>
  <c r="G179" i="42"/>
  <c r="O179" i="42"/>
  <c r="H179" i="42"/>
  <c r="P179" i="42"/>
  <c r="I179" i="42"/>
  <c r="Q179" i="42"/>
  <c r="L179" i="42"/>
  <c r="M179" i="42"/>
  <c r="N179" i="42"/>
  <c r="R179" i="42"/>
  <c r="I176" i="42"/>
  <c r="Q176" i="42"/>
  <c r="J176" i="42"/>
  <c r="R176" i="42"/>
  <c r="K176" i="42"/>
  <c r="S176" i="42"/>
  <c r="L176" i="42"/>
  <c r="M176" i="42"/>
  <c r="N176" i="42"/>
  <c r="O176" i="42"/>
  <c r="K173" i="42"/>
  <c r="S173" i="42"/>
  <c r="L173" i="42"/>
  <c r="M173" i="42"/>
  <c r="I173" i="42"/>
  <c r="J173" i="42"/>
  <c r="N173" i="42"/>
  <c r="O173" i="42"/>
  <c r="G171" i="42"/>
  <c r="O171" i="42"/>
  <c r="H171" i="42"/>
  <c r="P171" i="42"/>
  <c r="I171" i="42"/>
  <c r="Q171" i="42"/>
  <c r="L171" i="42"/>
  <c r="M171" i="42"/>
  <c r="N171" i="42"/>
  <c r="R171" i="42"/>
  <c r="I168" i="42"/>
  <c r="Q168" i="42"/>
  <c r="J168" i="42"/>
  <c r="R168" i="42"/>
  <c r="K168" i="42"/>
  <c r="S168" i="42"/>
  <c r="L168" i="42"/>
  <c r="M168" i="42"/>
  <c r="N168" i="42"/>
  <c r="O168" i="42"/>
  <c r="I124" i="42"/>
  <c r="Q124" i="42"/>
  <c r="K124" i="42"/>
  <c r="L124" i="42"/>
  <c r="M124" i="42"/>
  <c r="N124" i="42"/>
  <c r="J124" i="42"/>
  <c r="O124" i="42"/>
  <c r="P124" i="42"/>
  <c r="R124" i="42"/>
  <c r="H94" i="42"/>
  <c r="J94" i="42"/>
  <c r="L94" i="42"/>
  <c r="N94" i="42"/>
  <c r="P94" i="42"/>
  <c r="R94" i="42"/>
  <c r="H35" i="42"/>
  <c r="P35" i="42"/>
  <c r="I35" i="42"/>
  <c r="R35" i="42"/>
  <c r="J35" i="42"/>
  <c r="S35" i="42"/>
  <c r="K35" i="42"/>
  <c r="L35" i="42"/>
  <c r="M35" i="42"/>
  <c r="N35" i="42"/>
  <c r="O35" i="42"/>
  <c r="Q35" i="42"/>
  <c r="J28" i="42"/>
  <c r="R28" i="42"/>
  <c r="K28" i="42"/>
  <c r="S28" i="42"/>
  <c r="L28" i="42"/>
  <c r="M28" i="42"/>
  <c r="N28" i="42"/>
  <c r="O28" i="42"/>
  <c r="H28" i="42"/>
  <c r="I28" i="42"/>
  <c r="P28" i="42"/>
  <c r="Q28" i="42"/>
  <c r="H8" i="42"/>
  <c r="R8" i="42"/>
  <c r="L84" i="43"/>
  <c r="M84" i="43"/>
  <c r="G84" i="43"/>
  <c r="Q84" i="43"/>
  <c r="H84" i="43"/>
  <c r="R84" i="43"/>
  <c r="I84" i="43"/>
  <c r="S84" i="43"/>
  <c r="N84" i="43"/>
  <c r="J84" i="43"/>
  <c r="K84" i="43"/>
  <c r="O84" i="43"/>
  <c r="P84" i="43"/>
  <c r="J40" i="39"/>
  <c r="R40" i="39"/>
  <c r="H23" i="39"/>
  <c r="P23" i="39"/>
  <c r="G201" i="40"/>
  <c r="N201" i="40"/>
  <c r="H184" i="40"/>
  <c r="L184" i="40"/>
  <c r="H171" i="40"/>
  <c r="J171" i="40"/>
  <c r="N166" i="40"/>
  <c r="R166" i="40"/>
  <c r="H162" i="40"/>
  <c r="L162" i="40"/>
  <c r="G142" i="40"/>
  <c r="P142" i="40"/>
  <c r="G132" i="40"/>
  <c r="H132" i="40"/>
  <c r="L132" i="40"/>
  <c r="G129" i="40"/>
  <c r="N129" i="40"/>
  <c r="H129" i="40"/>
  <c r="P129" i="40"/>
  <c r="M113" i="40"/>
  <c r="G113" i="40"/>
  <c r="O113" i="40"/>
  <c r="K100" i="40"/>
  <c r="S100" i="40"/>
  <c r="L100" i="40"/>
  <c r="M100" i="40"/>
  <c r="I99" i="40"/>
  <c r="Q99" i="40"/>
  <c r="J99" i="40"/>
  <c r="R99" i="40"/>
  <c r="K99" i="40"/>
  <c r="S99" i="40"/>
  <c r="N97" i="40"/>
  <c r="M95" i="40"/>
  <c r="K95" i="40"/>
  <c r="L95" i="40"/>
  <c r="N95" i="40"/>
  <c r="N88" i="40"/>
  <c r="N77" i="40"/>
  <c r="N75" i="40"/>
  <c r="N69" i="40"/>
  <c r="K61" i="40"/>
  <c r="N52" i="40"/>
  <c r="K50" i="40"/>
  <c r="S50" i="40"/>
  <c r="J50" i="40"/>
  <c r="L50" i="40"/>
  <c r="M50" i="40"/>
  <c r="N41" i="40"/>
  <c r="M39" i="40"/>
  <c r="I39" i="40"/>
  <c r="R39" i="40"/>
  <c r="J39" i="40"/>
  <c r="S39" i="40"/>
  <c r="K39" i="40"/>
  <c r="K30" i="40"/>
  <c r="S30" i="40"/>
  <c r="G30" i="40"/>
  <c r="P30" i="40"/>
  <c r="H30" i="40"/>
  <c r="Q30" i="40"/>
  <c r="I30" i="40"/>
  <c r="R30" i="40"/>
  <c r="K22" i="40"/>
  <c r="S22" i="40"/>
  <c r="I22" i="40"/>
  <c r="R22" i="40"/>
  <c r="J22" i="40"/>
  <c r="L22" i="40"/>
  <c r="G16" i="40"/>
  <c r="O16" i="40"/>
  <c r="K16" i="40"/>
  <c r="L16" i="40"/>
  <c r="M16" i="40"/>
  <c r="N203" i="41"/>
  <c r="K201" i="41"/>
  <c r="S201" i="41"/>
  <c r="H201" i="41"/>
  <c r="Q201" i="41"/>
  <c r="I201" i="41"/>
  <c r="R201" i="41"/>
  <c r="J201" i="41"/>
  <c r="N190" i="41"/>
  <c r="K187" i="41"/>
  <c r="I176" i="41"/>
  <c r="Q176" i="41"/>
  <c r="K176" i="41"/>
  <c r="L176" i="41"/>
  <c r="M176" i="41"/>
  <c r="J174" i="41"/>
  <c r="G171" i="41"/>
  <c r="O171" i="41"/>
  <c r="H171" i="41"/>
  <c r="Q171" i="41"/>
  <c r="I171" i="41"/>
  <c r="R171" i="41"/>
  <c r="J171" i="41"/>
  <c r="S171" i="41"/>
  <c r="K171" i="41"/>
  <c r="M158" i="41"/>
  <c r="G158" i="41"/>
  <c r="P158" i="41"/>
  <c r="H158" i="41"/>
  <c r="Q158" i="41"/>
  <c r="I158" i="41"/>
  <c r="R158" i="41"/>
  <c r="J158" i="41"/>
  <c r="S158" i="41"/>
  <c r="P132" i="41"/>
  <c r="N113" i="41"/>
  <c r="P113" i="41"/>
  <c r="R113" i="41"/>
  <c r="J87" i="41"/>
  <c r="L87" i="41"/>
  <c r="N87" i="41"/>
  <c r="H87" i="41"/>
  <c r="P87" i="41"/>
  <c r="R87" i="41"/>
  <c r="J7" i="42"/>
  <c r="L7" i="42"/>
  <c r="H7" i="42"/>
  <c r="N7" i="42"/>
  <c r="P7" i="42"/>
  <c r="R7" i="42"/>
  <c r="K175" i="43"/>
  <c r="S175" i="43"/>
  <c r="J175" i="43"/>
  <c r="L175" i="43"/>
  <c r="I175" i="43"/>
  <c r="M175" i="43"/>
  <c r="N175" i="43"/>
  <c r="O175" i="43"/>
  <c r="P175" i="43"/>
  <c r="Q175" i="43"/>
  <c r="R175" i="43"/>
  <c r="M108" i="43"/>
  <c r="G108" i="43"/>
  <c r="P108" i="43"/>
  <c r="H108" i="43"/>
  <c r="Q108" i="43"/>
  <c r="I108" i="43"/>
  <c r="R108" i="43"/>
  <c r="L108" i="43"/>
  <c r="O108" i="43"/>
  <c r="S108" i="43"/>
  <c r="K108" i="43"/>
  <c r="N108" i="43"/>
  <c r="G135" i="39"/>
  <c r="P135" i="39"/>
  <c r="H107" i="39"/>
  <c r="P107" i="39"/>
  <c r="J92" i="39"/>
  <c r="R92" i="39"/>
  <c r="H75" i="39"/>
  <c r="P75" i="39"/>
  <c r="M69" i="39"/>
  <c r="M67" i="39"/>
  <c r="J60" i="39"/>
  <c r="R60" i="39"/>
  <c r="M52" i="39"/>
  <c r="H43" i="39"/>
  <c r="P43" i="39"/>
  <c r="N40" i="39"/>
  <c r="M37" i="39"/>
  <c r="M35" i="39"/>
  <c r="J28" i="39"/>
  <c r="R28" i="39"/>
  <c r="N25" i="39"/>
  <c r="N23" i="39"/>
  <c r="M20" i="39"/>
  <c r="G194" i="40"/>
  <c r="L194" i="40"/>
  <c r="P194" i="40"/>
  <c r="G187" i="40"/>
  <c r="N187" i="40"/>
  <c r="R187" i="40"/>
  <c r="N182" i="40"/>
  <c r="R182" i="40"/>
  <c r="N160" i="40"/>
  <c r="R160" i="40"/>
  <c r="H139" i="40"/>
  <c r="L139" i="40"/>
  <c r="Q129" i="40"/>
  <c r="N126" i="40"/>
  <c r="N123" i="40"/>
  <c r="G122" i="40"/>
  <c r="O122" i="40"/>
  <c r="I122" i="40"/>
  <c r="Q122" i="40"/>
  <c r="N120" i="40"/>
  <c r="I119" i="40"/>
  <c r="Q119" i="40"/>
  <c r="K119" i="40"/>
  <c r="S119" i="40"/>
  <c r="K116" i="40"/>
  <c r="S116" i="40"/>
  <c r="M116" i="40"/>
  <c r="P113" i="40"/>
  <c r="N110" i="40"/>
  <c r="P100" i="40"/>
  <c r="P99" i="40"/>
  <c r="J97" i="40"/>
  <c r="Q95" i="40"/>
  <c r="P93" i="40"/>
  <c r="K90" i="40"/>
  <c r="S90" i="40"/>
  <c r="H90" i="40"/>
  <c r="Q90" i="40"/>
  <c r="I90" i="40"/>
  <c r="R90" i="40"/>
  <c r="J90" i="40"/>
  <c r="M88" i="40"/>
  <c r="Q84" i="40"/>
  <c r="M77" i="40"/>
  <c r="L75" i="40"/>
  <c r="P73" i="40"/>
  <c r="M69" i="40"/>
  <c r="I65" i="40"/>
  <c r="Q65" i="40"/>
  <c r="K65" i="40"/>
  <c r="L65" i="40"/>
  <c r="M65" i="40"/>
  <c r="J61" i="40"/>
  <c r="G56" i="40"/>
  <c r="O56" i="40"/>
  <c r="I56" i="40"/>
  <c r="R56" i="40"/>
  <c r="J56" i="40"/>
  <c r="S56" i="40"/>
  <c r="K56" i="40"/>
  <c r="M52" i="40"/>
  <c r="Q50" i="40"/>
  <c r="I45" i="40"/>
  <c r="Q45" i="40"/>
  <c r="G45" i="40"/>
  <c r="P45" i="40"/>
  <c r="H45" i="40"/>
  <c r="R45" i="40"/>
  <c r="J45" i="40"/>
  <c r="S45" i="40"/>
  <c r="M43" i="40"/>
  <c r="H43" i="40"/>
  <c r="Q43" i="40"/>
  <c r="I43" i="40"/>
  <c r="R43" i="40"/>
  <c r="J43" i="40"/>
  <c r="S43" i="40"/>
  <c r="M41" i="40"/>
  <c r="Q39" i="40"/>
  <c r="I37" i="40"/>
  <c r="Q37" i="40"/>
  <c r="J37" i="40"/>
  <c r="S37" i="40"/>
  <c r="K37" i="40"/>
  <c r="L37" i="40"/>
  <c r="I29" i="40"/>
  <c r="Q29" i="40"/>
  <c r="L29" i="40"/>
  <c r="M29" i="40"/>
  <c r="N29" i="40"/>
  <c r="Q22" i="40"/>
  <c r="G20" i="40"/>
  <c r="O20" i="40"/>
  <c r="J20" i="40"/>
  <c r="S20" i="40"/>
  <c r="K20" i="40"/>
  <c r="L20" i="40"/>
  <c r="R16" i="40"/>
  <c r="M203" i="41"/>
  <c r="L190" i="41"/>
  <c r="J187" i="41"/>
  <c r="R176" i="41"/>
  <c r="I174" i="41"/>
  <c r="K161" i="41"/>
  <c r="S161" i="41"/>
  <c r="J161" i="41"/>
  <c r="L161" i="41"/>
  <c r="M161" i="41"/>
  <c r="N161" i="41"/>
  <c r="G139" i="41"/>
  <c r="O139" i="41"/>
  <c r="H139" i="41"/>
  <c r="P139" i="41"/>
  <c r="L139" i="41"/>
  <c r="M139" i="41"/>
  <c r="N139" i="41"/>
  <c r="Q139" i="41"/>
  <c r="O132" i="41"/>
  <c r="R121" i="41"/>
  <c r="L117" i="41"/>
  <c r="H115" i="41"/>
  <c r="J115" i="41"/>
  <c r="P115" i="41"/>
  <c r="R115" i="41"/>
  <c r="H6" i="41"/>
  <c r="R6" i="41"/>
  <c r="I156" i="42"/>
  <c r="Q156" i="42"/>
  <c r="J156" i="42"/>
  <c r="R156" i="42"/>
  <c r="K156" i="42"/>
  <c r="S156" i="42"/>
  <c r="L156" i="42"/>
  <c r="N156" i="42"/>
  <c r="O156" i="42"/>
  <c r="P156" i="42"/>
  <c r="I144" i="42"/>
  <c r="Q144" i="42"/>
  <c r="J144" i="42"/>
  <c r="R144" i="42"/>
  <c r="K144" i="42"/>
  <c r="S144" i="42"/>
  <c r="L144" i="42"/>
  <c r="M144" i="42"/>
  <c r="N144" i="42"/>
  <c r="O144" i="42"/>
  <c r="P144" i="42"/>
  <c r="I132" i="42"/>
  <c r="Q132" i="42"/>
  <c r="J132" i="42"/>
  <c r="R132" i="42"/>
  <c r="K132" i="42"/>
  <c r="S132" i="42"/>
  <c r="L132" i="42"/>
  <c r="H132" i="42"/>
  <c r="M132" i="42"/>
  <c r="N132" i="42"/>
  <c r="O132" i="42"/>
  <c r="H198" i="43"/>
  <c r="P198" i="43"/>
  <c r="I198" i="43"/>
  <c r="Q198" i="43"/>
  <c r="K198" i="43"/>
  <c r="L198" i="43"/>
  <c r="M198" i="43"/>
  <c r="N198" i="43"/>
  <c r="R198" i="43"/>
  <c r="S198" i="43"/>
  <c r="K183" i="43"/>
  <c r="S183" i="43"/>
  <c r="H183" i="43"/>
  <c r="Q183" i="43"/>
  <c r="I183" i="43"/>
  <c r="R183" i="43"/>
  <c r="G183" i="43"/>
  <c r="J183" i="43"/>
  <c r="L183" i="43"/>
  <c r="M183" i="43"/>
  <c r="P183" i="43"/>
  <c r="I172" i="41"/>
  <c r="Q172" i="41"/>
  <c r="K157" i="41"/>
  <c r="S157" i="41"/>
  <c r="G155" i="41"/>
  <c r="O155" i="41"/>
  <c r="H94" i="41"/>
  <c r="N94" i="41"/>
  <c r="R94" i="41"/>
  <c r="H88" i="41"/>
  <c r="R88" i="41"/>
  <c r="G86" i="41"/>
  <c r="H86" i="41"/>
  <c r="J86" i="41"/>
  <c r="L86" i="41"/>
  <c r="G159" i="42"/>
  <c r="O159" i="42"/>
  <c r="H159" i="42"/>
  <c r="P159" i="42"/>
  <c r="I159" i="42"/>
  <c r="Q159" i="42"/>
  <c r="J159" i="42"/>
  <c r="R159" i="42"/>
  <c r="I136" i="42"/>
  <c r="Q136" i="42"/>
  <c r="J136" i="42"/>
  <c r="R136" i="42"/>
  <c r="K136" i="42"/>
  <c r="S136" i="42"/>
  <c r="L136" i="42"/>
  <c r="H110" i="42"/>
  <c r="L110" i="42"/>
  <c r="N110" i="42"/>
  <c r="P110" i="42"/>
  <c r="R110" i="42"/>
  <c r="N108" i="42"/>
  <c r="P108" i="42"/>
  <c r="R108" i="42"/>
  <c r="J83" i="42"/>
  <c r="L83" i="42"/>
  <c r="N83" i="42"/>
  <c r="P83" i="42"/>
  <c r="H75" i="42"/>
  <c r="P75" i="42"/>
  <c r="K75" i="42"/>
  <c r="L75" i="42"/>
  <c r="M75" i="42"/>
  <c r="N75" i="42"/>
  <c r="J64" i="42"/>
  <c r="R64" i="42"/>
  <c r="G64" i="42"/>
  <c r="P64" i="42"/>
  <c r="H64" i="42"/>
  <c r="Q64" i="42"/>
  <c r="I64" i="42"/>
  <c r="S64" i="42"/>
  <c r="K64" i="42"/>
  <c r="J60" i="42"/>
  <c r="R60" i="42"/>
  <c r="K60" i="42"/>
  <c r="L60" i="42"/>
  <c r="M60" i="42"/>
  <c r="N60" i="42"/>
  <c r="H55" i="42"/>
  <c r="P55" i="42"/>
  <c r="J55" i="42"/>
  <c r="S55" i="42"/>
  <c r="K55" i="42"/>
  <c r="L55" i="42"/>
  <c r="M55" i="42"/>
  <c r="J52" i="42"/>
  <c r="R52" i="42"/>
  <c r="H52" i="42"/>
  <c r="Q52" i="42"/>
  <c r="I52" i="42"/>
  <c r="S52" i="42"/>
  <c r="K52" i="42"/>
  <c r="L52" i="42"/>
  <c r="H23" i="42"/>
  <c r="P23" i="42"/>
  <c r="I23" i="42"/>
  <c r="Q23" i="42"/>
  <c r="L23" i="42"/>
  <c r="M23" i="42"/>
  <c r="N23" i="42"/>
  <c r="O23" i="42"/>
  <c r="G181" i="43"/>
  <c r="O181" i="43"/>
  <c r="I181" i="43"/>
  <c r="R181" i="43"/>
  <c r="J181" i="43"/>
  <c r="S181" i="43"/>
  <c r="L181" i="43"/>
  <c r="M181" i="43"/>
  <c r="N181" i="43"/>
  <c r="P181" i="43"/>
  <c r="I154" i="43"/>
  <c r="Q154" i="43"/>
  <c r="L154" i="43"/>
  <c r="M154" i="43"/>
  <c r="N154" i="43"/>
  <c r="H154" i="43"/>
  <c r="J154" i="43"/>
  <c r="K154" i="43"/>
  <c r="O154" i="43"/>
  <c r="K107" i="43"/>
  <c r="S107" i="43"/>
  <c r="L107" i="43"/>
  <c r="M107" i="43"/>
  <c r="N107" i="43"/>
  <c r="H107" i="43"/>
  <c r="Q107" i="43"/>
  <c r="J107" i="43"/>
  <c r="O107" i="43"/>
  <c r="P107" i="43"/>
  <c r="R107" i="43"/>
  <c r="G13" i="43"/>
  <c r="O13" i="43"/>
  <c r="K13" i="43"/>
  <c r="N13" i="43"/>
  <c r="H13" i="43"/>
  <c r="S13" i="43"/>
  <c r="I13" i="43"/>
  <c r="J13" i="43"/>
  <c r="Q13" i="43"/>
  <c r="R13" i="43"/>
  <c r="L13" i="43"/>
  <c r="J199" i="40"/>
  <c r="J191" i="40"/>
  <c r="N181" i="40"/>
  <c r="N136" i="40"/>
  <c r="J131" i="40"/>
  <c r="O105" i="40"/>
  <c r="G105" i="40"/>
  <c r="O101" i="40"/>
  <c r="G101" i="40"/>
  <c r="Q98" i="40"/>
  <c r="H98" i="40"/>
  <c r="R96" i="40"/>
  <c r="I89" i="40"/>
  <c r="Q89" i="40"/>
  <c r="P87" i="40"/>
  <c r="G87" i="40"/>
  <c r="P85" i="40"/>
  <c r="Q83" i="40"/>
  <c r="H83" i="40"/>
  <c r="R81" i="40"/>
  <c r="K74" i="40"/>
  <c r="S74" i="40"/>
  <c r="G72" i="40"/>
  <c r="O72" i="40"/>
  <c r="P70" i="40"/>
  <c r="Q68" i="40"/>
  <c r="Q66" i="40"/>
  <c r="R64" i="40"/>
  <c r="I57" i="40"/>
  <c r="Q57" i="40"/>
  <c r="P55" i="40"/>
  <c r="G55" i="40"/>
  <c r="P53" i="40"/>
  <c r="Q51" i="40"/>
  <c r="H51" i="40"/>
  <c r="R49" i="40"/>
  <c r="K42" i="40"/>
  <c r="S42" i="40"/>
  <c r="G40" i="40"/>
  <c r="O40" i="40"/>
  <c r="P38" i="40"/>
  <c r="Q36" i="40"/>
  <c r="Q34" i="40"/>
  <c r="R32" i="40"/>
  <c r="I25" i="40"/>
  <c r="Q25" i="40"/>
  <c r="P23" i="40"/>
  <c r="G23" i="40"/>
  <c r="P21" i="40"/>
  <c r="Q19" i="40"/>
  <c r="H19" i="40"/>
  <c r="R17" i="40"/>
  <c r="H13" i="40"/>
  <c r="L11" i="40"/>
  <c r="G5" i="40"/>
  <c r="J5" i="40"/>
  <c r="I200" i="41"/>
  <c r="Q200" i="41"/>
  <c r="P198" i="41"/>
  <c r="G198" i="41"/>
  <c r="P196" i="41"/>
  <c r="Q194" i="41"/>
  <c r="H194" i="41"/>
  <c r="R192" i="41"/>
  <c r="K185" i="41"/>
  <c r="S185" i="41"/>
  <c r="G183" i="41"/>
  <c r="O183" i="41"/>
  <c r="P181" i="41"/>
  <c r="Q179" i="41"/>
  <c r="Q177" i="41"/>
  <c r="R175" i="41"/>
  <c r="N172" i="41"/>
  <c r="I168" i="41"/>
  <c r="Q168" i="41"/>
  <c r="P166" i="41"/>
  <c r="G166" i="41"/>
  <c r="P164" i="41"/>
  <c r="Q162" i="41"/>
  <c r="H162" i="41"/>
  <c r="R160" i="41"/>
  <c r="N157" i="41"/>
  <c r="N155" i="41"/>
  <c r="K153" i="41"/>
  <c r="S153" i="41"/>
  <c r="G151" i="41"/>
  <c r="O151" i="41"/>
  <c r="P149" i="41"/>
  <c r="Q147" i="41"/>
  <c r="Q145" i="41"/>
  <c r="R143" i="41"/>
  <c r="R141" i="41"/>
  <c r="I136" i="41"/>
  <c r="Q136" i="41"/>
  <c r="J136" i="41"/>
  <c r="R136" i="41"/>
  <c r="R133" i="41"/>
  <c r="I128" i="41"/>
  <c r="Q128" i="41"/>
  <c r="J128" i="41"/>
  <c r="R128" i="41"/>
  <c r="R125" i="41"/>
  <c r="I120" i="41"/>
  <c r="Q120" i="41"/>
  <c r="J120" i="41"/>
  <c r="R120" i="41"/>
  <c r="H116" i="41"/>
  <c r="N116" i="41"/>
  <c r="R116" i="41"/>
  <c r="J114" i="41"/>
  <c r="L163" i="42"/>
  <c r="I148" i="42"/>
  <c r="Q148" i="42"/>
  <c r="J148" i="42"/>
  <c r="R148" i="42"/>
  <c r="K148" i="42"/>
  <c r="S148" i="42"/>
  <c r="L148" i="42"/>
  <c r="H140" i="42"/>
  <c r="G139" i="42"/>
  <c r="O139" i="42"/>
  <c r="H139" i="42"/>
  <c r="P139" i="42"/>
  <c r="I139" i="42"/>
  <c r="Q139" i="42"/>
  <c r="J139" i="42"/>
  <c r="R139" i="42"/>
  <c r="L131" i="42"/>
  <c r="M119" i="42"/>
  <c r="J92" i="42"/>
  <c r="S75" i="42"/>
  <c r="M67" i="42"/>
  <c r="S60" i="42"/>
  <c r="H33" i="42"/>
  <c r="H203" i="43"/>
  <c r="J199" i="43"/>
  <c r="R199" i="43"/>
  <c r="K199" i="43"/>
  <c r="S199" i="43"/>
  <c r="G199" i="43"/>
  <c r="Q199" i="43"/>
  <c r="H199" i="43"/>
  <c r="I199" i="43"/>
  <c r="L199" i="43"/>
  <c r="M188" i="43"/>
  <c r="K188" i="43"/>
  <c r="L188" i="43"/>
  <c r="J188" i="43"/>
  <c r="N188" i="43"/>
  <c r="O188" i="43"/>
  <c r="P188" i="43"/>
  <c r="I177" i="43"/>
  <c r="H162" i="43"/>
  <c r="M156" i="43"/>
  <c r="K156" i="43"/>
  <c r="L156" i="43"/>
  <c r="N156" i="43"/>
  <c r="I156" i="43"/>
  <c r="J156" i="43"/>
  <c r="O156" i="43"/>
  <c r="P156" i="43"/>
  <c r="G141" i="43"/>
  <c r="O141" i="43"/>
  <c r="K141" i="43"/>
  <c r="L141" i="43"/>
  <c r="M141" i="43"/>
  <c r="H141" i="43"/>
  <c r="Q141" i="43"/>
  <c r="I141" i="43"/>
  <c r="J141" i="43"/>
  <c r="N141" i="43"/>
  <c r="P141" i="43"/>
  <c r="I138" i="43"/>
  <c r="Q138" i="43"/>
  <c r="G138" i="43"/>
  <c r="P138" i="43"/>
  <c r="H138" i="43"/>
  <c r="R138" i="43"/>
  <c r="J138" i="43"/>
  <c r="S138" i="43"/>
  <c r="M138" i="43"/>
  <c r="N138" i="43"/>
  <c r="O138" i="43"/>
  <c r="S80" i="43"/>
  <c r="I54" i="43"/>
  <c r="Q54" i="43"/>
  <c r="K54" i="43"/>
  <c r="L54" i="43"/>
  <c r="M54" i="43"/>
  <c r="N54" i="43"/>
  <c r="O54" i="43"/>
  <c r="P54" i="43"/>
  <c r="G54" i="43"/>
  <c r="J54" i="43"/>
  <c r="R54" i="43"/>
  <c r="S54" i="43"/>
  <c r="I85" i="40"/>
  <c r="Q85" i="40"/>
  <c r="K70" i="40"/>
  <c r="S70" i="40"/>
  <c r="G68" i="40"/>
  <c r="O68" i="40"/>
  <c r="I53" i="40"/>
  <c r="Q53" i="40"/>
  <c r="K38" i="40"/>
  <c r="S38" i="40"/>
  <c r="G36" i="40"/>
  <c r="O36" i="40"/>
  <c r="I21" i="40"/>
  <c r="Q21" i="40"/>
  <c r="I196" i="41"/>
  <c r="Q196" i="41"/>
  <c r="K181" i="41"/>
  <c r="S181" i="41"/>
  <c r="G179" i="41"/>
  <c r="O179" i="41"/>
  <c r="M172" i="41"/>
  <c r="I164" i="41"/>
  <c r="Q164" i="41"/>
  <c r="M157" i="41"/>
  <c r="M155" i="41"/>
  <c r="K149" i="41"/>
  <c r="S149" i="41"/>
  <c r="G147" i="41"/>
  <c r="O147" i="41"/>
  <c r="J109" i="41"/>
  <c r="L109" i="41"/>
  <c r="L15" i="41"/>
  <c r="N15" i="41"/>
  <c r="O15" i="41"/>
  <c r="I160" i="42"/>
  <c r="Q160" i="42"/>
  <c r="J160" i="42"/>
  <c r="R160" i="42"/>
  <c r="K160" i="42"/>
  <c r="S160" i="42"/>
  <c r="L160" i="42"/>
  <c r="G151" i="42"/>
  <c r="O151" i="42"/>
  <c r="H151" i="42"/>
  <c r="P151" i="42"/>
  <c r="I151" i="42"/>
  <c r="Q151" i="42"/>
  <c r="J151" i="42"/>
  <c r="R151" i="42"/>
  <c r="P136" i="42"/>
  <c r="I128" i="42"/>
  <c r="Q128" i="42"/>
  <c r="J128" i="42"/>
  <c r="R128" i="42"/>
  <c r="K128" i="42"/>
  <c r="S128" i="42"/>
  <c r="L128" i="42"/>
  <c r="K113" i="42"/>
  <c r="S113" i="42"/>
  <c r="I113" i="42"/>
  <c r="R113" i="42"/>
  <c r="J113" i="42"/>
  <c r="L113" i="42"/>
  <c r="M113" i="42"/>
  <c r="H95" i="42"/>
  <c r="N95" i="42"/>
  <c r="G89" i="42"/>
  <c r="R89" i="42"/>
  <c r="N89" i="42"/>
  <c r="P89" i="42"/>
  <c r="G78" i="42"/>
  <c r="N78" i="42"/>
  <c r="L78" i="42"/>
  <c r="P78" i="42"/>
  <c r="R78" i="42"/>
  <c r="R75" i="42"/>
  <c r="J72" i="42"/>
  <c r="R72" i="42"/>
  <c r="I72" i="42"/>
  <c r="S72" i="42"/>
  <c r="K72" i="42"/>
  <c r="L72" i="42"/>
  <c r="M72" i="42"/>
  <c r="L69" i="42"/>
  <c r="H69" i="42"/>
  <c r="Q69" i="42"/>
  <c r="I69" i="42"/>
  <c r="R69" i="42"/>
  <c r="J69" i="42"/>
  <c r="S69" i="42"/>
  <c r="K69" i="42"/>
  <c r="Q60" i="42"/>
  <c r="R55" i="42"/>
  <c r="L45" i="42"/>
  <c r="J45" i="42"/>
  <c r="S45" i="42"/>
  <c r="K45" i="42"/>
  <c r="M45" i="42"/>
  <c r="N45" i="42"/>
  <c r="H43" i="42"/>
  <c r="P43" i="42"/>
  <c r="K43" i="42"/>
  <c r="L43" i="42"/>
  <c r="M43" i="42"/>
  <c r="N43" i="42"/>
  <c r="J24" i="42"/>
  <c r="R24" i="42"/>
  <c r="K24" i="42"/>
  <c r="S24" i="42"/>
  <c r="H24" i="42"/>
  <c r="I24" i="42"/>
  <c r="L24" i="42"/>
  <c r="M24" i="42"/>
  <c r="M184" i="43"/>
  <c r="L184" i="43"/>
  <c r="N184" i="43"/>
  <c r="G184" i="43"/>
  <c r="R184" i="43"/>
  <c r="H184" i="43"/>
  <c r="S184" i="43"/>
  <c r="I184" i="43"/>
  <c r="J184" i="43"/>
  <c r="K151" i="43"/>
  <c r="S151" i="43"/>
  <c r="H151" i="43"/>
  <c r="Q151" i="43"/>
  <c r="I151" i="43"/>
  <c r="R151" i="43"/>
  <c r="J151" i="43"/>
  <c r="L151" i="43"/>
  <c r="M151" i="43"/>
  <c r="N151" i="43"/>
  <c r="O151" i="43"/>
  <c r="K123" i="43"/>
  <c r="S123" i="43"/>
  <c r="G123" i="43"/>
  <c r="P123" i="43"/>
  <c r="H123" i="43"/>
  <c r="Q123" i="43"/>
  <c r="I123" i="43"/>
  <c r="R123" i="43"/>
  <c r="M123" i="43"/>
  <c r="N123" i="43"/>
  <c r="O123" i="43"/>
  <c r="M96" i="43"/>
  <c r="J96" i="43"/>
  <c r="S96" i="43"/>
  <c r="K96" i="43"/>
  <c r="L96" i="43"/>
  <c r="G96" i="43"/>
  <c r="P96" i="43"/>
  <c r="O96" i="43"/>
  <c r="Q96" i="43"/>
  <c r="R96" i="43"/>
  <c r="G45" i="43"/>
  <c r="O45" i="43"/>
  <c r="I45" i="43"/>
  <c r="R45" i="43"/>
  <c r="J45" i="43"/>
  <c r="S45" i="43"/>
  <c r="K45" i="43"/>
  <c r="L45" i="43"/>
  <c r="M45" i="43"/>
  <c r="N45" i="43"/>
  <c r="H45" i="43"/>
  <c r="P45" i="43"/>
  <c r="Q45" i="43"/>
  <c r="G96" i="40"/>
  <c r="O96" i="40"/>
  <c r="N87" i="40"/>
  <c r="N85" i="40"/>
  <c r="I81" i="40"/>
  <c r="Q81" i="40"/>
  <c r="N70" i="40"/>
  <c r="N68" i="40"/>
  <c r="K66" i="40"/>
  <c r="S66" i="40"/>
  <c r="G64" i="40"/>
  <c r="O64" i="40"/>
  <c r="N55" i="40"/>
  <c r="N53" i="40"/>
  <c r="I49" i="40"/>
  <c r="Q49" i="40"/>
  <c r="N38" i="40"/>
  <c r="N36" i="40"/>
  <c r="K34" i="40"/>
  <c r="S34" i="40"/>
  <c r="G32" i="40"/>
  <c r="O32" i="40"/>
  <c r="N23" i="40"/>
  <c r="N21" i="40"/>
  <c r="I17" i="40"/>
  <c r="Q17" i="40"/>
  <c r="H6" i="40"/>
  <c r="R6" i="40"/>
  <c r="N198" i="41"/>
  <c r="N196" i="41"/>
  <c r="I192" i="41"/>
  <c r="Q192" i="41"/>
  <c r="N181" i="41"/>
  <c r="N179" i="41"/>
  <c r="K177" i="41"/>
  <c r="S177" i="41"/>
  <c r="G175" i="41"/>
  <c r="O175" i="41"/>
  <c r="L172" i="41"/>
  <c r="N166" i="41"/>
  <c r="N164" i="41"/>
  <c r="I160" i="41"/>
  <c r="Q160" i="41"/>
  <c r="L157" i="41"/>
  <c r="L155" i="41"/>
  <c r="N149" i="41"/>
  <c r="N147" i="41"/>
  <c r="K145" i="41"/>
  <c r="S145" i="41"/>
  <c r="G143" i="41"/>
  <c r="O143" i="41"/>
  <c r="K141" i="41"/>
  <c r="S141" i="41"/>
  <c r="L141" i="41"/>
  <c r="G135" i="41"/>
  <c r="O135" i="41"/>
  <c r="H135" i="41"/>
  <c r="P135" i="41"/>
  <c r="K133" i="41"/>
  <c r="S133" i="41"/>
  <c r="L133" i="41"/>
  <c r="G127" i="41"/>
  <c r="O127" i="41"/>
  <c r="H127" i="41"/>
  <c r="P127" i="41"/>
  <c r="K125" i="41"/>
  <c r="S125" i="41"/>
  <c r="L125" i="41"/>
  <c r="G119" i="41"/>
  <c r="O119" i="41"/>
  <c r="H119" i="41"/>
  <c r="P119" i="41"/>
  <c r="P107" i="41"/>
  <c r="R107" i="41"/>
  <c r="K82" i="41"/>
  <c r="S82" i="41"/>
  <c r="L82" i="41"/>
  <c r="M82" i="41"/>
  <c r="I81" i="41"/>
  <c r="Q81" i="41"/>
  <c r="J81" i="41"/>
  <c r="R81" i="41"/>
  <c r="K81" i="41"/>
  <c r="S81" i="41"/>
  <c r="G80" i="41"/>
  <c r="O80" i="41"/>
  <c r="H80" i="41"/>
  <c r="P80" i="41"/>
  <c r="I80" i="41"/>
  <c r="Q80" i="41"/>
  <c r="K78" i="41"/>
  <c r="S78" i="41"/>
  <c r="L78" i="41"/>
  <c r="M78" i="41"/>
  <c r="I77" i="41"/>
  <c r="Q77" i="41"/>
  <c r="J77" i="41"/>
  <c r="R77" i="41"/>
  <c r="K77" i="41"/>
  <c r="S77" i="41"/>
  <c r="G76" i="41"/>
  <c r="O76" i="41"/>
  <c r="H76" i="41"/>
  <c r="P76" i="41"/>
  <c r="I76" i="41"/>
  <c r="Q76" i="41"/>
  <c r="K74" i="41"/>
  <c r="S74" i="41"/>
  <c r="L74" i="41"/>
  <c r="M74" i="41"/>
  <c r="I73" i="41"/>
  <c r="Q73" i="41"/>
  <c r="J73" i="41"/>
  <c r="R73" i="41"/>
  <c r="K73" i="41"/>
  <c r="S73" i="41"/>
  <c r="G72" i="41"/>
  <c r="O72" i="41"/>
  <c r="H72" i="41"/>
  <c r="P72" i="41"/>
  <c r="I72" i="41"/>
  <c r="Q72" i="41"/>
  <c r="K70" i="41"/>
  <c r="S70" i="41"/>
  <c r="L70" i="41"/>
  <c r="M70" i="41"/>
  <c r="I69" i="41"/>
  <c r="Q69" i="41"/>
  <c r="J69" i="41"/>
  <c r="R69" i="41"/>
  <c r="K69" i="41"/>
  <c r="S69" i="41"/>
  <c r="G68" i="41"/>
  <c r="O68" i="41"/>
  <c r="H68" i="41"/>
  <c r="P68" i="41"/>
  <c r="I68" i="41"/>
  <c r="Q68" i="41"/>
  <c r="K66" i="41"/>
  <c r="S66" i="41"/>
  <c r="L66" i="41"/>
  <c r="M66" i="41"/>
  <c r="I65" i="41"/>
  <c r="Q65" i="41"/>
  <c r="J65" i="41"/>
  <c r="R65" i="41"/>
  <c r="K65" i="41"/>
  <c r="S65" i="41"/>
  <c r="G64" i="41"/>
  <c r="O64" i="41"/>
  <c r="H64" i="41"/>
  <c r="P64" i="41"/>
  <c r="I64" i="41"/>
  <c r="Q64" i="41"/>
  <c r="K62" i="41"/>
  <c r="S62" i="41"/>
  <c r="L62" i="41"/>
  <c r="M62" i="41"/>
  <c r="I61" i="41"/>
  <c r="Q61" i="41"/>
  <c r="J61" i="41"/>
  <c r="R61" i="41"/>
  <c r="K61" i="41"/>
  <c r="S61" i="41"/>
  <c r="G60" i="41"/>
  <c r="O60" i="41"/>
  <c r="H60" i="41"/>
  <c r="P60" i="41"/>
  <c r="I60" i="41"/>
  <c r="Q60" i="41"/>
  <c r="K58" i="41"/>
  <c r="S58" i="41"/>
  <c r="L58" i="41"/>
  <c r="M58" i="41"/>
  <c r="I57" i="41"/>
  <c r="Q57" i="41"/>
  <c r="J57" i="41"/>
  <c r="R57" i="41"/>
  <c r="K57" i="41"/>
  <c r="S57" i="41"/>
  <c r="G56" i="41"/>
  <c r="O56" i="41"/>
  <c r="H56" i="41"/>
  <c r="P56" i="41"/>
  <c r="I56" i="41"/>
  <c r="Q56" i="41"/>
  <c r="K54" i="41"/>
  <c r="S54" i="41"/>
  <c r="L54" i="41"/>
  <c r="M54" i="41"/>
  <c r="I53" i="41"/>
  <c r="Q53" i="41"/>
  <c r="J53" i="41"/>
  <c r="R53" i="41"/>
  <c r="K53" i="41"/>
  <c r="S53" i="41"/>
  <c r="G52" i="41"/>
  <c r="O52" i="41"/>
  <c r="H52" i="41"/>
  <c r="P52" i="41"/>
  <c r="I52" i="41"/>
  <c r="Q52" i="41"/>
  <c r="K50" i="41"/>
  <c r="S50" i="41"/>
  <c r="L50" i="41"/>
  <c r="M50" i="41"/>
  <c r="I49" i="41"/>
  <c r="Q49" i="41"/>
  <c r="J49" i="41"/>
  <c r="R49" i="41"/>
  <c r="K49" i="41"/>
  <c r="S49" i="41"/>
  <c r="G48" i="41"/>
  <c r="O48" i="41"/>
  <c r="H48" i="41"/>
  <c r="P48" i="41"/>
  <c r="I48" i="41"/>
  <c r="Q48" i="41"/>
  <c r="K46" i="41"/>
  <c r="S46" i="41"/>
  <c r="L46" i="41"/>
  <c r="M46" i="41"/>
  <c r="I45" i="41"/>
  <c r="Q45" i="41"/>
  <c r="J45" i="41"/>
  <c r="R45" i="41"/>
  <c r="K45" i="41"/>
  <c r="S45" i="41"/>
  <c r="G44" i="41"/>
  <c r="O44" i="41"/>
  <c r="H44" i="41"/>
  <c r="P44" i="41"/>
  <c r="I44" i="41"/>
  <c r="Q44" i="41"/>
  <c r="K42" i="41"/>
  <c r="S42" i="41"/>
  <c r="L42" i="41"/>
  <c r="M42" i="41"/>
  <c r="I41" i="41"/>
  <c r="Q41" i="41"/>
  <c r="J41" i="41"/>
  <c r="R41" i="41"/>
  <c r="K41" i="41"/>
  <c r="S41" i="41"/>
  <c r="G40" i="41"/>
  <c r="O40" i="41"/>
  <c r="H40" i="41"/>
  <c r="P40" i="41"/>
  <c r="I40" i="41"/>
  <c r="Q40" i="41"/>
  <c r="K38" i="41"/>
  <c r="S38" i="41"/>
  <c r="L38" i="41"/>
  <c r="M38" i="41"/>
  <c r="I37" i="41"/>
  <c r="Q37" i="41"/>
  <c r="J37" i="41"/>
  <c r="R37" i="41"/>
  <c r="K37" i="41"/>
  <c r="S37" i="41"/>
  <c r="G36" i="41"/>
  <c r="O36" i="41"/>
  <c r="H36" i="41"/>
  <c r="P36" i="41"/>
  <c r="I36" i="41"/>
  <c r="Q36" i="41"/>
  <c r="K34" i="41"/>
  <c r="S34" i="41"/>
  <c r="L34" i="41"/>
  <c r="M34" i="41"/>
  <c r="I33" i="41"/>
  <c r="Q33" i="41"/>
  <c r="J33" i="41"/>
  <c r="R33" i="41"/>
  <c r="K33" i="41"/>
  <c r="S33" i="41"/>
  <c r="G32" i="41"/>
  <c r="O32" i="41"/>
  <c r="H32" i="41"/>
  <c r="P32" i="41"/>
  <c r="I32" i="41"/>
  <c r="Q32" i="41"/>
  <c r="K30" i="41"/>
  <c r="S30" i="41"/>
  <c r="L30" i="41"/>
  <c r="M30" i="41"/>
  <c r="I29" i="41"/>
  <c r="Q29" i="41"/>
  <c r="J29" i="41"/>
  <c r="R29" i="41"/>
  <c r="K29" i="41"/>
  <c r="S29" i="41"/>
  <c r="G28" i="41"/>
  <c r="O28" i="41"/>
  <c r="H28" i="41"/>
  <c r="P28" i="41"/>
  <c r="I28" i="41"/>
  <c r="Q28" i="41"/>
  <c r="K26" i="41"/>
  <c r="S26" i="41"/>
  <c r="L26" i="41"/>
  <c r="M26" i="41"/>
  <c r="I25" i="41"/>
  <c r="Q25" i="41"/>
  <c r="J25" i="41"/>
  <c r="R25" i="41"/>
  <c r="K25" i="41"/>
  <c r="S25" i="41"/>
  <c r="G24" i="41"/>
  <c r="O24" i="41"/>
  <c r="H24" i="41"/>
  <c r="P24" i="41"/>
  <c r="I24" i="41"/>
  <c r="Q24" i="41"/>
  <c r="K22" i="41"/>
  <c r="S22" i="41"/>
  <c r="L22" i="41"/>
  <c r="M22" i="41"/>
  <c r="I21" i="41"/>
  <c r="Q21" i="41"/>
  <c r="J21" i="41"/>
  <c r="R21" i="41"/>
  <c r="K21" i="41"/>
  <c r="S21" i="41"/>
  <c r="G20" i="41"/>
  <c r="O20" i="41"/>
  <c r="H20" i="41"/>
  <c r="P20" i="41"/>
  <c r="I20" i="41"/>
  <c r="Q20" i="41"/>
  <c r="K18" i="41"/>
  <c r="S18" i="41"/>
  <c r="L18" i="41"/>
  <c r="M18" i="41"/>
  <c r="I17" i="41"/>
  <c r="Q17" i="41"/>
  <c r="J17" i="41"/>
  <c r="R17" i="41"/>
  <c r="K17" i="41"/>
  <c r="S17" i="41"/>
  <c r="G16" i="41"/>
  <c r="O16" i="41"/>
  <c r="H16" i="41"/>
  <c r="P16" i="41"/>
  <c r="I16" i="41"/>
  <c r="Q16" i="41"/>
  <c r="H11" i="41"/>
  <c r="J11" i="41"/>
  <c r="L11" i="41"/>
  <c r="N9" i="41"/>
  <c r="P9" i="41"/>
  <c r="R9" i="41"/>
  <c r="G5" i="41"/>
  <c r="J5" i="41"/>
  <c r="L5" i="41"/>
  <c r="N5" i="41"/>
  <c r="G163" i="42"/>
  <c r="O163" i="42"/>
  <c r="H163" i="42"/>
  <c r="P163" i="42"/>
  <c r="I163" i="42"/>
  <c r="Q163" i="42"/>
  <c r="J163" i="42"/>
  <c r="R163" i="42"/>
  <c r="S159" i="42"/>
  <c r="I140" i="42"/>
  <c r="Q140" i="42"/>
  <c r="J140" i="42"/>
  <c r="R140" i="42"/>
  <c r="K140" i="42"/>
  <c r="S140" i="42"/>
  <c r="L140" i="42"/>
  <c r="O136" i="42"/>
  <c r="G131" i="42"/>
  <c r="O131" i="42"/>
  <c r="H131" i="42"/>
  <c r="P131" i="42"/>
  <c r="I131" i="42"/>
  <c r="Q131" i="42"/>
  <c r="J131" i="42"/>
  <c r="R131" i="42"/>
  <c r="G119" i="42"/>
  <c r="O119" i="42"/>
  <c r="H119" i="42"/>
  <c r="Q119" i="42"/>
  <c r="I119" i="42"/>
  <c r="R119" i="42"/>
  <c r="J119" i="42"/>
  <c r="S119" i="42"/>
  <c r="K119" i="42"/>
  <c r="H97" i="42"/>
  <c r="N97" i="42"/>
  <c r="R97" i="42"/>
  <c r="N92" i="42"/>
  <c r="L92" i="42"/>
  <c r="P92" i="42"/>
  <c r="R92" i="42"/>
  <c r="H86" i="42"/>
  <c r="J86" i="42"/>
  <c r="N86" i="42"/>
  <c r="R86" i="42"/>
  <c r="Q75" i="42"/>
  <c r="H67" i="42"/>
  <c r="P67" i="42"/>
  <c r="I67" i="42"/>
  <c r="R67" i="42"/>
  <c r="J67" i="42"/>
  <c r="S67" i="42"/>
  <c r="K67" i="42"/>
  <c r="L67" i="42"/>
  <c r="P60" i="42"/>
  <c r="Q55" i="42"/>
  <c r="P52" i="42"/>
  <c r="L33" i="42"/>
  <c r="M33" i="42"/>
  <c r="J33" i="42"/>
  <c r="K33" i="42"/>
  <c r="N33" i="42"/>
  <c r="O33" i="42"/>
  <c r="S23" i="42"/>
  <c r="H12" i="42"/>
  <c r="J12" i="42"/>
  <c r="N12" i="42"/>
  <c r="R12" i="42"/>
  <c r="J203" i="43"/>
  <c r="R203" i="43"/>
  <c r="K203" i="43"/>
  <c r="S203" i="43"/>
  <c r="I203" i="43"/>
  <c r="L203" i="43"/>
  <c r="M203" i="43"/>
  <c r="N203" i="43"/>
  <c r="G177" i="43"/>
  <c r="O177" i="43"/>
  <c r="J177" i="43"/>
  <c r="S177" i="43"/>
  <c r="K177" i="43"/>
  <c r="M177" i="43"/>
  <c r="N177" i="43"/>
  <c r="P177" i="43"/>
  <c r="Q177" i="43"/>
  <c r="I162" i="43"/>
  <c r="Q162" i="43"/>
  <c r="J162" i="43"/>
  <c r="S162" i="43"/>
  <c r="K162" i="43"/>
  <c r="L162" i="43"/>
  <c r="N162" i="43"/>
  <c r="O162" i="43"/>
  <c r="P162" i="43"/>
  <c r="R162" i="43"/>
  <c r="K155" i="43"/>
  <c r="S155" i="43"/>
  <c r="G155" i="43"/>
  <c r="P155" i="43"/>
  <c r="H155" i="43"/>
  <c r="Q155" i="43"/>
  <c r="I155" i="43"/>
  <c r="R155" i="43"/>
  <c r="J155" i="43"/>
  <c r="L155" i="43"/>
  <c r="M155" i="43"/>
  <c r="N155" i="43"/>
  <c r="L80" i="43"/>
  <c r="M80" i="43"/>
  <c r="K80" i="43"/>
  <c r="N80" i="43"/>
  <c r="O80" i="43"/>
  <c r="H80" i="43"/>
  <c r="R80" i="43"/>
  <c r="G80" i="43"/>
  <c r="I80" i="43"/>
  <c r="J80" i="43"/>
  <c r="P80" i="43"/>
  <c r="I62" i="43"/>
  <c r="Q62" i="43"/>
  <c r="H62" i="43"/>
  <c r="R62" i="43"/>
  <c r="J62" i="43"/>
  <c r="S62" i="43"/>
  <c r="K62" i="43"/>
  <c r="L62" i="43"/>
  <c r="M62" i="43"/>
  <c r="N62" i="43"/>
  <c r="G62" i="43"/>
  <c r="O62" i="43"/>
  <c r="P62" i="43"/>
  <c r="I120" i="42"/>
  <c r="Q120" i="42"/>
  <c r="H101" i="42"/>
  <c r="J101" i="42"/>
  <c r="H82" i="42"/>
  <c r="R82" i="42"/>
  <c r="G79" i="42"/>
  <c r="P79" i="42"/>
  <c r="G77" i="42"/>
  <c r="P77" i="42"/>
  <c r="H63" i="42"/>
  <c r="P63" i="42"/>
  <c r="J48" i="42"/>
  <c r="R48" i="42"/>
  <c r="H13" i="42"/>
  <c r="J13" i="42"/>
  <c r="H202" i="43"/>
  <c r="P202" i="43"/>
  <c r="I202" i="43"/>
  <c r="Q202" i="43"/>
  <c r="L196" i="43"/>
  <c r="M196" i="43"/>
  <c r="I190" i="43"/>
  <c r="Q190" i="43"/>
  <c r="K190" i="43"/>
  <c r="L190" i="43"/>
  <c r="I158" i="43"/>
  <c r="Q158" i="43"/>
  <c r="K158" i="43"/>
  <c r="L158" i="43"/>
  <c r="M158" i="43"/>
  <c r="M104" i="43"/>
  <c r="H104" i="43"/>
  <c r="Q104" i="43"/>
  <c r="I104" i="43"/>
  <c r="R104" i="43"/>
  <c r="J104" i="43"/>
  <c r="S104" i="43"/>
  <c r="N104" i="43"/>
  <c r="I102" i="43"/>
  <c r="Q102" i="43"/>
  <c r="H102" i="43"/>
  <c r="R102" i="43"/>
  <c r="J102" i="43"/>
  <c r="S102" i="43"/>
  <c r="K102" i="43"/>
  <c r="N102" i="43"/>
  <c r="H74" i="43"/>
  <c r="P74" i="43"/>
  <c r="I74" i="43"/>
  <c r="Q74" i="43"/>
  <c r="M74" i="43"/>
  <c r="N74" i="43"/>
  <c r="O74" i="43"/>
  <c r="J74" i="43"/>
  <c r="K51" i="43"/>
  <c r="S51" i="43"/>
  <c r="G51" i="43"/>
  <c r="P51" i="43"/>
  <c r="H51" i="43"/>
  <c r="Q51" i="43"/>
  <c r="I51" i="43"/>
  <c r="R51" i="43"/>
  <c r="N51" i="43"/>
  <c r="O51" i="43"/>
  <c r="J51" i="43"/>
  <c r="M36" i="43"/>
  <c r="I36" i="43"/>
  <c r="R36" i="43"/>
  <c r="L36" i="43"/>
  <c r="N36" i="43"/>
  <c r="O36" i="43"/>
  <c r="H36" i="43"/>
  <c r="J36" i="43"/>
  <c r="K36" i="43"/>
  <c r="S36" i="43"/>
  <c r="K15" i="43"/>
  <c r="S15" i="43"/>
  <c r="J15" i="43"/>
  <c r="N15" i="43"/>
  <c r="I15" i="43"/>
  <c r="L15" i="43"/>
  <c r="M15" i="43"/>
  <c r="H15" i="43"/>
  <c r="O15" i="43"/>
  <c r="P15" i="43"/>
  <c r="G9" i="43"/>
  <c r="N9" i="43"/>
  <c r="H9" i="43"/>
  <c r="P9" i="43"/>
  <c r="R9" i="43"/>
  <c r="S9" i="43"/>
  <c r="L9" i="43"/>
  <c r="Q9" i="43"/>
  <c r="G6" i="43"/>
  <c r="H6" i="43"/>
  <c r="N6" i="43"/>
  <c r="P6" i="43"/>
  <c r="R6" i="43"/>
  <c r="J6" i="43"/>
  <c r="I201" i="44"/>
  <c r="Q201" i="44"/>
  <c r="M201" i="44"/>
  <c r="G201" i="44"/>
  <c r="P201" i="44"/>
  <c r="J201" i="44"/>
  <c r="K201" i="44"/>
  <c r="L201" i="44"/>
  <c r="N201" i="44"/>
  <c r="O201" i="44"/>
  <c r="R201" i="44"/>
  <c r="G184" i="44"/>
  <c r="O184" i="44"/>
  <c r="M184" i="44"/>
  <c r="H184" i="44"/>
  <c r="Q184" i="44"/>
  <c r="J184" i="44"/>
  <c r="K184" i="44"/>
  <c r="L184" i="44"/>
  <c r="N184" i="44"/>
  <c r="S184" i="44"/>
  <c r="I184" i="44"/>
  <c r="J59" i="44"/>
  <c r="R59" i="44"/>
  <c r="K59" i="44"/>
  <c r="S59" i="44"/>
  <c r="N59" i="44"/>
  <c r="O59" i="44"/>
  <c r="G59" i="44"/>
  <c r="Q59" i="44"/>
  <c r="L59" i="44"/>
  <c r="M59" i="44"/>
  <c r="I59" i="44"/>
  <c r="P59" i="44"/>
  <c r="N130" i="46"/>
  <c r="J130" i="46"/>
  <c r="R130" i="46"/>
  <c r="G78" i="46"/>
  <c r="O78" i="46"/>
  <c r="H78" i="46"/>
  <c r="Q78" i="46"/>
  <c r="I78" i="46"/>
  <c r="R78" i="46"/>
  <c r="J78" i="46"/>
  <c r="S78" i="46"/>
  <c r="K78" i="46"/>
  <c r="L78" i="46"/>
  <c r="M78" i="46"/>
  <c r="N78" i="46"/>
  <c r="P78" i="46"/>
  <c r="L69" i="46"/>
  <c r="M69" i="46"/>
  <c r="H69" i="46"/>
  <c r="R69" i="46"/>
  <c r="I69" i="46"/>
  <c r="S69" i="46"/>
  <c r="J69" i="46"/>
  <c r="K69" i="46"/>
  <c r="G69" i="46"/>
  <c r="N69" i="46"/>
  <c r="O69" i="46"/>
  <c r="P69" i="46"/>
  <c r="I62" i="46"/>
  <c r="Q62" i="46"/>
  <c r="J62" i="46"/>
  <c r="R62" i="46"/>
  <c r="K62" i="46"/>
  <c r="L62" i="46"/>
  <c r="G62" i="46"/>
  <c r="H62" i="46"/>
  <c r="M62" i="46"/>
  <c r="N62" i="46"/>
  <c r="O62" i="46"/>
  <c r="P62" i="46"/>
  <c r="S62" i="46"/>
  <c r="J99" i="41"/>
  <c r="N90" i="41"/>
  <c r="J85" i="41"/>
  <c r="N8" i="41"/>
  <c r="M165" i="42"/>
  <c r="M161" i="42"/>
  <c r="M157" i="42"/>
  <c r="M153" i="42"/>
  <c r="M149" i="42"/>
  <c r="M145" i="42"/>
  <c r="M141" i="42"/>
  <c r="M137" i="42"/>
  <c r="M133" i="42"/>
  <c r="M129" i="42"/>
  <c r="Q125" i="42"/>
  <c r="H125" i="42"/>
  <c r="R123" i="42"/>
  <c r="I123" i="42"/>
  <c r="N122" i="42"/>
  <c r="N120" i="42"/>
  <c r="I116" i="42"/>
  <c r="Q116" i="42"/>
  <c r="L104" i="42"/>
  <c r="N99" i="42"/>
  <c r="J96" i="42"/>
  <c r="Q77" i="42"/>
  <c r="R76" i="42"/>
  <c r="I76" i="42"/>
  <c r="J68" i="42"/>
  <c r="R68" i="42"/>
  <c r="N65" i="42"/>
  <c r="N63" i="42"/>
  <c r="Q61" i="42"/>
  <c r="H61" i="42"/>
  <c r="R59" i="42"/>
  <c r="I59" i="42"/>
  <c r="H51" i="42"/>
  <c r="P51" i="42"/>
  <c r="N48" i="42"/>
  <c r="Q44" i="42"/>
  <c r="H44" i="42"/>
  <c r="J36" i="42"/>
  <c r="R36" i="42"/>
  <c r="J32" i="42"/>
  <c r="R32" i="42"/>
  <c r="K32" i="42"/>
  <c r="S32" i="42"/>
  <c r="J31" i="42"/>
  <c r="H27" i="42"/>
  <c r="P27" i="42"/>
  <c r="I27" i="42"/>
  <c r="Q27" i="42"/>
  <c r="R25" i="42"/>
  <c r="H25" i="42"/>
  <c r="L21" i="42"/>
  <c r="M21" i="42"/>
  <c r="H20" i="42"/>
  <c r="J16" i="42"/>
  <c r="R16" i="42"/>
  <c r="K16" i="42"/>
  <c r="S16" i="42"/>
  <c r="P15" i="42"/>
  <c r="Q15" i="42"/>
  <c r="N11" i="42"/>
  <c r="P11" i="42"/>
  <c r="O202" i="43"/>
  <c r="O196" i="43"/>
  <c r="P190" i="43"/>
  <c r="I186" i="43"/>
  <c r="Q186" i="43"/>
  <c r="L186" i="43"/>
  <c r="M186" i="43"/>
  <c r="G185" i="43"/>
  <c r="O185" i="43"/>
  <c r="H185" i="43"/>
  <c r="Q185" i="43"/>
  <c r="I185" i="43"/>
  <c r="R185" i="43"/>
  <c r="H179" i="43"/>
  <c r="I173" i="43"/>
  <c r="H171" i="43"/>
  <c r="I170" i="43"/>
  <c r="Q170" i="43"/>
  <c r="G170" i="43"/>
  <c r="P170" i="43"/>
  <c r="H170" i="43"/>
  <c r="R170" i="43"/>
  <c r="J170" i="43"/>
  <c r="S170" i="43"/>
  <c r="M168" i="43"/>
  <c r="H168" i="43"/>
  <c r="Q168" i="43"/>
  <c r="I168" i="43"/>
  <c r="R168" i="43"/>
  <c r="J168" i="43"/>
  <c r="S168" i="43"/>
  <c r="H160" i="43"/>
  <c r="R158" i="43"/>
  <c r="L153" i="43"/>
  <c r="K143" i="43"/>
  <c r="S143" i="43"/>
  <c r="J143" i="43"/>
  <c r="L143" i="43"/>
  <c r="M143" i="43"/>
  <c r="G143" i="43"/>
  <c r="P143" i="43"/>
  <c r="K139" i="43"/>
  <c r="S139" i="43"/>
  <c r="L139" i="43"/>
  <c r="M139" i="43"/>
  <c r="N139" i="43"/>
  <c r="H139" i="43"/>
  <c r="Q139" i="43"/>
  <c r="K136" i="43"/>
  <c r="L134" i="43"/>
  <c r="M124" i="43"/>
  <c r="K124" i="43"/>
  <c r="L124" i="43"/>
  <c r="N124" i="43"/>
  <c r="H124" i="43"/>
  <c r="Q124" i="43"/>
  <c r="L119" i="43"/>
  <c r="L117" i="43"/>
  <c r="G109" i="43"/>
  <c r="O109" i="43"/>
  <c r="K109" i="43"/>
  <c r="L109" i="43"/>
  <c r="M109" i="43"/>
  <c r="H109" i="43"/>
  <c r="Q109" i="43"/>
  <c r="L106" i="43"/>
  <c r="L91" i="43"/>
  <c r="M86" i="43"/>
  <c r="H82" i="43"/>
  <c r="P82" i="43"/>
  <c r="I82" i="43"/>
  <c r="Q82" i="43"/>
  <c r="M82" i="43"/>
  <c r="N82" i="43"/>
  <c r="O82" i="43"/>
  <c r="J82" i="43"/>
  <c r="K76" i="43"/>
  <c r="I72" i="43"/>
  <c r="H70" i="43"/>
  <c r="P70" i="43"/>
  <c r="I70" i="43"/>
  <c r="Q70" i="43"/>
  <c r="G70" i="43"/>
  <c r="S70" i="43"/>
  <c r="J70" i="43"/>
  <c r="K70" i="43"/>
  <c r="N70" i="43"/>
  <c r="P24" i="43"/>
  <c r="G8" i="43"/>
  <c r="L8" i="43"/>
  <c r="J8" i="43"/>
  <c r="H8" i="43"/>
  <c r="N8" i="43"/>
  <c r="P8" i="43"/>
  <c r="R8" i="43"/>
  <c r="G117" i="44"/>
  <c r="O117" i="44"/>
  <c r="K117" i="44"/>
  <c r="L117" i="44"/>
  <c r="N117" i="44"/>
  <c r="I117" i="44"/>
  <c r="J117" i="44"/>
  <c r="P117" i="44"/>
  <c r="Q117" i="44"/>
  <c r="R117" i="44"/>
  <c r="S117" i="44"/>
  <c r="M117" i="44"/>
  <c r="J79" i="44"/>
  <c r="R79" i="44"/>
  <c r="M79" i="44"/>
  <c r="N79" i="44"/>
  <c r="G79" i="44"/>
  <c r="P79" i="44"/>
  <c r="H79" i="44"/>
  <c r="I79" i="44"/>
  <c r="L79" i="44"/>
  <c r="O79" i="44"/>
  <c r="Q79" i="44"/>
  <c r="S79" i="44"/>
  <c r="J180" i="45"/>
  <c r="R180" i="45"/>
  <c r="H180" i="45"/>
  <c r="Q180" i="45"/>
  <c r="I180" i="45"/>
  <c r="S180" i="45"/>
  <c r="K180" i="45"/>
  <c r="L180" i="45"/>
  <c r="N180" i="45"/>
  <c r="O180" i="45"/>
  <c r="G180" i="45"/>
  <c r="M180" i="45"/>
  <c r="P180" i="45"/>
  <c r="J90" i="41"/>
  <c r="H85" i="41"/>
  <c r="J8" i="41"/>
  <c r="L165" i="42"/>
  <c r="L161" i="42"/>
  <c r="L157" i="42"/>
  <c r="L153" i="42"/>
  <c r="L149" i="42"/>
  <c r="L145" i="42"/>
  <c r="L141" i="42"/>
  <c r="L137" i="42"/>
  <c r="L133" i="42"/>
  <c r="L129" i="42"/>
  <c r="G127" i="42"/>
  <c r="O127" i="42"/>
  <c r="P125" i="42"/>
  <c r="Q123" i="42"/>
  <c r="L122" i="42"/>
  <c r="M120" i="42"/>
  <c r="N118" i="42"/>
  <c r="N116" i="42"/>
  <c r="I112" i="42"/>
  <c r="Q112" i="42"/>
  <c r="H104" i="42"/>
  <c r="J99" i="42"/>
  <c r="H96" i="42"/>
  <c r="H88" i="42"/>
  <c r="N88" i="42"/>
  <c r="O77" i="42"/>
  <c r="Q76" i="42"/>
  <c r="H71" i="42"/>
  <c r="P71" i="42"/>
  <c r="N68" i="42"/>
  <c r="M65" i="42"/>
  <c r="M63" i="42"/>
  <c r="P61" i="42"/>
  <c r="G61" i="42"/>
  <c r="Q59" i="42"/>
  <c r="J56" i="42"/>
  <c r="R56" i="42"/>
  <c r="N53" i="42"/>
  <c r="N51" i="42"/>
  <c r="M48" i="42"/>
  <c r="P44" i="42"/>
  <c r="H39" i="42"/>
  <c r="P39" i="42"/>
  <c r="N36" i="42"/>
  <c r="O32" i="42"/>
  <c r="S31" i="42"/>
  <c r="O27" i="42"/>
  <c r="Q25" i="42"/>
  <c r="O21" i="42"/>
  <c r="Q20" i="42"/>
  <c r="O16" i="42"/>
  <c r="S15" i="42"/>
  <c r="N202" i="43"/>
  <c r="L200" i="43"/>
  <c r="M200" i="43"/>
  <c r="N196" i="43"/>
  <c r="J195" i="43"/>
  <c r="R195" i="43"/>
  <c r="K195" i="43"/>
  <c r="S195" i="43"/>
  <c r="M192" i="43"/>
  <c r="J192" i="43"/>
  <c r="S192" i="43"/>
  <c r="K192" i="43"/>
  <c r="O190" i="43"/>
  <c r="P186" i="43"/>
  <c r="S185" i="43"/>
  <c r="M172" i="43"/>
  <c r="G172" i="43"/>
  <c r="P172" i="43"/>
  <c r="H172" i="43"/>
  <c r="Q172" i="43"/>
  <c r="I172" i="43"/>
  <c r="R172" i="43"/>
  <c r="G169" i="43"/>
  <c r="O169" i="43"/>
  <c r="L169" i="43"/>
  <c r="M169" i="43"/>
  <c r="N169" i="43"/>
  <c r="I166" i="43"/>
  <c r="Q166" i="43"/>
  <c r="H166" i="43"/>
  <c r="R166" i="43"/>
  <c r="J166" i="43"/>
  <c r="S166" i="43"/>
  <c r="K166" i="43"/>
  <c r="P158" i="43"/>
  <c r="M140" i="43"/>
  <c r="G140" i="43"/>
  <c r="P140" i="43"/>
  <c r="H140" i="43"/>
  <c r="Q140" i="43"/>
  <c r="I140" i="43"/>
  <c r="R140" i="43"/>
  <c r="L140" i="43"/>
  <c r="M128" i="43"/>
  <c r="J128" i="43"/>
  <c r="S128" i="43"/>
  <c r="K128" i="43"/>
  <c r="L128" i="43"/>
  <c r="G128" i="43"/>
  <c r="P128" i="43"/>
  <c r="S124" i="43"/>
  <c r="G121" i="43"/>
  <c r="O121" i="43"/>
  <c r="H121" i="43"/>
  <c r="Q121" i="43"/>
  <c r="I121" i="43"/>
  <c r="R121" i="43"/>
  <c r="J121" i="43"/>
  <c r="S121" i="43"/>
  <c r="M121" i="43"/>
  <c r="G105" i="43"/>
  <c r="O105" i="43"/>
  <c r="L105" i="43"/>
  <c r="M105" i="43"/>
  <c r="N105" i="43"/>
  <c r="I105" i="43"/>
  <c r="R105" i="43"/>
  <c r="I94" i="43"/>
  <c r="Q94" i="43"/>
  <c r="K94" i="43"/>
  <c r="L94" i="43"/>
  <c r="M94" i="43"/>
  <c r="G94" i="43"/>
  <c r="P94" i="43"/>
  <c r="I90" i="43"/>
  <c r="Q90" i="43"/>
  <c r="L90" i="43"/>
  <c r="M90" i="43"/>
  <c r="N90" i="43"/>
  <c r="H90" i="43"/>
  <c r="R90" i="43"/>
  <c r="H78" i="43"/>
  <c r="P78" i="43"/>
  <c r="I78" i="43"/>
  <c r="Q78" i="43"/>
  <c r="G78" i="43"/>
  <c r="S78" i="43"/>
  <c r="J78" i="43"/>
  <c r="K78" i="43"/>
  <c r="N78" i="43"/>
  <c r="K43" i="43"/>
  <c r="S43" i="43"/>
  <c r="L43" i="43"/>
  <c r="H43" i="43"/>
  <c r="R43" i="43"/>
  <c r="I43" i="43"/>
  <c r="J43" i="43"/>
  <c r="O43" i="43"/>
  <c r="P43" i="43"/>
  <c r="Q43" i="43"/>
  <c r="G43" i="43"/>
  <c r="M12" i="43"/>
  <c r="G12" i="43"/>
  <c r="P12" i="43"/>
  <c r="J12" i="43"/>
  <c r="S12" i="43"/>
  <c r="I12" i="43"/>
  <c r="K12" i="43"/>
  <c r="L12" i="43"/>
  <c r="N12" i="43"/>
  <c r="O12" i="43"/>
  <c r="Q12" i="43"/>
  <c r="K151" i="44"/>
  <c r="S151" i="44"/>
  <c r="L151" i="44"/>
  <c r="N151" i="44"/>
  <c r="H151" i="44"/>
  <c r="I151" i="44"/>
  <c r="M151" i="44"/>
  <c r="J151" i="44"/>
  <c r="O151" i="44"/>
  <c r="P151" i="44"/>
  <c r="Q151" i="44"/>
  <c r="R151" i="44"/>
  <c r="L72" i="44"/>
  <c r="M72" i="44"/>
  <c r="H72" i="44"/>
  <c r="R72" i="44"/>
  <c r="I72" i="44"/>
  <c r="S72" i="44"/>
  <c r="K72" i="44"/>
  <c r="G72" i="44"/>
  <c r="J72" i="44"/>
  <c r="O72" i="44"/>
  <c r="N72" i="44"/>
  <c r="H38" i="44"/>
  <c r="P38" i="44"/>
  <c r="I38" i="44"/>
  <c r="Q38" i="44"/>
  <c r="N38" i="44"/>
  <c r="O38" i="44"/>
  <c r="G38" i="44"/>
  <c r="S38" i="44"/>
  <c r="K38" i="44"/>
  <c r="L38" i="44"/>
  <c r="M38" i="44"/>
  <c r="R38" i="44"/>
  <c r="S165" i="42"/>
  <c r="S161" i="42"/>
  <c r="S157" i="42"/>
  <c r="S153" i="42"/>
  <c r="S149" i="42"/>
  <c r="S145" i="42"/>
  <c r="S141" i="42"/>
  <c r="S137" i="42"/>
  <c r="S133" i="42"/>
  <c r="S129" i="42"/>
  <c r="K125" i="42"/>
  <c r="S125" i="42"/>
  <c r="G123" i="42"/>
  <c r="O123" i="42"/>
  <c r="K122" i="42"/>
  <c r="L120" i="42"/>
  <c r="R87" i="42"/>
  <c r="R79" i="42"/>
  <c r="N77" i="42"/>
  <c r="G76" i="42"/>
  <c r="K76" i="42"/>
  <c r="S76" i="42"/>
  <c r="K65" i="42"/>
  <c r="L63" i="42"/>
  <c r="H59" i="42"/>
  <c r="P59" i="42"/>
  <c r="L48" i="42"/>
  <c r="J44" i="42"/>
  <c r="R44" i="42"/>
  <c r="H31" i="42"/>
  <c r="P31" i="42"/>
  <c r="I31" i="42"/>
  <c r="Q31" i="42"/>
  <c r="L25" i="42"/>
  <c r="M25" i="42"/>
  <c r="J20" i="42"/>
  <c r="R20" i="42"/>
  <c r="K20" i="42"/>
  <c r="S20" i="42"/>
  <c r="H14" i="42"/>
  <c r="N14" i="42"/>
  <c r="R14" i="42"/>
  <c r="M202" i="43"/>
  <c r="K196" i="43"/>
  <c r="N190" i="43"/>
  <c r="K179" i="43"/>
  <c r="S179" i="43"/>
  <c r="I179" i="43"/>
  <c r="R179" i="43"/>
  <c r="J179" i="43"/>
  <c r="G173" i="43"/>
  <c r="O173" i="43"/>
  <c r="K173" i="43"/>
  <c r="L173" i="43"/>
  <c r="M173" i="43"/>
  <c r="K171" i="43"/>
  <c r="S171" i="43"/>
  <c r="L171" i="43"/>
  <c r="M171" i="43"/>
  <c r="N171" i="43"/>
  <c r="M160" i="43"/>
  <c r="J160" i="43"/>
  <c r="S160" i="43"/>
  <c r="K160" i="43"/>
  <c r="L160" i="43"/>
  <c r="O158" i="43"/>
  <c r="G153" i="43"/>
  <c r="O153" i="43"/>
  <c r="H153" i="43"/>
  <c r="Q153" i="43"/>
  <c r="I153" i="43"/>
  <c r="R153" i="43"/>
  <c r="J153" i="43"/>
  <c r="S153" i="43"/>
  <c r="M136" i="43"/>
  <c r="H136" i="43"/>
  <c r="Q136" i="43"/>
  <c r="I136" i="43"/>
  <c r="R136" i="43"/>
  <c r="J136" i="43"/>
  <c r="S136" i="43"/>
  <c r="N136" i="43"/>
  <c r="I134" i="43"/>
  <c r="Q134" i="43"/>
  <c r="H134" i="43"/>
  <c r="R134" i="43"/>
  <c r="J134" i="43"/>
  <c r="S134" i="43"/>
  <c r="K134" i="43"/>
  <c r="N134" i="43"/>
  <c r="K119" i="43"/>
  <c r="S119" i="43"/>
  <c r="H119" i="43"/>
  <c r="Q119" i="43"/>
  <c r="I119" i="43"/>
  <c r="R119" i="43"/>
  <c r="J119" i="43"/>
  <c r="N119" i="43"/>
  <c r="G117" i="43"/>
  <c r="O117" i="43"/>
  <c r="I117" i="43"/>
  <c r="R117" i="43"/>
  <c r="J117" i="43"/>
  <c r="S117" i="43"/>
  <c r="K117" i="43"/>
  <c r="N117" i="43"/>
  <c r="I106" i="43"/>
  <c r="Q106" i="43"/>
  <c r="G106" i="43"/>
  <c r="P106" i="43"/>
  <c r="H106" i="43"/>
  <c r="R106" i="43"/>
  <c r="J106" i="43"/>
  <c r="S106" i="43"/>
  <c r="M106" i="43"/>
  <c r="P104" i="43"/>
  <c r="P102" i="43"/>
  <c r="K91" i="43"/>
  <c r="S91" i="43"/>
  <c r="G91" i="43"/>
  <c r="P91" i="43"/>
  <c r="H91" i="43"/>
  <c r="Q91" i="43"/>
  <c r="I91" i="43"/>
  <c r="R91" i="43"/>
  <c r="M91" i="43"/>
  <c r="H86" i="43"/>
  <c r="P86" i="43"/>
  <c r="I86" i="43"/>
  <c r="Q86" i="43"/>
  <c r="G86" i="43"/>
  <c r="S86" i="43"/>
  <c r="J86" i="43"/>
  <c r="K86" i="43"/>
  <c r="N86" i="43"/>
  <c r="L76" i="43"/>
  <c r="M76" i="43"/>
  <c r="G76" i="43"/>
  <c r="Q76" i="43"/>
  <c r="H76" i="43"/>
  <c r="R76" i="43"/>
  <c r="I76" i="43"/>
  <c r="S76" i="43"/>
  <c r="N76" i="43"/>
  <c r="S74" i="43"/>
  <c r="L72" i="43"/>
  <c r="M72" i="43"/>
  <c r="K72" i="43"/>
  <c r="N72" i="43"/>
  <c r="O72" i="43"/>
  <c r="H72" i="43"/>
  <c r="R72" i="43"/>
  <c r="M24" i="43"/>
  <c r="L24" i="43"/>
  <c r="H24" i="43"/>
  <c r="R24" i="43"/>
  <c r="I24" i="43"/>
  <c r="S24" i="43"/>
  <c r="J24" i="43"/>
  <c r="G24" i="43"/>
  <c r="K24" i="43"/>
  <c r="N24" i="43"/>
  <c r="Q24" i="43"/>
  <c r="K147" i="43"/>
  <c r="S147" i="43"/>
  <c r="G145" i="43"/>
  <c r="O145" i="43"/>
  <c r="I130" i="43"/>
  <c r="Q130" i="43"/>
  <c r="K115" i="43"/>
  <c r="S115" i="43"/>
  <c r="G113" i="43"/>
  <c r="O113" i="43"/>
  <c r="I98" i="43"/>
  <c r="Q98" i="43"/>
  <c r="J83" i="43"/>
  <c r="R83" i="43"/>
  <c r="K83" i="43"/>
  <c r="S83" i="43"/>
  <c r="J75" i="43"/>
  <c r="R75" i="43"/>
  <c r="K75" i="43"/>
  <c r="S75" i="43"/>
  <c r="M56" i="43"/>
  <c r="J56" i="43"/>
  <c r="S56" i="43"/>
  <c r="K56" i="43"/>
  <c r="L56" i="43"/>
  <c r="G49" i="43"/>
  <c r="O49" i="43"/>
  <c r="H49" i="43"/>
  <c r="Q49" i="43"/>
  <c r="I49" i="43"/>
  <c r="R49" i="43"/>
  <c r="J49" i="43"/>
  <c r="S49" i="43"/>
  <c r="I42" i="43"/>
  <c r="Q42" i="43"/>
  <c r="G42" i="43"/>
  <c r="P42" i="43"/>
  <c r="L42" i="43"/>
  <c r="M42" i="43"/>
  <c r="N42" i="43"/>
  <c r="M40" i="43"/>
  <c r="H40" i="43"/>
  <c r="Q40" i="43"/>
  <c r="I40" i="43"/>
  <c r="S40" i="43"/>
  <c r="J40" i="43"/>
  <c r="K40" i="43"/>
  <c r="K39" i="43"/>
  <c r="S39" i="43"/>
  <c r="M39" i="43"/>
  <c r="L39" i="43"/>
  <c r="N39" i="43"/>
  <c r="O39" i="43"/>
  <c r="M180" i="44"/>
  <c r="H180" i="44"/>
  <c r="Q180" i="44"/>
  <c r="J180" i="44"/>
  <c r="S180" i="44"/>
  <c r="P180" i="44"/>
  <c r="I180" i="44"/>
  <c r="G180" i="44"/>
  <c r="K180" i="44"/>
  <c r="L180" i="44"/>
  <c r="N180" i="44"/>
  <c r="I166" i="44"/>
  <c r="Q166" i="44"/>
  <c r="L166" i="44"/>
  <c r="N166" i="44"/>
  <c r="K166" i="44"/>
  <c r="M166" i="44"/>
  <c r="P166" i="44"/>
  <c r="O166" i="44"/>
  <c r="R166" i="44"/>
  <c r="S166" i="44"/>
  <c r="K163" i="44"/>
  <c r="S163" i="44"/>
  <c r="H163" i="44"/>
  <c r="Q163" i="44"/>
  <c r="J163" i="44"/>
  <c r="G163" i="44"/>
  <c r="I163" i="44"/>
  <c r="M163" i="44"/>
  <c r="O163" i="44"/>
  <c r="P163" i="44"/>
  <c r="R163" i="44"/>
  <c r="H46" i="44"/>
  <c r="P46" i="44"/>
  <c r="I46" i="44"/>
  <c r="Q46" i="44"/>
  <c r="J46" i="44"/>
  <c r="K46" i="44"/>
  <c r="M46" i="44"/>
  <c r="O46" i="44"/>
  <c r="R46" i="44"/>
  <c r="S46" i="44"/>
  <c r="L16" i="44"/>
  <c r="M16" i="44"/>
  <c r="N16" i="44"/>
  <c r="O16" i="44"/>
  <c r="G16" i="44"/>
  <c r="Q16" i="44"/>
  <c r="I16" i="44"/>
  <c r="J16" i="44"/>
  <c r="K16" i="44"/>
  <c r="P16" i="44"/>
  <c r="R16" i="44"/>
  <c r="S16" i="44"/>
  <c r="L13" i="44"/>
  <c r="N13" i="44"/>
  <c r="H13" i="44"/>
  <c r="J13" i="44"/>
  <c r="R13" i="44"/>
  <c r="H73" i="45"/>
  <c r="P73" i="45"/>
  <c r="I73" i="45"/>
  <c r="Q73" i="45"/>
  <c r="J73" i="45"/>
  <c r="R73" i="45"/>
  <c r="K73" i="45"/>
  <c r="S73" i="45"/>
  <c r="N73" i="45"/>
  <c r="O73" i="45"/>
  <c r="L73" i="45"/>
  <c r="M73" i="45"/>
  <c r="G73" i="45"/>
  <c r="K35" i="45"/>
  <c r="S35" i="45"/>
  <c r="J35" i="45"/>
  <c r="L35" i="45"/>
  <c r="I35" i="45"/>
  <c r="M35" i="45"/>
  <c r="N35" i="45"/>
  <c r="O35" i="45"/>
  <c r="G35" i="45"/>
  <c r="H35" i="45"/>
  <c r="P35" i="45"/>
  <c r="Q35" i="45"/>
  <c r="R35" i="45"/>
  <c r="K80" i="46"/>
  <c r="S80" i="46"/>
  <c r="G80" i="46"/>
  <c r="P80" i="46"/>
  <c r="H80" i="46"/>
  <c r="Q80" i="46"/>
  <c r="I80" i="46"/>
  <c r="R80" i="46"/>
  <c r="J80" i="46"/>
  <c r="N80" i="46"/>
  <c r="O80" i="46"/>
  <c r="M80" i="46"/>
  <c r="L80" i="46"/>
  <c r="J27" i="46"/>
  <c r="R27" i="46"/>
  <c r="K27" i="46"/>
  <c r="S27" i="46"/>
  <c r="L27" i="46"/>
  <c r="M27" i="46"/>
  <c r="H27" i="46"/>
  <c r="I27" i="46"/>
  <c r="N27" i="46"/>
  <c r="O27" i="46"/>
  <c r="P27" i="46"/>
  <c r="Q27" i="46"/>
  <c r="G27" i="46"/>
  <c r="K167" i="43"/>
  <c r="S167" i="43"/>
  <c r="G165" i="43"/>
  <c r="O165" i="43"/>
  <c r="I150" i="43"/>
  <c r="Q150" i="43"/>
  <c r="L147" i="43"/>
  <c r="L145" i="43"/>
  <c r="K135" i="43"/>
  <c r="S135" i="43"/>
  <c r="G133" i="43"/>
  <c r="O133" i="43"/>
  <c r="K132" i="43"/>
  <c r="L130" i="43"/>
  <c r="I118" i="43"/>
  <c r="Q118" i="43"/>
  <c r="L115" i="43"/>
  <c r="L113" i="43"/>
  <c r="K103" i="43"/>
  <c r="S103" i="43"/>
  <c r="G101" i="43"/>
  <c r="O101" i="43"/>
  <c r="K100" i="43"/>
  <c r="L98" i="43"/>
  <c r="M83" i="43"/>
  <c r="M75" i="43"/>
  <c r="M60" i="43"/>
  <c r="I60" i="43"/>
  <c r="R60" i="43"/>
  <c r="J60" i="43"/>
  <c r="S60" i="43"/>
  <c r="K60" i="43"/>
  <c r="O56" i="43"/>
  <c r="M52" i="43"/>
  <c r="K52" i="43"/>
  <c r="L52" i="43"/>
  <c r="N52" i="43"/>
  <c r="P49" i="43"/>
  <c r="R42" i="43"/>
  <c r="P40" i="43"/>
  <c r="P39" i="43"/>
  <c r="G17" i="43"/>
  <c r="O17" i="43"/>
  <c r="J17" i="43"/>
  <c r="S17" i="43"/>
  <c r="L17" i="43"/>
  <c r="M17" i="43"/>
  <c r="N17" i="43"/>
  <c r="G125" i="44"/>
  <c r="O125" i="44"/>
  <c r="I125" i="44"/>
  <c r="R125" i="44"/>
  <c r="J125" i="44"/>
  <c r="S125" i="44"/>
  <c r="L125" i="44"/>
  <c r="Q125" i="44"/>
  <c r="H125" i="44"/>
  <c r="M125" i="44"/>
  <c r="N125" i="44"/>
  <c r="P125" i="44"/>
  <c r="H100" i="44"/>
  <c r="J100" i="44"/>
  <c r="N100" i="44"/>
  <c r="R100" i="44"/>
  <c r="H92" i="44"/>
  <c r="J92" i="44"/>
  <c r="N92" i="44"/>
  <c r="R92" i="44"/>
  <c r="J67" i="44"/>
  <c r="R67" i="44"/>
  <c r="K67" i="44"/>
  <c r="S67" i="44"/>
  <c r="H67" i="44"/>
  <c r="I67" i="44"/>
  <c r="M67" i="44"/>
  <c r="N67" i="44"/>
  <c r="O67" i="44"/>
  <c r="Q67" i="44"/>
  <c r="L67" i="44"/>
  <c r="P67" i="44"/>
  <c r="J43" i="44"/>
  <c r="R43" i="44"/>
  <c r="K43" i="44"/>
  <c r="S43" i="44"/>
  <c r="N43" i="44"/>
  <c r="O43" i="44"/>
  <c r="G43" i="44"/>
  <c r="Q43" i="44"/>
  <c r="H43" i="44"/>
  <c r="I43" i="44"/>
  <c r="L43" i="44"/>
  <c r="M43" i="44"/>
  <c r="P43" i="44"/>
  <c r="H197" i="45"/>
  <c r="P197" i="45"/>
  <c r="I197" i="45"/>
  <c r="Q197" i="45"/>
  <c r="J197" i="45"/>
  <c r="R197" i="45"/>
  <c r="O197" i="45"/>
  <c r="S197" i="45"/>
  <c r="G197" i="45"/>
  <c r="N197" i="45"/>
  <c r="K197" i="45"/>
  <c r="L197" i="45"/>
  <c r="M197" i="45"/>
  <c r="I178" i="43"/>
  <c r="Q178" i="43"/>
  <c r="N167" i="43"/>
  <c r="N165" i="43"/>
  <c r="K163" i="43"/>
  <c r="S163" i="43"/>
  <c r="G161" i="43"/>
  <c r="O161" i="43"/>
  <c r="N152" i="43"/>
  <c r="N150" i="43"/>
  <c r="J147" i="43"/>
  <c r="I146" i="43"/>
  <c r="Q146" i="43"/>
  <c r="K145" i="43"/>
  <c r="N135" i="43"/>
  <c r="N133" i="43"/>
  <c r="S132" i="43"/>
  <c r="J132" i="43"/>
  <c r="K131" i="43"/>
  <c r="S131" i="43"/>
  <c r="K130" i="43"/>
  <c r="G129" i="43"/>
  <c r="O129" i="43"/>
  <c r="N120" i="43"/>
  <c r="N118" i="43"/>
  <c r="J115" i="43"/>
  <c r="I114" i="43"/>
  <c r="Q114" i="43"/>
  <c r="K113" i="43"/>
  <c r="N103" i="43"/>
  <c r="N101" i="43"/>
  <c r="S100" i="43"/>
  <c r="J100" i="43"/>
  <c r="K99" i="43"/>
  <c r="S99" i="43"/>
  <c r="K98" i="43"/>
  <c r="G97" i="43"/>
  <c r="O97" i="43"/>
  <c r="J87" i="43"/>
  <c r="R87" i="43"/>
  <c r="K87" i="43"/>
  <c r="S87" i="43"/>
  <c r="L83" i="43"/>
  <c r="J79" i="43"/>
  <c r="R79" i="43"/>
  <c r="K79" i="43"/>
  <c r="S79" i="43"/>
  <c r="L75" i="43"/>
  <c r="J71" i="43"/>
  <c r="R71" i="43"/>
  <c r="K71" i="43"/>
  <c r="S71" i="43"/>
  <c r="K68" i="43"/>
  <c r="S68" i="43"/>
  <c r="L68" i="43"/>
  <c r="M68" i="43"/>
  <c r="I67" i="43"/>
  <c r="Q67" i="43"/>
  <c r="J67" i="43"/>
  <c r="R67" i="43"/>
  <c r="K67" i="43"/>
  <c r="S67" i="43"/>
  <c r="G66" i="43"/>
  <c r="O66" i="43"/>
  <c r="H66" i="43"/>
  <c r="P66" i="43"/>
  <c r="I66" i="43"/>
  <c r="Q66" i="43"/>
  <c r="M64" i="43"/>
  <c r="H64" i="43"/>
  <c r="Q64" i="43"/>
  <c r="I64" i="43"/>
  <c r="R64" i="43"/>
  <c r="J64" i="43"/>
  <c r="S64" i="43"/>
  <c r="Q60" i="43"/>
  <c r="N56" i="43"/>
  <c r="Q52" i="43"/>
  <c r="N49" i="43"/>
  <c r="K47" i="43"/>
  <c r="S47" i="43"/>
  <c r="H47" i="43"/>
  <c r="Q47" i="43"/>
  <c r="I47" i="43"/>
  <c r="R47" i="43"/>
  <c r="J47" i="43"/>
  <c r="O42" i="43"/>
  <c r="O40" i="43"/>
  <c r="J39" i="43"/>
  <c r="G21" i="43"/>
  <c r="O21" i="43"/>
  <c r="I21" i="43"/>
  <c r="R21" i="43"/>
  <c r="H21" i="43"/>
  <c r="S21" i="43"/>
  <c r="J21" i="43"/>
  <c r="K21" i="43"/>
  <c r="I18" i="43"/>
  <c r="Q18" i="43"/>
  <c r="N18" i="43"/>
  <c r="H18" i="43"/>
  <c r="S18" i="43"/>
  <c r="J18" i="43"/>
  <c r="K18" i="43"/>
  <c r="I185" i="44"/>
  <c r="Q185" i="44"/>
  <c r="H185" i="44"/>
  <c r="R185" i="44"/>
  <c r="L185" i="44"/>
  <c r="G185" i="44"/>
  <c r="J185" i="44"/>
  <c r="K185" i="44"/>
  <c r="M185" i="44"/>
  <c r="G173" i="44"/>
  <c r="O173" i="44"/>
  <c r="N173" i="44"/>
  <c r="H173" i="44"/>
  <c r="Q173" i="44"/>
  <c r="K173" i="44"/>
  <c r="L173" i="44"/>
  <c r="P173" i="44"/>
  <c r="I173" i="44"/>
  <c r="J173" i="44"/>
  <c r="M173" i="44"/>
  <c r="R173" i="44"/>
  <c r="G157" i="44"/>
  <c r="O157" i="44"/>
  <c r="J157" i="44"/>
  <c r="S157" i="44"/>
  <c r="L157" i="44"/>
  <c r="I157" i="44"/>
  <c r="K157" i="44"/>
  <c r="N157" i="44"/>
  <c r="P157" i="44"/>
  <c r="Q157" i="44"/>
  <c r="R157" i="44"/>
  <c r="K123" i="44"/>
  <c r="S123" i="44"/>
  <c r="I123" i="44"/>
  <c r="R123" i="44"/>
  <c r="J123" i="44"/>
  <c r="M123" i="44"/>
  <c r="L123" i="44"/>
  <c r="N123" i="44"/>
  <c r="P123" i="44"/>
  <c r="Q123" i="44"/>
  <c r="G84" i="44"/>
  <c r="N84" i="44"/>
  <c r="L84" i="44"/>
  <c r="P84" i="44"/>
  <c r="J23" i="44"/>
  <c r="R23" i="44"/>
  <c r="K23" i="44"/>
  <c r="S23" i="44"/>
  <c r="L23" i="44"/>
  <c r="M23" i="44"/>
  <c r="O23" i="44"/>
  <c r="H23" i="44"/>
  <c r="I23" i="44"/>
  <c r="N23" i="44"/>
  <c r="P23" i="44"/>
  <c r="Q23" i="44"/>
  <c r="N193" i="43"/>
  <c r="K191" i="43"/>
  <c r="S191" i="43"/>
  <c r="G189" i="43"/>
  <c r="O189" i="43"/>
  <c r="N180" i="43"/>
  <c r="N178" i="43"/>
  <c r="I174" i="43"/>
  <c r="Q174" i="43"/>
  <c r="M167" i="43"/>
  <c r="M165" i="43"/>
  <c r="N163" i="43"/>
  <c r="N161" i="43"/>
  <c r="K159" i="43"/>
  <c r="S159" i="43"/>
  <c r="G157" i="43"/>
  <c r="O157" i="43"/>
  <c r="L152" i="43"/>
  <c r="M150" i="43"/>
  <c r="N148" i="43"/>
  <c r="R147" i="43"/>
  <c r="I147" i="43"/>
  <c r="N146" i="43"/>
  <c r="S145" i="43"/>
  <c r="J145" i="43"/>
  <c r="I142" i="43"/>
  <c r="Q142" i="43"/>
  <c r="M135" i="43"/>
  <c r="M133" i="43"/>
  <c r="R132" i="43"/>
  <c r="I132" i="43"/>
  <c r="N131" i="43"/>
  <c r="S130" i="43"/>
  <c r="J130" i="43"/>
  <c r="N129" i="43"/>
  <c r="K127" i="43"/>
  <c r="S127" i="43"/>
  <c r="G125" i="43"/>
  <c r="O125" i="43"/>
  <c r="L120" i="43"/>
  <c r="M118" i="43"/>
  <c r="N116" i="43"/>
  <c r="R115" i="43"/>
  <c r="I115" i="43"/>
  <c r="N114" i="43"/>
  <c r="S113" i="43"/>
  <c r="J113" i="43"/>
  <c r="I110" i="43"/>
  <c r="Q110" i="43"/>
  <c r="M103" i="43"/>
  <c r="M101" i="43"/>
  <c r="R100" i="43"/>
  <c r="I100" i="43"/>
  <c r="N99" i="43"/>
  <c r="S98" i="43"/>
  <c r="J98" i="43"/>
  <c r="N97" i="43"/>
  <c r="K95" i="43"/>
  <c r="S95" i="43"/>
  <c r="G93" i="43"/>
  <c r="O93" i="43"/>
  <c r="O87" i="43"/>
  <c r="I83" i="43"/>
  <c r="O79" i="43"/>
  <c r="I75" i="43"/>
  <c r="O71" i="43"/>
  <c r="P68" i="43"/>
  <c r="P67" i="43"/>
  <c r="S66" i="43"/>
  <c r="G65" i="43"/>
  <c r="O65" i="43"/>
  <c r="L65" i="43"/>
  <c r="M65" i="43"/>
  <c r="N65" i="43"/>
  <c r="P60" i="43"/>
  <c r="I58" i="43"/>
  <c r="Q58" i="43"/>
  <c r="J58" i="43"/>
  <c r="S58" i="43"/>
  <c r="K58" i="43"/>
  <c r="L58" i="43"/>
  <c r="I56" i="43"/>
  <c r="P52" i="43"/>
  <c r="M49" i="43"/>
  <c r="K42" i="43"/>
  <c r="N40" i="43"/>
  <c r="I39" i="43"/>
  <c r="I34" i="43"/>
  <c r="Q34" i="43"/>
  <c r="J34" i="43"/>
  <c r="S34" i="43"/>
  <c r="H34" i="43"/>
  <c r="K34" i="43"/>
  <c r="L34" i="43"/>
  <c r="G33" i="43"/>
  <c r="O33" i="43"/>
  <c r="N33" i="43"/>
  <c r="L33" i="43"/>
  <c r="M33" i="43"/>
  <c r="P33" i="43"/>
  <c r="K27" i="43"/>
  <c r="S27" i="43"/>
  <c r="G27" i="43"/>
  <c r="P27" i="43"/>
  <c r="H27" i="43"/>
  <c r="R27" i="43"/>
  <c r="I27" i="43"/>
  <c r="J27" i="43"/>
  <c r="I26" i="43"/>
  <c r="Q26" i="43"/>
  <c r="L26" i="43"/>
  <c r="K26" i="43"/>
  <c r="M26" i="43"/>
  <c r="N26" i="43"/>
  <c r="K23" i="43"/>
  <c r="S23" i="43"/>
  <c r="H23" i="43"/>
  <c r="Q23" i="43"/>
  <c r="L23" i="43"/>
  <c r="M23" i="43"/>
  <c r="N23" i="43"/>
  <c r="M20" i="43"/>
  <c r="N20" i="43"/>
  <c r="K20" i="43"/>
  <c r="L20" i="43"/>
  <c r="O20" i="43"/>
  <c r="R17" i="43"/>
  <c r="G200" i="44"/>
  <c r="O200" i="44"/>
  <c r="I200" i="44"/>
  <c r="R200" i="44"/>
  <c r="L200" i="44"/>
  <c r="K200" i="44"/>
  <c r="M200" i="44"/>
  <c r="N200" i="44"/>
  <c r="I189" i="44"/>
  <c r="Q189" i="44"/>
  <c r="G189" i="44"/>
  <c r="P189" i="44"/>
  <c r="K189" i="44"/>
  <c r="J189" i="44"/>
  <c r="L189" i="44"/>
  <c r="M189" i="44"/>
  <c r="N189" i="44"/>
  <c r="K183" i="44"/>
  <c r="S183" i="44"/>
  <c r="L183" i="44"/>
  <c r="G183" i="44"/>
  <c r="Q183" i="44"/>
  <c r="J183" i="44"/>
  <c r="I183" i="44"/>
  <c r="M183" i="44"/>
  <c r="N183" i="44"/>
  <c r="O183" i="44"/>
  <c r="G181" i="44"/>
  <c r="O181" i="44"/>
  <c r="L181" i="44"/>
  <c r="N181" i="44"/>
  <c r="H181" i="44"/>
  <c r="R181" i="44"/>
  <c r="J181" i="44"/>
  <c r="K181" i="44"/>
  <c r="M181" i="44"/>
  <c r="P181" i="44"/>
  <c r="I178" i="44"/>
  <c r="Q178" i="44"/>
  <c r="H178" i="44"/>
  <c r="R178" i="44"/>
  <c r="K178" i="44"/>
  <c r="L178" i="44"/>
  <c r="M178" i="44"/>
  <c r="O178" i="44"/>
  <c r="J178" i="44"/>
  <c r="N178" i="44"/>
  <c r="P178" i="44"/>
  <c r="S178" i="44"/>
  <c r="J166" i="44"/>
  <c r="N46" i="44"/>
  <c r="M199" i="44"/>
  <c r="N199" i="44"/>
  <c r="H199" i="44"/>
  <c r="Q199" i="44"/>
  <c r="G192" i="44"/>
  <c r="O192" i="44"/>
  <c r="K192" i="44"/>
  <c r="N192" i="44"/>
  <c r="K175" i="44"/>
  <c r="S175" i="44"/>
  <c r="N175" i="44"/>
  <c r="G175" i="44"/>
  <c r="P175" i="44"/>
  <c r="H175" i="44"/>
  <c r="I175" i="44"/>
  <c r="L175" i="44"/>
  <c r="I170" i="44"/>
  <c r="Q170" i="44"/>
  <c r="K170" i="44"/>
  <c r="M170" i="44"/>
  <c r="J170" i="44"/>
  <c r="L170" i="44"/>
  <c r="O170" i="44"/>
  <c r="K167" i="44"/>
  <c r="S167" i="44"/>
  <c r="G167" i="44"/>
  <c r="P167" i="44"/>
  <c r="I167" i="44"/>
  <c r="R167" i="44"/>
  <c r="J167" i="44"/>
  <c r="L167" i="44"/>
  <c r="N167" i="44"/>
  <c r="I158" i="44"/>
  <c r="Q158" i="44"/>
  <c r="N158" i="44"/>
  <c r="G158" i="44"/>
  <c r="P158" i="44"/>
  <c r="H158" i="44"/>
  <c r="J158" i="44"/>
  <c r="L158" i="44"/>
  <c r="M140" i="44"/>
  <c r="J140" i="44"/>
  <c r="S140" i="44"/>
  <c r="L140" i="44"/>
  <c r="I140" i="44"/>
  <c r="K140" i="44"/>
  <c r="O140" i="44"/>
  <c r="I134" i="44"/>
  <c r="Q134" i="44"/>
  <c r="L134" i="44"/>
  <c r="N134" i="44"/>
  <c r="H134" i="44"/>
  <c r="J134" i="44"/>
  <c r="M134" i="44"/>
  <c r="K119" i="44"/>
  <c r="S119" i="44"/>
  <c r="J119" i="44"/>
  <c r="L119" i="44"/>
  <c r="N119" i="44"/>
  <c r="G119" i="44"/>
  <c r="H119" i="44"/>
  <c r="M119" i="44"/>
  <c r="H114" i="44"/>
  <c r="N114" i="44"/>
  <c r="L80" i="44"/>
  <c r="H80" i="44"/>
  <c r="Q80" i="44"/>
  <c r="I80" i="44"/>
  <c r="R80" i="44"/>
  <c r="K80" i="44"/>
  <c r="G80" i="44"/>
  <c r="J80" i="44"/>
  <c r="N80" i="44"/>
  <c r="L32" i="44"/>
  <c r="M32" i="44"/>
  <c r="N32" i="44"/>
  <c r="O32" i="44"/>
  <c r="G32" i="44"/>
  <c r="Q32" i="44"/>
  <c r="K32" i="44"/>
  <c r="P32" i="44"/>
  <c r="R32" i="44"/>
  <c r="S32" i="44"/>
  <c r="L173" i="45"/>
  <c r="J173" i="45"/>
  <c r="S173" i="45"/>
  <c r="K173" i="45"/>
  <c r="M173" i="45"/>
  <c r="N173" i="45"/>
  <c r="Q173" i="45"/>
  <c r="R173" i="45"/>
  <c r="G173" i="45"/>
  <c r="P173" i="45"/>
  <c r="I164" i="45"/>
  <c r="Q164" i="45"/>
  <c r="J164" i="45"/>
  <c r="R164" i="45"/>
  <c r="H164" i="45"/>
  <c r="K164" i="45"/>
  <c r="L164" i="45"/>
  <c r="M164" i="45"/>
  <c r="O164" i="45"/>
  <c r="P164" i="45"/>
  <c r="O89" i="43"/>
  <c r="O85" i="43"/>
  <c r="O81" i="43"/>
  <c r="O77" i="43"/>
  <c r="O73" i="43"/>
  <c r="O69" i="43"/>
  <c r="K63" i="43"/>
  <c r="S63" i="43"/>
  <c r="G61" i="43"/>
  <c r="O61" i="43"/>
  <c r="P59" i="43"/>
  <c r="Q57" i="43"/>
  <c r="Q55" i="43"/>
  <c r="H55" i="43"/>
  <c r="R53" i="43"/>
  <c r="I53" i="43"/>
  <c r="I46" i="43"/>
  <c r="Q46" i="43"/>
  <c r="P44" i="43"/>
  <c r="G44" i="43"/>
  <c r="R41" i="43"/>
  <c r="S38" i="43"/>
  <c r="R35" i="43"/>
  <c r="H35" i="43"/>
  <c r="R32" i="43"/>
  <c r="H32" i="43"/>
  <c r="R30" i="43"/>
  <c r="Q28" i="43"/>
  <c r="G25" i="43"/>
  <c r="O25" i="43"/>
  <c r="H25" i="43"/>
  <c r="Q25" i="43"/>
  <c r="R22" i="43"/>
  <c r="Q19" i="43"/>
  <c r="I10" i="43"/>
  <c r="Q10" i="43"/>
  <c r="G10" i="43"/>
  <c r="P10" i="43"/>
  <c r="K10" i="43"/>
  <c r="G204" i="44"/>
  <c r="O204" i="44"/>
  <c r="H204" i="44"/>
  <c r="Q204" i="44"/>
  <c r="K204" i="44"/>
  <c r="I203" i="44"/>
  <c r="P199" i="44"/>
  <c r="K198" i="44"/>
  <c r="S198" i="44"/>
  <c r="I198" i="44"/>
  <c r="R198" i="44"/>
  <c r="M198" i="44"/>
  <c r="I196" i="44"/>
  <c r="R194" i="44"/>
  <c r="Q192" i="44"/>
  <c r="M191" i="44"/>
  <c r="G191" i="44"/>
  <c r="P191" i="44"/>
  <c r="J191" i="44"/>
  <c r="S191" i="44"/>
  <c r="S187" i="44"/>
  <c r="I186" i="44"/>
  <c r="J168" i="44"/>
  <c r="K155" i="44"/>
  <c r="S155" i="44"/>
  <c r="J155" i="44"/>
  <c r="M155" i="44"/>
  <c r="G155" i="44"/>
  <c r="R155" i="44"/>
  <c r="H155" i="44"/>
  <c r="L155" i="44"/>
  <c r="G149" i="44"/>
  <c r="O149" i="44"/>
  <c r="L149" i="44"/>
  <c r="N149" i="44"/>
  <c r="K149" i="44"/>
  <c r="M149" i="44"/>
  <c r="Q149" i="44"/>
  <c r="J144" i="44"/>
  <c r="G141" i="44"/>
  <c r="O141" i="44"/>
  <c r="N141" i="44"/>
  <c r="H141" i="44"/>
  <c r="Q141" i="44"/>
  <c r="I141" i="44"/>
  <c r="J141" i="44"/>
  <c r="L141" i="44"/>
  <c r="J87" i="44"/>
  <c r="N87" i="44"/>
  <c r="P87" i="44"/>
  <c r="H87" i="44"/>
  <c r="L70" i="44"/>
  <c r="H66" i="44"/>
  <c r="P66" i="44"/>
  <c r="I66" i="44"/>
  <c r="Q66" i="44"/>
  <c r="L66" i="44"/>
  <c r="M66" i="44"/>
  <c r="O66" i="44"/>
  <c r="J66" i="44"/>
  <c r="K66" i="44"/>
  <c r="R66" i="44"/>
  <c r="N62" i="44"/>
  <c r="H54" i="44"/>
  <c r="P54" i="44"/>
  <c r="I54" i="44"/>
  <c r="Q54" i="44"/>
  <c r="N54" i="44"/>
  <c r="O54" i="44"/>
  <c r="G54" i="44"/>
  <c r="S54" i="44"/>
  <c r="M54" i="44"/>
  <c r="R54" i="44"/>
  <c r="H39" i="44"/>
  <c r="J18" i="44"/>
  <c r="H8" i="44"/>
  <c r="J8" i="44"/>
  <c r="R8" i="44"/>
  <c r="I183" i="45"/>
  <c r="L177" i="45"/>
  <c r="G177" i="45"/>
  <c r="P177" i="45"/>
  <c r="H177" i="45"/>
  <c r="Q177" i="45"/>
  <c r="I177" i="45"/>
  <c r="R177" i="45"/>
  <c r="J177" i="45"/>
  <c r="S177" i="45"/>
  <c r="K177" i="45"/>
  <c r="M177" i="45"/>
  <c r="O177" i="45"/>
  <c r="H89" i="45"/>
  <c r="P89" i="45"/>
  <c r="I89" i="45"/>
  <c r="Q89" i="45"/>
  <c r="J89" i="45"/>
  <c r="R89" i="45"/>
  <c r="K89" i="45"/>
  <c r="S89" i="45"/>
  <c r="N89" i="45"/>
  <c r="O89" i="45"/>
  <c r="G89" i="45"/>
  <c r="M89" i="45"/>
  <c r="K59" i="43"/>
  <c r="S59" i="43"/>
  <c r="G57" i="43"/>
  <c r="O57" i="43"/>
  <c r="P55" i="43"/>
  <c r="Q53" i="43"/>
  <c r="G41" i="43"/>
  <c r="O41" i="43"/>
  <c r="L41" i="43"/>
  <c r="I38" i="43"/>
  <c r="Q38" i="43"/>
  <c r="H38" i="43"/>
  <c r="R38" i="43"/>
  <c r="Q35" i="43"/>
  <c r="Q32" i="43"/>
  <c r="I30" i="43"/>
  <c r="Q30" i="43"/>
  <c r="K30" i="43"/>
  <c r="M28" i="43"/>
  <c r="K28" i="43"/>
  <c r="I22" i="43"/>
  <c r="Q22" i="43"/>
  <c r="M22" i="43"/>
  <c r="K19" i="43"/>
  <c r="S19" i="43"/>
  <c r="I19" i="43"/>
  <c r="R19" i="43"/>
  <c r="S203" i="44"/>
  <c r="O199" i="44"/>
  <c r="I197" i="44"/>
  <c r="Q197" i="44"/>
  <c r="N197" i="44"/>
  <c r="H197" i="44"/>
  <c r="R197" i="44"/>
  <c r="K194" i="44"/>
  <c r="S194" i="44"/>
  <c r="J194" i="44"/>
  <c r="N194" i="44"/>
  <c r="P192" i="44"/>
  <c r="M187" i="44"/>
  <c r="H187" i="44"/>
  <c r="Q187" i="44"/>
  <c r="K187" i="44"/>
  <c r="S170" i="44"/>
  <c r="I150" i="44"/>
  <c r="Q150" i="44"/>
  <c r="G150" i="44"/>
  <c r="P150" i="44"/>
  <c r="J150" i="44"/>
  <c r="S150" i="44"/>
  <c r="K150" i="44"/>
  <c r="L150" i="44"/>
  <c r="N150" i="44"/>
  <c r="I146" i="44"/>
  <c r="Q146" i="44"/>
  <c r="H146" i="44"/>
  <c r="R146" i="44"/>
  <c r="K146" i="44"/>
  <c r="G146" i="44"/>
  <c r="J146" i="44"/>
  <c r="M146" i="44"/>
  <c r="R140" i="44"/>
  <c r="I138" i="44"/>
  <c r="Q138" i="44"/>
  <c r="K138" i="44"/>
  <c r="M138" i="44"/>
  <c r="G138" i="44"/>
  <c r="S138" i="44"/>
  <c r="H138" i="44"/>
  <c r="L138" i="44"/>
  <c r="S134" i="44"/>
  <c r="G95" i="44"/>
  <c r="R95" i="44"/>
  <c r="H95" i="44"/>
  <c r="N95" i="44"/>
  <c r="P95" i="44"/>
  <c r="J51" i="44"/>
  <c r="R51" i="44"/>
  <c r="K51" i="44"/>
  <c r="S51" i="44"/>
  <c r="H51" i="44"/>
  <c r="I51" i="44"/>
  <c r="M51" i="44"/>
  <c r="G51" i="44"/>
  <c r="L51" i="44"/>
  <c r="N51" i="44"/>
  <c r="O51" i="44"/>
  <c r="L44" i="44"/>
  <c r="M44" i="44"/>
  <c r="J44" i="44"/>
  <c r="K44" i="44"/>
  <c r="O44" i="44"/>
  <c r="I44" i="44"/>
  <c r="N44" i="44"/>
  <c r="P44" i="44"/>
  <c r="Q44" i="44"/>
  <c r="H30" i="44"/>
  <c r="P30" i="44"/>
  <c r="I30" i="44"/>
  <c r="Q30" i="44"/>
  <c r="J30" i="44"/>
  <c r="K30" i="44"/>
  <c r="M30" i="44"/>
  <c r="L30" i="44"/>
  <c r="N30" i="44"/>
  <c r="O30" i="44"/>
  <c r="R30" i="44"/>
  <c r="L24" i="44"/>
  <c r="M24" i="44"/>
  <c r="H24" i="44"/>
  <c r="R24" i="44"/>
  <c r="I24" i="44"/>
  <c r="S24" i="44"/>
  <c r="K24" i="44"/>
  <c r="N24" i="44"/>
  <c r="O24" i="44"/>
  <c r="P24" i="44"/>
  <c r="Q24" i="44"/>
  <c r="J194" i="45"/>
  <c r="R194" i="45"/>
  <c r="K194" i="45"/>
  <c r="S194" i="45"/>
  <c r="L194" i="45"/>
  <c r="G194" i="45"/>
  <c r="H194" i="45"/>
  <c r="M194" i="45"/>
  <c r="P194" i="45"/>
  <c r="Q194" i="45"/>
  <c r="G185" i="45"/>
  <c r="O185" i="45"/>
  <c r="H185" i="45"/>
  <c r="P185" i="45"/>
  <c r="I185" i="45"/>
  <c r="Q185" i="45"/>
  <c r="J185" i="45"/>
  <c r="R185" i="45"/>
  <c r="K185" i="45"/>
  <c r="L185" i="45"/>
  <c r="M185" i="45"/>
  <c r="N185" i="45"/>
  <c r="S185" i="45"/>
  <c r="H129" i="45"/>
  <c r="J129" i="45"/>
  <c r="N129" i="45"/>
  <c r="R129" i="45"/>
  <c r="K55" i="43"/>
  <c r="S55" i="43"/>
  <c r="G53" i="43"/>
  <c r="O53" i="43"/>
  <c r="K35" i="43"/>
  <c r="S35" i="43"/>
  <c r="N35" i="43"/>
  <c r="M32" i="43"/>
  <c r="J32" i="43"/>
  <c r="S32" i="43"/>
  <c r="M203" i="44"/>
  <c r="L203" i="44"/>
  <c r="G203" i="44"/>
  <c r="P203" i="44"/>
  <c r="L199" i="44"/>
  <c r="G196" i="44"/>
  <c r="O196" i="44"/>
  <c r="J196" i="44"/>
  <c r="S196" i="44"/>
  <c r="M196" i="44"/>
  <c r="M192" i="44"/>
  <c r="K186" i="44"/>
  <c r="S186" i="44"/>
  <c r="M186" i="44"/>
  <c r="G186" i="44"/>
  <c r="P186" i="44"/>
  <c r="R175" i="44"/>
  <c r="R170" i="44"/>
  <c r="M168" i="44"/>
  <c r="K168" i="44"/>
  <c r="N168" i="44"/>
  <c r="H168" i="44"/>
  <c r="S168" i="44"/>
  <c r="I168" i="44"/>
  <c r="L168" i="44"/>
  <c r="S158" i="44"/>
  <c r="M144" i="44"/>
  <c r="I144" i="44"/>
  <c r="R144" i="44"/>
  <c r="K144" i="44"/>
  <c r="O144" i="44"/>
  <c r="P144" i="44"/>
  <c r="G144" i="44"/>
  <c r="S144" i="44"/>
  <c r="Q140" i="44"/>
  <c r="R134" i="44"/>
  <c r="R119" i="44"/>
  <c r="H108" i="44"/>
  <c r="R108" i="44"/>
  <c r="J108" i="44"/>
  <c r="N108" i="44"/>
  <c r="H106" i="44"/>
  <c r="R106" i="44"/>
  <c r="N106" i="44"/>
  <c r="H70" i="44"/>
  <c r="P70" i="44"/>
  <c r="I70" i="44"/>
  <c r="Q70" i="44"/>
  <c r="N70" i="44"/>
  <c r="O70" i="44"/>
  <c r="G70" i="44"/>
  <c r="S70" i="44"/>
  <c r="J70" i="44"/>
  <c r="H62" i="44"/>
  <c r="P62" i="44"/>
  <c r="I62" i="44"/>
  <c r="Q62" i="44"/>
  <c r="J62" i="44"/>
  <c r="K62" i="44"/>
  <c r="M62" i="44"/>
  <c r="S62" i="44"/>
  <c r="G62" i="44"/>
  <c r="J39" i="44"/>
  <c r="R39" i="44"/>
  <c r="K39" i="44"/>
  <c r="S39" i="44"/>
  <c r="L39" i="44"/>
  <c r="M39" i="44"/>
  <c r="O39" i="44"/>
  <c r="N39" i="44"/>
  <c r="P39" i="44"/>
  <c r="Q39" i="44"/>
  <c r="H18" i="44"/>
  <c r="P18" i="44"/>
  <c r="I18" i="44"/>
  <c r="Q18" i="44"/>
  <c r="L18" i="44"/>
  <c r="M18" i="44"/>
  <c r="O18" i="44"/>
  <c r="N18" i="44"/>
  <c r="R18" i="44"/>
  <c r="S18" i="44"/>
  <c r="R11" i="44"/>
  <c r="L11" i="44"/>
  <c r="N11" i="44"/>
  <c r="J11" i="44"/>
  <c r="P11" i="44"/>
  <c r="H183" i="45"/>
  <c r="P183" i="45"/>
  <c r="J183" i="45"/>
  <c r="S183" i="45"/>
  <c r="K183" i="45"/>
  <c r="L183" i="45"/>
  <c r="M183" i="45"/>
  <c r="N183" i="45"/>
  <c r="O183" i="45"/>
  <c r="R183" i="45"/>
  <c r="Q183" i="45"/>
  <c r="H105" i="45"/>
  <c r="P105" i="45"/>
  <c r="I105" i="45"/>
  <c r="Q105" i="45"/>
  <c r="J105" i="45"/>
  <c r="R105" i="45"/>
  <c r="K105" i="45"/>
  <c r="S105" i="45"/>
  <c r="N105" i="45"/>
  <c r="O105" i="45"/>
  <c r="L105" i="45"/>
  <c r="M105" i="45"/>
  <c r="K11" i="43"/>
  <c r="S11" i="43"/>
  <c r="G7" i="43"/>
  <c r="J7" i="43"/>
  <c r="K190" i="44"/>
  <c r="S190" i="44"/>
  <c r="G188" i="44"/>
  <c r="O188" i="44"/>
  <c r="M172" i="44"/>
  <c r="J172" i="44"/>
  <c r="S172" i="44"/>
  <c r="L172" i="44"/>
  <c r="G161" i="44"/>
  <c r="O161" i="44"/>
  <c r="I161" i="44"/>
  <c r="R161" i="44"/>
  <c r="K161" i="44"/>
  <c r="M148" i="44"/>
  <c r="H148" i="44"/>
  <c r="Q148" i="44"/>
  <c r="J148" i="44"/>
  <c r="S148" i="44"/>
  <c r="K131" i="44"/>
  <c r="S131" i="44"/>
  <c r="G131" i="44"/>
  <c r="P131" i="44"/>
  <c r="H131" i="44"/>
  <c r="Q131" i="44"/>
  <c r="J131" i="44"/>
  <c r="H116" i="44"/>
  <c r="M116" i="44"/>
  <c r="O116" i="44"/>
  <c r="S116" i="44"/>
  <c r="P105" i="44"/>
  <c r="H105" i="44"/>
  <c r="J105" i="44"/>
  <c r="N105" i="44"/>
  <c r="J75" i="44"/>
  <c r="R75" i="44"/>
  <c r="K75" i="44"/>
  <c r="S75" i="44"/>
  <c r="N75" i="44"/>
  <c r="O75" i="44"/>
  <c r="G75" i="44"/>
  <c r="Q75" i="44"/>
  <c r="L60" i="44"/>
  <c r="M60" i="44"/>
  <c r="J60" i="44"/>
  <c r="K60" i="44"/>
  <c r="O60" i="44"/>
  <c r="L40" i="44"/>
  <c r="M40" i="44"/>
  <c r="H40" i="44"/>
  <c r="R40" i="44"/>
  <c r="I40" i="44"/>
  <c r="S40" i="44"/>
  <c r="K40" i="44"/>
  <c r="J19" i="44"/>
  <c r="R19" i="44"/>
  <c r="K19" i="44"/>
  <c r="S19" i="44"/>
  <c r="H19" i="44"/>
  <c r="I19" i="44"/>
  <c r="M19" i="44"/>
  <c r="N7" i="44"/>
  <c r="P7" i="44"/>
  <c r="L7" i="44"/>
  <c r="R7" i="44"/>
  <c r="G171" i="45"/>
  <c r="O171" i="45"/>
  <c r="H171" i="45"/>
  <c r="P171" i="45"/>
  <c r="J171" i="45"/>
  <c r="K171" i="45"/>
  <c r="L171" i="45"/>
  <c r="M171" i="45"/>
  <c r="N171" i="45"/>
  <c r="Q171" i="45"/>
  <c r="S171" i="45"/>
  <c r="G131" i="45"/>
  <c r="K131" i="45"/>
  <c r="M131" i="45"/>
  <c r="O131" i="45"/>
  <c r="I131" i="45"/>
  <c r="Q131" i="45"/>
  <c r="J102" i="45"/>
  <c r="R102" i="45"/>
  <c r="K102" i="45"/>
  <c r="S102" i="45"/>
  <c r="L102" i="45"/>
  <c r="M102" i="45"/>
  <c r="H102" i="45"/>
  <c r="I102" i="45"/>
  <c r="N102" i="45"/>
  <c r="O102" i="45"/>
  <c r="K43" i="45"/>
  <c r="S43" i="45"/>
  <c r="H43" i="45"/>
  <c r="Q43" i="45"/>
  <c r="I43" i="45"/>
  <c r="G43" i="45"/>
  <c r="J43" i="45"/>
  <c r="L43" i="45"/>
  <c r="M43" i="45"/>
  <c r="O43" i="45"/>
  <c r="P43" i="45"/>
  <c r="R43" i="45"/>
  <c r="N43" i="45"/>
  <c r="J55" i="44"/>
  <c r="R55" i="44"/>
  <c r="K55" i="44"/>
  <c r="S55" i="44"/>
  <c r="L55" i="44"/>
  <c r="M55" i="44"/>
  <c r="O55" i="44"/>
  <c r="L48" i="44"/>
  <c r="M48" i="44"/>
  <c r="N48" i="44"/>
  <c r="O48" i="44"/>
  <c r="G48" i="44"/>
  <c r="Q48" i="44"/>
  <c r="H34" i="44"/>
  <c r="P34" i="44"/>
  <c r="I34" i="44"/>
  <c r="Q34" i="44"/>
  <c r="L34" i="44"/>
  <c r="M34" i="44"/>
  <c r="O34" i="44"/>
  <c r="P122" i="45"/>
  <c r="R122" i="45"/>
  <c r="J122" i="45"/>
  <c r="L122" i="45"/>
  <c r="N122" i="45"/>
  <c r="H81" i="45"/>
  <c r="P81" i="45"/>
  <c r="I81" i="45"/>
  <c r="Q81" i="45"/>
  <c r="J81" i="45"/>
  <c r="R81" i="45"/>
  <c r="K81" i="45"/>
  <c r="S81" i="45"/>
  <c r="N81" i="45"/>
  <c r="O81" i="45"/>
  <c r="M160" i="44"/>
  <c r="N160" i="44"/>
  <c r="G160" i="44"/>
  <c r="P160" i="44"/>
  <c r="G153" i="44"/>
  <c r="O153" i="44"/>
  <c r="K153" i="44"/>
  <c r="M153" i="44"/>
  <c r="K143" i="44"/>
  <c r="S143" i="44"/>
  <c r="N143" i="44"/>
  <c r="G143" i="44"/>
  <c r="P143" i="44"/>
  <c r="G129" i="44"/>
  <c r="O129" i="44"/>
  <c r="H129" i="44"/>
  <c r="Q129" i="44"/>
  <c r="I129" i="44"/>
  <c r="R129" i="44"/>
  <c r="K129" i="44"/>
  <c r="K127" i="44"/>
  <c r="S127" i="44"/>
  <c r="H127" i="44"/>
  <c r="Q127" i="44"/>
  <c r="I127" i="44"/>
  <c r="R127" i="44"/>
  <c r="L127" i="44"/>
  <c r="I126" i="44"/>
  <c r="Q126" i="44"/>
  <c r="M126" i="44"/>
  <c r="N126" i="44"/>
  <c r="G126" i="44"/>
  <c r="P126" i="44"/>
  <c r="G121" i="44"/>
  <c r="O121" i="44"/>
  <c r="J121" i="44"/>
  <c r="S121" i="44"/>
  <c r="K121" i="44"/>
  <c r="M121" i="44"/>
  <c r="H113" i="44"/>
  <c r="J113" i="44"/>
  <c r="L113" i="44"/>
  <c r="P113" i="44"/>
  <c r="N111" i="44"/>
  <c r="L111" i="44"/>
  <c r="P111" i="44"/>
  <c r="G94" i="44"/>
  <c r="R94" i="44"/>
  <c r="N94" i="44"/>
  <c r="P94" i="44"/>
  <c r="J89" i="44"/>
  <c r="L89" i="44"/>
  <c r="P89" i="44"/>
  <c r="G83" i="44"/>
  <c r="L83" i="44"/>
  <c r="H83" i="44"/>
  <c r="J83" i="44"/>
  <c r="P83" i="44"/>
  <c r="L76" i="44"/>
  <c r="M76" i="44"/>
  <c r="J76" i="44"/>
  <c r="K76" i="44"/>
  <c r="O76" i="44"/>
  <c r="L56" i="44"/>
  <c r="M56" i="44"/>
  <c r="H56" i="44"/>
  <c r="R56" i="44"/>
  <c r="I56" i="44"/>
  <c r="S56" i="44"/>
  <c r="K56" i="44"/>
  <c r="S48" i="44"/>
  <c r="J35" i="44"/>
  <c r="R35" i="44"/>
  <c r="K35" i="44"/>
  <c r="S35" i="44"/>
  <c r="H35" i="44"/>
  <c r="I35" i="44"/>
  <c r="M35" i="44"/>
  <c r="J27" i="44"/>
  <c r="R27" i="44"/>
  <c r="K27" i="44"/>
  <c r="S27" i="44"/>
  <c r="N27" i="44"/>
  <c r="O27" i="44"/>
  <c r="G27" i="44"/>
  <c r="Q27" i="44"/>
  <c r="H9" i="44"/>
  <c r="J9" i="44"/>
  <c r="N9" i="44"/>
  <c r="P9" i="44"/>
  <c r="H201" i="45"/>
  <c r="P201" i="45"/>
  <c r="I201" i="45"/>
  <c r="Q201" i="45"/>
  <c r="J201" i="45"/>
  <c r="R201" i="45"/>
  <c r="L201" i="45"/>
  <c r="M201" i="45"/>
  <c r="O201" i="45"/>
  <c r="J198" i="45"/>
  <c r="R198" i="45"/>
  <c r="K198" i="45"/>
  <c r="S198" i="45"/>
  <c r="L198" i="45"/>
  <c r="O198" i="45"/>
  <c r="P198" i="45"/>
  <c r="G198" i="45"/>
  <c r="I190" i="45"/>
  <c r="Q190" i="45"/>
  <c r="J190" i="45"/>
  <c r="R190" i="45"/>
  <c r="K190" i="45"/>
  <c r="S190" i="45"/>
  <c r="L190" i="45"/>
  <c r="G190" i="45"/>
  <c r="H190" i="45"/>
  <c r="N190" i="45"/>
  <c r="G163" i="45"/>
  <c r="O163" i="45"/>
  <c r="H163" i="45"/>
  <c r="P163" i="45"/>
  <c r="L163" i="45"/>
  <c r="M163" i="45"/>
  <c r="N163" i="45"/>
  <c r="Q163" i="45"/>
  <c r="I163" i="45"/>
  <c r="J163" i="45"/>
  <c r="R163" i="45"/>
  <c r="H121" i="45"/>
  <c r="J121" i="45"/>
  <c r="N121" i="45"/>
  <c r="R121" i="45"/>
  <c r="H114" i="45"/>
  <c r="J114" i="45"/>
  <c r="L114" i="45"/>
  <c r="N114" i="45"/>
  <c r="P114" i="45"/>
  <c r="R114" i="45"/>
  <c r="G111" i="45"/>
  <c r="J111" i="45"/>
  <c r="L111" i="45"/>
  <c r="N111" i="45"/>
  <c r="P111" i="45"/>
  <c r="J94" i="45"/>
  <c r="R94" i="45"/>
  <c r="K94" i="45"/>
  <c r="S94" i="45"/>
  <c r="L94" i="45"/>
  <c r="M94" i="45"/>
  <c r="H94" i="45"/>
  <c r="I94" i="45"/>
  <c r="N94" i="45"/>
  <c r="O94" i="45"/>
  <c r="P94" i="45"/>
  <c r="Q94" i="45"/>
  <c r="J78" i="45"/>
  <c r="R78" i="45"/>
  <c r="K78" i="45"/>
  <c r="S78" i="45"/>
  <c r="L78" i="45"/>
  <c r="M78" i="45"/>
  <c r="H78" i="45"/>
  <c r="I78" i="45"/>
  <c r="N78" i="45"/>
  <c r="O78" i="45"/>
  <c r="G78" i="45"/>
  <c r="G53" i="45"/>
  <c r="O53" i="45"/>
  <c r="N53" i="45"/>
  <c r="J53" i="45"/>
  <c r="K53" i="45"/>
  <c r="L53" i="45"/>
  <c r="M53" i="45"/>
  <c r="Q53" i="45"/>
  <c r="R53" i="45"/>
  <c r="S53" i="45"/>
  <c r="I53" i="45"/>
  <c r="P53" i="45"/>
  <c r="K31" i="43"/>
  <c r="S31" i="43"/>
  <c r="G29" i="43"/>
  <c r="O29" i="43"/>
  <c r="I14" i="43"/>
  <c r="Q14" i="43"/>
  <c r="L11" i="43"/>
  <c r="R7" i="43"/>
  <c r="I193" i="44"/>
  <c r="Q193" i="44"/>
  <c r="L190" i="44"/>
  <c r="L188" i="44"/>
  <c r="M176" i="44"/>
  <c r="I176" i="44"/>
  <c r="R176" i="44"/>
  <c r="K176" i="44"/>
  <c r="N172" i="44"/>
  <c r="N161" i="44"/>
  <c r="Q160" i="44"/>
  <c r="K159" i="44"/>
  <c r="S159" i="44"/>
  <c r="I159" i="44"/>
  <c r="R159" i="44"/>
  <c r="L159" i="44"/>
  <c r="Q153" i="44"/>
  <c r="M152" i="44"/>
  <c r="G152" i="44"/>
  <c r="P152" i="44"/>
  <c r="I152" i="44"/>
  <c r="R152" i="44"/>
  <c r="N148" i="44"/>
  <c r="Q143" i="44"/>
  <c r="I142" i="44"/>
  <c r="Q142" i="44"/>
  <c r="J142" i="44"/>
  <c r="S142" i="44"/>
  <c r="L142" i="44"/>
  <c r="M136" i="44"/>
  <c r="K136" i="44"/>
  <c r="N136" i="44"/>
  <c r="K135" i="44"/>
  <c r="S135" i="44"/>
  <c r="G135" i="44"/>
  <c r="P135" i="44"/>
  <c r="I135" i="44"/>
  <c r="R135" i="44"/>
  <c r="O131" i="44"/>
  <c r="M128" i="44"/>
  <c r="L128" i="44"/>
  <c r="N128" i="44"/>
  <c r="G128" i="44"/>
  <c r="P128" i="44"/>
  <c r="S126" i="44"/>
  <c r="R121" i="44"/>
  <c r="R109" i="44"/>
  <c r="H109" i="44"/>
  <c r="H104" i="44"/>
  <c r="J104" i="44"/>
  <c r="H78" i="44"/>
  <c r="P78" i="44"/>
  <c r="I78" i="44"/>
  <c r="R78" i="44"/>
  <c r="J78" i="44"/>
  <c r="S78" i="44"/>
  <c r="L78" i="44"/>
  <c r="R76" i="44"/>
  <c r="P75" i="44"/>
  <c r="J71" i="44"/>
  <c r="R71" i="44"/>
  <c r="K71" i="44"/>
  <c r="S71" i="44"/>
  <c r="L71" i="44"/>
  <c r="M71" i="44"/>
  <c r="O71" i="44"/>
  <c r="L64" i="44"/>
  <c r="M64" i="44"/>
  <c r="N64" i="44"/>
  <c r="O64" i="44"/>
  <c r="G64" i="44"/>
  <c r="Q64" i="44"/>
  <c r="P60" i="44"/>
  <c r="Q55" i="44"/>
  <c r="H50" i="44"/>
  <c r="P50" i="44"/>
  <c r="I50" i="44"/>
  <c r="Q50" i="44"/>
  <c r="L50" i="44"/>
  <c r="M50" i="44"/>
  <c r="O50" i="44"/>
  <c r="R48" i="44"/>
  <c r="P40" i="44"/>
  <c r="S34" i="44"/>
  <c r="H22" i="44"/>
  <c r="P22" i="44"/>
  <c r="I22" i="44"/>
  <c r="Q22" i="44"/>
  <c r="N22" i="44"/>
  <c r="O22" i="44"/>
  <c r="G22" i="44"/>
  <c r="S22" i="44"/>
  <c r="P19" i="44"/>
  <c r="I46" i="45"/>
  <c r="Q46" i="45"/>
  <c r="L46" i="45"/>
  <c r="H46" i="45"/>
  <c r="S46" i="45"/>
  <c r="J46" i="45"/>
  <c r="K46" i="45"/>
  <c r="M46" i="45"/>
  <c r="G46" i="45"/>
  <c r="N46" i="45"/>
  <c r="O46" i="45"/>
  <c r="P46" i="45"/>
  <c r="K179" i="44"/>
  <c r="S179" i="44"/>
  <c r="G177" i="44"/>
  <c r="O177" i="44"/>
  <c r="I162" i="44"/>
  <c r="Q162" i="44"/>
  <c r="K147" i="44"/>
  <c r="S147" i="44"/>
  <c r="G145" i="44"/>
  <c r="O145" i="44"/>
  <c r="S133" i="44"/>
  <c r="J133" i="44"/>
  <c r="I130" i="44"/>
  <c r="Q130" i="44"/>
  <c r="R120" i="44"/>
  <c r="I120" i="44"/>
  <c r="S118" i="44"/>
  <c r="J118" i="44"/>
  <c r="L115" i="44"/>
  <c r="N97" i="44"/>
  <c r="H93" i="44"/>
  <c r="R93" i="44"/>
  <c r="H88" i="44"/>
  <c r="R88" i="44"/>
  <c r="N82" i="44"/>
  <c r="K74" i="44"/>
  <c r="S68" i="44"/>
  <c r="I68" i="44"/>
  <c r="I63" i="44"/>
  <c r="K58" i="44"/>
  <c r="S52" i="44"/>
  <c r="I52" i="44"/>
  <c r="I47" i="44"/>
  <c r="K42" i="44"/>
  <c r="S36" i="44"/>
  <c r="I36" i="44"/>
  <c r="I31" i="44"/>
  <c r="K26" i="44"/>
  <c r="S20" i="44"/>
  <c r="I20" i="44"/>
  <c r="H10" i="44"/>
  <c r="N10" i="44"/>
  <c r="R10" i="44"/>
  <c r="M193" i="45"/>
  <c r="M186" i="45"/>
  <c r="N175" i="45"/>
  <c r="J124" i="45"/>
  <c r="L124" i="45"/>
  <c r="N124" i="45"/>
  <c r="H124" i="45"/>
  <c r="P124" i="45"/>
  <c r="R124" i="45"/>
  <c r="M97" i="45"/>
  <c r="Q86" i="45"/>
  <c r="G65" i="45"/>
  <c r="O65" i="45"/>
  <c r="K65" i="45"/>
  <c r="I65" i="45"/>
  <c r="S65" i="45"/>
  <c r="J65" i="45"/>
  <c r="L65" i="45"/>
  <c r="M65" i="45"/>
  <c r="H65" i="45"/>
  <c r="N65" i="45"/>
  <c r="P65" i="45"/>
  <c r="Q65" i="45"/>
  <c r="M56" i="45"/>
  <c r="I56" i="45"/>
  <c r="R56" i="45"/>
  <c r="J56" i="45"/>
  <c r="K56" i="45"/>
  <c r="L56" i="45"/>
  <c r="N56" i="45"/>
  <c r="P56" i="45"/>
  <c r="Q56" i="45"/>
  <c r="S56" i="45"/>
  <c r="Q41" i="45"/>
  <c r="M97" i="46"/>
  <c r="G97" i="46"/>
  <c r="P97" i="46"/>
  <c r="H97" i="46"/>
  <c r="Q97" i="46"/>
  <c r="I97" i="46"/>
  <c r="R97" i="46"/>
  <c r="J97" i="46"/>
  <c r="K97" i="46"/>
  <c r="L97" i="46"/>
  <c r="N97" i="46"/>
  <c r="S97" i="46"/>
  <c r="M179" i="44"/>
  <c r="M177" i="44"/>
  <c r="K171" i="44"/>
  <c r="S171" i="44"/>
  <c r="G169" i="44"/>
  <c r="O169" i="44"/>
  <c r="L164" i="44"/>
  <c r="M162" i="44"/>
  <c r="I154" i="44"/>
  <c r="Q154" i="44"/>
  <c r="M147" i="44"/>
  <c r="M145" i="44"/>
  <c r="K139" i="44"/>
  <c r="S139" i="44"/>
  <c r="G137" i="44"/>
  <c r="O137" i="44"/>
  <c r="Q133" i="44"/>
  <c r="L132" i="44"/>
  <c r="M130" i="44"/>
  <c r="I122" i="44"/>
  <c r="Q122" i="44"/>
  <c r="P120" i="44"/>
  <c r="G120" i="44"/>
  <c r="P118" i="44"/>
  <c r="H115" i="44"/>
  <c r="J97" i="44"/>
  <c r="P93" i="44"/>
  <c r="S74" i="44"/>
  <c r="Q68" i="44"/>
  <c r="Q63" i="44"/>
  <c r="S58" i="44"/>
  <c r="Q52" i="44"/>
  <c r="Q47" i="44"/>
  <c r="S42" i="44"/>
  <c r="Q36" i="44"/>
  <c r="Q31" i="44"/>
  <c r="S26" i="44"/>
  <c r="Q20" i="44"/>
  <c r="G189" i="45"/>
  <c r="O189" i="45"/>
  <c r="H189" i="45"/>
  <c r="P189" i="45"/>
  <c r="I189" i="45"/>
  <c r="Q189" i="45"/>
  <c r="J189" i="45"/>
  <c r="R189" i="45"/>
  <c r="K169" i="45"/>
  <c r="S169" i="45"/>
  <c r="L169" i="45"/>
  <c r="I169" i="45"/>
  <c r="J169" i="45"/>
  <c r="M169" i="45"/>
  <c r="N169" i="45"/>
  <c r="H18" i="45"/>
  <c r="N18" i="45"/>
  <c r="R18" i="45"/>
  <c r="G176" i="46"/>
  <c r="N176" i="46"/>
  <c r="P176" i="46"/>
  <c r="R176" i="46"/>
  <c r="J176" i="46"/>
  <c r="L176" i="46"/>
  <c r="G166" i="46"/>
  <c r="J166" i="46"/>
  <c r="L166" i="46"/>
  <c r="N166" i="46"/>
  <c r="P166" i="46"/>
  <c r="G133" i="44"/>
  <c r="O133" i="44"/>
  <c r="I118" i="44"/>
  <c r="Q118" i="44"/>
  <c r="G82" i="44"/>
  <c r="L82" i="44"/>
  <c r="H74" i="44"/>
  <c r="P74" i="44"/>
  <c r="I74" i="44"/>
  <c r="Q74" i="44"/>
  <c r="L68" i="44"/>
  <c r="M68" i="44"/>
  <c r="J63" i="44"/>
  <c r="R63" i="44"/>
  <c r="K63" i="44"/>
  <c r="S63" i="44"/>
  <c r="H58" i="44"/>
  <c r="P58" i="44"/>
  <c r="I58" i="44"/>
  <c r="Q58" i="44"/>
  <c r="L52" i="44"/>
  <c r="M52" i="44"/>
  <c r="J47" i="44"/>
  <c r="R47" i="44"/>
  <c r="K47" i="44"/>
  <c r="S47" i="44"/>
  <c r="H42" i="44"/>
  <c r="P42" i="44"/>
  <c r="I42" i="44"/>
  <c r="Q42" i="44"/>
  <c r="L36" i="44"/>
  <c r="M36" i="44"/>
  <c r="J31" i="44"/>
  <c r="R31" i="44"/>
  <c r="K31" i="44"/>
  <c r="S31" i="44"/>
  <c r="H26" i="44"/>
  <c r="P26" i="44"/>
  <c r="I26" i="44"/>
  <c r="Q26" i="44"/>
  <c r="L20" i="44"/>
  <c r="M20" i="44"/>
  <c r="A4" i="44"/>
  <c r="G193" i="45"/>
  <c r="H193" i="45"/>
  <c r="P193" i="45"/>
  <c r="I193" i="45"/>
  <c r="Q193" i="45"/>
  <c r="J193" i="45"/>
  <c r="R193" i="45"/>
  <c r="I186" i="45"/>
  <c r="Q186" i="45"/>
  <c r="J186" i="45"/>
  <c r="R186" i="45"/>
  <c r="K186" i="45"/>
  <c r="S186" i="45"/>
  <c r="L186" i="45"/>
  <c r="H175" i="45"/>
  <c r="P175" i="45"/>
  <c r="G175" i="45"/>
  <c r="Q175" i="45"/>
  <c r="I175" i="45"/>
  <c r="R175" i="45"/>
  <c r="J175" i="45"/>
  <c r="S175" i="45"/>
  <c r="K175" i="45"/>
  <c r="H97" i="45"/>
  <c r="P97" i="45"/>
  <c r="I97" i="45"/>
  <c r="Q97" i="45"/>
  <c r="J97" i="45"/>
  <c r="R97" i="45"/>
  <c r="K97" i="45"/>
  <c r="S97" i="45"/>
  <c r="N97" i="45"/>
  <c r="O97" i="45"/>
  <c r="J86" i="45"/>
  <c r="R86" i="45"/>
  <c r="K86" i="45"/>
  <c r="S86" i="45"/>
  <c r="L86" i="45"/>
  <c r="M86" i="45"/>
  <c r="H86" i="45"/>
  <c r="I86" i="45"/>
  <c r="N86" i="45"/>
  <c r="O86" i="45"/>
  <c r="G41" i="45"/>
  <c r="O41" i="45"/>
  <c r="I41" i="45"/>
  <c r="R41" i="45"/>
  <c r="J41" i="45"/>
  <c r="S41" i="45"/>
  <c r="L41" i="45"/>
  <c r="M41" i="45"/>
  <c r="N41" i="45"/>
  <c r="P41" i="45"/>
  <c r="H20" i="45"/>
  <c r="N20" i="45"/>
  <c r="R20" i="45"/>
  <c r="J20" i="45"/>
  <c r="J7" i="45"/>
  <c r="N7" i="45"/>
  <c r="R7" i="45"/>
  <c r="J176" i="45"/>
  <c r="R176" i="45"/>
  <c r="S172" i="45"/>
  <c r="I172" i="45"/>
  <c r="I168" i="45"/>
  <c r="Q168" i="45"/>
  <c r="J168" i="45"/>
  <c r="R168" i="45"/>
  <c r="I165" i="45"/>
  <c r="K161" i="45"/>
  <c r="S161" i="45"/>
  <c r="L161" i="45"/>
  <c r="L159" i="45"/>
  <c r="I157" i="45"/>
  <c r="L156" i="45"/>
  <c r="L155" i="45"/>
  <c r="I153" i="45"/>
  <c r="L152" i="45"/>
  <c r="L151" i="45"/>
  <c r="I149" i="45"/>
  <c r="L148" i="45"/>
  <c r="L147" i="45"/>
  <c r="I145" i="45"/>
  <c r="L144" i="45"/>
  <c r="L143" i="45"/>
  <c r="I141" i="45"/>
  <c r="L140" i="45"/>
  <c r="L139" i="45"/>
  <c r="I137" i="45"/>
  <c r="L136" i="45"/>
  <c r="L135" i="45"/>
  <c r="I133" i="45"/>
  <c r="L132" i="45"/>
  <c r="R130" i="45"/>
  <c r="L128" i="45"/>
  <c r="H125" i="45"/>
  <c r="R125" i="45"/>
  <c r="R118" i="45"/>
  <c r="H115" i="45"/>
  <c r="N115" i="45"/>
  <c r="R115" i="45"/>
  <c r="M101" i="45"/>
  <c r="M93" i="45"/>
  <c r="M85" i="45"/>
  <c r="M77" i="45"/>
  <c r="P42" i="45"/>
  <c r="I101" i="46"/>
  <c r="Q101" i="46"/>
  <c r="J101" i="46"/>
  <c r="R101" i="46"/>
  <c r="G101" i="46"/>
  <c r="S101" i="46"/>
  <c r="H101" i="46"/>
  <c r="K101" i="46"/>
  <c r="L101" i="46"/>
  <c r="N101" i="46"/>
  <c r="O101" i="46"/>
  <c r="P101" i="46"/>
  <c r="M203" i="45"/>
  <c r="M199" i="45"/>
  <c r="M195" i="45"/>
  <c r="M191" i="45"/>
  <c r="M187" i="45"/>
  <c r="H179" i="45"/>
  <c r="P179" i="45"/>
  <c r="N176" i="45"/>
  <c r="Q172" i="45"/>
  <c r="H172" i="45"/>
  <c r="O168" i="45"/>
  <c r="R165" i="45"/>
  <c r="H165" i="45"/>
  <c r="O161" i="45"/>
  <c r="K159" i="45"/>
  <c r="H157" i="45"/>
  <c r="H156" i="45"/>
  <c r="K155" i="45"/>
  <c r="H153" i="45"/>
  <c r="H152" i="45"/>
  <c r="K151" i="45"/>
  <c r="H149" i="45"/>
  <c r="H148" i="45"/>
  <c r="K147" i="45"/>
  <c r="H145" i="45"/>
  <c r="H144" i="45"/>
  <c r="K143" i="45"/>
  <c r="H141" i="45"/>
  <c r="H140" i="45"/>
  <c r="K139" i="45"/>
  <c r="H137" i="45"/>
  <c r="H136" i="45"/>
  <c r="K135" i="45"/>
  <c r="H133" i="45"/>
  <c r="H132" i="45"/>
  <c r="P130" i="45"/>
  <c r="J128" i="45"/>
  <c r="J118" i="45"/>
  <c r="J112" i="45"/>
  <c r="G110" i="45"/>
  <c r="H110" i="45"/>
  <c r="J110" i="45"/>
  <c r="L110" i="45"/>
  <c r="N110" i="45"/>
  <c r="J106" i="45"/>
  <c r="R106" i="45"/>
  <c r="K106" i="45"/>
  <c r="S106" i="45"/>
  <c r="L106" i="45"/>
  <c r="M106" i="45"/>
  <c r="L101" i="45"/>
  <c r="J98" i="45"/>
  <c r="R98" i="45"/>
  <c r="K98" i="45"/>
  <c r="S98" i="45"/>
  <c r="L98" i="45"/>
  <c r="M98" i="45"/>
  <c r="L93" i="45"/>
  <c r="J90" i="45"/>
  <c r="R90" i="45"/>
  <c r="K90" i="45"/>
  <c r="S90" i="45"/>
  <c r="L90" i="45"/>
  <c r="M90" i="45"/>
  <c r="L85" i="45"/>
  <c r="J82" i="45"/>
  <c r="R82" i="45"/>
  <c r="K82" i="45"/>
  <c r="S82" i="45"/>
  <c r="L82" i="45"/>
  <c r="M82" i="45"/>
  <c r="L77" i="45"/>
  <c r="J74" i="45"/>
  <c r="R74" i="45"/>
  <c r="K74" i="45"/>
  <c r="S74" i="45"/>
  <c r="L74" i="45"/>
  <c r="M74" i="45"/>
  <c r="L69" i="45"/>
  <c r="K59" i="45"/>
  <c r="S59" i="45"/>
  <c r="M59" i="45"/>
  <c r="I59" i="45"/>
  <c r="J59" i="45"/>
  <c r="L59" i="45"/>
  <c r="N59" i="45"/>
  <c r="H42" i="45"/>
  <c r="G37" i="45"/>
  <c r="O37" i="45"/>
  <c r="J37" i="45"/>
  <c r="S37" i="45"/>
  <c r="K37" i="45"/>
  <c r="M37" i="45"/>
  <c r="N37" i="45"/>
  <c r="P37" i="45"/>
  <c r="Q37" i="45"/>
  <c r="G192" i="46"/>
  <c r="P192" i="46"/>
  <c r="R192" i="46"/>
  <c r="L192" i="46"/>
  <c r="N192" i="46"/>
  <c r="N147" i="46"/>
  <c r="P147" i="46"/>
  <c r="R147" i="46"/>
  <c r="H147" i="46"/>
  <c r="J147" i="46"/>
  <c r="L147" i="46"/>
  <c r="N144" i="46"/>
  <c r="J140" i="46"/>
  <c r="N140" i="46"/>
  <c r="R140" i="46"/>
  <c r="G113" i="46"/>
  <c r="R113" i="46"/>
  <c r="N113" i="46"/>
  <c r="P113" i="46"/>
  <c r="H113" i="46"/>
  <c r="J113" i="46"/>
  <c r="L113" i="46"/>
  <c r="N181" i="45"/>
  <c r="N179" i="45"/>
  <c r="M176" i="45"/>
  <c r="P172" i="45"/>
  <c r="N168" i="45"/>
  <c r="G167" i="45"/>
  <c r="O167" i="45"/>
  <c r="H167" i="45"/>
  <c r="P167" i="45"/>
  <c r="Q165" i="45"/>
  <c r="N161" i="45"/>
  <c r="I160" i="45"/>
  <c r="Q160" i="45"/>
  <c r="J160" i="45"/>
  <c r="R160" i="45"/>
  <c r="R157" i="45"/>
  <c r="R153" i="45"/>
  <c r="R149" i="45"/>
  <c r="R145" i="45"/>
  <c r="R141" i="45"/>
  <c r="R137" i="45"/>
  <c r="R133" i="45"/>
  <c r="Q106" i="45"/>
  <c r="Q98" i="45"/>
  <c r="Q90" i="45"/>
  <c r="Q82" i="45"/>
  <c r="Q74" i="45"/>
  <c r="K67" i="45"/>
  <c r="J67" i="45"/>
  <c r="S67" i="45"/>
  <c r="I67" i="45"/>
  <c r="L67" i="45"/>
  <c r="M67" i="45"/>
  <c r="N67" i="45"/>
  <c r="I62" i="45"/>
  <c r="Q62" i="45"/>
  <c r="G62" i="45"/>
  <c r="P62" i="45"/>
  <c r="J62" i="45"/>
  <c r="K62" i="45"/>
  <c r="L62" i="45"/>
  <c r="M62" i="45"/>
  <c r="G45" i="45"/>
  <c r="O45" i="45"/>
  <c r="H45" i="45"/>
  <c r="Q45" i="45"/>
  <c r="L45" i="45"/>
  <c r="M45" i="45"/>
  <c r="N45" i="45"/>
  <c r="P45" i="45"/>
  <c r="R21" i="45"/>
  <c r="H21" i="45"/>
  <c r="J21" i="45"/>
  <c r="L21" i="45"/>
  <c r="N21" i="45"/>
  <c r="P21" i="45"/>
  <c r="G201" i="46"/>
  <c r="R201" i="46"/>
  <c r="J201" i="46"/>
  <c r="L201" i="46"/>
  <c r="N201" i="46"/>
  <c r="P201" i="46"/>
  <c r="J144" i="46"/>
  <c r="J172" i="45"/>
  <c r="R172" i="45"/>
  <c r="K165" i="45"/>
  <c r="S165" i="45"/>
  <c r="L165" i="45"/>
  <c r="G159" i="45"/>
  <c r="O159" i="45"/>
  <c r="H159" i="45"/>
  <c r="P159" i="45"/>
  <c r="I159" i="45"/>
  <c r="K157" i="45"/>
  <c r="S157" i="45"/>
  <c r="L157" i="45"/>
  <c r="M157" i="45"/>
  <c r="I156" i="45"/>
  <c r="Q156" i="45"/>
  <c r="J156" i="45"/>
  <c r="R156" i="45"/>
  <c r="K156" i="45"/>
  <c r="S156" i="45"/>
  <c r="G155" i="45"/>
  <c r="O155" i="45"/>
  <c r="H155" i="45"/>
  <c r="P155" i="45"/>
  <c r="I155" i="45"/>
  <c r="Q155" i="45"/>
  <c r="K153" i="45"/>
  <c r="S153" i="45"/>
  <c r="L153" i="45"/>
  <c r="M153" i="45"/>
  <c r="I152" i="45"/>
  <c r="Q152" i="45"/>
  <c r="J152" i="45"/>
  <c r="R152" i="45"/>
  <c r="K152" i="45"/>
  <c r="S152" i="45"/>
  <c r="G151" i="45"/>
  <c r="O151" i="45"/>
  <c r="H151" i="45"/>
  <c r="P151" i="45"/>
  <c r="I151" i="45"/>
  <c r="Q151" i="45"/>
  <c r="K149" i="45"/>
  <c r="S149" i="45"/>
  <c r="L149" i="45"/>
  <c r="M149" i="45"/>
  <c r="I148" i="45"/>
  <c r="Q148" i="45"/>
  <c r="J148" i="45"/>
  <c r="R148" i="45"/>
  <c r="K148" i="45"/>
  <c r="S148" i="45"/>
  <c r="G147" i="45"/>
  <c r="O147" i="45"/>
  <c r="H147" i="45"/>
  <c r="P147" i="45"/>
  <c r="I147" i="45"/>
  <c r="Q147" i="45"/>
  <c r="K145" i="45"/>
  <c r="S145" i="45"/>
  <c r="L145" i="45"/>
  <c r="M145" i="45"/>
  <c r="I144" i="45"/>
  <c r="Q144" i="45"/>
  <c r="J144" i="45"/>
  <c r="R144" i="45"/>
  <c r="K144" i="45"/>
  <c r="S144" i="45"/>
  <c r="G143" i="45"/>
  <c r="O143" i="45"/>
  <c r="H143" i="45"/>
  <c r="P143" i="45"/>
  <c r="I143" i="45"/>
  <c r="Q143" i="45"/>
  <c r="K141" i="45"/>
  <c r="S141" i="45"/>
  <c r="L141" i="45"/>
  <c r="M141" i="45"/>
  <c r="I140" i="45"/>
  <c r="Q140" i="45"/>
  <c r="J140" i="45"/>
  <c r="R140" i="45"/>
  <c r="K140" i="45"/>
  <c r="S140" i="45"/>
  <c r="G139" i="45"/>
  <c r="O139" i="45"/>
  <c r="H139" i="45"/>
  <c r="P139" i="45"/>
  <c r="I139" i="45"/>
  <c r="Q139" i="45"/>
  <c r="K137" i="45"/>
  <c r="S137" i="45"/>
  <c r="L137" i="45"/>
  <c r="M137" i="45"/>
  <c r="I136" i="45"/>
  <c r="Q136" i="45"/>
  <c r="J136" i="45"/>
  <c r="R136" i="45"/>
  <c r="K136" i="45"/>
  <c r="S136" i="45"/>
  <c r="G135" i="45"/>
  <c r="O135" i="45"/>
  <c r="H135" i="45"/>
  <c r="P135" i="45"/>
  <c r="I135" i="45"/>
  <c r="Q135" i="45"/>
  <c r="K133" i="45"/>
  <c r="S133" i="45"/>
  <c r="L133" i="45"/>
  <c r="M133" i="45"/>
  <c r="I132" i="45"/>
  <c r="Q132" i="45"/>
  <c r="J132" i="45"/>
  <c r="R132" i="45"/>
  <c r="K132" i="45"/>
  <c r="S132" i="45"/>
  <c r="H130" i="45"/>
  <c r="J130" i="45"/>
  <c r="L130" i="45"/>
  <c r="N128" i="45"/>
  <c r="P128" i="45"/>
  <c r="R128" i="45"/>
  <c r="L118" i="45"/>
  <c r="N118" i="45"/>
  <c r="P118" i="45"/>
  <c r="L112" i="45"/>
  <c r="N112" i="45"/>
  <c r="P112" i="45"/>
  <c r="R112" i="45"/>
  <c r="H101" i="45"/>
  <c r="P101" i="45"/>
  <c r="I101" i="45"/>
  <c r="Q101" i="45"/>
  <c r="J101" i="45"/>
  <c r="R101" i="45"/>
  <c r="K101" i="45"/>
  <c r="S101" i="45"/>
  <c r="H93" i="45"/>
  <c r="P93" i="45"/>
  <c r="I93" i="45"/>
  <c r="Q93" i="45"/>
  <c r="J93" i="45"/>
  <c r="R93" i="45"/>
  <c r="K93" i="45"/>
  <c r="S93" i="45"/>
  <c r="H85" i="45"/>
  <c r="P85" i="45"/>
  <c r="I85" i="45"/>
  <c r="Q85" i="45"/>
  <c r="J85" i="45"/>
  <c r="R85" i="45"/>
  <c r="K85" i="45"/>
  <c r="S85" i="45"/>
  <c r="H77" i="45"/>
  <c r="P77" i="45"/>
  <c r="I77" i="45"/>
  <c r="Q77" i="45"/>
  <c r="J77" i="45"/>
  <c r="R77" i="45"/>
  <c r="K77" i="45"/>
  <c r="S77" i="45"/>
  <c r="H69" i="45"/>
  <c r="P69" i="45"/>
  <c r="I69" i="45"/>
  <c r="Q69" i="45"/>
  <c r="J69" i="45"/>
  <c r="R69" i="45"/>
  <c r="K69" i="45"/>
  <c r="S69" i="45"/>
  <c r="I42" i="45"/>
  <c r="Q42" i="45"/>
  <c r="M42" i="45"/>
  <c r="N42" i="45"/>
  <c r="J42" i="45"/>
  <c r="K42" i="45"/>
  <c r="L42" i="45"/>
  <c r="O42" i="45"/>
  <c r="J15" i="45"/>
  <c r="N15" i="45"/>
  <c r="P15" i="45"/>
  <c r="G167" i="46"/>
  <c r="L167" i="46"/>
  <c r="N167" i="46"/>
  <c r="P167" i="46"/>
  <c r="R167" i="46"/>
  <c r="H167" i="46"/>
  <c r="J167" i="46"/>
  <c r="J159" i="46"/>
  <c r="L159" i="46"/>
  <c r="N159" i="46"/>
  <c r="P159" i="46"/>
  <c r="R159" i="46"/>
  <c r="H149" i="46"/>
  <c r="J149" i="46"/>
  <c r="L149" i="46"/>
  <c r="N149" i="46"/>
  <c r="P149" i="46"/>
  <c r="R149" i="46"/>
  <c r="L115" i="46"/>
  <c r="N115" i="46"/>
  <c r="J115" i="46"/>
  <c r="P115" i="46"/>
  <c r="R115" i="46"/>
  <c r="H115" i="46"/>
  <c r="J120" i="45"/>
  <c r="L109" i="45"/>
  <c r="J108" i="45"/>
  <c r="Q104" i="45"/>
  <c r="I104" i="45"/>
  <c r="Q100" i="45"/>
  <c r="I100" i="45"/>
  <c r="Q96" i="45"/>
  <c r="I96" i="45"/>
  <c r="Q92" i="45"/>
  <c r="I92" i="45"/>
  <c r="Q88" i="45"/>
  <c r="I88" i="45"/>
  <c r="Q84" i="45"/>
  <c r="I84" i="45"/>
  <c r="Q80" i="45"/>
  <c r="I80" i="45"/>
  <c r="Q76" i="45"/>
  <c r="I76" i="45"/>
  <c r="Q72" i="45"/>
  <c r="I72" i="45"/>
  <c r="Q68" i="45"/>
  <c r="I68" i="45"/>
  <c r="M64" i="45"/>
  <c r="G64" i="45"/>
  <c r="P64" i="45"/>
  <c r="I63" i="45"/>
  <c r="G61" i="45"/>
  <c r="O61" i="45"/>
  <c r="L61" i="45"/>
  <c r="J60" i="45"/>
  <c r="I58" i="45"/>
  <c r="Q58" i="45"/>
  <c r="H58" i="45"/>
  <c r="R58" i="45"/>
  <c r="J57" i="45"/>
  <c r="K54" i="45"/>
  <c r="I50" i="45"/>
  <c r="Q50" i="45"/>
  <c r="K50" i="45"/>
  <c r="M48" i="45"/>
  <c r="K48" i="45"/>
  <c r="I47" i="45"/>
  <c r="S44" i="45"/>
  <c r="I44" i="45"/>
  <c r="L39" i="45"/>
  <c r="J33" i="45"/>
  <c r="K32" i="45"/>
  <c r="I31" i="45"/>
  <c r="I29" i="45"/>
  <c r="L26" i="45"/>
  <c r="H24" i="45"/>
  <c r="N24" i="45"/>
  <c r="R24" i="45"/>
  <c r="G199" i="46"/>
  <c r="N199" i="46"/>
  <c r="P199" i="46"/>
  <c r="R199" i="46"/>
  <c r="G183" i="46"/>
  <c r="L183" i="46"/>
  <c r="N183" i="46"/>
  <c r="P183" i="46"/>
  <c r="R183" i="46"/>
  <c r="H183" i="46"/>
  <c r="J183" i="46"/>
  <c r="G173" i="46"/>
  <c r="H173" i="46"/>
  <c r="J173" i="46"/>
  <c r="L173" i="46"/>
  <c r="N173" i="46"/>
  <c r="Q108" i="46"/>
  <c r="J127" i="45"/>
  <c r="J109" i="45"/>
  <c r="H108" i="45"/>
  <c r="P104" i="45"/>
  <c r="H104" i="45"/>
  <c r="P100" i="45"/>
  <c r="H100" i="45"/>
  <c r="P96" i="45"/>
  <c r="H96" i="45"/>
  <c r="P92" i="45"/>
  <c r="H92" i="45"/>
  <c r="P88" i="45"/>
  <c r="H88" i="45"/>
  <c r="P84" i="45"/>
  <c r="H84" i="45"/>
  <c r="P80" i="45"/>
  <c r="H80" i="45"/>
  <c r="P76" i="45"/>
  <c r="H76" i="45"/>
  <c r="P72" i="45"/>
  <c r="H72" i="45"/>
  <c r="P68" i="45"/>
  <c r="H68" i="45"/>
  <c r="O64" i="45"/>
  <c r="R63" i="45"/>
  <c r="H63" i="45"/>
  <c r="P61" i="45"/>
  <c r="S60" i="45"/>
  <c r="I60" i="45"/>
  <c r="O58" i="45"/>
  <c r="S57" i="45"/>
  <c r="I57" i="45"/>
  <c r="K55" i="45"/>
  <c r="S55" i="45"/>
  <c r="N55" i="45"/>
  <c r="H54" i="45"/>
  <c r="M52" i="45"/>
  <c r="J52" i="45"/>
  <c r="S52" i="45"/>
  <c r="O50" i="45"/>
  <c r="O48" i="45"/>
  <c r="R47" i="45"/>
  <c r="R44" i="45"/>
  <c r="H44" i="45"/>
  <c r="H39" i="45"/>
  <c r="I33" i="45"/>
  <c r="H31" i="45"/>
  <c r="I30" i="45"/>
  <c r="Q30" i="45"/>
  <c r="G30" i="45"/>
  <c r="P30" i="45"/>
  <c r="H30" i="45"/>
  <c r="R30" i="45"/>
  <c r="J30" i="45"/>
  <c r="S30" i="45"/>
  <c r="M28" i="45"/>
  <c r="H28" i="45"/>
  <c r="Q28" i="45"/>
  <c r="I28" i="45"/>
  <c r="R28" i="45"/>
  <c r="J28" i="45"/>
  <c r="S28" i="45"/>
  <c r="N17" i="45"/>
  <c r="P17" i="45"/>
  <c r="H17" i="45"/>
  <c r="J17" i="45"/>
  <c r="L17" i="45"/>
  <c r="G198" i="46"/>
  <c r="L198" i="46"/>
  <c r="N198" i="46"/>
  <c r="H198" i="46"/>
  <c r="J198" i="46"/>
  <c r="P198" i="46"/>
  <c r="R198" i="46"/>
  <c r="G196" i="46"/>
  <c r="H196" i="46"/>
  <c r="J196" i="46"/>
  <c r="P196" i="46"/>
  <c r="R196" i="46"/>
  <c r="R182" i="46"/>
  <c r="J138" i="46"/>
  <c r="N138" i="46"/>
  <c r="R138" i="46"/>
  <c r="N108" i="46"/>
  <c r="H109" i="45"/>
  <c r="O104" i="45"/>
  <c r="O100" i="45"/>
  <c r="O96" i="45"/>
  <c r="O92" i="45"/>
  <c r="O88" i="45"/>
  <c r="O84" i="45"/>
  <c r="O80" i="45"/>
  <c r="O76" i="45"/>
  <c r="O72" i="45"/>
  <c r="O68" i="45"/>
  <c r="Q63" i="45"/>
  <c r="R60" i="45"/>
  <c r="R57" i="45"/>
  <c r="R54" i="45"/>
  <c r="K47" i="45"/>
  <c r="S47" i="45"/>
  <c r="G47" i="45"/>
  <c r="P47" i="45"/>
  <c r="Q44" i="45"/>
  <c r="M32" i="45"/>
  <c r="G32" i="45"/>
  <c r="P32" i="45"/>
  <c r="H32" i="45"/>
  <c r="Q32" i="45"/>
  <c r="I32" i="45"/>
  <c r="R32" i="45"/>
  <c r="G29" i="45"/>
  <c r="O29" i="45"/>
  <c r="L29" i="45"/>
  <c r="M29" i="45"/>
  <c r="N29" i="45"/>
  <c r="I26" i="45"/>
  <c r="Q26" i="45"/>
  <c r="H26" i="45"/>
  <c r="R26" i="45"/>
  <c r="J26" i="45"/>
  <c r="S26" i="45"/>
  <c r="K26" i="45"/>
  <c r="P8" i="45"/>
  <c r="R8" i="45"/>
  <c r="H8" i="45"/>
  <c r="J8" i="45"/>
  <c r="L8" i="45"/>
  <c r="N8" i="45"/>
  <c r="H160" i="46"/>
  <c r="R160" i="46"/>
  <c r="J160" i="46"/>
  <c r="N160" i="46"/>
  <c r="L153" i="46"/>
  <c r="N153" i="46"/>
  <c r="P153" i="46"/>
  <c r="R153" i="46"/>
  <c r="J153" i="46"/>
  <c r="H120" i="46"/>
  <c r="N120" i="46"/>
  <c r="R120" i="46"/>
  <c r="I87" i="46"/>
  <c r="Q87" i="46"/>
  <c r="J87" i="46"/>
  <c r="S87" i="46"/>
  <c r="K87" i="46"/>
  <c r="L87" i="46"/>
  <c r="G87" i="46"/>
  <c r="H87" i="46"/>
  <c r="M87" i="46"/>
  <c r="N87" i="46"/>
  <c r="P87" i="46"/>
  <c r="R87" i="46"/>
  <c r="K63" i="45"/>
  <c r="S63" i="45"/>
  <c r="L63" i="45"/>
  <c r="M60" i="45"/>
  <c r="H60" i="45"/>
  <c r="Q60" i="45"/>
  <c r="G57" i="45"/>
  <c r="O57" i="45"/>
  <c r="M57" i="45"/>
  <c r="I54" i="45"/>
  <c r="Q54" i="45"/>
  <c r="J54" i="45"/>
  <c r="S54" i="45"/>
  <c r="M44" i="45"/>
  <c r="L44" i="45"/>
  <c r="K39" i="45"/>
  <c r="S39" i="45"/>
  <c r="I39" i="45"/>
  <c r="R39" i="45"/>
  <c r="J39" i="45"/>
  <c r="G33" i="45"/>
  <c r="O33" i="45"/>
  <c r="K33" i="45"/>
  <c r="L33" i="45"/>
  <c r="M33" i="45"/>
  <c r="K31" i="45"/>
  <c r="S31" i="45"/>
  <c r="L31" i="45"/>
  <c r="M31" i="45"/>
  <c r="N31" i="45"/>
  <c r="A4" i="45"/>
  <c r="G189" i="46"/>
  <c r="J189" i="46"/>
  <c r="L189" i="46"/>
  <c r="N189" i="46"/>
  <c r="P189" i="46"/>
  <c r="R189" i="46"/>
  <c r="G182" i="46"/>
  <c r="J182" i="46"/>
  <c r="L182" i="46"/>
  <c r="N182" i="46"/>
  <c r="P182" i="46"/>
  <c r="P137" i="46"/>
  <c r="J137" i="46"/>
  <c r="L137" i="46"/>
  <c r="N137" i="46"/>
  <c r="R137" i="46"/>
  <c r="G108" i="46"/>
  <c r="O108" i="46"/>
  <c r="H108" i="46"/>
  <c r="P108" i="46"/>
  <c r="I108" i="46"/>
  <c r="S108" i="46"/>
  <c r="J108" i="46"/>
  <c r="K108" i="46"/>
  <c r="L108" i="46"/>
  <c r="R108" i="46"/>
  <c r="G190" i="46"/>
  <c r="L190" i="46"/>
  <c r="N190" i="46"/>
  <c r="G175" i="46"/>
  <c r="L175" i="46"/>
  <c r="N175" i="46"/>
  <c r="P175" i="46"/>
  <c r="R175" i="46"/>
  <c r="N127" i="46"/>
  <c r="L127" i="46"/>
  <c r="P127" i="46"/>
  <c r="R127" i="46"/>
  <c r="G112" i="46"/>
  <c r="P112" i="46"/>
  <c r="R112" i="46"/>
  <c r="H112" i="46"/>
  <c r="J112" i="46"/>
  <c r="L112" i="46"/>
  <c r="N112" i="46"/>
  <c r="I83" i="46"/>
  <c r="Q83" i="46"/>
  <c r="K83" i="46"/>
  <c r="L83" i="46"/>
  <c r="M83" i="46"/>
  <c r="N83" i="46"/>
  <c r="O83" i="46"/>
  <c r="P83" i="46"/>
  <c r="R83" i="46"/>
  <c r="S83" i="46"/>
  <c r="K76" i="46"/>
  <c r="S76" i="46"/>
  <c r="H76" i="46"/>
  <c r="Q76" i="46"/>
  <c r="I76" i="46"/>
  <c r="R76" i="46"/>
  <c r="J76" i="46"/>
  <c r="L76" i="46"/>
  <c r="O76" i="46"/>
  <c r="P76" i="46"/>
  <c r="K27" i="45"/>
  <c r="S27" i="45"/>
  <c r="N14" i="45"/>
  <c r="P14" i="45"/>
  <c r="G197" i="46"/>
  <c r="J197" i="46"/>
  <c r="L197" i="46"/>
  <c r="G193" i="46"/>
  <c r="R193" i="46"/>
  <c r="G184" i="46"/>
  <c r="N184" i="46"/>
  <c r="P184" i="46"/>
  <c r="R184" i="46"/>
  <c r="G168" i="46"/>
  <c r="N168" i="46"/>
  <c r="P168" i="46"/>
  <c r="R168" i="46"/>
  <c r="H150" i="46"/>
  <c r="N150" i="46"/>
  <c r="R150" i="46"/>
  <c r="J143" i="46"/>
  <c r="L143" i="46"/>
  <c r="N143" i="46"/>
  <c r="P143" i="46"/>
  <c r="N132" i="46"/>
  <c r="R132" i="46"/>
  <c r="H129" i="46"/>
  <c r="J129" i="46"/>
  <c r="L129" i="46"/>
  <c r="N129" i="46"/>
  <c r="P129" i="46"/>
  <c r="I105" i="46"/>
  <c r="Q105" i="46"/>
  <c r="J105" i="46"/>
  <c r="R105" i="46"/>
  <c r="L105" i="46"/>
  <c r="M105" i="46"/>
  <c r="N105" i="46"/>
  <c r="O105" i="46"/>
  <c r="I38" i="45"/>
  <c r="Q38" i="45"/>
  <c r="N27" i="45"/>
  <c r="L23" i="45"/>
  <c r="N23" i="45"/>
  <c r="G204" i="46"/>
  <c r="H204" i="46"/>
  <c r="J204" i="46"/>
  <c r="G200" i="46"/>
  <c r="P200" i="46"/>
  <c r="R200" i="46"/>
  <c r="G188" i="46"/>
  <c r="H188" i="46"/>
  <c r="J188" i="46"/>
  <c r="G181" i="46"/>
  <c r="H181" i="46"/>
  <c r="J181" i="46"/>
  <c r="L181" i="46"/>
  <c r="N181" i="46"/>
  <c r="G165" i="46"/>
  <c r="H165" i="46"/>
  <c r="J165" i="46"/>
  <c r="L165" i="46"/>
  <c r="N165" i="46"/>
  <c r="N163" i="46"/>
  <c r="P163" i="46"/>
  <c r="R163" i="46"/>
  <c r="H156" i="46"/>
  <c r="J156" i="46"/>
  <c r="N156" i="46"/>
  <c r="R156" i="46"/>
  <c r="L126" i="46"/>
  <c r="H126" i="46"/>
  <c r="J126" i="46"/>
  <c r="N126" i="46"/>
  <c r="P126" i="46"/>
  <c r="J98" i="46"/>
  <c r="R98" i="46"/>
  <c r="K98" i="46"/>
  <c r="S98" i="46"/>
  <c r="L98" i="46"/>
  <c r="H98" i="46"/>
  <c r="I98" i="46"/>
  <c r="M98" i="46"/>
  <c r="N98" i="46"/>
  <c r="K96" i="46"/>
  <c r="S96" i="46"/>
  <c r="L96" i="46"/>
  <c r="M96" i="46"/>
  <c r="N96" i="46"/>
  <c r="H96" i="46"/>
  <c r="I96" i="46"/>
  <c r="J96" i="46"/>
  <c r="O96" i="46"/>
  <c r="G94" i="46"/>
  <c r="O94" i="46"/>
  <c r="L94" i="46"/>
  <c r="M94" i="46"/>
  <c r="N94" i="46"/>
  <c r="H94" i="46"/>
  <c r="I94" i="46"/>
  <c r="J94" i="46"/>
  <c r="K94" i="46"/>
  <c r="I66" i="45"/>
  <c r="Q66" i="45"/>
  <c r="K51" i="45"/>
  <c r="S51" i="45"/>
  <c r="G49" i="45"/>
  <c r="O49" i="45"/>
  <c r="N40" i="45"/>
  <c r="N38" i="45"/>
  <c r="I34" i="45"/>
  <c r="Q34" i="45"/>
  <c r="M27" i="45"/>
  <c r="H19" i="45"/>
  <c r="J19" i="45"/>
  <c r="J10" i="45"/>
  <c r="L10" i="45"/>
  <c r="G191" i="46"/>
  <c r="N191" i="46"/>
  <c r="P191" i="46"/>
  <c r="G174" i="46"/>
  <c r="J174" i="46"/>
  <c r="L174" i="46"/>
  <c r="N174" i="46"/>
  <c r="P174" i="46"/>
  <c r="H118" i="46"/>
  <c r="N118" i="46"/>
  <c r="K106" i="46"/>
  <c r="S106" i="46"/>
  <c r="L106" i="46"/>
  <c r="H106" i="46"/>
  <c r="R106" i="46"/>
  <c r="I106" i="46"/>
  <c r="J106" i="46"/>
  <c r="M106" i="46"/>
  <c r="M64" i="46"/>
  <c r="L64" i="46"/>
  <c r="N64" i="46"/>
  <c r="H64" i="46"/>
  <c r="S64" i="46"/>
  <c r="I64" i="46"/>
  <c r="J64" i="46"/>
  <c r="K64" i="46"/>
  <c r="O64" i="46"/>
  <c r="P64" i="46"/>
  <c r="Q64" i="46"/>
  <c r="R64" i="46"/>
  <c r="L180" i="46"/>
  <c r="L172" i="46"/>
  <c r="R162" i="46"/>
  <c r="L155" i="46"/>
  <c r="R146" i="46"/>
  <c r="L139" i="46"/>
  <c r="R134" i="46"/>
  <c r="L131" i="46"/>
  <c r="G124" i="46"/>
  <c r="H124" i="46"/>
  <c r="R122" i="46"/>
  <c r="L119" i="46"/>
  <c r="G110" i="46"/>
  <c r="L110" i="46"/>
  <c r="M110" i="46"/>
  <c r="H109" i="46"/>
  <c r="R102" i="46"/>
  <c r="H102" i="46"/>
  <c r="M95" i="46"/>
  <c r="L93" i="46"/>
  <c r="H89" i="46"/>
  <c r="N71" i="46"/>
  <c r="K63" i="46"/>
  <c r="S63" i="46"/>
  <c r="L63" i="46"/>
  <c r="G63" i="46"/>
  <c r="Q63" i="46"/>
  <c r="H63" i="46"/>
  <c r="R63" i="46"/>
  <c r="I63" i="46"/>
  <c r="J63" i="46"/>
  <c r="M63" i="46"/>
  <c r="N63" i="46"/>
  <c r="G61" i="46"/>
  <c r="O61" i="46"/>
  <c r="H61" i="46"/>
  <c r="P61" i="46"/>
  <c r="M61" i="46"/>
  <c r="N61" i="46"/>
  <c r="I61" i="46"/>
  <c r="J61" i="46"/>
  <c r="K61" i="46"/>
  <c r="L61" i="46"/>
  <c r="H18" i="46"/>
  <c r="P18" i="46"/>
  <c r="I18" i="46"/>
  <c r="Q18" i="46"/>
  <c r="J18" i="46"/>
  <c r="R18" i="46"/>
  <c r="K18" i="46"/>
  <c r="S18" i="46"/>
  <c r="N18" i="46"/>
  <c r="O18" i="46"/>
  <c r="O25" i="45"/>
  <c r="J16" i="45"/>
  <c r="H203" i="46"/>
  <c r="H195" i="46"/>
  <c r="H187" i="46"/>
  <c r="J180" i="46"/>
  <c r="H179" i="46"/>
  <c r="J172" i="46"/>
  <c r="H171" i="46"/>
  <c r="N162" i="46"/>
  <c r="J155" i="46"/>
  <c r="J152" i="46"/>
  <c r="N146" i="46"/>
  <c r="J139" i="46"/>
  <c r="N134" i="46"/>
  <c r="J131" i="46"/>
  <c r="N122" i="46"/>
  <c r="J119" i="46"/>
  <c r="P110" i="46"/>
  <c r="S109" i="46"/>
  <c r="G104" i="46"/>
  <c r="O104" i="46"/>
  <c r="H104" i="46"/>
  <c r="P104" i="46"/>
  <c r="Q102" i="46"/>
  <c r="L95" i="46"/>
  <c r="K93" i="46"/>
  <c r="G74" i="46"/>
  <c r="O74" i="46"/>
  <c r="I74" i="46"/>
  <c r="R74" i="46"/>
  <c r="J74" i="46"/>
  <c r="S74" i="46"/>
  <c r="K74" i="46"/>
  <c r="L74" i="46"/>
  <c r="R185" i="46"/>
  <c r="H180" i="46"/>
  <c r="R177" i="46"/>
  <c r="H172" i="46"/>
  <c r="R169" i="46"/>
  <c r="J162" i="46"/>
  <c r="J146" i="46"/>
  <c r="H131" i="46"/>
  <c r="G125" i="46"/>
  <c r="J125" i="46"/>
  <c r="J122" i="46"/>
  <c r="H119" i="46"/>
  <c r="I109" i="46"/>
  <c r="Q109" i="46"/>
  <c r="J109" i="46"/>
  <c r="R109" i="46"/>
  <c r="K102" i="46"/>
  <c r="S102" i="46"/>
  <c r="L102" i="46"/>
  <c r="M89" i="46"/>
  <c r="I89" i="46"/>
  <c r="R89" i="46"/>
  <c r="J89" i="46"/>
  <c r="S89" i="46"/>
  <c r="K89" i="46"/>
  <c r="H71" i="46"/>
  <c r="P71" i="46"/>
  <c r="I71" i="46"/>
  <c r="Q71" i="46"/>
  <c r="J71" i="46"/>
  <c r="K71" i="46"/>
  <c r="L71" i="46"/>
  <c r="M71" i="46"/>
  <c r="J68" i="46"/>
  <c r="R68" i="46"/>
  <c r="K68" i="46"/>
  <c r="S68" i="46"/>
  <c r="L68" i="46"/>
  <c r="M68" i="46"/>
  <c r="N68" i="46"/>
  <c r="O68" i="46"/>
  <c r="I54" i="46"/>
  <c r="Q54" i="46"/>
  <c r="J54" i="46"/>
  <c r="R54" i="46"/>
  <c r="H54" i="46"/>
  <c r="K54" i="46"/>
  <c r="L54" i="46"/>
  <c r="M54" i="46"/>
  <c r="N54" i="46"/>
  <c r="O54" i="46"/>
  <c r="P54" i="46"/>
  <c r="S54" i="46"/>
  <c r="I95" i="46"/>
  <c r="Q95" i="46"/>
  <c r="G95" i="46"/>
  <c r="P95" i="46"/>
  <c r="H95" i="46"/>
  <c r="R95" i="46"/>
  <c r="J95" i="46"/>
  <c r="S95" i="46"/>
  <c r="M93" i="46"/>
  <c r="H93" i="46"/>
  <c r="Q93" i="46"/>
  <c r="I93" i="46"/>
  <c r="R93" i="46"/>
  <c r="J93" i="46"/>
  <c r="S93" i="46"/>
  <c r="K47" i="46"/>
  <c r="S47" i="46"/>
  <c r="L47" i="46"/>
  <c r="H47" i="46"/>
  <c r="R47" i="46"/>
  <c r="I47" i="46"/>
  <c r="J47" i="46"/>
  <c r="M47" i="46"/>
  <c r="G47" i="46"/>
  <c r="N47" i="46"/>
  <c r="O47" i="46"/>
  <c r="P47" i="46"/>
  <c r="J31" i="46"/>
  <c r="R31" i="46"/>
  <c r="K31" i="46"/>
  <c r="S31" i="46"/>
  <c r="L31" i="46"/>
  <c r="M31" i="46"/>
  <c r="N31" i="46"/>
  <c r="O31" i="46"/>
  <c r="P31" i="46"/>
  <c r="Q31" i="46"/>
  <c r="I79" i="46"/>
  <c r="Q79" i="46"/>
  <c r="K67" i="46"/>
  <c r="G67" i="46"/>
  <c r="P67" i="46"/>
  <c r="H67" i="46"/>
  <c r="Q67" i="46"/>
  <c r="G49" i="46"/>
  <c r="O49" i="46"/>
  <c r="H49" i="46"/>
  <c r="P49" i="46"/>
  <c r="I49" i="46"/>
  <c r="S49" i="46"/>
  <c r="J49" i="46"/>
  <c r="K49" i="46"/>
  <c r="L49" i="46"/>
  <c r="M34" i="46"/>
  <c r="R111" i="46"/>
  <c r="H111" i="46"/>
  <c r="P100" i="46"/>
  <c r="H100" i="46"/>
  <c r="K92" i="46"/>
  <c r="S92" i="46"/>
  <c r="G90" i="46"/>
  <c r="O90" i="46"/>
  <c r="P88" i="46"/>
  <c r="Q86" i="46"/>
  <c r="Q84" i="46"/>
  <c r="H84" i="46"/>
  <c r="R82" i="46"/>
  <c r="I82" i="46"/>
  <c r="N81" i="46"/>
  <c r="N79" i="46"/>
  <c r="I75" i="46"/>
  <c r="Q75" i="46"/>
  <c r="L73" i="46"/>
  <c r="M73" i="46"/>
  <c r="H72" i="46"/>
  <c r="R67" i="46"/>
  <c r="S66" i="46"/>
  <c r="L57" i="46"/>
  <c r="J53" i="46"/>
  <c r="H30" i="46"/>
  <c r="P30" i="46"/>
  <c r="I30" i="46"/>
  <c r="Q30" i="46"/>
  <c r="J30" i="46"/>
  <c r="R30" i="46"/>
  <c r="K30" i="46"/>
  <c r="S30" i="46"/>
  <c r="L30" i="46"/>
  <c r="M30" i="46"/>
  <c r="N30" i="46"/>
  <c r="O30" i="46"/>
  <c r="O100" i="46"/>
  <c r="K88" i="46"/>
  <c r="S88" i="46"/>
  <c r="G86" i="46"/>
  <c r="O86" i="46"/>
  <c r="P84" i="46"/>
  <c r="Q82" i="46"/>
  <c r="L81" i="46"/>
  <c r="M79" i="46"/>
  <c r="Q72" i="46"/>
  <c r="O67" i="46"/>
  <c r="I66" i="46"/>
  <c r="Q66" i="46"/>
  <c r="L66" i="46"/>
  <c r="M66" i="46"/>
  <c r="G65" i="46"/>
  <c r="O65" i="46"/>
  <c r="H65" i="46"/>
  <c r="Q65" i="46"/>
  <c r="I65" i="46"/>
  <c r="R65" i="46"/>
  <c r="K59" i="46"/>
  <c r="S59" i="46"/>
  <c r="L59" i="46"/>
  <c r="M59" i="46"/>
  <c r="N59" i="46"/>
  <c r="I46" i="46"/>
  <c r="Q46" i="46"/>
  <c r="J46" i="46"/>
  <c r="R46" i="46"/>
  <c r="L46" i="46"/>
  <c r="M46" i="46"/>
  <c r="N46" i="46"/>
  <c r="O46" i="46"/>
  <c r="L13" i="46"/>
  <c r="N13" i="46"/>
  <c r="P13" i="46"/>
  <c r="R13" i="46"/>
  <c r="J13" i="46"/>
  <c r="K84" i="46"/>
  <c r="S84" i="46"/>
  <c r="G82" i="46"/>
  <c r="O82" i="46"/>
  <c r="K81" i="46"/>
  <c r="L79" i="46"/>
  <c r="J72" i="46"/>
  <c r="R72" i="46"/>
  <c r="K72" i="46"/>
  <c r="S72" i="46"/>
  <c r="N67" i="46"/>
  <c r="G57" i="46"/>
  <c r="O57" i="46"/>
  <c r="H57" i="46"/>
  <c r="P57" i="46"/>
  <c r="I57" i="46"/>
  <c r="S57" i="46"/>
  <c r="J57" i="46"/>
  <c r="G53" i="46"/>
  <c r="O53" i="46"/>
  <c r="H53" i="46"/>
  <c r="P53" i="46"/>
  <c r="L53" i="46"/>
  <c r="M53" i="46"/>
  <c r="N53" i="46"/>
  <c r="Q53" i="46"/>
  <c r="H34" i="46"/>
  <c r="P34" i="46"/>
  <c r="I34" i="46"/>
  <c r="Q34" i="46"/>
  <c r="J34" i="46"/>
  <c r="R34" i="46"/>
  <c r="K34" i="46"/>
  <c r="S34" i="46"/>
  <c r="N34" i="46"/>
  <c r="O34" i="46"/>
  <c r="O70" i="46"/>
  <c r="I58" i="46"/>
  <c r="Q58" i="46"/>
  <c r="J58" i="46"/>
  <c r="R58" i="46"/>
  <c r="I55" i="46"/>
  <c r="K51" i="46"/>
  <c r="S51" i="46"/>
  <c r="L51" i="46"/>
  <c r="H50" i="46"/>
  <c r="S45" i="46"/>
  <c r="J43" i="46"/>
  <c r="R43" i="46"/>
  <c r="K43" i="46"/>
  <c r="S43" i="46"/>
  <c r="L43" i="46"/>
  <c r="H42" i="46"/>
  <c r="P42" i="46"/>
  <c r="I42" i="46"/>
  <c r="Q42" i="46"/>
  <c r="J42" i="46"/>
  <c r="R42" i="46"/>
  <c r="M26" i="46"/>
  <c r="I23" i="46"/>
  <c r="N14" i="46"/>
  <c r="R55" i="46"/>
  <c r="H55" i="46"/>
  <c r="S50" i="46"/>
  <c r="G45" i="46"/>
  <c r="O45" i="46"/>
  <c r="H45" i="46"/>
  <c r="P45" i="46"/>
  <c r="J39" i="46"/>
  <c r="R39" i="46"/>
  <c r="K39" i="46"/>
  <c r="S39" i="46"/>
  <c r="L39" i="46"/>
  <c r="H38" i="46"/>
  <c r="P38" i="46"/>
  <c r="I38" i="46"/>
  <c r="Q38" i="46"/>
  <c r="J38" i="46"/>
  <c r="R38" i="46"/>
  <c r="J35" i="46"/>
  <c r="R35" i="46"/>
  <c r="K35" i="46"/>
  <c r="S35" i="46"/>
  <c r="L35" i="46"/>
  <c r="M35" i="46"/>
  <c r="H22" i="46"/>
  <c r="P22" i="46"/>
  <c r="I22" i="46"/>
  <c r="Q22" i="46"/>
  <c r="J22" i="46"/>
  <c r="R22" i="46"/>
  <c r="K22" i="46"/>
  <c r="S22" i="46"/>
  <c r="J19" i="46"/>
  <c r="R19" i="46"/>
  <c r="K19" i="46"/>
  <c r="S19" i="46"/>
  <c r="L19" i="46"/>
  <c r="M19" i="46"/>
  <c r="J14" i="46"/>
  <c r="H10" i="46"/>
  <c r="N10" i="46"/>
  <c r="R10" i="46"/>
  <c r="L7" i="46"/>
  <c r="Q55" i="46"/>
  <c r="I50" i="46"/>
  <c r="Q50" i="46"/>
  <c r="J50" i="46"/>
  <c r="R50" i="46"/>
  <c r="J7" i="46"/>
  <c r="K55" i="46"/>
  <c r="S55" i="46"/>
  <c r="L55" i="46"/>
  <c r="H26" i="46"/>
  <c r="P26" i="46"/>
  <c r="I26" i="46"/>
  <c r="Q26" i="46"/>
  <c r="J26" i="46"/>
  <c r="R26" i="46"/>
  <c r="K26" i="46"/>
  <c r="S26" i="46"/>
  <c r="J23" i="46"/>
  <c r="R23" i="46"/>
  <c r="K23" i="46"/>
  <c r="S23" i="46"/>
  <c r="L23" i="46"/>
  <c r="M23" i="46"/>
  <c r="N7" i="46"/>
  <c r="P7" i="46"/>
  <c r="R7" i="46"/>
  <c r="R6" i="46"/>
  <c r="J5" i="46"/>
  <c r="P41" i="46"/>
  <c r="H41" i="46"/>
  <c r="P37" i="46"/>
  <c r="H37" i="46"/>
  <c r="P33" i="46"/>
  <c r="H33" i="46"/>
  <c r="P29" i="46"/>
  <c r="H29" i="46"/>
  <c r="P25" i="46"/>
  <c r="H25" i="46"/>
  <c r="P21" i="46"/>
  <c r="H21" i="46"/>
  <c r="P17" i="46"/>
  <c r="H17" i="46"/>
  <c r="J15" i="46"/>
  <c r="J12" i="46"/>
  <c r="N6" i="46"/>
  <c r="H5" i="46"/>
  <c r="O41" i="46"/>
  <c r="O37" i="46"/>
  <c r="O33" i="46"/>
  <c r="O29" i="46"/>
  <c r="O25" i="46"/>
  <c r="O21" i="46"/>
  <c r="O17" i="46"/>
  <c r="S15" i="46"/>
  <c r="A4" i="46"/>
  <c r="S204" i="46"/>
  <c r="Q204" i="46"/>
  <c r="O204" i="46"/>
  <c r="M204" i="46"/>
  <c r="K204" i="46"/>
  <c r="I204" i="46"/>
  <c r="S203" i="46"/>
  <c r="Q203" i="46"/>
  <c r="O203" i="46"/>
  <c r="M203" i="46"/>
  <c r="K203" i="46"/>
  <c r="I203" i="46"/>
  <c r="S202" i="46"/>
  <c r="Q202" i="46"/>
  <c r="O202" i="46"/>
  <c r="M202" i="46"/>
  <c r="K202" i="46"/>
  <c r="I202" i="46"/>
  <c r="S201" i="46"/>
  <c r="Q201" i="46"/>
  <c r="O201" i="46"/>
  <c r="M201" i="46"/>
  <c r="K201" i="46"/>
  <c r="I201" i="46"/>
  <c r="S200" i="46"/>
  <c r="Q200" i="46"/>
  <c r="O200" i="46"/>
  <c r="M200" i="46"/>
  <c r="K200" i="46"/>
  <c r="I200" i="46"/>
  <c r="S199" i="46"/>
  <c r="Q199" i="46"/>
  <c r="O199" i="46"/>
  <c r="M199" i="46"/>
  <c r="K199" i="46"/>
  <c r="I199" i="46"/>
  <c r="S198" i="46"/>
  <c r="Q198" i="46"/>
  <c r="O198" i="46"/>
  <c r="M198" i="46"/>
  <c r="K198" i="46"/>
  <c r="I198" i="46"/>
  <c r="S197" i="46"/>
  <c r="Q197" i="46"/>
  <c r="O197" i="46"/>
  <c r="M197" i="46"/>
  <c r="K197" i="46"/>
  <c r="I197" i="46"/>
  <c r="S196" i="46"/>
  <c r="Q196" i="46"/>
  <c r="O196" i="46"/>
  <c r="M196" i="46"/>
  <c r="K196" i="46"/>
  <c r="I196" i="46"/>
  <c r="S195" i="46"/>
  <c r="Q195" i="46"/>
  <c r="O195" i="46"/>
  <c r="M195" i="46"/>
  <c r="K195" i="46"/>
  <c r="I195" i="46"/>
  <c r="S194" i="46"/>
  <c r="Q194" i="46"/>
  <c r="O194" i="46"/>
  <c r="M194" i="46"/>
  <c r="K194" i="46"/>
  <c r="I194" i="46"/>
  <c r="S193" i="46"/>
  <c r="Q193" i="46"/>
  <c r="O193" i="46"/>
  <c r="M193" i="46"/>
  <c r="K193" i="46"/>
  <c r="I193" i="46"/>
  <c r="S192" i="46"/>
  <c r="Q192" i="46"/>
  <c r="O192" i="46"/>
  <c r="M192" i="46"/>
  <c r="K192" i="46"/>
  <c r="I192" i="46"/>
  <c r="S191" i="46"/>
  <c r="Q191" i="46"/>
  <c r="O191" i="46"/>
  <c r="M191" i="46"/>
  <c r="K191" i="46"/>
  <c r="I191" i="46"/>
  <c r="S190" i="46"/>
  <c r="Q190" i="46"/>
  <c r="O190" i="46"/>
  <c r="M190" i="46"/>
  <c r="K190" i="46"/>
  <c r="I190" i="46"/>
  <c r="S189" i="46"/>
  <c r="Q189" i="46"/>
  <c r="O189" i="46"/>
  <c r="M189" i="46"/>
  <c r="K189" i="46"/>
  <c r="I189" i="46"/>
  <c r="S188" i="46"/>
  <c r="Q188" i="46"/>
  <c r="O188" i="46"/>
  <c r="M188" i="46"/>
  <c r="K188" i="46"/>
  <c r="I188" i="46"/>
  <c r="S187" i="46"/>
  <c r="Q187" i="46"/>
  <c r="O187" i="46"/>
  <c r="M187" i="46"/>
  <c r="K187" i="46"/>
  <c r="I187" i="46"/>
  <c r="S186" i="46"/>
  <c r="Q186" i="46"/>
  <c r="O186" i="46"/>
  <c r="M186" i="46"/>
  <c r="K186" i="46"/>
  <c r="I186" i="46"/>
  <c r="S185" i="46"/>
  <c r="Q185" i="46"/>
  <c r="O185" i="46"/>
  <c r="M185" i="46"/>
  <c r="K185" i="46"/>
  <c r="I185" i="46"/>
  <c r="S184" i="46"/>
  <c r="Q184" i="46"/>
  <c r="O184" i="46"/>
  <c r="M184" i="46"/>
  <c r="K184" i="46"/>
  <c r="I184" i="46"/>
  <c r="S183" i="46"/>
  <c r="Q183" i="46"/>
  <c r="O183" i="46"/>
  <c r="M183" i="46"/>
  <c r="K183" i="46"/>
  <c r="I183" i="46"/>
  <c r="S182" i="46"/>
  <c r="Q182" i="46"/>
  <c r="O182" i="46"/>
  <c r="M182" i="46"/>
  <c r="K182" i="46"/>
  <c r="I182" i="46"/>
  <c r="S181" i="46"/>
  <c r="Q181" i="46"/>
  <c r="O181" i="46"/>
  <c r="M181" i="46"/>
  <c r="K181" i="46"/>
  <c r="I181" i="46"/>
  <c r="S180" i="46"/>
  <c r="Q180" i="46"/>
  <c r="O180" i="46"/>
  <c r="M180" i="46"/>
  <c r="K180" i="46"/>
  <c r="I180" i="46"/>
  <c r="S179" i="46"/>
  <c r="Q179" i="46"/>
  <c r="O179" i="46"/>
  <c r="M179" i="46"/>
  <c r="K179" i="46"/>
  <c r="I179" i="46"/>
  <c r="S178" i="46"/>
  <c r="Q178" i="46"/>
  <c r="O178" i="46"/>
  <c r="M178" i="46"/>
  <c r="K178" i="46"/>
  <c r="I178" i="46"/>
  <c r="S177" i="46"/>
  <c r="Q177" i="46"/>
  <c r="O177" i="46"/>
  <c r="M177" i="46"/>
  <c r="K177" i="46"/>
  <c r="I177" i="46"/>
  <c r="S176" i="46"/>
  <c r="Q176" i="46"/>
  <c r="O176" i="46"/>
  <c r="M176" i="46"/>
  <c r="K176" i="46"/>
  <c r="I176" i="46"/>
  <c r="S175" i="46"/>
  <c r="Q175" i="46"/>
  <c r="O175" i="46"/>
  <c r="M175" i="46"/>
  <c r="K175" i="46"/>
  <c r="I175" i="46"/>
  <c r="S174" i="46"/>
  <c r="Q174" i="46"/>
  <c r="O174" i="46"/>
  <c r="M174" i="46"/>
  <c r="K174" i="46"/>
  <c r="I174" i="46"/>
  <c r="S173" i="46"/>
  <c r="Q173" i="46"/>
  <c r="O173" i="46"/>
  <c r="M173" i="46"/>
  <c r="K173" i="46"/>
  <c r="I173" i="46"/>
  <c r="S172" i="46"/>
  <c r="Q172" i="46"/>
  <c r="O172" i="46"/>
  <c r="M172" i="46"/>
  <c r="K172" i="46"/>
  <c r="I172" i="46"/>
  <c r="S171" i="46"/>
  <c r="Q171" i="46"/>
  <c r="O171" i="46"/>
  <c r="M171" i="46"/>
  <c r="K171" i="46"/>
  <c r="I171" i="46"/>
  <c r="S170" i="46"/>
  <c r="Q170" i="46"/>
  <c r="O170" i="46"/>
  <c r="M170" i="46"/>
  <c r="K170" i="46"/>
  <c r="I170" i="46"/>
  <c r="S169" i="46"/>
  <c r="Q169" i="46"/>
  <c r="O169" i="46"/>
  <c r="M169" i="46"/>
  <c r="K169" i="46"/>
  <c r="I169" i="46"/>
  <c r="S168" i="46"/>
  <c r="Q168" i="46"/>
  <c r="O168" i="46"/>
  <c r="M168" i="46"/>
  <c r="K168" i="46"/>
  <c r="I168" i="46"/>
  <c r="S167" i="46"/>
  <c r="Q167" i="46"/>
  <c r="O167" i="46"/>
  <c r="M167" i="46"/>
  <c r="K167" i="46"/>
  <c r="I167" i="46"/>
  <c r="S166" i="46"/>
  <c r="Q166" i="46"/>
  <c r="O166" i="46"/>
  <c r="M166" i="46"/>
  <c r="K166" i="46"/>
  <c r="I166" i="46"/>
  <c r="S165" i="46"/>
  <c r="Q165" i="46"/>
  <c r="O165" i="46"/>
  <c r="M165" i="46"/>
  <c r="K165" i="46"/>
  <c r="I165" i="46"/>
  <c r="S164" i="46"/>
  <c r="P164" i="46"/>
  <c r="L164" i="46"/>
  <c r="G163" i="46"/>
  <c r="I163" i="46"/>
  <c r="K163" i="46"/>
  <c r="M163" i="46"/>
  <c r="O163" i="46"/>
  <c r="Q163" i="46"/>
  <c r="S163" i="46"/>
  <c r="P162" i="46"/>
  <c r="L162" i="46"/>
  <c r="G161" i="46"/>
  <c r="I161" i="46"/>
  <c r="K161" i="46"/>
  <c r="M161" i="46"/>
  <c r="O161" i="46"/>
  <c r="Q161" i="46"/>
  <c r="S161" i="46"/>
  <c r="P160" i="46"/>
  <c r="L160" i="46"/>
  <c r="G159" i="46"/>
  <c r="I159" i="46"/>
  <c r="K159" i="46"/>
  <c r="M159" i="46"/>
  <c r="O159" i="46"/>
  <c r="Q159" i="46"/>
  <c r="S159" i="46"/>
  <c r="P158" i="46"/>
  <c r="L158" i="46"/>
  <c r="G157" i="46"/>
  <c r="I157" i="46"/>
  <c r="K157" i="46"/>
  <c r="M157" i="46"/>
  <c r="O157" i="46"/>
  <c r="Q157" i="46"/>
  <c r="S157" i="46"/>
  <c r="P156" i="46"/>
  <c r="L156" i="46"/>
  <c r="G155" i="46"/>
  <c r="I155" i="46"/>
  <c r="K155" i="46"/>
  <c r="M155" i="46"/>
  <c r="O155" i="46"/>
  <c r="Q155" i="46"/>
  <c r="S155" i="46"/>
  <c r="P154" i="46"/>
  <c r="L154" i="46"/>
  <c r="G153" i="46"/>
  <c r="I153" i="46"/>
  <c r="K153" i="46"/>
  <c r="M153" i="46"/>
  <c r="O153" i="46"/>
  <c r="Q153" i="46"/>
  <c r="S153" i="46"/>
  <c r="P152" i="46"/>
  <c r="L152" i="46"/>
  <c r="G151" i="46"/>
  <c r="I151" i="46"/>
  <c r="K151" i="46"/>
  <c r="M151" i="46"/>
  <c r="O151" i="46"/>
  <c r="Q151" i="46"/>
  <c r="S151" i="46"/>
  <c r="P150" i="46"/>
  <c r="L150" i="46"/>
  <c r="G149" i="46"/>
  <c r="I149" i="46"/>
  <c r="K149" i="46"/>
  <c r="M149" i="46"/>
  <c r="O149" i="46"/>
  <c r="Q149" i="46"/>
  <c r="S149" i="46"/>
  <c r="P148" i="46"/>
  <c r="L148" i="46"/>
  <c r="G147" i="46"/>
  <c r="I147" i="46"/>
  <c r="K147" i="46"/>
  <c r="M147" i="46"/>
  <c r="O147" i="46"/>
  <c r="Q147" i="46"/>
  <c r="S147" i="46"/>
  <c r="P146" i="46"/>
  <c r="L146" i="46"/>
  <c r="G145" i="46"/>
  <c r="I145" i="46"/>
  <c r="K145" i="46"/>
  <c r="M145" i="46"/>
  <c r="O145" i="46"/>
  <c r="Q145" i="46"/>
  <c r="S145" i="46"/>
  <c r="G164" i="46"/>
  <c r="I164" i="46"/>
  <c r="K164" i="46"/>
  <c r="M164" i="46"/>
  <c r="O164" i="46"/>
  <c r="Q164" i="46"/>
  <c r="G162" i="46"/>
  <c r="I162" i="46"/>
  <c r="K162" i="46"/>
  <c r="M162" i="46"/>
  <c r="O162" i="46"/>
  <c r="Q162" i="46"/>
  <c r="S162" i="46"/>
  <c r="G160" i="46"/>
  <c r="I160" i="46"/>
  <c r="K160" i="46"/>
  <c r="M160" i="46"/>
  <c r="O160" i="46"/>
  <c r="Q160" i="46"/>
  <c r="S160" i="46"/>
  <c r="G158" i="46"/>
  <c r="I158" i="46"/>
  <c r="K158" i="46"/>
  <c r="M158" i="46"/>
  <c r="O158" i="46"/>
  <c r="Q158" i="46"/>
  <c r="S158" i="46"/>
  <c r="G156" i="46"/>
  <c r="I156" i="46"/>
  <c r="K156" i="46"/>
  <c r="M156" i="46"/>
  <c r="O156" i="46"/>
  <c r="Q156" i="46"/>
  <c r="S156" i="46"/>
  <c r="G154" i="46"/>
  <c r="I154" i="46"/>
  <c r="K154" i="46"/>
  <c r="M154" i="46"/>
  <c r="O154" i="46"/>
  <c r="Q154" i="46"/>
  <c r="S154" i="46"/>
  <c r="G152" i="46"/>
  <c r="I152" i="46"/>
  <c r="K152" i="46"/>
  <c r="M152" i="46"/>
  <c r="O152" i="46"/>
  <c r="Q152" i="46"/>
  <c r="S152" i="46"/>
  <c r="G150" i="46"/>
  <c r="I150" i="46"/>
  <c r="K150" i="46"/>
  <c r="M150" i="46"/>
  <c r="O150" i="46"/>
  <c r="Q150" i="46"/>
  <c r="S150" i="46"/>
  <c r="G148" i="46"/>
  <c r="I148" i="46"/>
  <c r="K148" i="46"/>
  <c r="M148" i="46"/>
  <c r="O148" i="46"/>
  <c r="Q148" i="46"/>
  <c r="S148" i="46"/>
  <c r="G146" i="46"/>
  <c r="I146" i="46"/>
  <c r="K146" i="46"/>
  <c r="M146" i="46"/>
  <c r="O146" i="46"/>
  <c r="Q146" i="46"/>
  <c r="S146" i="46"/>
  <c r="G144" i="46"/>
  <c r="I144" i="46"/>
  <c r="K144" i="46"/>
  <c r="M144" i="46"/>
  <c r="O144" i="46"/>
  <c r="Q144" i="46"/>
  <c r="G142" i="46"/>
  <c r="I142" i="46"/>
  <c r="K142" i="46"/>
  <c r="M142" i="46"/>
  <c r="O142" i="46"/>
  <c r="Q142" i="46"/>
  <c r="S142" i="46"/>
  <c r="G140" i="46"/>
  <c r="I140" i="46"/>
  <c r="K140" i="46"/>
  <c r="M140" i="46"/>
  <c r="O140" i="46"/>
  <c r="Q140" i="46"/>
  <c r="S140" i="46"/>
  <c r="G138" i="46"/>
  <c r="I138" i="46"/>
  <c r="K138" i="46"/>
  <c r="M138" i="46"/>
  <c r="O138" i="46"/>
  <c r="Q138" i="46"/>
  <c r="S138" i="46"/>
  <c r="G136" i="46"/>
  <c r="I136" i="46"/>
  <c r="K136" i="46"/>
  <c r="M136" i="46"/>
  <c r="O136" i="46"/>
  <c r="Q136" i="46"/>
  <c r="S136" i="46"/>
  <c r="G134" i="46"/>
  <c r="I134" i="46"/>
  <c r="K134" i="46"/>
  <c r="M134" i="46"/>
  <c r="O134" i="46"/>
  <c r="Q134" i="46"/>
  <c r="S134" i="46"/>
  <c r="G132" i="46"/>
  <c r="I132" i="46"/>
  <c r="K132" i="46"/>
  <c r="M132" i="46"/>
  <c r="O132" i="46"/>
  <c r="Q132" i="46"/>
  <c r="S132" i="46"/>
  <c r="G130" i="46"/>
  <c r="I130" i="46"/>
  <c r="K130" i="46"/>
  <c r="M130" i="46"/>
  <c r="O130" i="46"/>
  <c r="Q130" i="46"/>
  <c r="S130" i="46"/>
  <c r="G128" i="46"/>
  <c r="I128" i="46"/>
  <c r="K128" i="46"/>
  <c r="M128" i="46"/>
  <c r="O128" i="46"/>
  <c r="Q128" i="46"/>
  <c r="S128" i="46"/>
  <c r="G126" i="46"/>
  <c r="I126" i="46"/>
  <c r="K126" i="46"/>
  <c r="M126" i="46"/>
  <c r="O126" i="46"/>
  <c r="Q126" i="46"/>
  <c r="S126" i="46"/>
  <c r="S144" i="46"/>
  <c r="P144" i="46"/>
  <c r="L144" i="46"/>
  <c r="H144" i="46"/>
  <c r="G143" i="46"/>
  <c r="I143" i="46"/>
  <c r="K143" i="46"/>
  <c r="M143" i="46"/>
  <c r="O143" i="46"/>
  <c r="Q143" i="46"/>
  <c r="S143" i="46"/>
  <c r="P142" i="46"/>
  <c r="L142" i="46"/>
  <c r="H142" i="46"/>
  <c r="G141" i="46"/>
  <c r="I141" i="46"/>
  <c r="K141" i="46"/>
  <c r="M141" i="46"/>
  <c r="O141" i="46"/>
  <c r="Q141" i="46"/>
  <c r="S141" i="46"/>
  <c r="P140" i="46"/>
  <c r="L140" i="46"/>
  <c r="H140" i="46"/>
  <c r="G139" i="46"/>
  <c r="I139" i="46"/>
  <c r="K139" i="46"/>
  <c r="M139" i="46"/>
  <c r="O139" i="46"/>
  <c r="Q139" i="46"/>
  <c r="S139" i="46"/>
  <c r="P138" i="46"/>
  <c r="L138" i="46"/>
  <c r="H138" i="46"/>
  <c r="G137" i="46"/>
  <c r="I137" i="46"/>
  <c r="K137" i="46"/>
  <c r="M137" i="46"/>
  <c r="O137" i="46"/>
  <c r="Q137" i="46"/>
  <c r="S137" i="46"/>
  <c r="P136" i="46"/>
  <c r="L136" i="46"/>
  <c r="H136" i="46"/>
  <c r="G135" i="46"/>
  <c r="I135" i="46"/>
  <c r="K135" i="46"/>
  <c r="M135" i="46"/>
  <c r="O135" i="46"/>
  <c r="Q135" i="46"/>
  <c r="S135" i="46"/>
  <c r="P134" i="46"/>
  <c r="L134" i="46"/>
  <c r="H134" i="46"/>
  <c r="G133" i="46"/>
  <c r="I133" i="46"/>
  <c r="K133" i="46"/>
  <c r="M133" i="46"/>
  <c r="O133" i="46"/>
  <c r="Q133" i="46"/>
  <c r="S133" i="46"/>
  <c r="P132" i="46"/>
  <c r="L132" i="46"/>
  <c r="H132" i="46"/>
  <c r="G131" i="46"/>
  <c r="I131" i="46"/>
  <c r="K131" i="46"/>
  <c r="M131" i="46"/>
  <c r="O131" i="46"/>
  <c r="Q131" i="46"/>
  <c r="S131" i="46"/>
  <c r="P130" i="46"/>
  <c r="L130" i="46"/>
  <c r="H130" i="46"/>
  <c r="G129" i="46"/>
  <c r="I129" i="46"/>
  <c r="K129" i="46"/>
  <c r="M129" i="46"/>
  <c r="O129" i="46"/>
  <c r="Q129" i="46"/>
  <c r="S129" i="46"/>
  <c r="P128" i="46"/>
  <c r="L128" i="46"/>
  <c r="H128" i="46"/>
  <c r="G127" i="46"/>
  <c r="I127" i="46"/>
  <c r="K127" i="46"/>
  <c r="M127" i="46"/>
  <c r="O127" i="46"/>
  <c r="Q127" i="46"/>
  <c r="S127" i="46"/>
  <c r="S125" i="46"/>
  <c r="Q125" i="46"/>
  <c r="O125" i="46"/>
  <c r="M125" i="46"/>
  <c r="K125" i="46"/>
  <c r="I125" i="46"/>
  <c r="S124" i="46"/>
  <c r="Q124" i="46"/>
  <c r="O124" i="46"/>
  <c r="M124" i="46"/>
  <c r="K124" i="46"/>
  <c r="I124" i="46"/>
  <c r="S123" i="46"/>
  <c r="Q123" i="46"/>
  <c r="O123" i="46"/>
  <c r="M123" i="46"/>
  <c r="K123" i="46"/>
  <c r="I123" i="46"/>
  <c r="S122" i="46"/>
  <c r="P122" i="46"/>
  <c r="L122" i="46"/>
  <c r="G121" i="46"/>
  <c r="I121" i="46"/>
  <c r="K121" i="46"/>
  <c r="M121" i="46"/>
  <c r="O121" i="46"/>
  <c r="Q121" i="46"/>
  <c r="S121" i="46"/>
  <c r="P120" i="46"/>
  <c r="L120" i="46"/>
  <c r="G119" i="46"/>
  <c r="I119" i="46"/>
  <c r="K119" i="46"/>
  <c r="M119" i="46"/>
  <c r="O119" i="46"/>
  <c r="Q119" i="46"/>
  <c r="S119" i="46"/>
  <c r="P118" i="46"/>
  <c r="L118" i="46"/>
  <c r="G117" i="46"/>
  <c r="I117" i="46"/>
  <c r="K117" i="46"/>
  <c r="M117" i="46"/>
  <c r="O117" i="46"/>
  <c r="Q117" i="46"/>
  <c r="S117" i="46"/>
  <c r="P116" i="46"/>
  <c r="L116" i="46"/>
  <c r="G115" i="46"/>
  <c r="I115" i="46"/>
  <c r="K115" i="46"/>
  <c r="M115" i="46"/>
  <c r="O115" i="46"/>
  <c r="Q115" i="46"/>
  <c r="S115" i="46"/>
  <c r="P114" i="46"/>
  <c r="L114" i="46"/>
  <c r="G122" i="46"/>
  <c r="I122" i="46"/>
  <c r="K122" i="46"/>
  <c r="M122" i="46"/>
  <c r="O122" i="46"/>
  <c r="Q122" i="46"/>
  <c r="G120" i="46"/>
  <c r="I120" i="46"/>
  <c r="K120" i="46"/>
  <c r="M120" i="46"/>
  <c r="O120" i="46"/>
  <c r="Q120" i="46"/>
  <c r="S120" i="46"/>
  <c r="G118" i="46"/>
  <c r="I118" i="46"/>
  <c r="K118" i="46"/>
  <c r="M118" i="46"/>
  <c r="O118" i="46"/>
  <c r="Q118" i="46"/>
  <c r="S118" i="46"/>
  <c r="G116" i="46"/>
  <c r="I116" i="46"/>
  <c r="K116" i="46"/>
  <c r="M116" i="46"/>
  <c r="O116" i="46"/>
  <c r="Q116" i="46"/>
  <c r="S116" i="46"/>
  <c r="G114" i="46"/>
  <c r="I114" i="46"/>
  <c r="K114" i="46"/>
  <c r="M114" i="46"/>
  <c r="O114" i="46"/>
  <c r="Q114" i="46"/>
  <c r="S114" i="46"/>
  <c r="G15" i="46"/>
  <c r="I15" i="46"/>
  <c r="K15" i="46"/>
  <c r="M15" i="46"/>
  <c r="P14" i="46"/>
  <c r="L14" i="46"/>
  <c r="G13" i="46"/>
  <c r="I13" i="46"/>
  <c r="K13" i="46"/>
  <c r="M13" i="46"/>
  <c r="O13" i="46"/>
  <c r="Q13" i="46"/>
  <c r="S13" i="46"/>
  <c r="P12" i="46"/>
  <c r="L12" i="46"/>
  <c r="G11" i="46"/>
  <c r="I11" i="46"/>
  <c r="K11" i="46"/>
  <c r="M11" i="46"/>
  <c r="O11" i="46"/>
  <c r="Q11" i="46"/>
  <c r="S11" i="46"/>
  <c r="P10" i="46"/>
  <c r="L10" i="46"/>
  <c r="G9" i="46"/>
  <c r="I9" i="46"/>
  <c r="K9" i="46"/>
  <c r="M9" i="46"/>
  <c r="O9" i="46"/>
  <c r="Q9" i="46"/>
  <c r="S9" i="46"/>
  <c r="P8" i="46"/>
  <c r="L8" i="46"/>
  <c r="G7" i="46"/>
  <c r="I7" i="46"/>
  <c r="K7" i="46"/>
  <c r="M7" i="46"/>
  <c r="O7" i="46"/>
  <c r="Q7" i="46"/>
  <c r="S7" i="46"/>
  <c r="P6" i="46"/>
  <c r="L6" i="46"/>
  <c r="S113" i="46"/>
  <c r="Q113" i="46"/>
  <c r="O113" i="46"/>
  <c r="M113" i="46"/>
  <c r="K113" i="46"/>
  <c r="I113" i="46"/>
  <c r="S112" i="46"/>
  <c r="Q112" i="46"/>
  <c r="O112" i="46"/>
  <c r="M112" i="46"/>
  <c r="K112" i="46"/>
  <c r="I112" i="46"/>
  <c r="K111" i="46"/>
  <c r="I111" i="46"/>
  <c r="G14" i="46"/>
  <c r="I14" i="46"/>
  <c r="K14" i="46"/>
  <c r="M14" i="46"/>
  <c r="O14" i="46"/>
  <c r="Q14" i="46"/>
  <c r="S14" i="46"/>
  <c r="G12" i="46"/>
  <c r="I12" i="46"/>
  <c r="K12" i="46"/>
  <c r="M12" i="46"/>
  <c r="O12" i="46"/>
  <c r="Q12" i="46"/>
  <c r="S12" i="46"/>
  <c r="G10" i="46"/>
  <c r="I10" i="46"/>
  <c r="K10" i="46"/>
  <c r="M10" i="46"/>
  <c r="O10" i="46"/>
  <c r="Q10" i="46"/>
  <c r="S10" i="46"/>
  <c r="G8" i="46"/>
  <c r="I8" i="46"/>
  <c r="K8" i="46"/>
  <c r="M8" i="46"/>
  <c r="O8" i="46"/>
  <c r="Q8" i="46"/>
  <c r="S8" i="46"/>
  <c r="G6" i="46"/>
  <c r="I6" i="46"/>
  <c r="K6" i="46"/>
  <c r="M6" i="46"/>
  <c r="O6" i="46"/>
  <c r="Q6" i="46"/>
  <c r="S6" i="46"/>
  <c r="S5" i="46"/>
  <c r="Q5" i="46"/>
  <c r="O5" i="46"/>
  <c r="M5" i="46"/>
  <c r="K5" i="46"/>
  <c r="I5" i="46"/>
  <c r="R131" i="45"/>
  <c r="P131" i="45"/>
  <c r="N131" i="45"/>
  <c r="L131" i="45"/>
  <c r="J131" i="45"/>
  <c r="H131" i="45"/>
  <c r="G130" i="45"/>
  <c r="I130" i="45"/>
  <c r="K130" i="45"/>
  <c r="M130" i="45"/>
  <c r="O130" i="45"/>
  <c r="Q130" i="45"/>
  <c r="S130" i="45"/>
  <c r="P129" i="45"/>
  <c r="L129" i="45"/>
  <c r="G128" i="45"/>
  <c r="I128" i="45"/>
  <c r="K128" i="45"/>
  <c r="M128" i="45"/>
  <c r="O128" i="45"/>
  <c r="Q128" i="45"/>
  <c r="S128" i="45"/>
  <c r="P127" i="45"/>
  <c r="L127" i="45"/>
  <c r="G126" i="45"/>
  <c r="I126" i="45"/>
  <c r="K126" i="45"/>
  <c r="M126" i="45"/>
  <c r="O126" i="45"/>
  <c r="Q126" i="45"/>
  <c r="S126" i="45"/>
  <c r="P125" i="45"/>
  <c r="L125" i="45"/>
  <c r="G124" i="45"/>
  <c r="I124" i="45"/>
  <c r="K124" i="45"/>
  <c r="M124" i="45"/>
  <c r="O124" i="45"/>
  <c r="Q124" i="45"/>
  <c r="S124" i="45"/>
  <c r="P123" i="45"/>
  <c r="L123" i="45"/>
  <c r="G122" i="45"/>
  <c r="I122" i="45"/>
  <c r="K122" i="45"/>
  <c r="M122" i="45"/>
  <c r="O122" i="45"/>
  <c r="Q122" i="45"/>
  <c r="S122" i="45"/>
  <c r="P121" i="45"/>
  <c r="L121" i="45"/>
  <c r="G120" i="45"/>
  <c r="I120" i="45"/>
  <c r="K120" i="45"/>
  <c r="M120" i="45"/>
  <c r="O120" i="45"/>
  <c r="Q120" i="45"/>
  <c r="S120" i="45"/>
  <c r="P119" i="45"/>
  <c r="L119" i="45"/>
  <c r="G118" i="45"/>
  <c r="I118" i="45"/>
  <c r="K118" i="45"/>
  <c r="M118" i="45"/>
  <c r="O118" i="45"/>
  <c r="Q118" i="45"/>
  <c r="S118" i="45"/>
  <c r="P117" i="45"/>
  <c r="L117" i="45"/>
  <c r="G116" i="45"/>
  <c r="I116" i="45"/>
  <c r="K116" i="45"/>
  <c r="M116" i="45"/>
  <c r="O116" i="45"/>
  <c r="Q116" i="45"/>
  <c r="S116" i="45"/>
  <c r="P115" i="45"/>
  <c r="L115" i="45"/>
  <c r="G114" i="45"/>
  <c r="I114" i="45"/>
  <c r="K114" i="45"/>
  <c r="M114" i="45"/>
  <c r="O114" i="45"/>
  <c r="Q114" i="45"/>
  <c r="S114" i="45"/>
  <c r="P113" i="45"/>
  <c r="L113" i="45"/>
  <c r="G112" i="45"/>
  <c r="I112" i="45"/>
  <c r="K112" i="45"/>
  <c r="M112" i="45"/>
  <c r="O112" i="45"/>
  <c r="Q112" i="45"/>
  <c r="S112" i="45"/>
  <c r="G129" i="45"/>
  <c r="I129" i="45"/>
  <c r="K129" i="45"/>
  <c r="M129" i="45"/>
  <c r="O129" i="45"/>
  <c r="Q129" i="45"/>
  <c r="S129" i="45"/>
  <c r="G127" i="45"/>
  <c r="I127" i="45"/>
  <c r="K127" i="45"/>
  <c r="M127" i="45"/>
  <c r="O127" i="45"/>
  <c r="Q127" i="45"/>
  <c r="S127" i="45"/>
  <c r="G125" i="45"/>
  <c r="I125" i="45"/>
  <c r="K125" i="45"/>
  <c r="M125" i="45"/>
  <c r="O125" i="45"/>
  <c r="Q125" i="45"/>
  <c r="S125" i="45"/>
  <c r="G123" i="45"/>
  <c r="I123" i="45"/>
  <c r="K123" i="45"/>
  <c r="M123" i="45"/>
  <c r="O123" i="45"/>
  <c r="Q123" i="45"/>
  <c r="S123" i="45"/>
  <c r="G121" i="45"/>
  <c r="I121" i="45"/>
  <c r="K121" i="45"/>
  <c r="M121" i="45"/>
  <c r="O121" i="45"/>
  <c r="Q121" i="45"/>
  <c r="S121" i="45"/>
  <c r="G119" i="45"/>
  <c r="I119" i="45"/>
  <c r="K119" i="45"/>
  <c r="M119" i="45"/>
  <c r="O119" i="45"/>
  <c r="Q119" i="45"/>
  <c r="S119" i="45"/>
  <c r="G117" i="45"/>
  <c r="I117" i="45"/>
  <c r="K117" i="45"/>
  <c r="M117" i="45"/>
  <c r="O117" i="45"/>
  <c r="Q117" i="45"/>
  <c r="S117" i="45"/>
  <c r="G115" i="45"/>
  <c r="I115" i="45"/>
  <c r="K115" i="45"/>
  <c r="M115" i="45"/>
  <c r="O115" i="45"/>
  <c r="Q115" i="45"/>
  <c r="S115" i="45"/>
  <c r="G113" i="45"/>
  <c r="I113" i="45"/>
  <c r="K113" i="45"/>
  <c r="M113" i="45"/>
  <c r="O113" i="45"/>
  <c r="Q113" i="45"/>
  <c r="S113" i="45"/>
  <c r="P24" i="45"/>
  <c r="L24" i="45"/>
  <c r="G23" i="45"/>
  <c r="I23" i="45"/>
  <c r="K23" i="45"/>
  <c r="M23" i="45"/>
  <c r="O23" i="45"/>
  <c r="Q23" i="45"/>
  <c r="S23" i="45"/>
  <c r="P22" i="45"/>
  <c r="L22" i="45"/>
  <c r="G21" i="45"/>
  <c r="I21" i="45"/>
  <c r="K21" i="45"/>
  <c r="M21" i="45"/>
  <c r="O21" i="45"/>
  <c r="Q21" i="45"/>
  <c r="S21" i="45"/>
  <c r="P20" i="45"/>
  <c r="L20" i="45"/>
  <c r="G19" i="45"/>
  <c r="I19" i="45"/>
  <c r="K19" i="45"/>
  <c r="M19" i="45"/>
  <c r="O19" i="45"/>
  <c r="Q19" i="45"/>
  <c r="S19" i="45"/>
  <c r="P18" i="45"/>
  <c r="L18" i="45"/>
  <c r="G17" i="45"/>
  <c r="I17" i="45"/>
  <c r="K17" i="45"/>
  <c r="M17" i="45"/>
  <c r="O17" i="45"/>
  <c r="Q17" i="45"/>
  <c r="S17" i="45"/>
  <c r="P16" i="45"/>
  <c r="L16" i="45"/>
  <c r="S111" i="45"/>
  <c r="Q111" i="45"/>
  <c r="O111" i="45"/>
  <c r="M111" i="45"/>
  <c r="K111" i="45"/>
  <c r="I111" i="45"/>
  <c r="S110" i="45"/>
  <c r="Q110" i="45"/>
  <c r="O110" i="45"/>
  <c r="M110" i="45"/>
  <c r="K110" i="45"/>
  <c r="I110" i="45"/>
  <c r="S109" i="45"/>
  <c r="Q109" i="45"/>
  <c r="O109" i="45"/>
  <c r="M109" i="45"/>
  <c r="K109" i="45"/>
  <c r="I109" i="45"/>
  <c r="S108" i="45"/>
  <c r="Q108" i="45"/>
  <c r="O108" i="45"/>
  <c r="M108" i="45"/>
  <c r="K108" i="45"/>
  <c r="I108" i="45"/>
  <c r="S107" i="45"/>
  <c r="Q107" i="45"/>
  <c r="O107" i="45"/>
  <c r="M107" i="45"/>
  <c r="K107" i="45"/>
  <c r="I107" i="45"/>
  <c r="G24" i="45"/>
  <c r="I24" i="45"/>
  <c r="K24" i="45"/>
  <c r="M24" i="45"/>
  <c r="O24" i="45"/>
  <c r="Q24" i="45"/>
  <c r="S24" i="45"/>
  <c r="G22" i="45"/>
  <c r="I22" i="45"/>
  <c r="K22" i="45"/>
  <c r="M22" i="45"/>
  <c r="O22" i="45"/>
  <c r="Q22" i="45"/>
  <c r="S22" i="45"/>
  <c r="G20" i="45"/>
  <c r="I20" i="45"/>
  <c r="K20" i="45"/>
  <c r="M20" i="45"/>
  <c r="O20" i="45"/>
  <c r="Q20" i="45"/>
  <c r="S20" i="45"/>
  <c r="G18" i="45"/>
  <c r="I18" i="45"/>
  <c r="K18" i="45"/>
  <c r="M18" i="45"/>
  <c r="O18" i="45"/>
  <c r="Q18" i="45"/>
  <c r="S18" i="45"/>
  <c r="G16" i="45"/>
  <c r="I16" i="45"/>
  <c r="K16" i="45"/>
  <c r="M16" i="45"/>
  <c r="O16" i="45"/>
  <c r="Q16" i="45"/>
  <c r="S16" i="45"/>
  <c r="G15" i="45"/>
  <c r="I15" i="45"/>
  <c r="K15" i="45"/>
  <c r="M15" i="45"/>
  <c r="G13" i="45"/>
  <c r="I13" i="45"/>
  <c r="K13" i="45"/>
  <c r="M13" i="45"/>
  <c r="O13" i="45"/>
  <c r="Q13" i="45"/>
  <c r="S13" i="45"/>
  <c r="G11" i="45"/>
  <c r="I11" i="45"/>
  <c r="K11" i="45"/>
  <c r="M11" i="45"/>
  <c r="O11" i="45"/>
  <c r="Q11" i="45"/>
  <c r="S11" i="45"/>
  <c r="G9" i="45"/>
  <c r="I9" i="45"/>
  <c r="K9" i="45"/>
  <c r="M9" i="45"/>
  <c r="O9" i="45"/>
  <c r="Q9" i="45"/>
  <c r="S9" i="45"/>
  <c r="G7" i="45"/>
  <c r="I7" i="45"/>
  <c r="K7" i="45"/>
  <c r="M7" i="45"/>
  <c r="O7" i="45"/>
  <c r="Q7" i="45"/>
  <c r="S7" i="45"/>
  <c r="S15" i="45"/>
  <c r="Q15" i="45"/>
  <c r="O15" i="45"/>
  <c r="L15" i="45"/>
  <c r="H15" i="45"/>
  <c r="G14" i="45"/>
  <c r="I14" i="45"/>
  <c r="K14" i="45"/>
  <c r="M14" i="45"/>
  <c r="O14" i="45"/>
  <c r="Q14" i="45"/>
  <c r="S14" i="45"/>
  <c r="P13" i="45"/>
  <c r="L13" i="45"/>
  <c r="H13" i="45"/>
  <c r="G12" i="45"/>
  <c r="I12" i="45"/>
  <c r="K12" i="45"/>
  <c r="M12" i="45"/>
  <c r="O12" i="45"/>
  <c r="Q12" i="45"/>
  <c r="S12" i="45"/>
  <c r="P11" i="45"/>
  <c r="L11" i="45"/>
  <c r="H11" i="45"/>
  <c r="G10" i="45"/>
  <c r="I10" i="45"/>
  <c r="K10" i="45"/>
  <c r="M10" i="45"/>
  <c r="O10" i="45"/>
  <c r="Q10" i="45"/>
  <c r="S10" i="45"/>
  <c r="P9" i="45"/>
  <c r="L9" i="45"/>
  <c r="H9" i="45"/>
  <c r="G8" i="45"/>
  <c r="I8" i="45"/>
  <c r="K8" i="45"/>
  <c r="M8" i="45"/>
  <c r="O8" i="45"/>
  <c r="Q8" i="45"/>
  <c r="S8" i="45"/>
  <c r="P7" i="45"/>
  <c r="L7" i="45"/>
  <c r="H7" i="45"/>
  <c r="G6" i="45"/>
  <c r="I6" i="45"/>
  <c r="K6" i="45"/>
  <c r="M6" i="45"/>
  <c r="O6" i="45"/>
  <c r="Q6" i="45"/>
  <c r="S6" i="45"/>
  <c r="S5" i="45"/>
  <c r="Q5" i="45"/>
  <c r="O5" i="45"/>
  <c r="M5" i="45"/>
  <c r="K5" i="45"/>
  <c r="I5" i="45"/>
  <c r="R116" i="44"/>
  <c r="P116" i="44"/>
  <c r="N116" i="44"/>
  <c r="L116" i="44"/>
  <c r="G115" i="44"/>
  <c r="I115" i="44"/>
  <c r="K115" i="44"/>
  <c r="M115" i="44"/>
  <c r="O115" i="44"/>
  <c r="Q115" i="44"/>
  <c r="S115" i="44"/>
  <c r="P114" i="44"/>
  <c r="L114" i="44"/>
  <c r="G113" i="44"/>
  <c r="I113" i="44"/>
  <c r="K113" i="44"/>
  <c r="M113" i="44"/>
  <c r="O113" i="44"/>
  <c r="Q113" i="44"/>
  <c r="S113" i="44"/>
  <c r="P112" i="44"/>
  <c r="L112" i="44"/>
  <c r="G111" i="44"/>
  <c r="I111" i="44"/>
  <c r="K111" i="44"/>
  <c r="M111" i="44"/>
  <c r="O111" i="44"/>
  <c r="Q111" i="44"/>
  <c r="S111" i="44"/>
  <c r="P110" i="44"/>
  <c r="L110" i="44"/>
  <c r="G109" i="44"/>
  <c r="I109" i="44"/>
  <c r="K109" i="44"/>
  <c r="M109" i="44"/>
  <c r="O109" i="44"/>
  <c r="Q109" i="44"/>
  <c r="S109" i="44"/>
  <c r="P108" i="44"/>
  <c r="L108" i="44"/>
  <c r="G107" i="44"/>
  <c r="I107" i="44"/>
  <c r="K107" i="44"/>
  <c r="M107" i="44"/>
  <c r="O107" i="44"/>
  <c r="Q107" i="44"/>
  <c r="S107" i="44"/>
  <c r="P106" i="44"/>
  <c r="L106" i="44"/>
  <c r="G105" i="44"/>
  <c r="I105" i="44"/>
  <c r="K105" i="44"/>
  <c r="M105" i="44"/>
  <c r="O105" i="44"/>
  <c r="Q105" i="44"/>
  <c r="S105" i="44"/>
  <c r="P104" i="44"/>
  <c r="L104" i="44"/>
  <c r="G103" i="44"/>
  <c r="I103" i="44"/>
  <c r="K103" i="44"/>
  <c r="M103" i="44"/>
  <c r="O103" i="44"/>
  <c r="Q103" i="44"/>
  <c r="S103" i="44"/>
  <c r="P102" i="44"/>
  <c r="L102" i="44"/>
  <c r="G101" i="44"/>
  <c r="I101" i="44"/>
  <c r="K101" i="44"/>
  <c r="M101" i="44"/>
  <c r="O101" i="44"/>
  <c r="Q101" i="44"/>
  <c r="S101" i="44"/>
  <c r="P100" i="44"/>
  <c r="L100" i="44"/>
  <c r="G99" i="44"/>
  <c r="I99" i="44"/>
  <c r="K99" i="44"/>
  <c r="M99" i="44"/>
  <c r="O99" i="44"/>
  <c r="Q99" i="44"/>
  <c r="S99" i="44"/>
  <c r="P98" i="44"/>
  <c r="L98" i="44"/>
  <c r="G97" i="44"/>
  <c r="I97" i="44"/>
  <c r="K97" i="44"/>
  <c r="M97" i="44"/>
  <c r="O97" i="44"/>
  <c r="Q97" i="44"/>
  <c r="S97" i="44"/>
  <c r="G116" i="44"/>
  <c r="I116" i="44"/>
  <c r="K116" i="44"/>
  <c r="G114" i="44"/>
  <c r="I114" i="44"/>
  <c r="K114" i="44"/>
  <c r="M114" i="44"/>
  <c r="O114" i="44"/>
  <c r="Q114" i="44"/>
  <c r="S114" i="44"/>
  <c r="G112" i="44"/>
  <c r="I112" i="44"/>
  <c r="K112" i="44"/>
  <c r="M112" i="44"/>
  <c r="O112" i="44"/>
  <c r="Q112" i="44"/>
  <c r="S112" i="44"/>
  <c r="G110" i="44"/>
  <c r="I110" i="44"/>
  <c r="K110" i="44"/>
  <c r="M110" i="44"/>
  <c r="O110" i="44"/>
  <c r="Q110" i="44"/>
  <c r="S110" i="44"/>
  <c r="G108" i="44"/>
  <c r="I108" i="44"/>
  <c r="K108" i="44"/>
  <c r="M108" i="44"/>
  <c r="O108" i="44"/>
  <c r="Q108" i="44"/>
  <c r="S108" i="44"/>
  <c r="G106" i="44"/>
  <c r="I106" i="44"/>
  <c r="K106" i="44"/>
  <c r="M106" i="44"/>
  <c r="O106" i="44"/>
  <c r="Q106" i="44"/>
  <c r="S106" i="44"/>
  <c r="G104" i="44"/>
  <c r="I104" i="44"/>
  <c r="K104" i="44"/>
  <c r="M104" i="44"/>
  <c r="O104" i="44"/>
  <c r="Q104" i="44"/>
  <c r="S104" i="44"/>
  <c r="G102" i="44"/>
  <c r="I102" i="44"/>
  <c r="K102" i="44"/>
  <c r="M102" i="44"/>
  <c r="O102" i="44"/>
  <c r="Q102" i="44"/>
  <c r="S102" i="44"/>
  <c r="G100" i="44"/>
  <c r="I100" i="44"/>
  <c r="K100" i="44"/>
  <c r="M100" i="44"/>
  <c r="O100" i="44"/>
  <c r="Q100" i="44"/>
  <c r="S100" i="44"/>
  <c r="G98" i="44"/>
  <c r="I98" i="44"/>
  <c r="K98" i="44"/>
  <c r="M98" i="44"/>
  <c r="O98" i="44"/>
  <c r="Q98" i="44"/>
  <c r="S98" i="44"/>
  <c r="S96" i="44"/>
  <c r="Q96" i="44"/>
  <c r="O96" i="44"/>
  <c r="M96" i="44"/>
  <c r="K96" i="44"/>
  <c r="I96" i="44"/>
  <c r="S95" i="44"/>
  <c r="Q95" i="44"/>
  <c r="O95" i="44"/>
  <c r="M95" i="44"/>
  <c r="K95" i="44"/>
  <c r="I95" i="44"/>
  <c r="S94" i="44"/>
  <c r="Q94" i="44"/>
  <c r="O94" i="44"/>
  <c r="M94" i="44"/>
  <c r="K94" i="44"/>
  <c r="I94" i="44"/>
  <c r="G93" i="44"/>
  <c r="I93" i="44"/>
  <c r="K93" i="44"/>
  <c r="P92" i="44"/>
  <c r="L92" i="44"/>
  <c r="G91" i="44"/>
  <c r="I91" i="44"/>
  <c r="K91" i="44"/>
  <c r="M91" i="44"/>
  <c r="O91" i="44"/>
  <c r="Q91" i="44"/>
  <c r="S91" i="44"/>
  <c r="P90" i="44"/>
  <c r="L90" i="44"/>
  <c r="G89" i="44"/>
  <c r="I89" i="44"/>
  <c r="K89" i="44"/>
  <c r="M89" i="44"/>
  <c r="O89" i="44"/>
  <c r="Q89" i="44"/>
  <c r="S89" i="44"/>
  <c r="P88" i="44"/>
  <c r="L88" i="44"/>
  <c r="G87" i="44"/>
  <c r="I87" i="44"/>
  <c r="K87" i="44"/>
  <c r="M87" i="44"/>
  <c r="O87" i="44"/>
  <c r="Q87" i="44"/>
  <c r="S87" i="44"/>
  <c r="P86" i="44"/>
  <c r="L86" i="44"/>
  <c r="G85" i="44"/>
  <c r="I85" i="44"/>
  <c r="K85" i="44"/>
  <c r="M85" i="44"/>
  <c r="O85" i="44"/>
  <c r="Q85" i="44"/>
  <c r="S85" i="44"/>
  <c r="G92" i="44"/>
  <c r="I92" i="44"/>
  <c r="K92" i="44"/>
  <c r="M92" i="44"/>
  <c r="O92" i="44"/>
  <c r="Q92" i="44"/>
  <c r="S92" i="44"/>
  <c r="G90" i="44"/>
  <c r="I90" i="44"/>
  <c r="K90" i="44"/>
  <c r="M90" i="44"/>
  <c r="O90" i="44"/>
  <c r="Q90" i="44"/>
  <c r="S90" i="44"/>
  <c r="G88" i="44"/>
  <c r="I88" i="44"/>
  <c r="K88" i="44"/>
  <c r="M88" i="44"/>
  <c r="O88" i="44"/>
  <c r="Q88" i="44"/>
  <c r="S88" i="44"/>
  <c r="G86" i="44"/>
  <c r="I86" i="44"/>
  <c r="K86" i="44"/>
  <c r="M86" i="44"/>
  <c r="O86" i="44"/>
  <c r="Q86" i="44"/>
  <c r="S86" i="44"/>
  <c r="G15" i="44"/>
  <c r="I15" i="44"/>
  <c r="K15" i="44"/>
  <c r="M15" i="44"/>
  <c r="P14" i="44"/>
  <c r="L14" i="44"/>
  <c r="G13" i="44"/>
  <c r="I13" i="44"/>
  <c r="K13" i="44"/>
  <c r="M13" i="44"/>
  <c r="O13" i="44"/>
  <c r="Q13" i="44"/>
  <c r="S13" i="44"/>
  <c r="P12" i="44"/>
  <c r="L12" i="44"/>
  <c r="G11" i="44"/>
  <c r="I11" i="44"/>
  <c r="K11" i="44"/>
  <c r="M11" i="44"/>
  <c r="O11" i="44"/>
  <c r="Q11" i="44"/>
  <c r="S11" i="44"/>
  <c r="P10" i="44"/>
  <c r="L10" i="44"/>
  <c r="G9" i="44"/>
  <c r="I9" i="44"/>
  <c r="K9" i="44"/>
  <c r="M9" i="44"/>
  <c r="O9" i="44"/>
  <c r="Q9" i="44"/>
  <c r="S9" i="44"/>
  <c r="P8" i="44"/>
  <c r="L8" i="44"/>
  <c r="G7" i="44"/>
  <c r="I7" i="44"/>
  <c r="K7" i="44"/>
  <c r="M7" i="44"/>
  <c r="O7" i="44"/>
  <c r="Q7" i="44"/>
  <c r="S7" i="44"/>
  <c r="P6" i="44"/>
  <c r="L6" i="44"/>
  <c r="S84" i="44"/>
  <c r="Q84" i="44"/>
  <c r="O84" i="44"/>
  <c r="M84" i="44"/>
  <c r="K84" i="44"/>
  <c r="I84" i="44"/>
  <c r="S83" i="44"/>
  <c r="Q83" i="44"/>
  <c r="O83" i="44"/>
  <c r="M83" i="44"/>
  <c r="K83" i="44"/>
  <c r="I83" i="44"/>
  <c r="Q82" i="44"/>
  <c r="O82" i="44"/>
  <c r="M82" i="44"/>
  <c r="K82" i="44"/>
  <c r="I82" i="44"/>
  <c r="G14" i="44"/>
  <c r="I14" i="44"/>
  <c r="K14" i="44"/>
  <c r="M14" i="44"/>
  <c r="O14" i="44"/>
  <c r="Q14" i="44"/>
  <c r="S14" i="44"/>
  <c r="G12" i="44"/>
  <c r="I12" i="44"/>
  <c r="K12" i="44"/>
  <c r="M12" i="44"/>
  <c r="O12" i="44"/>
  <c r="Q12" i="44"/>
  <c r="S12" i="44"/>
  <c r="G10" i="44"/>
  <c r="I10" i="44"/>
  <c r="K10" i="44"/>
  <c r="M10" i="44"/>
  <c r="O10" i="44"/>
  <c r="Q10" i="44"/>
  <c r="S10" i="44"/>
  <c r="G8" i="44"/>
  <c r="I8" i="44"/>
  <c r="K8" i="44"/>
  <c r="M8" i="44"/>
  <c r="O8" i="44"/>
  <c r="Q8" i="44"/>
  <c r="S8" i="44"/>
  <c r="G6" i="44"/>
  <c r="I6" i="44"/>
  <c r="K6" i="44"/>
  <c r="M6" i="44"/>
  <c r="O6" i="44"/>
  <c r="Q6" i="44"/>
  <c r="S6" i="44"/>
  <c r="S5" i="44"/>
  <c r="Q5" i="44"/>
  <c r="O5" i="44"/>
  <c r="M5" i="44"/>
  <c r="K5" i="44"/>
  <c r="I5" i="44"/>
  <c r="O9" i="43"/>
  <c r="M9" i="43"/>
  <c r="K9" i="43"/>
  <c r="I9" i="43"/>
  <c r="S8" i="43"/>
  <c r="Q8" i="43"/>
  <c r="O8" i="43"/>
  <c r="M8" i="43"/>
  <c r="K8" i="43"/>
  <c r="I8" i="43"/>
  <c r="S7" i="43"/>
  <c r="Q7" i="43"/>
  <c r="O7" i="43"/>
  <c r="M7" i="43"/>
  <c r="K7" i="43"/>
  <c r="I7" i="43"/>
  <c r="S6" i="43"/>
  <c r="Q6" i="43"/>
  <c r="O6" i="43"/>
  <c r="M6" i="43"/>
  <c r="K6" i="43"/>
  <c r="I6" i="43"/>
  <c r="S5" i="43"/>
  <c r="Q5" i="43"/>
  <c r="O5" i="43"/>
  <c r="M5" i="43"/>
  <c r="K5" i="43"/>
  <c r="I5" i="43"/>
  <c r="G110" i="42"/>
  <c r="I110" i="42"/>
  <c r="K110" i="42"/>
  <c r="M110" i="42"/>
  <c r="O110" i="42"/>
  <c r="Q110" i="42"/>
  <c r="P109" i="42"/>
  <c r="L109" i="42"/>
  <c r="G108" i="42"/>
  <c r="I108" i="42"/>
  <c r="K108" i="42"/>
  <c r="M108" i="42"/>
  <c r="O108" i="42"/>
  <c r="Q108" i="42"/>
  <c r="S108" i="42"/>
  <c r="P107" i="42"/>
  <c r="L107" i="42"/>
  <c r="G106" i="42"/>
  <c r="I106" i="42"/>
  <c r="K106" i="42"/>
  <c r="M106" i="42"/>
  <c r="O106" i="42"/>
  <c r="Q106" i="42"/>
  <c r="S106" i="42"/>
  <c r="P105" i="42"/>
  <c r="L105" i="42"/>
  <c r="G104" i="42"/>
  <c r="I104" i="42"/>
  <c r="K104" i="42"/>
  <c r="M104" i="42"/>
  <c r="O104" i="42"/>
  <c r="Q104" i="42"/>
  <c r="S104" i="42"/>
  <c r="P103" i="42"/>
  <c r="L103" i="42"/>
  <c r="G102" i="42"/>
  <c r="I102" i="42"/>
  <c r="K102" i="42"/>
  <c r="M102" i="42"/>
  <c r="O102" i="42"/>
  <c r="Q102" i="42"/>
  <c r="S102" i="42"/>
  <c r="P101" i="42"/>
  <c r="L101" i="42"/>
  <c r="G100" i="42"/>
  <c r="I100" i="42"/>
  <c r="K100" i="42"/>
  <c r="M100" i="42"/>
  <c r="O100" i="42"/>
  <c r="Q100" i="42"/>
  <c r="S100" i="42"/>
  <c r="P99" i="42"/>
  <c r="L99" i="42"/>
  <c r="G98" i="42"/>
  <c r="I98" i="42"/>
  <c r="K98" i="42"/>
  <c r="M98" i="42"/>
  <c r="O98" i="42"/>
  <c r="Q98" i="42"/>
  <c r="S98" i="42"/>
  <c r="P97" i="42"/>
  <c r="L97" i="42"/>
  <c r="G96" i="42"/>
  <c r="I96" i="42"/>
  <c r="K96" i="42"/>
  <c r="M96" i="42"/>
  <c r="O96" i="42"/>
  <c r="Q96" i="42"/>
  <c r="S96" i="42"/>
  <c r="P95" i="42"/>
  <c r="L95" i="42"/>
  <c r="G94" i="42"/>
  <c r="I94" i="42"/>
  <c r="K94" i="42"/>
  <c r="M94" i="42"/>
  <c r="O94" i="42"/>
  <c r="Q94" i="42"/>
  <c r="S94" i="42"/>
  <c r="P93" i="42"/>
  <c r="L93" i="42"/>
  <c r="G92" i="42"/>
  <c r="I92" i="42"/>
  <c r="K92" i="42"/>
  <c r="M92" i="42"/>
  <c r="O92" i="42"/>
  <c r="Q92" i="42"/>
  <c r="S92" i="42"/>
  <c r="P91" i="42"/>
  <c r="L91" i="42"/>
  <c r="G109" i="42"/>
  <c r="I109" i="42"/>
  <c r="K109" i="42"/>
  <c r="M109" i="42"/>
  <c r="O109" i="42"/>
  <c r="Q109" i="42"/>
  <c r="S109" i="42"/>
  <c r="G107" i="42"/>
  <c r="I107" i="42"/>
  <c r="K107" i="42"/>
  <c r="M107" i="42"/>
  <c r="O107" i="42"/>
  <c r="Q107" i="42"/>
  <c r="S107" i="42"/>
  <c r="G105" i="42"/>
  <c r="I105" i="42"/>
  <c r="K105" i="42"/>
  <c r="M105" i="42"/>
  <c r="O105" i="42"/>
  <c r="Q105" i="42"/>
  <c r="S105" i="42"/>
  <c r="G103" i="42"/>
  <c r="I103" i="42"/>
  <c r="K103" i="42"/>
  <c r="M103" i="42"/>
  <c r="O103" i="42"/>
  <c r="Q103" i="42"/>
  <c r="S103" i="42"/>
  <c r="G101" i="42"/>
  <c r="I101" i="42"/>
  <c r="K101" i="42"/>
  <c r="M101" i="42"/>
  <c r="O101" i="42"/>
  <c r="Q101" i="42"/>
  <c r="S101" i="42"/>
  <c r="G99" i="42"/>
  <c r="I99" i="42"/>
  <c r="K99" i="42"/>
  <c r="M99" i="42"/>
  <c r="O99" i="42"/>
  <c r="Q99" i="42"/>
  <c r="S99" i="42"/>
  <c r="G97" i="42"/>
  <c r="I97" i="42"/>
  <c r="K97" i="42"/>
  <c r="M97" i="42"/>
  <c r="O97" i="42"/>
  <c r="Q97" i="42"/>
  <c r="S97" i="42"/>
  <c r="G95" i="42"/>
  <c r="I95" i="42"/>
  <c r="K95" i="42"/>
  <c r="M95" i="42"/>
  <c r="O95" i="42"/>
  <c r="Q95" i="42"/>
  <c r="S95" i="42"/>
  <c r="G93" i="42"/>
  <c r="I93" i="42"/>
  <c r="K93" i="42"/>
  <c r="M93" i="42"/>
  <c r="O93" i="42"/>
  <c r="Q93" i="42"/>
  <c r="S93" i="42"/>
  <c r="G91" i="42"/>
  <c r="I91" i="42"/>
  <c r="K91" i="42"/>
  <c r="M91" i="42"/>
  <c r="O91" i="42"/>
  <c r="Q91" i="42"/>
  <c r="S91" i="42"/>
  <c r="S90" i="42"/>
  <c r="Q90" i="42"/>
  <c r="O90" i="42"/>
  <c r="M90" i="42"/>
  <c r="K90" i="42"/>
  <c r="I90" i="42"/>
  <c r="S89" i="42"/>
  <c r="Q89" i="42"/>
  <c r="O89" i="42"/>
  <c r="M89" i="42"/>
  <c r="K89" i="42"/>
  <c r="I89" i="42"/>
  <c r="S88" i="42"/>
  <c r="P88" i="42"/>
  <c r="L88" i="42"/>
  <c r="G87" i="42"/>
  <c r="I87" i="42"/>
  <c r="K87" i="42"/>
  <c r="M87" i="42"/>
  <c r="O87" i="42"/>
  <c r="Q87" i="42"/>
  <c r="S87" i="42"/>
  <c r="P86" i="42"/>
  <c r="L86" i="42"/>
  <c r="G85" i="42"/>
  <c r="I85" i="42"/>
  <c r="K85" i="42"/>
  <c r="M85" i="42"/>
  <c r="O85" i="42"/>
  <c r="Q85" i="42"/>
  <c r="S85" i="42"/>
  <c r="P84" i="42"/>
  <c r="L84" i="42"/>
  <c r="G83" i="42"/>
  <c r="I83" i="42"/>
  <c r="K83" i="42"/>
  <c r="M83" i="42"/>
  <c r="O83" i="42"/>
  <c r="Q83" i="42"/>
  <c r="S83" i="42"/>
  <c r="P82" i="42"/>
  <c r="L82" i="42"/>
  <c r="G81" i="42"/>
  <c r="I81" i="42"/>
  <c r="K81" i="42"/>
  <c r="M81" i="42"/>
  <c r="O81" i="42"/>
  <c r="Q81" i="42"/>
  <c r="S81" i="42"/>
  <c r="P80" i="42"/>
  <c r="L80" i="42"/>
  <c r="G88" i="42"/>
  <c r="I88" i="42"/>
  <c r="K88" i="42"/>
  <c r="M88" i="42"/>
  <c r="O88" i="42"/>
  <c r="Q88" i="42"/>
  <c r="G86" i="42"/>
  <c r="I86" i="42"/>
  <c r="K86" i="42"/>
  <c r="M86" i="42"/>
  <c r="O86" i="42"/>
  <c r="Q86" i="42"/>
  <c r="S86" i="42"/>
  <c r="G84" i="42"/>
  <c r="I84" i="42"/>
  <c r="K84" i="42"/>
  <c r="M84" i="42"/>
  <c r="O84" i="42"/>
  <c r="Q84" i="42"/>
  <c r="S84" i="42"/>
  <c r="G82" i="42"/>
  <c r="I82" i="42"/>
  <c r="K82" i="42"/>
  <c r="M82" i="42"/>
  <c r="O82" i="42"/>
  <c r="Q82" i="42"/>
  <c r="S82" i="42"/>
  <c r="G80" i="42"/>
  <c r="I80" i="42"/>
  <c r="K80" i="42"/>
  <c r="M80" i="42"/>
  <c r="O80" i="42"/>
  <c r="Q80" i="42"/>
  <c r="S80" i="42"/>
  <c r="G15" i="42"/>
  <c r="I15" i="42"/>
  <c r="K15" i="42"/>
  <c r="M15" i="42"/>
  <c r="P14" i="42"/>
  <c r="L14" i="42"/>
  <c r="G13" i="42"/>
  <c r="I13" i="42"/>
  <c r="K13" i="42"/>
  <c r="M13" i="42"/>
  <c r="O13" i="42"/>
  <c r="Q13" i="42"/>
  <c r="S13" i="42"/>
  <c r="P12" i="42"/>
  <c r="L12" i="42"/>
  <c r="G11" i="42"/>
  <c r="I11" i="42"/>
  <c r="K11" i="42"/>
  <c r="M11" i="42"/>
  <c r="O11" i="42"/>
  <c r="Q11" i="42"/>
  <c r="S11" i="42"/>
  <c r="P10" i="42"/>
  <c r="L10" i="42"/>
  <c r="G9" i="42"/>
  <c r="I9" i="42"/>
  <c r="K9" i="42"/>
  <c r="M9" i="42"/>
  <c r="O9" i="42"/>
  <c r="Q9" i="42"/>
  <c r="S9" i="42"/>
  <c r="P8" i="42"/>
  <c r="L8" i="42"/>
  <c r="G7" i="42"/>
  <c r="I7" i="42"/>
  <c r="K7" i="42"/>
  <c r="M7" i="42"/>
  <c r="O7" i="42"/>
  <c r="Q7" i="42"/>
  <c r="S7" i="42"/>
  <c r="P6" i="42"/>
  <c r="L6" i="42"/>
  <c r="S79" i="42"/>
  <c r="Q79" i="42"/>
  <c r="O79" i="42"/>
  <c r="M79" i="42"/>
  <c r="K79" i="42"/>
  <c r="I79" i="42"/>
  <c r="S78" i="42"/>
  <c r="Q78" i="42"/>
  <c r="O78" i="42"/>
  <c r="M78" i="42"/>
  <c r="K78" i="42"/>
  <c r="I78" i="42"/>
  <c r="K77" i="42"/>
  <c r="I77" i="42"/>
  <c r="G14" i="42"/>
  <c r="I14" i="42"/>
  <c r="K14" i="42"/>
  <c r="M14" i="42"/>
  <c r="O14" i="42"/>
  <c r="Q14" i="42"/>
  <c r="S14" i="42"/>
  <c r="G12" i="42"/>
  <c r="I12" i="42"/>
  <c r="K12" i="42"/>
  <c r="M12" i="42"/>
  <c r="O12" i="42"/>
  <c r="Q12" i="42"/>
  <c r="S12" i="42"/>
  <c r="G10" i="42"/>
  <c r="I10" i="42"/>
  <c r="K10" i="42"/>
  <c r="M10" i="42"/>
  <c r="O10" i="42"/>
  <c r="Q10" i="42"/>
  <c r="S10" i="42"/>
  <c r="G8" i="42"/>
  <c r="I8" i="42"/>
  <c r="K8" i="42"/>
  <c r="M8" i="42"/>
  <c r="O8" i="42"/>
  <c r="Q8" i="42"/>
  <c r="S8" i="42"/>
  <c r="G6" i="42"/>
  <c r="I6" i="42"/>
  <c r="K6" i="42"/>
  <c r="M6" i="42"/>
  <c r="O6" i="42"/>
  <c r="Q6" i="42"/>
  <c r="S6" i="42"/>
  <c r="S5" i="42"/>
  <c r="Q5" i="42"/>
  <c r="O5" i="42"/>
  <c r="M5" i="42"/>
  <c r="K5" i="42"/>
  <c r="I5" i="42"/>
  <c r="R118" i="41"/>
  <c r="P118" i="41"/>
  <c r="N118" i="41"/>
  <c r="L118" i="41"/>
  <c r="G117" i="41"/>
  <c r="I117" i="41"/>
  <c r="K117" i="41"/>
  <c r="M117" i="41"/>
  <c r="O117" i="41"/>
  <c r="Q117" i="41"/>
  <c r="S117" i="41"/>
  <c r="P116" i="41"/>
  <c r="L116" i="41"/>
  <c r="G115" i="41"/>
  <c r="I115" i="41"/>
  <c r="K115" i="41"/>
  <c r="M115" i="41"/>
  <c r="O115" i="41"/>
  <c r="Q115" i="41"/>
  <c r="S115" i="41"/>
  <c r="P114" i="41"/>
  <c r="L114" i="41"/>
  <c r="G113" i="41"/>
  <c r="I113" i="41"/>
  <c r="K113" i="41"/>
  <c r="M113" i="41"/>
  <c r="O113" i="41"/>
  <c r="Q113" i="41"/>
  <c r="S113" i="41"/>
  <c r="P112" i="41"/>
  <c r="L112" i="41"/>
  <c r="G111" i="41"/>
  <c r="I111" i="41"/>
  <c r="K111" i="41"/>
  <c r="M111" i="41"/>
  <c r="O111" i="41"/>
  <c r="Q111" i="41"/>
  <c r="S111" i="41"/>
  <c r="P110" i="41"/>
  <c r="L110" i="41"/>
  <c r="G109" i="41"/>
  <c r="I109" i="41"/>
  <c r="K109" i="41"/>
  <c r="M109" i="41"/>
  <c r="O109" i="41"/>
  <c r="Q109" i="41"/>
  <c r="S109" i="41"/>
  <c r="P108" i="41"/>
  <c r="L108" i="41"/>
  <c r="G107" i="41"/>
  <c r="I107" i="41"/>
  <c r="K107" i="41"/>
  <c r="M107" i="41"/>
  <c r="O107" i="41"/>
  <c r="Q107" i="41"/>
  <c r="S107" i="41"/>
  <c r="P106" i="41"/>
  <c r="L106" i="41"/>
  <c r="G105" i="41"/>
  <c r="I105" i="41"/>
  <c r="K105" i="41"/>
  <c r="M105" i="41"/>
  <c r="O105" i="41"/>
  <c r="Q105" i="41"/>
  <c r="S105" i="41"/>
  <c r="P104" i="41"/>
  <c r="L104" i="41"/>
  <c r="G103" i="41"/>
  <c r="I103" i="41"/>
  <c r="K103" i="41"/>
  <c r="M103" i="41"/>
  <c r="O103" i="41"/>
  <c r="Q103" i="41"/>
  <c r="S103" i="41"/>
  <c r="P102" i="41"/>
  <c r="L102" i="41"/>
  <c r="G101" i="41"/>
  <c r="I101" i="41"/>
  <c r="K101" i="41"/>
  <c r="M101" i="41"/>
  <c r="O101" i="41"/>
  <c r="Q101" i="41"/>
  <c r="S101" i="41"/>
  <c r="P100" i="41"/>
  <c r="L100" i="41"/>
  <c r="G99" i="41"/>
  <c r="I99" i="41"/>
  <c r="K99" i="41"/>
  <c r="M99" i="41"/>
  <c r="O99" i="41"/>
  <c r="Q99" i="41"/>
  <c r="S99" i="41"/>
  <c r="G118" i="41"/>
  <c r="I118" i="41"/>
  <c r="K118" i="41"/>
  <c r="G116" i="41"/>
  <c r="I116" i="41"/>
  <c r="K116" i="41"/>
  <c r="M116" i="41"/>
  <c r="O116" i="41"/>
  <c r="Q116" i="41"/>
  <c r="S116" i="41"/>
  <c r="G114" i="41"/>
  <c r="I114" i="41"/>
  <c r="K114" i="41"/>
  <c r="M114" i="41"/>
  <c r="O114" i="41"/>
  <c r="Q114" i="41"/>
  <c r="S114" i="41"/>
  <c r="G112" i="41"/>
  <c r="I112" i="41"/>
  <c r="K112" i="41"/>
  <c r="M112" i="41"/>
  <c r="O112" i="41"/>
  <c r="Q112" i="41"/>
  <c r="S112" i="41"/>
  <c r="G110" i="41"/>
  <c r="I110" i="41"/>
  <c r="K110" i="41"/>
  <c r="M110" i="41"/>
  <c r="O110" i="41"/>
  <c r="Q110" i="41"/>
  <c r="S110" i="41"/>
  <c r="G108" i="41"/>
  <c r="I108" i="41"/>
  <c r="K108" i="41"/>
  <c r="M108" i="41"/>
  <c r="O108" i="41"/>
  <c r="Q108" i="41"/>
  <c r="S108" i="41"/>
  <c r="G106" i="41"/>
  <c r="I106" i="41"/>
  <c r="K106" i="41"/>
  <c r="M106" i="41"/>
  <c r="O106" i="41"/>
  <c r="Q106" i="41"/>
  <c r="S106" i="41"/>
  <c r="G104" i="41"/>
  <c r="I104" i="41"/>
  <c r="K104" i="41"/>
  <c r="M104" i="41"/>
  <c r="O104" i="41"/>
  <c r="Q104" i="41"/>
  <c r="S104" i="41"/>
  <c r="G102" i="41"/>
  <c r="I102" i="41"/>
  <c r="K102" i="41"/>
  <c r="M102" i="41"/>
  <c r="O102" i="41"/>
  <c r="Q102" i="41"/>
  <c r="S102" i="41"/>
  <c r="G100" i="41"/>
  <c r="I100" i="41"/>
  <c r="K100" i="41"/>
  <c r="M100" i="41"/>
  <c r="O100" i="41"/>
  <c r="Q100" i="41"/>
  <c r="S100" i="41"/>
  <c r="S98" i="41"/>
  <c r="Q98" i="41"/>
  <c r="O98" i="41"/>
  <c r="M98" i="41"/>
  <c r="K98" i="41"/>
  <c r="I98" i="41"/>
  <c r="S97" i="41"/>
  <c r="Q97" i="41"/>
  <c r="O97" i="41"/>
  <c r="M97" i="41"/>
  <c r="K97" i="41"/>
  <c r="I97" i="41"/>
  <c r="S96" i="41"/>
  <c r="Q96" i="41"/>
  <c r="O96" i="41"/>
  <c r="M96" i="41"/>
  <c r="K96" i="41"/>
  <c r="I96" i="41"/>
  <c r="G95" i="41"/>
  <c r="I95" i="41"/>
  <c r="K95" i="41"/>
  <c r="M95" i="41"/>
  <c r="O95" i="41"/>
  <c r="P94" i="41"/>
  <c r="L94" i="41"/>
  <c r="G93" i="41"/>
  <c r="I93" i="41"/>
  <c r="K93" i="41"/>
  <c r="M93" i="41"/>
  <c r="O93" i="41"/>
  <c r="Q93" i="41"/>
  <c r="S93" i="41"/>
  <c r="P92" i="41"/>
  <c r="L92" i="41"/>
  <c r="G91" i="41"/>
  <c r="I91" i="41"/>
  <c r="K91" i="41"/>
  <c r="M91" i="41"/>
  <c r="O91" i="41"/>
  <c r="Q91" i="41"/>
  <c r="S91" i="41"/>
  <c r="P90" i="41"/>
  <c r="L90" i="41"/>
  <c r="G89" i="41"/>
  <c r="I89" i="41"/>
  <c r="K89" i="41"/>
  <c r="M89" i="41"/>
  <c r="O89" i="41"/>
  <c r="Q89" i="41"/>
  <c r="S89" i="41"/>
  <c r="P88" i="41"/>
  <c r="L88" i="41"/>
  <c r="G87" i="41"/>
  <c r="I87" i="41"/>
  <c r="K87" i="41"/>
  <c r="M87" i="41"/>
  <c r="O87" i="41"/>
  <c r="Q87" i="41"/>
  <c r="S87" i="41"/>
  <c r="G94" i="41"/>
  <c r="I94" i="41"/>
  <c r="K94" i="41"/>
  <c r="M94" i="41"/>
  <c r="O94" i="41"/>
  <c r="Q94" i="41"/>
  <c r="S94" i="41"/>
  <c r="G92" i="41"/>
  <c r="I92" i="41"/>
  <c r="K92" i="41"/>
  <c r="M92" i="41"/>
  <c r="O92" i="41"/>
  <c r="Q92" i="41"/>
  <c r="S92" i="41"/>
  <c r="G90" i="41"/>
  <c r="I90" i="41"/>
  <c r="K90" i="41"/>
  <c r="M90" i="41"/>
  <c r="O90" i="41"/>
  <c r="Q90" i="41"/>
  <c r="S90" i="41"/>
  <c r="G88" i="41"/>
  <c r="I88" i="41"/>
  <c r="K88" i="41"/>
  <c r="M88" i="41"/>
  <c r="O88" i="41"/>
  <c r="Q88" i="41"/>
  <c r="S88" i="41"/>
  <c r="G15" i="41"/>
  <c r="I15" i="41"/>
  <c r="K15" i="41"/>
  <c r="M15" i="41"/>
  <c r="P14" i="41"/>
  <c r="L14" i="41"/>
  <c r="G13" i="41"/>
  <c r="I13" i="41"/>
  <c r="K13" i="41"/>
  <c r="M13" i="41"/>
  <c r="O13" i="41"/>
  <c r="Q13" i="41"/>
  <c r="S13" i="41"/>
  <c r="P12" i="41"/>
  <c r="L12" i="41"/>
  <c r="G11" i="41"/>
  <c r="I11" i="41"/>
  <c r="K11" i="41"/>
  <c r="M11" i="41"/>
  <c r="O11" i="41"/>
  <c r="Q11" i="41"/>
  <c r="S11" i="41"/>
  <c r="P10" i="41"/>
  <c r="L10" i="41"/>
  <c r="G9" i="41"/>
  <c r="I9" i="41"/>
  <c r="K9" i="41"/>
  <c r="M9" i="41"/>
  <c r="O9" i="41"/>
  <c r="Q9" i="41"/>
  <c r="S9" i="41"/>
  <c r="P8" i="41"/>
  <c r="L8" i="41"/>
  <c r="G7" i="41"/>
  <c r="I7" i="41"/>
  <c r="K7" i="41"/>
  <c r="M7" i="41"/>
  <c r="O7" i="41"/>
  <c r="Q7" i="41"/>
  <c r="S7" i="41"/>
  <c r="P6" i="41"/>
  <c r="L6" i="41"/>
  <c r="S86" i="41"/>
  <c r="Q86" i="41"/>
  <c r="O86" i="41"/>
  <c r="M86" i="41"/>
  <c r="K86" i="41"/>
  <c r="I86" i="41"/>
  <c r="S85" i="41"/>
  <c r="Q85" i="41"/>
  <c r="O85" i="41"/>
  <c r="M85" i="41"/>
  <c r="K85" i="41"/>
  <c r="I85" i="41"/>
  <c r="M84" i="41"/>
  <c r="K84" i="41"/>
  <c r="I84" i="41"/>
  <c r="G14" i="41"/>
  <c r="I14" i="41"/>
  <c r="K14" i="41"/>
  <c r="M14" i="41"/>
  <c r="O14" i="41"/>
  <c r="Q14" i="41"/>
  <c r="S14" i="41"/>
  <c r="G12" i="41"/>
  <c r="I12" i="41"/>
  <c r="K12" i="41"/>
  <c r="M12" i="41"/>
  <c r="O12" i="41"/>
  <c r="Q12" i="41"/>
  <c r="S12" i="41"/>
  <c r="G10" i="41"/>
  <c r="I10" i="41"/>
  <c r="K10" i="41"/>
  <c r="M10" i="41"/>
  <c r="O10" i="41"/>
  <c r="Q10" i="41"/>
  <c r="S10" i="41"/>
  <c r="G8" i="41"/>
  <c r="I8" i="41"/>
  <c r="K8" i="41"/>
  <c r="M8" i="41"/>
  <c r="O8" i="41"/>
  <c r="Q8" i="41"/>
  <c r="S8" i="41"/>
  <c r="G6" i="41"/>
  <c r="I6" i="41"/>
  <c r="K6" i="41"/>
  <c r="M6" i="41"/>
  <c r="O6" i="41"/>
  <c r="Q6" i="41"/>
  <c r="S6" i="41"/>
  <c r="S5" i="41"/>
  <c r="Q5" i="41"/>
  <c r="O5" i="41"/>
  <c r="M5" i="41"/>
  <c r="K5" i="41"/>
  <c r="I5" i="41"/>
  <c r="S204" i="40"/>
  <c r="Q204" i="40"/>
  <c r="O204" i="40"/>
  <c r="M204" i="40"/>
  <c r="K204" i="40"/>
  <c r="I204" i="40"/>
  <c r="S203" i="40"/>
  <c r="Q203" i="40"/>
  <c r="O203" i="40"/>
  <c r="M203" i="40"/>
  <c r="K203" i="40"/>
  <c r="I203" i="40"/>
  <c r="S202" i="40"/>
  <c r="Q202" i="40"/>
  <c r="O202" i="40"/>
  <c r="M202" i="40"/>
  <c r="K202" i="40"/>
  <c r="I202" i="40"/>
  <c r="S201" i="40"/>
  <c r="Q201" i="40"/>
  <c r="O201" i="40"/>
  <c r="M201" i="40"/>
  <c r="K201" i="40"/>
  <c r="I201" i="40"/>
  <c r="S200" i="40"/>
  <c r="Q200" i="40"/>
  <c r="O200" i="40"/>
  <c r="M200" i="40"/>
  <c r="K200" i="40"/>
  <c r="I200" i="40"/>
  <c r="S199" i="40"/>
  <c r="Q199" i="40"/>
  <c r="O199" i="40"/>
  <c r="M199" i="40"/>
  <c r="K199" i="40"/>
  <c r="I199" i="40"/>
  <c r="S198" i="40"/>
  <c r="Q198" i="40"/>
  <c r="O198" i="40"/>
  <c r="M198" i="40"/>
  <c r="K198" i="40"/>
  <c r="I198" i="40"/>
  <c r="S197" i="40"/>
  <c r="Q197" i="40"/>
  <c r="O197" i="40"/>
  <c r="M197" i="40"/>
  <c r="K197" i="40"/>
  <c r="I197" i="40"/>
  <c r="S196" i="40"/>
  <c r="Q196" i="40"/>
  <c r="O196" i="40"/>
  <c r="M196" i="40"/>
  <c r="K196" i="40"/>
  <c r="I196" i="40"/>
  <c r="S195" i="40"/>
  <c r="Q195" i="40"/>
  <c r="O195" i="40"/>
  <c r="M195" i="40"/>
  <c r="K195" i="40"/>
  <c r="I195" i="40"/>
  <c r="S194" i="40"/>
  <c r="Q194" i="40"/>
  <c r="O194" i="40"/>
  <c r="M194" i="40"/>
  <c r="K194" i="40"/>
  <c r="I194" i="40"/>
  <c r="S193" i="40"/>
  <c r="Q193" i="40"/>
  <c r="O193" i="40"/>
  <c r="M193" i="40"/>
  <c r="K193" i="40"/>
  <c r="I193" i="40"/>
  <c r="S192" i="40"/>
  <c r="Q192" i="40"/>
  <c r="O192" i="40"/>
  <c r="M192" i="40"/>
  <c r="K192" i="40"/>
  <c r="I192" i="40"/>
  <c r="S191" i="40"/>
  <c r="Q191" i="40"/>
  <c r="O191" i="40"/>
  <c r="M191" i="40"/>
  <c r="K191" i="40"/>
  <c r="I191" i="40"/>
  <c r="S190" i="40"/>
  <c r="Q190" i="40"/>
  <c r="O190" i="40"/>
  <c r="M190" i="40"/>
  <c r="K190" i="40"/>
  <c r="I190" i="40"/>
  <c r="S189" i="40"/>
  <c r="Q189" i="40"/>
  <c r="O189" i="40"/>
  <c r="M189" i="40"/>
  <c r="K189" i="40"/>
  <c r="I189" i="40"/>
  <c r="S188" i="40"/>
  <c r="Q188" i="40"/>
  <c r="O188" i="40"/>
  <c r="M188" i="40"/>
  <c r="K188" i="40"/>
  <c r="I188" i="40"/>
  <c r="S187" i="40"/>
  <c r="Q187" i="40"/>
  <c r="O187" i="40"/>
  <c r="M187" i="40"/>
  <c r="K187" i="40"/>
  <c r="I187" i="40"/>
  <c r="S186" i="40"/>
  <c r="Q186" i="40"/>
  <c r="O186" i="40"/>
  <c r="M186" i="40"/>
  <c r="K186" i="40"/>
  <c r="I186" i="40"/>
  <c r="S185" i="40"/>
  <c r="Q185" i="40"/>
  <c r="O185" i="40"/>
  <c r="M185" i="40"/>
  <c r="K185" i="40"/>
  <c r="I185" i="40"/>
  <c r="G184" i="40"/>
  <c r="I184" i="40"/>
  <c r="K184" i="40"/>
  <c r="M184" i="40"/>
  <c r="O184" i="40"/>
  <c r="Q184" i="40"/>
  <c r="S184" i="40"/>
  <c r="P183" i="40"/>
  <c r="L183" i="40"/>
  <c r="G182" i="40"/>
  <c r="I182" i="40"/>
  <c r="K182" i="40"/>
  <c r="M182" i="40"/>
  <c r="O182" i="40"/>
  <c r="Q182" i="40"/>
  <c r="S182" i="40"/>
  <c r="P181" i="40"/>
  <c r="L181" i="40"/>
  <c r="G180" i="40"/>
  <c r="I180" i="40"/>
  <c r="K180" i="40"/>
  <c r="M180" i="40"/>
  <c r="O180" i="40"/>
  <c r="Q180" i="40"/>
  <c r="S180" i="40"/>
  <c r="P179" i="40"/>
  <c r="L179" i="40"/>
  <c r="G178" i="40"/>
  <c r="I178" i="40"/>
  <c r="K178" i="40"/>
  <c r="M178" i="40"/>
  <c r="O178" i="40"/>
  <c r="Q178" i="40"/>
  <c r="S178" i="40"/>
  <c r="P177" i="40"/>
  <c r="L177" i="40"/>
  <c r="G176" i="40"/>
  <c r="I176" i="40"/>
  <c r="K176" i="40"/>
  <c r="M176" i="40"/>
  <c r="O176" i="40"/>
  <c r="Q176" i="40"/>
  <c r="S176" i="40"/>
  <c r="P175" i="40"/>
  <c r="L175" i="40"/>
  <c r="G174" i="40"/>
  <c r="I174" i="40"/>
  <c r="K174" i="40"/>
  <c r="M174" i="40"/>
  <c r="O174" i="40"/>
  <c r="Q174" i="40"/>
  <c r="S174" i="40"/>
  <c r="P173" i="40"/>
  <c r="L173" i="40"/>
  <c r="G172" i="40"/>
  <c r="I172" i="40"/>
  <c r="K172" i="40"/>
  <c r="M172" i="40"/>
  <c r="O172" i="40"/>
  <c r="Q172" i="40"/>
  <c r="S172" i="40"/>
  <c r="P171" i="40"/>
  <c r="L171" i="40"/>
  <c r="G170" i="40"/>
  <c r="I170" i="40"/>
  <c r="K170" i="40"/>
  <c r="M170" i="40"/>
  <c r="O170" i="40"/>
  <c r="Q170" i="40"/>
  <c r="S170" i="40"/>
  <c r="P169" i="40"/>
  <c r="L169" i="40"/>
  <c r="G168" i="40"/>
  <c r="I168" i="40"/>
  <c r="K168" i="40"/>
  <c r="M168" i="40"/>
  <c r="O168" i="40"/>
  <c r="Q168" i="40"/>
  <c r="S168" i="40"/>
  <c r="P167" i="40"/>
  <c r="L167" i="40"/>
  <c r="G166" i="40"/>
  <c r="I166" i="40"/>
  <c r="K166" i="40"/>
  <c r="M166" i="40"/>
  <c r="O166" i="40"/>
  <c r="Q166" i="40"/>
  <c r="S166" i="40"/>
  <c r="G183" i="40"/>
  <c r="I183" i="40"/>
  <c r="K183" i="40"/>
  <c r="M183" i="40"/>
  <c r="O183" i="40"/>
  <c r="Q183" i="40"/>
  <c r="S183" i="40"/>
  <c r="G181" i="40"/>
  <c r="I181" i="40"/>
  <c r="K181" i="40"/>
  <c r="M181" i="40"/>
  <c r="O181" i="40"/>
  <c r="Q181" i="40"/>
  <c r="S181" i="40"/>
  <c r="G179" i="40"/>
  <c r="I179" i="40"/>
  <c r="K179" i="40"/>
  <c r="M179" i="40"/>
  <c r="O179" i="40"/>
  <c r="Q179" i="40"/>
  <c r="S179" i="40"/>
  <c r="G177" i="40"/>
  <c r="I177" i="40"/>
  <c r="K177" i="40"/>
  <c r="M177" i="40"/>
  <c r="O177" i="40"/>
  <c r="Q177" i="40"/>
  <c r="S177" i="40"/>
  <c r="G175" i="40"/>
  <c r="I175" i="40"/>
  <c r="K175" i="40"/>
  <c r="M175" i="40"/>
  <c r="O175" i="40"/>
  <c r="Q175" i="40"/>
  <c r="S175" i="40"/>
  <c r="G173" i="40"/>
  <c r="I173" i="40"/>
  <c r="K173" i="40"/>
  <c r="M173" i="40"/>
  <c r="O173" i="40"/>
  <c r="Q173" i="40"/>
  <c r="S173" i="40"/>
  <c r="G171" i="40"/>
  <c r="I171" i="40"/>
  <c r="K171" i="40"/>
  <c r="M171" i="40"/>
  <c r="O171" i="40"/>
  <c r="Q171" i="40"/>
  <c r="S171" i="40"/>
  <c r="G169" i="40"/>
  <c r="I169" i="40"/>
  <c r="K169" i="40"/>
  <c r="M169" i="40"/>
  <c r="O169" i="40"/>
  <c r="Q169" i="40"/>
  <c r="S169" i="40"/>
  <c r="G167" i="40"/>
  <c r="I167" i="40"/>
  <c r="K167" i="40"/>
  <c r="M167" i="40"/>
  <c r="O167" i="40"/>
  <c r="Q167" i="40"/>
  <c r="S167" i="40"/>
  <c r="G163" i="40"/>
  <c r="I163" i="40"/>
  <c r="K163" i="40"/>
  <c r="M163" i="40"/>
  <c r="O163" i="40"/>
  <c r="Q163" i="40"/>
  <c r="S163" i="40"/>
  <c r="G161" i="40"/>
  <c r="I161" i="40"/>
  <c r="K161" i="40"/>
  <c r="M161" i="40"/>
  <c r="O161" i="40"/>
  <c r="Q161" i="40"/>
  <c r="S161" i="40"/>
  <c r="G159" i="40"/>
  <c r="I159" i="40"/>
  <c r="K159" i="40"/>
  <c r="M159" i="40"/>
  <c r="O159" i="40"/>
  <c r="Q159" i="40"/>
  <c r="S159" i="40"/>
  <c r="G157" i="40"/>
  <c r="I157" i="40"/>
  <c r="K157" i="40"/>
  <c r="M157" i="40"/>
  <c r="O157" i="40"/>
  <c r="Q157" i="40"/>
  <c r="S157" i="40"/>
  <c r="G155" i="40"/>
  <c r="I155" i="40"/>
  <c r="K155" i="40"/>
  <c r="M155" i="40"/>
  <c r="O155" i="40"/>
  <c r="Q155" i="40"/>
  <c r="S155" i="40"/>
  <c r="G153" i="40"/>
  <c r="I153" i="40"/>
  <c r="K153" i="40"/>
  <c r="M153" i="40"/>
  <c r="O153" i="40"/>
  <c r="Q153" i="40"/>
  <c r="S153" i="40"/>
  <c r="G151" i="40"/>
  <c r="I151" i="40"/>
  <c r="K151" i="40"/>
  <c r="M151" i="40"/>
  <c r="O151" i="40"/>
  <c r="Q151" i="40"/>
  <c r="S151" i="40"/>
  <c r="G149" i="40"/>
  <c r="I149" i="40"/>
  <c r="K149" i="40"/>
  <c r="M149" i="40"/>
  <c r="O149" i="40"/>
  <c r="Q149" i="40"/>
  <c r="S149" i="40"/>
  <c r="G147" i="40"/>
  <c r="I147" i="40"/>
  <c r="K147" i="40"/>
  <c r="M147" i="40"/>
  <c r="O147" i="40"/>
  <c r="Q147" i="40"/>
  <c r="S147" i="40"/>
  <c r="G145" i="40"/>
  <c r="I145" i="40"/>
  <c r="K145" i="40"/>
  <c r="M145" i="40"/>
  <c r="O145" i="40"/>
  <c r="Q145" i="40"/>
  <c r="S145" i="40"/>
  <c r="S165" i="40"/>
  <c r="Q165" i="40"/>
  <c r="O165" i="40"/>
  <c r="M165" i="40"/>
  <c r="K165" i="40"/>
  <c r="I165" i="40"/>
  <c r="G164" i="40"/>
  <c r="I164" i="40"/>
  <c r="K164" i="40"/>
  <c r="P163" i="40"/>
  <c r="L163" i="40"/>
  <c r="H163" i="40"/>
  <c r="G162" i="40"/>
  <c r="I162" i="40"/>
  <c r="K162" i="40"/>
  <c r="M162" i="40"/>
  <c r="O162" i="40"/>
  <c r="Q162" i="40"/>
  <c r="S162" i="40"/>
  <c r="P161" i="40"/>
  <c r="L161" i="40"/>
  <c r="H161" i="40"/>
  <c r="G160" i="40"/>
  <c r="I160" i="40"/>
  <c r="K160" i="40"/>
  <c r="M160" i="40"/>
  <c r="O160" i="40"/>
  <c r="Q160" i="40"/>
  <c r="S160" i="40"/>
  <c r="P159" i="40"/>
  <c r="L159" i="40"/>
  <c r="H159" i="40"/>
  <c r="G158" i="40"/>
  <c r="I158" i="40"/>
  <c r="K158" i="40"/>
  <c r="M158" i="40"/>
  <c r="O158" i="40"/>
  <c r="Q158" i="40"/>
  <c r="S158" i="40"/>
  <c r="P157" i="40"/>
  <c r="L157" i="40"/>
  <c r="H157" i="40"/>
  <c r="G156" i="40"/>
  <c r="I156" i="40"/>
  <c r="K156" i="40"/>
  <c r="M156" i="40"/>
  <c r="O156" i="40"/>
  <c r="Q156" i="40"/>
  <c r="S156" i="40"/>
  <c r="P155" i="40"/>
  <c r="L155" i="40"/>
  <c r="H155" i="40"/>
  <c r="G154" i="40"/>
  <c r="I154" i="40"/>
  <c r="K154" i="40"/>
  <c r="M154" i="40"/>
  <c r="O154" i="40"/>
  <c r="Q154" i="40"/>
  <c r="S154" i="40"/>
  <c r="P153" i="40"/>
  <c r="L153" i="40"/>
  <c r="H153" i="40"/>
  <c r="G152" i="40"/>
  <c r="I152" i="40"/>
  <c r="K152" i="40"/>
  <c r="M152" i="40"/>
  <c r="O152" i="40"/>
  <c r="Q152" i="40"/>
  <c r="S152" i="40"/>
  <c r="P151" i="40"/>
  <c r="L151" i="40"/>
  <c r="H151" i="40"/>
  <c r="G150" i="40"/>
  <c r="I150" i="40"/>
  <c r="K150" i="40"/>
  <c r="M150" i="40"/>
  <c r="O150" i="40"/>
  <c r="Q150" i="40"/>
  <c r="S150" i="40"/>
  <c r="P149" i="40"/>
  <c r="L149" i="40"/>
  <c r="H149" i="40"/>
  <c r="G148" i="40"/>
  <c r="I148" i="40"/>
  <c r="K148" i="40"/>
  <c r="M148" i="40"/>
  <c r="O148" i="40"/>
  <c r="Q148" i="40"/>
  <c r="S148" i="40"/>
  <c r="P147" i="40"/>
  <c r="L147" i="40"/>
  <c r="H147" i="40"/>
  <c r="G146" i="40"/>
  <c r="I146" i="40"/>
  <c r="K146" i="40"/>
  <c r="M146" i="40"/>
  <c r="O146" i="40"/>
  <c r="Q146" i="40"/>
  <c r="S146" i="40"/>
  <c r="S144" i="40"/>
  <c r="Q144" i="40"/>
  <c r="O144" i="40"/>
  <c r="M144" i="40"/>
  <c r="K144" i="40"/>
  <c r="I144" i="40"/>
  <c r="S143" i="40"/>
  <c r="Q143" i="40"/>
  <c r="O143" i="40"/>
  <c r="M143" i="40"/>
  <c r="K143" i="40"/>
  <c r="I143" i="40"/>
  <c r="S142" i="40"/>
  <c r="Q142" i="40"/>
  <c r="O142" i="40"/>
  <c r="M142" i="40"/>
  <c r="K142" i="40"/>
  <c r="I142" i="40"/>
  <c r="G141" i="40"/>
  <c r="I141" i="40"/>
  <c r="K141" i="40"/>
  <c r="M141" i="40"/>
  <c r="O141" i="40"/>
  <c r="P140" i="40"/>
  <c r="L140" i="40"/>
  <c r="G139" i="40"/>
  <c r="I139" i="40"/>
  <c r="K139" i="40"/>
  <c r="M139" i="40"/>
  <c r="O139" i="40"/>
  <c r="Q139" i="40"/>
  <c r="S139" i="40"/>
  <c r="P138" i="40"/>
  <c r="L138" i="40"/>
  <c r="G137" i="40"/>
  <c r="I137" i="40"/>
  <c r="K137" i="40"/>
  <c r="M137" i="40"/>
  <c r="O137" i="40"/>
  <c r="Q137" i="40"/>
  <c r="S137" i="40"/>
  <c r="P136" i="40"/>
  <c r="L136" i="40"/>
  <c r="G135" i="40"/>
  <c r="I135" i="40"/>
  <c r="K135" i="40"/>
  <c r="M135" i="40"/>
  <c r="O135" i="40"/>
  <c r="Q135" i="40"/>
  <c r="S135" i="40"/>
  <c r="P134" i="40"/>
  <c r="L134" i="40"/>
  <c r="G133" i="40"/>
  <c r="I133" i="40"/>
  <c r="K133" i="40"/>
  <c r="M133" i="40"/>
  <c r="O133" i="40"/>
  <c r="Q133" i="40"/>
  <c r="S133" i="40"/>
  <c r="G140" i="40"/>
  <c r="I140" i="40"/>
  <c r="K140" i="40"/>
  <c r="M140" i="40"/>
  <c r="O140" i="40"/>
  <c r="Q140" i="40"/>
  <c r="S140" i="40"/>
  <c r="G138" i="40"/>
  <c r="I138" i="40"/>
  <c r="K138" i="40"/>
  <c r="M138" i="40"/>
  <c r="O138" i="40"/>
  <c r="Q138" i="40"/>
  <c r="S138" i="40"/>
  <c r="G136" i="40"/>
  <c r="I136" i="40"/>
  <c r="K136" i="40"/>
  <c r="M136" i="40"/>
  <c r="O136" i="40"/>
  <c r="Q136" i="40"/>
  <c r="S136" i="40"/>
  <c r="G134" i="40"/>
  <c r="I134" i="40"/>
  <c r="K134" i="40"/>
  <c r="M134" i="40"/>
  <c r="O134" i="40"/>
  <c r="Q134" i="40"/>
  <c r="S134" i="40"/>
  <c r="G15" i="40"/>
  <c r="I15" i="40"/>
  <c r="K15" i="40"/>
  <c r="M15" i="40"/>
  <c r="P14" i="40"/>
  <c r="L14" i="40"/>
  <c r="G13" i="40"/>
  <c r="I13" i="40"/>
  <c r="K13" i="40"/>
  <c r="M13" i="40"/>
  <c r="O13" i="40"/>
  <c r="Q13" i="40"/>
  <c r="S13" i="40"/>
  <c r="P12" i="40"/>
  <c r="L12" i="40"/>
  <c r="G11" i="40"/>
  <c r="I11" i="40"/>
  <c r="K11" i="40"/>
  <c r="M11" i="40"/>
  <c r="O11" i="40"/>
  <c r="Q11" i="40"/>
  <c r="S11" i="40"/>
  <c r="P10" i="40"/>
  <c r="L10" i="40"/>
  <c r="G9" i="40"/>
  <c r="I9" i="40"/>
  <c r="K9" i="40"/>
  <c r="M9" i="40"/>
  <c r="O9" i="40"/>
  <c r="Q9" i="40"/>
  <c r="S9" i="40"/>
  <c r="P8" i="40"/>
  <c r="L8" i="40"/>
  <c r="G7" i="40"/>
  <c r="I7" i="40"/>
  <c r="K7" i="40"/>
  <c r="M7" i="40"/>
  <c r="O7" i="40"/>
  <c r="Q7" i="40"/>
  <c r="S7" i="40"/>
  <c r="P6" i="40"/>
  <c r="L6" i="40"/>
  <c r="S132" i="40"/>
  <c r="Q132" i="40"/>
  <c r="O132" i="40"/>
  <c r="M132" i="40"/>
  <c r="K132" i="40"/>
  <c r="I132" i="40"/>
  <c r="S131" i="40"/>
  <c r="Q131" i="40"/>
  <c r="O131" i="40"/>
  <c r="M131" i="40"/>
  <c r="K131" i="40"/>
  <c r="I131" i="40"/>
  <c r="M130" i="40"/>
  <c r="K130" i="40"/>
  <c r="I130" i="40"/>
  <c r="G14" i="40"/>
  <c r="I14" i="40"/>
  <c r="K14" i="40"/>
  <c r="M14" i="40"/>
  <c r="O14" i="40"/>
  <c r="Q14" i="40"/>
  <c r="S14" i="40"/>
  <c r="G12" i="40"/>
  <c r="I12" i="40"/>
  <c r="K12" i="40"/>
  <c r="M12" i="40"/>
  <c r="O12" i="40"/>
  <c r="Q12" i="40"/>
  <c r="S12" i="40"/>
  <c r="G10" i="40"/>
  <c r="I10" i="40"/>
  <c r="K10" i="40"/>
  <c r="M10" i="40"/>
  <c r="O10" i="40"/>
  <c r="Q10" i="40"/>
  <c r="S10" i="40"/>
  <c r="G8" i="40"/>
  <c r="I8" i="40"/>
  <c r="K8" i="40"/>
  <c r="M8" i="40"/>
  <c r="O8" i="40"/>
  <c r="Q8" i="40"/>
  <c r="S8" i="40"/>
  <c r="G6" i="40"/>
  <c r="I6" i="40"/>
  <c r="K6" i="40"/>
  <c r="M6" i="40"/>
  <c r="O6" i="40"/>
  <c r="Q6" i="40"/>
  <c r="S6" i="40"/>
  <c r="S5" i="40"/>
  <c r="Q5" i="40"/>
  <c r="O5" i="40"/>
  <c r="M5" i="40"/>
  <c r="K5" i="40"/>
  <c r="I5" i="40"/>
  <c r="S204" i="39"/>
  <c r="Q204" i="39"/>
  <c r="O204" i="39"/>
  <c r="M204" i="39"/>
  <c r="K204" i="39"/>
  <c r="I204" i="39"/>
  <c r="S203" i="39"/>
  <c r="Q203" i="39"/>
  <c r="O203" i="39"/>
  <c r="M203" i="39"/>
  <c r="K203" i="39"/>
  <c r="I203" i="39"/>
  <c r="S202" i="39"/>
  <c r="Q202" i="39"/>
  <c r="O202" i="39"/>
  <c r="M202" i="39"/>
  <c r="K202" i="39"/>
  <c r="I202" i="39"/>
  <c r="S201" i="39"/>
  <c r="Q201" i="39"/>
  <c r="O201" i="39"/>
  <c r="M201" i="39"/>
  <c r="K201" i="39"/>
  <c r="I201" i="39"/>
  <c r="S200" i="39"/>
  <c r="Q200" i="39"/>
  <c r="O200" i="39"/>
  <c r="M200" i="39"/>
  <c r="K200" i="39"/>
  <c r="I200" i="39"/>
  <c r="S199" i="39"/>
  <c r="Q199" i="39"/>
  <c r="O199" i="39"/>
  <c r="M199" i="39"/>
  <c r="K199" i="39"/>
  <c r="I199" i="39"/>
  <c r="S198" i="39"/>
  <c r="Q198" i="39"/>
  <c r="O198" i="39"/>
  <c r="M198" i="39"/>
  <c r="K198" i="39"/>
  <c r="I198" i="39"/>
  <c r="S197" i="39"/>
  <c r="Q197" i="39"/>
  <c r="O197" i="39"/>
  <c r="M197" i="39"/>
  <c r="K197" i="39"/>
  <c r="I197" i="39"/>
  <c r="S196" i="39"/>
  <c r="Q196" i="39"/>
  <c r="O196" i="39"/>
  <c r="M196" i="39"/>
  <c r="K196" i="39"/>
  <c r="I196" i="39"/>
  <c r="S195" i="39"/>
  <c r="Q195" i="39"/>
  <c r="O195" i="39"/>
  <c r="M195" i="39"/>
  <c r="K195" i="39"/>
  <c r="I195" i="39"/>
  <c r="S194" i="39"/>
  <c r="Q194" i="39"/>
  <c r="O194" i="39"/>
  <c r="M194" i="39"/>
  <c r="K194" i="39"/>
  <c r="I194" i="39"/>
  <c r="S193" i="39"/>
  <c r="Q193" i="39"/>
  <c r="O193" i="39"/>
  <c r="M193" i="39"/>
  <c r="K193" i="39"/>
  <c r="I193" i="39"/>
  <c r="S192" i="39"/>
  <c r="Q192" i="39"/>
  <c r="O192" i="39"/>
  <c r="M192" i="39"/>
  <c r="K192" i="39"/>
  <c r="I192" i="39"/>
  <c r="S191" i="39"/>
  <c r="Q191" i="39"/>
  <c r="O191" i="39"/>
  <c r="M191" i="39"/>
  <c r="K191" i="39"/>
  <c r="I191" i="39"/>
  <c r="S190" i="39"/>
  <c r="Q190" i="39"/>
  <c r="O190" i="39"/>
  <c r="M190" i="39"/>
  <c r="K190" i="39"/>
  <c r="I190" i="39"/>
  <c r="S189" i="39"/>
  <c r="Q189" i="39"/>
  <c r="O189" i="39"/>
  <c r="M189" i="39"/>
  <c r="K189" i="39"/>
  <c r="I189" i="39"/>
  <c r="S188" i="39"/>
  <c r="Q188" i="39"/>
  <c r="O188" i="39"/>
  <c r="M188" i="39"/>
  <c r="K188" i="39"/>
  <c r="I188" i="39"/>
  <c r="S187" i="39"/>
  <c r="Q187" i="39"/>
  <c r="O187" i="39"/>
  <c r="M187" i="39"/>
  <c r="K187" i="39"/>
  <c r="I187" i="39"/>
  <c r="S186" i="39"/>
  <c r="Q186" i="39"/>
  <c r="O186" i="39"/>
  <c r="M186" i="39"/>
  <c r="K186" i="39"/>
  <c r="I186" i="39"/>
  <c r="S185" i="39"/>
  <c r="Q185" i="39"/>
  <c r="O185" i="39"/>
  <c r="M185" i="39"/>
  <c r="K185" i="39"/>
  <c r="I185" i="39"/>
  <c r="S184" i="39"/>
  <c r="Q184" i="39"/>
  <c r="O184" i="39"/>
  <c r="M184" i="39"/>
  <c r="K184" i="39"/>
  <c r="I184" i="39"/>
  <c r="S183" i="39"/>
  <c r="Q183" i="39"/>
  <c r="O183" i="39"/>
  <c r="M183" i="39"/>
  <c r="K183" i="39"/>
  <c r="I183" i="39"/>
  <c r="S182" i="39"/>
  <c r="Q182" i="39"/>
  <c r="O182" i="39"/>
  <c r="M182" i="39"/>
  <c r="K182" i="39"/>
  <c r="I182" i="39"/>
  <c r="S181" i="39"/>
  <c r="Q181" i="39"/>
  <c r="O181" i="39"/>
  <c r="M181" i="39"/>
  <c r="K181" i="39"/>
  <c r="I181" i="39"/>
  <c r="S180" i="39"/>
  <c r="Q180" i="39"/>
  <c r="O180" i="39"/>
  <c r="M180" i="39"/>
  <c r="K180" i="39"/>
  <c r="I180" i="39"/>
  <c r="S179" i="39"/>
  <c r="Q179" i="39"/>
  <c r="O179" i="39"/>
  <c r="M179" i="39"/>
  <c r="K179" i="39"/>
  <c r="I179" i="39"/>
  <c r="S178" i="39"/>
  <c r="Q178" i="39"/>
  <c r="O178" i="39"/>
  <c r="M178" i="39"/>
  <c r="K178" i="39"/>
  <c r="I178" i="39"/>
  <c r="S177" i="39"/>
  <c r="Q177" i="39"/>
  <c r="O177" i="39"/>
  <c r="M177" i="39"/>
  <c r="K177" i="39"/>
  <c r="I177" i="39"/>
  <c r="G176" i="39"/>
  <c r="I176" i="39"/>
  <c r="K176" i="39"/>
  <c r="M176" i="39"/>
  <c r="O176" i="39"/>
  <c r="Q176" i="39"/>
  <c r="S176" i="39"/>
  <c r="P175" i="39"/>
  <c r="L175" i="39"/>
  <c r="G174" i="39"/>
  <c r="I174" i="39"/>
  <c r="K174" i="39"/>
  <c r="M174" i="39"/>
  <c r="O174" i="39"/>
  <c r="Q174" i="39"/>
  <c r="S174" i="39"/>
  <c r="P173" i="39"/>
  <c r="L173" i="39"/>
  <c r="G172" i="39"/>
  <c r="I172" i="39"/>
  <c r="K172" i="39"/>
  <c r="M172" i="39"/>
  <c r="O172" i="39"/>
  <c r="Q172" i="39"/>
  <c r="S172" i="39"/>
  <c r="P171" i="39"/>
  <c r="L171" i="39"/>
  <c r="G170" i="39"/>
  <c r="I170" i="39"/>
  <c r="K170" i="39"/>
  <c r="M170" i="39"/>
  <c r="O170" i="39"/>
  <c r="Q170" i="39"/>
  <c r="S170" i="39"/>
  <c r="P169" i="39"/>
  <c r="L169" i="39"/>
  <c r="G168" i="39"/>
  <c r="I168" i="39"/>
  <c r="K168" i="39"/>
  <c r="M168" i="39"/>
  <c r="O168" i="39"/>
  <c r="Q168" i="39"/>
  <c r="S168" i="39"/>
  <c r="P167" i="39"/>
  <c r="L167" i="39"/>
  <c r="G166" i="39"/>
  <c r="I166" i="39"/>
  <c r="K166" i="39"/>
  <c r="M166" i="39"/>
  <c r="O166" i="39"/>
  <c r="Q166" i="39"/>
  <c r="S166" i="39"/>
  <c r="P165" i="39"/>
  <c r="L165" i="39"/>
  <c r="G164" i="39"/>
  <c r="I164" i="39"/>
  <c r="K164" i="39"/>
  <c r="M164" i="39"/>
  <c r="O164" i="39"/>
  <c r="Q164" i="39"/>
  <c r="S164" i="39"/>
  <c r="P163" i="39"/>
  <c r="L163" i="39"/>
  <c r="G162" i="39"/>
  <c r="I162" i="39"/>
  <c r="K162" i="39"/>
  <c r="M162" i="39"/>
  <c r="O162" i="39"/>
  <c r="Q162" i="39"/>
  <c r="S162" i="39"/>
  <c r="P161" i="39"/>
  <c r="L161" i="39"/>
  <c r="G160" i="39"/>
  <c r="I160" i="39"/>
  <c r="K160" i="39"/>
  <c r="M160" i="39"/>
  <c r="O160" i="39"/>
  <c r="Q160" i="39"/>
  <c r="S160" i="39"/>
  <c r="P159" i="39"/>
  <c r="L159" i="39"/>
  <c r="G158" i="39"/>
  <c r="I158" i="39"/>
  <c r="K158" i="39"/>
  <c r="M158" i="39"/>
  <c r="O158" i="39"/>
  <c r="Q158" i="39"/>
  <c r="S158" i="39"/>
  <c r="G175" i="39"/>
  <c r="I175" i="39"/>
  <c r="K175" i="39"/>
  <c r="M175" i="39"/>
  <c r="O175" i="39"/>
  <c r="Q175" i="39"/>
  <c r="S175" i="39"/>
  <c r="G173" i="39"/>
  <c r="I173" i="39"/>
  <c r="K173" i="39"/>
  <c r="M173" i="39"/>
  <c r="O173" i="39"/>
  <c r="Q173" i="39"/>
  <c r="S173" i="39"/>
  <c r="G171" i="39"/>
  <c r="I171" i="39"/>
  <c r="K171" i="39"/>
  <c r="M171" i="39"/>
  <c r="O171" i="39"/>
  <c r="Q171" i="39"/>
  <c r="S171" i="39"/>
  <c r="G169" i="39"/>
  <c r="I169" i="39"/>
  <c r="K169" i="39"/>
  <c r="M169" i="39"/>
  <c r="O169" i="39"/>
  <c r="Q169" i="39"/>
  <c r="S169" i="39"/>
  <c r="G167" i="39"/>
  <c r="I167" i="39"/>
  <c r="K167" i="39"/>
  <c r="M167" i="39"/>
  <c r="O167" i="39"/>
  <c r="Q167" i="39"/>
  <c r="S167" i="39"/>
  <c r="G165" i="39"/>
  <c r="I165" i="39"/>
  <c r="K165" i="39"/>
  <c r="M165" i="39"/>
  <c r="O165" i="39"/>
  <c r="Q165" i="39"/>
  <c r="S165" i="39"/>
  <c r="G163" i="39"/>
  <c r="I163" i="39"/>
  <c r="K163" i="39"/>
  <c r="M163" i="39"/>
  <c r="O163" i="39"/>
  <c r="Q163" i="39"/>
  <c r="S163" i="39"/>
  <c r="G161" i="39"/>
  <c r="I161" i="39"/>
  <c r="K161" i="39"/>
  <c r="M161" i="39"/>
  <c r="O161" i="39"/>
  <c r="Q161" i="39"/>
  <c r="S161" i="39"/>
  <c r="G159" i="39"/>
  <c r="I159" i="39"/>
  <c r="K159" i="39"/>
  <c r="M159" i="39"/>
  <c r="O159" i="39"/>
  <c r="Q159" i="39"/>
  <c r="S159" i="39"/>
  <c r="G155" i="39"/>
  <c r="I155" i="39"/>
  <c r="K155" i="39"/>
  <c r="M155" i="39"/>
  <c r="O155" i="39"/>
  <c r="Q155" i="39"/>
  <c r="S155" i="39"/>
  <c r="G153" i="39"/>
  <c r="I153" i="39"/>
  <c r="K153" i="39"/>
  <c r="M153" i="39"/>
  <c r="O153" i="39"/>
  <c r="Q153" i="39"/>
  <c r="S153" i="39"/>
  <c r="G151" i="39"/>
  <c r="I151" i="39"/>
  <c r="K151" i="39"/>
  <c r="M151" i="39"/>
  <c r="O151" i="39"/>
  <c r="Q151" i="39"/>
  <c r="S151" i="39"/>
  <c r="G149" i="39"/>
  <c r="I149" i="39"/>
  <c r="K149" i="39"/>
  <c r="M149" i="39"/>
  <c r="O149" i="39"/>
  <c r="Q149" i="39"/>
  <c r="S149" i="39"/>
  <c r="G147" i="39"/>
  <c r="I147" i="39"/>
  <c r="K147" i="39"/>
  <c r="M147" i="39"/>
  <c r="O147" i="39"/>
  <c r="Q147" i="39"/>
  <c r="S147" i="39"/>
  <c r="G145" i="39"/>
  <c r="I145" i="39"/>
  <c r="K145" i="39"/>
  <c r="M145" i="39"/>
  <c r="O145" i="39"/>
  <c r="Q145" i="39"/>
  <c r="S145" i="39"/>
  <c r="G143" i="39"/>
  <c r="I143" i="39"/>
  <c r="K143" i="39"/>
  <c r="M143" i="39"/>
  <c r="O143" i="39"/>
  <c r="Q143" i="39"/>
  <c r="S143" i="39"/>
  <c r="G141" i="39"/>
  <c r="I141" i="39"/>
  <c r="K141" i="39"/>
  <c r="M141" i="39"/>
  <c r="O141" i="39"/>
  <c r="Q141" i="39"/>
  <c r="S141" i="39"/>
  <c r="G139" i="39"/>
  <c r="I139" i="39"/>
  <c r="K139" i="39"/>
  <c r="M139" i="39"/>
  <c r="O139" i="39"/>
  <c r="Q139" i="39"/>
  <c r="S139" i="39"/>
  <c r="G137" i="39"/>
  <c r="I137" i="39"/>
  <c r="K137" i="39"/>
  <c r="M137" i="39"/>
  <c r="O137" i="39"/>
  <c r="Q137" i="39"/>
  <c r="S137" i="39"/>
  <c r="S157" i="39"/>
  <c r="Q157" i="39"/>
  <c r="O157" i="39"/>
  <c r="M157" i="39"/>
  <c r="K157" i="39"/>
  <c r="I157" i="39"/>
  <c r="G156" i="39"/>
  <c r="I156" i="39"/>
  <c r="K156" i="39"/>
  <c r="P155" i="39"/>
  <c r="L155" i="39"/>
  <c r="H155" i="39"/>
  <c r="G154" i="39"/>
  <c r="I154" i="39"/>
  <c r="K154" i="39"/>
  <c r="M154" i="39"/>
  <c r="O154" i="39"/>
  <c r="Q154" i="39"/>
  <c r="S154" i="39"/>
  <c r="P153" i="39"/>
  <c r="L153" i="39"/>
  <c r="H153" i="39"/>
  <c r="G152" i="39"/>
  <c r="I152" i="39"/>
  <c r="K152" i="39"/>
  <c r="M152" i="39"/>
  <c r="O152" i="39"/>
  <c r="Q152" i="39"/>
  <c r="S152" i="39"/>
  <c r="P151" i="39"/>
  <c r="L151" i="39"/>
  <c r="H151" i="39"/>
  <c r="G150" i="39"/>
  <c r="I150" i="39"/>
  <c r="K150" i="39"/>
  <c r="M150" i="39"/>
  <c r="O150" i="39"/>
  <c r="Q150" i="39"/>
  <c r="S150" i="39"/>
  <c r="P149" i="39"/>
  <c r="L149" i="39"/>
  <c r="H149" i="39"/>
  <c r="G148" i="39"/>
  <c r="I148" i="39"/>
  <c r="K148" i="39"/>
  <c r="M148" i="39"/>
  <c r="O148" i="39"/>
  <c r="Q148" i="39"/>
  <c r="S148" i="39"/>
  <c r="P147" i="39"/>
  <c r="L147" i="39"/>
  <c r="H147" i="39"/>
  <c r="G146" i="39"/>
  <c r="I146" i="39"/>
  <c r="K146" i="39"/>
  <c r="M146" i="39"/>
  <c r="O146" i="39"/>
  <c r="Q146" i="39"/>
  <c r="S146" i="39"/>
  <c r="P145" i="39"/>
  <c r="L145" i="39"/>
  <c r="H145" i="39"/>
  <c r="G144" i="39"/>
  <c r="I144" i="39"/>
  <c r="K144" i="39"/>
  <c r="M144" i="39"/>
  <c r="O144" i="39"/>
  <c r="Q144" i="39"/>
  <c r="S144" i="39"/>
  <c r="P143" i="39"/>
  <c r="L143" i="39"/>
  <c r="H143" i="39"/>
  <c r="G142" i="39"/>
  <c r="I142" i="39"/>
  <c r="K142" i="39"/>
  <c r="M142" i="39"/>
  <c r="O142" i="39"/>
  <c r="Q142" i="39"/>
  <c r="S142" i="39"/>
  <c r="P141" i="39"/>
  <c r="L141" i="39"/>
  <c r="H141" i="39"/>
  <c r="G140" i="39"/>
  <c r="I140" i="39"/>
  <c r="K140" i="39"/>
  <c r="M140" i="39"/>
  <c r="O140" i="39"/>
  <c r="Q140" i="39"/>
  <c r="S140" i="39"/>
  <c r="P139" i="39"/>
  <c r="L139" i="39"/>
  <c r="H139" i="39"/>
  <c r="G138" i="39"/>
  <c r="I138" i="39"/>
  <c r="K138" i="39"/>
  <c r="M138" i="39"/>
  <c r="O138" i="39"/>
  <c r="Q138" i="39"/>
  <c r="S138" i="39"/>
  <c r="S136" i="39"/>
  <c r="Q136" i="39"/>
  <c r="O136" i="39"/>
  <c r="M136" i="39"/>
  <c r="K136" i="39"/>
  <c r="I136" i="39"/>
  <c r="S135" i="39"/>
  <c r="Q135" i="39"/>
  <c r="O135" i="39"/>
  <c r="M135" i="39"/>
  <c r="K135" i="39"/>
  <c r="I135" i="39"/>
  <c r="S134" i="39"/>
  <c r="Q134" i="39"/>
  <c r="O134" i="39"/>
  <c r="M134" i="39"/>
  <c r="K134" i="39"/>
  <c r="I134" i="39"/>
  <c r="G133" i="39"/>
  <c r="I133" i="39"/>
  <c r="K133" i="39"/>
  <c r="M133" i="39"/>
  <c r="O133" i="39"/>
  <c r="P132" i="39"/>
  <c r="L132" i="39"/>
  <c r="G131" i="39"/>
  <c r="I131" i="39"/>
  <c r="K131" i="39"/>
  <c r="M131" i="39"/>
  <c r="O131" i="39"/>
  <c r="Q131" i="39"/>
  <c r="S131" i="39"/>
  <c r="P130" i="39"/>
  <c r="L130" i="39"/>
  <c r="G129" i="39"/>
  <c r="I129" i="39"/>
  <c r="K129" i="39"/>
  <c r="M129" i="39"/>
  <c r="O129" i="39"/>
  <c r="Q129" i="39"/>
  <c r="S129" i="39"/>
  <c r="P128" i="39"/>
  <c r="L128" i="39"/>
  <c r="G127" i="39"/>
  <c r="I127" i="39"/>
  <c r="K127" i="39"/>
  <c r="M127" i="39"/>
  <c r="O127" i="39"/>
  <c r="Q127" i="39"/>
  <c r="S127" i="39"/>
  <c r="P126" i="39"/>
  <c r="L126" i="39"/>
  <c r="G125" i="39"/>
  <c r="I125" i="39"/>
  <c r="K125" i="39"/>
  <c r="M125" i="39"/>
  <c r="O125" i="39"/>
  <c r="Q125" i="39"/>
  <c r="S125" i="39"/>
  <c r="G132" i="39"/>
  <c r="I132" i="39"/>
  <c r="K132" i="39"/>
  <c r="M132" i="39"/>
  <c r="O132" i="39"/>
  <c r="Q132" i="39"/>
  <c r="S132" i="39"/>
  <c r="G130" i="39"/>
  <c r="I130" i="39"/>
  <c r="K130" i="39"/>
  <c r="M130" i="39"/>
  <c r="O130" i="39"/>
  <c r="Q130" i="39"/>
  <c r="S130" i="39"/>
  <c r="G128" i="39"/>
  <c r="I128" i="39"/>
  <c r="K128" i="39"/>
  <c r="M128" i="39"/>
  <c r="O128" i="39"/>
  <c r="Q128" i="39"/>
  <c r="S128" i="39"/>
  <c r="G126" i="39"/>
  <c r="I126" i="39"/>
  <c r="K126" i="39"/>
  <c r="M126" i="39"/>
  <c r="O126" i="39"/>
  <c r="Q126" i="39"/>
  <c r="S126" i="39"/>
  <c r="G15" i="39"/>
  <c r="I15" i="39"/>
  <c r="K15" i="39"/>
  <c r="M15" i="39"/>
  <c r="P14" i="39"/>
  <c r="L14" i="39"/>
  <c r="G13" i="39"/>
  <c r="I13" i="39"/>
  <c r="K13" i="39"/>
  <c r="M13" i="39"/>
  <c r="O13" i="39"/>
  <c r="Q13" i="39"/>
  <c r="S13" i="39"/>
  <c r="P12" i="39"/>
  <c r="L12" i="39"/>
  <c r="G11" i="39"/>
  <c r="I11" i="39"/>
  <c r="K11" i="39"/>
  <c r="M11" i="39"/>
  <c r="O11" i="39"/>
  <c r="Q11" i="39"/>
  <c r="S11" i="39"/>
  <c r="P10" i="39"/>
  <c r="L10" i="39"/>
  <c r="G9" i="39"/>
  <c r="I9" i="39"/>
  <c r="K9" i="39"/>
  <c r="M9" i="39"/>
  <c r="O9" i="39"/>
  <c r="Q9" i="39"/>
  <c r="S9" i="39"/>
  <c r="P8" i="39"/>
  <c r="L8" i="39"/>
  <c r="G7" i="39"/>
  <c r="I7" i="39"/>
  <c r="K7" i="39"/>
  <c r="M7" i="39"/>
  <c r="O7" i="39"/>
  <c r="Q7" i="39"/>
  <c r="S7" i="39"/>
  <c r="P6" i="39"/>
  <c r="L6" i="39"/>
  <c r="S124" i="39"/>
  <c r="Q124" i="39"/>
  <c r="O124" i="39"/>
  <c r="M124" i="39"/>
  <c r="K124" i="39"/>
  <c r="I124" i="39"/>
  <c r="S123" i="39"/>
  <c r="Q123" i="39"/>
  <c r="O123" i="39"/>
  <c r="M123" i="39"/>
  <c r="K123" i="39"/>
  <c r="I123" i="39"/>
  <c r="M122" i="39"/>
  <c r="K122" i="39"/>
  <c r="I122" i="39"/>
  <c r="G14" i="39"/>
  <c r="I14" i="39"/>
  <c r="K14" i="39"/>
  <c r="M14" i="39"/>
  <c r="O14" i="39"/>
  <c r="Q14" i="39"/>
  <c r="S14" i="39"/>
  <c r="G12" i="39"/>
  <c r="I12" i="39"/>
  <c r="K12" i="39"/>
  <c r="M12" i="39"/>
  <c r="O12" i="39"/>
  <c r="Q12" i="39"/>
  <c r="S12" i="39"/>
  <c r="G10" i="39"/>
  <c r="I10" i="39"/>
  <c r="K10" i="39"/>
  <c r="M10" i="39"/>
  <c r="O10" i="39"/>
  <c r="Q10" i="39"/>
  <c r="S10" i="39"/>
  <c r="G8" i="39"/>
  <c r="I8" i="39"/>
  <c r="K8" i="39"/>
  <c r="M8" i="39"/>
  <c r="O8" i="39"/>
  <c r="Q8" i="39"/>
  <c r="S8" i="39"/>
  <c r="G6" i="39"/>
  <c r="I6" i="39"/>
  <c r="K6" i="39"/>
  <c r="M6" i="39"/>
  <c r="O6" i="39"/>
  <c r="Q6" i="39"/>
  <c r="S6" i="39"/>
  <c r="S5" i="39"/>
  <c r="Q5" i="39"/>
  <c r="O5" i="39"/>
  <c r="M5" i="39"/>
  <c r="K5" i="39"/>
  <c r="I5" i="39"/>
  <c r="G100" i="37"/>
  <c r="I100" i="37"/>
  <c r="K100" i="37"/>
  <c r="M100" i="37"/>
  <c r="O100" i="37"/>
  <c r="Q100" i="37"/>
  <c r="P99" i="37"/>
  <c r="L99" i="37"/>
  <c r="G98" i="37"/>
  <c r="I98" i="37"/>
  <c r="K98" i="37"/>
  <c r="M98" i="37"/>
  <c r="O98" i="37"/>
  <c r="Q98" i="37"/>
  <c r="S98" i="37"/>
  <c r="P97" i="37"/>
  <c r="L97" i="37"/>
  <c r="G96" i="37"/>
  <c r="I96" i="37"/>
  <c r="K96" i="37"/>
  <c r="M96" i="37"/>
  <c r="O96" i="37"/>
  <c r="Q96" i="37"/>
  <c r="S96" i="37"/>
  <c r="P95" i="37"/>
  <c r="L95" i="37"/>
  <c r="G94" i="37"/>
  <c r="I94" i="37"/>
  <c r="K94" i="37"/>
  <c r="M94" i="37"/>
  <c r="O94" i="37"/>
  <c r="Q94" i="37"/>
  <c r="S94" i="37"/>
  <c r="P93" i="37"/>
  <c r="L93" i="37"/>
  <c r="G99" i="37"/>
  <c r="I99" i="37"/>
  <c r="K99" i="37"/>
  <c r="M99" i="37"/>
  <c r="O99" i="37"/>
  <c r="Q99" i="37"/>
  <c r="S99" i="37"/>
  <c r="G97" i="37"/>
  <c r="I97" i="37"/>
  <c r="K97" i="37"/>
  <c r="M97" i="37"/>
  <c r="O97" i="37"/>
  <c r="Q97" i="37"/>
  <c r="S97" i="37"/>
  <c r="G95" i="37"/>
  <c r="I95" i="37"/>
  <c r="K95" i="37"/>
  <c r="M95" i="37"/>
  <c r="O95" i="37"/>
  <c r="Q95" i="37"/>
  <c r="S95" i="37"/>
  <c r="G93" i="37"/>
  <c r="I93" i="37"/>
  <c r="K93" i="37"/>
  <c r="M93" i="37"/>
  <c r="O93" i="37"/>
  <c r="Q93" i="37"/>
  <c r="S93" i="37"/>
  <c r="S92" i="37"/>
  <c r="Q92" i="37"/>
  <c r="O92" i="37"/>
  <c r="M92" i="37"/>
  <c r="K92" i="37"/>
  <c r="I92" i="37"/>
  <c r="S91" i="37"/>
  <c r="Q91" i="37"/>
  <c r="O91" i="37"/>
  <c r="M91" i="37"/>
  <c r="K91" i="37"/>
  <c r="I91" i="37"/>
  <c r="M90" i="37"/>
  <c r="K90" i="37"/>
  <c r="I90" i="37"/>
  <c r="S204" i="36"/>
  <c r="Q204" i="36"/>
  <c r="O204" i="36"/>
  <c r="M204" i="36"/>
  <c r="K204" i="36"/>
  <c r="I204" i="36"/>
  <c r="S203" i="36"/>
  <c r="Q203" i="36"/>
  <c r="O203" i="36"/>
  <c r="M203" i="36"/>
  <c r="K203" i="36"/>
  <c r="I203" i="36"/>
  <c r="S202" i="36"/>
  <c r="Q202" i="36"/>
  <c r="O202" i="36"/>
  <c r="M202" i="36"/>
  <c r="K202" i="36"/>
  <c r="I202" i="36"/>
  <c r="S201" i="36"/>
  <c r="Q201" i="36"/>
  <c r="O201" i="36"/>
  <c r="M201" i="36"/>
  <c r="K201" i="36"/>
  <c r="I201" i="36"/>
  <c r="S200" i="36"/>
  <c r="Q200" i="36"/>
  <c r="O200" i="36"/>
  <c r="M200" i="36"/>
  <c r="K200" i="36"/>
  <c r="I200" i="36"/>
  <c r="S199" i="36"/>
  <c r="Q199" i="36"/>
  <c r="O199" i="36"/>
  <c r="M199" i="36"/>
  <c r="K199" i="36"/>
  <c r="I199" i="36"/>
  <c r="S198" i="36"/>
  <c r="Q198" i="36"/>
  <c r="O198" i="36"/>
  <c r="M198" i="36"/>
  <c r="K198" i="36"/>
  <c r="I198" i="36"/>
  <c r="S197" i="36"/>
  <c r="Q197" i="36"/>
  <c r="O197" i="36"/>
  <c r="M197" i="36"/>
  <c r="K197" i="36"/>
  <c r="I197" i="36"/>
  <c r="S196" i="36"/>
  <c r="Q196" i="36"/>
  <c r="O196" i="36"/>
  <c r="M196" i="36"/>
  <c r="K196" i="36"/>
  <c r="I196" i="36"/>
  <c r="S195" i="36"/>
  <c r="Q195" i="36"/>
  <c r="O195" i="36"/>
  <c r="M195" i="36"/>
  <c r="K195" i="36"/>
  <c r="I195" i="36"/>
  <c r="G194" i="36"/>
  <c r="I194" i="36"/>
  <c r="K194" i="36"/>
  <c r="M194" i="36"/>
  <c r="O194" i="36"/>
  <c r="P193" i="36"/>
  <c r="L193" i="36"/>
  <c r="G192" i="36"/>
  <c r="I192" i="36"/>
  <c r="K192" i="36"/>
  <c r="M192" i="36"/>
  <c r="O192" i="36"/>
  <c r="Q192" i="36"/>
  <c r="S192" i="36"/>
  <c r="P191" i="36"/>
  <c r="L191" i="36"/>
  <c r="G190" i="36"/>
  <c r="I190" i="36"/>
  <c r="K190" i="36"/>
  <c r="M190" i="36"/>
  <c r="O190" i="36"/>
  <c r="Q190" i="36"/>
  <c r="S190" i="36"/>
  <c r="L189" i="36"/>
  <c r="G188" i="36"/>
  <c r="I188" i="36"/>
  <c r="K188" i="36"/>
  <c r="M188" i="36"/>
  <c r="O188" i="36"/>
  <c r="Q188" i="36"/>
  <c r="S188" i="36"/>
  <c r="G186" i="36"/>
  <c r="I186" i="36"/>
  <c r="K186" i="36"/>
  <c r="M186" i="36"/>
  <c r="O186" i="36"/>
  <c r="Q186" i="36"/>
  <c r="S186" i="36"/>
  <c r="G193" i="36"/>
  <c r="I193" i="36"/>
  <c r="K193" i="36"/>
  <c r="M193" i="36"/>
  <c r="O193" i="36"/>
  <c r="Q193" i="36"/>
  <c r="S193" i="36"/>
  <c r="G191" i="36"/>
  <c r="I191" i="36"/>
  <c r="K191" i="36"/>
  <c r="M191" i="36"/>
  <c r="O191" i="36"/>
  <c r="Q191" i="36"/>
  <c r="S191" i="36"/>
  <c r="G189" i="36"/>
  <c r="I189" i="36"/>
  <c r="K189" i="36"/>
  <c r="M189" i="36"/>
  <c r="O189" i="36"/>
  <c r="Q189" i="36"/>
  <c r="S189" i="36"/>
  <c r="G187" i="36"/>
  <c r="I187" i="36"/>
  <c r="K187" i="36"/>
  <c r="M187" i="36"/>
  <c r="O187" i="36"/>
  <c r="Q187" i="36"/>
  <c r="S187" i="36"/>
  <c r="H186" i="36"/>
  <c r="G15" i="36"/>
  <c r="I15" i="36"/>
  <c r="K15" i="36"/>
  <c r="M15" i="36"/>
  <c r="P14" i="36"/>
  <c r="L14" i="36"/>
  <c r="G13" i="36"/>
  <c r="I13" i="36"/>
  <c r="K13" i="36"/>
  <c r="M13" i="36"/>
  <c r="O13" i="36"/>
  <c r="Q13" i="36"/>
  <c r="S13" i="36"/>
  <c r="P12" i="36"/>
  <c r="L12" i="36"/>
  <c r="G11" i="36"/>
  <c r="I11" i="36"/>
  <c r="K11" i="36"/>
  <c r="M11" i="36"/>
  <c r="O11" i="36"/>
  <c r="Q11" i="36"/>
  <c r="S11" i="36"/>
  <c r="P10" i="36"/>
  <c r="L10" i="36"/>
  <c r="G9" i="36"/>
  <c r="I9" i="36"/>
  <c r="K9" i="36"/>
  <c r="M9" i="36"/>
  <c r="O9" i="36"/>
  <c r="Q9" i="36"/>
  <c r="S9" i="36"/>
  <c r="P8" i="36"/>
  <c r="L8" i="36"/>
  <c r="G7" i="36"/>
  <c r="I7" i="36"/>
  <c r="K7" i="36"/>
  <c r="M7" i="36"/>
  <c r="O7" i="36"/>
  <c r="Q7" i="36"/>
  <c r="S7" i="36"/>
  <c r="P6" i="36"/>
  <c r="L6" i="36"/>
  <c r="S185" i="36"/>
  <c r="Q185" i="36"/>
  <c r="O185" i="36"/>
  <c r="M185" i="36"/>
  <c r="K185" i="36"/>
  <c r="I185" i="36"/>
  <c r="S184" i="36"/>
  <c r="Q184" i="36"/>
  <c r="O184" i="36"/>
  <c r="M184" i="36"/>
  <c r="K184" i="36"/>
  <c r="I184" i="36"/>
  <c r="M183" i="36"/>
  <c r="K183" i="36"/>
  <c r="I183" i="36"/>
  <c r="G14" i="36"/>
  <c r="I14" i="36"/>
  <c r="K14" i="36"/>
  <c r="M14" i="36"/>
  <c r="O14" i="36"/>
  <c r="Q14" i="36"/>
  <c r="S14" i="36"/>
  <c r="G12" i="36"/>
  <c r="I12" i="36"/>
  <c r="K12" i="36"/>
  <c r="M12" i="36"/>
  <c r="O12" i="36"/>
  <c r="Q12" i="36"/>
  <c r="S12" i="36"/>
  <c r="G10" i="36"/>
  <c r="I10" i="36"/>
  <c r="K10" i="36"/>
  <c r="M10" i="36"/>
  <c r="O10" i="36"/>
  <c r="Q10" i="36"/>
  <c r="S10" i="36"/>
  <c r="G8" i="36"/>
  <c r="I8" i="36"/>
  <c r="K8" i="36"/>
  <c r="M8" i="36"/>
  <c r="O8" i="36"/>
  <c r="Q8" i="36"/>
  <c r="S8" i="36"/>
  <c r="G6" i="36"/>
  <c r="I6" i="36"/>
  <c r="K6" i="36"/>
  <c r="M6" i="36"/>
  <c r="O6" i="36"/>
  <c r="Q6" i="36"/>
  <c r="S6" i="36"/>
  <c r="S5" i="36"/>
  <c r="Q5" i="36"/>
  <c r="O5" i="36"/>
  <c r="M5" i="36"/>
  <c r="K5" i="36"/>
  <c r="I5" i="36"/>
  <c r="I36" i="16"/>
  <c r="I37" i="16"/>
  <c r="I38" i="16"/>
  <c r="I39" i="16"/>
  <c r="I40" i="16"/>
  <c r="I41" i="16"/>
  <c r="I42" i="16"/>
  <c r="I43" i="16"/>
  <c r="J7" i="16"/>
  <c r="J8" i="16"/>
  <c r="J9" i="16"/>
  <c r="J10" i="16"/>
  <c r="J11" i="16"/>
  <c r="J12" i="16"/>
  <c r="J13" i="16"/>
  <c r="J14" i="16"/>
  <c r="J18" i="16"/>
  <c r="J19" i="16"/>
  <c r="J20" i="16"/>
  <c r="J21" i="16"/>
  <c r="J22" i="16"/>
  <c r="J26" i="16"/>
  <c r="J27" i="16"/>
  <c r="J28" i="16"/>
  <c r="J29" i="16"/>
  <c r="J30" i="16"/>
  <c r="J47" i="16"/>
  <c r="J48" i="16"/>
  <c r="J49" i="16"/>
  <c r="J50" i="16"/>
  <c r="J51" i="16"/>
  <c r="J55" i="16"/>
  <c r="J56" i="16"/>
  <c r="J57" i="16"/>
  <c r="J58" i="16"/>
  <c r="J59" i="16"/>
  <c r="P7" i="16"/>
  <c r="P8" i="16"/>
  <c r="P9" i="16"/>
  <c r="P10" i="16"/>
  <c r="P11" i="16"/>
  <c r="P12" i="16"/>
  <c r="P13" i="16"/>
  <c r="P14" i="16"/>
  <c r="P18" i="16"/>
  <c r="P19" i="16"/>
  <c r="P20" i="16"/>
  <c r="P21" i="16"/>
  <c r="P22" i="16"/>
  <c r="P26" i="16"/>
  <c r="P27" i="16"/>
  <c r="P28" i="16"/>
  <c r="P29" i="16"/>
  <c r="P30" i="16"/>
  <c r="P36" i="16"/>
  <c r="P37" i="16"/>
  <c r="P38" i="16"/>
  <c r="P39" i="16"/>
  <c r="P40" i="16"/>
  <c r="P41" i="16"/>
  <c r="P42" i="16"/>
  <c r="P43" i="16"/>
  <c r="P47" i="16"/>
  <c r="P52" i="16" s="1"/>
  <c r="P48" i="16"/>
  <c r="P49" i="16"/>
  <c r="P50" i="16"/>
  <c r="P51" i="16"/>
  <c r="P55" i="16"/>
  <c r="P56" i="16"/>
  <c r="P57" i="16"/>
  <c r="P58" i="16"/>
  <c r="P59" i="16"/>
  <c r="Q7" i="16"/>
  <c r="Q8" i="16"/>
  <c r="Q9" i="16"/>
  <c r="Q10" i="16"/>
  <c r="Q11" i="16"/>
  <c r="Q12" i="16"/>
  <c r="Q13" i="16"/>
  <c r="Q14" i="16"/>
  <c r="Q18" i="16"/>
  <c r="Q19" i="16"/>
  <c r="Q20" i="16"/>
  <c r="Q21" i="16"/>
  <c r="Q22" i="16"/>
  <c r="Q26" i="16"/>
  <c r="Q27" i="16"/>
  <c r="Q28" i="16"/>
  <c r="Q29" i="16"/>
  <c r="Q30" i="16"/>
  <c r="Q36" i="16"/>
  <c r="Q37" i="16"/>
  <c r="Q38" i="16"/>
  <c r="Q39" i="16"/>
  <c r="Q40" i="16"/>
  <c r="Q41" i="16"/>
  <c r="Q42" i="16"/>
  <c r="Q43" i="16"/>
  <c r="Q47" i="16"/>
  <c r="Q48" i="16"/>
  <c r="Q49" i="16"/>
  <c r="Q50" i="16"/>
  <c r="Q51" i="16"/>
  <c r="Q55" i="16"/>
  <c r="Q56" i="16"/>
  <c r="Q57" i="16"/>
  <c r="Q58" i="16"/>
  <c r="Q59" i="16"/>
  <c r="K7" i="16"/>
  <c r="K8" i="16"/>
  <c r="K9" i="16"/>
  <c r="K10" i="16"/>
  <c r="K11" i="16"/>
  <c r="K12" i="16"/>
  <c r="K13" i="16"/>
  <c r="K14" i="16"/>
  <c r="K18" i="16"/>
  <c r="K19" i="16"/>
  <c r="K20" i="16"/>
  <c r="K21" i="16"/>
  <c r="K22" i="16"/>
  <c r="K26" i="16"/>
  <c r="K27" i="16"/>
  <c r="K28" i="16"/>
  <c r="K29" i="16"/>
  <c r="K30" i="16"/>
  <c r="K36" i="16"/>
  <c r="K44" i="16" s="1"/>
  <c r="K37" i="16"/>
  <c r="K38" i="16"/>
  <c r="K39" i="16"/>
  <c r="K40" i="16"/>
  <c r="K41" i="16"/>
  <c r="K42" i="16"/>
  <c r="K43" i="16"/>
  <c r="K47" i="16"/>
  <c r="K48" i="16"/>
  <c r="K49" i="16"/>
  <c r="K50" i="16"/>
  <c r="K51" i="16"/>
  <c r="K55" i="16"/>
  <c r="K56" i="16"/>
  <c r="K57" i="16"/>
  <c r="K58" i="16"/>
  <c r="K59" i="16"/>
  <c r="D94" i="19"/>
  <c r="G2" i="18"/>
  <c r="L14" i="18" s="1"/>
  <c r="C24" i="8"/>
  <c r="S23" i="19"/>
  <c r="S17" i="19"/>
  <c r="V2" i="19"/>
  <c r="Q2" i="19"/>
  <c r="N31" i="19"/>
  <c r="N25" i="20"/>
  <c r="C29" i="19"/>
  <c r="N26" i="19"/>
  <c r="F22" i="19"/>
  <c r="C22" i="19"/>
  <c r="N20" i="19"/>
  <c r="C17" i="19"/>
  <c r="C15" i="19"/>
  <c r="C13" i="19"/>
  <c r="R8" i="19"/>
  <c r="O8" i="19"/>
  <c r="C8" i="19"/>
  <c r="C44" i="16"/>
  <c r="D35" i="16"/>
  <c r="C60" i="16"/>
  <c r="C54" i="16"/>
  <c r="C52" i="16"/>
  <c r="C46" i="16"/>
  <c r="C33" i="16"/>
  <c r="C31" i="16"/>
  <c r="C25" i="16"/>
  <c r="C23" i="16"/>
  <c r="C17" i="16"/>
  <c r="D6" i="16"/>
  <c r="C15" i="16"/>
  <c r="C1" i="16"/>
  <c r="J4" i="16"/>
  <c r="I4" i="16"/>
  <c r="H4" i="16"/>
  <c r="K4" i="16"/>
  <c r="D26" i="8"/>
  <c r="D25" i="8"/>
  <c r="C12" i="8"/>
  <c r="D15" i="8"/>
  <c r="D14" i="8"/>
  <c r="C3" i="17"/>
  <c r="C18" i="17" s="1"/>
  <c r="O2" i="17"/>
  <c r="O17" i="17" s="1"/>
  <c r="N2" i="17"/>
  <c r="N17" i="17" s="1"/>
  <c r="M2" i="17"/>
  <c r="M17" i="17" s="1"/>
  <c r="L2" i="17"/>
  <c r="L17" i="17" s="1"/>
  <c r="K2" i="17"/>
  <c r="K17" i="17" s="1"/>
  <c r="J2" i="17"/>
  <c r="J17" i="17" s="1"/>
  <c r="I2" i="17"/>
  <c r="I17" i="17" s="1"/>
  <c r="H2" i="17"/>
  <c r="H17" i="17" s="1"/>
  <c r="G2" i="17"/>
  <c r="G17" i="17" s="1"/>
  <c r="F2" i="17"/>
  <c r="F17" i="17" s="1"/>
  <c r="E2" i="17"/>
  <c r="E17" i="17" s="1"/>
  <c r="D2" i="17"/>
  <c r="D17" i="17" s="1"/>
  <c r="N2" i="6"/>
  <c r="M2" i="6"/>
  <c r="L2" i="6"/>
  <c r="K2" i="6"/>
  <c r="J2" i="6"/>
  <c r="I2" i="6"/>
  <c r="H2" i="6"/>
  <c r="G2" i="6"/>
  <c r="F2" i="6"/>
  <c r="E2" i="6"/>
  <c r="D2" i="6"/>
  <c r="C2" i="6"/>
  <c r="D9" i="8"/>
  <c r="C9" i="8"/>
  <c r="D8" i="8"/>
  <c r="L11" i="18"/>
  <c r="B28" i="6"/>
  <c r="B29" i="6"/>
  <c r="B30" i="6"/>
  <c r="I15" i="16"/>
  <c r="I23" i="16"/>
  <c r="I31" i="16"/>
  <c r="I52" i="16"/>
  <c r="I60" i="16"/>
  <c r="J44" i="16"/>
  <c r="B31" i="6"/>
  <c r="N44" i="16"/>
  <c r="H44" i="16"/>
  <c r="N31" i="16"/>
  <c r="N15" i="16"/>
  <c r="N23" i="16"/>
  <c r="N52" i="16"/>
  <c r="N60" i="16"/>
  <c r="H31" i="16"/>
  <c r="H15" i="16"/>
  <c r="H23" i="16"/>
  <c r="H52" i="16"/>
  <c r="H60" i="16"/>
  <c r="D44" i="16"/>
  <c r="D52" i="16"/>
  <c r="D60" i="16"/>
  <c r="D15" i="16"/>
  <c r="D23" i="16"/>
  <c r="D31" i="16"/>
  <c r="H62" i="16"/>
  <c r="H33" i="16"/>
  <c r="H1" i="16" s="1"/>
  <c r="A14" i="23" l="1"/>
  <c r="B13" i="23"/>
  <c r="A1" i="37"/>
  <c r="A1" i="38" s="1"/>
  <c r="U4" i="36"/>
  <c r="U1" i="36" s="1"/>
  <c r="E1" i="26"/>
  <c r="F1" i="26"/>
  <c r="F24" i="6" s="1"/>
  <c r="E1" i="34"/>
  <c r="F1" i="34"/>
  <c r="N24" i="6" s="1"/>
  <c r="O7" i="17" s="1"/>
  <c r="O22" i="17" s="1"/>
  <c r="F1" i="27"/>
  <c r="G24" i="6" s="1"/>
  <c r="G50" i="35"/>
  <c r="Q50" i="35"/>
  <c r="K45" i="35"/>
  <c r="M45" i="35"/>
  <c r="G11" i="35"/>
  <c r="N11" i="35"/>
  <c r="G9" i="35"/>
  <c r="H9" i="35"/>
  <c r="P9" i="35"/>
  <c r="J9" i="35"/>
  <c r="R9" i="35"/>
  <c r="O180" i="36"/>
  <c r="R180" i="36"/>
  <c r="G176" i="36"/>
  <c r="I176" i="36"/>
  <c r="H148" i="36"/>
  <c r="J148" i="36"/>
  <c r="P148" i="36"/>
  <c r="R81" i="36"/>
  <c r="G81" i="36"/>
  <c r="N78" i="36"/>
  <c r="P78" i="36"/>
  <c r="I76" i="36"/>
  <c r="H76" i="36"/>
  <c r="P76" i="36"/>
  <c r="J76" i="36"/>
  <c r="R76" i="36"/>
  <c r="G32" i="36"/>
  <c r="Q32" i="36"/>
  <c r="J175" i="37"/>
  <c r="P175" i="37"/>
  <c r="I159" i="37"/>
  <c r="K159" i="37"/>
  <c r="N159" i="37"/>
  <c r="G126" i="37"/>
  <c r="I126" i="37"/>
  <c r="N126" i="37"/>
  <c r="H104" i="37"/>
  <c r="Q104" i="37"/>
  <c r="S87" i="37"/>
  <c r="G87" i="37"/>
  <c r="L87" i="37"/>
  <c r="N82" i="37"/>
  <c r="G82" i="37"/>
  <c r="R82" i="37"/>
  <c r="J74" i="37"/>
  <c r="I74" i="37"/>
  <c r="N74" i="37"/>
  <c r="G46" i="37"/>
  <c r="J46" i="37"/>
  <c r="M46" i="37"/>
  <c r="N124" i="38"/>
  <c r="R124" i="38"/>
  <c r="H59" i="38"/>
  <c r="G59" i="38"/>
  <c r="N59" i="38"/>
  <c r="P59" i="38"/>
  <c r="H40" i="38"/>
  <c r="I40" i="38"/>
  <c r="L177" i="39"/>
  <c r="J177" i="39"/>
  <c r="N177" i="39"/>
  <c r="P177" i="39"/>
  <c r="P160" i="39"/>
  <c r="H160" i="39"/>
  <c r="L160" i="39"/>
  <c r="J131" i="39"/>
  <c r="N131" i="39"/>
  <c r="O118" i="39"/>
  <c r="K118" i="39"/>
  <c r="I53" i="39"/>
  <c r="G53" i="39"/>
  <c r="P29" i="39"/>
  <c r="O29" i="39"/>
  <c r="Q29" i="39"/>
  <c r="R29" i="39"/>
  <c r="J9" i="39"/>
  <c r="L9" i="39"/>
  <c r="R9" i="39"/>
  <c r="H196" i="40"/>
  <c r="N196" i="40"/>
  <c r="H99" i="40"/>
  <c r="O99" i="40"/>
  <c r="K53" i="40"/>
  <c r="O53" i="40"/>
  <c r="N24" i="40"/>
  <c r="M24" i="40"/>
  <c r="Q193" i="41"/>
  <c r="N193" i="41"/>
  <c r="N192" i="43"/>
  <c r="G192" i="43"/>
  <c r="Q192" i="43"/>
  <c r="R192" i="43"/>
  <c r="L163" i="43"/>
  <c r="M163" i="43"/>
  <c r="J91" i="43"/>
  <c r="N91" i="43"/>
  <c r="O91" i="43"/>
  <c r="R160" i="44"/>
  <c r="O160" i="44"/>
  <c r="R143" i="44"/>
  <c r="H143" i="44"/>
  <c r="L58" i="44"/>
  <c r="O58" i="44"/>
  <c r="R58" i="44"/>
  <c r="G58" i="44"/>
  <c r="H48" i="44"/>
  <c r="P48" i="44"/>
  <c r="I48" i="44"/>
  <c r="J48" i="44"/>
  <c r="K48" i="44"/>
  <c r="K154" i="45"/>
  <c r="L154" i="45"/>
  <c r="J60" i="16"/>
  <c r="S46" i="37"/>
  <c r="Q124" i="38"/>
  <c r="M102" i="38"/>
  <c r="H120" i="38"/>
  <c r="N70" i="37"/>
  <c r="K79" i="37"/>
  <c r="S82" i="37"/>
  <c r="N87" i="37"/>
  <c r="M104" i="37"/>
  <c r="G159" i="38"/>
  <c r="I70" i="37"/>
  <c r="S74" i="37"/>
  <c r="H82" i="37"/>
  <c r="N104" i="37"/>
  <c r="H155" i="37"/>
  <c r="P42" i="36"/>
  <c r="P163" i="38"/>
  <c r="P58" i="37"/>
  <c r="K70" i="37"/>
  <c r="M74" i="37"/>
  <c r="I82" i="37"/>
  <c r="I155" i="37"/>
  <c r="J70" i="37"/>
  <c r="L45" i="35"/>
  <c r="K61" i="35"/>
  <c r="H195" i="36"/>
  <c r="H125" i="35"/>
  <c r="J188" i="37"/>
  <c r="O142" i="35"/>
  <c r="K118" i="35"/>
  <c r="K105" i="35"/>
  <c r="O104" i="35"/>
  <c r="J60" i="35"/>
  <c r="G60" i="35"/>
  <c r="G58" i="35"/>
  <c r="N58" i="35"/>
  <c r="Q58" i="35"/>
  <c r="H28" i="35"/>
  <c r="J28" i="35"/>
  <c r="J191" i="36"/>
  <c r="R191" i="36"/>
  <c r="O155" i="36"/>
  <c r="H155" i="36"/>
  <c r="N130" i="36"/>
  <c r="M130" i="36"/>
  <c r="P124" i="36"/>
  <c r="O124" i="36"/>
  <c r="L35" i="36"/>
  <c r="J35" i="36"/>
  <c r="K35" i="36"/>
  <c r="O201" i="37"/>
  <c r="M201" i="37"/>
  <c r="K191" i="37"/>
  <c r="O191" i="37"/>
  <c r="H172" i="37"/>
  <c r="M172" i="37"/>
  <c r="Q172" i="37"/>
  <c r="J167" i="37"/>
  <c r="K167" i="37"/>
  <c r="N167" i="37"/>
  <c r="G152" i="37"/>
  <c r="H152" i="37"/>
  <c r="L152" i="37"/>
  <c r="I144" i="37"/>
  <c r="O144" i="37"/>
  <c r="R144" i="37"/>
  <c r="G142" i="37"/>
  <c r="M142" i="37"/>
  <c r="H142" i="37"/>
  <c r="H140" i="37"/>
  <c r="O140" i="37"/>
  <c r="I140" i="37"/>
  <c r="R140" i="37"/>
  <c r="K15" i="37"/>
  <c r="N15" i="37"/>
  <c r="I113" i="38"/>
  <c r="J113" i="38"/>
  <c r="K113" i="38"/>
  <c r="N113" i="38"/>
  <c r="H25" i="38"/>
  <c r="Q25" i="38"/>
  <c r="N25" i="38"/>
  <c r="J133" i="39"/>
  <c r="H133" i="39"/>
  <c r="Q121" i="39"/>
  <c r="S121" i="39"/>
  <c r="I117" i="39"/>
  <c r="G117" i="39"/>
  <c r="J117" i="39"/>
  <c r="R117" i="39"/>
  <c r="Q112" i="39"/>
  <c r="O112" i="39"/>
  <c r="O49" i="39"/>
  <c r="P49" i="39"/>
  <c r="G42" i="40"/>
  <c r="Q42" i="40"/>
  <c r="R42" i="40"/>
  <c r="R37" i="40"/>
  <c r="N37" i="40"/>
  <c r="G37" i="40"/>
  <c r="M201" i="41"/>
  <c r="L201" i="41"/>
  <c r="N201" i="41"/>
  <c r="P201" i="41"/>
  <c r="K35" i="41"/>
  <c r="N35" i="41"/>
  <c r="Q35" i="41"/>
  <c r="G18" i="41"/>
  <c r="P18" i="41"/>
  <c r="R177" i="42"/>
  <c r="G177" i="42"/>
  <c r="N58" i="42"/>
  <c r="M58" i="42"/>
  <c r="P58" i="42"/>
  <c r="N33" i="16"/>
  <c r="P23" i="16"/>
  <c r="S118" i="39"/>
  <c r="S53" i="40"/>
  <c r="J196" i="40"/>
  <c r="R53" i="39"/>
  <c r="L118" i="39"/>
  <c r="R69" i="38"/>
  <c r="R73" i="38"/>
  <c r="S69" i="38"/>
  <c r="J69" i="38"/>
  <c r="M86" i="38"/>
  <c r="I124" i="38"/>
  <c r="L102" i="38"/>
  <c r="R120" i="38"/>
  <c r="P66" i="37"/>
  <c r="R104" i="37"/>
  <c r="O70" i="37"/>
  <c r="L82" i="37"/>
  <c r="S104" i="37"/>
  <c r="N155" i="37"/>
  <c r="I175" i="37"/>
  <c r="I54" i="36"/>
  <c r="J136" i="36"/>
  <c r="H163" i="38"/>
  <c r="Q70" i="37"/>
  <c r="G74" i="37"/>
  <c r="M82" i="37"/>
  <c r="I32" i="36"/>
  <c r="O81" i="36"/>
  <c r="P70" i="37"/>
  <c r="O185" i="37"/>
  <c r="O7" i="35"/>
  <c r="M181" i="35"/>
  <c r="G94" i="35"/>
  <c r="K125" i="35"/>
  <c r="N168" i="35"/>
  <c r="Q176" i="35"/>
  <c r="H181" i="35"/>
  <c r="G200" i="35"/>
  <c r="R116" i="36"/>
  <c r="O50" i="35"/>
  <c r="S61" i="35"/>
  <c r="P120" i="35"/>
  <c r="P125" i="35"/>
  <c r="O178" i="35"/>
  <c r="L181" i="35"/>
  <c r="S188" i="37"/>
  <c r="S169" i="36"/>
  <c r="L169" i="36"/>
  <c r="M125" i="35"/>
  <c r="F1" i="24"/>
  <c r="D24" i="6" s="1"/>
  <c r="E7" i="17" s="1"/>
  <c r="E22" i="17" s="1"/>
  <c r="F1" i="30"/>
  <c r="J24" i="6" s="1"/>
  <c r="K7" i="17" s="1"/>
  <c r="K22" i="17" s="1"/>
  <c r="F1" i="32"/>
  <c r="K178" i="35"/>
  <c r="O157" i="35"/>
  <c r="J157" i="35"/>
  <c r="R154" i="35"/>
  <c r="K142" i="35"/>
  <c r="H140" i="35"/>
  <c r="K133" i="35"/>
  <c r="Q118" i="35"/>
  <c r="G118" i="35"/>
  <c r="S105" i="35"/>
  <c r="H105" i="35"/>
  <c r="G104" i="35"/>
  <c r="R94" i="35"/>
  <c r="I62" i="35"/>
  <c r="O62" i="35"/>
  <c r="S45" i="35"/>
  <c r="I38" i="35"/>
  <c r="K38" i="35"/>
  <c r="N9" i="35"/>
  <c r="N178" i="36"/>
  <c r="L178" i="36"/>
  <c r="M178" i="36"/>
  <c r="R176" i="36"/>
  <c r="I149" i="36"/>
  <c r="L149" i="36"/>
  <c r="N149" i="36"/>
  <c r="H120" i="36"/>
  <c r="J120" i="36"/>
  <c r="P109" i="36"/>
  <c r="J109" i="36"/>
  <c r="R109" i="36"/>
  <c r="M102" i="36"/>
  <c r="N102" i="36"/>
  <c r="H80" i="36"/>
  <c r="J80" i="36"/>
  <c r="M80" i="36"/>
  <c r="N76" i="36"/>
  <c r="N72" i="36"/>
  <c r="O72" i="36"/>
  <c r="S72" i="36"/>
  <c r="G40" i="36"/>
  <c r="M40" i="36"/>
  <c r="P159" i="37"/>
  <c r="L96" i="37"/>
  <c r="N96" i="37"/>
  <c r="Q74" i="37"/>
  <c r="G56" i="37"/>
  <c r="M56" i="37"/>
  <c r="R46" i="37"/>
  <c r="R49" i="38"/>
  <c r="L49" i="38"/>
  <c r="P204" i="39"/>
  <c r="J204" i="39"/>
  <c r="J123" i="39"/>
  <c r="H123" i="39"/>
  <c r="H114" i="39"/>
  <c r="J114" i="39"/>
  <c r="N114" i="39"/>
  <c r="L51" i="39"/>
  <c r="G51" i="39"/>
  <c r="N51" i="39"/>
  <c r="G28" i="39"/>
  <c r="K28" i="39"/>
  <c r="P28" i="39"/>
  <c r="H28" i="39"/>
  <c r="Q28" i="39"/>
  <c r="L28" i="39"/>
  <c r="S28" i="39"/>
  <c r="D33" i="16"/>
  <c r="N62" i="16"/>
  <c r="I33" i="16"/>
  <c r="K60" i="16"/>
  <c r="K52" i="16"/>
  <c r="K31" i="16"/>
  <c r="K23" i="16"/>
  <c r="K15" i="16"/>
  <c r="L196" i="40"/>
  <c r="H118" i="39"/>
  <c r="P118" i="39"/>
  <c r="L86" i="38"/>
  <c r="P124" i="38"/>
  <c r="N69" i="38"/>
  <c r="K86" i="38"/>
  <c r="H124" i="38"/>
  <c r="K82" i="37"/>
  <c r="P82" i="37"/>
  <c r="J87" i="37"/>
  <c r="I114" i="37"/>
  <c r="J159" i="37"/>
  <c r="N175" i="37"/>
  <c r="H32" i="36"/>
  <c r="I81" i="36"/>
  <c r="M163" i="38"/>
  <c r="N79" i="37"/>
  <c r="Q82" i="37"/>
  <c r="K87" i="37"/>
  <c r="J104" i="37"/>
  <c r="P32" i="36"/>
  <c r="O45" i="35"/>
  <c r="L50" i="35"/>
  <c r="P64" i="35"/>
  <c r="H94" i="35"/>
  <c r="H120" i="35"/>
  <c r="O139" i="35"/>
  <c r="I170" i="35"/>
  <c r="I178" i="35"/>
  <c r="N181" i="35"/>
  <c r="G116" i="36"/>
  <c r="I50" i="35"/>
  <c r="O58" i="35"/>
  <c r="J77" i="35"/>
  <c r="L170" i="35"/>
  <c r="K181" i="35"/>
  <c r="N169" i="36"/>
  <c r="P61" i="35"/>
  <c r="G87" i="35"/>
  <c r="S181" i="35"/>
  <c r="E1" i="24"/>
  <c r="E1" i="32"/>
  <c r="F1" i="33"/>
  <c r="O202" i="35"/>
  <c r="P184" i="35"/>
  <c r="R178" i="35"/>
  <c r="H142" i="35"/>
  <c r="O118" i="35"/>
  <c r="N117" i="35"/>
  <c r="P108" i="35"/>
  <c r="P105" i="35"/>
  <c r="S101" i="35"/>
  <c r="J96" i="35"/>
  <c r="O94" i="35"/>
  <c r="R74" i="35"/>
  <c r="Q73" i="35"/>
  <c r="G68" i="35"/>
  <c r="Q68" i="35"/>
  <c r="H61" i="35"/>
  <c r="I56" i="35"/>
  <c r="R50" i="35"/>
  <c r="R45" i="35"/>
  <c r="N43" i="35"/>
  <c r="G43" i="35"/>
  <c r="K9" i="35"/>
  <c r="O176" i="36"/>
  <c r="S165" i="36"/>
  <c r="N165" i="36"/>
  <c r="Q161" i="36"/>
  <c r="S149" i="36"/>
  <c r="G148" i="36"/>
  <c r="O136" i="36"/>
  <c r="H129" i="36"/>
  <c r="Q129" i="36"/>
  <c r="R129" i="36"/>
  <c r="H97" i="36"/>
  <c r="I97" i="36"/>
  <c r="S97" i="36"/>
  <c r="L76" i="36"/>
  <c r="G70" i="36"/>
  <c r="K70" i="36"/>
  <c r="M70" i="36"/>
  <c r="H42" i="36"/>
  <c r="R35" i="36"/>
  <c r="J32" i="36"/>
  <c r="G200" i="37"/>
  <c r="I200" i="37"/>
  <c r="J200" i="37"/>
  <c r="G186" i="37"/>
  <c r="I186" i="37"/>
  <c r="H183" i="37"/>
  <c r="N183" i="37"/>
  <c r="I183" i="37"/>
  <c r="P183" i="37"/>
  <c r="G173" i="37"/>
  <c r="M173" i="37"/>
  <c r="N173" i="37"/>
  <c r="S167" i="37"/>
  <c r="G159" i="37"/>
  <c r="Q152" i="37"/>
  <c r="G145" i="37"/>
  <c r="K145" i="37"/>
  <c r="M145" i="37"/>
  <c r="S142" i="37"/>
  <c r="N140" i="37"/>
  <c r="H139" i="37"/>
  <c r="L139" i="37"/>
  <c r="O139" i="37"/>
  <c r="L136" i="37"/>
  <c r="Q136" i="37"/>
  <c r="G127" i="37"/>
  <c r="K127" i="37"/>
  <c r="O127" i="37"/>
  <c r="N121" i="37"/>
  <c r="Q121" i="37"/>
  <c r="L111" i="37"/>
  <c r="R111" i="37"/>
  <c r="R99" i="37"/>
  <c r="N99" i="37"/>
  <c r="K83" i="37"/>
  <c r="L83" i="37"/>
  <c r="N83" i="37"/>
  <c r="J79" i="37"/>
  <c r="O74" i="37"/>
  <c r="K48" i="37"/>
  <c r="L48" i="37"/>
  <c r="M48" i="37"/>
  <c r="Q46" i="37"/>
  <c r="I156" i="38"/>
  <c r="O156" i="38"/>
  <c r="H132" i="38"/>
  <c r="Q132" i="38"/>
  <c r="O132" i="38"/>
  <c r="J53" i="38"/>
  <c r="P53" i="38"/>
  <c r="J185" i="39"/>
  <c r="N185" i="39"/>
  <c r="L185" i="39"/>
  <c r="P185" i="39"/>
  <c r="N160" i="39"/>
  <c r="G43" i="39"/>
  <c r="S43" i="39"/>
  <c r="H34" i="39"/>
  <c r="G34" i="39"/>
  <c r="M34" i="39"/>
  <c r="R34" i="39"/>
  <c r="I34" i="39"/>
  <c r="N34" i="39"/>
  <c r="S34" i="39"/>
  <c r="J34" i="39"/>
  <c r="O34" i="39"/>
  <c r="J30" i="39"/>
  <c r="I30" i="39"/>
  <c r="N30" i="39"/>
  <c r="S30" i="39"/>
  <c r="N22" i="40"/>
  <c r="M22" i="40"/>
  <c r="N199" i="40"/>
  <c r="P199" i="40"/>
  <c r="M92" i="40"/>
  <c r="L92" i="40"/>
  <c r="H91" i="40"/>
  <c r="M91" i="40"/>
  <c r="O91" i="40"/>
  <c r="I91" i="40"/>
  <c r="Q91" i="40"/>
  <c r="J51" i="40"/>
  <c r="P51" i="40"/>
  <c r="K51" i="40"/>
  <c r="R8" i="40"/>
  <c r="H8" i="40"/>
  <c r="N8" i="40"/>
  <c r="N22" i="41"/>
  <c r="R22" i="41"/>
  <c r="N174" i="42"/>
  <c r="P174" i="42"/>
  <c r="H174" i="42"/>
  <c r="Q174" i="42"/>
  <c r="I174" i="42"/>
  <c r="R174" i="42"/>
  <c r="G90" i="42"/>
  <c r="L90" i="42"/>
  <c r="Q45" i="42"/>
  <c r="H45" i="42"/>
  <c r="H34" i="42"/>
  <c r="N34" i="42"/>
  <c r="G34" i="42"/>
  <c r="O34" i="42"/>
  <c r="J34" i="42"/>
  <c r="R34" i="42"/>
  <c r="H178" i="43"/>
  <c r="G178" i="43"/>
  <c r="J178" i="43"/>
  <c r="P178" i="43"/>
  <c r="J169" i="43"/>
  <c r="K169" i="43"/>
  <c r="R169" i="43"/>
  <c r="R154" i="43"/>
  <c r="G154" i="43"/>
  <c r="O46" i="43"/>
  <c r="P46" i="43"/>
  <c r="G34" i="43"/>
  <c r="M34" i="43"/>
  <c r="L145" i="44"/>
  <c r="R145" i="44"/>
  <c r="H145" i="44"/>
  <c r="I162" i="45"/>
  <c r="G162" i="45"/>
  <c r="O162" i="45"/>
  <c r="Q162" i="45"/>
  <c r="G35" i="46"/>
  <c r="Q35" i="46"/>
  <c r="H35" i="46"/>
  <c r="I35" i="46"/>
  <c r="P35" i="46"/>
  <c r="H14" i="46"/>
  <c r="R14" i="46"/>
  <c r="F1" i="29"/>
  <c r="S57" i="35"/>
  <c r="G55" i="35"/>
  <c r="G46" i="35"/>
  <c r="H145" i="36"/>
  <c r="J137" i="36"/>
  <c r="H133" i="36"/>
  <c r="K128" i="36"/>
  <c r="G115" i="36"/>
  <c r="H84" i="36"/>
  <c r="S74" i="36"/>
  <c r="P71" i="36"/>
  <c r="J64" i="36"/>
  <c r="J21" i="36"/>
  <c r="N8" i="36"/>
  <c r="I196" i="37"/>
  <c r="L184" i="37"/>
  <c r="Q182" i="37"/>
  <c r="Q169" i="37"/>
  <c r="Q166" i="37"/>
  <c r="O164" i="37"/>
  <c r="H164" i="37"/>
  <c r="Q158" i="37"/>
  <c r="H158" i="37"/>
  <c r="K150" i="37"/>
  <c r="I143" i="37"/>
  <c r="M135" i="37"/>
  <c r="H132" i="37"/>
  <c r="K80" i="37"/>
  <c r="J75" i="37"/>
  <c r="S51" i="37"/>
  <c r="G49" i="37"/>
  <c r="O23" i="37"/>
  <c r="H14" i="37"/>
  <c r="M10" i="37"/>
  <c r="M183" i="38"/>
  <c r="J182" i="38"/>
  <c r="M174" i="38"/>
  <c r="S173" i="38"/>
  <c r="R145" i="38"/>
  <c r="J17" i="38"/>
  <c r="O8" i="38"/>
  <c r="N138" i="39"/>
  <c r="N85" i="39"/>
  <c r="M77" i="39"/>
  <c r="L75" i="39"/>
  <c r="L62" i="39"/>
  <c r="I27" i="39"/>
  <c r="S27" i="39"/>
  <c r="J170" i="40"/>
  <c r="H170" i="40"/>
  <c r="L123" i="40"/>
  <c r="R123" i="40"/>
  <c r="R91" i="40"/>
  <c r="O51" i="40"/>
  <c r="I16" i="40"/>
  <c r="J16" i="40"/>
  <c r="Q16" i="40"/>
  <c r="I202" i="41"/>
  <c r="J202" i="41"/>
  <c r="K155" i="41"/>
  <c r="Q155" i="41"/>
  <c r="S147" i="41"/>
  <c r="K147" i="41"/>
  <c r="P86" i="41"/>
  <c r="S24" i="41"/>
  <c r="L24" i="41"/>
  <c r="H112" i="42"/>
  <c r="S112" i="42"/>
  <c r="L100" i="42"/>
  <c r="H100" i="42"/>
  <c r="N100" i="42"/>
  <c r="P100" i="42"/>
  <c r="K150" i="43"/>
  <c r="G150" i="43"/>
  <c r="L150" i="43"/>
  <c r="O150" i="43"/>
  <c r="H103" i="43"/>
  <c r="O103" i="43"/>
  <c r="J153" i="44"/>
  <c r="P153" i="44"/>
  <c r="N153" i="44"/>
  <c r="O124" i="44"/>
  <c r="Q124" i="44"/>
  <c r="J81" i="46"/>
  <c r="R81" i="46"/>
  <c r="I81" i="46"/>
  <c r="O81" i="46"/>
  <c r="Q81" i="46"/>
  <c r="P43" i="46"/>
  <c r="G43" i="46"/>
  <c r="P204" i="36"/>
  <c r="O44" i="36"/>
  <c r="S105" i="37"/>
  <c r="N23" i="37"/>
  <c r="P145" i="38"/>
  <c r="S125" i="38"/>
  <c r="S17" i="38"/>
  <c r="P15" i="38"/>
  <c r="L138" i="39"/>
  <c r="O107" i="39"/>
  <c r="S102" i="39"/>
  <c r="P90" i="39"/>
  <c r="J85" i="39"/>
  <c r="S77" i="39"/>
  <c r="J62" i="39"/>
  <c r="P60" i="39"/>
  <c r="O54" i="39"/>
  <c r="I98" i="40"/>
  <c r="J98" i="40"/>
  <c r="P98" i="40"/>
  <c r="L91" i="40"/>
  <c r="H56" i="40"/>
  <c r="Q56" i="40"/>
  <c r="L51" i="40"/>
  <c r="J10" i="40"/>
  <c r="H10" i="40"/>
  <c r="N10" i="40"/>
  <c r="I149" i="41"/>
  <c r="O149" i="41"/>
  <c r="L149" i="41"/>
  <c r="G145" i="41"/>
  <c r="I145" i="41"/>
  <c r="O145" i="41"/>
  <c r="J145" i="41"/>
  <c r="P145" i="41"/>
  <c r="M47" i="41"/>
  <c r="N47" i="41"/>
  <c r="S47" i="41"/>
  <c r="P15" i="41"/>
  <c r="R15" i="41"/>
  <c r="I41" i="42"/>
  <c r="L41" i="42"/>
  <c r="Q41" i="42"/>
  <c r="J41" i="42"/>
  <c r="S41" i="42"/>
  <c r="K41" i="42"/>
  <c r="S34" i="42"/>
  <c r="Q200" i="43"/>
  <c r="G200" i="43"/>
  <c r="I193" i="43"/>
  <c r="O193" i="43"/>
  <c r="P193" i="43"/>
  <c r="J94" i="43"/>
  <c r="H94" i="43"/>
  <c r="R94" i="43"/>
  <c r="J48" i="43"/>
  <c r="M48" i="43"/>
  <c r="P48" i="43"/>
  <c r="G48" i="43"/>
  <c r="L48" i="43"/>
  <c r="M41" i="43"/>
  <c r="N41" i="43"/>
  <c r="M158" i="44"/>
  <c r="O158" i="44"/>
  <c r="P129" i="44"/>
  <c r="L129" i="44"/>
  <c r="M129" i="44"/>
  <c r="S129" i="44"/>
  <c r="L80" i="45"/>
  <c r="K80" i="45"/>
  <c r="M80" i="45"/>
  <c r="R142" i="46"/>
  <c r="J142" i="46"/>
  <c r="N142" i="46"/>
  <c r="R96" i="46"/>
  <c r="G96" i="46"/>
  <c r="H88" i="46"/>
  <c r="G88" i="46"/>
  <c r="L88" i="46"/>
  <c r="M88" i="46"/>
  <c r="H152" i="44"/>
  <c r="J152" i="44"/>
  <c r="N152" i="44"/>
  <c r="S93" i="44"/>
  <c r="L93" i="44"/>
  <c r="R84" i="44"/>
  <c r="J84" i="44"/>
  <c r="H60" i="44"/>
  <c r="I60" i="44"/>
  <c r="O138" i="45"/>
  <c r="R138" i="45"/>
  <c r="K61" i="45"/>
  <c r="I61" i="45"/>
  <c r="M61" i="45"/>
  <c r="R61" i="45"/>
  <c r="L135" i="46"/>
  <c r="H135" i="46"/>
  <c r="J135" i="46"/>
  <c r="P135" i="46"/>
  <c r="K46" i="46"/>
  <c r="H46" i="46"/>
  <c r="G22" i="39"/>
  <c r="K16" i="39"/>
  <c r="J8" i="39"/>
  <c r="H165" i="40"/>
  <c r="R155" i="40"/>
  <c r="P152" i="40"/>
  <c r="K194" i="41"/>
  <c r="O186" i="41"/>
  <c r="J181" i="41"/>
  <c r="R179" i="41"/>
  <c r="H105" i="41"/>
  <c r="R13" i="41"/>
  <c r="R190" i="42"/>
  <c r="J141" i="42"/>
  <c r="H79" i="42"/>
  <c r="J74" i="42"/>
  <c r="K53" i="42"/>
  <c r="Q32" i="42"/>
  <c r="K27" i="42"/>
  <c r="G26" i="42"/>
  <c r="O20" i="42"/>
  <c r="N170" i="43"/>
  <c r="P171" i="44"/>
  <c r="J171" i="44"/>
  <c r="P170" i="44"/>
  <c r="G159" i="44"/>
  <c r="H159" i="44"/>
  <c r="N146" i="44"/>
  <c r="O146" i="44"/>
  <c r="O130" i="44"/>
  <c r="N130" i="44"/>
  <c r="H112" i="44"/>
  <c r="J95" i="44"/>
  <c r="J195" i="45"/>
  <c r="H195" i="45"/>
  <c r="M192" i="45"/>
  <c r="P192" i="45"/>
  <c r="M50" i="45"/>
  <c r="P50" i="45"/>
  <c r="N48" i="45"/>
  <c r="H48" i="45"/>
  <c r="P48" i="45"/>
  <c r="L184" i="46"/>
  <c r="H184" i="46"/>
  <c r="J184" i="46"/>
  <c r="S59" i="40"/>
  <c r="O164" i="41"/>
  <c r="R75" i="41"/>
  <c r="O69" i="41"/>
  <c r="P54" i="41"/>
  <c r="P13" i="41"/>
  <c r="H198" i="42"/>
  <c r="P194" i="42"/>
  <c r="R178" i="42"/>
  <c r="O130" i="42"/>
  <c r="Q118" i="42"/>
  <c r="K68" i="42"/>
  <c r="J53" i="42"/>
  <c r="I32" i="42"/>
  <c r="Q21" i="42"/>
  <c r="P201" i="43"/>
  <c r="J201" i="43"/>
  <c r="M170" i="43"/>
  <c r="L157" i="43"/>
  <c r="Q156" i="43"/>
  <c r="Q145" i="43"/>
  <c r="L79" i="43"/>
  <c r="S53" i="43"/>
  <c r="P36" i="43"/>
  <c r="O171" i="44"/>
  <c r="H171" i="44"/>
  <c r="S149" i="44"/>
  <c r="I149" i="44"/>
  <c r="J127" i="44"/>
  <c r="O127" i="44"/>
  <c r="N118" i="44"/>
  <c r="R118" i="44"/>
  <c r="S60" i="44"/>
  <c r="G19" i="44"/>
  <c r="Q19" i="44"/>
  <c r="L179" i="45"/>
  <c r="Q179" i="45"/>
  <c r="P133" i="46"/>
  <c r="R133" i="46"/>
  <c r="M25" i="46"/>
  <c r="G25" i="46"/>
  <c r="Q61" i="44"/>
  <c r="G40" i="44"/>
  <c r="Q35" i="44"/>
  <c r="L99" i="45"/>
  <c r="P79" i="45"/>
  <c r="J79" i="45"/>
  <c r="R75" i="45"/>
  <c r="O63" i="45"/>
  <c r="P49" i="45"/>
  <c r="M47" i="45"/>
  <c r="N34" i="45"/>
  <c r="G28" i="45"/>
  <c r="R10" i="45"/>
  <c r="G187" i="46"/>
  <c r="R104" i="46"/>
  <c r="I73" i="46"/>
  <c r="K65" i="46"/>
  <c r="S58" i="46"/>
  <c r="M58" i="46"/>
  <c r="M42" i="46"/>
  <c r="R41" i="46"/>
  <c r="M154" i="44"/>
  <c r="R150" i="44"/>
  <c r="Q139" i="44"/>
  <c r="R131" i="44"/>
  <c r="L25" i="44"/>
  <c r="K184" i="45"/>
  <c r="S160" i="45"/>
  <c r="R113" i="45"/>
  <c r="R103" i="45"/>
  <c r="S99" i="45"/>
  <c r="K99" i="45"/>
  <c r="O87" i="45"/>
  <c r="O79" i="45"/>
  <c r="H79" i="45"/>
  <c r="K49" i="45"/>
  <c r="N30" i="45"/>
  <c r="P10" i="45"/>
  <c r="L179" i="46"/>
  <c r="L169" i="46"/>
  <c r="K104" i="46"/>
  <c r="Q41" i="46"/>
  <c r="R15" i="46"/>
  <c r="E1" i="29"/>
  <c r="E5" i="6"/>
  <c r="F5" i="17" s="1"/>
  <c r="F19" i="17" s="1"/>
  <c r="E1" i="30"/>
  <c r="J5" i="6" s="1"/>
  <c r="K5" i="17" s="1"/>
  <c r="K19" i="17" s="1"/>
  <c r="I165" i="35"/>
  <c r="M165" i="35"/>
  <c r="H165" i="35"/>
  <c r="N165" i="35"/>
  <c r="N160" i="35"/>
  <c r="H160" i="35"/>
  <c r="Q160" i="35"/>
  <c r="I149" i="35"/>
  <c r="P149" i="35"/>
  <c r="M149" i="35"/>
  <c r="K149" i="35"/>
  <c r="J137" i="35"/>
  <c r="O137" i="35"/>
  <c r="G123" i="35"/>
  <c r="M123" i="35"/>
  <c r="H81" i="35"/>
  <c r="N81" i="35"/>
  <c r="K49" i="35"/>
  <c r="M49" i="35"/>
  <c r="N49" i="35"/>
  <c r="K37" i="35"/>
  <c r="S37" i="35"/>
  <c r="N37" i="35"/>
  <c r="G33" i="35"/>
  <c r="N33" i="35"/>
  <c r="K33" i="35"/>
  <c r="P33" i="35"/>
  <c r="G197" i="36"/>
  <c r="L197" i="36"/>
  <c r="N197" i="36"/>
  <c r="R197" i="36"/>
  <c r="G143" i="36"/>
  <c r="H143" i="36"/>
  <c r="N143" i="36"/>
  <c r="O143" i="36"/>
  <c r="O79" i="36"/>
  <c r="S79" i="36"/>
  <c r="N77" i="36"/>
  <c r="G77" i="36"/>
  <c r="H180" i="37"/>
  <c r="K180" i="37"/>
  <c r="N180" i="37"/>
  <c r="S180" i="37"/>
  <c r="I133" i="37"/>
  <c r="S133" i="37"/>
  <c r="G133" i="37"/>
  <c r="K133" i="37"/>
  <c r="N88" i="37"/>
  <c r="M88" i="37"/>
  <c r="Q61" i="37"/>
  <c r="H61" i="37"/>
  <c r="G57" i="37"/>
  <c r="I57" i="37"/>
  <c r="O57" i="37"/>
  <c r="O50" i="37"/>
  <c r="G50" i="37"/>
  <c r="H50" i="37"/>
  <c r="P50" i="37"/>
  <c r="M35" i="37"/>
  <c r="I35" i="37"/>
  <c r="H5" i="37"/>
  <c r="O5" i="37"/>
  <c r="N5" i="37"/>
  <c r="Q5" i="37"/>
  <c r="G203" i="38"/>
  <c r="H203" i="38"/>
  <c r="J149" i="38"/>
  <c r="Q149" i="38"/>
  <c r="M149" i="38"/>
  <c r="L149" i="38"/>
  <c r="H149" i="38"/>
  <c r="K149" i="38"/>
  <c r="P149" i="38"/>
  <c r="I81" i="38"/>
  <c r="P81" i="38"/>
  <c r="L81" i="38"/>
  <c r="H81" i="38"/>
  <c r="N81" i="38"/>
  <c r="S81" i="38"/>
  <c r="M75" i="38"/>
  <c r="P75" i="38"/>
  <c r="H126" i="41"/>
  <c r="Q126" i="41"/>
  <c r="I126" i="41"/>
  <c r="O126" i="41"/>
  <c r="R126" i="41"/>
  <c r="H122" i="41"/>
  <c r="P122" i="41"/>
  <c r="R74" i="41"/>
  <c r="N74" i="41"/>
  <c r="S68" i="41"/>
  <c r="J68" i="41"/>
  <c r="L68" i="41"/>
  <c r="N66" i="41"/>
  <c r="J66" i="41"/>
  <c r="L33" i="41"/>
  <c r="H33" i="41"/>
  <c r="P33" i="41"/>
  <c r="S202" i="42"/>
  <c r="K202" i="42"/>
  <c r="K139" i="42"/>
  <c r="L139" i="42"/>
  <c r="N139" i="42"/>
  <c r="M139" i="42"/>
  <c r="H38" i="42"/>
  <c r="M38" i="42"/>
  <c r="N38" i="42"/>
  <c r="P38" i="42"/>
  <c r="L197" i="43"/>
  <c r="H197" i="43"/>
  <c r="R197" i="43"/>
  <c r="G186" i="43"/>
  <c r="N186" i="43"/>
  <c r="O131" i="43"/>
  <c r="G131" i="43"/>
  <c r="P100" i="43"/>
  <c r="O100" i="43"/>
  <c r="G100" i="43"/>
  <c r="Q100" i="43"/>
  <c r="H58" i="43"/>
  <c r="O58" i="43"/>
  <c r="R58" i="43"/>
  <c r="J10" i="43"/>
  <c r="R10" i="43"/>
  <c r="S181" i="44"/>
  <c r="Q181" i="44"/>
  <c r="H135" i="44"/>
  <c r="N135" i="44"/>
  <c r="S164" i="45"/>
  <c r="N164" i="45"/>
  <c r="G164" i="45"/>
  <c r="N159" i="45"/>
  <c r="J159" i="45"/>
  <c r="H83" i="45"/>
  <c r="N83" i="45"/>
  <c r="O56" i="45"/>
  <c r="G56" i="45"/>
  <c r="M39" i="46"/>
  <c r="H39" i="46"/>
  <c r="N39" i="46"/>
  <c r="Q39" i="46"/>
  <c r="G5" i="46"/>
  <c r="R5" i="46"/>
  <c r="K2" i="18"/>
  <c r="C2" i="8" s="1"/>
  <c r="C6" i="8" s="1"/>
  <c r="D62" i="16"/>
  <c r="D1" i="16" s="1"/>
  <c r="G33" i="41"/>
  <c r="J71" i="42"/>
  <c r="N71" i="42"/>
  <c r="G71" i="42"/>
  <c r="N122" i="41"/>
  <c r="N81" i="41"/>
  <c r="Q67" i="42"/>
  <c r="M68" i="41"/>
  <c r="L126" i="41"/>
  <c r="M126" i="41"/>
  <c r="O66" i="41"/>
  <c r="G79" i="41"/>
  <c r="K79" i="41"/>
  <c r="Q50" i="37"/>
  <c r="Q180" i="37"/>
  <c r="N203" i="38"/>
  <c r="H35" i="37"/>
  <c r="Q57" i="37"/>
  <c r="P199" i="37"/>
  <c r="Q49" i="35"/>
  <c r="Q149" i="35"/>
  <c r="Q165" i="35"/>
  <c r="O141" i="37"/>
  <c r="S199" i="37"/>
  <c r="S77" i="36"/>
  <c r="M77" i="36"/>
  <c r="P197" i="36"/>
  <c r="M37" i="35"/>
  <c r="L42" i="35"/>
  <c r="R49" i="35"/>
  <c r="J149" i="35"/>
  <c r="P160" i="35"/>
  <c r="R165" i="35"/>
  <c r="S78" i="35"/>
  <c r="J199" i="37"/>
  <c r="L199" i="37"/>
  <c r="M42" i="35"/>
  <c r="I79" i="36"/>
  <c r="L79" i="36"/>
  <c r="Q126" i="35"/>
  <c r="Q152" i="38"/>
  <c r="J197" i="36"/>
  <c r="O49" i="35"/>
  <c r="I81" i="35"/>
  <c r="O123" i="35"/>
  <c r="G149" i="35"/>
  <c r="R97" i="41"/>
  <c r="H97" i="41"/>
  <c r="R83" i="45"/>
  <c r="P83" i="45"/>
  <c r="K83" i="45"/>
  <c r="O135" i="44"/>
  <c r="S10" i="43"/>
  <c r="O10" i="43"/>
  <c r="G197" i="43"/>
  <c r="M131" i="43"/>
  <c r="H131" i="43"/>
  <c r="J84" i="42"/>
  <c r="I79" i="41"/>
  <c r="S79" i="41"/>
  <c r="Q74" i="41"/>
  <c r="H74" i="41"/>
  <c r="S122" i="41"/>
  <c r="J122" i="41"/>
  <c r="J81" i="38"/>
  <c r="S149" i="38"/>
  <c r="O35" i="37"/>
  <c r="J180" i="37"/>
  <c r="O199" i="37"/>
  <c r="M33" i="35"/>
  <c r="R81" i="35"/>
  <c r="L33" i="35"/>
  <c r="I49" i="35"/>
  <c r="L77" i="36"/>
  <c r="N79" i="36"/>
  <c r="S33" i="35"/>
  <c r="L37" i="35"/>
  <c r="P81" i="35"/>
  <c r="O33" i="35"/>
  <c r="L149" i="35"/>
  <c r="D5" i="6"/>
  <c r="E5" i="17" s="1"/>
  <c r="E19" i="17" s="1"/>
  <c r="Q192" i="35"/>
  <c r="N192" i="35"/>
  <c r="H182" i="35"/>
  <c r="O175" i="35"/>
  <c r="O173" i="35"/>
  <c r="N173" i="35"/>
  <c r="Q173" i="35"/>
  <c r="G173" i="35"/>
  <c r="J173" i="35"/>
  <c r="I173" i="35"/>
  <c r="M173" i="35"/>
  <c r="G168" i="35"/>
  <c r="H168" i="35"/>
  <c r="P165" i="35"/>
  <c r="L141" i="35"/>
  <c r="S141" i="35"/>
  <c r="P141" i="35"/>
  <c r="K141" i="35"/>
  <c r="J125" i="35"/>
  <c r="G125" i="35"/>
  <c r="S125" i="35"/>
  <c r="R125" i="35"/>
  <c r="Q125" i="35"/>
  <c r="L26" i="35"/>
  <c r="R26" i="35"/>
  <c r="O26" i="35"/>
  <c r="Q181" i="36"/>
  <c r="L181" i="36"/>
  <c r="H125" i="36"/>
  <c r="I125" i="36"/>
  <c r="L125" i="36"/>
  <c r="R125" i="36"/>
  <c r="G108" i="36"/>
  <c r="K108" i="36"/>
  <c r="R108" i="36"/>
  <c r="I108" i="36"/>
  <c r="N108" i="36"/>
  <c r="J96" i="36"/>
  <c r="P96" i="36"/>
  <c r="H96" i="36"/>
  <c r="Q96" i="36"/>
  <c r="I96" i="36"/>
  <c r="G31" i="36"/>
  <c r="P31" i="36"/>
  <c r="Q190" i="37"/>
  <c r="M190" i="37"/>
  <c r="G137" i="37"/>
  <c r="S137" i="37"/>
  <c r="I137" i="37"/>
  <c r="Q137" i="37"/>
  <c r="M124" i="37"/>
  <c r="Q124" i="37"/>
  <c r="H120" i="37"/>
  <c r="O120" i="37"/>
  <c r="J120" i="37"/>
  <c r="S120" i="37"/>
  <c r="K120" i="37"/>
  <c r="I116" i="37"/>
  <c r="S116" i="37"/>
  <c r="S110" i="37"/>
  <c r="G110" i="37"/>
  <c r="K38" i="37"/>
  <c r="N38" i="37"/>
  <c r="G38" i="37"/>
  <c r="Q38" i="37"/>
  <c r="J38" i="37"/>
  <c r="R38" i="37"/>
  <c r="G18" i="39"/>
  <c r="H18" i="39"/>
  <c r="S18" i="39"/>
  <c r="J18" i="39"/>
  <c r="K18" i="39"/>
  <c r="P18" i="39"/>
  <c r="H188" i="40"/>
  <c r="J188" i="40"/>
  <c r="J184" i="40"/>
  <c r="R184" i="40"/>
  <c r="R173" i="40"/>
  <c r="N173" i="40"/>
  <c r="J114" i="40"/>
  <c r="R114" i="40"/>
  <c r="H110" i="40"/>
  <c r="K110" i="40"/>
  <c r="P110" i="40"/>
  <c r="L106" i="40"/>
  <c r="J106" i="40"/>
  <c r="M106" i="40"/>
  <c r="L45" i="40"/>
  <c r="K45" i="40"/>
  <c r="M175" i="41"/>
  <c r="J175" i="41"/>
  <c r="Q175" i="41"/>
  <c r="R166" i="41"/>
  <c r="H166" i="41"/>
  <c r="I153" i="41"/>
  <c r="H153" i="41"/>
  <c r="Q153" i="41"/>
  <c r="Q60" i="16"/>
  <c r="Q52" i="16"/>
  <c r="Q44" i="16"/>
  <c r="Q62" i="16" s="1"/>
  <c r="Q31" i="16"/>
  <c r="Q23" i="16"/>
  <c r="Q15" i="16"/>
  <c r="P60" i="16"/>
  <c r="P44" i="16"/>
  <c r="P31" i="16"/>
  <c r="J52" i="16"/>
  <c r="J62" i="16" s="1"/>
  <c r="J31" i="16"/>
  <c r="J33" i="16" s="1"/>
  <c r="J1" i="16" s="1"/>
  <c r="J23" i="16"/>
  <c r="J15" i="16"/>
  <c r="I44" i="16"/>
  <c r="I62" i="16" s="1"/>
  <c r="R68" i="41"/>
  <c r="K68" i="41"/>
  <c r="O81" i="41"/>
  <c r="P126" i="41"/>
  <c r="K126" i="41"/>
  <c r="G66" i="41"/>
  <c r="I66" i="41"/>
  <c r="O79" i="41"/>
  <c r="P199" i="38"/>
  <c r="I50" i="37"/>
  <c r="H73" i="37"/>
  <c r="M5" i="37"/>
  <c r="Q35" i="37"/>
  <c r="S35" i="37"/>
  <c r="M57" i="37"/>
  <c r="K88" i="37"/>
  <c r="M180" i="37"/>
  <c r="G78" i="35"/>
  <c r="K126" i="35"/>
  <c r="L78" i="35"/>
  <c r="I141" i="37"/>
  <c r="N141" i="37"/>
  <c r="J77" i="36"/>
  <c r="P79" i="36"/>
  <c r="R149" i="35"/>
  <c r="Q199" i="37"/>
  <c r="J78" i="35"/>
  <c r="Q79" i="36"/>
  <c r="L49" i="35"/>
  <c r="K78" i="35"/>
  <c r="N126" i="35"/>
  <c r="I37" i="35"/>
  <c r="G42" i="35"/>
  <c r="M78" i="35"/>
  <c r="M107" i="35"/>
  <c r="N123" i="35"/>
  <c r="I152" i="38"/>
  <c r="J37" i="35"/>
  <c r="I42" i="35"/>
  <c r="Q81" i="35"/>
  <c r="N107" i="35"/>
  <c r="I126" i="35"/>
  <c r="O149" i="35"/>
  <c r="N97" i="41"/>
  <c r="P97" i="41"/>
  <c r="J42" i="35"/>
  <c r="L5" i="46"/>
  <c r="M83" i="45"/>
  <c r="R159" i="45"/>
  <c r="M142" i="45"/>
  <c r="S83" i="45"/>
  <c r="L135" i="44"/>
  <c r="I181" i="44"/>
  <c r="H186" i="43"/>
  <c r="M197" i="43"/>
  <c r="J197" i="43"/>
  <c r="K197" i="43"/>
  <c r="H84" i="42"/>
  <c r="L202" i="42"/>
  <c r="G81" i="41"/>
  <c r="J74" i="41"/>
  <c r="Q122" i="41"/>
  <c r="O122" i="41"/>
  <c r="R122" i="41"/>
  <c r="H75" i="38"/>
  <c r="M81" i="38"/>
  <c r="O75" i="38"/>
  <c r="Q88" i="37"/>
  <c r="I180" i="37"/>
  <c r="S32" i="37"/>
  <c r="G35" i="37"/>
  <c r="R50" i="37"/>
  <c r="L88" i="37"/>
  <c r="R180" i="37"/>
  <c r="H199" i="37"/>
  <c r="I33" i="35"/>
  <c r="M81" i="35"/>
  <c r="R33" i="35"/>
  <c r="O81" i="35"/>
  <c r="O131" i="35"/>
  <c r="K77" i="36"/>
  <c r="J79" i="36"/>
  <c r="K81" i="35"/>
  <c r="S149" i="35"/>
  <c r="I197" i="35"/>
  <c r="L197" i="35"/>
  <c r="P197" i="35"/>
  <c r="H197" i="35"/>
  <c r="L165" i="35"/>
  <c r="H106" i="35"/>
  <c r="I106" i="35"/>
  <c r="O106" i="35"/>
  <c r="L106" i="35"/>
  <c r="J48" i="35"/>
  <c r="O48" i="35"/>
  <c r="G48" i="35"/>
  <c r="P48" i="35"/>
  <c r="H48" i="35"/>
  <c r="Q48" i="35"/>
  <c r="G25" i="35"/>
  <c r="K25" i="35"/>
  <c r="S25" i="35"/>
  <c r="N5" i="35"/>
  <c r="L5" i="35"/>
  <c r="I30" i="36"/>
  <c r="K30" i="36"/>
  <c r="O30" i="36"/>
  <c r="M23" i="36"/>
  <c r="P23" i="36"/>
  <c r="P197" i="37"/>
  <c r="N197" i="37"/>
  <c r="Q178" i="37"/>
  <c r="P178" i="37"/>
  <c r="S161" i="37"/>
  <c r="I161" i="37"/>
  <c r="H156" i="37"/>
  <c r="G156" i="37"/>
  <c r="O156" i="37"/>
  <c r="I156" i="37"/>
  <c r="Q156" i="37"/>
  <c r="K156" i="37"/>
  <c r="I123" i="37"/>
  <c r="J123" i="37"/>
  <c r="M123" i="37"/>
  <c r="Q123" i="37"/>
  <c r="Q102" i="37"/>
  <c r="O102" i="37"/>
  <c r="L8" i="37"/>
  <c r="G8" i="37"/>
  <c r="H197" i="38"/>
  <c r="P197" i="38"/>
  <c r="K197" i="38"/>
  <c r="J197" i="38"/>
  <c r="Q197" i="38"/>
  <c r="N109" i="39"/>
  <c r="K109" i="39"/>
  <c r="G26" i="39"/>
  <c r="O26" i="39"/>
  <c r="K62" i="16"/>
  <c r="R116" i="19"/>
  <c r="K81" i="38"/>
  <c r="K35" i="37"/>
  <c r="O73" i="37"/>
  <c r="I5" i="37"/>
  <c r="L180" i="37"/>
  <c r="J35" i="37"/>
  <c r="L50" i="37"/>
  <c r="H57" i="37"/>
  <c r="O88" i="37"/>
  <c r="K42" i="35"/>
  <c r="Q78" i="35"/>
  <c r="S141" i="37"/>
  <c r="M141" i="37"/>
  <c r="R77" i="36"/>
  <c r="I78" i="35"/>
  <c r="I199" i="37"/>
  <c r="O42" i="35"/>
  <c r="O126" i="35"/>
  <c r="H79" i="36"/>
  <c r="G37" i="35"/>
  <c r="Q37" i="35"/>
  <c r="Q42" i="35"/>
  <c r="H152" i="38"/>
  <c r="R152" i="38"/>
  <c r="N199" i="37"/>
  <c r="R37" i="35"/>
  <c r="R42" i="35"/>
  <c r="N78" i="35"/>
  <c r="R126" i="35"/>
  <c r="S137" i="35"/>
  <c r="G160" i="35"/>
  <c r="G165" i="35"/>
  <c r="L97" i="41"/>
  <c r="S42" i="35"/>
  <c r="O78" i="35"/>
  <c r="N5" i="46"/>
  <c r="P5" i="46"/>
  <c r="G83" i="45"/>
  <c r="Q135" i="44"/>
  <c r="M135" i="44"/>
  <c r="J131" i="43"/>
  <c r="S197" i="43"/>
  <c r="K186" i="43"/>
  <c r="N197" i="43"/>
  <c r="Q131" i="43"/>
  <c r="O197" i="43"/>
  <c r="J80" i="42"/>
  <c r="P202" i="42"/>
  <c r="O74" i="41"/>
  <c r="P74" i="41"/>
  <c r="K122" i="41"/>
  <c r="I122" i="41"/>
  <c r="I149" i="38"/>
  <c r="G75" i="38"/>
  <c r="R35" i="37"/>
  <c r="N50" i="37"/>
  <c r="I61" i="37"/>
  <c r="O180" i="37"/>
  <c r="R96" i="36"/>
  <c r="L126" i="36"/>
  <c r="J50" i="37"/>
  <c r="M61" i="37"/>
  <c r="S88" i="37"/>
  <c r="P129" i="38"/>
  <c r="O18" i="36"/>
  <c r="G81" i="35"/>
  <c r="P147" i="37"/>
  <c r="O147" i="37"/>
  <c r="K190" i="37"/>
  <c r="G190" i="37"/>
  <c r="J192" i="37"/>
  <c r="N26" i="35"/>
  <c r="P49" i="35"/>
  <c r="J64" i="35"/>
  <c r="J106" i="35"/>
  <c r="H141" i="35"/>
  <c r="H149" i="35"/>
  <c r="L173" i="35"/>
  <c r="G182" i="35"/>
  <c r="Q77" i="36"/>
  <c r="G79" i="36"/>
  <c r="L125" i="35"/>
  <c r="H173" i="35"/>
  <c r="S197" i="35"/>
  <c r="N147" i="37"/>
  <c r="S81" i="35"/>
  <c r="I125" i="35"/>
  <c r="O203" i="35"/>
  <c r="G172" i="35"/>
  <c r="P172" i="35"/>
  <c r="P168" i="35"/>
  <c r="K165" i="35"/>
  <c r="G152" i="35"/>
  <c r="P152" i="35"/>
  <c r="H150" i="35"/>
  <c r="G150" i="35"/>
  <c r="N150" i="35"/>
  <c r="J126" i="35"/>
  <c r="L121" i="35"/>
  <c r="R121" i="35"/>
  <c r="M121" i="35"/>
  <c r="P121" i="35"/>
  <c r="G116" i="35"/>
  <c r="Q116" i="35"/>
  <c r="H116" i="35"/>
  <c r="H93" i="35"/>
  <c r="G93" i="35"/>
  <c r="M93" i="35"/>
  <c r="S93" i="35"/>
  <c r="P69" i="35"/>
  <c r="M69" i="35"/>
  <c r="G69" i="35"/>
  <c r="S49" i="35"/>
  <c r="J24" i="35"/>
  <c r="H24" i="35"/>
  <c r="O24" i="35"/>
  <c r="P24" i="35"/>
  <c r="P198" i="36"/>
  <c r="L198" i="36"/>
  <c r="N198" i="36"/>
  <c r="R144" i="36"/>
  <c r="J144" i="36"/>
  <c r="N52" i="36"/>
  <c r="Q52" i="36"/>
  <c r="J16" i="36"/>
  <c r="I16" i="36"/>
  <c r="S165" i="37"/>
  <c r="K165" i="37"/>
  <c r="J155" i="37"/>
  <c r="G155" i="37"/>
  <c r="Q155" i="37"/>
  <c r="R155" i="37"/>
  <c r="N149" i="37"/>
  <c r="S149" i="37"/>
  <c r="S118" i="37"/>
  <c r="I118" i="37"/>
  <c r="I108" i="37"/>
  <c r="M108" i="37"/>
  <c r="M70" i="37"/>
  <c r="S70" i="37"/>
  <c r="S50" i="37"/>
  <c r="S38" i="37"/>
  <c r="J22" i="37"/>
  <c r="S22" i="37"/>
  <c r="K22" i="37"/>
  <c r="L22" i="37"/>
  <c r="R149" i="38"/>
  <c r="O123" i="38"/>
  <c r="G123" i="38"/>
  <c r="L123" i="38"/>
  <c r="P123" i="38"/>
  <c r="G119" i="38"/>
  <c r="L119" i="38"/>
  <c r="H72" i="38"/>
  <c r="Q72" i="38"/>
  <c r="I72" i="38"/>
  <c r="J68" i="38"/>
  <c r="P68" i="38"/>
  <c r="O115" i="36"/>
  <c r="H109" i="36"/>
  <c r="J105" i="36"/>
  <c r="N94" i="36"/>
  <c r="G84" i="36"/>
  <c r="S76" i="36"/>
  <c r="O76" i="36"/>
  <c r="K76" i="36"/>
  <c r="G76" i="36"/>
  <c r="P72" i="36"/>
  <c r="G72" i="36"/>
  <c r="R68" i="36"/>
  <c r="O64" i="36"/>
  <c r="G64" i="36"/>
  <c r="I53" i="36"/>
  <c r="Q48" i="36"/>
  <c r="G42" i="36"/>
  <c r="P24" i="36"/>
  <c r="K24" i="36"/>
  <c r="I24" i="36"/>
  <c r="P191" i="37"/>
  <c r="I191" i="37"/>
  <c r="I187" i="37"/>
  <c r="H186" i="37"/>
  <c r="K182" i="37"/>
  <c r="S179" i="37"/>
  <c r="K175" i="37"/>
  <c r="O172" i="37"/>
  <c r="G172" i="37"/>
  <c r="G166" i="37"/>
  <c r="J160" i="37"/>
  <c r="O148" i="37"/>
  <c r="Q144" i="37"/>
  <c r="H144" i="37"/>
  <c r="Q143" i="37"/>
  <c r="R136" i="37"/>
  <c r="H136" i="37"/>
  <c r="G135" i="37"/>
  <c r="R119" i="37"/>
  <c r="I111" i="37"/>
  <c r="G107" i="37"/>
  <c r="L104" i="37"/>
  <c r="J103" i="37"/>
  <c r="L80" i="37"/>
  <c r="Q75" i="37"/>
  <c r="G75" i="37"/>
  <c r="J30" i="37"/>
  <c r="Q30" i="37"/>
  <c r="G21" i="37"/>
  <c r="H21" i="37"/>
  <c r="I181" i="38"/>
  <c r="N181" i="38"/>
  <c r="N98" i="38"/>
  <c r="M98" i="38"/>
  <c r="L74" i="38"/>
  <c r="K74" i="38"/>
  <c r="G47" i="38"/>
  <c r="H47" i="38"/>
  <c r="Q12" i="38"/>
  <c r="H8" i="38"/>
  <c r="N8" i="38"/>
  <c r="S8" i="38"/>
  <c r="I8" i="38"/>
  <c r="K8" i="38"/>
  <c r="P8" i="38"/>
  <c r="L200" i="39"/>
  <c r="G200" i="39"/>
  <c r="L189" i="39"/>
  <c r="H189" i="39"/>
  <c r="N120" i="39"/>
  <c r="M120" i="39"/>
  <c r="M95" i="39"/>
  <c r="I95" i="39"/>
  <c r="N95" i="39"/>
  <c r="G52" i="39"/>
  <c r="S52" i="39"/>
  <c r="P52" i="39"/>
  <c r="L35" i="39"/>
  <c r="J35" i="39"/>
  <c r="O35" i="39"/>
  <c r="O20" i="39"/>
  <c r="K20" i="39"/>
  <c r="P20" i="39"/>
  <c r="H160" i="40"/>
  <c r="P160" i="40"/>
  <c r="J29" i="40"/>
  <c r="R29" i="40"/>
  <c r="G29" i="40"/>
  <c r="S29" i="40"/>
  <c r="H29" i="40"/>
  <c r="L17" i="40"/>
  <c r="H17" i="40"/>
  <c r="G17" i="40"/>
  <c r="P17" i="40"/>
  <c r="J11" i="40"/>
  <c r="H11" i="40"/>
  <c r="N11" i="40"/>
  <c r="P11" i="40"/>
  <c r="G136" i="41"/>
  <c r="K136" i="41"/>
  <c r="P136" i="41"/>
  <c r="H136" i="41"/>
  <c r="S136" i="41"/>
  <c r="M136" i="41"/>
  <c r="R104" i="41"/>
  <c r="J104" i="41"/>
  <c r="R84" i="41"/>
  <c r="S84" i="41"/>
  <c r="L57" i="41"/>
  <c r="N57" i="41"/>
  <c r="G29" i="41"/>
  <c r="L29" i="41"/>
  <c r="P29" i="41"/>
  <c r="I153" i="42"/>
  <c r="Q153" i="42"/>
  <c r="N153" i="42"/>
  <c r="J153" i="42"/>
  <c r="P153" i="42"/>
  <c r="O149" i="42"/>
  <c r="Q149" i="42"/>
  <c r="K82" i="35"/>
  <c r="M94" i="35"/>
  <c r="O60" i="35"/>
  <c r="R38" i="35"/>
  <c r="P28" i="35"/>
  <c r="L14" i="35"/>
  <c r="L137" i="36"/>
  <c r="N134" i="36"/>
  <c r="S133" i="36"/>
  <c r="L129" i="36"/>
  <c r="R128" i="36"/>
  <c r="P120" i="36"/>
  <c r="M18" i="37"/>
  <c r="H18" i="37"/>
  <c r="M194" i="38"/>
  <c r="N194" i="38"/>
  <c r="R162" i="38"/>
  <c r="J162" i="38"/>
  <c r="G151" i="38"/>
  <c r="M151" i="38"/>
  <c r="R148" i="38"/>
  <c r="G148" i="38"/>
  <c r="L141" i="38"/>
  <c r="H141" i="38"/>
  <c r="R141" i="38"/>
  <c r="H133" i="38"/>
  <c r="K133" i="38"/>
  <c r="R133" i="38"/>
  <c r="G127" i="38"/>
  <c r="H127" i="38"/>
  <c r="I101" i="38"/>
  <c r="H101" i="38"/>
  <c r="R101" i="38"/>
  <c r="L101" i="38"/>
  <c r="Q85" i="38"/>
  <c r="J85" i="38"/>
  <c r="I84" i="38"/>
  <c r="R84" i="38"/>
  <c r="K84" i="38"/>
  <c r="P84" i="38"/>
  <c r="H65" i="38"/>
  <c r="L65" i="38"/>
  <c r="M65" i="38"/>
  <c r="R65" i="38"/>
  <c r="L33" i="38"/>
  <c r="S33" i="38"/>
  <c r="H10" i="38"/>
  <c r="G10" i="38"/>
  <c r="S10" i="38"/>
  <c r="L10" i="38"/>
  <c r="N199" i="39"/>
  <c r="P199" i="39"/>
  <c r="L150" i="39"/>
  <c r="N150" i="39"/>
  <c r="I64" i="39"/>
  <c r="K64" i="39"/>
  <c r="K61" i="39"/>
  <c r="H61" i="39"/>
  <c r="G47" i="39"/>
  <c r="I47" i="39"/>
  <c r="Q47" i="39"/>
  <c r="H194" i="40"/>
  <c r="J194" i="40"/>
  <c r="R186" i="40"/>
  <c r="H186" i="40"/>
  <c r="G124" i="40"/>
  <c r="H124" i="40"/>
  <c r="O108" i="40"/>
  <c r="P108" i="40"/>
  <c r="H52" i="40"/>
  <c r="I52" i="40"/>
  <c r="K25" i="40"/>
  <c r="G25" i="40"/>
  <c r="N25" i="40"/>
  <c r="R21" i="40"/>
  <c r="S21" i="40"/>
  <c r="N177" i="41"/>
  <c r="G177" i="41"/>
  <c r="R177" i="41"/>
  <c r="H138" i="41"/>
  <c r="O138" i="41"/>
  <c r="N124" i="41"/>
  <c r="O124" i="41"/>
  <c r="N115" i="41"/>
  <c r="L115" i="41"/>
  <c r="L170" i="42"/>
  <c r="Q170" i="42"/>
  <c r="G170" i="42"/>
  <c r="O170" i="42"/>
  <c r="J82" i="35"/>
  <c r="G90" i="35"/>
  <c r="L6" i="35"/>
  <c r="R82" i="35"/>
  <c r="L117" i="35"/>
  <c r="S94" i="35"/>
  <c r="K94" i="35"/>
  <c r="H60" i="35"/>
  <c r="R53" i="35"/>
  <c r="R46" i="35"/>
  <c r="J46" i="35"/>
  <c r="O38" i="35"/>
  <c r="I14" i="35"/>
  <c r="S177" i="36"/>
  <c r="R156" i="36"/>
  <c r="K129" i="36"/>
  <c r="Q128" i="36"/>
  <c r="N121" i="36"/>
  <c r="O120" i="36"/>
  <c r="L109" i="36"/>
  <c r="N97" i="36"/>
  <c r="L94" i="36"/>
  <c r="L84" i="36"/>
  <c r="Q76" i="36"/>
  <c r="M76" i="36"/>
  <c r="K72" i="36"/>
  <c r="Q71" i="36"/>
  <c r="S64" i="36"/>
  <c r="K64" i="36"/>
  <c r="R60" i="36"/>
  <c r="J44" i="36"/>
  <c r="S42" i="36"/>
  <c r="L33" i="36"/>
  <c r="M32" i="36"/>
  <c r="S24" i="36"/>
  <c r="N24" i="36"/>
  <c r="K21" i="36"/>
  <c r="R8" i="36"/>
  <c r="P187" i="37"/>
  <c r="N186" i="37"/>
  <c r="K172" i="37"/>
  <c r="R159" i="37"/>
  <c r="H159" i="37"/>
  <c r="J152" i="37"/>
  <c r="O150" i="37"/>
  <c r="Q132" i="37"/>
  <c r="L132" i="37"/>
  <c r="Q111" i="37"/>
  <c r="Q103" i="37"/>
  <c r="J82" i="37"/>
  <c r="O49" i="37"/>
  <c r="O48" i="37"/>
  <c r="I30" i="37"/>
  <c r="O26" i="37"/>
  <c r="G23" i="37"/>
  <c r="I15" i="37"/>
  <c r="J15" i="37"/>
  <c r="S15" i="37"/>
  <c r="M15" i="37"/>
  <c r="R204" i="38"/>
  <c r="G204" i="38"/>
  <c r="I164" i="38"/>
  <c r="G164" i="38"/>
  <c r="Q164" i="38"/>
  <c r="M154" i="38"/>
  <c r="L154" i="38"/>
  <c r="H153" i="38"/>
  <c r="J153" i="38"/>
  <c r="R153" i="38"/>
  <c r="M153" i="38"/>
  <c r="P153" i="38"/>
  <c r="Q105" i="38"/>
  <c r="L105" i="38"/>
  <c r="Q84" i="38"/>
  <c r="K69" i="38"/>
  <c r="Q69" i="38"/>
  <c r="S65" i="38"/>
  <c r="J8" i="38"/>
  <c r="J128" i="39"/>
  <c r="N128" i="39"/>
  <c r="N84" i="39"/>
  <c r="L84" i="39"/>
  <c r="O84" i="39"/>
  <c r="G74" i="40"/>
  <c r="O74" i="40"/>
  <c r="G71" i="40"/>
  <c r="P71" i="40"/>
  <c r="M20" i="40"/>
  <c r="N20" i="40"/>
  <c r="P20" i="40"/>
  <c r="H199" i="41"/>
  <c r="P199" i="41"/>
  <c r="H192" i="41"/>
  <c r="J192" i="41"/>
  <c r="M192" i="41"/>
  <c r="G120" i="41"/>
  <c r="O120" i="41"/>
  <c r="S120" i="41"/>
  <c r="K120" i="41"/>
  <c r="L120" i="41"/>
  <c r="H189" i="42"/>
  <c r="P189" i="42"/>
  <c r="J176" i="39"/>
  <c r="H163" i="39"/>
  <c r="R161" i="39"/>
  <c r="J145" i="39"/>
  <c r="R131" i="39"/>
  <c r="R129" i="39"/>
  <c r="J121" i="39"/>
  <c r="N108" i="39"/>
  <c r="R102" i="39"/>
  <c r="I102" i="39"/>
  <c r="K94" i="39"/>
  <c r="R74" i="39"/>
  <c r="M74" i="39"/>
  <c r="G74" i="39"/>
  <c r="G69" i="39"/>
  <c r="P62" i="39"/>
  <c r="K62" i="39"/>
  <c r="I62" i="39"/>
  <c r="N54" i="39"/>
  <c r="I54" i="39"/>
  <c r="Q46" i="39"/>
  <c r="H45" i="39"/>
  <c r="G40" i="39"/>
  <c r="R27" i="39"/>
  <c r="G19" i="39"/>
  <c r="P17" i="39"/>
  <c r="N204" i="40"/>
  <c r="P187" i="40"/>
  <c r="J176" i="40"/>
  <c r="N174" i="40"/>
  <c r="H166" i="40"/>
  <c r="N165" i="40"/>
  <c r="J164" i="40"/>
  <c r="N159" i="40"/>
  <c r="N125" i="40"/>
  <c r="L113" i="40"/>
  <c r="L99" i="40"/>
  <c r="H88" i="40"/>
  <c r="N73" i="40"/>
  <c r="O70" i="40"/>
  <c r="H68" i="40"/>
  <c r="J64" i="40"/>
  <c r="M56" i="40"/>
  <c r="M53" i="40"/>
  <c r="H23" i="40"/>
  <c r="S19" i="40"/>
  <c r="N19" i="40"/>
  <c r="O201" i="41"/>
  <c r="G201" i="41"/>
  <c r="J200" i="41"/>
  <c r="R191" i="41"/>
  <c r="P183" i="41"/>
  <c r="J183" i="41"/>
  <c r="L156" i="41"/>
  <c r="H130" i="41"/>
  <c r="J112" i="41"/>
  <c r="R112" i="41"/>
  <c r="R109" i="41"/>
  <c r="P109" i="41"/>
  <c r="N88" i="41"/>
  <c r="L73" i="41"/>
  <c r="M51" i="41"/>
  <c r="J51" i="41"/>
  <c r="N42" i="41"/>
  <c r="P42" i="41"/>
  <c r="S203" i="42"/>
  <c r="H197" i="42"/>
  <c r="R197" i="42"/>
  <c r="H165" i="42"/>
  <c r="R165" i="42"/>
  <c r="N165" i="42"/>
  <c r="H154" i="42"/>
  <c r="R154" i="42"/>
  <c r="I154" i="42"/>
  <c r="H133" i="42"/>
  <c r="O133" i="42"/>
  <c r="G133" i="42"/>
  <c r="R133" i="42"/>
  <c r="J133" i="42"/>
  <c r="K50" i="42"/>
  <c r="Q50" i="42"/>
  <c r="L202" i="43"/>
  <c r="J202" i="43"/>
  <c r="R202" i="43"/>
  <c r="S202" i="43"/>
  <c r="I160" i="43"/>
  <c r="P160" i="43"/>
  <c r="R160" i="43"/>
  <c r="Q81" i="43"/>
  <c r="J81" i="43"/>
  <c r="L74" i="43"/>
  <c r="R74" i="43"/>
  <c r="N43" i="43"/>
  <c r="M43" i="43"/>
  <c r="G195" i="44"/>
  <c r="O195" i="44"/>
  <c r="M195" i="44"/>
  <c r="K195" i="44"/>
  <c r="N163" i="44"/>
  <c r="L163" i="44"/>
  <c r="G71" i="44"/>
  <c r="Q71" i="44"/>
  <c r="Q119" i="41"/>
  <c r="S119" i="41"/>
  <c r="I47" i="41"/>
  <c r="G47" i="41"/>
  <c r="R47" i="41"/>
  <c r="N32" i="41"/>
  <c r="S32" i="41"/>
  <c r="J7" i="41"/>
  <c r="H7" i="41"/>
  <c r="H200" i="42"/>
  <c r="G200" i="42"/>
  <c r="L182" i="42"/>
  <c r="H182" i="42"/>
  <c r="R182" i="42"/>
  <c r="G178" i="42"/>
  <c r="L178" i="42"/>
  <c r="S178" i="42"/>
  <c r="J178" i="42"/>
  <c r="O178" i="42"/>
  <c r="S171" i="42"/>
  <c r="J171" i="42"/>
  <c r="I166" i="42"/>
  <c r="K166" i="42"/>
  <c r="N158" i="42"/>
  <c r="S158" i="42"/>
  <c r="N153" i="43"/>
  <c r="P153" i="43"/>
  <c r="H87" i="43"/>
  <c r="L87" i="43"/>
  <c r="P87" i="43"/>
  <c r="H42" i="43"/>
  <c r="J42" i="43"/>
  <c r="S42" i="43"/>
  <c r="O179" i="44"/>
  <c r="P179" i="44"/>
  <c r="I179" i="44"/>
  <c r="G179" i="44"/>
  <c r="Q179" i="44"/>
  <c r="I133" i="44"/>
  <c r="R133" i="44"/>
  <c r="K133" i="44"/>
  <c r="M133" i="44"/>
  <c r="Q120" i="44"/>
  <c r="S120" i="44"/>
  <c r="G74" i="44"/>
  <c r="N74" i="44"/>
  <c r="O74" i="44"/>
  <c r="R74" i="44"/>
  <c r="H29" i="44"/>
  <c r="O29" i="44"/>
  <c r="R157" i="38"/>
  <c r="S113" i="38"/>
  <c r="Q61" i="38"/>
  <c r="N190" i="39"/>
  <c r="R138" i="39"/>
  <c r="K102" i="39"/>
  <c r="O74" i="39"/>
  <c r="J74" i="39"/>
  <c r="S73" i="39"/>
  <c r="S62" i="39"/>
  <c r="N62" i="39"/>
  <c r="K60" i="39"/>
  <c r="P54" i="39"/>
  <c r="J54" i="39"/>
  <c r="K53" i="39"/>
  <c r="P45" i="39"/>
  <c r="L42" i="39"/>
  <c r="N28" i="39"/>
  <c r="Q27" i="39"/>
  <c r="P24" i="39"/>
  <c r="R196" i="40"/>
  <c r="P170" i="40"/>
  <c r="R145" i="40"/>
  <c r="S98" i="40"/>
  <c r="S91" i="40"/>
  <c r="N91" i="40"/>
  <c r="G81" i="40"/>
  <c r="H55" i="40"/>
  <c r="R53" i="40"/>
  <c r="P32" i="40"/>
  <c r="O19" i="40"/>
  <c r="O198" i="41"/>
  <c r="R183" i="41"/>
  <c r="L183" i="41"/>
  <c r="P170" i="41"/>
  <c r="R145" i="41"/>
  <c r="M145" i="41"/>
  <c r="N112" i="41"/>
  <c r="J111" i="41"/>
  <c r="N111" i="41"/>
  <c r="I78" i="41"/>
  <c r="G78" i="41"/>
  <c r="J75" i="41"/>
  <c r="O75" i="41"/>
  <c r="G69" i="41"/>
  <c r="J67" i="41"/>
  <c r="R67" i="41"/>
  <c r="L64" i="41"/>
  <c r="N59" i="41"/>
  <c r="O47" i="41"/>
  <c r="I35" i="41"/>
  <c r="L35" i="41"/>
  <c r="K190" i="42"/>
  <c r="G190" i="42"/>
  <c r="O190" i="42"/>
  <c r="M178" i="42"/>
  <c r="P165" i="42"/>
  <c r="S154" i="42"/>
  <c r="G150" i="42"/>
  <c r="M150" i="42"/>
  <c r="H150" i="42"/>
  <c r="Q150" i="42"/>
  <c r="S131" i="42"/>
  <c r="N131" i="42"/>
  <c r="M122" i="42"/>
  <c r="I122" i="42"/>
  <c r="J122" i="42"/>
  <c r="O122" i="42"/>
  <c r="G48" i="42"/>
  <c r="O48" i="42"/>
  <c r="P48" i="42"/>
  <c r="L22" i="42"/>
  <c r="G22" i="42"/>
  <c r="O22" i="42"/>
  <c r="H22" i="42"/>
  <c r="P22" i="42"/>
  <c r="I22" i="42"/>
  <c r="S22" i="42"/>
  <c r="I32" i="43"/>
  <c r="L32" i="43"/>
  <c r="P32" i="43"/>
  <c r="J203" i="44"/>
  <c r="Q203" i="44"/>
  <c r="H203" i="44"/>
  <c r="O203" i="44"/>
  <c r="H65" i="44"/>
  <c r="M65" i="44"/>
  <c r="R65" i="44"/>
  <c r="I65" i="44"/>
  <c r="N65" i="44"/>
  <c r="J65" i="44"/>
  <c r="P65" i="44"/>
  <c r="L65" i="44"/>
  <c r="Q65" i="44"/>
  <c r="J118" i="42"/>
  <c r="L112" i="42"/>
  <c r="J98" i="42"/>
  <c r="N74" i="42"/>
  <c r="H74" i="42"/>
  <c r="J73" i="42"/>
  <c r="S66" i="42"/>
  <c r="I66" i="42"/>
  <c r="N64" i="42"/>
  <c r="J62" i="42"/>
  <c r="H58" i="42"/>
  <c r="G46" i="42"/>
  <c r="G45" i="42"/>
  <c r="Q26" i="42"/>
  <c r="L26" i="42"/>
  <c r="S196" i="43"/>
  <c r="M176" i="43"/>
  <c r="N172" i="43"/>
  <c r="I169" i="43"/>
  <c r="L22" i="43"/>
  <c r="G22" i="43"/>
  <c r="S22" i="43"/>
  <c r="G197" i="44"/>
  <c r="S197" i="44"/>
  <c r="O197" i="44"/>
  <c r="I194" i="44"/>
  <c r="G194" i="44"/>
  <c r="M80" i="44"/>
  <c r="O80" i="44"/>
  <c r="P80" i="44"/>
  <c r="I64" i="44"/>
  <c r="R64" i="44"/>
  <c r="S64" i="44"/>
  <c r="G45" i="44"/>
  <c r="K45" i="44"/>
  <c r="O45" i="44"/>
  <c r="S45" i="44"/>
  <c r="H45" i="44"/>
  <c r="L45" i="44"/>
  <c r="P45" i="44"/>
  <c r="I45" i="44"/>
  <c r="M45" i="44"/>
  <c r="Q45" i="44"/>
  <c r="K176" i="45"/>
  <c r="Q176" i="45"/>
  <c r="G169" i="45"/>
  <c r="O169" i="45"/>
  <c r="Q169" i="45"/>
  <c r="R169" i="45"/>
  <c r="H158" i="45"/>
  <c r="M158" i="45"/>
  <c r="N158" i="45"/>
  <c r="P158" i="45"/>
  <c r="G148" i="45"/>
  <c r="P148" i="45"/>
  <c r="M148" i="45"/>
  <c r="N148" i="45"/>
  <c r="O148" i="45"/>
  <c r="G92" i="45"/>
  <c r="K92" i="45"/>
  <c r="M92" i="45"/>
  <c r="N92" i="45"/>
  <c r="H74" i="45"/>
  <c r="I74" i="45"/>
  <c r="P74" i="45"/>
  <c r="G74" i="45"/>
  <c r="S58" i="45"/>
  <c r="M58" i="45"/>
  <c r="L202" i="46"/>
  <c r="N202" i="46"/>
  <c r="G202" i="46"/>
  <c r="H121" i="46"/>
  <c r="N121" i="46"/>
  <c r="P121" i="46"/>
  <c r="R121" i="46"/>
  <c r="P163" i="43"/>
  <c r="R118" i="43"/>
  <c r="S114" i="43"/>
  <c r="M53" i="43"/>
  <c r="G23" i="43"/>
  <c r="I23" i="43"/>
  <c r="P23" i="43"/>
  <c r="M204" i="44"/>
  <c r="L204" i="44"/>
  <c r="S204" i="44"/>
  <c r="G198" i="44"/>
  <c r="O198" i="44"/>
  <c r="H198" i="44"/>
  <c r="O175" i="44"/>
  <c r="Q175" i="44"/>
  <c r="P134" i="44"/>
  <c r="K134" i="44"/>
  <c r="H122" i="44"/>
  <c r="N122" i="44"/>
  <c r="G73" i="44"/>
  <c r="N73" i="44"/>
  <c r="I73" i="44"/>
  <c r="R73" i="44"/>
  <c r="K73" i="44"/>
  <c r="S73" i="44"/>
  <c r="L191" i="45"/>
  <c r="R191" i="45"/>
  <c r="J191" i="45"/>
  <c r="K191" i="45"/>
  <c r="L172" i="45"/>
  <c r="G172" i="45"/>
  <c r="K172" i="45"/>
  <c r="N172" i="45"/>
  <c r="G60" i="45"/>
  <c r="L60" i="45"/>
  <c r="N60" i="45"/>
  <c r="P60" i="45"/>
  <c r="K138" i="42"/>
  <c r="M134" i="42"/>
  <c r="O125" i="42"/>
  <c r="P119" i="42"/>
  <c r="P118" i="42"/>
  <c r="P98" i="42"/>
  <c r="N90" i="42"/>
  <c r="R74" i="42"/>
  <c r="S73" i="42"/>
  <c r="O63" i="42"/>
  <c r="R62" i="42"/>
  <c r="P53" i="42"/>
  <c r="Q51" i="42"/>
  <c r="J51" i="42"/>
  <c r="L44" i="42"/>
  <c r="O41" i="42"/>
  <c r="P36" i="42"/>
  <c r="I36" i="42"/>
  <c r="H32" i="42"/>
  <c r="K25" i="42"/>
  <c r="Q201" i="43"/>
  <c r="L201" i="43"/>
  <c r="Q195" i="43"/>
  <c r="S172" i="43"/>
  <c r="Q169" i="43"/>
  <c r="O168" i="43"/>
  <c r="G163" i="43"/>
  <c r="S129" i="43"/>
  <c r="K114" i="43"/>
  <c r="O95" i="43"/>
  <c r="S48" i="43"/>
  <c r="K48" i="43"/>
  <c r="M38" i="43"/>
  <c r="R28" i="43"/>
  <c r="J28" i="43"/>
  <c r="I25" i="43"/>
  <c r="M25" i="43"/>
  <c r="P25" i="43"/>
  <c r="O22" i="43"/>
  <c r="P197" i="44"/>
  <c r="M193" i="44"/>
  <c r="H193" i="44"/>
  <c r="O193" i="44"/>
  <c r="K177" i="44"/>
  <c r="N177" i="44"/>
  <c r="I172" i="44"/>
  <c r="R172" i="44"/>
  <c r="N170" i="44"/>
  <c r="H170" i="44"/>
  <c r="N45" i="44"/>
  <c r="L40" i="45"/>
  <c r="S40" i="45"/>
  <c r="K40" i="45"/>
  <c r="P178" i="46"/>
  <c r="L178" i="46"/>
  <c r="G178" i="46"/>
  <c r="L168" i="46"/>
  <c r="H168" i="46"/>
  <c r="L118" i="44"/>
  <c r="H63" i="44"/>
  <c r="L61" i="44"/>
  <c r="J12" i="44"/>
  <c r="N192" i="45"/>
  <c r="K189" i="45"/>
  <c r="O187" i="45"/>
  <c r="L187" i="45"/>
  <c r="I171" i="45"/>
  <c r="S166" i="45"/>
  <c r="L166" i="45"/>
  <c r="I166" i="45"/>
  <c r="N160" i="45"/>
  <c r="K160" i="45"/>
  <c r="N154" i="45"/>
  <c r="P138" i="45"/>
  <c r="G137" i="45"/>
  <c r="N132" i="45"/>
  <c r="P132" i="45"/>
  <c r="N109" i="45"/>
  <c r="P109" i="45"/>
  <c r="Q29" i="45"/>
  <c r="S29" i="45"/>
  <c r="J84" i="46"/>
  <c r="O84" i="46"/>
  <c r="I91" i="45"/>
  <c r="Q91" i="45"/>
  <c r="K75" i="45"/>
  <c r="M75" i="45"/>
  <c r="N75" i="45"/>
  <c r="J64" i="45"/>
  <c r="I64" i="45"/>
  <c r="K64" i="45"/>
  <c r="O52" i="45"/>
  <c r="P52" i="45"/>
  <c r="J136" i="46"/>
  <c r="R136" i="46"/>
  <c r="P103" i="46"/>
  <c r="O103" i="46"/>
  <c r="H11" i="46"/>
  <c r="P11" i="46"/>
  <c r="J11" i="46"/>
  <c r="R11" i="46"/>
  <c r="L11" i="46"/>
  <c r="L162" i="44"/>
  <c r="O159" i="44"/>
  <c r="Q147" i="44"/>
  <c r="M143" i="44"/>
  <c r="L131" i="44"/>
  <c r="N93" i="44"/>
  <c r="P57" i="44"/>
  <c r="K187" i="45"/>
  <c r="O166" i="45"/>
  <c r="J166" i="45"/>
  <c r="L160" i="45"/>
  <c r="G50" i="45"/>
  <c r="J50" i="45"/>
  <c r="H50" i="45"/>
  <c r="N158" i="46"/>
  <c r="H158" i="46"/>
  <c r="J158" i="46"/>
  <c r="O93" i="46"/>
  <c r="N93" i="46"/>
  <c r="L86" i="46"/>
  <c r="R86" i="46"/>
  <c r="I86" i="46"/>
  <c r="M86" i="46"/>
  <c r="K82" i="46"/>
  <c r="P82" i="46"/>
  <c r="M40" i="46"/>
  <c r="O40" i="46"/>
  <c r="R88" i="46"/>
  <c r="J88" i="46"/>
  <c r="M74" i="46"/>
  <c r="P65" i="46"/>
  <c r="P52" i="46"/>
  <c r="M48" i="46"/>
  <c r="S46" i="46"/>
  <c r="L41" i="46"/>
  <c r="I28" i="46"/>
  <c r="L15" i="46"/>
  <c r="S80" i="45"/>
  <c r="R67" i="45"/>
  <c r="S48" i="45"/>
  <c r="O30" i="45"/>
  <c r="P187" i="46"/>
  <c r="P179" i="46"/>
  <c r="L141" i="46"/>
  <c r="N135" i="46"/>
  <c r="M104" i="46"/>
  <c r="Q88" i="46"/>
  <c r="N65" i="46"/>
  <c r="S41" i="46"/>
  <c r="K41" i="46"/>
  <c r="N25" i="46"/>
  <c r="U4" i="35"/>
  <c r="U1" i="35" s="1"/>
  <c r="A2" i="35" s="1"/>
  <c r="A2" i="36" s="1"/>
  <c r="F1" i="23"/>
  <c r="C24" i="6" s="1"/>
  <c r="E1" i="23"/>
  <c r="C5" i="6" s="1"/>
  <c r="B3" i="6"/>
  <c r="C62" i="16"/>
  <c r="D112" i="19"/>
  <c r="I1" i="16"/>
  <c r="D80" i="19" s="1"/>
  <c r="K33" i="16"/>
  <c r="K1" i="16" s="1"/>
  <c r="U4" i="38"/>
  <c r="U1" i="38" s="1"/>
  <c r="A1" i="39"/>
  <c r="N1" i="16"/>
  <c r="U4" i="37"/>
  <c r="U1" i="37" s="1"/>
  <c r="P15" i="16"/>
  <c r="P33" i="16" s="1"/>
  <c r="E24" i="6"/>
  <c r="F7" i="17" s="1"/>
  <c r="F22" i="17" s="1"/>
  <c r="L24" i="6"/>
  <c r="M5" i="6"/>
  <c r="N5" i="17" s="1"/>
  <c r="N19" i="17" s="1"/>
  <c r="K189" i="35"/>
  <c r="P189" i="35"/>
  <c r="I130" i="35"/>
  <c r="O130" i="35"/>
  <c r="G113" i="35"/>
  <c r="P113" i="35"/>
  <c r="J113" i="35"/>
  <c r="H110" i="35"/>
  <c r="N110" i="35"/>
  <c r="L98" i="35"/>
  <c r="S98" i="35"/>
  <c r="J92" i="35"/>
  <c r="O92" i="35"/>
  <c r="G92" i="35"/>
  <c r="Q92" i="35"/>
  <c r="G89" i="35"/>
  <c r="M89" i="35"/>
  <c r="R89" i="35"/>
  <c r="H89" i="35"/>
  <c r="N89" i="35"/>
  <c r="S89" i="35"/>
  <c r="M77" i="35"/>
  <c r="N77" i="35"/>
  <c r="G70" i="35"/>
  <c r="L70" i="35"/>
  <c r="Q70" i="35"/>
  <c r="I70" i="35"/>
  <c r="M70" i="35"/>
  <c r="R70" i="35"/>
  <c r="H52" i="35"/>
  <c r="P52" i="35"/>
  <c r="I22" i="35"/>
  <c r="Q22" i="35"/>
  <c r="J22" i="35"/>
  <c r="I12" i="35"/>
  <c r="O12" i="35"/>
  <c r="G10" i="35"/>
  <c r="M10" i="35"/>
  <c r="I10" i="35"/>
  <c r="O10" i="35"/>
  <c r="P186" i="36"/>
  <c r="J186" i="36"/>
  <c r="L186" i="36"/>
  <c r="G147" i="36"/>
  <c r="P147" i="36"/>
  <c r="I177" i="35"/>
  <c r="S189" i="35"/>
  <c r="N10" i="35"/>
  <c r="G12" i="35"/>
  <c r="S22" i="35"/>
  <c r="I98" i="35"/>
  <c r="O103" i="35"/>
  <c r="H113" i="35"/>
  <c r="H137" i="35"/>
  <c r="O177" i="35"/>
  <c r="R186" i="35"/>
  <c r="Q189" i="35"/>
  <c r="G17" i="35"/>
  <c r="G22" i="35"/>
  <c r="Q77" i="35"/>
  <c r="L110" i="35"/>
  <c r="N113" i="35"/>
  <c r="I137" i="35"/>
  <c r="M186" i="35"/>
  <c r="R189" i="35"/>
  <c r="J190" i="36"/>
  <c r="P72" i="35"/>
  <c r="G77" i="35"/>
  <c r="K24" i="6"/>
  <c r="L7" i="17" s="1"/>
  <c r="L22" i="17" s="1"/>
  <c r="L5" i="6"/>
  <c r="H194" i="35"/>
  <c r="M194" i="35"/>
  <c r="S194" i="35"/>
  <c r="K193" i="35"/>
  <c r="O189" i="35"/>
  <c r="O186" i="35"/>
  <c r="Q184" i="35"/>
  <c r="R177" i="35"/>
  <c r="N170" i="35"/>
  <c r="R146" i="35"/>
  <c r="H146" i="35"/>
  <c r="I142" i="35"/>
  <c r="N142" i="35"/>
  <c r="L137" i="35"/>
  <c r="Q136" i="35"/>
  <c r="M130" i="35"/>
  <c r="K121" i="35"/>
  <c r="O121" i="35"/>
  <c r="O113" i="35"/>
  <c r="G96" i="35"/>
  <c r="H96" i="35"/>
  <c r="K93" i="35"/>
  <c r="N93" i="35"/>
  <c r="K89" i="35"/>
  <c r="J88" i="35"/>
  <c r="I88" i="35"/>
  <c r="M71" i="35"/>
  <c r="O71" i="35"/>
  <c r="K70" i="35"/>
  <c r="K50" i="35"/>
  <c r="N50" i="35"/>
  <c r="G45" i="35"/>
  <c r="N45" i="35"/>
  <c r="H45" i="35"/>
  <c r="P45" i="35"/>
  <c r="G36" i="35"/>
  <c r="I30" i="35"/>
  <c r="L30" i="35"/>
  <c r="S21" i="35"/>
  <c r="G19" i="35"/>
  <c r="L10" i="35"/>
  <c r="N194" i="36"/>
  <c r="S194" i="36"/>
  <c r="H194" i="36"/>
  <c r="J194" i="36"/>
  <c r="R172" i="36"/>
  <c r="P172" i="36"/>
  <c r="J169" i="36"/>
  <c r="K169" i="36"/>
  <c r="P169" i="36"/>
  <c r="Q177" i="35"/>
  <c r="G186" i="35"/>
  <c r="N190" i="35"/>
  <c r="J198" i="35"/>
  <c r="S10" i="35"/>
  <c r="Q12" i="35"/>
  <c r="J12" i="35"/>
  <c r="I77" i="35"/>
  <c r="M83" i="35"/>
  <c r="N98" i="35"/>
  <c r="I110" i="35"/>
  <c r="M113" i="35"/>
  <c r="M137" i="35"/>
  <c r="G145" i="35"/>
  <c r="K198" i="35"/>
  <c r="H22" i="35"/>
  <c r="J98" i="35"/>
  <c r="R110" i="35"/>
  <c r="R113" i="35"/>
  <c r="N137" i="35"/>
  <c r="J145" i="35"/>
  <c r="O27" i="35"/>
  <c r="J72" i="35"/>
  <c r="K77" i="35"/>
  <c r="K98" i="35"/>
  <c r="K5" i="6"/>
  <c r="L5" i="17" s="1"/>
  <c r="L19" i="17" s="1"/>
  <c r="G198" i="35"/>
  <c r="L189" i="35"/>
  <c r="I186" i="35"/>
  <c r="J177" i="35"/>
  <c r="G137" i="35"/>
  <c r="L130" i="35"/>
  <c r="L113" i="35"/>
  <c r="H102" i="35"/>
  <c r="J102" i="35"/>
  <c r="I92" i="35"/>
  <c r="J90" i="35"/>
  <c r="N90" i="35"/>
  <c r="J89" i="35"/>
  <c r="R77" i="35"/>
  <c r="H76" i="35"/>
  <c r="P76" i="35"/>
  <c r="S70" i="35"/>
  <c r="J70" i="35"/>
  <c r="H68" i="35"/>
  <c r="O68" i="35"/>
  <c r="K57" i="35"/>
  <c r="M57" i="35"/>
  <c r="J56" i="35"/>
  <c r="O56" i="35"/>
  <c r="G56" i="35"/>
  <c r="P56" i="35"/>
  <c r="I53" i="35"/>
  <c r="O53" i="35"/>
  <c r="J53" i="35"/>
  <c r="Q53" i="35"/>
  <c r="L41" i="35"/>
  <c r="M41" i="35"/>
  <c r="O22" i="35"/>
  <c r="L21" i="35"/>
  <c r="K21" i="35"/>
  <c r="P21" i="35"/>
  <c r="G21" i="35"/>
  <c r="M21" i="35"/>
  <c r="R21" i="35"/>
  <c r="K10" i="35"/>
  <c r="Q186" i="35"/>
  <c r="S198" i="35"/>
  <c r="H12" i="35"/>
  <c r="N27" i="35"/>
  <c r="O77" i="35"/>
  <c r="O110" i="35"/>
  <c r="Q113" i="35"/>
  <c r="Q137" i="35"/>
  <c r="O145" i="35"/>
  <c r="H189" i="35"/>
  <c r="R22" i="35"/>
  <c r="O98" i="35"/>
  <c r="R137" i="35"/>
  <c r="R145" i="35"/>
  <c r="I189" i="35"/>
  <c r="G27" i="35"/>
  <c r="P77" i="35"/>
  <c r="R98" i="35"/>
  <c r="J189" i="35"/>
  <c r="I202" i="35"/>
  <c r="R202" i="35"/>
  <c r="N197" i="35"/>
  <c r="M197" i="35"/>
  <c r="R194" i="35"/>
  <c r="I194" i="35"/>
  <c r="O193" i="35"/>
  <c r="H192" i="35"/>
  <c r="G189" i="35"/>
  <c r="G187" i="35"/>
  <c r="H186" i="35"/>
  <c r="N184" i="35"/>
  <c r="G177" i="35"/>
  <c r="O159" i="35"/>
  <c r="I154" i="35"/>
  <c r="O154" i="35"/>
  <c r="M146" i="35"/>
  <c r="K145" i="35"/>
  <c r="R142" i="35"/>
  <c r="J142" i="35"/>
  <c r="P137" i="35"/>
  <c r="K137" i="35"/>
  <c r="R130" i="35"/>
  <c r="H130" i="35"/>
  <c r="S126" i="35"/>
  <c r="N125" i="35"/>
  <c r="H122" i="35"/>
  <c r="J121" i="35"/>
  <c r="K113" i="35"/>
  <c r="G101" i="35"/>
  <c r="O101" i="35"/>
  <c r="J101" i="35"/>
  <c r="R101" i="35"/>
  <c r="H98" i="35"/>
  <c r="O96" i="35"/>
  <c r="R93" i="35"/>
  <c r="H92" i="35"/>
  <c r="Q90" i="35"/>
  <c r="P89" i="35"/>
  <c r="L89" i="35"/>
  <c r="H77" i="35"/>
  <c r="O70" i="35"/>
  <c r="H70" i="35"/>
  <c r="J69" i="35"/>
  <c r="R69" i="35"/>
  <c r="K69" i="35"/>
  <c r="S69" i="35"/>
  <c r="M67" i="35"/>
  <c r="G67" i="35"/>
  <c r="Q56" i="35"/>
  <c r="N53" i="35"/>
  <c r="J52" i="35"/>
  <c r="R41" i="35"/>
  <c r="J40" i="35"/>
  <c r="P40" i="35"/>
  <c r="G35" i="35"/>
  <c r="M35" i="35"/>
  <c r="N22" i="35"/>
  <c r="N21" i="35"/>
  <c r="R10" i="35"/>
  <c r="H10" i="35"/>
  <c r="G114" i="37"/>
  <c r="S114" i="37"/>
  <c r="I62" i="37"/>
  <c r="S62" i="37"/>
  <c r="I39" i="37"/>
  <c r="N39" i="37"/>
  <c r="S39" i="37"/>
  <c r="I11" i="37"/>
  <c r="M11" i="37"/>
  <c r="R11" i="37"/>
  <c r="H11" i="37"/>
  <c r="K11" i="37"/>
  <c r="O11" i="37"/>
  <c r="H195" i="38"/>
  <c r="P195" i="38"/>
  <c r="M195" i="38"/>
  <c r="N195" i="38"/>
  <c r="L150" i="38"/>
  <c r="K137" i="38"/>
  <c r="Q137" i="38"/>
  <c r="J97" i="38"/>
  <c r="Q97" i="38"/>
  <c r="H97" i="38"/>
  <c r="S97" i="38"/>
  <c r="L97" i="38"/>
  <c r="N50" i="38"/>
  <c r="M50" i="38"/>
  <c r="J37" i="38"/>
  <c r="Q37" i="38"/>
  <c r="N18" i="38"/>
  <c r="M18" i="38"/>
  <c r="H154" i="39"/>
  <c r="R154" i="39"/>
  <c r="R143" i="39"/>
  <c r="N143" i="39"/>
  <c r="J127" i="39"/>
  <c r="H127" i="39"/>
  <c r="J78" i="39"/>
  <c r="K78" i="39"/>
  <c r="O78" i="39"/>
  <c r="S78" i="39"/>
  <c r="G78" i="39"/>
  <c r="L78" i="39"/>
  <c r="P78" i="39"/>
  <c r="H78" i="39"/>
  <c r="M78" i="39"/>
  <c r="Q78" i="39"/>
  <c r="I58" i="39"/>
  <c r="O58" i="39"/>
  <c r="G58" i="39"/>
  <c r="Q58" i="39"/>
  <c r="J58" i="39"/>
  <c r="R58" i="39"/>
  <c r="K33" i="39"/>
  <c r="J33" i="39"/>
  <c r="H136" i="36"/>
  <c r="P105" i="36"/>
  <c r="I105" i="36"/>
  <c r="P104" i="36"/>
  <c r="P100" i="36"/>
  <c r="M87" i="36"/>
  <c r="S86" i="36"/>
  <c r="Q85" i="36"/>
  <c r="H74" i="36"/>
  <c r="P60" i="36"/>
  <c r="H60" i="36"/>
  <c r="P59" i="36"/>
  <c r="R40" i="36"/>
  <c r="I40" i="36"/>
  <c r="Q39" i="36"/>
  <c r="I23" i="36"/>
  <c r="J203" i="37"/>
  <c r="R184" i="37"/>
  <c r="I184" i="37"/>
  <c r="P182" i="37"/>
  <c r="H182" i="37"/>
  <c r="N179" i="37"/>
  <c r="O175" i="37"/>
  <c r="H175" i="37"/>
  <c r="I165" i="37"/>
  <c r="K148" i="37"/>
  <c r="G116" i="37"/>
  <c r="Q116" i="37"/>
  <c r="P114" i="37"/>
  <c r="K112" i="37"/>
  <c r="M112" i="37"/>
  <c r="M62" i="37"/>
  <c r="R47" i="37"/>
  <c r="Q39" i="37"/>
  <c r="J39" i="37"/>
  <c r="H26" i="37"/>
  <c r="L26" i="37"/>
  <c r="P22" i="37"/>
  <c r="I22" i="37"/>
  <c r="L11" i="37"/>
  <c r="O195" i="38"/>
  <c r="M185" i="38"/>
  <c r="R185" i="38"/>
  <c r="L185" i="38"/>
  <c r="J177" i="38"/>
  <c r="P177" i="38"/>
  <c r="R177" i="38"/>
  <c r="O175" i="38"/>
  <c r="H175" i="38"/>
  <c r="N77" i="38"/>
  <c r="Q77" i="38"/>
  <c r="H56" i="38"/>
  <c r="I56" i="38"/>
  <c r="Q56" i="38"/>
  <c r="K22" i="38"/>
  <c r="L22" i="38"/>
  <c r="M22" i="38"/>
  <c r="K16" i="38"/>
  <c r="N16" i="38"/>
  <c r="O16" i="38"/>
  <c r="J7" i="38"/>
  <c r="M7" i="38"/>
  <c r="Q7" i="38"/>
  <c r="J166" i="39"/>
  <c r="L166" i="39"/>
  <c r="N166" i="39"/>
  <c r="R78" i="39"/>
  <c r="J66" i="39"/>
  <c r="K66" i="39"/>
  <c r="O66" i="39"/>
  <c r="H24" i="6"/>
  <c r="I7" i="17" s="1"/>
  <c r="I22" i="17" s="1"/>
  <c r="M24" i="6"/>
  <c r="N7" i="17" s="1"/>
  <c r="N22" i="17" s="1"/>
  <c r="N5" i="6"/>
  <c r="O5" i="17" s="1"/>
  <c r="O19" i="17" s="1"/>
  <c r="M117" i="35"/>
  <c r="S106" i="35"/>
  <c r="N94" i="35"/>
  <c r="P60" i="35"/>
  <c r="R58" i="35"/>
  <c r="Q46" i="35"/>
  <c r="K46" i="35"/>
  <c r="N14" i="35"/>
  <c r="S9" i="35"/>
  <c r="M9" i="35"/>
  <c r="M1" i="35" s="1"/>
  <c r="C16" i="6" s="1"/>
  <c r="R204" i="36"/>
  <c r="L177" i="36"/>
  <c r="Q149" i="36"/>
  <c r="J149" i="36"/>
  <c r="R148" i="36"/>
  <c r="I148" i="36"/>
  <c r="P143" i="36"/>
  <c r="G136" i="36"/>
  <c r="P129" i="36"/>
  <c r="N128" i="36"/>
  <c r="S125" i="36"/>
  <c r="I120" i="36"/>
  <c r="R117" i="36"/>
  <c r="L117" i="36"/>
  <c r="Q109" i="36"/>
  <c r="P108" i="36"/>
  <c r="H108" i="36"/>
  <c r="S105" i="36"/>
  <c r="N105" i="36"/>
  <c r="H105" i="36"/>
  <c r="I104" i="36"/>
  <c r="I100" i="36"/>
  <c r="P94" i="36"/>
  <c r="I94" i="36"/>
  <c r="J87" i="36"/>
  <c r="H86" i="36"/>
  <c r="K85" i="36"/>
  <c r="O84" i="36"/>
  <c r="R80" i="36"/>
  <c r="I80" i="36"/>
  <c r="G74" i="36"/>
  <c r="L72" i="36"/>
  <c r="O70" i="36"/>
  <c r="I70" i="36"/>
  <c r="Q64" i="36"/>
  <c r="M64" i="36"/>
  <c r="M1" i="36" s="1"/>
  <c r="D16" i="6" s="1"/>
  <c r="I64" i="36"/>
  <c r="N60" i="36"/>
  <c r="G60" i="36"/>
  <c r="J59" i="36"/>
  <c r="N45" i="36"/>
  <c r="S44" i="36"/>
  <c r="N44" i="36"/>
  <c r="H44" i="36"/>
  <c r="P40" i="36"/>
  <c r="H40" i="36"/>
  <c r="I39" i="36"/>
  <c r="Q35" i="36"/>
  <c r="S33" i="36"/>
  <c r="J33" i="36"/>
  <c r="R32" i="36"/>
  <c r="G23" i="36"/>
  <c r="G1" i="36" s="1"/>
  <c r="Q21" i="36"/>
  <c r="N16" i="36"/>
  <c r="R203" i="37"/>
  <c r="I203" i="37"/>
  <c r="S200" i="37"/>
  <c r="K187" i="37"/>
  <c r="P186" i="37"/>
  <c r="O184" i="37"/>
  <c r="G184" i="37"/>
  <c r="N182" i="37"/>
  <c r="G182" i="37"/>
  <c r="K179" i="37"/>
  <c r="M175" i="37"/>
  <c r="G175" i="37"/>
  <c r="S173" i="37"/>
  <c r="I173" i="37"/>
  <c r="R172" i="37"/>
  <c r="L172" i="37"/>
  <c r="O167" i="37"/>
  <c r="G165" i="37"/>
  <c r="R164" i="37"/>
  <c r="M164" i="37"/>
  <c r="I164" i="37"/>
  <c r="S163" i="37"/>
  <c r="S160" i="37"/>
  <c r="S159" i="37"/>
  <c r="L159" i="37"/>
  <c r="O158" i="37"/>
  <c r="I158" i="37"/>
  <c r="S157" i="37"/>
  <c r="R156" i="37"/>
  <c r="L156" i="37"/>
  <c r="M155" i="37"/>
  <c r="S152" i="37"/>
  <c r="N152" i="37"/>
  <c r="I152" i="37"/>
  <c r="G148" i="37"/>
  <c r="N139" i="37"/>
  <c r="N130" i="37"/>
  <c r="L128" i="37"/>
  <c r="R123" i="37"/>
  <c r="G122" i="37"/>
  <c r="N117" i="37"/>
  <c r="O116" i="37"/>
  <c r="H114" i="37"/>
  <c r="L112" i="37"/>
  <c r="R107" i="37"/>
  <c r="G103" i="37"/>
  <c r="S101" i="37"/>
  <c r="P96" i="37"/>
  <c r="O89" i="37"/>
  <c r="G88" i="37"/>
  <c r="J83" i="37"/>
  <c r="O83" i="37"/>
  <c r="O76" i="37"/>
  <c r="O71" i="37"/>
  <c r="S67" i="37"/>
  <c r="G62" i="37"/>
  <c r="K54" i="37"/>
  <c r="M47" i="37"/>
  <c r="S44" i="37"/>
  <c r="O39" i="37"/>
  <c r="G39" i="37"/>
  <c r="K26" i="37"/>
  <c r="O22" i="37"/>
  <c r="S11" i="37"/>
  <c r="J11" i="37"/>
  <c r="J6" i="37"/>
  <c r="R6" i="37"/>
  <c r="G6" i="37"/>
  <c r="N6" i="37"/>
  <c r="L195" i="38"/>
  <c r="H193" i="38"/>
  <c r="K173" i="38"/>
  <c r="M173" i="38"/>
  <c r="Q173" i="38"/>
  <c r="M161" i="38"/>
  <c r="L161" i="38"/>
  <c r="J161" i="38"/>
  <c r="Q161" i="38"/>
  <c r="I141" i="38"/>
  <c r="N141" i="38"/>
  <c r="S141" i="38"/>
  <c r="M141" i="38"/>
  <c r="K141" i="38"/>
  <c r="Q141" i="38"/>
  <c r="L90" i="38"/>
  <c r="K90" i="38"/>
  <c r="M53" i="38"/>
  <c r="K53" i="38"/>
  <c r="Q53" i="38"/>
  <c r="H53" i="38"/>
  <c r="L53" i="38"/>
  <c r="R53" i="38"/>
  <c r="I53" i="38"/>
  <c r="N53" i="38"/>
  <c r="S53" i="38"/>
  <c r="K36" i="38"/>
  <c r="P36" i="38"/>
  <c r="G36" i="38"/>
  <c r="Q36" i="38"/>
  <c r="I36" i="38"/>
  <c r="R36" i="38"/>
  <c r="L21" i="38"/>
  <c r="N21" i="38"/>
  <c r="R21" i="38"/>
  <c r="N13" i="38"/>
  <c r="G13" i="38"/>
  <c r="S13" i="38"/>
  <c r="N103" i="39"/>
  <c r="M103" i="39"/>
  <c r="Q103" i="39"/>
  <c r="H101" i="39"/>
  <c r="G101" i="39"/>
  <c r="J82" i="39"/>
  <c r="K82" i="39"/>
  <c r="O82" i="39"/>
  <c r="N78" i="39"/>
  <c r="I59" i="39"/>
  <c r="R59" i="39"/>
  <c r="P149" i="36"/>
  <c r="Q148" i="36"/>
  <c r="R136" i="36"/>
  <c r="O108" i="36"/>
  <c r="R105" i="36"/>
  <c r="L105" i="36"/>
  <c r="O94" i="36"/>
  <c r="R87" i="36"/>
  <c r="Q80" i="36"/>
  <c r="N70" i="36"/>
  <c r="P64" i="36"/>
  <c r="L64" i="36"/>
  <c r="S60" i="36"/>
  <c r="L60" i="36"/>
  <c r="R44" i="36"/>
  <c r="L44" i="36"/>
  <c r="L1" i="36" s="1"/>
  <c r="D15" i="6" s="1"/>
  <c r="N40" i="36"/>
  <c r="O33" i="36"/>
  <c r="R23" i="36"/>
  <c r="Q203" i="37"/>
  <c r="M184" i="37"/>
  <c r="S182" i="37"/>
  <c r="M182" i="37"/>
  <c r="Q175" i="37"/>
  <c r="L175" i="37"/>
  <c r="O173" i="37"/>
  <c r="Q164" i="37"/>
  <c r="L164" i="37"/>
  <c r="N158" i="37"/>
  <c r="R152" i="37"/>
  <c r="M152" i="37"/>
  <c r="Q148" i="37"/>
  <c r="Q141" i="37"/>
  <c r="G139" i="37"/>
  <c r="G123" i="37"/>
  <c r="N123" i="37"/>
  <c r="L117" i="37"/>
  <c r="J116" i="37"/>
  <c r="K114" i="37"/>
  <c r="S112" i="37"/>
  <c r="I112" i="37"/>
  <c r="H110" i="37"/>
  <c r="K107" i="37"/>
  <c r="K105" i="37"/>
  <c r="Q105" i="37"/>
  <c r="G101" i="37"/>
  <c r="K86" i="37"/>
  <c r="L78" i="37"/>
  <c r="I73" i="37"/>
  <c r="J71" i="37"/>
  <c r="R62" i="37"/>
  <c r="J62" i="37"/>
  <c r="N57" i="37"/>
  <c r="P57" i="37"/>
  <c r="G47" i="37"/>
  <c r="M39" i="37"/>
  <c r="H39" i="37"/>
  <c r="J34" i="37"/>
  <c r="G24" i="37"/>
  <c r="G22" i="37"/>
  <c r="N22" i="37"/>
  <c r="Q11" i="37"/>
  <c r="G11" i="37"/>
  <c r="P185" i="38"/>
  <c r="G183" i="38"/>
  <c r="L183" i="38"/>
  <c r="M181" i="38"/>
  <c r="Q181" i="38"/>
  <c r="K181" i="38"/>
  <c r="K177" i="38"/>
  <c r="Q176" i="38"/>
  <c r="I176" i="38"/>
  <c r="M117" i="38"/>
  <c r="P117" i="38"/>
  <c r="H117" i="38"/>
  <c r="Q117" i="38"/>
  <c r="J117" i="38"/>
  <c r="R117" i="38"/>
  <c r="J114" i="38"/>
  <c r="S114" i="38"/>
  <c r="N108" i="38"/>
  <c r="H108" i="38"/>
  <c r="I100" i="38"/>
  <c r="R100" i="38"/>
  <c r="G100" i="38"/>
  <c r="P100" i="38"/>
  <c r="M82" i="38"/>
  <c r="N82" i="38"/>
  <c r="M33" i="38"/>
  <c r="N33" i="38"/>
  <c r="H33" i="38"/>
  <c r="P33" i="38"/>
  <c r="I33" i="38"/>
  <c r="R33" i="38"/>
  <c r="P191" i="39"/>
  <c r="R191" i="39"/>
  <c r="H98" i="39"/>
  <c r="J98" i="39"/>
  <c r="N98" i="39"/>
  <c r="H80" i="39"/>
  <c r="I80" i="39"/>
  <c r="N80" i="39"/>
  <c r="I78" i="39"/>
  <c r="H101" i="40"/>
  <c r="S101" i="40"/>
  <c r="M90" i="40"/>
  <c r="O90" i="40"/>
  <c r="G161" i="41"/>
  <c r="P161" i="41"/>
  <c r="H161" i="41"/>
  <c r="Q161" i="41"/>
  <c r="I161" i="41"/>
  <c r="R161" i="41"/>
  <c r="S140" i="41"/>
  <c r="G140" i="41"/>
  <c r="J107" i="41"/>
  <c r="H107" i="41"/>
  <c r="L107" i="41"/>
  <c r="H89" i="41"/>
  <c r="P89" i="41"/>
  <c r="J89" i="41"/>
  <c r="R89" i="41"/>
  <c r="L89" i="41"/>
  <c r="G63" i="41"/>
  <c r="O63" i="41"/>
  <c r="I63" i="41"/>
  <c r="Q63" i="41"/>
  <c r="M63" i="41"/>
  <c r="R63" i="41"/>
  <c r="J43" i="41"/>
  <c r="N43" i="41"/>
  <c r="G43" i="41"/>
  <c r="R43" i="41"/>
  <c r="H43" i="41"/>
  <c r="S43" i="41"/>
  <c r="O37" i="41"/>
  <c r="H37" i="41"/>
  <c r="M17" i="41"/>
  <c r="G17" i="41"/>
  <c r="H161" i="42"/>
  <c r="O161" i="42"/>
  <c r="H142" i="42"/>
  <c r="M142" i="42"/>
  <c r="K142" i="42"/>
  <c r="N142" i="42"/>
  <c r="P142" i="42"/>
  <c r="H132" i="43"/>
  <c r="G132" i="43"/>
  <c r="N132" i="43"/>
  <c r="O132" i="43"/>
  <c r="R61" i="43"/>
  <c r="P61" i="43"/>
  <c r="L27" i="43"/>
  <c r="M27" i="43"/>
  <c r="O27" i="43"/>
  <c r="R20" i="43"/>
  <c r="J20" i="43"/>
  <c r="P105" i="38"/>
  <c r="Q101" i="38"/>
  <c r="K101" i="38"/>
  <c r="M101" i="38"/>
  <c r="O59" i="38"/>
  <c r="M59" i="38"/>
  <c r="M58" i="38"/>
  <c r="S15" i="38"/>
  <c r="L15" i="38"/>
  <c r="H204" i="39"/>
  <c r="P194" i="39"/>
  <c r="J189" i="39"/>
  <c r="R176" i="39"/>
  <c r="N147" i="39"/>
  <c r="H140" i="39"/>
  <c r="H121" i="39"/>
  <c r="J118" i="39"/>
  <c r="P117" i="39"/>
  <c r="K117" i="39"/>
  <c r="M112" i="39"/>
  <c r="M111" i="39"/>
  <c r="N107" i="39"/>
  <c r="L107" i="39"/>
  <c r="S95" i="39"/>
  <c r="L95" i="39"/>
  <c r="I94" i="39"/>
  <c r="R85" i="39"/>
  <c r="M85" i="39"/>
  <c r="K85" i="39"/>
  <c r="O45" i="39"/>
  <c r="G45" i="39"/>
  <c r="O42" i="39"/>
  <c r="J42" i="39"/>
  <c r="Q30" i="39"/>
  <c r="M30" i="39"/>
  <c r="M1" i="39" s="1"/>
  <c r="G16" i="6" s="1"/>
  <c r="H30" i="39"/>
  <c r="K26" i="39"/>
  <c r="Q25" i="39"/>
  <c r="O22" i="39"/>
  <c r="J22" i="39"/>
  <c r="I20" i="39"/>
  <c r="I17" i="39"/>
  <c r="R201" i="40"/>
  <c r="P184" i="40"/>
  <c r="H173" i="40"/>
  <c r="R170" i="40"/>
  <c r="N170" i="40"/>
  <c r="N152" i="40"/>
  <c r="R151" i="40"/>
  <c r="P148" i="40"/>
  <c r="H148" i="40"/>
  <c r="S141" i="40"/>
  <c r="I129" i="40"/>
  <c r="J123" i="40"/>
  <c r="L122" i="40"/>
  <c r="R118" i="40"/>
  <c r="R117" i="40"/>
  <c r="G116" i="40"/>
  <c r="I113" i="40"/>
  <c r="L101" i="40"/>
  <c r="N90" i="40"/>
  <c r="P89" i="40"/>
  <c r="R50" i="40"/>
  <c r="S49" i="40"/>
  <c r="N195" i="41"/>
  <c r="M195" i="41"/>
  <c r="K139" i="41"/>
  <c r="I139" i="41"/>
  <c r="S139" i="41"/>
  <c r="J125" i="41"/>
  <c r="Q125" i="41"/>
  <c r="H118" i="41"/>
  <c r="S118" i="41"/>
  <c r="J118" i="41"/>
  <c r="M118" i="41"/>
  <c r="J98" i="41"/>
  <c r="R98" i="41"/>
  <c r="G55" i="41"/>
  <c r="N55" i="41"/>
  <c r="H55" i="41"/>
  <c r="P55" i="41"/>
  <c r="J55" i="41"/>
  <c r="R55" i="41"/>
  <c r="G45" i="41"/>
  <c r="M45" i="41"/>
  <c r="N45" i="41"/>
  <c r="N14" i="41"/>
  <c r="J14" i="41"/>
  <c r="G184" i="42"/>
  <c r="H184" i="42"/>
  <c r="H156" i="42"/>
  <c r="G156" i="42"/>
  <c r="M156" i="42"/>
  <c r="L61" i="42"/>
  <c r="J61" i="42"/>
  <c r="N61" i="42"/>
  <c r="O61" i="42"/>
  <c r="G190" i="43"/>
  <c r="J190" i="43"/>
  <c r="M190" i="43"/>
  <c r="R190" i="43"/>
  <c r="P30" i="39"/>
  <c r="L30" i="39"/>
  <c r="L1" i="39" s="1"/>
  <c r="G15" i="6" s="1"/>
  <c r="G30" i="39"/>
  <c r="S26" i="39"/>
  <c r="J26" i="39"/>
  <c r="J25" i="39"/>
  <c r="R17" i="39"/>
  <c r="H17" i="39"/>
  <c r="J201" i="40"/>
  <c r="L193" i="40"/>
  <c r="L189" i="40"/>
  <c r="N184" i="40"/>
  <c r="R158" i="40"/>
  <c r="L152" i="40"/>
  <c r="N151" i="40"/>
  <c r="R144" i="40"/>
  <c r="Q141" i="40"/>
  <c r="N134" i="40"/>
  <c r="J122" i="40"/>
  <c r="M118" i="40"/>
  <c r="H117" i="40"/>
  <c r="J110" i="40"/>
  <c r="R110" i="40"/>
  <c r="N102" i="40"/>
  <c r="K101" i="40"/>
  <c r="H97" i="40"/>
  <c r="H1" i="40" s="1"/>
  <c r="L90" i="40"/>
  <c r="O89" i="40"/>
  <c r="P69" i="40"/>
  <c r="L66" i="40"/>
  <c r="P50" i="40"/>
  <c r="M49" i="40"/>
  <c r="G22" i="40"/>
  <c r="P22" i="40"/>
  <c r="N182" i="41"/>
  <c r="O182" i="41"/>
  <c r="O162" i="41"/>
  <c r="J162" i="41"/>
  <c r="L162" i="41"/>
  <c r="I70" i="41"/>
  <c r="Q70" i="41"/>
  <c r="J70" i="41"/>
  <c r="R70" i="41"/>
  <c r="N70" i="41"/>
  <c r="S63" i="41"/>
  <c r="K48" i="41"/>
  <c r="R48" i="41"/>
  <c r="K44" i="41"/>
  <c r="M44" i="41"/>
  <c r="S44" i="41"/>
  <c r="J39" i="41"/>
  <c r="K39" i="41"/>
  <c r="O39" i="41"/>
  <c r="J20" i="41"/>
  <c r="L20" i="41"/>
  <c r="M20" i="41"/>
  <c r="R20" i="41"/>
  <c r="H181" i="42"/>
  <c r="R181" i="42"/>
  <c r="G181" i="42"/>
  <c r="P181" i="42"/>
  <c r="G116" i="42"/>
  <c r="P116" i="42"/>
  <c r="H116" i="42"/>
  <c r="R116" i="42"/>
  <c r="J116" i="42"/>
  <c r="S116" i="42"/>
  <c r="L116" i="42"/>
  <c r="J88" i="42"/>
  <c r="R88" i="42"/>
  <c r="R15" i="37"/>
  <c r="R197" i="38"/>
  <c r="S153" i="38"/>
  <c r="N153" i="38"/>
  <c r="S101" i="38"/>
  <c r="N101" i="38"/>
  <c r="P65" i="38"/>
  <c r="O10" i="38"/>
  <c r="O1" i="38" s="1"/>
  <c r="F18" i="6" s="1"/>
  <c r="S117" i="39"/>
  <c r="Q107" i="39"/>
  <c r="O102" i="39"/>
  <c r="O85" i="39"/>
  <c r="P74" i="39"/>
  <c r="L74" i="39"/>
  <c r="Q60" i="39"/>
  <c r="R54" i="39"/>
  <c r="L54" i="39"/>
  <c r="Q45" i="39"/>
  <c r="S42" i="39"/>
  <c r="P34" i="39"/>
  <c r="L34" i="39"/>
  <c r="O30" i="39"/>
  <c r="K30" i="39"/>
  <c r="R26" i="39"/>
  <c r="R18" i="39"/>
  <c r="Q17" i="39"/>
  <c r="S122" i="40"/>
  <c r="S118" i="40"/>
  <c r="I117" i="40"/>
  <c r="G112" i="40"/>
  <c r="M110" i="40"/>
  <c r="L109" i="40"/>
  <c r="I101" i="40"/>
  <c r="G91" i="40"/>
  <c r="K91" i="40"/>
  <c r="P91" i="40"/>
  <c r="G90" i="40"/>
  <c r="G89" i="40"/>
  <c r="O81" i="40"/>
  <c r="P75" i="40"/>
  <c r="O73" i="40"/>
  <c r="R69" i="40"/>
  <c r="S64" i="40"/>
  <c r="M59" i="40"/>
  <c r="K59" i="40"/>
  <c r="Q59" i="40"/>
  <c r="L55" i="40"/>
  <c r="I50" i="40"/>
  <c r="I1" i="40" s="1"/>
  <c r="L49" i="40"/>
  <c r="J36" i="40"/>
  <c r="O22" i="40"/>
  <c r="M17" i="40"/>
  <c r="M1" i="40" s="1"/>
  <c r="H16" i="6" s="1"/>
  <c r="R13" i="40"/>
  <c r="H196" i="41"/>
  <c r="S196" i="41"/>
  <c r="O161" i="41"/>
  <c r="K143" i="41"/>
  <c r="J143" i="41"/>
  <c r="Q143" i="41"/>
  <c r="J108" i="41"/>
  <c r="N108" i="41"/>
  <c r="N89" i="41"/>
  <c r="J79" i="41"/>
  <c r="Q79" i="41"/>
  <c r="N63" i="41"/>
  <c r="K43" i="41"/>
  <c r="J9" i="41"/>
  <c r="L9" i="41"/>
  <c r="G202" i="42"/>
  <c r="M202" i="42"/>
  <c r="R202" i="42"/>
  <c r="H202" i="42"/>
  <c r="N202" i="42"/>
  <c r="I202" i="42"/>
  <c r="O202" i="42"/>
  <c r="J202" i="42"/>
  <c r="Q202" i="42"/>
  <c r="G186" i="42"/>
  <c r="P186" i="42"/>
  <c r="I146" i="42"/>
  <c r="N146" i="42"/>
  <c r="S146" i="42"/>
  <c r="J146" i="42"/>
  <c r="O146" i="42"/>
  <c r="G146" i="42"/>
  <c r="R146" i="42"/>
  <c r="K146" i="42"/>
  <c r="M146" i="42"/>
  <c r="P177" i="41"/>
  <c r="S175" i="41"/>
  <c r="N175" i="41"/>
  <c r="O156" i="41"/>
  <c r="J147" i="41"/>
  <c r="O130" i="41"/>
  <c r="K119" i="41"/>
  <c r="L105" i="41"/>
  <c r="H104" i="41"/>
  <c r="G73" i="41"/>
  <c r="Q67" i="41"/>
  <c r="I67" i="41"/>
  <c r="G61" i="41"/>
  <c r="R59" i="41"/>
  <c r="G59" i="41"/>
  <c r="Q54" i="41"/>
  <c r="J54" i="41"/>
  <c r="R42" i="41"/>
  <c r="H42" i="41"/>
  <c r="N29" i="41"/>
  <c r="H25" i="41"/>
  <c r="H22" i="41"/>
  <c r="N16" i="41"/>
  <c r="H8" i="41"/>
  <c r="G162" i="42"/>
  <c r="H148" i="42"/>
  <c r="N148" i="42"/>
  <c r="I145" i="42"/>
  <c r="J145" i="42"/>
  <c r="H42" i="42"/>
  <c r="P42" i="42"/>
  <c r="R15" i="42"/>
  <c r="O15" i="42"/>
  <c r="I165" i="43"/>
  <c r="P165" i="43"/>
  <c r="J142" i="43"/>
  <c r="N142" i="43"/>
  <c r="S142" i="43"/>
  <c r="G142" i="43"/>
  <c r="M142" i="43"/>
  <c r="H142" i="43"/>
  <c r="O142" i="43"/>
  <c r="K142" i="43"/>
  <c r="P142" i="43"/>
  <c r="K138" i="43"/>
  <c r="L138" i="43"/>
  <c r="K64" i="43"/>
  <c r="G64" i="43"/>
  <c r="O64" i="43"/>
  <c r="P64" i="43"/>
  <c r="I191" i="44"/>
  <c r="O191" i="44"/>
  <c r="H191" i="44"/>
  <c r="Q191" i="44"/>
  <c r="L191" i="44"/>
  <c r="R191" i="44"/>
  <c r="N191" i="44"/>
  <c r="O148" i="44"/>
  <c r="P148" i="44"/>
  <c r="M137" i="44"/>
  <c r="Q137" i="44"/>
  <c r="H149" i="42"/>
  <c r="I149" i="42"/>
  <c r="G140" i="42"/>
  <c r="M140" i="42"/>
  <c r="K137" i="42"/>
  <c r="N137" i="42"/>
  <c r="H137" i="42"/>
  <c r="O137" i="42"/>
  <c r="I137" i="42"/>
  <c r="P137" i="42"/>
  <c r="H107" i="42"/>
  <c r="J107" i="42"/>
  <c r="N107" i="42"/>
  <c r="H99" i="42"/>
  <c r="R99" i="42"/>
  <c r="G174" i="43"/>
  <c r="O174" i="43"/>
  <c r="Q152" i="43"/>
  <c r="H152" i="43"/>
  <c r="H11" i="43"/>
  <c r="J11" i="43"/>
  <c r="N11" i="43"/>
  <c r="P11" i="43"/>
  <c r="P1" i="43" s="1"/>
  <c r="K19" i="6" s="1"/>
  <c r="N183" i="41"/>
  <c r="O136" i="41"/>
  <c r="P120" i="41"/>
  <c r="Q47" i="41"/>
  <c r="Q1" i="41" s="1"/>
  <c r="I20" i="6" s="1"/>
  <c r="N33" i="41"/>
  <c r="L32" i="41"/>
  <c r="M29" i="41"/>
  <c r="R24" i="41"/>
  <c r="P7" i="41"/>
  <c r="Q197" i="42"/>
  <c r="G182" i="42"/>
  <c r="N182" i="42"/>
  <c r="P166" i="42"/>
  <c r="G165" i="42"/>
  <c r="O165" i="42"/>
  <c r="Q162" i="42"/>
  <c r="O148" i="42"/>
  <c r="H70" i="42"/>
  <c r="N70" i="42"/>
  <c r="G70" i="42"/>
  <c r="O70" i="42"/>
  <c r="J70" i="42"/>
  <c r="R70" i="42"/>
  <c r="N52" i="42"/>
  <c r="O52" i="42"/>
  <c r="I18" i="42"/>
  <c r="G18" i="42"/>
  <c r="M18" i="42"/>
  <c r="M1" i="42" s="1"/>
  <c r="J16" i="6" s="1"/>
  <c r="R18" i="42"/>
  <c r="H18" i="42"/>
  <c r="N18" i="42"/>
  <c r="J18" i="42"/>
  <c r="J1" i="42" s="1"/>
  <c r="P18" i="42"/>
  <c r="H159" i="43"/>
  <c r="Q159" i="43"/>
  <c r="M159" i="43"/>
  <c r="R159" i="43"/>
  <c r="I159" i="43"/>
  <c r="L159" i="43"/>
  <c r="R142" i="43"/>
  <c r="K140" i="43"/>
  <c r="N140" i="43"/>
  <c r="S140" i="43"/>
  <c r="H133" i="43"/>
  <c r="L133" i="43"/>
  <c r="P133" i="43"/>
  <c r="N150" i="42"/>
  <c r="S139" i="42"/>
  <c r="O138" i="42"/>
  <c r="H138" i="42"/>
  <c r="P134" i="42"/>
  <c r="L130" i="42"/>
  <c r="M127" i="42"/>
  <c r="K123" i="42"/>
  <c r="Q122" i="42"/>
  <c r="O118" i="42"/>
  <c r="G118" i="42"/>
  <c r="J112" i="42"/>
  <c r="R98" i="42"/>
  <c r="N96" i="42"/>
  <c r="R90" i="42"/>
  <c r="J90" i="42"/>
  <c r="N76" i="42"/>
  <c r="L71" i="42"/>
  <c r="M68" i="42"/>
  <c r="O62" i="42"/>
  <c r="G62" i="42"/>
  <c r="G60" i="42"/>
  <c r="M56" i="42"/>
  <c r="I55" i="42"/>
  <c r="S51" i="42"/>
  <c r="L51" i="42"/>
  <c r="H48" i="42"/>
  <c r="I44" i="42"/>
  <c r="Q36" i="42"/>
  <c r="L36" i="42"/>
  <c r="M32" i="42"/>
  <c r="P30" i="42"/>
  <c r="R27" i="42"/>
  <c r="I25" i="42"/>
  <c r="Q22" i="42"/>
  <c r="K22" i="42"/>
  <c r="H16" i="42"/>
  <c r="G202" i="43"/>
  <c r="P195" i="43"/>
  <c r="S186" i="43"/>
  <c r="K184" i="43"/>
  <c r="S178" i="43"/>
  <c r="R176" i="43"/>
  <c r="S169" i="43"/>
  <c r="N168" i="43"/>
  <c r="G166" i="43"/>
  <c r="G160" i="43"/>
  <c r="P157" i="43"/>
  <c r="K153" i="43"/>
  <c r="Q148" i="43"/>
  <c r="P131" i="43"/>
  <c r="M127" i="43"/>
  <c r="N127" i="43"/>
  <c r="G118" i="43"/>
  <c r="S118" i="43"/>
  <c r="H118" i="43"/>
  <c r="S110" i="43"/>
  <c r="G87" i="43"/>
  <c r="I87" i="43"/>
  <c r="G83" i="43"/>
  <c r="Q83" i="43"/>
  <c r="L71" i="43"/>
  <c r="L69" i="43"/>
  <c r="P69" i="43"/>
  <c r="I69" i="43"/>
  <c r="J55" i="43"/>
  <c r="N55" i="43"/>
  <c r="O142" i="44"/>
  <c r="R142" i="44"/>
  <c r="G142" i="44"/>
  <c r="N142" i="44"/>
  <c r="N138" i="42"/>
  <c r="Q130" i="42"/>
  <c r="L118" i="42"/>
  <c r="P90" i="42"/>
  <c r="N62" i="42"/>
  <c r="N44" i="42"/>
  <c r="O25" i="42"/>
  <c r="G110" i="43"/>
  <c r="L110" i="43"/>
  <c r="P110" i="43"/>
  <c r="H110" i="43"/>
  <c r="M110" i="43"/>
  <c r="R110" i="43"/>
  <c r="G74" i="43"/>
  <c r="K74" i="43"/>
  <c r="J44" i="43"/>
  <c r="K44" i="43"/>
  <c r="G19" i="43"/>
  <c r="M19" i="43"/>
  <c r="H19" i="43"/>
  <c r="N19" i="43"/>
  <c r="J19" i="43"/>
  <c r="O19" i="43"/>
  <c r="R141" i="44"/>
  <c r="M141" i="44"/>
  <c r="S141" i="44"/>
  <c r="G136" i="44"/>
  <c r="O136" i="44"/>
  <c r="H136" i="44"/>
  <c r="Q136" i="44"/>
  <c r="J136" i="44"/>
  <c r="S136" i="44"/>
  <c r="M178" i="43"/>
  <c r="L178" i="43"/>
  <c r="H169" i="43"/>
  <c r="P169" i="43"/>
  <c r="Q160" i="43"/>
  <c r="J157" i="43"/>
  <c r="N157" i="43"/>
  <c r="R156" i="43"/>
  <c r="S156" i="43"/>
  <c r="H150" i="43"/>
  <c r="R150" i="43"/>
  <c r="H120" i="43"/>
  <c r="P120" i="43"/>
  <c r="I120" i="43"/>
  <c r="Q120" i="43"/>
  <c r="N110" i="43"/>
  <c r="H89" i="43"/>
  <c r="L89" i="43"/>
  <c r="M66" i="43"/>
  <c r="R66" i="43"/>
  <c r="L51" i="43"/>
  <c r="M51" i="43"/>
  <c r="G28" i="43"/>
  <c r="L28" i="43"/>
  <c r="S28" i="43"/>
  <c r="H28" i="43"/>
  <c r="N28" i="43"/>
  <c r="I28" i="43"/>
  <c r="O28" i="43"/>
  <c r="P13" i="43"/>
  <c r="M13" i="43"/>
  <c r="M1" i="43" s="1"/>
  <c r="K16" i="6" s="1"/>
  <c r="J132" i="44"/>
  <c r="O132" i="44"/>
  <c r="I132" i="44"/>
  <c r="S132" i="44"/>
  <c r="K132" i="44"/>
  <c r="R77" i="44"/>
  <c r="H64" i="44"/>
  <c r="P64" i="44"/>
  <c r="P61" i="44"/>
  <c r="J61" i="44"/>
  <c r="O52" i="44"/>
  <c r="P52" i="44"/>
  <c r="R49" i="44"/>
  <c r="H47" i="44"/>
  <c r="L47" i="44"/>
  <c r="G33" i="44"/>
  <c r="S33" i="44"/>
  <c r="L33" i="44"/>
  <c r="H21" i="44"/>
  <c r="Q21" i="44"/>
  <c r="K21" i="44"/>
  <c r="I188" i="45"/>
  <c r="K188" i="45"/>
  <c r="G182" i="45"/>
  <c r="O182" i="45"/>
  <c r="H182" i="45"/>
  <c r="P182" i="45"/>
  <c r="G174" i="45"/>
  <c r="K174" i="45"/>
  <c r="Q174" i="45"/>
  <c r="H174" i="45"/>
  <c r="M174" i="45"/>
  <c r="R174" i="45"/>
  <c r="I174" i="45"/>
  <c r="N174" i="45"/>
  <c r="S174" i="45"/>
  <c r="O134" i="45"/>
  <c r="K134" i="45"/>
  <c r="J134" i="45"/>
  <c r="O34" i="43"/>
  <c r="S25" i="43"/>
  <c r="K25" i="43"/>
  <c r="J23" i="43"/>
  <c r="N203" i="44"/>
  <c r="Q198" i="44"/>
  <c r="L198" i="44"/>
  <c r="R195" i="44"/>
  <c r="I195" i="44"/>
  <c r="O194" i="44"/>
  <c r="L177" i="44"/>
  <c r="N159" i="44"/>
  <c r="R158" i="44"/>
  <c r="O147" i="44"/>
  <c r="L133" i="44"/>
  <c r="N77" i="44"/>
  <c r="K64" i="44"/>
  <c r="O63" i="44"/>
  <c r="N61" i="44"/>
  <c r="I61" i="44"/>
  <c r="G60" i="44"/>
  <c r="Q60" i="44"/>
  <c r="P51" i="44"/>
  <c r="Q51" i="44"/>
  <c r="M49" i="44"/>
  <c r="J37" i="44"/>
  <c r="R37" i="44"/>
  <c r="R33" i="44"/>
  <c r="I32" i="44"/>
  <c r="I1" i="44" s="1"/>
  <c r="H32" i="44"/>
  <c r="P21" i="44"/>
  <c r="P15" i="44"/>
  <c r="H14" i="44"/>
  <c r="J14" i="44"/>
  <c r="L195" i="45"/>
  <c r="P195" i="45"/>
  <c r="G195" i="45"/>
  <c r="Q195" i="45"/>
  <c r="Q188" i="45"/>
  <c r="N182" i="45"/>
  <c r="I173" i="45"/>
  <c r="H173" i="45"/>
  <c r="O173" i="45"/>
  <c r="G141" i="45"/>
  <c r="P141" i="45"/>
  <c r="N141" i="45"/>
  <c r="P108" i="45"/>
  <c r="G108" i="45"/>
  <c r="N108" i="45"/>
  <c r="R108" i="45"/>
  <c r="O48" i="43"/>
  <c r="R25" i="43"/>
  <c r="P198" i="44"/>
  <c r="Q195" i="44"/>
  <c r="R171" i="44"/>
  <c r="N171" i="44"/>
  <c r="S128" i="44"/>
  <c r="S122" i="44"/>
  <c r="P96" i="44"/>
  <c r="J77" i="44"/>
  <c r="J73" i="44"/>
  <c r="P73" i="44"/>
  <c r="G65" i="44"/>
  <c r="K65" i="44"/>
  <c r="O65" i="44"/>
  <c r="S65" i="44"/>
  <c r="J64" i="44"/>
  <c r="M63" i="44"/>
  <c r="R61" i="44"/>
  <c r="M61" i="44"/>
  <c r="N60" i="44"/>
  <c r="O47" i="44"/>
  <c r="L35" i="44"/>
  <c r="G35" i="44"/>
  <c r="M33" i="44"/>
  <c r="G29" i="44"/>
  <c r="N29" i="44"/>
  <c r="N1" i="44" s="1"/>
  <c r="L17" i="6" s="1"/>
  <c r="G26" i="44"/>
  <c r="J26" i="44"/>
  <c r="L21" i="44"/>
  <c r="R195" i="45"/>
  <c r="G191" i="45"/>
  <c r="N191" i="45"/>
  <c r="H191" i="45"/>
  <c r="P191" i="45"/>
  <c r="P188" i="45"/>
  <c r="G186" i="45"/>
  <c r="P186" i="45"/>
  <c r="H186" i="45"/>
  <c r="J182" i="45"/>
  <c r="P174" i="45"/>
  <c r="G61" i="44"/>
  <c r="K61" i="44"/>
  <c r="O61" i="44"/>
  <c r="S61" i="44"/>
  <c r="G49" i="44"/>
  <c r="S49" i="44"/>
  <c r="L49" i="44"/>
  <c r="G30" i="44"/>
  <c r="S30" i="44"/>
  <c r="J15" i="44"/>
  <c r="Q15" i="44"/>
  <c r="H15" i="44"/>
  <c r="R15" i="44"/>
  <c r="L188" i="45"/>
  <c r="K182" i="45"/>
  <c r="J174" i="45"/>
  <c r="R127" i="45"/>
  <c r="H127" i="45"/>
  <c r="N127" i="45"/>
  <c r="N100" i="45"/>
  <c r="K100" i="45"/>
  <c r="L100" i="45"/>
  <c r="S100" i="45"/>
  <c r="K76" i="45"/>
  <c r="L76" i="45"/>
  <c r="M76" i="45"/>
  <c r="R76" i="45"/>
  <c r="H16" i="45"/>
  <c r="N16" i="45"/>
  <c r="G79" i="46"/>
  <c r="O79" i="46"/>
  <c r="J79" i="46"/>
  <c r="P79" i="46"/>
  <c r="R79" i="46"/>
  <c r="J33" i="46"/>
  <c r="L33" i="46"/>
  <c r="G33" i="46"/>
  <c r="N33" i="46"/>
  <c r="R33" i="46"/>
  <c r="L22" i="46"/>
  <c r="O22" i="46"/>
  <c r="G22" i="46"/>
  <c r="K179" i="45"/>
  <c r="J151" i="45"/>
  <c r="R151" i="45"/>
  <c r="G90" i="45"/>
  <c r="O90" i="45"/>
  <c r="I90" i="45"/>
  <c r="G44" i="45"/>
  <c r="N44" i="45"/>
  <c r="O44" i="45"/>
  <c r="L117" i="46"/>
  <c r="N117" i="46"/>
  <c r="J117" i="46"/>
  <c r="I102" i="46"/>
  <c r="P102" i="46"/>
  <c r="I100" i="46"/>
  <c r="M100" i="46"/>
  <c r="S100" i="46"/>
  <c r="J100" i="46"/>
  <c r="N100" i="46"/>
  <c r="G100" i="46"/>
  <c r="R100" i="46"/>
  <c r="K100" i="46"/>
  <c r="L100" i="46"/>
  <c r="N55" i="46"/>
  <c r="P55" i="46"/>
  <c r="G55" i="46"/>
  <c r="Q187" i="45"/>
  <c r="Q184" i="45"/>
  <c r="H169" i="45"/>
  <c r="N162" i="45"/>
  <c r="R161" i="45"/>
  <c r="R107" i="45"/>
  <c r="H107" i="45"/>
  <c r="H95" i="45"/>
  <c r="S95" i="45"/>
  <c r="M95" i="45"/>
  <c r="P90" i="45"/>
  <c r="R59" i="45"/>
  <c r="H59" i="45"/>
  <c r="P59" i="45"/>
  <c r="P1" i="45" s="1"/>
  <c r="M19" i="6" s="1"/>
  <c r="J12" i="45"/>
  <c r="L12" i="45"/>
  <c r="N12" i="45"/>
  <c r="Q61" i="46"/>
  <c r="R61" i="46"/>
  <c r="H51" i="46"/>
  <c r="Q51" i="46"/>
  <c r="J51" i="46"/>
  <c r="G51" i="46"/>
  <c r="M51" i="46"/>
  <c r="P51" i="46"/>
  <c r="K20" i="46"/>
  <c r="K1" i="46" s="1"/>
  <c r="N14" i="6" s="1"/>
  <c r="O20" i="46"/>
  <c r="H20" i="46"/>
  <c r="R20" i="46"/>
  <c r="R166" i="45"/>
  <c r="M166" i="45"/>
  <c r="P160" i="45"/>
  <c r="M159" i="45"/>
  <c r="S154" i="45"/>
  <c r="S151" i="45"/>
  <c r="L96" i="45"/>
  <c r="G96" i="45"/>
  <c r="R96" i="45"/>
  <c r="N90" i="45"/>
  <c r="K38" i="45"/>
  <c r="M38" i="45"/>
  <c r="O38" i="45"/>
  <c r="R11" i="45"/>
  <c r="J11" i="45"/>
  <c r="N11" i="45"/>
  <c r="L186" i="46"/>
  <c r="J186" i="46"/>
  <c r="P186" i="46"/>
  <c r="F5" i="6"/>
  <c r="O99" i="45"/>
  <c r="R79" i="45"/>
  <c r="M79" i="45"/>
  <c r="S75" i="45"/>
  <c r="N74" i="45"/>
  <c r="O74" i="45"/>
  <c r="Q67" i="45"/>
  <c r="G67" i="45"/>
  <c r="N64" i="45"/>
  <c r="H64" i="45"/>
  <c r="G63" i="45"/>
  <c r="Q61" i="45"/>
  <c r="H61" i="45"/>
  <c r="H56" i="45"/>
  <c r="R48" i="45"/>
  <c r="G48" i="45"/>
  <c r="O40" i="45"/>
  <c r="G34" i="45"/>
  <c r="K29" i="45"/>
  <c r="H14" i="45"/>
  <c r="N148" i="46"/>
  <c r="R148" i="46"/>
  <c r="J118" i="46"/>
  <c r="G99" i="46"/>
  <c r="N99" i="46"/>
  <c r="H82" i="46"/>
  <c r="M82" i="46"/>
  <c r="J82" i="46"/>
  <c r="N82" i="46"/>
  <c r="N72" i="46"/>
  <c r="P72" i="46"/>
  <c r="J45" i="46"/>
  <c r="H36" i="46"/>
  <c r="M36" i="46"/>
  <c r="G21" i="46"/>
  <c r="Q21" i="46"/>
  <c r="L171" i="46"/>
  <c r="P171" i="46"/>
  <c r="L145" i="46"/>
  <c r="N145" i="46"/>
  <c r="P63" i="46"/>
  <c r="O63" i="46"/>
  <c r="H59" i="46"/>
  <c r="J59" i="46"/>
  <c r="G48" i="46"/>
  <c r="P48" i="46"/>
  <c r="I48" i="46"/>
  <c r="R48" i="46"/>
  <c r="N19" i="46"/>
  <c r="P19" i="46"/>
  <c r="R64" i="45"/>
  <c r="S50" i="45"/>
  <c r="M90" i="46"/>
  <c r="Q90" i="46"/>
  <c r="L82" i="46"/>
  <c r="G73" i="46"/>
  <c r="Q73" i="46"/>
  <c r="K73" i="46"/>
  <c r="R73" i="46"/>
  <c r="M37" i="46"/>
  <c r="S37" i="46"/>
  <c r="S1" i="46" s="1"/>
  <c r="G29" i="46"/>
  <c r="M29" i="46"/>
  <c r="J25" i="46"/>
  <c r="L25" i="46"/>
  <c r="J8" i="46"/>
  <c r="R8" i="46"/>
  <c r="M41" i="46"/>
  <c r="O28" i="46"/>
  <c r="I24" i="6"/>
  <c r="I5" i="6"/>
  <c r="H5" i="6"/>
  <c r="I5" i="17" s="1"/>
  <c r="I19" i="17" s="1"/>
  <c r="H7" i="17"/>
  <c r="H5" i="17"/>
  <c r="A15" i="23" l="1"/>
  <c r="B14" i="23"/>
  <c r="D5" i="17"/>
  <c r="D19" i="17" s="1"/>
  <c r="C5" i="47"/>
  <c r="D7" i="17"/>
  <c r="D22" i="17" s="1"/>
  <c r="C6" i="47"/>
  <c r="M7" i="17"/>
  <c r="M22" i="17" s="1"/>
  <c r="F6" i="47"/>
  <c r="G5" i="17"/>
  <c r="G19" i="17" s="1"/>
  <c r="D5" i="47"/>
  <c r="J5" i="17"/>
  <c r="J19" i="17" s="1"/>
  <c r="E5" i="47"/>
  <c r="M5" i="17"/>
  <c r="M19" i="17" s="1"/>
  <c r="F5" i="47"/>
  <c r="G7" i="17"/>
  <c r="G22" i="17" s="1"/>
  <c r="D6" i="47"/>
  <c r="J7" i="17"/>
  <c r="J22" i="17" s="1"/>
  <c r="E6" i="47"/>
  <c r="Q33" i="16"/>
  <c r="Q1" i="16" s="1"/>
  <c r="O85" i="19" s="1"/>
  <c r="O1" i="45"/>
  <c r="M18" i="6" s="1"/>
  <c r="O1" i="39"/>
  <c r="G18" i="6" s="1"/>
  <c r="D19" i="47" s="1"/>
  <c r="R1" i="43"/>
  <c r="K21" i="6" s="1"/>
  <c r="Q1" i="46"/>
  <c r="N20" i="6" s="1"/>
  <c r="R1" i="44"/>
  <c r="L21" i="6" s="1"/>
  <c r="F22" i="47" s="1"/>
  <c r="L1" i="44"/>
  <c r="L15" i="6" s="1"/>
  <c r="F13" i="47" s="1"/>
  <c r="O1" i="44"/>
  <c r="L18" i="6" s="1"/>
  <c r="F19" i="47" s="1"/>
  <c r="G1" i="43"/>
  <c r="Q1" i="43"/>
  <c r="K20" i="6" s="1"/>
  <c r="E16" i="47" s="1"/>
  <c r="H1" i="42"/>
  <c r="S1" i="42"/>
  <c r="G1" i="42"/>
  <c r="O1" i="40"/>
  <c r="H18" i="6" s="1"/>
  <c r="G1" i="40"/>
  <c r="P1" i="39"/>
  <c r="G19" i="6" s="1"/>
  <c r="I1" i="39"/>
  <c r="S1" i="41"/>
  <c r="H1" i="38"/>
  <c r="R1" i="36"/>
  <c r="D21" i="6" s="1"/>
  <c r="K1" i="36"/>
  <c r="D14" i="6" s="1"/>
  <c r="S1" i="35"/>
  <c r="T1" i="35" s="1"/>
  <c r="T2" i="35" s="1"/>
  <c r="P1" i="37"/>
  <c r="E19" i="6" s="1"/>
  <c r="P1" i="40"/>
  <c r="H19" i="6" s="1"/>
  <c r="N1" i="41"/>
  <c r="I17" i="6" s="1"/>
  <c r="E18" i="47" s="1"/>
  <c r="S1" i="45"/>
  <c r="H1" i="45"/>
  <c r="I1" i="46"/>
  <c r="K1" i="45"/>
  <c r="M14" i="6" s="1"/>
  <c r="J1" i="45"/>
  <c r="H1" i="46"/>
  <c r="L1" i="45"/>
  <c r="M15" i="6" s="1"/>
  <c r="I1" i="45"/>
  <c r="M1" i="44"/>
  <c r="L16" i="6" s="1"/>
  <c r="K1" i="43"/>
  <c r="K14" i="6" s="1"/>
  <c r="K1" i="42"/>
  <c r="J14" i="6" s="1"/>
  <c r="I1" i="42"/>
  <c r="J1" i="40"/>
  <c r="Q1" i="40"/>
  <c r="H20" i="6" s="1"/>
  <c r="Q1" i="39"/>
  <c r="G20" i="6" s="1"/>
  <c r="K1" i="41"/>
  <c r="I14" i="6" s="1"/>
  <c r="E12" i="47" s="1"/>
  <c r="H1" i="39"/>
  <c r="S1" i="39"/>
  <c r="K1" i="39"/>
  <c r="G14" i="6" s="1"/>
  <c r="L1" i="38"/>
  <c r="F15" i="6" s="1"/>
  <c r="M1" i="41"/>
  <c r="I16" i="6" s="1"/>
  <c r="E15" i="47" s="1"/>
  <c r="Q1" i="37"/>
  <c r="E20" i="6" s="1"/>
  <c r="O1" i="36"/>
  <c r="D18" i="6" s="1"/>
  <c r="N1" i="39"/>
  <c r="G17" i="6" s="1"/>
  <c r="R1" i="38"/>
  <c r="F21" i="6" s="1"/>
  <c r="J1" i="36"/>
  <c r="H1" i="36"/>
  <c r="H1" i="35"/>
  <c r="L1" i="42"/>
  <c r="J15" i="6" s="1"/>
  <c r="R1" i="42"/>
  <c r="J21" i="6" s="1"/>
  <c r="O1" i="41"/>
  <c r="I18" i="6" s="1"/>
  <c r="E19" i="47" s="1"/>
  <c r="Q1" i="45"/>
  <c r="M20" i="6" s="1"/>
  <c r="M1" i="45"/>
  <c r="M16" i="6" s="1"/>
  <c r="P1" i="46"/>
  <c r="N19" i="6" s="1"/>
  <c r="G1" i="45"/>
  <c r="O1" i="46"/>
  <c r="N18" i="6" s="1"/>
  <c r="Q1" i="44"/>
  <c r="L20" i="6" s="1"/>
  <c r="G1" i="44"/>
  <c r="J1" i="44"/>
  <c r="S1" i="43"/>
  <c r="K1" i="44"/>
  <c r="L14" i="6" s="1"/>
  <c r="F12" i="47" s="1"/>
  <c r="I1" i="43"/>
  <c r="P1" i="42"/>
  <c r="J19" i="6" s="1"/>
  <c r="P1" i="41"/>
  <c r="I19" i="6" s="1"/>
  <c r="E21" i="47" s="1"/>
  <c r="H1" i="43"/>
  <c r="O1" i="42"/>
  <c r="J18" i="6" s="1"/>
  <c r="R1" i="40"/>
  <c r="H21" i="6" s="1"/>
  <c r="L1" i="40"/>
  <c r="H15" i="6" s="1"/>
  <c r="G1" i="39"/>
  <c r="S1" i="40"/>
  <c r="J1" i="39"/>
  <c r="L1" i="43"/>
  <c r="K15" i="6" s="1"/>
  <c r="Q1" i="36"/>
  <c r="D20" i="6" s="1"/>
  <c r="S1" i="36"/>
  <c r="T1" i="36" s="1"/>
  <c r="T2" i="36" s="1"/>
  <c r="P1" i="36"/>
  <c r="D19" i="6" s="1"/>
  <c r="I1" i="36"/>
  <c r="P62" i="16"/>
  <c r="P1" i="16" s="1"/>
  <c r="O80" i="19" s="1"/>
  <c r="A2" i="37"/>
  <c r="A2" i="38" s="1"/>
  <c r="N1" i="46"/>
  <c r="N17" i="6" s="1"/>
  <c r="F18" i="47" s="1"/>
  <c r="H1" i="44"/>
  <c r="D1" i="44" s="1"/>
  <c r="L4" i="6" s="1"/>
  <c r="O1" i="43"/>
  <c r="K18" i="6" s="1"/>
  <c r="H1" i="41"/>
  <c r="L1" i="41"/>
  <c r="I15" i="6" s="1"/>
  <c r="E13" i="47" s="1"/>
  <c r="P1" i="38"/>
  <c r="F19" i="6" s="1"/>
  <c r="D21" i="47" s="1"/>
  <c r="G1" i="38"/>
  <c r="J1" i="37"/>
  <c r="Q1" i="38"/>
  <c r="F20" i="6" s="1"/>
  <c r="G1" i="35"/>
  <c r="N1" i="45"/>
  <c r="M17" i="6" s="1"/>
  <c r="S1" i="44"/>
  <c r="P1" i="44"/>
  <c r="L19" i="6" s="1"/>
  <c r="F21" i="47" s="1"/>
  <c r="N1" i="42"/>
  <c r="J17" i="6" s="1"/>
  <c r="N1" i="43"/>
  <c r="K17" i="6" s="1"/>
  <c r="J1" i="41"/>
  <c r="R1" i="41"/>
  <c r="I21" i="6" s="1"/>
  <c r="G1" i="41"/>
  <c r="N1" i="38"/>
  <c r="F17" i="6" s="1"/>
  <c r="D18" i="47" s="1"/>
  <c r="N1" i="37"/>
  <c r="E17" i="6" s="1"/>
  <c r="M1" i="38"/>
  <c r="F16" i="6" s="1"/>
  <c r="D15" i="47" s="1"/>
  <c r="K1" i="38"/>
  <c r="F14" i="6" s="1"/>
  <c r="D12" i="47" s="1"/>
  <c r="O1" i="37"/>
  <c r="E18" i="6" s="1"/>
  <c r="M1" i="37"/>
  <c r="E16" i="6" s="1"/>
  <c r="C15" i="47" s="1"/>
  <c r="N1" i="35"/>
  <c r="C17" i="6" s="1"/>
  <c r="O1" i="35"/>
  <c r="C18" i="6" s="1"/>
  <c r="D85" i="19"/>
  <c r="R1" i="46"/>
  <c r="N21" i="6" s="1"/>
  <c r="M1" i="46"/>
  <c r="N16" i="6" s="1"/>
  <c r="G1" i="46"/>
  <c r="L1" i="46"/>
  <c r="N15" i="6" s="1"/>
  <c r="J1" i="43"/>
  <c r="N1" i="40"/>
  <c r="H17" i="6" s="1"/>
  <c r="I1" i="41"/>
  <c r="G1" i="37"/>
  <c r="S1" i="37"/>
  <c r="T1" i="37" s="1"/>
  <c r="T2" i="37" s="1"/>
  <c r="N1" i="36"/>
  <c r="D17" i="6" s="1"/>
  <c r="J1" i="38"/>
  <c r="K1" i="37"/>
  <c r="E14" i="6" s="1"/>
  <c r="I1" i="37"/>
  <c r="K1" i="35"/>
  <c r="C14" i="6" s="1"/>
  <c r="P1" i="35"/>
  <c r="C19" i="6" s="1"/>
  <c r="J1" i="35"/>
  <c r="L1" i="35"/>
  <c r="C15" i="6" s="1"/>
  <c r="I1" i="35"/>
  <c r="J1" i="46"/>
  <c r="R1" i="45"/>
  <c r="M21" i="6" s="1"/>
  <c r="Q1" i="42"/>
  <c r="J20" i="6" s="1"/>
  <c r="K1" i="40"/>
  <c r="H14" i="6" s="1"/>
  <c r="R1" i="39"/>
  <c r="G21" i="6" s="1"/>
  <c r="I1" i="38"/>
  <c r="S1" i="38"/>
  <c r="T1" i="38" s="1"/>
  <c r="T2" i="38" s="1"/>
  <c r="R1" i="37"/>
  <c r="E21" i="6" s="1"/>
  <c r="L1" i="37"/>
  <c r="E15" i="6" s="1"/>
  <c r="H1" i="37"/>
  <c r="R1" i="35"/>
  <c r="C21" i="6" s="1"/>
  <c r="Q1" i="35"/>
  <c r="C20" i="6" s="1"/>
  <c r="A1" i="40"/>
  <c r="U4" i="39"/>
  <c r="U1" i="39" s="1"/>
  <c r="B24" i="6"/>
  <c r="O99" i="19" s="1"/>
  <c r="B5" i="6"/>
  <c r="O51" i="19" s="1"/>
  <c r="H22" i="17"/>
  <c r="H19" i="17"/>
  <c r="A16" i="23" l="1"/>
  <c r="B15" i="23"/>
  <c r="C7" i="17"/>
  <c r="C22" i="17"/>
  <c r="E22" i="47"/>
  <c r="C19" i="17"/>
  <c r="D22" i="47"/>
  <c r="G6" i="47"/>
  <c r="F15" i="47"/>
  <c r="G15" i="47" s="1"/>
  <c r="C13" i="47"/>
  <c r="B19" i="6"/>
  <c r="C21" i="47"/>
  <c r="G21" i="47" s="1"/>
  <c r="D13" i="47"/>
  <c r="G5" i="47"/>
  <c r="F16" i="47"/>
  <c r="C19" i="47"/>
  <c r="G19" i="47" s="1"/>
  <c r="C16" i="47"/>
  <c r="D16" i="47"/>
  <c r="C5" i="17"/>
  <c r="I28" i="17" s="1"/>
  <c r="C12" i="47"/>
  <c r="G12" i="47" s="1"/>
  <c r="C18" i="47"/>
  <c r="G18" i="47" s="1"/>
  <c r="C22" i="47"/>
  <c r="B18" i="6"/>
  <c r="H22" i="6"/>
  <c r="I13" i="17" s="1"/>
  <c r="J22" i="6"/>
  <c r="K13" i="17" s="1"/>
  <c r="B20" i="6"/>
  <c r="L22" i="6"/>
  <c r="M13" i="17" s="1"/>
  <c r="K22" i="6"/>
  <c r="L13" i="17" s="1"/>
  <c r="D22" i="6"/>
  <c r="E13" i="17" s="1"/>
  <c r="I22" i="6"/>
  <c r="J13" i="17" s="1"/>
  <c r="D1" i="43"/>
  <c r="K4" i="6" s="1"/>
  <c r="B16" i="6"/>
  <c r="G22" i="6"/>
  <c r="H13" i="17" s="1"/>
  <c r="N22" i="6"/>
  <c r="O13" i="17" s="1"/>
  <c r="M22" i="6"/>
  <c r="N13" i="17" s="1"/>
  <c r="A2" i="39"/>
  <c r="U4" i="40"/>
  <c r="U1" i="40" s="1"/>
  <c r="A1" i="41"/>
  <c r="B21" i="6"/>
  <c r="C22" i="6"/>
  <c r="D13" i="17" s="1"/>
  <c r="B14" i="6"/>
  <c r="B17" i="6"/>
  <c r="D1" i="35"/>
  <c r="C4" i="6" s="1"/>
  <c r="I2" i="35"/>
  <c r="I2" i="36" s="1"/>
  <c r="D1" i="38"/>
  <c r="F4" i="6" s="1"/>
  <c r="D1" i="39"/>
  <c r="G4" i="6" s="1"/>
  <c r="B15" i="6"/>
  <c r="T1" i="39"/>
  <c r="D1" i="40"/>
  <c r="H4" i="6" s="1"/>
  <c r="D1" i="36"/>
  <c r="D4" i="6" s="1"/>
  <c r="E22" i="6"/>
  <c r="F13" i="17" s="1"/>
  <c r="D1" i="37"/>
  <c r="E4" i="6" s="1"/>
  <c r="I2" i="37"/>
  <c r="I2" i="38" s="1"/>
  <c r="I2" i="39" s="1"/>
  <c r="I2" i="40" s="1"/>
  <c r="I2" i="41" s="1"/>
  <c r="I2" i="42" s="1"/>
  <c r="I2" i="43" s="1"/>
  <c r="I2" i="44" s="1"/>
  <c r="I2" i="45" s="1"/>
  <c r="I2" i="46" s="1"/>
  <c r="J1" i="6" s="1"/>
  <c r="D1" i="45"/>
  <c r="M4" i="6" s="1"/>
  <c r="D1" i="46"/>
  <c r="N4" i="6" s="1"/>
  <c r="F22" i="6"/>
  <c r="G13" i="17" s="1"/>
  <c r="D1" i="41"/>
  <c r="I4" i="6" s="1"/>
  <c r="D1" i="42"/>
  <c r="J4" i="6" s="1"/>
  <c r="D38" i="19"/>
  <c r="O60" i="19"/>
  <c r="O55" i="19"/>
  <c r="D60" i="19"/>
  <c r="D55" i="19"/>
  <c r="O46" i="19"/>
  <c r="D46" i="19"/>
  <c r="A17" i="23" l="1"/>
  <c r="A18" i="23" s="1"/>
  <c r="A21" i="23" s="1"/>
  <c r="B16" i="23"/>
  <c r="G16" i="47"/>
  <c r="F28" i="17"/>
  <c r="J24" i="17"/>
  <c r="M20" i="17"/>
  <c r="D28" i="17"/>
  <c r="G13" i="47"/>
  <c r="K24" i="17"/>
  <c r="K26" i="17" s="1"/>
  <c r="H20" i="17"/>
  <c r="I24" i="17"/>
  <c r="I26" i="17" s="1"/>
  <c r="I30" i="17" s="1"/>
  <c r="H27" i="6" s="1"/>
  <c r="O20" i="17"/>
  <c r="O26" i="17" s="1"/>
  <c r="D20" i="17"/>
  <c r="K28" i="17"/>
  <c r="G20" i="17"/>
  <c r="G26" i="17" s="1"/>
  <c r="G30" i="17" s="1"/>
  <c r="F27" i="6" s="1"/>
  <c r="E28" i="17"/>
  <c r="H24" i="17"/>
  <c r="L28" i="17"/>
  <c r="D24" i="17"/>
  <c r="M28" i="17"/>
  <c r="N28" i="17"/>
  <c r="F20" i="17"/>
  <c r="I20" i="17"/>
  <c r="G28" i="17"/>
  <c r="G22" i="47"/>
  <c r="J20" i="17"/>
  <c r="J26" i="17" s="1"/>
  <c r="J30" i="17" s="1"/>
  <c r="I27" i="6" s="1"/>
  <c r="E20" i="17"/>
  <c r="E26" i="17" s="1"/>
  <c r="F24" i="17"/>
  <c r="H28" i="17"/>
  <c r="G24" i="17"/>
  <c r="O28" i="17"/>
  <c r="N20" i="17"/>
  <c r="N26" i="17" s="1"/>
  <c r="N30" i="17" s="1"/>
  <c r="M27" i="6" s="1"/>
  <c r="J28" i="17"/>
  <c r="L20" i="17"/>
  <c r="M24" i="17"/>
  <c r="O24" i="17"/>
  <c r="K20" i="17"/>
  <c r="E24" i="17"/>
  <c r="N24" i="17"/>
  <c r="L24" i="17"/>
  <c r="A2" i="40"/>
  <c r="C13" i="17"/>
  <c r="T2" i="39"/>
  <c r="T1" i="40"/>
  <c r="B4" i="6"/>
  <c r="A4" i="6" s="1"/>
  <c r="A1" i="42"/>
  <c r="U4" i="41"/>
  <c r="U1" i="41" s="1"/>
  <c r="A2" i="41" s="1"/>
  <c r="B22" i="6"/>
  <c r="B21" i="23" l="1"/>
  <c r="A22" i="23"/>
  <c r="L26" i="17"/>
  <c r="L30" i="17" s="1"/>
  <c r="K27" i="6" s="1"/>
  <c r="H26" i="17"/>
  <c r="H30" i="17" s="1"/>
  <c r="G27" i="6" s="1"/>
  <c r="F26" i="17"/>
  <c r="F30" i="17" s="1"/>
  <c r="E27" i="6" s="1"/>
  <c r="C28" i="17"/>
  <c r="O30" i="17"/>
  <c r="N27" i="6" s="1"/>
  <c r="C20" i="17"/>
  <c r="E30" i="17"/>
  <c r="D27" i="6" s="1"/>
  <c r="K30" i="17"/>
  <c r="J27" i="6" s="1"/>
  <c r="M26" i="17"/>
  <c r="M30" i="17" s="1"/>
  <c r="L27" i="6" s="1"/>
  <c r="D26" i="17"/>
  <c r="C26" i="17" s="1"/>
  <c r="C24" i="17"/>
  <c r="A1" i="43"/>
  <c r="U4" i="42"/>
  <c r="U1" i="42" s="1"/>
  <c r="A2" i="42" s="1"/>
  <c r="T2" i="40"/>
  <c r="T1" i="41"/>
  <c r="B22" i="23" l="1"/>
  <c r="A23" i="23"/>
  <c r="D30" i="17"/>
  <c r="T2" i="41"/>
  <c r="T1" i="42"/>
  <c r="U4" i="43"/>
  <c r="U1" i="43" s="1"/>
  <c r="A2" i="43" s="1"/>
  <c r="A1" i="44"/>
  <c r="C30" i="17"/>
  <c r="C34" i="17" s="1"/>
  <c r="C27" i="6"/>
  <c r="A24" i="23" l="1"/>
  <c r="B23" i="23"/>
  <c r="U4" i="44"/>
  <c r="U1" i="44" s="1"/>
  <c r="A2" i="44" s="1"/>
  <c r="A1" i="45"/>
  <c r="T2" i="42"/>
  <c r="T1" i="43"/>
  <c r="B27" i="6"/>
  <c r="C35" i="17"/>
  <c r="C36" i="17" s="1"/>
  <c r="A25" i="23" l="1"/>
  <c r="B24" i="23"/>
  <c r="U4" i="45"/>
  <c r="U1" i="45" s="1"/>
  <c r="A2" i="45" s="1"/>
  <c r="A1" i="46"/>
  <c r="U4" i="46" s="1"/>
  <c r="U1" i="46" s="1"/>
  <c r="T2" i="43"/>
  <c r="T1" i="44"/>
  <c r="C37" i="17"/>
  <c r="C39" i="17"/>
  <c r="C38" i="17"/>
  <c r="B25" i="23" l="1"/>
  <c r="A26" i="23"/>
  <c r="A2" i="46"/>
  <c r="B1" i="6" s="1"/>
  <c r="D1" i="6" s="1"/>
  <c r="T2" i="44"/>
  <c r="T1" i="45"/>
  <c r="C40" i="17"/>
  <c r="C41" i="17"/>
  <c r="A27" i="23" l="1"/>
  <c r="B26" i="23"/>
  <c r="I1" i="6"/>
  <c r="C1" i="6"/>
  <c r="I7" i="6" s="1"/>
  <c r="T2" i="45"/>
  <c r="T1" i="46"/>
  <c r="T2" i="46" s="1"/>
  <c r="M32" i="6"/>
  <c r="M33" i="6" s="1"/>
  <c r="I32" i="6"/>
  <c r="I33" i="6" s="1"/>
  <c r="D32" i="6"/>
  <c r="D33" i="6" s="1"/>
  <c r="L32" i="6"/>
  <c r="L33" i="6" s="1"/>
  <c r="N32" i="6"/>
  <c r="N33" i="6" s="1"/>
  <c r="C32" i="6"/>
  <c r="K32" i="6"/>
  <c r="K33" i="6" s="1"/>
  <c r="E32" i="6"/>
  <c r="E33" i="6" s="1"/>
  <c r="H32" i="6"/>
  <c r="H33" i="6" s="1"/>
  <c r="J32" i="6"/>
  <c r="J33" i="6" s="1"/>
  <c r="G32" i="6"/>
  <c r="G33" i="6" s="1"/>
  <c r="F32" i="6"/>
  <c r="F33" i="6" s="1"/>
  <c r="A29" i="23" l="1"/>
  <c r="A32" i="23" s="1"/>
  <c r="A28" i="23"/>
  <c r="B27" i="23"/>
  <c r="B10" i="6"/>
  <c r="D10" i="6" s="1"/>
  <c r="L6" i="6"/>
  <c r="G6" i="6"/>
  <c r="J6" i="6"/>
  <c r="D7" i="6"/>
  <c r="H6" i="6"/>
  <c r="D9" i="6"/>
  <c r="N9" i="6"/>
  <c r="E7" i="6"/>
  <c r="N11" i="6"/>
  <c r="J8" i="6"/>
  <c r="N6" i="6"/>
  <c r="F6" i="6"/>
  <c r="L8" i="6"/>
  <c r="I11" i="6"/>
  <c r="L11" i="6"/>
  <c r="C7" i="6"/>
  <c r="C8" i="6"/>
  <c r="I9" i="6"/>
  <c r="J9" i="6"/>
  <c r="M6" i="6"/>
  <c r="M8" i="6"/>
  <c r="C6" i="6"/>
  <c r="K11" i="6"/>
  <c r="K9" i="6"/>
  <c r="D6" i="6"/>
  <c r="F11" i="6"/>
  <c r="F7" i="6"/>
  <c r="G11" i="6"/>
  <c r="L7" i="6"/>
  <c r="N8" i="6"/>
  <c r="G7" i="6"/>
  <c r="M7" i="6"/>
  <c r="J11" i="6"/>
  <c r="C9" i="6"/>
  <c r="N7" i="6"/>
  <c r="M9" i="6"/>
  <c r="C11" i="6"/>
  <c r="E9" i="6"/>
  <c r="H7" i="6"/>
  <c r="E6" i="6"/>
  <c r="F8" i="6"/>
  <c r="M11" i="6"/>
  <c r="I6" i="6"/>
  <c r="G9" i="6"/>
  <c r="L9" i="6"/>
  <c r="E8" i="6"/>
  <c r="H8" i="6"/>
  <c r="H9" i="6"/>
  <c r="D8" i="6"/>
  <c r="G8" i="6"/>
  <c r="F9" i="6"/>
  <c r="D11" i="6"/>
  <c r="H11" i="6"/>
  <c r="J7" i="6"/>
  <c r="E11" i="6"/>
  <c r="I8" i="6"/>
  <c r="K6" i="6"/>
  <c r="K7" i="6"/>
  <c r="K8" i="6"/>
  <c r="N10" i="6"/>
  <c r="B32" i="6"/>
  <c r="C33" i="6"/>
  <c r="B33" i="6" s="1"/>
  <c r="E17" i="47" l="1"/>
  <c r="I10" i="6"/>
  <c r="B32" i="23"/>
  <c r="A33" i="23"/>
  <c r="F7" i="47"/>
  <c r="L10" i="6"/>
  <c r="L12" i="6" s="1"/>
  <c r="M9" i="17" s="1"/>
  <c r="M11" i="17" s="1"/>
  <c r="M15" i="17" s="1"/>
  <c r="E7" i="47"/>
  <c r="D17" i="47"/>
  <c r="D14" i="47"/>
  <c r="D7" i="47"/>
  <c r="E14" i="47"/>
  <c r="C17" i="47"/>
  <c r="C14" i="47"/>
  <c r="F17" i="47"/>
  <c r="F14" i="47"/>
  <c r="C7" i="47"/>
  <c r="H10" i="6"/>
  <c r="H12" i="6" s="1"/>
  <c r="K10" i="6"/>
  <c r="K12" i="6" s="1"/>
  <c r="L9" i="17" s="1"/>
  <c r="L11" i="17" s="1"/>
  <c r="L15" i="17" s="1"/>
  <c r="G10" i="6"/>
  <c r="G12" i="6" s="1"/>
  <c r="H9" i="17" s="1"/>
  <c r="H11" i="17" s="1"/>
  <c r="H15" i="17" s="1"/>
  <c r="E10" i="6"/>
  <c r="E12" i="6" s="1"/>
  <c r="E13" i="6" s="1"/>
  <c r="E23" i="6" s="1"/>
  <c r="C10" i="6"/>
  <c r="M10" i="6"/>
  <c r="M12" i="6" s="1"/>
  <c r="M13" i="6" s="1"/>
  <c r="M23" i="6" s="1"/>
  <c r="F10" i="6"/>
  <c r="J10" i="6"/>
  <c r="J12" i="6" s="1"/>
  <c r="K9" i="17" s="1"/>
  <c r="K11" i="17" s="1"/>
  <c r="K15" i="17" s="1"/>
  <c r="N12" i="6"/>
  <c r="O9" i="17" s="1"/>
  <c r="O11" i="17" s="1"/>
  <c r="O15" i="17" s="1"/>
  <c r="D12" i="6"/>
  <c r="D13" i="6" s="1"/>
  <c r="D23" i="6" s="1"/>
  <c r="B7" i="6"/>
  <c r="I12" i="6"/>
  <c r="J9" i="17" s="1"/>
  <c r="J11" i="17" s="1"/>
  <c r="J15" i="17" s="1"/>
  <c r="B6" i="6"/>
  <c r="B11" i="6"/>
  <c r="B9" i="6"/>
  <c r="B8" i="6"/>
  <c r="A34" i="23" l="1"/>
  <c r="B33" i="23"/>
  <c r="F26" i="47"/>
  <c r="F29" i="47"/>
  <c r="G14" i="47"/>
  <c r="F12" i="6"/>
  <c r="F13" i="6" s="1"/>
  <c r="F23" i="6" s="1"/>
  <c r="D26" i="47"/>
  <c r="E26" i="47"/>
  <c r="E29" i="47" s="1"/>
  <c r="G7" i="47"/>
  <c r="C12" i="6"/>
  <c r="C13" i="6" s="1"/>
  <c r="C23" i="6" s="1"/>
  <c r="C26" i="47"/>
  <c r="G17" i="47"/>
  <c r="D29" i="47"/>
  <c r="I13" i="6"/>
  <c r="I23" i="6" s="1"/>
  <c r="N13" i="6"/>
  <c r="N23" i="6" s="1"/>
  <c r="G13" i="6"/>
  <c r="G23" i="6" s="1"/>
  <c r="N9" i="17"/>
  <c r="N11" i="17" s="1"/>
  <c r="N15" i="17" s="1"/>
  <c r="E9" i="17"/>
  <c r="E11" i="17" s="1"/>
  <c r="E15" i="17" s="1"/>
  <c r="B12" i="6"/>
  <c r="B13" i="6" s="1"/>
  <c r="B23" i="6" s="1"/>
  <c r="K13" i="6"/>
  <c r="K23" i="6" s="1"/>
  <c r="F9" i="17"/>
  <c r="F11" i="17" s="1"/>
  <c r="F15" i="17" s="1"/>
  <c r="I9" i="17"/>
  <c r="I11" i="17" s="1"/>
  <c r="I15" i="17" s="1"/>
  <c r="H13" i="6"/>
  <c r="H23" i="6" s="1"/>
  <c r="J13" i="6"/>
  <c r="J23" i="6" s="1"/>
  <c r="L13" i="6"/>
  <c r="L23" i="6" s="1"/>
  <c r="A35" i="23" l="1"/>
  <c r="B34" i="23"/>
  <c r="D9" i="17"/>
  <c r="D11" i="17" s="1"/>
  <c r="D15" i="17" s="1"/>
  <c r="G26" i="47"/>
  <c r="G29" i="47" s="1"/>
  <c r="G9" i="17"/>
  <c r="G11" i="17" s="1"/>
  <c r="G15" i="17" s="1"/>
  <c r="C15" i="17" s="1"/>
  <c r="C29" i="47"/>
  <c r="O64" i="19"/>
  <c r="D71" i="19" s="1"/>
  <c r="A36" i="23" l="1"/>
  <c r="B35" i="23"/>
  <c r="C11" i="17"/>
  <c r="C9" i="17"/>
  <c r="O71" i="19"/>
  <c r="O106" i="19" s="1"/>
  <c r="O94" i="19" s="1"/>
  <c r="D34" i="20" s="1"/>
  <c r="O34" i="20" s="1"/>
  <c r="D123" i="19" s="1"/>
  <c r="B36" i="23" l="1"/>
  <c r="A37" i="23"/>
  <c r="D99" i="19"/>
  <c r="D106" i="19" s="1"/>
  <c r="E5" i="8" s="1"/>
  <c r="B37" i="23" l="1"/>
  <c r="A38" i="23"/>
  <c r="E15" i="8"/>
  <c r="E14" i="8"/>
  <c r="E6" i="8"/>
  <c r="E7" i="8" s="1"/>
  <c r="E8" i="8" s="1"/>
  <c r="B38" i="23" l="1"/>
  <c r="A40" i="23"/>
  <c r="A39" i="23"/>
  <c r="E9" i="8"/>
  <c r="C10" i="8" s="1"/>
  <c r="D10" i="8" s="1"/>
  <c r="E10" i="8" s="1"/>
  <c r="E11" i="8" s="1"/>
  <c r="E17" i="8" s="1"/>
  <c r="E24" i="8" s="1"/>
  <c r="E26" i="8" s="1"/>
  <c r="E25" i="8" l="1"/>
  <c r="A5" i="24"/>
  <c r="B5" i="24" l="1"/>
  <c r="A6" i="24"/>
  <c r="A7" i="24" l="1"/>
  <c r="B6" i="24"/>
  <c r="B7" i="24" l="1"/>
  <c r="A8" i="24"/>
  <c r="B8" i="24" l="1"/>
  <c r="A9" i="24"/>
  <c r="A10" i="24" l="1"/>
  <c r="B9" i="24"/>
  <c r="B10" i="24" l="1"/>
  <c r="A11" i="24"/>
  <c r="A13" i="24" l="1"/>
  <c r="B11" i="24"/>
  <c r="A12" i="24"/>
  <c r="A16" i="24"/>
  <c r="A17" i="24" l="1"/>
  <c r="B16" i="24"/>
  <c r="A18" i="24" l="1"/>
  <c r="B17" i="24"/>
  <c r="B18" i="24" l="1"/>
  <c r="A19" i="24"/>
  <c r="B19" i="24" l="1"/>
  <c r="A20" i="24"/>
  <c r="A21" i="24" l="1"/>
  <c r="B20" i="24"/>
  <c r="B21" i="24" l="1"/>
  <c r="A22" i="24"/>
  <c r="A24" i="24" l="1"/>
  <c r="B22" i="24"/>
  <c r="A27" i="24"/>
  <c r="A23" i="24"/>
  <c r="A28" i="24" l="1"/>
  <c r="B27" i="24"/>
  <c r="A29" i="24" l="1"/>
  <c r="B28" i="24"/>
  <c r="B29" i="24" l="1"/>
  <c r="A30" i="24"/>
  <c r="B30" i="24" l="1"/>
  <c r="A31" i="24"/>
  <c r="A32" i="24" l="1"/>
  <c r="B31" i="24"/>
  <c r="B32" i="24" l="1"/>
  <c r="A33" i="24"/>
  <c r="A35" i="24" l="1"/>
  <c r="B33" i="24"/>
  <c r="A38" i="24"/>
  <c r="A34" i="24"/>
  <c r="A39" i="24" l="1"/>
  <c r="B38" i="24"/>
  <c r="B39" i="24" l="1"/>
  <c r="A40" i="24"/>
  <c r="A41" i="24" l="1"/>
  <c r="B40" i="24"/>
  <c r="A42" i="24" l="1"/>
  <c r="B41" i="24"/>
  <c r="A43" i="24" l="1"/>
  <c r="B42" i="24"/>
  <c r="B43" i="24" l="1"/>
  <c r="A44" i="24"/>
  <c r="A5" i="25" s="1"/>
  <c r="B44" i="24" l="1"/>
  <c r="A45" i="24"/>
  <c r="A46" i="24"/>
  <c r="B5" i="25" l="1"/>
  <c r="A6" i="25"/>
  <c r="B6" i="25" l="1"/>
  <c r="A7" i="25"/>
  <c r="B7" i="25" l="1"/>
  <c r="A8" i="25"/>
  <c r="B8" i="25" l="1"/>
  <c r="A9" i="25"/>
  <c r="B9" i="25" l="1"/>
  <c r="A10" i="25"/>
  <c r="A11" i="25" l="1"/>
  <c r="B10" i="25"/>
  <c r="B11" i="25" l="1"/>
  <c r="A16" i="25"/>
  <c r="A12" i="25"/>
  <c r="A13" i="25"/>
  <c r="B16" i="25" l="1"/>
  <c r="A17" i="25"/>
  <c r="A18" i="25" l="1"/>
  <c r="B17" i="25"/>
  <c r="A19" i="25" l="1"/>
  <c r="B18" i="25"/>
  <c r="A20" i="25" l="1"/>
  <c r="B19" i="25"/>
  <c r="B20" i="25" l="1"/>
  <c r="A21" i="25"/>
  <c r="A22" i="25" l="1"/>
  <c r="B21" i="25"/>
  <c r="B22" i="25" l="1"/>
  <c r="A27" i="25"/>
  <c r="A23" i="25"/>
  <c r="A24" i="25"/>
  <c r="A28" i="25" l="1"/>
  <c r="B27" i="25"/>
  <c r="A29" i="25" l="1"/>
  <c r="B28" i="25"/>
  <c r="B29" i="25" l="1"/>
  <c r="A30" i="25"/>
  <c r="A31" i="25" l="1"/>
  <c r="B30" i="25"/>
  <c r="A32" i="25" l="1"/>
  <c r="B31" i="25"/>
  <c r="B32" i="25" l="1"/>
  <c r="A33" i="25"/>
  <c r="A34" i="25" l="1"/>
  <c r="B33" i="25"/>
  <c r="A35" i="25"/>
  <c r="A38" i="25" s="1"/>
  <c r="B38" i="25" l="1"/>
  <c r="A39" i="25"/>
  <c r="A40" i="25" l="1"/>
  <c r="B39" i="25"/>
  <c r="B40" i="25" l="1"/>
  <c r="A41" i="25"/>
  <c r="B41" i="25" l="1"/>
  <c r="A42" i="25"/>
  <c r="A43" i="25" l="1"/>
  <c r="B42" i="25"/>
  <c r="B43" i="25" l="1"/>
  <c r="A44" i="25"/>
  <c r="B44" i="25" l="1"/>
  <c r="A45" i="25"/>
  <c r="A46" i="25" s="1"/>
  <c r="A49" i="25" s="1"/>
  <c r="B49" i="25" l="1"/>
  <c r="A50" i="25"/>
  <c r="A51" i="25" l="1"/>
  <c r="B50" i="25"/>
  <c r="B51" i="25" l="1"/>
  <c r="A52" i="25"/>
  <c r="A53" i="25" l="1"/>
  <c r="B52" i="25"/>
  <c r="A54" i="25" l="1"/>
  <c r="B53" i="25"/>
  <c r="A55" i="25" l="1"/>
  <c r="B54" i="25"/>
  <c r="B55" i="25" l="1"/>
  <c r="A56" i="25"/>
  <c r="A57" i="25" s="1"/>
  <c r="A6" i="26" s="1"/>
  <c r="A7" i="26" l="1"/>
  <c r="B6" i="26"/>
  <c r="A8" i="26" l="1"/>
  <c r="B7" i="26"/>
  <c r="A9" i="26" l="1"/>
  <c r="B8" i="26"/>
  <c r="A10" i="26" l="1"/>
  <c r="B9" i="26"/>
  <c r="B10" i="26" l="1"/>
  <c r="A11" i="26"/>
  <c r="B11" i="26" l="1"/>
  <c r="A12" i="26"/>
  <c r="B12" i="26" l="1"/>
  <c r="A13" i="26"/>
  <c r="A14" i="26" s="1"/>
  <c r="A17" i="26" s="1"/>
  <c r="B17" i="26" l="1"/>
  <c r="A18" i="26"/>
  <c r="B18" i="26" l="1"/>
  <c r="A19" i="26"/>
  <c r="A20" i="26" l="1"/>
  <c r="B19" i="26"/>
  <c r="A21" i="26" l="1"/>
  <c r="B20" i="26"/>
  <c r="A22" i="26" l="1"/>
  <c r="B21" i="26"/>
  <c r="A23" i="26" l="1"/>
  <c r="B22" i="26"/>
  <c r="B23" i="26" l="1"/>
  <c r="A24" i="26"/>
  <c r="A25" i="26" s="1"/>
  <c r="A28" i="26" s="1"/>
  <c r="A29" i="26" l="1"/>
  <c r="B28" i="26"/>
  <c r="B29" i="26" l="1"/>
  <c r="A30" i="26"/>
  <c r="A31" i="26" l="1"/>
  <c r="B30" i="26"/>
  <c r="B31" i="26" l="1"/>
  <c r="A32" i="26"/>
  <c r="A33" i="26" l="1"/>
  <c r="B32" i="26"/>
  <c r="A34" i="26" l="1"/>
  <c r="B33" i="26"/>
  <c r="A36" i="26" l="1"/>
  <c r="A39" i="26" s="1"/>
  <c r="B34" i="26"/>
  <c r="A35" i="26"/>
  <c r="A40" i="26" l="1"/>
  <c r="B39" i="26"/>
  <c r="A41" i="26" l="1"/>
  <c r="B40" i="26"/>
  <c r="A42" i="26" l="1"/>
  <c r="B41" i="26"/>
  <c r="A43" i="26" l="1"/>
  <c r="B42" i="26"/>
  <c r="B43" i="26" l="1"/>
  <c r="A44" i="26"/>
  <c r="A45" i="26" l="1"/>
  <c r="B44" i="26"/>
  <c r="A47" i="26" l="1"/>
  <c r="A5" i="27" s="1"/>
  <c r="A46" i="26"/>
  <c r="B45" i="26"/>
  <c r="A6" i="27" l="1"/>
  <c r="B5" i="27"/>
  <c r="B6" i="27" l="1"/>
  <c r="A7" i="27"/>
  <c r="B7" i="27" l="1"/>
  <c r="A8" i="27"/>
  <c r="B8" i="27" l="1"/>
  <c r="A9" i="27"/>
  <c r="B9" i="27" l="1"/>
  <c r="A10" i="27"/>
  <c r="A11" i="27" l="1"/>
  <c r="B10" i="27"/>
  <c r="A12" i="27" l="1"/>
  <c r="A13" i="27" s="1"/>
  <c r="B11" i="27"/>
  <c r="A16" i="27"/>
  <c r="A17" i="27" l="1"/>
  <c r="B16" i="27"/>
  <c r="B17" i="27" l="1"/>
  <c r="A18" i="27"/>
  <c r="B18" i="27" l="1"/>
  <c r="A19" i="27"/>
  <c r="B19" i="27" l="1"/>
  <c r="A20" i="27"/>
  <c r="B20" i="27" l="1"/>
  <c r="A21" i="27"/>
  <c r="A22" i="27" l="1"/>
  <c r="A23" i="27" s="1"/>
  <c r="A24" i="27" s="1"/>
  <c r="A27" i="27" s="1"/>
  <c r="B21" i="27"/>
  <c r="A28" i="27" l="1"/>
  <c r="B27" i="27"/>
  <c r="B28" i="27" l="1"/>
  <c r="A29" i="27"/>
  <c r="A30" i="27" l="1"/>
  <c r="B29" i="27"/>
  <c r="A31" i="27" l="1"/>
  <c r="B30" i="27"/>
  <c r="A32" i="27" l="1"/>
  <c r="B31" i="27"/>
  <c r="B32" i="27" l="1"/>
  <c r="A33" i="27"/>
  <c r="A34" i="27" l="1"/>
  <c r="A38" i="27"/>
  <c r="A35" i="27"/>
  <c r="B33" i="27"/>
  <c r="A39" i="27" l="1"/>
  <c r="B38" i="27"/>
  <c r="A40" i="27" l="1"/>
  <c r="B39" i="27"/>
  <c r="B40" i="27" l="1"/>
  <c r="A41" i="27"/>
  <c r="B41" i="27" l="1"/>
  <c r="A42" i="27"/>
  <c r="B42" i="27" l="1"/>
  <c r="A43" i="27"/>
  <c r="A44" i="27" l="1"/>
  <c r="B43" i="27"/>
  <c r="A46" i="27" l="1"/>
  <c r="A5" i="28" s="1"/>
  <c r="B44" i="27"/>
  <c r="A45" i="27"/>
  <c r="B5" i="28" l="1"/>
  <c r="A6" i="28"/>
  <c r="B6" i="28" l="1"/>
  <c r="A7" i="28"/>
  <c r="B7" i="28" l="1"/>
  <c r="A8" i="28"/>
  <c r="A9" i="28" l="1"/>
  <c r="B8" i="28"/>
  <c r="B9" i="28" l="1"/>
  <c r="A10" i="28"/>
  <c r="A11" i="28" l="1"/>
  <c r="B10" i="28"/>
  <c r="B11" i="28" l="1"/>
  <c r="A12" i="28"/>
  <c r="A13" i="28" s="1"/>
  <c r="A16" i="28" s="1"/>
  <c r="B16" i="28" l="1"/>
  <c r="A17" i="28"/>
  <c r="B17" i="28" l="1"/>
  <c r="A18" i="28"/>
  <c r="A19" i="28" l="1"/>
  <c r="B18" i="28"/>
  <c r="A20" i="28" l="1"/>
  <c r="B19" i="28"/>
  <c r="B20" i="28" l="1"/>
  <c r="A21" i="28"/>
  <c r="A22" i="28" l="1"/>
  <c r="B21" i="28"/>
  <c r="B22" i="28" l="1"/>
  <c r="A23" i="28"/>
  <c r="A27" i="28"/>
  <c r="A24" i="28"/>
  <c r="B27" i="28" l="1"/>
  <c r="A28" i="28"/>
  <c r="A29" i="28" l="1"/>
  <c r="B28" i="28"/>
  <c r="B29" i="28" l="1"/>
  <c r="A30" i="28"/>
  <c r="B30" i="28" l="1"/>
  <c r="A31" i="28"/>
  <c r="A32" i="28" l="1"/>
  <c r="B31" i="28"/>
  <c r="A33" i="28" l="1"/>
  <c r="B32" i="28"/>
  <c r="B33" i="28" l="1"/>
  <c r="A34" i="28"/>
  <c r="A35" i="28"/>
  <c r="A38" i="28"/>
  <c r="A39" i="28" l="1"/>
  <c r="B38" i="28"/>
  <c r="A40" i="28" l="1"/>
  <c r="B39" i="28"/>
  <c r="A41" i="28" l="1"/>
  <c r="B40" i="28"/>
  <c r="A42" i="28" l="1"/>
  <c r="B41" i="28"/>
  <c r="B42" i="28" l="1"/>
  <c r="A43" i="28"/>
  <c r="B43" i="28" l="1"/>
  <c r="A44" i="28"/>
  <c r="B44" i="28" l="1"/>
  <c r="A45" i="28"/>
  <c r="A46" i="28"/>
  <c r="A49" i="28" s="1"/>
  <c r="B49" i="28" l="1"/>
  <c r="A50" i="28"/>
  <c r="A51" i="28" l="1"/>
  <c r="B50" i="28"/>
  <c r="B51" i="28" l="1"/>
  <c r="A52" i="28"/>
  <c r="A53" i="28" l="1"/>
  <c r="B52" i="28"/>
  <c r="B53" i="28" l="1"/>
  <c r="A54" i="28"/>
  <c r="A55" i="28" l="1"/>
  <c r="B54" i="28"/>
  <c r="B55" i="28" l="1"/>
  <c r="A56" i="28"/>
  <c r="A57" i="28" s="1"/>
  <c r="A6" i="29" s="1"/>
  <c r="A7" i="29" l="1"/>
  <c r="B6" i="29"/>
  <c r="A8" i="29" l="1"/>
  <c r="B7" i="29"/>
  <c r="B8" i="29" l="1"/>
  <c r="A9" i="29"/>
  <c r="A10" i="29" l="1"/>
  <c r="B9" i="29"/>
  <c r="B10" i="29" l="1"/>
  <c r="A11" i="29"/>
  <c r="B11" i="29" l="1"/>
  <c r="A12" i="29"/>
  <c r="B12" i="29" l="1"/>
  <c r="A13" i="29"/>
  <c r="A14" i="29" s="1"/>
  <c r="A17" i="29" s="1"/>
  <c r="B17" i="29" l="1"/>
  <c r="A18" i="29"/>
  <c r="A19" i="29" l="1"/>
  <c r="B18" i="29"/>
  <c r="A20" i="29" l="1"/>
  <c r="B19" i="29"/>
  <c r="B20" i="29" l="1"/>
  <c r="A21" i="29"/>
  <c r="A22" i="29" l="1"/>
  <c r="B21" i="29"/>
  <c r="B22" i="29" l="1"/>
  <c r="A23" i="29"/>
  <c r="A28" i="29" l="1"/>
  <c r="B23" i="29"/>
  <c r="A25" i="29"/>
  <c r="A24" i="29"/>
  <c r="A29" i="29" l="1"/>
  <c r="B28" i="29"/>
  <c r="B29" i="29" l="1"/>
  <c r="A30" i="29"/>
  <c r="A31" i="29" l="1"/>
  <c r="B30" i="29"/>
  <c r="B31" i="29" l="1"/>
  <c r="A32" i="29"/>
  <c r="A33" i="29" l="1"/>
  <c r="B32" i="29"/>
  <c r="B33" i="29" l="1"/>
  <c r="A34" i="29"/>
  <c r="A35" i="29" l="1"/>
  <c r="B34" i="29"/>
  <c r="A36" i="29"/>
  <c r="A39" i="29" s="1"/>
  <c r="A40" i="29" l="1"/>
  <c r="B39" i="29"/>
  <c r="A41" i="29" l="1"/>
  <c r="B40" i="29"/>
  <c r="A42" i="29" l="1"/>
  <c r="B41" i="29"/>
  <c r="A43" i="29" l="1"/>
  <c r="B42" i="29"/>
  <c r="A44" i="29" l="1"/>
  <c r="B43" i="29"/>
  <c r="B44" i="29" l="1"/>
  <c r="A45" i="29"/>
  <c r="A46" i="29" l="1"/>
  <c r="B45" i="29"/>
  <c r="A47" i="29"/>
  <c r="A5" i="30" s="1"/>
  <c r="B5" i="30" l="1"/>
  <c r="A6" i="30"/>
  <c r="B6" i="30" l="1"/>
  <c r="A7" i="30"/>
  <c r="B7" i="30" l="1"/>
  <c r="A8" i="30"/>
  <c r="B8" i="30" l="1"/>
  <c r="A9" i="30"/>
  <c r="B9" i="30" l="1"/>
  <c r="A10" i="30"/>
  <c r="B10" i="30" l="1"/>
  <c r="A11" i="30"/>
  <c r="A13" i="30" l="1"/>
  <c r="A16" i="30"/>
  <c r="A12" i="30"/>
  <c r="B11" i="30"/>
  <c r="B16" i="30" l="1"/>
  <c r="A17" i="30"/>
  <c r="A18" i="30" l="1"/>
  <c r="B17" i="30"/>
  <c r="A19" i="30" l="1"/>
  <c r="B18" i="30"/>
  <c r="B19" i="30" l="1"/>
  <c r="A20" i="30"/>
  <c r="A21" i="30" l="1"/>
  <c r="B20" i="30"/>
  <c r="A22" i="30" l="1"/>
  <c r="B21" i="30"/>
  <c r="B22" i="30" l="1"/>
  <c r="A27" i="30"/>
  <c r="A23" i="30"/>
  <c r="A24" i="30"/>
  <c r="B27" i="30" l="1"/>
  <c r="A28" i="30"/>
  <c r="A29" i="30" l="1"/>
  <c r="B28" i="30"/>
  <c r="B29" i="30" l="1"/>
  <c r="A30" i="30"/>
  <c r="B30" i="30" l="1"/>
  <c r="A31" i="30"/>
  <c r="A32" i="30" l="1"/>
  <c r="B31" i="30"/>
  <c r="A33" i="30" l="1"/>
  <c r="B32" i="30"/>
  <c r="A35" i="30" l="1"/>
  <c r="A38" i="30"/>
  <c r="B33" i="30"/>
  <c r="A34" i="30"/>
  <c r="B38" i="30" l="1"/>
  <c r="A39" i="30"/>
  <c r="B39" i="30" l="1"/>
  <c r="A40" i="30"/>
  <c r="B40" i="30" l="1"/>
  <c r="A41" i="30"/>
  <c r="B41" i="30" l="1"/>
  <c r="A42" i="30"/>
  <c r="B42" i="30" l="1"/>
  <c r="A43" i="30"/>
  <c r="A44" i="30" l="1"/>
  <c r="B43" i="30"/>
  <c r="B44" i="30" l="1"/>
  <c r="A45" i="30"/>
  <c r="A46" i="30" s="1"/>
  <c r="A5" i="31" s="1"/>
  <c r="A6" i="31" l="1"/>
  <c r="B5" i="31"/>
  <c r="A7" i="31" l="1"/>
  <c r="B6" i="31"/>
  <c r="A8" i="31" l="1"/>
  <c r="B7" i="31"/>
  <c r="A9" i="31" l="1"/>
  <c r="B8" i="31"/>
  <c r="B9" i="31" l="1"/>
  <c r="A10" i="31"/>
  <c r="A11" i="31" l="1"/>
  <c r="B10" i="31"/>
  <c r="B11" i="31" l="1"/>
  <c r="A12" i="31"/>
  <c r="A13" i="31" s="1"/>
  <c r="A16" i="31" s="1"/>
  <c r="B16" i="31" l="1"/>
  <c r="A17" i="31"/>
  <c r="A18" i="31" l="1"/>
  <c r="B17" i="31"/>
  <c r="A19" i="31" l="1"/>
  <c r="B18" i="31"/>
  <c r="A20" i="31" l="1"/>
  <c r="B19" i="31"/>
  <c r="A21" i="31" l="1"/>
  <c r="B20" i="31"/>
  <c r="B21" i="31" l="1"/>
  <c r="A22" i="31"/>
  <c r="B22" i="31" l="1"/>
  <c r="A27" i="31"/>
  <c r="A24" i="31"/>
  <c r="A23" i="31"/>
  <c r="A28" i="31" l="1"/>
  <c r="B27" i="31"/>
  <c r="B28" i="31" l="1"/>
  <c r="A29" i="31"/>
  <c r="A30" i="31" l="1"/>
  <c r="B29" i="31"/>
  <c r="B30" i="31" l="1"/>
  <c r="A31" i="31"/>
  <c r="A32" i="31" l="1"/>
  <c r="B31" i="31"/>
  <c r="A33" i="31" l="1"/>
  <c r="B32" i="31"/>
  <c r="B33" i="31" l="1"/>
  <c r="A35" i="31"/>
  <c r="A34" i="31"/>
  <c r="A38" i="31"/>
  <c r="B38" i="31" l="1"/>
  <c r="A39" i="31"/>
  <c r="B39" i="31" l="1"/>
  <c r="A40" i="31"/>
  <c r="B40" i="31" l="1"/>
  <c r="A41" i="31"/>
  <c r="B41" i="31" l="1"/>
  <c r="A42" i="31"/>
  <c r="B42" i="31" l="1"/>
  <c r="A43" i="31"/>
  <c r="A44" i="31" l="1"/>
  <c r="B43" i="31"/>
  <c r="A49" i="31" l="1"/>
  <c r="A45" i="31"/>
  <c r="A46" i="31"/>
  <c r="B44" i="31"/>
  <c r="A50" i="31" l="1"/>
  <c r="B49" i="31"/>
  <c r="B50" i="31" l="1"/>
  <c r="A51" i="31"/>
  <c r="A52" i="31" l="1"/>
  <c r="B51" i="31"/>
  <c r="A53" i="31" l="1"/>
  <c r="B52" i="31"/>
  <c r="A54" i="31" l="1"/>
  <c r="B53" i="31"/>
  <c r="A55" i="31" l="1"/>
  <c r="B54" i="31"/>
  <c r="B55" i="31" l="1"/>
  <c r="A57" i="31"/>
  <c r="A5" i="32" s="1"/>
  <c r="A56" i="31"/>
  <c r="A6" i="32" l="1"/>
  <c r="B5" i="32"/>
  <c r="B6" i="32" l="1"/>
  <c r="A7" i="32"/>
  <c r="A8" i="32" l="1"/>
  <c r="B7" i="32"/>
  <c r="B8" i="32" l="1"/>
  <c r="A9" i="32"/>
  <c r="A10" i="32" l="1"/>
  <c r="B9" i="32"/>
  <c r="A11" i="32" l="1"/>
  <c r="B10" i="32"/>
  <c r="A12" i="32" l="1"/>
  <c r="B11" i="32"/>
  <c r="A16" i="32"/>
  <c r="A13" i="32"/>
  <c r="B16" i="32" l="1"/>
  <c r="A17" i="32"/>
  <c r="B17" i="32" l="1"/>
  <c r="A18" i="32"/>
  <c r="A19" i="32" l="1"/>
  <c r="B18" i="32"/>
  <c r="B19" i="32" l="1"/>
  <c r="A20" i="32"/>
  <c r="B20" i="32" l="1"/>
  <c r="A21" i="32"/>
  <c r="A22" i="32" l="1"/>
  <c r="B21" i="32"/>
  <c r="A27" i="32" l="1"/>
  <c r="A24" i="32"/>
  <c r="A23" i="32"/>
  <c r="B22" i="32"/>
  <c r="A28" i="32" l="1"/>
  <c r="B27" i="32"/>
  <c r="B28" i="32" l="1"/>
  <c r="A29" i="32"/>
  <c r="A30" i="32" l="1"/>
  <c r="B29" i="32"/>
  <c r="B30" i="32" l="1"/>
  <c r="A31" i="32"/>
  <c r="B31" i="32" l="1"/>
  <c r="A32" i="32"/>
  <c r="B32" i="32" l="1"/>
  <c r="A33" i="32"/>
  <c r="A34" i="32" l="1"/>
  <c r="B33" i="32"/>
  <c r="A35" i="32"/>
  <c r="A38" i="32"/>
  <c r="A39" i="32" l="1"/>
  <c r="B38" i="32"/>
  <c r="B39" i="32" l="1"/>
  <c r="A40" i="32"/>
  <c r="B40" i="32" l="1"/>
  <c r="A41" i="32"/>
  <c r="A42" i="32" l="1"/>
  <c r="B41" i="32"/>
  <c r="A43" i="32" l="1"/>
  <c r="B42" i="32"/>
  <c r="A44" i="32" l="1"/>
  <c r="B43" i="32"/>
  <c r="A45" i="32" l="1"/>
  <c r="B44" i="32"/>
  <c r="A46" i="32"/>
  <c r="A5" i="33" s="1"/>
  <c r="B5" i="33" l="1"/>
  <c r="A6" i="33"/>
  <c r="A7" i="33" l="1"/>
  <c r="B6" i="33"/>
  <c r="B7" i="33" l="1"/>
  <c r="A8" i="33"/>
  <c r="B8" i="33" l="1"/>
  <c r="A9" i="33"/>
  <c r="A10" i="33" l="1"/>
  <c r="B9" i="33"/>
  <c r="A11" i="33" l="1"/>
  <c r="B10" i="33"/>
  <c r="A13" i="33" l="1"/>
  <c r="A16" i="33"/>
  <c r="B11" i="33"/>
  <c r="A12" i="33"/>
  <c r="B16" i="33" l="1"/>
  <c r="A17" i="33"/>
  <c r="B17" i="33" l="1"/>
  <c r="A18" i="33"/>
  <c r="A19" i="33" l="1"/>
  <c r="B18" i="33"/>
  <c r="A20" i="33" l="1"/>
  <c r="B19" i="33"/>
  <c r="B20" i="33" l="1"/>
  <c r="A21" i="33"/>
  <c r="B21" i="33" l="1"/>
  <c r="A22" i="33"/>
  <c r="A27" i="33" l="1"/>
  <c r="B22" i="33"/>
  <c r="A23" i="33"/>
  <c r="A24" i="33"/>
  <c r="A28" i="33" l="1"/>
  <c r="B27" i="33"/>
  <c r="A29" i="33" l="1"/>
  <c r="B28" i="33"/>
  <c r="B29" i="33" l="1"/>
  <c r="A30" i="33"/>
  <c r="B30" i="33" l="1"/>
  <c r="A31" i="33"/>
  <c r="B31" i="33" l="1"/>
  <c r="A32" i="33"/>
  <c r="B32" i="33" l="1"/>
  <c r="A33" i="33"/>
  <c r="A34" i="33" l="1"/>
  <c r="A35" i="33"/>
  <c r="A38" i="33" s="1"/>
  <c r="B33" i="33"/>
  <c r="B38" i="33" l="1"/>
  <c r="A39" i="33"/>
  <c r="A40" i="33" l="1"/>
  <c r="B39" i="33"/>
  <c r="A41" i="33" l="1"/>
  <c r="B40" i="33"/>
  <c r="A42" i="33" l="1"/>
  <c r="B41" i="33"/>
  <c r="B42" i="33" l="1"/>
  <c r="A43" i="33"/>
  <c r="A44" i="33" l="1"/>
  <c r="B43" i="33"/>
  <c r="A45" i="33" l="1"/>
  <c r="A46" i="33" s="1"/>
  <c r="A5" i="34" s="1"/>
  <c r="B44" i="33"/>
  <c r="A6" i="34" l="1"/>
  <c r="B5" i="34"/>
  <c r="B6" i="34" l="1"/>
  <c r="A7" i="34"/>
  <c r="A8" i="34" l="1"/>
  <c r="B7" i="34"/>
  <c r="A9" i="34" l="1"/>
  <c r="B8" i="34"/>
  <c r="B9" i="34" l="1"/>
  <c r="A10" i="34"/>
  <c r="B10" i="34" l="1"/>
  <c r="A11" i="34"/>
  <c r="B11" i="34" l="1"/>
  <c r="A16" i="34"/>
  <c r="A13" i="34"/>
  <c r="A12" i="34"/>
  <c r="B16" i="34" l="1"/>
  <c r="A17" i="34"/>
  <c r="B17" i="34" l="1"/>
  <c r="A18" i="34"/>
  <c r="A19" i="34" l="1"/>
  <c r="B18" i="34"/>
  <c r="A20" i="34" l="1"/>
  <c r="B19" i="34"/>
  <c r="A21" i="34" l="1"/>
  <c r="B20" i="34"/>
  <c r="A22" i="34" l="1"/>
  <c r="B21" i="34"/>
  <c r="B22" i="34" l="1"/>
  <c r="A23" i="34"/>
  <c r="A24" i="34"/>
  <c r="A27" i="34"/>
  <c r="A28" i="34" l="1"/>
  <c r="B27" i="34"/>
  <c r="A29" i="34" l="1"/>
  <c r="B28" i="34"/>
  <c r="B29" i="34" l="1"/>
  <c r="A30" i="34"/>
  <c r="A31" i="34" l="1"/>
  <c r="B30" i="34"/>
  <c r="B31" i="34" l="1"/>
  <c r="A32" i="34"/>
  <c r="A33" i="34" l="1"/>
  <c r="B32" i="34"/>
  <c r="B33" i="34" l="1"/>
  <c r="A34" i="34"/>
  <c r="A38" i="34"/>
  <c r="A35" i="34"/>
  <c r="A39" i="34" l="1"/>
  <c r="B38" i="34"/>
  <c r="B39" i="34" l="1"/>
  <c r="A40" i="34"/>
  <c r="A41" i="34" l="1"/>
  <c r="B40" i="34"/>
  <c r="A42" i="34" l="1"/>
  <c r="B41" i="34"/>
  <c r="B42" i="34" l="1"/>
  <c r="A43" i="34"/>
  <c r="A44" i="34" l="1"/>
  <c r="B43" i="34"/>
  <c r="A49" i="34" l="1"/>
  <c r="B44" i="34"/>
  <c r="A45" i="34"/>
  <c r="A46" i="34" s="1"/>
  <c r="A50" i="34" l="1"/>
  <c r="B49" i="34"/>
  <c r="A51" i="34" l="1"/>
  <c r="B50" i="34"/>
  <c r="A52" i="34" l="1"/>
  <c r="B51" i="34"/>
  <c r="A53" i="34" l="1"/>
  <c r="B52" i="34"/>
  <c r="B53" i="34" l="1"/>
  <c r="A54" i="34"/>
  <c r="A55" i="34" l="1"/>
  <c r="B54" i="34"/>
  <c r="B55" i="34" l="1"/>
  <c r="A56" i="34"/>
  <c r="A57" i="34" s="1"/>
  <c r="A60" i="34"/>
  <c r="A61" i="34" l="1"/>
  <c r="B60" i="34"/>
  <c r="B61" i="34" s="1"/>
  <c r="B62" i="34" s="1"/>
  <c r="B63" i="34" s="1"/>
  <c r="B64" i="34" s="1"/>
  <c r="B65" i="34" s="1"/>
  <c r="A62" i="34" l="1"/>
  <c r="A63" i="34" s="1"/>
  <c r="A64" i="34" s="1"/>
  <c r="A65" i="34" s="1"/>
  <c r="A68" i="34" s="1"/>
</calcChain>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<sst xmlns="http://schemas.openxmlformats.org/spreadsheetml/2006/main" count="1048" uniqueCount="315">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</sst>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HYPERLINK(B3&amp;"'Business Details'!C5","Business Details")</f>
        <v>Business Details</v>
      </c>
      <c r="C8" s="282" t="str">
        <f>HYPERLINK(B3&amp;"'SalesApr'!E5","SalesApr")</f>
        <v>SalesApr</v>
      </c>
      <c r="D8" s="282" t="str">
        <f>HYPERLINK(B3&amp;"'PurchasesApr'!A5","PurchasesApr")</f>
        <v>PurchasesApr</v>
      </c>
      <c r="E8" s="281" t="str">
        <f>HYPERLINK(B3&amp;"'SE Short'!C8","SE Short")</f>
        <v>SE Short</v>
      </c>
      <c r="G8" t="s">
        <v>279</v>
      </c>
    </row>
    <row r="9" spans="2:7" x14ac:dyDescent="0.15">
      <c r="B9" s="281" t="str">
        <f>HYPERLINK(B3&amp;"'Fixed Assets'!A7","Fixed Assets")</f>
        <v>Fixed Assets</v>
      </c>
      <c r="C9" s="282" t="str">
        <f>HYPERLINK(B3&amp;"'SalesMay'!E5","SalesMay")</f>
        <v>SalesMay</v>
      </c>
      <c r="D9" s="282" t="str">
        <f>HYPERLINK(B3&amp;"'PurchasesMay'!A5","PurchasesMay")</f>
        <v>PurchasesMay</v>
      </c>
      <c r="E9" s="281" t="str">
        <f>HYPERLINK(B3&amp;"'Profit &amp; Loss Acc'!A1","Profit &amp; Loss Acc")</f>
        <v>Profit &amp; Loss Acc</v>
      </c>
    </row>
    <row r="10" spans="2:7" x14ac:dyDescent="0.15">
      <c r="B10" s="281"/>
      <c r="C10" s="282" t="str">
        <f>HYPERLINK(B3&amp;"'SalesJun'!E5","SalesJun")</f>
        <v>SalesJun</v>
      </c>
      <c r="D10" s="282" t="str">
        <f>HYPERLINK(B3&amp;"'PurchasesJun'!A5","PurchasesJun")</f>
        <v>PurchasesJun</v>
      </c>
      <c r="E10" s="281" t="str">
        <f>HYPERLINK(B3&amp;"'Draft Tax Calculation'!D2","Draft Tax Calculation")</f>
        <v>Draft Tax Calculation</v>
      </c>
    </row>
    <row r="11" spans="2:7" x14ac:dyDescent="0.15">
      <c r="B11" s="282"/>
      <c r="C11" s="282" t="str">
        <f>HYPERLINK(B3&amp;"'SalesJul'!E5","SalesJul")</f>
        <v>SalesJul</v>
      </c>
      <c r="D11" s="282" t="str">
        <f>HYPERLINK(B3&amp;"'PurchasesJul'!A5","PurchasesJul")</f>
        <v>PurchasesJul</v>
      </c>
      <c r="E11" s="281"/>
    </row>
    <row r="12" spans="2:7" x14ac:dyDescent="0.15">
      <c r="B12" s="282"/>
      <c r="C12" s="282" t="str">
        <f>HYPERLINK(B3&amp;"'SalesAug'!E5","SalesAug")</f>
        <v>SalesAug</v>
      </c>
      <c r="D12" s="282" t="str">
        <f>HYPERLINK(B3&amp;"'PurchasesAug'!A5","PurchasesAug")</f>
        <v>PurchasesAug</v>
      </c>
      <c r="E12" s="281"/>
    </row>
    <row r="13" spans="2:7" x14ac:dyDescent="0.15">
      <c r="B13" s="282"/>
      <c r="C13" s="282" t="str">
        <f>HYPERLINK(B3&amp;"'SalesSep'!E5","SalesSep")</f>
        <v>SalesSep</v>
      </c>
      <c r="D13" s="282" t="str">
        <f>HYPERLINK(B3&amp;"'PurchasesSep'!A5","PurchasesSep")</f>
        <v>PurchasesSep</v>
      </c>
      <c r="E13" s="281"/>
    </row>
    <row r="14" spans="2:7" x14ac:dyDescent="0.15">
      <c r="B14" s="282"/>
      <c r="C14" s="282" t="str">
        <f>HYPERLINK(B3&amp;"'SalesOct'!E5","SalesOct")</f>
        <v>SalesOct</v>
      </c>
      <c r="D14" s="282" t="str">
        <f>HYPERLINK(B3&amp;"'PurchasesOct'!A5","PurchasesOct")</f>
        <v>PurchasesOct</v>
      </c>
      <c r="E14" s="281"/>
    </row>
    <row r="15" spans="2:7" x14ac:dyDescent="0.15">
      <c r="B15" s="282"/>
      <c r="C15" s="282" t="str">
        <f>HYPERLINK(B3&amp;"'SalesNov'!E5","SalesNov")</f>
        <v>SalesNov</v>
      </c>
      <c r="D15" s="282" t="str">
        <f>HYPERLINK(B3&amp;"'PurchasesNov'!A5","PurchasesNov")</f>
        <v>PurchasesNov</v>
      </c>
      <c r="E15" s="281"/>
    </row>
    <row r="16" spans="2:7" x14ac:dyDescent="0.15">
      <c r="B16" s="282"/>
      <c r="C16" s="282" t="str">
        <f>HYPERLINK(B3&amp;"'SalesDec'!E5","SalesDec")</f>
        <v>SalesDec</v>
      </c>
      <c r="D16" s="282" t="str">
        <f>HYPERLINK(B3&amp;"'PurchasesDec'!A5","PurchasesDec")</f>
        <v>PurchasesDec</v>
      </c>
      <c r="E16" s="281"/>
    </row>
    <row r="17" spans="2:5" x14ac:dyDescent="0.15">
      <c r="B17" s="282"/>
      <c r="C17" s="282" t="str">
        <f>HYPERLINK(B3&amp;"'SalesJan'!E5","SalesJan")</f>
        <v>SalesJan</v>
      </c>
      <c r="D17" s="282" t="str">
        <f>HYPERLINK(B3&amp;"'PurchasesJan'!A5","PurchasesJan")</f>
        <v>PurchasesJan</v>
      </c>
      <c r="E17" s="279"/>
    </row>
    <row r="18" spans="2:5" x14ac:dyDescent="0.15">
      <c r="B18" s="282"/>
      <c r="C18" s="282" t="str">
        <f>HYPERLINK(B3&amp;"'SalesFeb'!E5","SalesFeb")</f>
        <v>SalesFeb</v>
      </c>
      <c r="D18" s="282" t="str">
        <f>HYPERLINK(B3&amp;"'PurchasesFeb'!A5","PurchasesFeb")</f>
        <v>PurchasesFeb</v>
      </c>
      <c r="E18" s="279"/>
    </row>
    <row r="19" spans="2:5" x14ac:dyDescent="0.15">
      <c r="B19" s="282"/>
      <c r="C19" s="282" t="str">
        <f>HYPERLINK(B3&amp;"'SalesMar'!E5","SalesMar")</f>
        <v>SalesMar</v>
      </c>
      <c r="D19" s="282" t="str">
        <f>HYPERLINK(B3&amp;"'PurchasesMar'!A5","PurchasesMar")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1"/>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SUM(D4:D44)</f>
        <v>0</v>
      </c>
      <c r="E1" s="303">
        <f>SUM(E4:E44)/2</f>
        <v>0</v>
      </c>
      <c r="F1" s="303">
        <f>SUM(F4:F44)/2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Admin!B4</f>
        <v>45753</v>
      </c>
      <c r="B5" s="297">
        <f>A5</f>
        <v>45753</v>
      </c>
      <c r="C5" s="296"/>
      <c r="D5" s="295"/>
      <c r="E5" s="294"/>
      <c r="F5" s="293"/>
    </row>
    <row r="6" spans="1:6" x14ac:dyDescent="0.15">
      <c r="A6" s="292">
        <f>A5</f>
        <v>45753</v>
      </c>
      <c r="B6" s="285" t="s">
        <v>234</v>
      </c>
      <c r="F6" s="291"/>
    </row>
    <row r="7" spans="1:6" x14ac:dyDescent="0.15">
      <c r="A7" s="292">
        <f>A6</f>
        <v>45753</v>
      </c>
      <c r="B7" s="285" t="s">
        <v>233</v>
      </c>
      <c r="F7" s="291"/>
    </row>
    <row r="8" spans="1:6" ht="14" thickBot="1" x14ac:dyDescent="0.2">
      <c r="A8" s="290"/>
      <c r="B8" s="289"/>
      <c r="C8" s="287"/>
      <c r="D8" s="288"/>
      <c r="E8" s="300">
        <f>SUM(E3:E7)</f>
        <v>0</v>
      </c>
      <c r="F8" s="299">
        <f>SUM(F3:F7)</f>
        <v>0</v>
      </c>
    </row>
    <row r="9" spans="1:6" ht="14" thickBot="1" x14ac:dyDescent="0.2"/>
    <row r="10" spans="1:6" x14ac:dyDescent="0.15">
      <c r="A10" s="298">
        <f>A7+1</f>
        <v>45754</v>
      </c>
      <c r="B10" s="297">
        <f t="shared" ref="B10:B16" si="0">A10</f>
        <v>45754</v>
      </c>
      <c r="C10" s="296"/>
      <c r="D10" s="295"/>
      <c r="E10" s="294"/>
      <c r="F10" s="293"/>
    </row>
    <row r="11" spans="1:6" x14ac:dyDescent="0.15">
      <c r="A11" s="292">
        <f>A10+1</f>
        <v>45755</v>
      </c>
      <c r="B11" s="285">
        <f t="shared" si="0"/>
        <v>45755</v>
      </c>
      <c r="F11" s="291"/>
    </row>
    <row r="12" spans="1:6" x14ac:dyDescent="0.15">
      <c r="A12" s="292">
        <f>A11+1</f>
        <v>45756</v>
      </c>
      <c r="B12" s="285">
        <f t="shared" si="0"/>
        <v>45756</v>
      </c>
      <c r="F12" s="291"/>
    </row>
    <row r="13" spans="1:6" x14ac:dyDescent="0.15">
      <c r="A13" s="292">
        <f t="shared" ref="A13:A16" si="1">A12+1</f>
        <v>45757</v>
      </c>
      <c r="B13" s="285">
        <f t="shared" si="0"/>
        <v>45757</v>
      </c>
      <c r="F13" s="291"/>
    </row>
    <row r="14" spans="1:6" x14ac:dyDescent="0.15">
      <c r="A14" s="292">
        <f t="shared" si="1"/>
        <v>45758</v>
      </c>
      <c r="B14" s="285">
        <f t="shared" si="0"/>
        <v>45758</v>
      </c>
      <c r="F14" s="291"/>
    </row>
    <row r="15" spans="1:6" x14ac:dyDescent="0.15">
      <c r="A15" s="292">
        <f t="shared" si="1"/>
        <v>45759</v>
      </c>
      <c r="B15" s="285">
        <f t="shared" si="0"/>
        <v>45759</v>
      </c>
      <c r="F15" s="291"/>
    </row>
    <row r="16" spans="1:6" x14ac:dyDescent="0.15">
      <c r="A16" s="292">
        <f t="shared" si="1"/>
        <v>45760</v>
      </c>
      <c r="B16" s="285">
        <f t="shared" si="0"/>
        <v>45760</v>
      </c>
      <c r="F16" s="291"/>
    </row>
    <row r="17" spans="1:6" x14ac:dyDescent="0.15">
      <c r="A17" s="292">
        <f>A16</f>
        <v>45760</v>
      </c>
      <c r="B17" s="285" t="s">
        <v>234</v>
      </c>
      <c r="F17" s="291"/>
    </row>
    <row r="18" spans="1:6" x14ac:dyDescent="0.15">
      <c r="A18" s="292">
        <f>A17</f>
        <v>45760</v>
      </c>
      <c r="B18" s="285" t="s">
        <v>233</v>
      </c>
      <c r="F18" s="291"/>
    </row>
    <row r="19" spans="1:6" ht="14" thickBot="1" x14ac:dyDescent="0.2">
      <c r="A19" s="290"/>
      <c r="B19" s="289"/>
      <c r="C19" s="287"/>
      <c r="D19" s="288"/>
      <c r="E19" s="300">
        <f>SUM(E10:E18)</f>
        <v>0</v>
      </c>
      <c r="F19" s="299">
        <f>SUM(F10:F18)</f>
        <v>0</v>
      </c>
    </row>
    <row r="20" spans="1:6" ht="14" thickBot="1" x14ac:dyDescent="0.2"/>
    <row r="21" spans="1:6" x14ac:dyDescent="0.15">
      <c r="A21" s="298">
        <f>A18+1</f>
        <v>45761</v>
      </c>
      <c r="B21" s="297">
        <f t="shared" ref="B21:B27" si="2">A21</f>
        <v>45761</v>
      </c>
      <c r="C21" s="296"/>
      <c r="D21" s="295"/>
      <c r="E21" s="294"/>
      <c r="F21" s="293"/>
    </row>
    <row r="22" spans="1:6" x14ac:dyDescent="0.15">
      <c r="A22" s="292">
        <f t="shared" ref="A22:A27" si="3">A21+1</f>
        <v>45762</v>
      </c>
      <c r="B22" s="285">
        <f t="shared" si="2"/>
        <v>45762</v>
      </c>
      <c r="F22" s="291"/>
    </row>
    <row r="23" spans="1:6" x14ac:dyDescent="0.15">
      <c r="A23" s="292">
        <f t="shared" si="3"/>
        <v>45763</v>
      </c>
      <c r="B23" s="285">
        <f t="shared" si="2"/>
        <v>45763</v>
      </c>
      <c r="F23" s="291"/>
    </row>
    <row r="24" spans="1:6" x14ac:dyDescent="0.15">
      <c r="A24" s="292">
        <f t="shared" si="3"/>
        <v>45764</v>
      </c>
      <c r="B24" s="285">
        <f t="shared" si="2"/>
        <v>45764</v>
      </c>
      <c r="F24" s="291"/>
    </row>
    <row r="25" spans="1:6" x14ac:dyDescent="0.15">
      <c r="A25" s="292">
        <f t="shared" si="3"/>
        <v>45765</v>
      </c>
      <c r="B25" s="285">
        <f t="shared" si="2"/>
        <v>45765</v>
      </c>
      <c r="F25" s="291"/>
    </row>
    <row r="26" spans="1:6" x14ac:dyDescent="0.15">
      <c r="A26" s="292">
        <f t="shared" si="3"/>
        <v>45766</v>
      </c>
      <c r="B26" s="285">
        <f t="shared" si="2"/>
        <v>45766</v>
      </c>
      <c r="F26" s="291"/>
    </row>
    <row r="27" spans="1:6" x14ac:dyDescent="0.15">
      <c r="A27" s="292">
        <f t="shared" si="3"/>
        <v>45767</v>
      </c>
      <c r="B27" s="285">
        <f t="shared" si="2"/>
        <v>45767</v>
      </c>
      <c r="F27" s="291"/>
    </row>
    <row r="28" spans="1:6" x14ac:dyDescent="0.15">
      <c r="A28" s="292">
        <f>A27</f>
        <v>45767</v>
      </c>
      <c r="B28" s="285" t="s">
        <v>234</v>
      </c>
      <c r="F28" s="291"/>
    </row>
    <row r="29" spans="1:6" x14ac:dyDescent="0.15">
      <c r="A29" s="292">
        <f>A27</f>
        <v>45767</v>
      </c>
      <c r="B29" s="285" t="s">
        <v>233</v>
      </c>
      <c r="F29" s="291"/>
    </row>
    <row r="30" spans="1:6" ht="14" thickBot="1" x14ac:dyDescent="0.2">
      <c r="A30" s="290"/>
      <c r="B30" s="289"/>
      <c r="C30" s="287"/>
      <c r="D30" s="288"/>
      <c r="E30" s="300">
        <f>SUM(E21:E29)</f>
        <v>0</v>
      </c>
      <c r="F30" s="299">
        <f>SUM(F21:F29)</f>
        <v>0</v>
      </c>
    </row>
    <row r="31" spans="1:6" ht="14" thickBot="1" x14ac:dyDescent="0.2"/>
    <row r="32" spans="1:6" x14ac:dyDescent="0.15">
      <c r="A32" s="298">
        <f>A29+1</f>
        <v>45768</v>
      </c>
      <c r="B32" s="297">
        <f t="shared" ref="B32:B38" si="4">A32</f>
        <v>45768</v>
      </c>
      <c r="C32" s="296"/>
      <c r="D32" s="295"/>
      <c r="E32" s="294"/>
      <c r="F32" s="293"/>
    </row>
    <row r="33" spans="1:6" x14ac:dyDescent="0.15">
      <c r="A33" s="292">
        <f t="shared" ref="A33:A38" si="5">A32+1</f>
        <v>45769</v>
      </c>
      <c r="B33" s="285">
        <f t="shared" si="4"/>
        <v>45769</v>
      </c>
      <c r="F33" s="291"/>
    </row>
    <row r="34" spans="1:6" x14ac:dyDescent="0.15">
      <c r="A34" s="292">
        <f t="shared" si="5"/>
        <v>45770</v>
      </c>
      <c r="B34" s="285">
        <f t="shared" si="4"/>
        <v>45770</v>
      </c>
      <c r="F34" s="291"/>
    </row>
    <row r="35" spans="1:6" x14ac:dyDescent="0.15">
      <c r="A35" s="292">
        <f t="shared" si="5"/>
        <v>45771</v>
      </c>
      <c r="B35" s="285">
        <f t="shared" si="4"/>
        <v>45771</v>
      </c>
      <c r="F35" s="291"/>
    </row>
    <row r="36" spans="1:6" x14ac:dyDescent="0.15">
      <c r="A36" s="292">
        <f t="shared" si="5"/>
        <v>45772</v>
      </c>
      <c r="B36" s="285">
        <f t="shared" si="4"/>
        <v>45772</v>
      </c>
      <c r="F36" s="291"/>
    </row>
    <row r="37" spans="1:6" x14ac:dyDescent="0.15">
      <c r="A37" s="292">
        <f t="shared" si="5"/>
        <v>45773</v>
      </c>
      <c r="B37" s="285">
        <f t="shared" si="4"/>
        <v>45773</v>
      </c>
      <c r="F37" s="291"/>
    </row>
    <row r="38" spans="1:6" x14ac:dyDescent="0.15">
      <c r="A38" s="292">
        <f t="shared" si="5"/>
        <v>45774</v>
      </c>
      <c r="B38" s="285">
        <f t="shared" si="4"/>
        <v>45774</v>
      </c>
      <c r="F38" s="291"/>
    </row>
    <row r="39" spans="1:6" x14ac:dyDescent="0.15">
      <c r="A39" s="292">
        <f>A38</f>
        <v>45774</v>
      </c>
      <c r="B39" s="285" t="s">
        <v>234</v>
      </c>
      <c r="F39" s="291"/>
    </row>
    <row r="40" spans="1:6" x14ac:dyDescent="0.15">
      <c r="A40" s="292">
        <f>A38</f>
        <v>45774</v>
      </c>
      <c r="B40" s="285" t="s">
        <v>233</v>
      </c>
      <c r="F40" s="291"/>
    </row>
    <row r="41" spans="1:6" ht="14" thickBot="1" x14ac:dyDescent="0.2">
      <c r="A41" s="290"/>
      <c r="B41" s="289"/>
      <c r="C41" s="287"/>
      <c r="D41" s="288"/>
      <c r="E41" s="300">
        <f>SUM(E32:E40)</f>
        <v>0</v>
      </c>
      <c r="F41" s="299">
        <f>SUM(F32:F40)</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SalesApr!A40+1</f>
        <v>45775</v>
      </c>
      <c r="B5" s="297">
        <f t="shared" ref="B5:B11" si="0">A5</f>
        <v>45775</v>
      </c>
      <c r="C5" s="296"/>
      <c r="D5" s="295"/>
      <c r="E5" s="294"/>
      <c r="F5" s="293"/>
    </row>
    <row r="6" spans="1:6" x14ac:dyDescent="0.15">
      <c r="A6" s="292">
        <f t="shared" ref="A6:A11" si="1">A5+1</f>
        <v>45776</v>
      </c>
      <c r="B6" s="285">
        <f t="shared" si="0"/>
        <v>45776</v>
      </c>
      <c r="F6" s="291"/>
    </row>
    <row r="7" spans="1:6" x14ac:dyDescent="0.15">
      <c r="A7" s="292">
        <f t="shared" si="1"/>
        <v>45777</v>
      </c>
      <c r="B7" s="285">
        <f t="shared" si="0"/>
        <v>45777</v>
      </c>
      <c r="F7" s="291"/>
    </row>
    <row r="8" spans="1:6" x14ac:dyDescent="0.15">
      <c r="A8" s="292">
        <f t="shared" si="1"/>
        <v>45778</v>
      </c>
      <c r="B8" s="285">
        <f t="shared" si="0"/>
        <v>45778</v>
      </c>
      <c r="F8" s="291"/>
    </row>
    <row r="9" spans="1:6" x14ac:dyDescent="0.15">
      <c r="A9" s="292">
        <f t="shared" si="1"/>
        <v>45779</v>
      </c>
      <c r="B9" s="285">
        <f t="shared" si="0"/>
        <v>45779</v>
      </c>
      <c r="F9" s="291"/>
    </row>
    <row r="10" spans="1:6" x14ac:dyDescent="0.15">
      <c r="A10" s="292">
        <f t="shared" si="1"/>
        <v>45780</v>
      </c>
      <c r="B10" s="285">
        <f t="shared" si="0"/>
        <v>45780</v>
      </c>
      <c r="F10" s="291"/>
    </row>
    <row r="11" spans="1:6" x14ac:dyDescent="0.15">
      <c r="A11" s="292">
        <f t="shared" si="1"/>
        <v>45781</v>
      </c>
      <c r="B11" s="285">
        <f t="shared" si="0"/>
        <v>45781</v>
      </c>
      <c r="F11" s="291"/>
    </row>
    <row r="12" spans="1:6" x14ac:dyDescent="0.15">
      <c r="A12" s="292">
        <f>A11</f>
        <v>45781</v>
      </c>
      <c r="B12" s="285" t="s">
        <v>234</v>
      </c>
      <c r="F12" s="291"/>
    </row>
    <row r="13" spans="1:6" x14ac:dyDescent="0.15">
      <c r="A13" s="292">
        <f>A11</f>
        <v>45781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45782</v>
      </c>
      <c r="B16" s="297">
        <f t="shared" ref="B16:B22" si="2">A16</f>
        <v>45782</v>
      </c>
      <c r="C16" s="296"/>
      <c r="D16" s="295"/>
      <c r="E16" s="294"/>
      <c r="F16" s="293"/>
    </row>
    <row r="17" spans="1:6" x14ac:dyDescent="0.15">
      <c r="A17" s="292">
        <f t="shared" ref="A17:A22" si="3">A16+1</f>
        <v>45783</v>
      </c>
      <c r="B17" s="285">
        <f t="shared" si="2"/>
        <v>45783</v>
      </c>
      <c r="F17" s="291"/>
    </row>
    <row r="18" spans="1:6" x14ac:dyDescent="0.15">
      <c r="A18" s="292">
        <f t="shared" si="3"/>
        <v>45784</v>
      </c>
      <c r="B18" s="285">
        <f t="shared" si="2"/>
        <v>45784</v>
      </c>
      <c r="F18" s="291"/>
    </row>
    <row r="19" spans="1:6" x14ac:dyDescent="0.15">
      <c r="A19" s="292">
        <f t="shared" si="3"/>
        <v>45785</v>
      </c>
      <c r="B19" s="285">
        <f t="shared" si="2"/>
        <v>45785</v>
      </c>
      <c r="F19" s="291"/>
    </row>
    <row r="20" spans="1:6" x14ac:dyDescent="0.15">
      <c r="A20" s="292">
        <f t="shared" si="3"/>
        <v>45786</v>
      </c>
      <c r="B20" s="285">
        <f t="shared" si="2"/>
        <v>45786</v>
      </c>
      <c r="F20" s="291"/>
    </row>
    <row r="21" spans="1:6" x14ac:dyDescent="0.15">
      <c r="A21" s="292">
        <f t="shared" si="3"/>
        <v>45787</v>
      </c>
      <c r="B21" s="285">
        <f t="shared" si="2"/>
        <v>45787</v>
      </c>
      <c r="F21" s="291"/>
    </row>
    <row r="22" spans="1:6" x14ac:dyDescent="0.15">
      <c r="A22" s="292">
        <f t="shared" si="3"/>
        <v>45788</v>
      </c>
      <c r="B22" s="285">
        <f t="shared" si="2"/>
        <v>45788</v>
      </c>
      <c r="F22" s="291"/>
    </row>
    <row r="23" spans="1:6" x14ac:dyDescent="0.15">
      <c r="A23" s="292">
        <f>A22</f>
        <v>45788</v>
      </c>
      <c r="B23" s="285" t="s">
        <v>234</v>
      </c>
      <c r="F23" s="291"/>
    </row>
    <row r="24" spans="1:6" x14ac:dyDescent="0.15">
      <c r="A24" s="292">
        <f>A22</f>
        <v>45788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45789</v>
      </c>
      <c r="B27" s="297">
        <f t="shared" ref="B27:B33" si="4">A27</f>
        <v>45789</v>
      </c>
      <c r="C27" s="296"/>
      <c r="D27" s="295"/>
      <c r="E27" s="294"/>
      <c r="F27" s="293"/>
    </row>
    <row r="28" spans="1:6" x14ac:dyDescent="0.15">
      <c r="A28" s="292">
        <f t="shared" ref="A28:A33" si="5">A27+1</f>
        <v>45790</v>
      </c>
      <c r="B28" s="285">
        <f t="shared" si="4"/>
        <v>45790</v>
      </c>
      <c r="F28" s="291"/>
    </row>
    <row r="29" spans="1:6" x14ac:dyDescent="0.15">
      <c r="A29" s="292">
        <f t="shared" si="5"/>
        <v>45791</v>
      </c>
      <c r="B29" s="285">
        <f t="shared" si="4"/>
        <v>45791</v>
      </c>
      <c r="F29" s="291"/>
    </row>
    <row r="30" spans="1:6" x14ac:dyDescent="0.15">
      <c r="A30" s="292">
        <f t="shared" si="5"/>
        <v>45792</v>
      </c>
      <c r="B30" s="285">
        <f t="shared" si="4"/>
        <v>45792</v>
      </c>
      <c r="F30" s="291"/>
    </row>
    <row r="31" spans="1:6" x14ac:dyDescent="0.15">
      <c r="A31" s="292">
        <f t="shared" si="5"/>
        <v>45793</v>
      </c>
      <c r="B31" s="285">
        <f t="shared" si="4"/>
        <v>45793</v>
      </c>
      <c r="F31" s="291"/>
    </row>
    <row r="32" spans="1:6" x14ac:dyDescent="0.15">
      <c r="A32" s="292">
        <f t="shared" si="5"/>
        <v>45794</v>
      </c>
      <c r="B32" s="285">
        <f t="shared" si="4"/>
        <v>45794</v>
      </c>
      <c r="F32" s="291"/>
    </row>
    <row r="33" spans="1:6" x14ac:dyDescent="0.15">
      <c r="A33" s="292">
        <f t="shared" si="5"/>
        <v>45795</v>
      </c>
      <c r="B33" s="285">
        <f t="shared" si="4"/>
        <v>45795</v>
      </c>
      <c r="F33" s="291"/>
    </row>
    <row r="34" spans="1:6" x14ac:dyDescent="0.15">
      <c r="A34" s="292">
        <f>A33</f>
        <v>45795</v>
      </c>
      <c r="B34" s="285" t="s">
        <v>234</v>
      </c>
      <c r="F34" s="291"/>
    </row>
    <row r="35" spans="1:6" x14ac:dyDescent="0.15">
      <c r="A35" s="292">
        <f>A33</f>
        <v>45795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SalesMay!A33+1</f>
        <v>45796</v>
      </c>
      <c r="B38" s="297">
        <f t="shared" ref="B38:B44" si="6">A38</f>
        <v>45796</v>
      </c>
      <c r="C38" s="296"/>
      <c r="D38" s="295"/>
      <c r="E38" s="294"/>
      <c r="F38" s="293"/>
    </row>
    <row r="39" spans="1:6" x14ac:dyDescent="0.15">
      <c r="A39" s="292">
        <f t="shared" ref="A39:A44" si="7">A38+1</f>
        <v>45797</v>
      </c>
      <c r="B39" s="285">
        <f t="shared" si="6"/>
        <v>45797</v>
      </c>
      <c r="F39" s="291"/>
    </row>
    <row r="40" spans="1:6" x14ac:dyDescent="0.15">
      <c r="A40" s="292">
        <f t="shared" si="7"/>
        <v>45798</v>
      </c>
      <c r="B40" s="285">
        <f t="shared" si="6"/>
        <v>45798</v>
      </c>
      <c r="F40" s="291"/>
    </row>
    <row r="41" spans="1:6" x14ac:dyDescent="0.15">
      <c r="A41" s="292">
        <f t="shared" si="7"/>
        <v>45799</v>
      </c>
      <c r="B41" s="285">
        <f t="shared" si="6"/>
        <v>45799</v>
      </c>
      <c r="F41" s="291"/>
    </row>
    <row r="42" spans="1:6" x14ac:dyDescent="0.15">
      <c r="A42" s="292">
        <f t="shared" si="7"/>
        <v>45800</v>
      </c>
      <c r="B42" s="285">
        <f t="shared" si="6"/>
        <v>45800</v>
      </c>
      <c r="F42" s="291"/>
    </row>
    <row r="43" spans="1:6" x14ac:dyDescent="0.15">
      <c r="A43" s="292">
        <f t="shared" si="7"/>
        <v>45801</v>
      </c>
      <c r="B43" s="285">
        <f t="shared" si="6"/>
        <v>45801</v>
      </c>
      <c r="F43" s="291"/>
    </row>
    <row r="44" spans="1:6" x14ac:dyDescent="0.15">
      <c r="A44" s="292">
        <f t="shared" si="7"/>
        <v>45802</v>
      </c>
      <c r="B44" s="285">
        <f t="shared" si="6"/>
        <v>45802</v>
      </c>
      <c r="F44" s="291"/>
    </row>
    <row r="45" spans="1:6" x14ac:dyDescent="0.15">
      <c r="A45" s="292">
        <f>A44</f>
        <v>45802</v>
      </c>
      <c r="B45" s="285" t="s">
        <v>234</v>
      </c>
      <c r="F45" s="291"/>
    </row>
    <row r="46" spans="1:6" x14ac:dyDescent="0.15">
      <c r="A46" s="292">
        <f>A44</f>
        <v>45802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SalesMay!A44+1</f>
        <v>45803</v>
      </c>
      <c r="B5" s="297">
        <f t="shared" ref="B5:B11" si="0">A5</f>
        <v>45803</v>
      </c>
      <c r="C5" s="296"/>
      <c r="D5" s="295"/>
      <c r="E5" s="294"/>
      <c r="F5" s="293"/>
    </row>
    <row r="6" spans="1:6" x14ac:dyDescent="0.15">
      <c r="A6" s="292">
        <f t="shared" ref="A6:A11" si="1">A5+1</f>
        <v>45804</v>
      </c>
      <c r="B6" s="285">
        <f t="shared" si="0"/>
        <v>45804</v>
      </c>
      <c r="F6" s="291"/>
    </row>
    <row r="7" spans="1:6" x14ac:dyDescent="0.15">
      <c r="A7" s="292">
        <f t="shared" si="1"/>
        <v>45805</v>
      </c>
      <c r="B7" s="285">
        <f t="shared" si="0"/>
        <v>45805</v>
      </c>
      <c r="F7" s="291"/>
    </row>
    <row r="8" spans="1:6" x14ac:dyDescent="0.15">
      <c r="A8" s="292">
        <f t="shared" si="1"/>
        <v>45806</v>
      </c>
      <c r="B8" s="285">
        <f t="shared" si="0"/>
        <v>45806</v>
      </c>
      <c r="F8" s="291"/>
    </row>
    <row r="9" spans="1:6" x14ac:dyDescent="0.15">
      <c r="A9" s="292">
        <f t="shared" si="1"/>
        <v>45807</v>
      </c>
      <c r="B9" s="285">
        <f t="shared" si="0"/>
        <v>45807</v>
      </c>
      <c r="F9" s="291"/>
    </row>
    <row r="10" spans="1:6" x14ac:dyDescent="0.15">
      <c r="A10" s="292">
        <f t="shared" si="1"/>
        <v>45808</v>
      </c>
      <c r="B10" s="285">
        <f t="shared" si="0"/>
        <v>45808</v>
      </c>
      <c r="F10" s="291"/>
    </row>
    <row r="11" spans="1:6" x14ac:dyDescent="0.15">
      <c r="A11" s="292">
        <f t="shared" si="1"/>
        <v>45809</v>
      </c>
      <c r="B11" s="285">
        <f t="shared" si="0"/>
        <v>45809</v>
      </c>
      <c r="F11" s="291"/>
    </row>
    <row r="12" spans="1:6" x14ac:dyDescent="0.15">
      <c r="A12" s="292">
        <f>A11</f>
        <v>45809</v>
      </c>
      <c r="B12" s="285" t="s">
        <v>234</v>
      </c>
      <c r="F12" s="291"/>
    </row>
    <row r="13" spans="1:6" x14ac:dyDescent="0.15">
      <c r="A13" s="292">
        <f>A11</f>
        <v>45809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45810</v>
      </c>
      <c r="B16" s="297">
        <f t="shared" ref="B16:B22" si="2">A16</f>
        <v>45810</v>
      </c>
      <c r="C16" s="296"/>
      <c r="D16" s="295"/>
      <c r="E16" s="294"/>
      <c r="F16" s="293"/>
    </row>
    <row r="17" spans="1:6" x14ac:dyDescent="0.15">
      <c r="A17" s="292">
        <f t="shared" ref="A17:A22" si="3">A16+1</f>
        <v>45811</v>
      </c>
      <c r="B17" s="285">
        <f t="shared" si="2"/>
        <v>45811</v>
      </c>
      <c r="F17" s="291"/>
    </row>
    <row r="18" spans="1:6" x14ac:dyDescent="0.15">
      <c r="A18" s="292">
        <f t="shared" si="3"/>
        <v>45812</v>
      </c>
      <c r="B18" s="285">
        <f t="shared" si="2"/>
        <v>45812</v>
      </c>
      <c r="F18" s="291"/>
    </row>
    <row r="19" spans="1:6" x14ac:dyDescent="0.15">
      <c r="A19" s="292">
        <f t="shared" si="3"/>
        <v>45813</v>
      </c>
      <c r="B19" s="285">
        <f t="shared" si="2"/>
        <v>45813</v>
      </c>
      <c r="F19" s="291"/>
    </row>
    <row r="20" spans="1:6" x14ac:dyDescent="0.15">
      <c r="A20" s="292">
        <f t="shared" si="3"/>
        <v>45814</v>
      </c>
      <c r="B20" s="285">
        <f t="shared" si="2"/>
        <v>45814</v>
      </c>
      <c r="F20" s="291"/>
    </row>
    <row r="21" spans="1:6" x14ac:dyDescent="0.15">
      <c r="A21" s="292">
        <f t="shared" si="3"/>
        <v>45815</v>
      </c>
      <c r="B21" s="285">
        <f t="shared" si="2"/>
        <v>45815</v>
      </c>
      <c r="F21" s="291"/>
    </row>
    <row r="22" spans="1:6" x14ac:dyDescent="0.15">
      <c r="A22" s="292">
        <f t="shared" si="3"/>
        <v>45816</v>
      </c>
      <c r="B22" s="285">
        <f t="shared" si="2"/>
        <v>45816</v>
      </c>
      <c r="F22" s="291"/>
    </row>
    <row r="23" spans="1:6" x14ac:dyDescent="0.15">
      <c r="A23" s="292">
        <f>A22</f>
        <v>45816</v>
      </c>
      <c r="B23" s="285" t="s">
        <v>234</v>
      </c>
      <c r="F23" s="291"/>
    </row>
    <row r="24" spans="1:6" x14ac:dyDescent="0.15">
      <c r="A24" s="292">
        <f>A22</f>
        <v>45816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45817</v>
      </c>
      <c r="B27" s="297">
        <f t="shared" ref="B27:B33" si="4">A27</f>
        <v>45817</v>
      </c>
      <c r="C27" s="296"/>
      <c r="D27" s="295"/>
      <c r="E27" s="294"/>
      <c r="F27" s="293"/>
    </row>
    <row r="28" spans="1:6" x14ac:dyDescent="0.15">
      <c r="A28" s="292">
        <f t="shared" ref="A28:A33" si="5">A27+1</f>
        <v>45818</v>
      </c>
      <c r="B28" s="285">
        <f t="shared" si="4"/>
        <v>45818</v>
      </c>
      <c r="F28" s="291"/>
    </row>
    <row r="29" spans="1:6" x14ac:dyDescent="0.15">
      <c r="A29" s="292">
        <f t="shared" si="5"/>
        <v>45819</v>
      </c>
      <c r="B29" s="285">
        <f t="shared" si="4"/>
        <v>45819</v>
      </c>
      <c r="F29" s="291"/>
    </row>
    <row r="30" spans="1:6" x14ac:dyDescent="0.15">
      <c r="A30" s="292">
        <f t="shared" si="5"/>
        <v>45820</v>
      </c>
      <c r="B30" s="285">
        <f t="shared" si="4"/>
        <v>45820</v>
      </c>
      <c r="F30" s="291"/>
    </row>
    <row r="31" spans="1:6" x14ac:dyDescent="0.15">
      <c r="A31" s="292">
        <f t="shared" si="5"/>
        <v>45821</v>
      </c>
      <c r="B31" s="285">
        <f t="shared" si="4"/>
        <v>45821</v>
      </c>
      <c r="F31" s="291"/>
    </row>
    <row r="32" spans="1:6" x14ac:dyDescent="0.15">
      <c r="A32" s="292">
        <f t="shared" si="5"/>
        <v>45822</v>
      </c>
      <c r="B32" s="285">
        <f t="shared" si="4"/>
        <v>45822</v>
      </c>
      <c r="F32" s="291"/>
    </row>
    <row r="33" spans="1:6" x14ac:dyDescent="0.15">
      <c r="A33" s="292">
        <f t="shared" si="5"/>
        <v>45823</v>
      </c>
      <c r="B33" s="285">
        <f t="shared" si="4"/>
        <v>45823</v>
      </c>
      <c r="F33" s="291"/>
    </row>
    <row r="34" spans="1:6" x14ac:dyDescent="0.15">
      <c r="A34" s="292">
        <f>A33</f>
        <v>45823</v>
      </c>
      <c r="B34" s="285" t="s">
        <v>234</v>
      </c>
      <c r="F34" s="291"/>
    </row>
    <row r="35" spans="1:6" x14ac:dyDescent="0.15">
      <c r="A35" s="292">
        <f>A33</f>
        <v>45823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A35+1</f>
        <v>45824</v>
      </c>
      <c r="B38" s="297">
        <f t="shared" ref="B38:B44" si="6">A38</f>
        <v>45824</v>
      </c>
      <c r="C38" s="296"/>
      <c r="D38" s="295"/>
      <c r="E38" s="294"/>
      <c r="F38" s="293"/>
    </row>
    <row r="39" spans="1:6" x14ac:dyDescent="0.15">
      <c r="A39" s="292">
        <f t="shared" ref="A39:A44" si="7">A38+1</f>
        <v>45825</v>
      </c>
      <c r="B39" s="285">
        <f t="shared" si="6"/>
        <v>45825</v>
      </c>
      <c r="F39" s="291"/>
    </row>
    <row r="40" spans="1:6" x14ac:dyDescent="0.15">
      <c r="A40" s="292">
        <f t="shared" si="7"/>
        <v>45826</v>
      </c>
      <c r="B40" s="285">
        <f t="shared" si="6"/>
        <v>45826</v>
      </c>
      <c r="F40" s="291"/>
    </row>
    <row r="41" spans="1:6" x14ac:dyDescent="0.15">
      <c r="A41" s="292">
        <f t="shared" si="7"/>
        <v>45827</v>
      </c>
      <c r="B41" s="285">
        <f t="shared" si="6"/>
        <v>45827</v>
      </c>
      <c r="F41" s="291"/>
    </row>
    <row r="42" spans="1:6" x14ac:dyDescent="0.15">
      <c r="A42" s="292">
        <f t="shared" si="7"/>
        <v>45828</v>
      </c>
      <c r="B42" s="285">
        <f t="shared" si="6"/>
        <v>45828</v>
      </c>
      <c r="F42" s="291"/>
    </row>
    <row r="43" spans="1:6" x14ac:dyDescent="0.15">
      <c r="A43" s="292">
        <f t="shared" si="7"/>
        <v>45829</v>
      </c>
      <c r="B43" s="285">
        <f t="shared" si="6"/>
        <v>45829</v>
      </c>
      <c r="F43" s="291"/>
    </row>
    <row r="44" spans="1:6" x14ac:dyDescent="0.15">
      <c r="A44" s="292">
        <f t="shared" si="7"/>
        <v>45830</v>
      </c>
      <c r="B44" s="285">
        <f t="shared" si="6"/>
        <v>45830</v>
      </c>
      <c r="F44" s="291"/>
    </row>
    <row r="45" spans="1:6" x14ac:dyDescent="0.15">
      <c r="A45" s="292">
        <f>A44</f>
        <v>45830</v>
      </c>
      <c r="B45" s="285" t="s">
        <v>234</v>
      </c>
      <c r="F45" s="291"/>
    </row>
    <row r="46" spans="1:6" x14ac:dyDescent="0.15">
      <c r="A46" s="292">
        <f>A45</f>
        <v>45830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A46+1</f>
        <v>45831</v>
      </c>
      <c r="B49" s="297">
        <f t="shared" ref="B49:B55" si="8">A49</f>
        <v>45831</v>
      </c>
      <c r="C49" s="296"/>
      <c r="D49" s="295"/>
      <c r="E49" s="294"/>
      <c r="F49" s="293"/>
    </row>
    <row r="50" spans="1:6" x14ac:dyDescent="0.15">
      <c r="A50" s="292">
        <f t="shared" ref="A50:A55" si="9">A49+1</f>
        <v>45832</v>
      </c>
      <c r="B50" s="285">
        <f t="shared" si="8"/>
        <v>45832</v>
      </c>
      <c r="F50" s="291"/>
    </row>
    <row r="51" spans="1:6" x14ac:dyDescent="0.15">
      <c r="A51" s="292">
        <f>A50+1</f>
        <v>45833</v>
      </c>
      <c r="B51" s="285">
        <f t="shared" si="8"/>
        <v>45833</v>
      </c>
      <c r="F51" s="291"/>
    </row>
    <row r="52" spans="1:6" x14ac:dyDescent="0.15">
      <c r="A52" s="292">
        <f t="shared" si="9"/>
        <v>45834</v>
      </c>
      <c r="B52" s="285">
        <f t="shared" si="8"/>
        <v>45834</v>
      </c>
      <c r="F52" s="291"/>
    </row>
    <row r="53" spans="1:6" x14ac:dyDescent="0.15">
      <c r="A53" s="292">
        <f t="shared" si="9"/>
        <v>45835</v>
      </c>
      <c r="B53" s="285">
        <f t="shared" si="8"/>
        <v>45835</v>
      </c>
      <c r="F53" s="291"/>
    </row>
    <row r="54" spans="1:6" x14ac:dyDescent="0.15">
      <c r="A54" s="292">
        <f t="shared" si="9"/>
        <v>45836</v>
      </c>
      <c r="B54" s="285">
        <f t="shared" si="8"/>
        <v>45836</v>
      </c>
      <c r="F54" s="291"/>
    </row>
    <row r="55" spans="1:6" x14ac:dyDescent="0.15">
      <c r="A55" s="292">
        <f t="shared" si="9"/>
        <v>45837</v>
      </c>
      <c r="B55" s="285">
        <f t="shared" si="8"/>
        <v>45837</v>
      </c>
      <c r="F55" s="291"/>
    </row>
    <row r="56" spans="1:6" x14ac:dyDescent="0.15">
      <c r="A56" s="292">
        <f>A55</f>
        <v>45837</v>
      </c>
      <c r="B56" s="285" t="s">
        <v>234</v>
      </c>
      <c r="F56" s="291"/>
    </row>
    <row r="57" spans="1:6" x14ac:dyDescent="0.15">
      <c r="A57" s="292">
        <f>A56</f>
        <v>45837</v>
      </c>
      <c r="B57" s="285" t="s">
        <v>233</v>
      </c>
      <c r="F57" s="291"/>
    </row>
    <row r="58" spans="1:6" ht="14" thickBot="1" x14ac:dyDescent="0.2">
      <c r="A58" s="290"/>
      <c r="B58" s="289"/>
      <c r="C58" s="287"/>
      <c r="D58" s="288"/>
      <c r="E58" s="326">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SUM(D4:D49)</f>
        <v>0</v>
      </c>
      <c r="E1" s="303">
        <f>SUM(E4:E49)/2</f>
        <v>0</v>
      </c>
      <c r="F1" s="303">
        <f>SUM(F4:F49)/2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5" spans="1:6" ht="14" thickBot="1" x14ac:dyDescent="0.2"/>
    <row r="6" spans="1:6" x14ac:dyDescent="0.15">
      <c r="A6" s="298">
        <f>SalesJun!A57+1</f>
        <v>45838</v>
      </c>
      <c r="B6" s="297">
        <f t="shared" ref="B6:B12" si="0">A6</f>
        <v>45838</v>
      </c>
      <c r="C6" s="296"/>
      <c r="D6" s="295"/>
      <c r="E6" s="294"/>
      <c r="F6" s="293"/>
    </row>
    <row r="7" spans="1:6" x14ac:dyDescent="0.15">
      <c r="A7" s="292">
        <f t="shared" ref="A7:A10" si="1">A6+1</f>
        <v>45839</v>
      </c>
      <c r="B7" s="285">
        <f t="shared" si="0"/>
        <v>45839</v>
      </c>
      <c r="F7" s="291"/>
    </row>
    <row r="8" spans="1:6" x14ac:dyDescent="0.15">
      <c r="A8" s="292">
        <f t="shared" si="1"/>
        <v>45840</v>
      </c>
      <c r="B8" s="285">
        <f t="shared" si="0"/>
        <v>45840</v>
      </c>
      <c r="F8" s="291"/>
    </row>
    <row r="9" spans="1:6" x14ac:dyDescent="0.15">
      <c r="A9" s="292">
        <f t="shared" si="1"/>
        <v>45841</v>
      </c>
      <c r="B9" s="285">
        <f t="shared" si="0"/>
        <v>45841</v>
      </c>
      <c r="F9" s="291"/>
    </row>
    <row r="10" spans="1:6" x14ac:dyDescent="0.15">
      <c r="A10" s="292">
        <f t="shared" si="1"/>
        <v>45842</v>
      </c>
      <c r="B10" s="285">
        <f t="shared" si="0"/>
        <v>45842</v>
      </c>
      <c r="F10" s="291"/>
    </row>
    <row r="11" spans="1:6" x14ac:dyDescent="0.15">
      <c r="A11" s="292">
        <f>A10+1</f>
        <v>45843</v>
      </c>
      <c r="B11" s="285">
        <f t="shared" si="0"/>
        <v>45843</v>
      </c>
      <c r="F11" s="291"/>
    </row>
    <row r="12" spans="1:6" x14ac:dyDescent="0.15">
      <c r="A12" s="292">
        <f>A11+1</f>
        <v>45844</v>
      </c>
      <c r="B12" s="285">
        <f t="shared" si="0"/>
        <v>45844</v>
      </c>
      <c r="F12" s="291"/>
    </row>
    <row r="13" spans="1:6" x14ac:dyDescent="0.15">
      <c r="A13" s="292">
        <f>A12</f>
        <v>45844</v>
      </c>
      <c r="B13" s="285" t="s">
        <v>234</v>
      </c>
      <c r="F13" s="291"/>
    </row>
    <row r="14" spans="1:6" x14ac:dyDescent="0.15">
      <c r="A14" s="292">
        <f>A13</f>
        <v>45844</v>
      </c>
      <c r="B14" s="285" t="s">
        <v>233</v>
      </c>
      <c r="F14" s="291"/>
    </row>
    <row r="15" spans="1:6" ht="14" thickBot="1" x14ac:dyDescent="0.2">
      <c r="A15" s="290"/>
      <c r="B15" s="289"/>
      <c r="C15" s="287"/>
      <c r="D15" s="288"/>
      <c r="E15" s="300">
        <f>SUM(E6:E14)</f>
        <v>0</v>
      </c>
      <c r="F15" s="299">
        <f>SUM(F6:F14)</f>
        <v>0</v>
      </c>
    </row>
    <row r="16" spans="1:6" ht="14" thickBot="1" x14ac:dyDescent="0.2"/>
    <row r="17" spans="1:6" x14ac:dyDescent="0.15">
      <c r="A17" s="298">
        <f>A14+1</f>
        <v>45845</v>
      </c>
      <c r="B17" s="297">
        <f t="shared" ref="B17:B23" si="2">A17</f>
        <v>45845</v>
      </c>
      <c r="C17" s="296"/>
      <c r="D17" s="295"/>
      <c r="E17" s="294"/>
      <c r="F17" s="293"/>
    </row>
    <row r="18" spans="1:6" x14ac:dyDescent="0.15">
      <c r="A18" s="292">
        <f t="shared" ref="A18:A23" si="3">A17+1</f>
        <v>45846</v>
      </c>
      <c r="B18" s="285">
        <f t="shared" si="2"/>
        <v>45846</v>
      </c>
      <c r="F18" s="291"/>
    </row>
    <row r="19" spans="1:6" x14ac:dyDescent="0.15">
      <c r="A19" s="292">
        <f t="shared" si="3"/>
        <v>45847</v>
      </c>
      <c r="B19" s="285">
        <f t="shared" si="2"/>
        <v>45847</v>
      </c>
      <c r="F19" s="291"/>
    </row>
    <row r="20" spans="1:6" x14ac:dyDescent="0.15">
      <c r="A20" s="292">
        <f t="shared" si="3"/>
        <v>45848</v>
      </c>
      <c r="B20" s="285">
        <f t="shared" si="2"/>
        <v>45848</v>
      </c>
      <c r="F20" s="291"/>
    </row>
    <row r="21" spans="1:6" x14ac:dyDescent="0.15">
      <c r="A21" s="292">
        <f t="shared" si="3"/>
        <v>45849</v>
      </c>
      <c r="B21" s="285">
        <f t="shared" si="2"/>
        <v>45849</v>
      </c>
      <c r="F21" s="291"/>
    </row>
    <row r="22" spans="1:6" x14ac:dyDescent="0.15">
      <c r="A22" s="292">
        <f t="shared" si="3"/>
        <v>45850</v>
      </c>
      <c r="B22" s="285">
        <f t="shared" si="2"/>
        <v>45850</v>
      </c>
      <c r="F22" s="291"/>
    </row>
    <row r="23" spans="1:6" x14ac:dyDescent="0.15">
      <c r="A23" s="292">
        <f t="shared" si="3"/>
        <v>45851</v>
      </c>
      <c r="B23" s="285">
        <f t="shared" si="2"/>
        <v>45851</v>
      </c>
      <c r="F23" s="291"/>
    </row>
    <row r="24" spans="1:6" x14ac:dyDescent="0.15">
      <c r="A24" s="292">
        <f>A23</f>
        <v>45851</v>
      </c>
      <c r="B24" s="285" t="s">
        <v>234</v>
      </c>
      <c r="F24" s="291"/>
    </row>
    <row r="25" spans="1:6" x14ac:dyDescent="0.15">
      <c r="A25" s="292">
        <f>A24</f>
        <v>45851</v>
      </c>
      <c r="B25" s="285" t="s">
        <v>233</v>
      </c>
      <c r="F25" s="291"/>
    </row>
    <row r="26" spans="1:6" ht="14" thickBot="1" x14ac:dyDescent="0.2">
      <c r="A26" s="290"/>
      <c r="B26" s="289"/>
      <c r="C26" s="287"/>
      <c r="D26" s="288"/>
      <c r="E26" s="300">
        <f>SUM(E17:E25)</f>
        <v>0</v>
      </c>
      <c r="F26" s="299">
        <f>SUM(F17:F25)</f>
        <v>0</v>
      </c>
    </row>
    <row r="27" spans="1:6" ht="14" thickBot="1" x14ac:dyDescent="0.2"/>
    <row r="28" spans="1:6" x14ac:dyDescent="0.15">
      <c r="A28" s="298">
        <f>A25+1</f>
        <v>45852</v>
      </c>
      <c r="B28" s="297">
        <f t="shared" ref="B28:B34" si="4">A28</f>
        <v>45852</v>
      </c>
      <c r="C28" s="296"/>
      <c r="D28" s="295"/>
      <c r="E28" s="294"/>
      <c r="F28" s="293"/>
    </row>
    <row r="29" spans="1:6" x14ac:dyDescent="0.15">
      <c r="A29" s="292">
        <f t="shared" ref="A29:A34" si="5">A28+1</f>
        <v>45853</v>
      </c>
      <c r="B29" s="285">
        <f t="shared" si="4"/>
        <v>45853</v>
      </c>
      <c r="F29" s="291"/>
    </row>
    <row r="30" spans="1:6" x14ac:dyDescent="0.15">
      <c r="A30" s="292">
        <f t="shared" si="5"/>
        <v>45854</v>
      </c>
      <c r="B30" s="285">
        <f t="shared" si="4"/>
        <v>45854</v>
      </c>
      <c r="F30" s="291"/>
    </row>
    <row r="31" spans="1:6" x14ac:dyDescent="0.15">
      <c r="A31" s="292">
        <f t="shared" si="5"/>
        <v>45855</v>
      </c>
      <c r="B31" s="285">
        <f t="shared" si="4"/>
        <v>45855</v>
      </c>
      <c r="F31" s="291"/>
    </row>
    <row r="32" spans="1:6" x14ac:dyDescent="0.15">
      <c r="A32" s="292">
        <f t="shared" si="5"/>
        <v>45856</v>
      </c>
      <c r="B32" s="285">
        <f t="shared" si="4"/>
        <v>45856</v>
      </c>
      <c r="F32" s="291"/>
    </row>
    <row r="33" spans="1:6" x14ac:dyDescent="0.15">
      <c r="A33" s="292">
        <f t="shared" si="5"/>
        <v>45857</v>
      </c>
      <c r="B33" s="285">
        <f t="shared" si="4"/>
        <v>45857</v>
      </c>
      <c r="F33" s="291"/>
    </row>
    <row r="34" spans="1:6" x14ac:dyDescent="0.15">
      <c r="A34" s="292">
        <f t="shared" si="5"/>
        <v>45858</v>
      </c>
      <c r="B34" s="285">
        <f t="shared" si="4"/>
        <v>45858</v>
      </c>
      <c r="F34" s="291"/>
    </row>
    <row r="35" spans="1:6" x14ac:dyDescent="0.15">
      <c r="A35" s="292">
        <f>A34</f>
        <v>45858</v>
      </c>
      <c r="B35" s="285" t="s">
        <v>234</v>
      </c>
      <c r="F35" s="291"/>
    </row>
    <row r="36" spans="1:6" x14ac:dyDescent="0.15">
      <c r="A36" s="292">
        <f>A34</f>
        <v>45858</v>
      </c>
      <c r="B36" s="285" t="s">
        <v>233</v>
      </c>
      <c r="F36" s="291"/>
    </row>
    <row r="37" spans="1:6" ht="14" thickBot="1" x14ac:dyDescent="0.2">
      <c r="A37" s="290"/>
      <c r="B37" s="289"/>
      <c r="C37" s="287"/>
      <c r="D37" s="288"/>
      <c r="E37" s="300">
        <f>SUM(E28:E36)</f>
        <v>0</v>
      </c>
      <c r="F37" s="299">
        <f>SUM(F28:F36)</f>
        <v>0</v>
      </c>
    </row>
    <row r="38" spans="1:6" ht="14" thickBot="1" x14ac:dyDescent="0.2"/>
    <row r="39" spans="1:6" x14ac:dyDescent="0.15">
      <c r="A39" s="298">
        <f>A36+1</f>
        <v>45859</v>
      </c>
      <c r="B39" s="297">
        <f t="shared" ref="B39:B45" si="6">A39</f>
        <v>45859</v>
      </c>
      <c r="C39" s="296"/>
      <c r="D39" s="295"/>
      <c r="E39" s="294"/>
      <c r="F39" s="293"/>
    </row>
    <row r="40" spans="1:6" x14ac:dyDescent="0.15">
      <c r="A40" s="292">
        <f t="shared" ref="A40:A45" si="7">A39+1</f>
        <v>45860</v>
      </c>
      <c r="B40" s="285">
        <f t="shared" si="6"/>
        <v>45860</v>
      </c>
      <c r="F40" s="291"/>
    </row>
    <row r="41" spans="1:6" x14ac:dyDescent="0.15">
      <c r="A41" s="292">
        <f t="shared" si="7"/>
        <v>45861</v>
      </c>
      <c r="B41" s="285">
        <f t="shared" si="6"/>
        <v>45861</v>
      </c>
      <c r="F41" s="291"/>
    </row>
    <row r="42" spans="1:6" x14ac:dyDescent="0.15">
      <c r="A42" s="292">
        <f t="shared" si="7"/>
        <v>45862</v>
      </c>
      <c r="B42" s="285">
        <f t="shared" si="6"/>
        <v>45862</v>
      </c>
      <c r="F42" s="291"/>
    </row>
    <row r="43" spans="1:6" x14ac:dyDescent="0.15">
      <c r="A43" s="292">
        <f t="shared" si="7"/>
        <v>45863</v>
      </c>
      <c r="B43" s="285">
        <f t="shared" si="6"/>
        <v>45863</v>
      </c>
      <c r="F43" s="291"/>
    </row>
    <row r="44" spans="1:6" x14ac:dyDescent="0.15">
      <c r="A44" s="292">
        <f t="shared" si="7"/>
        <v>45864</v>
      </c>
      <c r="B44" s="285">
        <f t="shared" si="6"/>
        <v>45864</v>
      </c>
      <c r="F44" s="291"/>
    </row>
    <row r="45" spans="1:6" x14ac:dyDescent="0.15">
      <c r="A45" s="292">
        <f t="shared" si="7"/>
        <v>45865</v>
      </c>
      <c r="B45" s="285">
        <f t="shared" si="6"/>
        <v>45865</v>
      </c>
      <c r="F45" s="291"/>
    </row>
    <row r="46" spans="1:6" x14ac:dyDescent="0.15">
      <c r="A46" s="292">
        <f>A45</f>
        <v>45865</v>
      </c>
      <c r="B46" s="285" t="s">
        <v>234</v>
      </c>
      <c r="F46" s="291"/>
    </row>
    <row r="47" spans="1:6" x14ac:dyDescent="0.15">
      <c r="A47" s="292">
        <f>A45</f>
        <v>45865</v>
      </c>
      <c r="B47" s="285" t="s">
        <v>233</v>
      </c>
      <c r="F47" s="291"/>
    </row>
    <row r="48" spans="1:6" ht="14" thickBot="1" x14ac:dyDescent="0.2">
      <c r="A48" s="290"/>
      <c r="B48" s="289"/>
      <c r="C48" s="287"/>
      <c r="D48" s="288"/>
      <c r="E48" s="300">
        <f>SUM(E39:E47)</f>
        <v>0</v>
      </c>
      <c r="F48" s="299">
        <f>SUM(F39:F47)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SUM(D4:D48)</f>
        <v>0</v>
      </c>
      <c r="E1" s="303">
        <f>SUM(E4:E48)/2</f>
        <v>0</v>
      </c>
      <c r="F1" s="303">
        <f>SUM(F4:F48)/2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SalesJul!A47+1</f>
        <v>45866</v>
      </c>
      <c r="B5" s="297">
        <f t="shared" ref="B5:B11" si="0">A5</f>
        <v>45866</v>
      </c>
      <c r="C5" s="296"/>
      <c r="D5" s="295"/>
      <c r="E5" s="294"/>
      <c r="F5" s="293"/>
    </row>
    <row r="6" spans="1:6" x14ac:dyDescent="0.15">
      <c r="A6" s="292">
        <f t="shared" ref="A6:A11" si="1">A5+1</f>
        <v>45867</v>
      </c>
      <c r="B6" s="285">
        <f t="shared" si="0"/>
        <v>45867</v>
      </c>
      <c r="F6" s="291"/>
    </row>
    <row r="7" spans="1:6" x14ac:dyDescent="0.15">
      <c r="A7" s="292">
        <f t="shared" si="1"/>
        <v>45868</v>
      </c>
      <c r="B7" s="285">
        <f t="shared" si="0"/>
        <v>45868</v>
      </c>
      <c r="F7" s="291"/>
    </row>
    <row r="8" spans="1:6" x14ac:dyDescent="0.15">
      <c r="A8" s="292">
        <f t="shared" si="1"/>
        <v>45869</v>
      </c>
      <c r="B8" s="285">
        <f>A8</f>
        <v>45869</v>
      </c>
      <c r="F8" s="291"/>
    </row>
    <row r="9" spans="1:6" x14ac:dyDescent="0.15">
      <c r="A9" s="292">
        <f t="shared" si="1"/>
        <v>45870</v>
      </c>
      <c r="B9" s="285">
        <f t="shared" si="0"/>
        <v>45870</v>
      </c>
      <c r="F9" s="291"/>
    </row>
    <row r="10" spans="1:6" x14ac:dyDescent="0.15">
      <c r="A10" s="292">
        <f t="shared" si="1"/>
        <v>45871</v>
      </c>
      <c r="B10" s="285">
        <f t="shared" si="0"/>
        <v>45871</v>
      </c>
      <c r="F10" s="291"/>
    </row>
    <row r="11" spans="1:6" x14ac:dyDescent="0.15">
      <c r="A11" s="292">
        <f t="shared" si="1"/>
        <v>45872</v>
      </c>
      <c r="B11" s="285">
        <f t="shared" si="0"/>
        <v>45872</v>
      </c>
      <c r="F11" s="291"/>
    </row>
    <row r="12" spans="1:6" x14ac:dyDescent="0.15">
      <c r="A12" s="292">
        <f>A11</f>
        <v>45872</v>
      </c>
      <c r="B12" s="285" t="s">
        <v>234</v>
      </c>
      <c r="F12" s="291"/>
    </row>
    <row r="13" spans="1:6" x14ac:dyDescent="0.15">
      <c r="A13" s="292">
        <f>A12</f>
        <v>45872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45873</v>
      </c>
      <c r="B16" s="297">
        <f t="shared" ref="B16:B21" si="2">A16</f>
        <v>45873</v>
      </c>
      <c r="C16" s="296"/>
      <c r="D16" s="295"/>
      <c r="E16" s="294"/>
      <c r="F16" s="293"/>
    </row>
    <row r="17" spans="1:6" x14ac:dyDescent="0.15">
      <c r="A17" s="292">
        <f t="shared" ref="A17:A22" si="3">A16+1</f>
        <v>45874</v>
      </c>
      <c r="B17" s="285">
        <f t="shared" si="2"/>
        <v>45874</v>
      </c>
      <c r="F17" s="291"/>
    </row>
    <row r="18" spans="1:6" x14ac:dyDescent="0.15">
      <c r="A18" s="292">
        <f t="shared" si="3"/>
        <v>45875</v>
      </c>
      <c r="B18" s="285">
        <f t="shared" si="2"/>
        <v>45875</v>
      </c>
      <c r="F18" s="291"/>
    </row>
    <row r="19" spans="1:6" x14ac:dyDescent="0.15">
      <c r="A19" s="292">
        <f t="shared" si="3"/>
        <v>45876</v>
      </c>
      <c r="B19" s="285">
        <f t="shared" si="2"/>
        <v>45876</v>
      </c>
      <c r="F19" s="291"/>
    </row>
    <row r="20" spans="1:6" x14ac:dyDescent="0.15">
      <c r="A20" s="292">
        <f t="shared" si="3"/>
        <v>45877</v>
      </c>
      <c r="B20" s="285">
        <f t="shared" si="2"/>
        <v>45877</v>
      </c>
      <c r="F20" s="291"/>
    </row>
    <row r="21" spans="1:6" x14ac:dyDescent="0.15">
      <c r="A21" s="292">
        <f t="shared" si="3"/>
        <v>45878</v>
      </c>
      <c r="B21" s="285">
        <f t="shared" si="2"/>
        <v>45878</v>
      </c>
      <c r="F21" s="291"/>
    </row>
    <row r="22" spans="1:6" x14ac:dyDescent="0.15">
      <c r="A22" s="292">
        <f t="shared" si="3"/>
        <v>45879</v>
      </c>
      <c r="B22" s="327" t="s">
        <v>280</v>
      </c>
      <c r="F22" s="291"/>
    </row>
    <row r="23" spans="1:6" x14ac:dyDescent="0.15">
      <c r="A23" s="292">
        <f>A22</f>
        <v>45879</v>
      </c>
      <c r="B23" s="285" t="s">
        <v>234</v>
      </c>
      <c r="F23" s="291"/>
    </row>
    <row r="24" spans="1:6" x14ac:dyDescent="0.15">
      <c r="A24" s="292">
        <f>A23</f>
        <v>45879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A24+1</f>
        <v>45880</v>
      </c>
      <c r="B27" s="297">
        <f t="shared" ref="B27:B33" si="4">A27</f>
        <v>45880</v>
      </c>
      <c r="C27" s="296"/>
      <c r="D27" s="295"/>
      <c r="E27" s="294"/>
      <c r="F27" s="293"/>
    </row>
    <row r="28" spans="1:6" x14ac:dyDescent="0.15">
      <c r="A28" s="292">
        <f t="shared" ref="A28:A33" si="5">A27+1</f>
        <v>45881</v>
      </c>
      <c r="B28" s="285">
        <f t="shared" si="4"/>
        <v>45881</v>
      </c>
      <c r="F28" s="291"/>
    </row>
    <row r="29" spans="1:6" x14ac:dyDescent="0.15">
      <c r="A29" s="292">
        <f t="shared" si="5"/>
        <v>45882</v>
      </c>
      <c r="B29" s="285">
        <f t="shared" si="4"/>
        <v>45882</v>
      </c>
      <c r="F29" s="291"/>
    </row>
    <row r="30" spans="1:6" x14ac:dyDescent="0.15">
      <c r="A30" s="292">
        <f t="shared" si="5"/>
        <v>45883</v>
      </c>
      <c r="B30" s="285">
        <f t="shared" si="4"/>
        <v>45883</v>
      </c>
      <c r="F30" s="291"/>
    </row>
    <row r="31" spans="1:6" x14ac:dyDescent="0.15">
      <c r="A31" s="292">
        <f t="shared" si="5"/>
        <v>45884</v>
      </c>
      <c r="B31" s="285">
        <f t="shared" si="4"/>
        <v>45884</v>
      </c>
      <c r="F31" s="291"/>
    </row>
    <row r="32" spans="1:6" x14ac:dyDescent="0.15">
      <c r="A32" s="292">
        <f t="shared" si="5"/>
        <v>45885</v>
      </c>
      <c r="B32" s="285">
        <f t="shared" si="4"/>
        <v>45885</v>
      </c>
      <c r="F32" s="291"/>
    </row>
    <row r="33" spans="1:6" x14ac:dyDescent="0.15">
      <c r="A33" s="292">
        <f t="shared" si="5"/>
        <v>45886</v>
      </c>
      <c r="B33" s="285">
        <f t="shared" si="4"/>
        <v>45886</v>
      </c>
      <c r="F33" s="291"/>
    </row>
    <row r="34" spans="1:6" x14ac:dyDescent="0.15">
      <c r="A34" s="292">
        <f>A33</f>
        <v>45886</v>
      </c>
      <c r="B34" s="285" t="s">
        <v>234</v>
      </c>
      <c r="F34" s="291"/>
    </row>
    <row r="35" spans="1:6" x14ac:dyDescent="0.15">
      <c r="A35" s="292">
        <f>A33</f>
        <v>45886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45887</v>
      </c>
      <c r="B38" s="297">
        <f t="shared" ref="B38:B44" si="6">A38</f>
        <v>45887</v>
      </c>
      <c r="C38" s="296"/>
      <c r="D38" s="295"/>
      <c r="E38" s="294"/>
      <c r="F38" s="293"/>
    </row>
    <row r="39" spans="1:6" x14ac:dyDescent="0.15">
      <c r="A39" s="292">
        <f t="shared" ref="A39:A44" si="7">A38+1</f>
        <v>45888</v>
      </c>
      <c r="B39" s="285">
        <f t="shared" si="6"/>
        <v>45888</v>
      </c>
      <c r="F39" s="291"/>
    </row>
    <row r="40" spans="1:6" x14ac:dyDescent="0.15">
      <c r="A40" s="292">
        <f t="shared" si="7"/>
        <v>45889</v>
      </c>
      <c r="B40" s="285">
        <f t="shared" si="6"/>
        <v>45889</v>
      </c>
      <c r="F40" s="291"/>
    </row>
    <row r="41" spans="1:6" x14ac:dyDescent="0.15">
      <c r="A41" s="292">
        <f t="shared" si="7"/>
        <v>45890</v>
      </c>
      <c r="B41" s="285">
        <f t="shared" si="6"/>
        <v>45890</v>
      </c>
      <c r="F41" s="291"/>
    </row>
    <row r="42" spans="1:6" x14ac:dyDescent="0.15">
      <c r="A42" s="292">
        <f t="shared" si="7"/>
        <v>45891</v>
      </c>
      <c r="B42" s="285">
        <f t="shared" si="6"/>
        <v>45891</v>
      </c>
      <c r="F42" s="291"/>
    </row>
    <row r="43" spans="1:6" x14ac:dyDescent="0.15">
      <c r="A43" s="292">
        <f t="shared" si="7"/>
        <v>45892</v>
      </c>
      <c r="B43" s="285">
        <f t="shared" si="6"/>
        <v>45892</v>
      </c>
      <c r="F43" s="291"/>
    </row>
    <row r="44" spans="1:6" x14ac:dyDescent="0.15">
      <c r="A44" s="292">
        <f t="shared" si="7"/>
        <v>45893</v>
      </c>
      <c r="B44" s="285">
        <f t="shared" si="6"/>
        <v>45893</v>
      </c>
      <c r="F44" s="291"/>
    </row>
    <row r="45" spans="1:6" x14ac:dyDescent="0.15">
      <c r="A45" s="292">
        <f>A44</f>
        <v>45893</v>
      </c>
      <c r="B45" s="285" t="s">
        <v>234</v>
      </c>
      <c r="F45" s="291"/>
    </row>
    <row r="46" spans="1:6" x14ac:dyDescent="0.15">
      <c r="A46" s="292">
        <f>A44</f>
        <v>45893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SalesAug!A46+1</f>
        <v>45894</v>
      </c>
      <c r="B5" s="297">
        <f>A5</f>
        <v>45894</v>
      </c>
      <c r="C5" s="296"/>
      <c r="D5" s="295"/>
      <c r="E5" s="294"/>
      <c r="F5" s="293"/>
    </row>
    <row r="6" spans="1:6" x14ac:dyDescent="0.15">
      <c r="A6" s="292">
        <f>A5+1</f>
        <v>45895</v>
      </c>
      <c r="B6" s="285">
        <f>A6</f>
        <v>45895</v>
      </c>
      <c r="F6" s="291"/>
    </row>
    <row r="7" spans="1:6" x14ac:dyDescent="0.15">
      <c r="A7" s="292">
        <f>A6+1</f>
        <v>45896</v>
      </c>
      <c r="B7" s="285">
        <f>A7</f>
        <v>45896</v>
      </c>
      <c r="F7" s="291"/>
    </row>
    <row r="8" spans="1:6" x14ac:dyDescent="0.15">
      <c r="A8" s="292">
        <f t="shared" ref="A8:A10" si="0">A7+1</f>
        <v>45897</v>
      </c>
      <c r="B8" s="285">
        <f t="shared" ref="B8:B10" si="1">A8</f>
        <v>45897</v>
      </c>
      <c r="F8" s="291"/>
    </row>
    <row r="9" spans="1:6" x14ac:dyDescent="0.15">
      <c r="A9" s="292">
        <f t="shared" si="0"/>
        <v>45898</v>
      </c>
      <c r="B9" s="285">
        <f t="shared" si="1"/>
        <v>45898</v>
      </c>
      <c r="F9" s="291"/>
    </row>
    <row r="10" spans="1:6" x14ac:dyDescent="0.15">
      <c r="A10" s="292">
        <f t="shared" si="0"/>
        <v>45899</v>
      </c>
      <c r="B10" s="285">
        <f t="shared" si="1"/>
        <v>45899</v>
      </c>
      <c r="F10" s="291"/>
    </row>
    <row r="11" spans="1:6" x14ac:dyDescent="0.15">
      <c r="A11" s="292">
        <f>A10+1</f>
        <v>45900</v>
      </c>
      <c r="B11" s="285">
        <f>A11</f>
        <v>45900</v>
      </c>
      <c r="F11" s="291"/>
    </row>
    <row r="12" spans="1:6" x14ac:dyDescent="0.15">
      <c r="A12" s="292">
        <f>A11</f>
        <v>45900</v>
      </c>
      <c r="B12" s="285" t="s">
        <v>234</v>
      </c>
      <c r="F12" s="291"/>
    </row>
    <row r="13" spans="1:6" x14ac:dyDescent="0.15">
      <c r="A13" s="292">
        <f>A12</f>
        <v>45900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A13+1</f>
        <v>45901</v>
      </c>
      <c r="B16" s="297">
        <f t="shared" ref="B16:B22" si="2">A16</f>
        <v>45901</v>
      </c>
      <c r="C16" s="296"/>
      <c r="D16" s="295"/>
      <c r="E16" s="294"/>
      <c r="F16" s="293"/>
    </row>
    <row r="17" spans="1:6" x14ac:dyDescent="0.15">
      <c r="A17" s="292">
        <f t="shared" ref="A17:A22" si="3">A16+1</f>
        <v>45902</v>
      </c>
      <c r="B17" s="285">
        <f t="shared" si="2"/>
        <v>45902</v>
      </c>
      <c r="F17" s="291"/>
    </row>
    <row r="18" spans="1:6" x14ac:dyDescent="0.15">
      <c r="A18" s="292">
        <f t="shared" si="3"/>
        <v>45903</v>
      </c>
      <c r="B18" s="285">
        <f t="shared" si="2"/>
        <v>45903</v>
      </c>
      <c r="F18" s="291"/>
    </row>
    <row r="19" spans="1:6" x14ac:dyDescent="0.15">
      <c r="A19" s="292">
        <f t="shared" si="3"/>
        <v>45904</v>
      </c>
      <c r="B19" s="285">
        <f t="shared" si="2"/>
        <v>45904</v>
      </c>
      <c r="F19" s="291"/>
    </row>
    <row r="20" spans="1:6" x14ac:dyDescent="0.15">
      <c r="A20" s="292">
        <f t="shared" si="3"/>
        <v>45905</v>
      </c>
      <c r="B20" s="285">
        <f t="shared" si="2"/>
        <v>45905</v>
      </c>
      <c r="F20" s="291"/>
    </row>
    <row r="21" spans="1:6" x14ac:dyDescent="0.15">
      <c r="A21" s="292">
        <f t="shared" si="3"/>
        <v>45906</v>
      </c>
      <c r="B21" s="285">
        <f t="shared" si="2"/>
        <v>45906</v>
      </c>
      <c r="F21" s="291"/>
    </row>
    <row r="22" spans="1:6" x14ac:dyDescent="0.15">
      <c r="A22" s="292">
        <f t="shared" si="3"/>
        <v>45907</v>
      </c>
      <c r="B22" s="285">
        <f t="shared" si="2"/>
        <v>45907</v>
      </c>
      <c r="F22" s="291"/>
    </row>
    <row r="23" spans="1:6" x14ac:dyDescent="0.15">
      <c r="A23" s="292">
        <f>A22</f>
        <v>45907</v>
      </c>
      <c r="B23" s="285" t="s">
        <v>234</v>
      </c>
      <c r="F23" s="291"/>
    </row>
    <row r="24" spans="1:6" x14ac:dyDescent="0.15">
      <c r="A24" s="292">
        <f>A22</f>
        <v>45907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45908</v>
      </c>
      <c r="B27" s="297">
        <f t="shared" ref="B27:B33" si="4">A27</f>
        <v>45908</v>
      </c>
      <c r="C27" s="296"/>
      <c r="D27" s="295"/>
      <c r="E27" s="294"/>
      <c r="F27" s="293"/>
    </row>
    <row r="28" spans="1:6" x14ac:dyDescent="0.15">
      <c r="A28" s="292">
        <f t="shared" ref="A28:A33" si="5">A27+1</f>
        <v>45909</v>
      </c>
      <c r="B28" s="285">
        <f t="shared" si="4"/>
        <v>45909</v>
      </c>
      <c r="F28" s="291"/>
    </row>
    <row r="29" spans="1:6" x14ac:dyDescent="0.15">
      <c r="A29" s="292">
        <f t="shared" si="5"/>
        <v>45910</v>
      </c>
      <c r="B29" s="285">
        <f t="shared" si="4"/>
        <v>45910</v>
      </c>
      <c r="F29" s="291"/>
    </row>
    <row r="30" spans="1:6" x14ac:dyDescent="0.15">
      <c r="A30" s="292">
        <f t="shared" si="5"/>
        <v>45911</v>
      </c>
      <c r="B30" s="285">
        <f t="shared" si="4"/>
        <v>45911</v>
      </c>
      <c r="F30" s="291"/>
    </row>
    <row r="31" spans="1:6" x14ac:dyDescent="0.15">
      <c r="A31" s="292">
        <f t="shared" si="5"/>
        <v>45912</v>
      </c>
      <c r="B31" s="285">
        <f t="shared" si="4"/>
        <v>45912</v>
      </c>
      <c r="F31" s="291"/>
    </row>
    <row r="32" spans="1:6" x14ac:dyDescent="0.15">
      <c r="A32" s="292">
        <f t="shared" si="5"/>
        <v>45913</v>
      </c>
      <c r="B32" s="285">
        <f t="shared" si="4"/>
        <v>45913</v>
      </c>
      <c r="F32" s="291"/>
    </row>
    <row r="33" spans="1:6" x14ac:dyDescent="0.15">
      <c r="A33" s="292">
        <f t="shared" si="5"/>
        <v>45914</v>
      </c>
      <c r="B33" s="285">
        <f t="shared" si="4"/>
        <v>45914</v>
      </c>
      <c r="F33" s="291"/>
    </row>
    <row r="34" spans="1:6" x14ac:dyDescent="0.15">
      <c r="A34" s="292">
        <f>A33</f>
        <v>45914</v>
      </c>
      <c r="B34" s="285" t="s">
        <v>234</v>
      </c>
      <c r="F34" s="291"/>
    </row>
    <row r="35" spans="1:6" x14ac:dyDescent="0.15">
      <c r="A35" s="292">
        <f>A33</f>
        <v>45914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45915</v>
      </c>
      <c r="B38" s="297">
        <f t="shared" ref="B38:B44" si="6">A38</f>
        <v>45915</v>
      </c>
      <c r="C38" s="296"/>
      <c r="D38" s="295"/>
      <c r="E38" s="294"/>
      <c r="F38" s="293"/>
    </row>
    <row r="39" spans="1:6" x14ac:dyDescent="0.15">
      <c r="A39" s="292">
        <f t="shared" ref="A39:A44" si="7">A38+1</f>
        <v>45916</v>
      </c>
      <c r="B39" s="285">
        <f t="shared" si="6"/>
        <v>45916</v>
      </c>
      <c r="F39" s="291"/>
    </row>
    <row r="40" spans="1:6" x14ac:dyDescent="0.15">
      <c r="A40" s="292">
        <f t="shared" si="7"/>
        <v>45917</v>
      </c>
      <c r="B40" s="285">
        <f t="shared" si="6"/>
        <v>45917</v>
      </c>
      <c r="F40" s="291"/>
    </row>
    <row r="41" spans="1:6" x14ac:dyDescent="0.15">
      <c r="A41" s="292">
        <f t="shared" si="7"/>
        <v>45918</v>
      </c>
      <c r="B41" s="285">
        <f t="shared" si="6"/>
        <v>45918</v>
      </c>
      <c r="F41" s="291"/>
    </row>
    <row r="42" spans="1:6" x14ac:dyDescent="0.15">
      <c r="A42" s="292">
        <f t="shared" si="7"/>
        <v>45919</v>
      </c>
      <c r="B42" s="285">
        <f t="shared" si="6"/>
        <v>45919</v>
      </c>
      <c r="F42" s="291"/>
    </row>
    <row r="43" spans="1:6" x14ac:dyDescent="0.15">
      <c r="A43" s="292">
        <f t="shared" si="7"/>
        <v>45920</v>
      </c>
      <c r="B43" s="285">
        <f t="shared" si="6"/>
        <v>45920</v>
      </c>
      <c r="F43" s="291"/>
    </row>
    <row r="44" spans="1:6" x14ac:dyDescent="0.15">
      <c r="A44" s="292">
        <f t="shared" si="7"/>
        <v>45921</v>
      </c>
      <c r="B44" s="285">
        <f t="shared" si="6"/>
        <v>45921</v>
      </c>
      <c r="F44" s="291"/>
    </row>
    <row r="45" spans="1:6" x14ac:dyDescent="0.15">
      <c r="A45" s="292">
        <f>A44</f>
        <v>45921</v>
      </c>
      <c r="B45" s="285" t="s">
        <v>234</v>
      </c>
      <c r="F45" s="291"/>
    </row>
    <row r="46" spans="1:6" x14ac:dyDescent="0.15">
      <c r="A46" s="292">
        <f>A44</f>
        <v>45921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A46+1</f>
        <v>45922</v>
      </c>
      <c r="B49" s="297">
        <f>A49</f>
        <v>45922</v>
      </c>
      <c r="C49" s="296"/>
      <c r="D49" s="295"/>
      <c r="E49" s="294"/>
      <c r="F49" s="293"/>
    </row>
    <row r="50" spans="1:6" x14ac:dyDescent="0.15">
      <c r="A50" s="292">
        <f>A49+1</f>
        <v>45923</v>
      </c>
      <c r="B50" s="285">
        <f t="shared" ref="B50:B55" si="8">A50</f>
        <v>45923</v>
      </c>
      <c r="F50" s="291"/>
    </row>
    <row r="51" spans="1:6" x14ac:dyDescent="0.15">
      <c r="A51" s="292">
        <f>A50+1</f>
        <v>45924</v>
      </c>
      <c r="B51" s="285">
        <f t="shared" si="8"/>
        <v>45924</v>
      </c>
      <c r="F51" s="291"/>
    </row>
    <row r="52" spans="1:6" x14ac:dyDescent="0.15">
      <c r="A52" s="292">
        <f t="shared" ref="A52:A55" si="9">A51+1</f>
        <v>45925</v>
      </c>
      <c r="B52" s="285">
        <f t="shared" si="8"/>
        <v>45925</v>
      </c>
      <c r="F52" s="291"/>
    </row>
    <row r="53" spans="1:6" x14ac:dyDescent="0.15">
      <c r="A53" s="292">
        <f t="shared" si="9"/>
        <v>45926</v>
      </c>
      <c r="B53" s="285">
        <f t="shared" si="8"/>
        <v>45926</v>
      </c>
      <c r="F53" s="291"/>
    </row>
    <row r="54" spans="1:6" x14ac:dyDescent="0.15">
      <c r="A54" s="292">
        <f t="shared" si="9"/>
        <v>45927</v>
      </c>
      <c r="B54" s="285">
        <f t="shared" si="8"/>
        <v>45927</v>
      </c>
      <c r="F54" s="291"/>
    </row>
    <row r="55" spans="1:6" x14ac:dyDescent="0.15">
      <c r="A55" s="292">
        <f t="shared" si="9"/>
        <v>45928</v>
      </c>
      <c r="B55" s="285">
        <f t="shared" si="8"/>
        <v>45928</v>
      </c>
      <c r="F55" s="291"/>
    </row>
    <row r="56" spans="1:6" x14ac:dyDescent="0.15">
      <c r="A56" s="292">
        <f>A55</f>
        <v>45928</v>
      </c>
      <c r="B56" s="285" t="s">
        <v>234</v>
      </c>
      <c r="F56" s="291"/>
    </row>
    <row r="57" spans="1:6" x14ac:dyDescent="0.15">
      <c r="A57" s="292">
        <f>A56</f>
        <v>45928</v>
      </c>
      <c r="B57" s="285" t="s">
        <v>233</v>
      </c>
      <c r="F57" s="291"/>
    </row>
    <row r="58" spans="1:6" ht="14" thickBot="1" x14ac:dyDescent="0.2">
      <c r="A58" s="290"/>
      <c r="B58" s="289"/>
      <c r="C58" s="287"/>
      <c r="D58" s="288"/>
      <c r="E58" s="326">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SUM(D4:D38)</f>
        <v>0</v>
      </c>
      <c r="E1" s="303">
        <f>SUM(E4:E48)/2</f>
        <v>0</v>
      </c>
      <c r="F1" s="303">
        <f>SUM(F4:F48)/2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5" spans="1:6" ht="14" thickBot="1" x14ac:dyDescent="0.2"/>
    <row r="6" spans="1:6" x14ac:dyDescent="0.15">
      <c r="A6" s="298">
        <f>SalesSep!A57+1</f>
        <v>45929</v>
      </c>
      <c r="B6" s="297">
        <f t="shared" ref="B6:B12" si="0">A6</f>
        <v>45929</v>
      </c>
      <c r="C6" s="296"/>
      <c r="D6" s="295"/>
      <c r="E6" s="294"/>
      <c r="F6" s="293"/>
    </row>
    <row r="7" spans="1:6" x14ac:dyDescent="0.15">
      <c r="A7" s="292">
        <f>A6+1</f>
        <v>45930</v>
      </c>
      <c r="B7" s="285">
        <f t="shared" si="0"/>
        <v>45930</v>
      </c>
      <c r="F7" s="291"/>
    </row>
    <row r="8" spans="1:6" x14ac:dyDescent="0.15">
      <c r="A8" s="292">
        <f t="shared" ref="A8:A12" si="1">A7+1</f>
        <v>45931</v>
      </c>
      <c r="B8" s="285">
        <f t="shared" si="0"/>
        <v>45931</v>
      </c>
      <c r="F8" s="291"/>
    </row>
    <row r="9" spans="1:6" x14ac:dyDescent="0.15">
      <c r="A9" s="292">
        <f t="shared" si="1"/>
        <v>45932</v>
      </c>
      <c r="B9" s="285">
        <f t="shared" si="0"/>
        <v>45932</v>
      </c>
      <c r="F9" s="291"/>
    </row>
    <row r="10" spans="1:6" x14ac:dyDescent="0.15">
      <c r="A10" s="292">
        <f t="shared" si="1"/>
        <v>45933</v>
      </c>
      <c r="B10" s="285">
        <f t="shared" si="0"/>
        <v>45933</v>
      </c>
      <c r="F10" s="291"/>
    </row>
    <row r="11" spans="1:6" x14ac:dyDescent="0.15">
      <c r="A11" s="292">
        <f t="shared" si="1"/>
        <v>45934</v>
      </c>
      <c r="B11" s="285">
        <f t="shared" si="0"/>
        <v>45934</v>
      </c>
      <c r="F11" s="291"/>
    </row>
    <row r="12" spans="1:6" x14ac:dyDescent="0.15">
      <c r="A12" s="292">
        <f t="shared" si="1"/>
        <v>45935</v>
      </c>
      <c r="B12" s="285">
        <f t="shared" si="0"/>
        <v>45935</v>
      </c>
      <c r="F12" s="291"/>
    </row>
    <row r="13" spans="1:6" x14ac:dyDescent="0.15">
      <c r="A13" s="292">
        <f>A12</f>
        <v>45935</v>
      </c>
      <c r="B13" s="285" t="s">
        <v>234</v>
      </c>
      <c r="F13" s="291"/>
    </row>
    <row r="14" spans="1:6" x14ac:dyDescent="0.15">
      <c r="A14" s="292">
        <f>A13</f>
        <v>45935</v>
      </c>
      <c r="B14" s="285" t="s">
        <v>233</v>
      </c>
      <c r="F14" s="291"/>
    </row>
    <row r="15" spans="1:6" ht="14" thickBot="1" x14ac:dyDescent="0.2">
      <c r="A15" s="290"/>
      <c r="B15" s="289"/>
      <c r="C15" s="287"/>
      <c r="D15" s="288"/>
      <c r="E15" s="300">
        <f>SUM(E6:E14)</f>
        <v>0</v>
      </c>
      <c r="F15" s="299">
        <f>SUM(F6:F14)</f>
        <v>0</v>
      </c>
    </row>
    <row r="16" spans="1:6" ht="14" thickBot="1" x14ac:dyDescent="0.2"/>
    <row r="17" spans="1:6" x14ac:dyDescent="0.15">
      <c r="A17" s="298">
        <f>A14+1</f>
        <v>45936</v>
      </c>
      <c r="B17" s="297">
        <f t="shared" ref="B17:B23" si="2">A17</f>
        <v>45936</v>
      </c>
      <c r="C17" s="296"/>
      <c r="D17" s="295"/>
      <c r="E17" s="294"/>
      <c r="F17" s="293"/>
    </row>
    <row r="18" spans="1:6" x14ac:dyDescent="0.15">
      <c r="A18" s="292">
        <f t="shared" ref="A18:A23" si="3">A17+1</f>
        <v>45937</v>
      </c>
      <c r="B18" s="285">
        <f t="shared" si="2"/>
        <v>45937</v>
      </c>
      <c r="F18" s="291"/>
    </row>
    <row r="19" spans="1:6" x14ac:dyDescent="0.15">
      <c r="A19" s="292">
        <f t="shared" si="3"/>
        <v>45938</v>
      </c>
      <c r="B19" s="285">
        <f t="shared" si="2"/>
        <v>45938</v>
      </c>
      <c r="F19" s="291"/>
    </row>
    <row r="20" spans="1:6" x14ac:dyDescent="0.15">
      <c r="A20" s="292">
        <f t="shared" si="3"/>
        <v>45939</v>
      </c>
      <c r="B20" s="285">
        <f t="shared" si="2"/>
        <v>45939</v>
      </c>
      <c r="F20" s="291"/>
    </row>
    <row r="21" spans="1:6" x14ac:dyDescent="0.15">
      <c r="A21" s="292">
        <f t="shared" si="3"/>
        <v>45940</v>
      </c>
      <c r="B21" s="285">
        <f t="shared" si="2"/>
        <v>45940</v>
      </c>
      <c r="F21" s="291"/>
    </row>
    <row r="22" spans="1:6" x14ac:dyDescent="0.15">
      <c r="A22" s="292">
        <f t="shared" si="3"/>
        <v>45941</v>
      </c>
      <c r="B22" s="285">
        <f t="shared" si="2"/>
        <v>45941</v>
      </c>
      <c r="F22" s="291"/>
    </row>
    <row r="23" spans="1:6" x14ac:dyDescent="0.15">
      <c r="A23" s="292">
        <f t="shared" si="3"/>
        <v>45942</v>
      </c>
      <c r="B23" s="285">
        <f t="shared" si="2"/>
        <v>45942</v>
      </c>
      <c r="F23" s="291"/>
    </row>
    <row r="24" spans="1:6" x14ac:dyDescent="0.15">
      <c r="A24" s="292">
        <f>A23</f>
        <v>45942</v>
      </c>
      <c r="B24" s="285" t="s">
        <v>234</v>
      </c>
      <c r="F24" s="291"/>
    </row>
    <row r="25" spans="1:6" x14ac:dyDescent="0.15">
      <c r="A25" s="292">
        <f>A23</f>
        <v>45942</v>
      </c>
      <c r="B25" s="285" t="s">
        <v>233</v>
      </c>
      <c r="F25" s="291"/>
    </row>
    <row r="26" spans="1:6" ht="14" thickBot="1" x14ac:dyDescent="0.2">
      <c r="A26" s="290"/>
      <c r="B26" s="289"/>
      <c r="C26" s="287"/>
      <c r="D26" s="288"/>
      <c r="E26" s="300">
        <f>SUM(E17:E25)</f>
        <v>0</v>
      </c>
      <c r="F26" s="299">
        <f>SUM(F17:F25)</f>
        <v>0</v>
      </c>
    </row>
    <row r="27" spans="1:6" ht="14" thickBot="1" x14ac:dyDescent="0.2"/>
    <row r="28" spans="1:6" x14ac:dyDescent="0.15">
      <c r="A28" s="298">
        <f>A23+1</f>
        <v>45943</v>
      </c>
      <c r="B28" s="297">
        <f t="shared" ref="B28:B34" si="4">A28</f>
        <v>45943</v>
      </c>
      <c r="C28" s="296"/>
      <c r="D28" s="295"/>
      <c r="E28" s="294"/>
      <c r="F28" s="293"/>
    </row>
    <row r="29" spans="1:6" x14ac:dyDescent="0.15">
      <c r="A29" s="292">
        <f t="shared" ref="A29:A34" si="5">A28+1</f>
        <v>45944</v>
      </c>
      <c r="B29" s="285">
        <f t="shared" si="4"/>
        <v>45944</v>
      </c>
      <c r="F29" s="291"/>
    </row>
    <row r="30" spans="1:6" x14ac:dyDescent="0.15">
      <c r="A30" s="292">
        <f t="shared" si="5"/>
        <v>45945</v>
      </c>
      <c r="B30" s="285">
        <f t="shared" si="4"/>
        <v>45945</v>
      </c>
      <c r="F30" s="291"/>
    </row>
    <row r="31" spans="1:6" x14ac:dyDescent="0.15">
      <c r="A31" s="292">
        <f t="shared" si="5"/>
        <v>45946</v>
      </c>
      <c r="B31" s="285">
        <f t="shared" si="4"/>
        <v>45946</v>
      </c>
      <c r="F31" s="291"/>
    </row>
    <row r="32" spans="1:6" x14ac:dyDescent="0.15">
      <c r="A32" s="292">
        <f t="shared" si="5"/>
        <v>45947</v>
      </c>
      <c r="B32" s="285">
        <f t="shared" si="4"/>
        <v>45947</v>
      </c>
      <c r="F32" s="291"/>
    </row>
    <row r="33" spans="1:6" x14ac:dyDescent="0.15">
      <c r="A33" s="292">
        <f t="shared" si="5"/>
        <v>45948</v>
      </c>
      <c r="B33" s="285">
        <f t="shared" si="4"/>
        <v>45948</v>
      </c>
      <c r="F33" s="291"/>
    </row>
    <row r="34" spans="1:6" x14ac:dyDescent="0.15">
      <c r="A34" s="292">
        <f t="shared" si="5"/>
        <v>45949</v>
      </c>
      <c r="B34" s="285">
        <f t="shared" si="4"/>
        <v>45949</v>
      </c>
      <c r="F34" s="291"/>
    </row>
    <row r="35" spans="1:6" x14ac:dyDescent="0.15">
      <c r="A35" s="292">
        <f>A34</f>
        <v>45949</v>
      </c>
      <c r="B35" s="285" t="s">
        <v>234</v>
      </c>
      <c r="F35" s="291"/>
    </row>
    <row r="36" spans="1:6" x14ac:dyDescent="0.15">
      <c r="A36" s="292">
        <f>A34</f>
        <v>45949</v>
      </c>
      <c r="B36" s="285" t="s">
        <v>233</v>
      </c>
      <c r="F36" s="291"/>
    </row>
    <row r="37" spans="1:6" ht="14" thickBot="1" x14ac:dyDescent="0.2">
      <c r="A37" s="290"/>
      <c r="B37" s="289"/>
      <c r="C37" s="287"/>
      <c r="D37" s="288"/>
      <c r="E37" s="300">
        <f>SUM(E28:E36)</f>
        <v>0</v>
      </c>
      <c r="F37" s="299">
        <f>SUM(F28:F36)</f>
        <v>0</v>
      </c>
    </row>
    <row r="38" spans="1:6" ht="14" thickBot="1" x14ac:dyDescent="0.2"/>
    <row r="39" spans="1:6" x14ac:dyDescent="0.15">
      <c r="A39" s="298">
        <f>A36+1</f>
        <v>45950</v>
      </c>
      <c r="B39" s="297">
        <f t="shared" ref="B39:B45" si="6">A39</f>
        <v>45950</v>
      </c>
      <c r="C39" s="296"/>
      <c r="D39" s="295"/>
      <c r="E39" s="294"/>
      <c r="F39" s="293"/>
    </row>
    <row r="40" spans="1:6" x14ac:dyDescent="0.15">
      <c r="A40" s="292">
        <f t="shared" ref="A40:A45" si="7">A39+1</f>
        <v>45951</v>
      </c>
      <c r="B40" s="285">
        <f t="shared" si="6"/>
        <v>45951</v>
      </c>
      <c r="F40" s="291"/>
    </row>
    <row r="41" spans="1:6" x14ac:dyDescent="0.15">
      <c r="A41" s="292">
        <f t="shared" si="7"/>
        <v>45952</v>
      </c>
      <c r="B41" s="285">
        <f t="shared" si="6"/>
        <v>45952</v>
      </c>
      <c r="F41" s="291"/>
    </row>
    <row r="42" spans="1:6" x14ac:dyDescent="0.15">
      <c r="A42" s="292">
        <f t="shared" si="7"/>
        <v>45953</v>
      </c>
      <c r="B42" s="285">
        <f t="shared" si="6"/>
        <v>45953</v>
      </c>
      <c r="F42" s="291"/>
    </row>
    <row r="43" spans="1:6" x14ac:dyDescent="0.15">
      <c r="A43" s="292">
        <f t="shared" si="7"/>
        <v>45954</v>
      </c>
      <c r="B43" s="285">
        <f t="shared" si="6"/>
        <v>45954</v>
      </c>
      <c r="F43" s="291"/>
    </row>
    <row r="44" spans="1:6" x14ac:dyDescent="0.15">
      <c r="A44" s="292">
        <f t="shared" si="7"/>
        <v>45955</v>
      </c>
      <c r="B44" s="285">
        <f t="shared" si="6"/>
        <v>45955</v>
      </c>
      <c r="F44" s="291"/>
    </row>
    <row r="45" spans="1:6" x14ac:dyDescent="0.15">
      <c r="A45" s="292">
        <f t="shared" si="7"/>
        <v>45956</v>
      </c>
      <c r="B45" s="285">
        <f t="shared" si="6"/>
        <v>45956</v>
      </c>
      <c r="F45" s="291"/>
    </row>
    <row r="46" spans="1:6" x14ac:dyDescent="0.15">
      <c r="A46" s="292">
        <f>A45</f>
        <v>45956</v>
      </c>
      <c r="B46" s="285" t="s">
        <v>234</v>
      </c>
      <c r="F46" s="291"/>
    </row>
    <row r="47" spans="1:6" x14ac:dyDescent="0.15">
      <c r="A47" s="292">
        <f>A45</f>
        <v>45956</v>
      </c>
      <c r="B47" s="285" t="s">
        <v>233</v>
      </c>
      <c r="F47" s="291"/>
    </row>
    <row r="48" spans="1:6" ht="14" thickBot="1" x14ac:dyDescent="0.2">
      <c r="A48" s="290"/>
      <c r="B48" s="289"/>
      <c r="C48" s="287"/>
      <c r="D48" s="288"/>
      <c r="E48" s="300">
        <f>SUM(E39:E47)</f>
        <v>0</v>
      </c>
      <c r="F48" s="299">
        <f>SUM(F39:F47)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SUM(D4:D48)</f>
        <v>0</v>
      </c>
      <c r="E1" s="303">
        <f>SUM(E4:E48)/2</f>
        <v>0</v>
      </c>
      <c r="F1" s="303">
        <f>SUM(F4:F48)/2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SalesOct!A47+1</f>
        <v>45957</v>
      </c>
      <c r="B5" s="297">
        <f t="shared" ref="B5:B11" si="0">A5</f>
        <v>45957</v>
      </c>
      <c r="C5" s="296"/>
      <c r="D5" s="295"/>
      <c r="E5" s="294"/>
      <c r="F5" s="293"/>
    </row>
    <row r="6" spans="1:6" x14ac:dyDescent="0.15">
      <c r="A6" s="292">
        <f t="shared" ref="A6:A11" si="1">A5+1</f>
        <v>45958</v>
      </c>
      <c r="B6" s="285">
        <f t="shared" si="0"/>
        <v>45958</v>
      </c>
      <c r="F6" s="291"/>
    </row>
    <row r="7" spans="1:6" x14ac:dyDescent="0.15">
      <c r="A7" s="292">
        <f t="shared" si="1"/>
        <v>45959</v>
      </c>
      <c r="B7" s="285">
        <f t="shared" si="0"/>
        <v>45959</v>
      </c>
      <c r="F7" s="291"/>
    </row>
    <row r="8" spans="1:6" x14ac:dyDescent="0.15">
      <c r="A8" s="292">
        <f t="shared" si="1"/>
        <v>45960</v>
      </c>
      <c r="B8" s="285">
        <f t="shared" si="0"/>
        <v>45960</v>
      </c>
      <c r="F8" s="291"/>
    </row>
    <row r="9" spans="1:6" x14ac:dyDescent="0.15">
      <c r="A9" s="292">
        <f t="shared" si="1"/>
        <v>45961</v>
      </c>
      <c r="B9" s="285">
        <f t="shared" si="0"/>
        <v>45961</v>
      </c>
      <c r="F9" s="291"/>
    </row>
    <row r="10" spans="1:6" x14ac:dyDescent="0.15">
      <c r="A10" s="292">
        <f t="shared" si="1"/>
        <v>45962</v>
      </c>
      <c r="B10" s="285">
        <f t="shared" si="0"/>
        <v>45962</v>
      </c>
      <c r="F10" s="291"/>
    </row>
    <row r="11" spans="1:6" x14ac:dyDescent="0.15">
      <c r="A11" s="292">
        <f t="shared" si="1"/>
        <v>45963</v>
      </c>
      <c r="B11" s="285">
        <f t="shared" si="0"/>
        <v>45963</v>
      </c>
      <c r="F11" s="291"/>
    </row>
    <row r="12" spans="1:6" x14ac:dyDescent="0.15">
      <c r="A12" s="292">
        <f>A11</f>
        <v>45963</v>
      </c>
      <c r="B12" s="285" t="s">
        <v>234</v>
      </c>
      <c r="F12" s="291"/>
    </row>
    <row r="13" spans="1:6" x14ac:dyDescent="0.15">
      <c r="A13" s="292">
        <f>A11</f>
        <v>45963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45964</v>
      </c>
      <c r="B16" s="297">
        <f t="shared" ref="B16:B22" si="2">A16</f>
        <v>45964</v>
      </c>
      <c r="C16" s="296"/>
      <c r="D16" s="295"/>
      <c r="E16" s="294"/>
      <c r="F16" s="293"/>
    </row>
    <row r="17" spans="1:6" x14ac:dyDescent="0.15">
      <c r="A17" s="292">
        <f t="shared" ref="A17:A22" si="3">A16+1</f>
        <v>45965</v>
      </c>
      <c r="B17" s="285">
        <f t="shared" si="2"/>
        <v>45965</v>
      </c>
      <c r="F17" s="291"/>
    </row>
    <row r="18" spans="1:6" x14ac:dyDescent="0.15">
      <c r="A18" s="292">
        <f t="shared" si="3"/>
        <v>45966</v>
      </c>
      <c r="B18" s="285">
        <f t="shared" si="2"/>
        <v>45966</v>
      </c>
      <c r="F18" s="291"/>
    </row>
    <row r="19" spans="1:6" x14ac:dyDescent="0.15">
      <c r="A19" s="292">
        <f t="shared" si="3"/>
        <v>45967</v>
      </c>
      <c r="B19" s="285">
        <f t="shared" si="2"/>
        <v>45967</v>
      </c>
      <c r="F19" s="291"/>
    </row>
    <row r="20" spans="1:6" x14ac:dyDescent="0.15">
      <c r="A20" s="292">
        <f t="shared" si="3"/>
        <v>45968</v>
      </c>
      <c r="B20" s="285">
        <f t="shared" si="2"/>
        <v>45968</v>
      </c>
      <c r="F20" s="291"/>
    </row>
    <row r="21" spans="1:6" x14ac:dyDescent="0.15">
      <c r="A21" s="292">
        <f t="shared" si="3"/>
        <v>45969</v>
      </c>
      <c r="B21" s="285">
        <f t="shared" si="2"/>
        <v>45969</v>
      </c>
      <c r="F21" s="291"/>
    </row>
    <row r="22" spans="1:6" x14ac:dyDescent="0.15">
      <c r="A22" s="292">
        <f t="shared" si="3"/>
        <v>45970</v>
      </c>
      <c r="B22" s="285">
        <f t="shared" si="2"/>
        <v>45970</v>
      </c>
      <c r="F22" s="291"/>
    </row>
    <row r="23" spans="1:6" x14ac:dyDescent="0.15">
      <c r="A23" s="292">
        <f>A22</f>
        <v>45970</v>
      </c>
      <c r="B23" s="285" t="s">
        <v>234</v>
      </c>
      <c r="F23" s="291"/>
    </row>
    <row r="24" spans="1:6" x14ac:dyDescent="0.15">
      <c r="A24" s="292">
        <f>A22</f>
        <v>45970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45971</v>
      </c>
      <c r="B27" s="297">
        <f t="shared" ref="B27:B33" si="4">A27</f>
        <v>45971</v>
      </c>
      <c r="C27" s="296"/>
      <c r="D27" s="295"/>
      <c r="E27" s="294"/>
      <c r="F27" s="293"/>
    </row>
    <row r="28" spans="1:6" x14ac:dyDescent="0.15">
      <c r="A28" s="292">
        <f t="shared" ref="A28:A33" si="5">A27+1</f>
        <v>45972</v>
      </c>
      <c r="B28" s="285">
        <f t="shared" si="4"/>
        <v>45972</v>
      </c>
      <c r="F28" s="291"/>
    </row>
    <row r="29" spans="1:6" x14ac:dyDescent="0.15">
      <c r="A29" s="292">
        <f t="shared" si="5"/>
        <v>45973</v>
      </c>
      <c r="B29" s="285">
        <f t="shared" si="4"/>
        <v>45973</v>
      </c>
      <c r="F29" s="291"/>
    </row>
    <row r="30" spans="1:6" x14ac:dyDescent="0.15">
      <c r="A30" s="292">
        <f t="shared" si="5"/>
        <v>45974</v>
      </c>
      <c r="B30" s="285">
        <f t="shared" si="4"/>
        <v>45974</v>
      </c>
      <c r="F30" s="291"/>
    </row>
    <row r="31" spans="1:6" x14ac:dyDescent="0.15">
      <c r="A31" s="292">
        <f t="shared" si="5"/>
        <v>45975</v>
      </c>
      <c r="B31" s="285">
        <f t="shared" si="4"/>
        <v>45975</v>
      </c>
      <c r="F31" s="291"/>
    </row>
    <row r="32" spans="1:6" x14ac:dyDescent="0.15">
      <c r="A32" s="292">
        <f t="shared" si="5"/>
        <v>45976</v>
      </c>
      <c r="B32" s="285">
        <f t="shared" si="4"/>
        <v>45976</v>
      </c>
      <c r="F32" s="291"/>
    </row>
    <row r="33" spans="1:6" x14ac:dyDescent="0.15">
      <c r="A33" s="292">
        <f t="shared" si="5"/>
        <v>45977</v>
      </c>
      <c r="B33" s="285">
        <f t="shared" si="4"/>
        <v>45977</v>
      </c>
      <c r="F33" s="291"/>
    </row>
    <row r="34" spans="1:6" x14ac:dyDescent="0.15">
      <c r="A34" s="292">
        <f>A33</f>
        <v>45977</v>
      </c>
      <c r="B34" s="285" t="s">
        <v>234</v>
      </c>
      <c r="F34" s="291"/>
    </row>
    <row r="35" spans="1:6" x14ac:dyDescent="0.15">
      <c r="A35" s="292">
        <f>A33</f>
        <v>45977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45978</v>
      </c>
      <c r="B38" s="297">
        <f>A38</f>
        <v>45978</v>
      </c>
      <c r="C38" s="296"/>
      <c r="D38" s="295"/>
      <c r="E38" s="294"/>
      <c r="F38" s="293"/>
    </row>
    <row r="39" spans="1:6" x14ac:dyDescent="0.15">
      <c r="A39" s="292">
        <f t="shared" ref="A39:A44" si="6">A38+1</f>
        <v>45979</v>
      </c>
      <c r="B39" s="285">
        <f>A39</f>
        <v>45979</v>
      </c>
      <c r="F39" s="291"/>
    </row>
    <row r="40" spans="1:6" x14ac:dyDescent="0.15">
      <c r="A40" s="292">
        <f t="shared" si="6"/>
        <v>45980</v>
      </c>
      <c r="B40" s="285">
        <f>A40</f>
        <v>45980</v>
      </c>
      <c r="F40" s="291"/>
    </row>
    <row r="41" spans="1:6" x14ac:dyDescent="0.15">
      <c r="A41" s="292">
        <f t="shared" si="6"/>
        <v>45981</v>
      </c>
      <c r="B41" s="285">
        <f>A41</f>
        <v>45981</v>
      </c>
      <c r="F41" s="291"/>
    </row>
    <row r="42" spans="1:6" x14ac:dyDescent="0.15">
      <c r="A42" s="292">
        <f t="shared" si="6"/>
        <v>45982</v>
      </c>
      <c r="B42" s="285">
        <f t="shared" ref="B42:B44" si="7">A42</f>
        <v>45982</v>
      </c>
      <c r="F42" s="291"/>
    </row>
    <row r="43" spans="1:6" x14ac:dyDescent="0.15">
      <c r="A43" s="292">
        <f t="shared" si="6"/>
        <v>45983</v>
      </c>
      <c r="B43" s="285">
        <f t="shared" si="7"/>
        <v>45983</v>
      </c>
      <c r="F43" s="291"/>
    </row>
    <row r="44" spans="1:6" x14ac:dyDescent="0.15">
      <c r="A44" s="292">
        <f t="shared" si="6"/>
        <v>45984</v>
      </c>
      <c r="B44" s="285">
        <f t="shared" si="7"/>
        <v>45984</v>
      </c>
      <c r="F44" s="291"/>
    </row>
    <row r="45" spans="1:6" x14ac:dyDescent="0.15">
      <c r="A45" s="292">
        <f>A44</f>
        <v>45984</v>
      </c>
      <c r="B45" s="285" t="s">
        <v>234</v>
      </c>
      <c r="F45" s="291"/>
    </row>
    <row r="46" spans="1:6" x14ac:dyDescent="0.15">
      <c r="A46" s="292">
        <f>A45</f>
        <v>45984</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SUM(D4:D58)</f>
        <v>0</v>
      </c>
      <c r="E1" s="303">
        <f>SUM(E4:E59)/2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SalesNov!A46+1</f>
        <v>45985</v>
      </c>
      <c r="B5" s="297">
        <f>A5</f>
        <v>45985</v>
      </c>
      <c r="C5" s="296"/>
      <c r="D5" s="295"/>
      <c r="E5" s="294"/>
      <c r="F5" s="293"/>
    </row>
    <row r="6" spans="1:6" x14ac:dyDescent="0.15">
      <c r="A6" s="292">
        <f>A5+1</f>
        <v>45986</v>
      </c>
      <c r="B6" s="285">
        <f>A6</f>
        <v>45986</v>
      </c>
      <c r="F6" s="291"/>
    </row>
    <row r="7" spans="1:6" x14ac:dyDescent="0.15">
      <c r="A7" s="292">
        <f>A6+1</f>
        <v>45987</v>
      </c>
      <c r="B7" s="285">
        <f>A7</f>
        <v>45987</v>
      </c>
      <c r="F7" s="291"/>
    </row>
    <row r="8" spans="1:6" x14ac:dyDescent="0.15">
      <c r="A8" s="292">
        <f t="shared" ref="A8:A11" si="0">A7+1</f>
        <v>45988</v>
      </c>
      <c r="B8" s="285">
        <f t="shared" ref="B8:B11" si="1">A8</f>
        <v>45988</v>
      </c>
      <c r="F8" s="291"/>
    </row>
    <row r="9" spans="1:6" x14ac:dyDescent="0.15">
      <c r="A9" s="292">
        <f t="shared" si="0"/>
        <v>45989</v>
      </c>
      <c r="B9" s="285">
        <f t="shared" si="1"/>
        <v>45989</v>
      </c>
      <c r="F9" s="291"/>
    </row>
    <row r="10" spans="1:6" x14ac:dyDescent="0.15">
      <c r="A10" s="292">
        <f t="shared" si="0"/>
        <v>45990</v>
      </c>
      <c r="B10" s="285">
        <f t="shared" si="1"/>
        <v>45990</v>
      </c>
      <c r="F10" s="291"/>
    </row>
    <row r="11" spans="1:6" x14ac:dyDescent="0.15">
      <c r="A11" s="292">
        <f t="shared" si="0"/>
        <v>45991</v>
      </c>
      <c r="B11" s="285">
        <f t="shared" si="1"/>
        <v>45991</v>
      </c>
      <c r="F11" s="291"/>
    </row>
    <row r="12" spans="1:6" x14ac:dyDescent="0.15">
      <c r="A12" s="292">
        <f>A11</f>
        <v>45991</v>
      </c>
      <c r="B12" s="285" t="s">
        <v>234</v>
      </c>
      <c r="F12" s="291"/>
    </row>
    <row r="13" spans="1:6" x14ac:dyDescent="0.15">
      <c r="A13" s="292">
        <f>A12</f>
        <v>45991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A13+1</f>
        <v>45992</v>
      </c>
      <c r="B16" s="297">
        <f t="shared" ref="B16:B22" si="2">A16</f>
        <v>45992</v>
      </c>
      <c r="C16" s="296"/>
      <c r="D16" s="295"/>
      <c r="E16" s="294"/>
      <c r="F16" s="293"/>
    </row>
    <row r="17" spans="1:6" x14ac:dyDescent="0.15">
      <c r="A17" s="292">
        <f t="shared" ref="A17:A22" si="3">A16+1</f>
        <v>45993</v>
      </c>
      <c r="B17" s="285">
        <f t="shared" si="2"/>
        <v>45993</v>
      </c>
      <c r="F17" s="291"/>
    </row>
    <row r="18" spans="1:6" x14ac:dyDescent="0.15">
      <c r="A18" s="292">
        <f t="shared" si="3"/>
        <v>45994</v>
      </c>
      <c r="B18" s="285">
        <f t="shared" si="2"/>
        <v>45994</v>
      </c>
      <c r="F18" s="291"/>
    </row>
    <row r="19" spans="1:6" x14ac:dyDescent="0.15">
      <c r="A19" s="292">
        <f t="shared" si="3"/>
        <v>45995</v>
      </c>
      <c r="B19" s="285">
        <f t="shared" si="2"/>
        <v>45995</v>
      </c>
      <c r="F19" s="291"/>
    </row>
    <row r="20" spans="1:6" x14ac:dyDescent="0.15">
      <c r="A20" s="292">
        <f t="shared" si="3"/>
        <v>45996</v>
      </c>
      <c r="B20" s="285">
        <f t="shared" si="2"/>
        <v>45996</v>
      </c>
      <c r="F20" s="291"/>
    </row>
    <row r="21" spans="1:6" x14ac:dyDescent="0.15">
      <c r="A21" s="292">
        <f t="shared" si="3"/>
        <v>45997</v>
      </c>
      <c r="B21" s="285">
        <f t="shared" si="2"/>
        <v>45997</v>
      </c>
      <c r="F21" s="291"/>
    </row>
    <row r="22" spans="1:6" x14ac:dyDescent="0.15">
      <c r="A22" s="292">
        <f t="shared" si="3"/>
        <v>45998</v>
      </c>
      <c r="B22" s="285">
        <f t="shared" si="2"/>
        <v>45998</v>
      </c>
      <c r="F22" s="291"/>
    </row>
    <row r="23" spans="1:6" x14ac:dyDescent="0.15">
      <c r="A23" s="292">
        <f>A22</f>
        <v>45998</v>
      </c>
      <c r="B23" s="285" t="s">
        <v>234</v>
      </c>
      <c r="F23" s="291"/>
    </row>
    <row r="24" spans="1:6" x14ac:dyDescent="0.15">
      <c r="A24" s="292">
        <f>A22</f>
        <v>45998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45999</v>
      </c>
      <c r="B27" s="297">
        <f t="shared" ref="B27:B33" si="4">A27</f>
        <v>45999</v>
      </c>
      <c r="C27" s="296"/>
      <c r="D27" s="295"/>
      <c r="E27" s="294"/>
      <c r="F27" s="293"/>
    </row>
    <row r="28" spans="1:6" x14ac:dyDescent="0.15">
      <c r="A28" s="292">
        <f t="shared" ref="A28:A33" si="5">A27+1</f>
        <v>46000</v>
      </c>
      <c r="B28" s="285">
        <f t="shared" si="4"/>
        <v>46000</v>
      </c>
      <c r="F28" s="291"/>
    </row>
    <row r="29" spans="1:6" x14ac:dyDescent="0.15">
      <c r="A29" s="292">
        <f t="shared" si="5"/>
        <v>46001</v>
      </c>
      <c r="B29" s="285">
        <f t="shared" si="4"/>
        <v>46001</v>
      </c>
      <c r="F29" s="291"/>
    </row>
    <row r="30" spans="1:6" x14ac:dyDescent="0.15">
      <c r="A30" s="292">
        <f t="shared" si="5"/>
        <v>46002</v>
      </c>
      <c r="B30" s="285">
        <f t="shared" si="4"/>
        <v>46002</v>
      </c>
      <c r="F30" s="291"/>
    </row>
    <row r="31" spans="1:6" x14ac:dyDescent="0.15">
      <c r="A31" s="292">
        <f t="shared" si="5"/>
        <v>46003</v>
      </c>
      <c r="B31" s="285">
        <f t="shared" si="4"/>
        <v>46003</v>
      </c>
      <c r="F31" s="291"/>
    </row>
    <row r="32" spans="1:6" x14ac:dyDescent="0.15">
      <c r="A32" s="292">
        <f t="shared" si="5"/>
        <v>46004</v>
      </c>
      <c r="B32" s="285">
        <f t="shared" si="4"/>
        <v>46004</v>
      </c>
      <c r="F32" s="291"/>
    </row>
    <row r="33" spans="1:6" x14ac:dyDescent="0.15">
      <c r="A33" s="292">
        <f t="shared" si="5"/>
        <v>46005</v>
      </c>
      <c r="B33" s="285">
        <f t="shared" si="4"/>
        <v>46005</v>
      </c>
      <c r="F33" s="291"/>
    </row>
    <row r="34" spans="1:6" x14ac:dyDescent="0.15">
      <c r="A34" s="292">
        <f>A33</f>
        <v>46005</v>
      </c>
      <c r="B34" s="285" t="s">
        <v>234</v>
      </c>
      <c r="F34" s="291"/>
    </row>
    <row r="35" spans="1:6" x14ac:dyDescent="0.15">
      <c r="A35" s="292">
        <f>A33</f>
        <v>46005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46006</v>
      </c>
      <c r="B38" s="297">
        <f t="shared" ref="B38:B44" si="6">A38</f>
        <v>46006</v>
      </c>
      <c r="C38" s="296"/>
      <c r="D38" s="295"/>
      <c r="E38" s="294"/>
      <c r="F38" s="293"/>
    </row>
    <row r="39" spans="1:6" x14ac:dyDescent="0.15">
      <c r="A39" s="292">
        <f t="shared" ref="A39:A44" si="7">A38+1</f>
        <v>46007</v>
      </c>
      <c r="B39" s="285">
        <f t="shared" si="6"/>
        <v>46007</v>
      </c>
      <c r="F39" s="291"/>
    </row>
    <row r="40" spans="1:6" x14ac:dyDescent="0.15">
      <c r="A40" s="292">
        <f t="shared" si="7"/>
        <v>46008</v>
      </c>
      <c r="B40" s="285">
        <f t="shared" si="6"/>
        <v>46008</v>
      </c>
      <c r="F40" s="291"/>
    </row>
    <row r="41" spans="1:6" x14ac:dyDescent="0.15">
      <c r="A41" s="292">
        <f t="shared" si="7"/>
        <v>46009</v>
      </c>
      <c r="B41" s="285">
        <f t="shared" si="6"/>
        <v>46009</v>
      </c>
      <c r="F41" s="291"/>
    </row>
    <row r="42" spans="1:6" x14ac:dyDescent="0.15">
      <c r="A42" s="292">
        <f t="shared" si="7"/>
        <v>46010</v>
      </c>
      <c r="B42" s="285">
        <f t="shared" si="6"/>
        <v>46010</v>
      </c>
      <c r="F42" s="291"/>
    </row>
    <row r="43" spans="1:6" x14ac:dyDescent="0.15">
      <c r="A43" s="292">
        <f t="shared" si="7"/>
        <v>46011</v>
      </c>
      <c r="B43" s="285">
        <f t="shared" si="6"/>
        <v>46011</v>
      </c>
      <c r="F43" s="291"/>
    </row>
    <row r="44" spans="1:6" x14ac:dyDescent="0.15">
      <c r="A44" s="292">
        <f t="shared" si="7"/>
        <v>46012</v>
      </c>
      <c r="B44" s="285">
        <f t="shared" si="6"/>
        <v>46012</v>
      </c>
      <c r="F44" s="291"/>
    </row>
    <row r="45" spans="1:6" x14ac:dyDescent="0.15">
      <c r="A45" s="292">
        <f>A44</f>
        <v>46012</v>
      </c>
      <c r="B45" s="285" t="s">
        <v>234</v>
      </c>
      <c r="F45" s="291"/>
    </row>
    <row r="46" spans="1:6" x14ac:dyDescent="0.15">
      <c r="A46" s="292">
        <f>A44</f>
        <v>46012</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A44+1</f>
        <v>46013</v>
      </c>
      <c r="B49" s="297">
        <f t="shared" ref="B49:B55" si="8">A49</f>
        <v>46013</v>
      </c>
      <c r="C49" s="296"/>
      <c r="D49" s="295"/>
      <c r="E49" s="294"/>
      <c r="F49" s="293"/>
    </row>
    <row r="50" spans="1:6" x14ac:dyDescent="0.15">
      <c r="A50" s="292">
        <f t="shared" ref="A50:A55" si="9">A49+1</f>
        <v>46014</v>
      </c>
      <c r="B50" s="285">
        <f t="shared" si="8"/>
        <v>46014</v>
      </c>
      <c r="F50" s="291"/>
    </row>
    <row r="51" spans="1:6" x14ac:dyDescent="0.15">
      <c r="A51" s="292">
        <f t="shared" si="9"/>
        <v>46015</v>
      </c>
      <c r="B51" s="285">
        <f t="shared" si="8"/>
        <v>46015</v>
      </c>
      <c r="F51" s="291"/>
    </row>
    <row r="52" spans="1:6" x14ac:dyDescent="0.15">
      <c r="A52" s="292">
        <f t="shared" si="9"/>
        <v>46016</v>
      </c>
      <c r="B52" s="285">
        <f t="shared" si="8"/>
        <v>46016</v>
      </c>
      <c r="F52" s="291"/>
    </row>
    <row r="53" spans="1:6" x14ac:dyDescent="0.15">
      <c r="A53" s="292">
        <f t="shared" si="9"/>
        <v>46017</v>
      </c>
      <c r="B53" s="285">
        <f t="shared" si="8"/>
        <v>46017</v>
      </c>
      <c r="F53" s="291"/>
    </row>
    <row r="54" spans="1:6" x14ac:dyDescent="0.15">
      <c r="A54" s="292">
        <f t="shared" si="9"/>
        <v>46018</v>
      </c>
      <c r="B54" s="285">
        <f t="shared" si="8"/>
        <v>46018</v>
      </c>
      <c r="F54" s="291"/>
    </row>
    <row r="55" spans="1:6" x14ac:dyDescent="0.15">
      <c r="A55" s="292">
        <f t="shared" si="9"/>
        <v>46019</v>
      </c>
      <c r="B55" s="285">
        <f t="shared" si="8"/>
        <v>46019</v>
      </c>
      <c r="F55" s="291"/>
    </row>
    <row r="56" spans="1:6" x14ac:dyDescent="0.15">
      <c r="A56" s="292">
        <f>A55</f>
        <v>46019</v>
      </c>
      <c r="B56" s="285" t="s">
        <v>234</v>
      </c>
      <c r="F56" s="291"/>
    </row>
    <row r="57" spans="1:6" x14ac:dyDescent="0.15">
      <c r="A57" s="292">
        <f>A55</f>
        <v>46019</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SalesDec!A57+1</f>
        <v>46020</v>
      </c>
      <c r="B5" s="297">
        <f t="shared" ref="B5:B11" si="0">A5</f>
        <v>46020</v>
      </c>
      <c r="C5" s="296"/>
      <c r="D5" s="295"/>
      <c r="E5" s="294"/>
      <c r="F5" s="293"/>
    </row>
    <row r="6" spans="1:6" x14ac:dyDescent="0.15">
      <c r="A6" s="292">
        <f t="shared" ref="A6:A11" si="1">A5+1</f>
        <v>46021</v>
      </c>
      <c r="B6" s="285">
        <f t="shared" si="0"/>
        <v>46021</v>
      </c>
      <c r="F6" s="291"/>
    </row>
    <row r="7" spans="1:6" x14ac:dyDescent="0.15">
      <c r="A7" s="292">
        <f t="shared" si="1"/>
        <v>46022</v>
      </c>
      <c r="B7" s="285">
        <f t="shared" si="0"/>
        <v>46022</v>
      </c>
      <c r="F7" s="291"/>
    </row>
    <row r="8" spans="1:6" x14ac:dyDescent="0.15">
      <c r="A8" s="292">
        <f t="shared" si="1"/>
        <v>46023</v>
      </c>
      <c r="B8" s="285">
        <f t="shared" si="0"/>
        <v>46023</v>
      </c>
      <c r="F8" s="291"/>
    </row>
    <row r="9" spans="1:6" x14ac:dyDescent="0.15">
      <c r="A9" s="292">
        <f t="shared" si="1"/>
        <v>46024</v>
      </c>
      <c r="B9" s="285">
        <f t="shared" si="0"/>
        <v>46024</v>
      </c>
      <c r="F9" s="291"/>
    </row>
    <row r="10" spans="1:6" x14ac:dyDescent="0.15">
      <c r="A10" s="292">
        <f t="shared" si="1"/>
        <v>46025</v>
      </c>
      <c r="B10" s="285">
        <f t="shared" si="0"/>
        <v>46025</v>
      </c>
      <c r="F10" s="291"/>
    </row>
    <row r="11" spans="1:6" x14ac:dyDescent="0.15">
      <c r="A11" s="292">
        <f t="shared" si="1"/>
        <v>46026</v>
      </c>
      <c r="B11" s="285">
        <f t="shared" si="0"/>
        <v>46026</v>
      </c>
      <c r="F11" s="291"/>
    </row>
    <row r="12" spans="1:6" x14ac:dyDescent="0.15">
      <c r="A12" s="292">
        <f>A11</f>
        <v>46026</v>
      </c>
      <c r="B12" s="285" t="s">
        <v>234</v>
      </c>
      <c r="F12" s="291"/>
    </row>
    <row r="13" spans="1:6" x14ac:dyDescent="0.15">
      <c r="A13" s="292">
        <f>A11</f>
        <v>46026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46027</v>
      </c>
      <c r="B16" s="297">
        <f t="shared" ref="B16:B22" si="2">A16</f>
        <v>46027</v>
      </c>
      <c r="C16" s="296"/>
      <c r="D16" s="295"/>
      <c r="E16" s="294"/>
      <c r="F16" s="293"/>
    </row>
    <row r="17" spans="1:6" x14ac:dyDescent="0.15">
      <c r="A17" s="292">
        <f t="shared" ref="A17:A22" si="3">A16+1</f>
        <v>46028</v>
      </c>
      <c r="B17" s="285">
        <f t="shared" si="2"/>
        <v>46028</v>
      </c>
      <c r="F17" s="291"/>
    </row>
    <row r="18" spans="1:6" x14ac:dyDescent="0.15">
      <c r="A18" s="292">
        <f t="shared" si="3"/>
        <v>46029</v>
      </c>
      <c r="B18" s="285">
        <f t="shared" si="2"/>
        <v>46029</v>
      </c>
      <c r="F18" s="291"/>
    </row>
    <row r="19" spans="1:6" x14ac:dyDescent="0.15">
      <c r="A19" s="292">
        <f t="shared" si="3"/>
        <v>46030</v>
      </c>
      <c r="B19" s="285">
        <f t="shared" si="2"/>
        <v>46030</v>
      </c>
      <c r="F19" s="291"/>
    </row>
    <row r="20" spans="1:6" x14ac:dyDescent="0.15">
      <c r="A20" s="292">
        <f t="shared" si="3"/>
        <v>46031</v>
      </c>
      <c r="B20" s="285">
        <f t="shared" si="2"/>
        <v>46031</v>
      </c>
      <c r="F20" s="291"/>
    </row>
    <row r="21" spans="1:6" x14ac:dyDescent="0.15">
      <c r="A21" s="292">
        <f t="shared" si="3"/>
        <v>46032</v>
      </c>
      <c r="B21" s="285">
        <f t="shared" si="2"/>
        <v>46032</v>
      </c>
      <c r="F21" s="291"/>
    </row>
    <row r="22" spans="1:6" x14ac:dyDescent="0.15">
      <c r="A22" s="292">
        <f t="shared" si="3"/>
        <v>46033</v>
      </c>
      <c r="B22" s="285">
        <f t="shared" si="2"/>
        <v>46033</v>
      </c>
      <c r="F22" s="291"/>
    </row>
    <row r="23" spans="1:6" x14ac:dyDescent="0.15">
      <c r="A23" s="292">
        <f>A22</f>
        <v>46033</v>
      </c>
      <c r="B23" s="285" t="s">
        <v>234</v>
      </c>
      <c r="F23" s="291"/>
    </row>
    <row r="24" spans="1:6" x14ac:dyDescent="0.15">
      <c r="A24" s="292">
        <f>A22</f>
        <v>46033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46034</v>
      </c>
      <c r="B27" s="297">
        <f t="shared" ref="B27:B33" si="4">A27</f>
        <v>46034</v>
      </c>
      <c r="C27" s="296"/>
      <c r="D27" s="295"/>
      <c r="E27" s="294"/>
      <c r="F27" s="293"/>
    </row>
    <row r="28" spans="1:6" x14ac:dyDescent="0.15">
      <c r="A28" s="292">
        <f t="shared" ref="A28:A33" si="5">A27+1</f>
        <v>46035</v>
      </c>
      <c r="B28" s="285">
        <f t="shared" si="4"/>
        <v>46035</v>
      </c>
      <c r="F28" s="291"/>
    </row>
    <row r="29" spans="1:6" x14ac:dyDescent="0.15">
      <c r="A29" s="292">
        <f t="shared" si="5"/>
        <v>46036</v>
      </c>
      <c r="B29" s="285">
        <f t="shared" si="4"/>
        <v>46036</v>
      </c>
      <c r="F29" s="291"/>
    </row>
    <row r="30" spans="1:6" x14ac:dyDescent="0.15">
      <c r="A30" s="292">
        <f t="shared" si="5"/>
        <v>46037</v>
      </c>
      <c r="B30" s="285">
        <f t="shared" si="4"/>
        <v>46037</v>
      </c>
      <c r="F30" s="291"/>
    </row>
    <row r="31" spans="1:6" x14ac:dyDescent="0.15">
      <c r="A31" s="292">
        <f t="shared" si="5"/>
        <v>46038</v>
      </c>
      <c r="B31" s="285">
        <f t="shared" si="4"/>
        <v>46038</v>
      </c>
      <c r="F31" s="291"/>
    </row>
    <row r="32" spans="1:6" x14ac:dyDescent="0.15">
      <c r="A32" s="292">
        <f t="shared" si="5"/>
        <v>46039</v>
      </c>
      <c r="B32" s="285">
        <f t="shared" si="4"/>
        <v>46039</v>
      </c>
      <c r="F32" s="291"/>
    </row>
    <row r="33" spans="1:6" x14ac:dyDescent="0.15">
      <c r="A33" s="292">
        <f t="shared" si="5"/>
        <v>46040</v>
      </c>
      <c r="B33" s="285">
        <f t="shared" si="4"/>
        <v>46040</v>
      </c>
      <c r="F33" s="291"/>
    </row>
    <row r="34" spans="1:6" x14ac:dyDescent="0.15">
      <c r="A34" s="292">
        <f>A33</f>
        <v>46040</v>
      </c>
      <c r="B34" s="285" t="s">
        <v>234</v>
      </c>
      <c r="F34" s="291"/>
    </row>
    <row r="35" spans="1:6" x14ac:dyDescent="0.15">
      <c r="A35" s="292">
        <f>A33</f>
        <v>46040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46041</v>
      </c>
      <c r="B38" s="297">
        <f t="shared" ref="B38:B44" si="6">A38</f>
        <v>46041</v>
      </c>
      <c r="C38" s="296"/>
      <c r="D38" s="295"/>
      <c r="E38" s="294"/>
      <c r="F38" s="293"/>
    </row>
    <row r="39" spans="1:6" x14ac:dyDescent="0.15">
      <c r="A39" s="292">
        <f t="shared" ref="A39:A44" si="7">A38+1</f>
        <v>46042</v>
      </c>
      <c r="B39" s="285">
        <f t="shared" si="6"/>
        <v>46042</v>
      </c>
      <c r="F39" s="291"/>
    </row>
    <row r="40" spans="1:6" x14ac:dyDescent="0.15">
      <c r="A40" s="292">
        <f t="shared" si="7"/>
        <v>46043</v>
      </c>
      <c r="B40" s="285">
        <f t="shared" si="6"/>
        <v>46043</v>
      </c>
      <c r="F40" s="291"/>
    </row>
    <row r="41" spans="1:6" x14ac:dyDescent="0.15">
      <c r="A41" s="292">
        <f t="shared" si="7"/>
        <v>46044</v>
      </c>
      <c r="B41" s="285">
        <f t="shared" si="6"/>
        <v>46044</v>
      </c>
      <c r="F41" s="291"/>
    </row>
    <row r="42" spans="1:6" x14ac:dyDescent="0.15">
      <c r="A42" s="292">
        <f t="shared" si="7"/>
        <v>46045</v>
      </c>
      <c r="B42" s="285">
        <f t="shared" si="6"/>
        <v>46045</v>
      </c>
      <c r="F42" s="291"/>
    </row>
    <row r="43" spans="1:6" x14ac:dyDescent="0.15">
      <c r="A43" s="292">
        <f t="shared" si="7"/>
        <v>46046</v>
      </c>
      <c r="B43" s="285">
        <f t="shared" si="6"/>
        <v>46046</v>
      </c>
      <c r="F43" s="291"/>
    </row>
    <row r="44" spans="1:6" x14ac:dyDescent="0.15">
      <c r="A44" s="292">
        <f t="shared" si="7"/>
        <v>46047</v>
      </c>
      <c r="B44" s="285">
        <f t="shared" si="6"/>
        <v>46047</v>
      </c>
      <c r="F44" s="291"/>
    </row>
    <row r="45" spans="1:6" x14ac:dyDescent="0.15">
      <c r="A45" s="292">
        <f>A44</f>
        <v>46047</v>
      </c>
      <c r="B45" s="285" t="s">
        <v>234</v>
      </c>
      <c r="F45" s="291"/>
    </row>
    <row r="46" spans="1:6" x14ac:dyDescent="0.15">
      <c r="A46" s="292">
        <f>A44</f>
        <v>46047</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SUM(D4:D26)</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SalesJan!A46+1</f>
        <v>46048</v>
      </c>
      <c r="B5" s="297">
        <f t="shared" ref="B5:B11" si="0">A5</f>
        <v>46048</v>
      </c>
      <c r="C5" s="296"/>
      <c r="D5" s="295"/>
      <c r="E5" s="294"/>
      <c r="F5" s="293"/>
    </row>
    <row r="6" spans="1:6" x14ac:dyDescent="0.15">
      <c r="A6" s="292">
        <f t="shared" ref="A6:A11" si="1">A5+1</f>
        <v>46049</v>
      </c>
      <c r="B6" s="285">
        <f t="shared" si="0"/>
        <v>46049</v>
      </c>
      <c r="F6" s="291"/>
    </row>
    <row r="7" spans="1:6" x14ac:dyDescent="0.15">
      <c r="A7" s="292">
        <f t="shared" si="1"/>
        <v>46050</v>
      </c>
      <c r="B7" s="285">
        <f t="shared" si="0"/>
        <v>46050</v>
      </c>
      <c r="F7" s="291"/>
    </row>
    <row r="8" spans="1:6" x14ac:dyDescent="0.15">
      <c r="A8" s="292">
        <f t="shared" si="1"/>
        <v>46051</v>
      </c>
      <c r="B8" s="285">
        <f t="shared" si="0"/>
        <v>46051</v>
      </c>
      <c r="F8" s="291"/>
    </row>
    <row r="9" spans="1:6" x14ac:dyDescent="0.15">
      <c r="A9" s="292">
        <f t="shared" si="1"/>
        <v>46052</v>
      </c>
      <c r="B9" s="285">
        <f t="shared" si="0"/>
        <v>46052</v>
      </c>
      <c r="F9" s="291"/>
    </row>
    <row r="10" spans="1:6" x14ac:dyDescent="0.15">
      <c r="A10" s="292">
        <f t="shared" si="1"/>
        <v>46053</v>
      </c>
      <c r="B10" s="285">
        <f t="shared" si="0"/>
        <v>46053</v>
      </c>
      <c r="F10" s="291"/>
    </row>
    <row r="11" spans="1:6" x14ac:dyDescent="0.15">
      <c r="A11" s="292">
        <f t="shared" si="1"/>
        <v>46054</v>
      </c>
      <c r="B11" s="285">
        <f t="shared" si="0"/>
        <v>46054</v>
      </c>
      <c r="F11" s="291"/>
    </row>
    <row r="12" spans="1:6" x14ac:dyDescent="0.15">
      <c r="A12" s="292">
        <f>A11</f>
        <v>46054</v>
      </c>
      <c r="B12" s="285" t="s">
        <v>234</v>
      </c>
      <c r="F12" s="291"/>
    </row>
    <row r="13" spans="1:6" x14ac:dyDescent="0.15">
      <c r="A13" s="292">
        <f>A11</f>
        <v>46054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46055</v>
      </c>
      <c r="B16" s="297">
        <f t="shared" ref="B16:B22" si="2">A16</f>
        <v>46055</v>
      </c>
      <c r="C16" s="296"/>
      <c r="D16" s="295"/>
      <c r="E16" s="294"/>
      <c r="F16" s="293"/>
    </row>
    <row r="17" spans="1:6" x14ac:dyDescent="0.15">
      <c r="A17" s="292">
        <f t="shared" ref="A17:A22" si="3">A16+1</f>
        <v>46056</v>
      </c>
      <c r="B17" s="285">
        <f t="shared" si="2"/>
        <v>46056</v>
      </c>
      <c r="F17" s="291"/>
    </row>
    <row r="18" spans="1:6" x14ac:dyDescent="0.15">
      <c r="A18" s="292">
        <f t="shared" si="3"/>
        <v>46057</v>
      </c>
      <c r="B18" s="285">
        <f t="shared" si="2"/>
        <v>46057</v>
      </c>
      <c r="F18" s="291"/>
    </row>
    <row r="19" spans="1:6" x14ac:dyDescent="0.15">
      <c r="A19" s="292">
        <f t="shared" si="3"/>
        <v>46058</v>
      </c>
      <c r="B19" s="285">
        <f t="shared" si="2"/>
        <v>46058</v>
      </c>
      <c r="F19" s="291"/>
    </row>
    <row r="20" spans="1:6" x14ac:dyDescent="0.15">
      <c r="A20" s="292">
        <f t="shared" si="3"/>
        <v>46059</v>
      </c>
      <c r="B20" s="285">
        <f t="shared" si="2"/>
        <v>46059</v>
      </c>
      <c r="F20" s="291"/>
    </row>
    <row r="21" spans="1:6" x14ac:dyDescent="0.15">
      <c r="A21" s="292">
        <f t="shared" si="3"/>
        <v>46060</v>
      </c>
      <c r="B21" s="285">
        <f t="shared" si="2"/>
        <v>46060</v>
      </c>
      <c r="F21" s="291"/>
    </row>
    <row r="22" spans="1:6" x14ac:dyDescent="0.15">
      <c r="A22" s="292">
        <f t="shared" si="3"/>
        <v>46061</v>
      </c>
      <c r="B22" s="285">
        <f t="shared" si="2"/>
        <v>46061</v>
      </c>
      <c r="F22" s="291"/>
    </row>
    <row r="23" spans="1:6" x14ac:dyDescent="0.15">
      <c r="A23" s="292">
        <f>A22</f>
        <v>46061</v>
      </c>
      <c r="B23" s="285" t="s">
        <v>234</v>
      </c>
      <c r="F23" s="291"/>
    </row>
    <row r="24" spans="1:6" x14ac:dyDescent="0.15">
      <c r="A24" s="292">
        <f>A22</f>
        <v>46061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46062</v>
      </c>
      <c r="B27" s="297">
        <f t="shared" ref="B27:B33" si="4">A27</f>
        <v>46062</v>
      </c>
      <c r="C27" s="296"/>
      <c r="D27" s="295"/>
      <c r="E27" s="294"/>
      <c r="F27" s="293"/>
    </row>
    <row r="28" spans="1:6" x14ac:dyDescent="0.15">
      <c r="A28" s="292">
        <f t="shared" ref="A28:A33" si="5">A27+1</f>
        <v>46063</v>
      </c>
      <c r="B28" s="285">
        <f t="shared" si="4"/>
        <v>46063</v>
      </c>
      <c r="F28" s="291"/>
    </row>
    <row r="29" spans="1:6" x14ac:dyDescent="0.15">
      <c r="A29" s="292">
        <f t="shared" si="5"/>
        <v>46064</v>
      </c>
      <c r="B29" s="285">
        <f t="shared" si="4"/>
        <v>46064</v>
      </c>
      <c r="F29" s="291"/>
    </row>
    <row r="30" spans="1:6" x14ac:dyDescent="0.15">
      <c r="A30" s="292">
        <f t="shared" si="5"/>
        <v>46065</v>
      </c>
      <c r="B30" s="285">
        <f t="shared" si="4"/>
        <v>46065</v>
      </c>
      <c r="F30" s="291"/>
    </row>
    <row r="31" spans="1:6" x14ac:dyDescent="0.15">
      <c r="A31" s="292">
        <f t="shared" si="5"/>
        <v>46066</v>
      </c>
      <c r="B31" s="285">
        <f t="shared" si="4"/>
        <v>46066</v>
      </c>
      <c r="F31" s="291"/>
    </row>
    <row r="32" spans="1:6" x14ac:dyDescent="0.15">
      <c r="A32" s="292">
        <f t="shared" si="5"/>
        <v>46067</v>
      </c>
      <c r="B32" s="285">
        <f t="shared" si="4"/>
        <v>46067</v>
      </c>
      <c r="F32" s="291"/>
    </row>
    <row r="33" spans="1:6" x14ac:dyDescent="0.15">
      <c r="A33" s="292">
        <f t="shared" si="5"/>
        <v>46068</v>
      </c>
      <c r="B33" s="285">
        <f t="shared" si="4"/>
        <v>46068</v>
      </c>
      <c r="F33" s="291"/>
    </row>
    <row r="34" spans="1:6" x14ac:dyDescent="0.15">
      <c r="A34" s="292">
        <f>A33</f>
        <v>46068</v>
      </c>
      <c r="B34" s="285" t="s">
        <v>234</v>
      </c>
      <c r="F34" s="291"/>
    </row>
    <row r="35" spans="1:6" x14ac:dyDescent="0.15">
      <c r="A35" s="292">
        <f>A33</f>
        <v>46068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A35+1</f>
        <v>46069</v>
      </c>
      <c r="B38" s="297">
        <f>A38</f>
        <v>46069</v>
      </c>
      <c r="C38" s="296"/>
      <c r="D38" s="295"/>
      <c r="E38" s="296"/>
      <c r="F38" s="293"/>
    </row>
    <row r="39" spans="1:6" x14ac:dyDescent="0.15">
      <c r="A39" s="292">
        <f>A38+1</f>
        <v>46070</v>
      </c>
      <c r="B39" s="285">
        <f>A39</f>
        <v>46070</v>
      </c>
      <c r="E39" s="7"/>
      <c r="F39" s="291"/>
    </row>
    <row r="40" spans="1:6" x14ac:dyDescent="0.15">
      <c r="A40" s="292">
        <f t="shared" ref="A40:A44" si="6">A39+1</f>
        <v>46071</v>
      </c>
      <c r="B40" s="285">
        <f t="shared" ref="B40:B41" si="7">A40</f>
        <v>46071</v>
      </c>
      <c r="E40" s="7"/>
      <c r="F40" s="291"/>
    </row>
    <row r="41" spans="1:6" x14ac:dyDescent="0.15">
      <c r="A41" s="292">
        <f t="shared" si="6"/>
        <v>46072</v>
      </c>
      <c r="B41" s="285">
        <f t="shared" si="7"/>
        <v>46072</v>
      </c>
      <c r="E41" s="7"/>
      <c r="F41" s="291"/>
    </row>
    <row r="42" spans="1:6" x14ac:dyDescent="0.15">
      <c r="A42" s="292">
        <f t="shared" si="6"/>
        <v>46073</v>
      </c>
      <c r="B42" s="285">
        <f>A42</f>
        <v>46073</v>
      </c>
      <c r="E42" s="7"/>
      <c r="F42" s="291"/>
    </row>
    <row r="43" spans="1:6" x14ac:dyDescent="0.15">
      <c r="A43" s="292">
        <f t="shared" si="6"/>
        <v>46074</v>
      </c>
      <c r="B43" s="285">
        <f>A43</f>
        <v>46074</v>
      </c>
      <c r="E43" s="7"/>
      <c r="F43" s="291"/>
    </row>
    <row r="44" spans="1:6" x14ac:dyDescent="0.15">
      <c r="A44" s="292">
        <f t="shared" si="6"/>
        <v>46075</v>
      </c>
      <c r="B44" s="285">
        <f>A44</f>
        <v>46075</v>
      </c>
      <c r="E44" s="7"/>
      <c r="F44" s="291"/>
    </row>
    <row r="45" spans="1:6" x14ac:dyDescent="0.15">
      <c r="A45" s="292">
        <f>A44</f>
        <v>46075</v>
      </c>
      <c r="B45" s="285" t="s">
        <v>234</v>
      </c>
      <c r="E45" s="7"/>
      <c r="F45" s="291"/>
    </row>
    <row r="46" spans="1:6" x14ac:dyDescent="0.15">
      <c r="A46" s="292">
        <f>A45</f>
        <v>46075</v>
      </c>
      <c r="B46" s="285" t="s">
        <v>233</v>
      </c>
      <c r="E46" s="7"/>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G69"/>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x14ac:dyDescent="0.15">
      <c r="A1" s="486" t="s">
        <v>241</v>
      </c>
      <c r="B1" s="484" t="s">
        <v>240</v>
      </c>
      <c r="C1" s="303" t="s">
        <v>239</v>
      </c>
      <c r="D1" s="304">
        <f>SUM(D4:D65)</f>
        <v>0</v>
      </c>
      <c r="E1" s="303">
        <f>SUM(E4:E65)/2</f>
        <v>0</v>
      </c>
      <c r="F1" s="303">
        <f>SUM(F4:F65)/2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SalesFeb!A46+1</f>
        <v>46076</v>
      </c>
      <c r="B5" s="297">
        <f t="shared" ref="B5:B11" si="0">A5</f>
        <v>46076</v>
      </c>
      <c r="C5" s="296"/>
      <c r="D5" s="295"/>
      <c r="E5" s="296"/>
      <c r="F5" s="293"/>
    </row>
    <row r="6" spans="1:6" x14ac:dyDescent="0.15">
      <c r="A6" s="292">
        <f t="shared" ref="A6:A11" si="1">A5+1</f>
        <v>46077</v>
      </c>
      <c r="B6" s="285">
        <f t="shared" si="0"/>
        <v>46077</v>
      </c>
      <c r="F6" s="291"/>
    </row>
    <row r="7" spans="1:6" x14ac:dyDescent="0.15">
      <c r="A7" s="292">
        <f t="shared" si="1"/>
        <v>46078</v>
      </c>
      <c r="B7" s="285">
        <f t="shared" si="0"/>
        <v>46078</v>
      </c>
      <c r="F7" s="291"/>
    </row>
    <row r="8" spans="1:6" x14ac:dyDescent="0.15">
      <c r="A8" s="292">
        <f t="shared" si="1"/>
        <v>46079</v>
      </c>
      <c r="B8" s="285">
        <f t="shared" si="0"/>
        <v>46079</v>
      </c>
      <c r="F8" s="291"/>
    </row>
    <row r="9" spans="1:6" x14ac:dyDescent="0.15">
      <c r="A9" s="292">
        <f t="shared" si="1"/>
        <v>46080</v>
      </c>
      <c r="B9" s="285">
        <f t="shared" si="0"/>
        <v>46080</v>
      </c>
      <c r="F9" s="291"/>
    </row>
    <row r="10" spans="1:6" x14ac:dyDescent="0.15">
      <c r="A10" s="292">
        <f t="shared" si="1"/>
        <v>46081</v>
      </c>
      <c r="B10" s="285">
        <f t="shared" si="0"/>
        <v>46081</v>
      </c>
      <c r="F10" s="291"/>
    </row>
    <row r="11" spans="1:6" x14ac:dyDescent="0.15">
      <c r="A11" s="292">
        <f t="shared" si="1"/>
        <v>46082</v>
      </c>
      <c r="B11" s="285">
        <f t="shared" si="0"/>
        <v>46082</v>
      </c>
      <c r="F11" s="291"/>
    </row>
    <row r="12" spans="1:6" x14ac:dyDescent="0.15">
      <c r="A12" s="292">
        <f>A11</f>
        <v>46082</v>
      </c>
      <c r="B12" s="285" t="s">
        <v>234</v>
      </c>
      <c r="F12" s="291"/>
    </row>
    <row r="13" spans="1:6" x14ac:dyDescent="0.15">
      <c r="A13" s="292">
        <f>A11</f>
        <v>46082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46083</v>
      </c>
      <c r="B16" s="297">
        <f t="shared" ref="B16:B22" si="2">A16</f>
        <v>46083</v>
      </c>
      <c r="C16" s="296"/>
      <c r="D16" s="295"/>
      <c r="E16" s="296"/>
      <c r="F16" s="293"/>
    </row>
    <row r="17" spans="1:6" x14ac:dyDescent="0.15">
      <c r="A17" s="292">
        <f t="shared" ref="A17:A22" si="3">A16+1</f>
        <v>46084</v>
      </c>
      <c r="B17" s="285">
        <f t="shared" si="2"/>
        <v>46084</v>
      </c>
      <c r="F17" s="291"/>
    </row>
    <row r="18" spans="1:6" x14ac:dyDescent="0.15">
      <c r="A18" s="292">
        <f t="shared" si="3"/>
        <v>46085</v>
      </c>
      <c r="B18" s="285">
        <f t="shared" si="2"/>
        <v>46085</v>
      </c>
      <c r="F18" s="291"/>
    </row>
    <row r="19" spans="1:6" x14ac:dyDescent="0.15">
      <c r="A19" s="292">
        <f t="shared" si="3"/>
        <v>46086</v>
      </c>
      <c r="B19" s="285">
        <f t="shared" si="2"/>
        <v>46086</v>
      </c>
      <c r="F19" s="291"/>
    </row>
    <row r="20" spans="1:6" x14ac:dyDescent="0.15">
      <c r="A20" s="292">
        <f t="shared" si="3"/>
        <v>46087</v>
      </c>
      <c r="B20" s="285">
        <f t="shared" si="2"/>
        <v>46087</v>
      </c>
      <c r="F20" s="291"/>
    </row>
    <row r="21" spans="1:6" x14ac:dyDescent="0.15">
      <c r="A21" s="292">
        <f t="shared" si="3"/>
        <v>46088</v>
      </c>
      <c r="B21" s="285">
        <f t="shared" si="2"/>
        <v>46088</v>
      </c>
      <c r="F21" s="291"/>
    </row>
    <row r="22" spans="1:6" x14ac:dyDescent="0.15">
      <c r="A22" s="292">
        <f t="shared" si="3"/>
        <v>46089</v>
      </c>
      <c r="B22" s="285">
        <f t="shared" si="2"/>
        <v>46089</v>
      </c>
      <c r="F22" s="291"/>
    </row>
    <row r="23" spans="1:6" x14ac:dyDescent="0.15">
      <c r="A23" s="292">
        <f>A22</f>
        <v>46089</v>
      </c>
      <c r="B23" s="285" t="s">
        <v>234</v>
      </c>
      <c r="F23" s="291"/>
    </row>
    <row r="24" spans="1:6" x14ac:dyDescent="0.15">
      <c r="A24" s="292">
        <f>A22</f>
        <v>46089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46090</v>
      </c>
      <c r="B27" s="297">
        <f t="shared" ref="B27:B33" si="4">A27</f>
        <v>46090</v>
      </c>
      <c r="C27" s="296"/>
      <c r="D27" s="295"/>
      <c r="E27" s="296"/>
      <c r="F27" s="293"/>
    </row>
    <row r="28" spans="1:6" x14ac:dyDescent="0.15">
      <c r="A28" s="292">
        <f t="shared" ref="A28:A33" si="5">A27+1</f>
        <v>46091</v>
      </c>
      <c r="B28" s="285">
        <f t="shared" si="4"/>
        <v>46091</v>
      </c>
      <c r="F28" s="291"/>
    </row>
    <row r="29" spans="1:6" x14ac:dyDescent="0.15">
      <c r="A29" s="292">
        <f t="shared" si="5"/>
        <v>46092</v>
      </c>
      <c r="B29" s="285">
        <f t="shared" si="4"/>
        <v>46092</v>
      </c>
      <c r="F29" s="291"/>
    </row>
    <row r="30" spans="1:6" x14ac:dyDescent="0.15">
      <c r="A30" s="292">
        <f t="shared" si="5"/>
        <v>46093</v>
      </c>
      <c r="B30" s="285">
        <f t="shared" si="4"/>
        <v>46093</v>
      </c>
      <c r="F30" s="291"/>
    </row>
    <row r="31" spans="1:6" x14ac:dyDescent="0.15">
      <c r="A31" s="292">
        <f t="shared" si="5"/>
        <v>46094</v>
      </c>
      <c r="B31" s="285">
        <f t="shared" si="4"/>
        <v>46094</v>
      </c>
      <c r="F31" s="291"/>
    </row>
    <row r="32" spans="1:6" x14ac:dyDescent="0.15">
      <c r="A32" s="292">
        <f t="shared" si="5"/>
        <v>46095</v>
      </c>
      <c r="B32" s="285">
        <f t="shared" si="4"/>
        <v>46095</v>
      </c>
      <c r="F32" s="291"/>
    </row>
    <row r="33" spans="1:6" x14ac:dyDescent="0.15">
      <c r="A33" s="292">
        <f t="shared" si="5"/>
        <v>46096</v>
      </c>
      <c r="B33" s="285">
        <f t="shared" si="4"/>
        <v>46096</v>
      </c>
      <c r="F33" s="291"/>
    </row>
    <row r="34" spans="1:6" x14ac:dyDescent="0.15">
      <c r="A34" s="292">
        <f>A33</f>
        <v>46096</v>
      </c>
      <c r="B34" s="285" t="s">
        <v>234</v>
      </c>
      <c r="F34" s="291"/>
    </row>
    <row r="35" spans="1:6" x14ac:dyDescent="0.15">
      <c r="A35" s="292">
        <f>A33</f>
        <v>46096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46097</v>
      </c>
      <c r="B38" s="297">
        <f t="shared" ref="B38:B44" si="6">A38</f>
        <v>46097</v>
      </c>
      <c r="C38" s="296"/>
      <c r="D38" s="295"/>
      <c r="E38" s="296"/>
      <c r="F38" s="293"/>
    </row>
    <row r="39" spans="1:6" x14ac:dyDescent="0.15">
      <c r="A39" s="292">
        <f t="shared" ref="A39:A44" si="7">A38+1</f>
        <v>46098</v>
      </c>
      <c r="B39" s="285">
        <f t="shared" si="6"/>
        <v>46098</v>
      </c>
      <c r="E39" s="283"/>
      <c r="F39" s="291"/>
    </row>
    <row r="40" spans="1:6" x14ac:dyDescent="0.15">
      <c r="A40" s="292">
        <f t="shared" si="7"/>
        <v>46099</v>
      </c>
      <c r="B40" s="285">
        <f t="shared" si="6"/>
        <v>46099</v>
      </c>
      <c r="E40" s="283"/>
      <c r="F40" s="291"/>
    </row>
    <row r="41" spans="1:6" x14ac:dyDescent="0.15">
      <c r="A41" s="292">
        <f t="shared" si="7"/>
        <v>46100</v>
      </c>
      <c r="B41" s="285">
        <f t="shared" si="6"/>
        <v>46100</v>
      </c>
      <c r="E41" s="283"/>
      <c r="F41" s="291"/>
    </row>
    <row r="42" spans="1:6" x14ac:dyDescent="0.15">
      <c r="A42" s="292">
        <f t="shared" si="7"/>
        <v>46101</v>
      </c>
      <c r="B42" s="285">
        <f t="shared" si="6"/>
        <v>46101</v>
      </c>
      <c r="E42" s="283"/>
      <c r="F42" s="291"/>
    </row>
    <row r="43" spans="1:6" x14ac:dyDescent="0.15">
      <c r="A43" s="292">
        <f t="shared" si="7"/>
        <v>46102</v>
      </c>
      <c r="B43" s="285">
        <f t="shared" si="6"/>
        <v>46102</v>
      </c>
      <c r="E43" s="283"/>
      <c r="F43" s="291"/>
    </row>
    <row r="44" spans="1:6" x14ac:dyDescent="0.15">
      <c r="A44" s="292">
        <f t="shared" si="7"/>
        <v>46103</v>
      </c>
      <c r="B44" s="285">
        <f t="shared" si="6"/>
        <v>46103</v>
      </c>
      <c r="E44" s="283"/>
      <c r="F44" s="291"/>
    </row>
    <row r="45" spans="1:6" x14ac:dyDescent="0.15">
      <c r="A45" s="292">
        <f>A44</f>
        <v>46103</v>
      </c>
      <c r="B45" s="285" t="s">
        <v>234</v>
      </c>
      <c r="F45" s="291"/>
    </row>
    <row r="46" spans="1:6" x14ac:dyDescent="0.15">
      <c r="A46" s="292">
        <f>A45</f>
        <v>46103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A44+1</f>
        <v>46104</v>
      </c>
      <c r="B49" s="297">
        <f t="shared" ref="B49:B55" si="8">A49</f>
        <v>46104</v>
      </c>
      <c r="C49" s="296"/>
      <c r="D49" s="295"/>
      <c r="E49" s="296"/>
      <c r="F49" s="293"/>
    </row>
    <row r="50" spans="1:6" x14ac:dyDescent="0.15">
      <c r="A50" s="292">
        <f t="shared" ref="A50:A55" si="9">A49+1</f>
        <v>46105</v>
      </c>
      <c r="B50" s="285">
        <f t="shared" si="8"/>
        <v>46105</v>
      </c>
      <c r="E50" s="283"/>
      <c r="F50" s="291"/>
    </row>
    <row r="51" spans="1:6" x14ac:dyDescent="0.15">
      <c r="A51" s="292">
        <f t="shared" si="9"/>
        <v>46106</v>
      </c>
      <c r="B51" s="285">
        <f t="shared" si="8"/>
        <v>46106</v>
      </c>
      <c r="E51" s="283"/>
      <c r="F51" s="291"/>
    </row>
    <row r="52" spans="1:6" x14ac:dyDescent="0.15">
      <c r="A52" s="292">
        <f t="shared" si="9"/>
        <v>46107</v>
      </c>
      <c r="B52" s="285">
        <f t="shared" si="8"/>
        <v>46107</v>
      </c>
      <c r="E52" s="283"/>
      <c r="F52" s="291"/>
    </row>
    <row r="53" spans="1:6" x14ac:dyDescent="0.15">
      <c r="A53" s="292">
        <f t="shared" si="9"/>
        <v>46108</v>
      </c>
      <c r="B53" s="285">
        <f t="shared" si="8"/>
        <v>46108</v>
      </c>
      <c r="E53" s="283"/>
      <c r="F53" s="291"/>
    </row>
    <row r="54" spans="1:6" x14ac:dyDescent="0.15">
      <c r="A54" s="292">
        <f t="shared" si="9"/>
        <v>46109</v>
      </c>
      <c r="B54" s="285">
        <f t="shared" si="8"/>
        <v>46109</v>
      </c>
      <c r="E54" s="283"/>
      <c r="F54" s="291"/>
    </row>
    <row r="55" spans="1:6" x14ac:dyDescent="0.15">
      <c r="A55" s="292">
        <f t="shared" si="9"/>
        <v>46110</v>
      </c>
      <c r="B55" s="285">
        <f t="shared" si="8"/>
        <v>46110</v>
      </c>
      <c r="E55" s="283"/>
      <c r="F55" s="291"/>
    </row>
    <row r="56" spans="1:6" x14ac:dyDescent="0.15">
      <c r="A56" s="292">
        <f>A55</f>
        <v>46110</v>
      </c>
      <c r="B56" s="285" t="s">
        <v>234</v>
      </c>
      <c r="F56" s="291"/>
    </row>
    <row r="57" spans="1:6" x14ac:dyDescent="0.15">
      <c r="A57" s="292">
        <f>A56</f>
        <v>46110</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f>A55+1</f>
        <v>46111</v>
      </c>
      <c r="B60" s="297">
        <f t="shared" ref="B60" si="10">A60</f>
        <v>46111</v>
      </c>
      <c r="C60" s="296"/>
      <c r="D60" s="295"/>
      <c r="E60" s="296"/>
      <c r="F60" s="293"/>
    </row>
    <row r="61" spans="1:6" x14ac:dyDescent="0.15">
      <c r="A61" s="292">
        <f t="shared" ref="A61:B66" si="11">A60+1</f>
        <v>46112</v>
      </c>
      <c r="B61" s="285">
        <f t="shared" si="11"/>
        <v>46112</v>
      </c>
      <c r="F61" s="291"/>
    </row>
    <row r="62" spans="1:6" x14ac:dyDescent="0.15">
      <c r="A62" s="292">
        <f t="shared" si="11"/>
        <v>46113</v>
      </c>
      <c r="B62" s="285">
        <f t="shared" si="11"/>
        <v>46113</v>
      </c>
      <c r="F62" s="291"/>
    </row>
    <row r="63" spans="1:6" x14ac:dyDescent="0.15">
      <c r="A63" s="292">
        <f t="shared" si="11"/>
        <v>46114</v>
      </c>
      <c r="B63" s="285">
        <f t="shared" si="11"/>
        <v>46114</v>
      </c>
      <c r="F63" s="291"/>
    </row>
    <row r="64" spans="1:6" x14ac:dyDescent="0.15">
      <c r="A64" s="292">
        <f t="shared" si="11"/>
        <v>46115</v>
      </c>
      <c r="B64" s="285">
        <f t="shared" si="11"/>
        <v>46115</v>
      </c>
      <c r="F64" s="291"/>
    </row>
    <row r="65" spans="1:6" x14ac:dyDescent="0.15">
      <c r="A65" s="292">
        <f t="shared" si="11"/>
        <v>46116</v>
      </c>
      <c r="B65" s="285">
        <f t="shared" si="11"/>
        <v>46116</v>
      </c>
      <c r="F65" s="291"/>
    </row>
    <row r="66" spans="1:6" x14ac:dyDescent="0.15">
      <c r="A66" s="292">
        <f t="shared" si="11"/>
        <v>46117</v>
      </c>
      <c r="B66" s="285">
        <f t="shared" si="11"/>
        <v>46117</v>
      </c>
      <c r="F66" s="291"/>
    </row>
    <row r="67" spans="1:6" x14ac:dyDescent="0.15">
      <c r="A67" s="292">
        <f>A66</f>
        <v>46117</v>
      </c>
      <c r="B67" s="285" t="s">
        <v>234</v>
      </c>
      <c r="F67" s="291"/>
    </row>
    <row r="68" spans="1:6" x14ac:dyDescent="0.15">
      <c r="A68" s="292">
        <f>A67</f>
        <v>46117</v>
      </c>
      <c r="B68" s="285" t="s">
        <v>233</v>
      </c>
      <c r="F68" s="291"/>
    </row>
    <row r="69" spans="1:6" ht="14" thickBot="1" x14ac:dyDescent="0.2">
      <c r="A69" s="290"/>
      <c r="B69" s="289"/>
      <c r="C69" s="287"/>
      <c r="D69" s="288"/>
      <c r="E69" s="300">
        <f>SUM(E63:E68)</f>
        <v>0</v>
      </c>
      <c r="F69" s="299">
        <f>SUM(F63:F68)</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45716</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45747</v>
      </c>
      <c r="C3" s="119"/>
      <c r="D3" s="119"/>
      <c r="E3" s="119"/>
      <c r="F3" s="119"/>
      <c r="G3" s="125"/>
      <c r="H3" s="119"/>
      <c r="I3" s="119"/>
      <c r="J3" s="126"/>
      <c r="K3" s="126"/>
      <c r="L3" s="121"/>
      <c r="M3" s="119"/>
      <c r="N3" s="119"/>
      <c r="O3" s="119"/>
    </row>
    <row r="4" spans="1:15" ht="12" customHeight="1" thickBot="1" x14ac:dyDescent="0.2">
      <c r="A4" s="119"/>
      <c r="B4" s="127">
        <v>45753</v>
      </c>
      <c r="C4" s="119"/>
      <c r="D4" s="510" t="s">
        <v>132</v>
      </c>
      <c r="E4" s="510"/>
      <c r="F4" s="510"/>
      <c r="G4" s="128">
        <v>1</v>
      </c>
      <c r="H4" s="119"/>
      <c r="I4" s="510" t="s">
        <v>73</v>
      </c>
      <c r="J4" s="510"/>
      <c r="K4" s="510"/>
      <c r="L4" s="510"/>
      <c r="M4" s="510"/>
      <c r="N4" s="129">
        <v>12570</v>
      </c>
      <c r="O4" s="125" t="s">
        <v>50</v>
      </c>
    </row>
    <row r="5" spans="1:15" ht="12" customHeight="1" x14ac:dyDescent="0.15">
      <c r="A5" s="119"/>
      <c r="B5" s="123">
        <v>45777</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45808</v>
      </c>
      <c r="C6" s="119"/>
      <c r="D6" s="119"/>
      <c r="E6" s="119"/>
      <c r="F6" s="119"/>
      <c r="G6" s="125"/>
      <c r="H6" s="119"/>
      <c r="I6" s="510" t="s">
        <v>75</v>
      </c>
      <c r="J6" s="510"/>
      <c r="K6" s="510"/>
      <c r="L6" s="510"/>
      <c r="M6" s="510"/>
      <c r="N6" s="128">
        <v>0.2</v>
      </c>
      <c r="O6" s="125" t="s">
        <v>76</v>
      </c>
    </row>
    <row r="7" spans="1:15" ht="12" customHeight="1" x14ac:dyDescent="0.15">
      <c r="A7" s="119"/>
      <c r="B7" s="123">
        <v>45838</v>
      </c>
      <c r="C7" s="119"/>
      <c r="D7" s="510" t="s">
        <v>77</v>
      </c>
      <c r="E7" s="510"/>
      <c r="F7" s="510"/>
      <c r="G7" s="125"/>
      <c r="H7" s="119"/>
      <c r="I7" s="510" t="s">
        <v>78</v>
      </c>
      <c r="J7" s="510"/>
      <c r="K7" s="510"/>
      <c r="L7" s="510"/>
      <c r="M7" s="510"/>
      <c r="N7" s="128">
        <v>0.4</v>
      </c>
      <c r="O7" s="125" t="s">
        <v>76</v>
      </c>
    </row>
    <row r="8" spans="1:15" ht="12" customHeight="1" x14ac:dyDescent="0.15">
      <c r="A8" s="119"/>
      <c r="B8" s="123">
        <v>45869</v>
      </c>
      <c r="C8" s="119"/>
      <c r="D8" s="119" t="s">
        <v>79</v>
      </c>
      <c r="E8" s="130">
        <v>12000</v>
      </c>
      <c r="F8" s="119" t="s">
        <v>80</v>
      </c>
      <c r="G8" s="130">
        <v>3000</v>
      </c>
      <c r="H8" s="119"/>
      <c r="I8" s="510" t="inlineStr">
        <is>
          <t>Additional rate applicable above the higher rate limit</t>
        </is>
      </c>
      <c r="J8" s="119"/>
      <c r="K8" s="119"/>
      <c r="L8" s="119"/>
      <c r="M8" s="119"/>
      <c r="N8" s="128">
        <v>0.45</v>
      </c>
      <c r="O8" s="125"/>
    </row>
    <row r="9" spans="1:15" ht="12" customHeight="1" x14ac:dyDescent="0.15">
      <c r="A9" s="119"/>
      <c r="B9" s="123">
        <v>45900</v>
      </c>
      <c r="C9" s="119"/>
      <c r="D9" s="119"/>
      <c r="E9" s="125"/>
      <c r="F9" s="119"/>
      <c r="G9" s="125"/>
      <c r="H9" s="119"/>
      <c r="I9" s="510" t="s">
        <v>81</v>
      </c>
      <c r="J9" s="517"/>
      <c r="K9" s="517"/>
      <c r="L9" s="131" t="s">
        <v>82</v>
      </c>
      <c r="M9" s="131" t="s">
        <v>83</v>
      </c>
      <c r="N9" s="132" t="s">
        <v>84</v>
      </c>
      <c r="O9" s="125"/>
    </row>
    <row r="10" spans="1:15" ht="12" customHeight="1" x14ac:dyDescent="0.15">
      <c r="A10" s="119"/>
      <c r="B10" s="123">
        <v>45930</v>
      </c>
      <c r="C10" s="119"/>
      <c r="D10" s="119"/>
      <c r="E10" s="125"/>
      <c r="F10" s="119"/>
      <c r="G10" s="125"/>
      <c r="H10" s="119"/>
      <c r="I10" s="119"/>
      <c r="J10" s="119"/>
      <c r="K10" s="119"/>
      <c r="L10" s="119"/>
      <c r="M10" s="119"/>
      <c r="N10" s="125"/>
      <c r="O10" s="125"/>
    </row>
    <row r="11" spans="1:15" ht="12" customHeight="1" x14ac:dyDescent="0.15">
      <c r="A11" s="119"/>
      <c r="B11" s="123">
        <v>45961</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45991</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46022</v>
      </c>
      <c r="C13" s="119"/>
      <c r="D13" s="510" t="s">
        <v>88</v>
      </c>
      <c r="E13" s="510"/>
      <c r="F13" s="510"/>
      <c r="G13" s="128">
        <v>0</v>
      </c>
      <c r="H13" s="119"/>
      <c r="I13" s="119" t="inlineStr">
        <is>
          <t>Additional rate</t>
        </is>
      </c>
      <c r="J13" s="119"/>
      <c r="K13" s="133">
        <v>0.45</v>
      </c>
      <c r="L13" s="125">
        <v>125141</v>
      </c>
      <c r="M13" s="119"/>
      <c r="N13" s="130">
        <v>125140</v>
      </c>
      <c r="O13" s="119"/>
    </row>
    <row r="14" spans="1:15" ht="12" customHeight="1" x14ac:dyDescent="0.15">
      <c r="A14" s="119"/>
      <c r="B14" s="123">
        <v>46053</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46081</v>
      </c>
      <c r="C15" s="119"/>
      <c r="D15" s="510" t="s">
        <v>91</v>
      </c>
      <c r="E15" s="510"/>
      <c r="F15" s="510"/>
      <c r="G15" s="128">
        <v>0.2</v>
      </c>
      <c r="H15" s="119"/>
      <c r="I15" s="119"/>
      <c r="J15" s="119"/>
      <c r="K15" s="119"/>
      <c r="L15" s="119"/>
      <c r="M15" s="119"/>
      <c r="N15" s="119"/>
      <c r="O15" s="119"/>
    </row>
    <row r="16" spans="1:15" ht="12" customHeight="1" thickBot="1" x14ac:dyDescent="0.2">
      <c r="A16" s="119"/>
      <c r="B16" s="123">
        <v>46112</v>
      </c>
      <c r="C16" s="119"/>
      <c r="D16" s="510" t="s">
        <v>92</v>
      </c>
      <c r="E16" s="510"/>
      <c r="F16" s="510"/>
      <c r="G16" s="128">
        <v>0.33</v>
      </c>
      <c r="H16" s="119"/>
      <c r="I16" s="510" t="s">
        <v>93</v>
      </c>
      <c r="J16" s="510"/>
      <c r="K16" s="510"/>
      <c r="L16" s="135">
        <v>0</v>
      </c>
      <c r="M16" s="158" t="s">
        <v>313</v>
      </c>
      <c r="N16" s="119"/>
      <c r="O16" s="119"/>
    </row>
    <row r="17" spans="1:15" ht="12" customHeight="1" thickBot="1" x14ac:dyDescent="0.2">
      <c r="A17" s="119"/>
      <c r="B17" s="127">
        <v>46117</v>
      </c>
      <c r="C17" s="119"/>
      <c r="D17" s="510" t="s">
        <v>94</v>
      </c>
      <c r="E17" s="510"/>
      <c r="F17" s="510"/>
      <c r="G17" s="128">
        <v>0.25</v>
      </c>
      <c r="H17" s="119"/>
      <c r="I17" s="119"/>
      <c r="J17" s="119"/>
      <c r="K17" s="119"/>
      <c r="L17" s="137"/>
      <c r="M17" s="119"/>
      <c r="N17" s="119"/>
      <c r="O17" s="119"/>
    </row>
    <row r="18" spans="1:15" ht="12" customHeight="1" x14ac:dyDescent="0.15">
      <c r="A18" s="119"/>
      <c r="B18" s="123">
        <v>46142</v>
      </c>
      <c r="C18" s="119"/>
      <c r="D18" s="119"/>
      <c r="E18" s="119"/>
      <c r="F18" s="119"/>
      <c r="G18" s="125"/>
      <c r="H18" s="119"/>
      <c r="I18" s="119"/>
      <c r="J18" s="119"/>
      <c r="K18" s="119"/>
      <c r="L18" s="119"/>
      <c r="M18" s="119"/>
      <c r="N18" s="119"/>
      <c r="O18" s="119"/>
    </row>
    <row r="19" spans="1:15" ht="12" customHeight="1" x14ac:dyDescent="0.15">
      <c r="A19" s="119"/>
      <c r="B19" s="123">
        <v>46173</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46203</v>
      </c>
      <c r="C20" s="119"/>
      <c r="D20" s="121"/>
      <c r="E20" s="121"/>
      <c r="F20" s="125"/>
      <c r="G20" s="125"/>
      <c r="H20" s="119"/>
      <c r="I20" s="522"/>
      <c r="J20" s="522"/>
      <c r="K20" s="522"/>
      <c r="L20" s="328">
        <v>0.06</v>
      </c>
      <c r="M20" s="521"/>
      <c r="N20" s="130">
        <v>12570</v>
      </c>
      <c r="O20" s="125" t="s">
        <v>50</v>
      </c>
    </row>
    <row r="21" spans="1:15" ht="12" customHeight="1" x14ac:dyDescent="0.15">
      <c r="A21" s="119"/>
      <c r="B21" s="123">
        <v>46418</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46599</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s">
        <v>312</v>
      </c>
      <c r="C23" s="119"/>
      <c r="D23" s="119"/>
      <c r="E23" s="119"/>
      <c r="F23" s="125"/>
      <c r="G23" s="137"/>
      <c r="H23" s="119"/>
      <c r="I23" s="522"/>
      <c r="J23" s="522"/>
      <c r="K23" s="522"/>
      <c r="L23" s="328">
        <v>0.02</v>
      </c>
      <c r="M23" s="521"/>
      <c r="N23" s="130">
        <v>50270</v>
      </c>
      <c r="O23" s="125" t="s">
        <v>50</v>
      </c>
    </row>
    <row r="24" spans="1:15" ht="12" customHeight="1" thickBot="1" x14ac:dyDescent="0.2">
      <c r="A24" s="119"/>
      <c r="B24" s="127" t="s">
        <v>314</v>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