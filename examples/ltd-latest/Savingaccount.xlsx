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l" sheetId="1" state="visible" r:id="rId3"/>
    <sheet name="Aug" sheetId="2" state="visible" r:id="rId4"/>
    <sheet name="Sep" sheetId="3" state="visible" r:id="rId5"/>
    <sheet name="Oct" sheetId="4" state="visible" r:id="rId6"/>
    <sheet name="Nov" sheetId="5" state="visible" r:id="rId7"/>
    <sheet name="Dec" sheetId="6" state="visible" r:id="rId8"/>
    <sheet name="Jan" sheetId="7" state="visible" r:id="rId9"/>
    <sheet name="Feb" sheetId="8" state="visible" r:id="rId10"/>
    <sheet name="Mar" sheetId="9" state="visible" r:id="rId11"/>
    <sheet name="Apr" sheetId="10" state="visible" r:id="rId12"/>
    <sheet name="May" sheetId="11" state="visible" r:id="rId13"/>
    <sheet name="Jun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<sst xmlns="http://schemas.openxmlformats.org/spreadsheetml/2006/main" count="881" uniqueCount="60">
  <si>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</si>
  <si>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</si>
  <si>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</si>
  <si>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</si>
  <si>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</si>
  <si>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</si>
  <si>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</si>
  <si>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</si>
  <si>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</si>
  <si>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</si>
  <si>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</si>
  <si>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</si>
  <si>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</si>
  <si>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</si>
  <si>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</si>
  <si>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</si>
  <si>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</si>
  <si>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</si>
  <si>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</si>
  <si>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</si>
  <si>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</si>
  <si>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</si>
  <si>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</si>
  <si>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</si>
  <si>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</si>
  <si>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</si>
  <si>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</si>
  <si>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</si>
  <si>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</si>
  <si>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</si>
  <si>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</si>
  <si>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</si>
  <si>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</si>
  <si>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</si>
  <si>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</si>
  <si>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</si>
  <si>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</si>
  <si>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</si>
  <si>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</si>
  <si>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</si>
  <si>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</si>
  <si>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</si>
  <si>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</si>
  <si>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</si>
  <si>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</si>
  <si>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</si>
  <si>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</si>
  <si>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</si>
  <si>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</si>
  <si>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</si>
  <si>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</si>
  <si>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</si>
  <si>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</si>
  <si>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</si>
  <si>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</si>
  <si>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</si>
  <si>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</si>
  <si>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&lt;  Opening Bank Balance</t>
  </si>
  <si>
    <t xml:space="preserve">HSBC Savings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</si>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</sst>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C1" s="8" t="n">
        <f aca="false">[1]Admin!$B$9</f>
        <v>45748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Jul!A2</f>
        <v>5000</v>
      </c>
      <c r="B1" s="46" t="s">
        <v>57</v>
      </c>
      <c r="C1" s="8" t="n">
        <f aca="false">[1]Admin!$B$11</f>
        <v>45778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Aug!A2</f>
        <v>5000</v>
      </c>
      <c r="B1" s="46" t="s">
        <v>57</v>
      </c>
      <c r="C1" s="8" t="n">
        <f aca="false">[1]Admin!$B$13</f>
        <v>45809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Sep!A2</f>
        <v>5000</v>
      </c>
      <c r="B1" s="46" t="s">
        <v>57</v>
      </c>
      <c r="C1" s="8" t="n">
        <f aca="false">[1]Admin!$B$15</f>
        <v>45839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Oct!A2</f>
        <v>5000</v>
      </c>
      <c r="B1" s="46" t="s">
        <v>57</v>
      </c>
      <c r="C1" s="8" t="n">
        <f aca="false">[1]Admin!$B$17</f>
        <v>45870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Nov!A2</f>
        <v>5000</v>
      </c>
      <c r="B1" s="46" t="s">
        <v>57</v>
      </c>
      <c r="C1" s="8" t="n">
        <f aca="false">[1]Admin!$B$19</f>
        <v>45901</v>
      </c>
      <c r="D1" s="9" t="s">
        <v>0</v>
      </c>
      <c r="E1" s="10" t="n">
        <f aca="false">F1-SUM(G1:Q1)</f>
        <v>0</v>
      </c>
      <c r="F1" s="11" t="n">
        <f aca="false">SUM(F6:F200)</f>
        <v>125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125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A6" s="1" t="n">
        <v>46021</v>
      </c>
      <c r="B6" s="2" t="s">
        <v>58</v>
      </c>
      <c r="E6" s="5" t="s">
        <v>46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n">
        <f aca="false">IF(E6="RV",F6," ")</f>
        <v>125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Dec!A2</f>
        <v>5125</v>
      </c>
      <c r="B1" s="46" t="s">
        <v>57</v>
      </c>
      <c r="C1" s="8" t="n">
        <f aca="false">[1]Admin!$B$21</f>
        <v>45931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Jan!A2</f>
        <v>5125</v>
      </c>
      <c r="B1" s="46" t="s">
        <v>57</v>
      </c>
      <c r="C1" s="8" t="n">
        <f aca="false">[1]Admin!$B$23</f>
        <v>45962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Feb!A2</f>
        <v>5125</v>
      </c>
      <c r="B1" s="46" t="s">
        <v>57</v>
      </c>
      <c r="C1" s="8" t="n">
        <f aca="false">[1]Admin!$B$25</f>
        <v>45992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Mar!A2</f>
        <v>5125</v>
      </c>
      <c r="B1" s="46" t="s">
        <v>57</v>
      </c>
      <c r="C1" s="8" t="n">
        <f aca="false">[1]Admin!$B$27</f>
        <v>46023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Apr!A2</f>
        <v>5125</v>
      </c>
      <c r="B1" s="46" t="s">
        <v>57</v>
      </c>
      <c r="C1" s="8" t="n">
        <f aca="false">[1]Admin!$B$29</f>
        <v>46054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May!A2</f>
        <v>5125</v>
      </c>
      <c r="B1" s="46" t="s">
        <v>57</v>
      </c>
      <c r="C1" s="8" t="n">
        <f aca="false">[1]Admin!$B$31</f>
        <v>46082</v>
      </c>
      <c r="D1" s="9" t="s">
        <v>0</v>
      </c>
      <c r="E1" s="10" t="n">
        <f aca="false">F1-SUM(G1:Q1)</f>
        <v>0</v>
      </c>
      <c r="F1" s="11" t="n">
        <f aca="false">SUM(F6:F200)</f>
        <v>5150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150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5000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10275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10275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A6" s="1" t="n">
        <v>46188</v>
      </c>
      <c r="B6" s="2" t="s">
        <v>59</v>
      </c>
      <c r="E6" s="5" t="s">
        <v>49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46204</v>
      </c>
      <c r="B7" s="2" t="s">
        <v>58</v>
      </c>
      <c r="E7" s="5" t="s">
        <v>46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n">
        <f aca="false">IF(E7="RV",F7," ")</f>
        <v>150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