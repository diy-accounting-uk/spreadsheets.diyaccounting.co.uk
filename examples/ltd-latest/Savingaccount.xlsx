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<sst xmlns="http://schemas.openxmlformats.org/spreadsheetml/2006/main" count="888" uniqueCount="65">
  <si>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</si>
  <si>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</si>
  <si>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</si>
  <si>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</si>
  <si>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</si>
  <si>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SAVINGS ACCOUNT STATEMENT RECEIPTS</t>
  </si>
  <si>
    <t xml:space="preserve">Enter Purchase Invoice No.</t>
  </si>
  <si>
    <t xml:space="preserve">Cheque number  Direct Debit</t>
  </si>
  <si>
    <t xml:space="preserve">SAVINGS ACCOUNT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</si>
  <si>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</si>
  <si>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</si>
  <si>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</si>
  <si>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From Cr Card</t>
  </si>
  <si>
    <t xml:space="preserve">Transfers From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</si>
  <si>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</si>
  <si>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</si>
  <si>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</si>
  <si>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</si>
  <si>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</si>
  <si>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 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</si>
  <si>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</si>
  <si>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</si>
  <si>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</si>
  <si>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</si>
  <si>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</si>
  <si>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</si>
  <si>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</si>
  <si>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</si>
  <si>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</si>
  <si>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</si>
  <si>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</si>
  <si>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</si>
  <si>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</si>
  <si>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</si>
  <si>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</si>
  <si>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</si>
  <si>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</si>
  <si>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</si>
  <si>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</si>
  <si>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</si>
  <si>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</si>
  <si>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</si>
  <si>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</si>
  <si>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</si>
  <si>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</si>
  <si>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</si>
  <si>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</si>
  <si>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</si>
  <si>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</si>
  <si>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</si>
  <si>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</si>
  <si>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</si>
  <si>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</si>
  <si>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</si>
  <si>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</si>
  <si>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</si>
  <si>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</si>
  <si>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</si>
  <si>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HSBC Savings</t>
  </si>
  <si>
    <t xml:space="preserve">BNK-SAV-003</t>
  </si>
  <si>
    <t xml:space="preserve">Savings interest</t>
  </si>
  <si>
    <t xml:space="preserve">Internal transfer</t>
  </si>
  <si>
    <t xml:space="preserve">BNK-SAV-002</t>
  </si>
  <si>
    <t xml:space="preserve">Transfer from current account</t>
  </si>
  <si>
    <t xml:space="preserve">BNK-SAV-004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</si>
</sst>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5000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Nov!A2</f>
        <v>5000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Dec!A2</f>
        <v>5000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Jan!A2</f>
        <v>5000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Feb!A2</f>
        <v>5000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5000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Mar!A2</f>
        <v>5000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125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125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46142</v>
      </c>
      <c r="B6" s="2" t="s">
        <v>58</v>
      </c>
      <c r="C6" s="3" t="s">
        <v>59</v>
      </c>
      <c r="D6" s="4" t="s">
        <v>60</v>
      </c>
      <c r="E6" s="5" t="s">
        <v>44</v>
      </c>
      <c r="F6" s="6" t="n">
        <v>125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n">
        <f aca="false">IF(E6="K",F6," ")</f>
        <v>125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Apr!A2</f>
        <v>5125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May!A2</f>
        <v>5125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Jun!A2</f>
        <v>5125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Jul!A2</f>
        <v>5125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Aug!A2</f>
        <v>5125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5125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5125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6" t="n">
        <f aca="false">Sep!A2</f>
        <v>5125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5150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150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10275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10275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46310</v>
      </c>
      <c r="B6" s="2" t="s">
        <v>61</v>
      </c>
      <c r="C6" s="3" t="s">
        <v>62</v>
      </c>
      <c r="D6" s="4" t="s">
        <v>63</v>
      </c>
      <c r="E6" s="5" t="s">
        <v>50</v>
      </c>
      <c r="F6" s="6" t="n">
        <v>5000</v>
      </c>
      <c r="G6" s="6" t="str">
        <f aca="false">IF(E6="BB",F6,"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5000</v>
      </c>
      <c r="R6" s="37"/>
      <c r="W6" s="6" t="str">
        <f aca="false">IF(X6&lt;&gt;0,"Enter Code"," ")</f>
        <v> </v>
      </c>
      <c r="Y6" s="6" t="str">
        <f aca="false">IF(W6="BB",X6,"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46326</v>
      </c>
      <c r="B7" s="2" t="s">
        <v>58</v>
      </c>
      <c r="C7" s="3" t="s">
        <v>64</v>
      </c>
      <c r="D7" s="4" t="s">
        <v>60</v>
      </c>
      <c r="E7" s="5" t="s">
        <v>44</v>
      </c>
      <c r="F7" s="6" t="n">
        <v>150</v>
      </c>
      <c r="G7" s="6" t="str">
        <f aca="false">IF(E7="BB",F7,"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n">
        <f aca="false">IF(E7="K",F7," ")</f>
        <v>150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38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38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38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38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38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38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38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38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38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38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38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38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38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38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38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38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38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38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38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38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38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38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38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38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38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38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38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38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38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38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38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38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38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38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38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38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38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38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38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38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38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38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38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38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38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38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38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38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38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38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38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38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38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38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38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38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38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38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38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38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38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38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38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38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38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38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38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38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38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38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38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38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38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38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38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38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38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38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38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38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38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38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38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38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38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38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38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38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38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38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38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38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38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38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38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38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38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38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38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38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38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38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38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38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38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38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38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38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38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38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38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38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38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38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38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38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38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38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38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38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38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38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38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38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38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38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38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38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38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38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38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38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38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38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38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38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38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38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38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38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38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38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38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38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38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38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38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38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38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38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38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38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38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38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38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38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38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38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38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38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38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38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38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38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38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38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38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7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39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38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38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38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38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38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38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38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38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38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38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38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38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38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38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38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38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38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38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38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38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38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38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38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38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IF(E200="BD",F200," ")</f>
        <v> </v>
      </c>
      <c r="I200" s="45" t="str">
        <f aca="false">IF(E200="BC",F200,"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IF(E200="RV",F200," ")</f>
        <v> </v>
      </c>
      <c r="O200" s="45" t="str">
        <f aca="false">IF(E200="RC",F200," ")</f>
        <v> </v>
      </c>
      <c r="P200" s="45" t="str">
        <f aca="false">IF(E200="DL",F200," ")</f>
        <v> </v>
      </c>
      <c r="Q200" s="45" t="str">
        <f aca="false">IF(E200="X",F200," ")</f>
        <v> </v>
      </c>
      <c r="R200" s="39"/>
      <c r="S200" s="40"/>
      <c r="T200" s="43"/>
      <c r="U200" s="42"/>
      <c r="V200" s="42"/>
      <c r="W200" s="45" t="str">
        <f aca="false">IF(X200&lt;&gt;0,"Enter Code"," ")</f>
        <v> </v>
      </c>
      <c r="X200" s="45"/>
      <c r="Y200" s="45" t="str">
        <f aca="false">IF(W200="BB",X200," ")</f>
        <v> </v>
      </c>
      <c r="Z200" s="45" t="str">
        <f aca="false">IF(W200="BD",X200," ")</f>
        <v> </v>
      </c>
      <c r="AA200" s="45" t="str">
        <f aca="false">IF(W200="BC",X200," ")</f>
        <v> </v>
      </c>
      <c r="AB200" s="45" t="str">
        <f aca="false">IF(W200="CR",X200," ")</f>
        <v> </v>
      </c>
      <c r="AC200" s="45" t="str">
        <f aca="false">IF(W200="W",X200," ")</f>
        <v> </v>
      </c>
      <c r="AD200" s="45" t="str">
        <f aca="false">IF(W200="B",X200," ")</f>
        <v> </v>
      </c>
      <c r="AE200" s="45" t="str">
        <f aca="false">IF(W200="J",X200," ")</f>
        <v> </v>
      </c>
      <c r="AF200" s="45" t="str">
        <f aca="false">IF(W200="LDR",X200," ")</f>
        <v> </v>
      </c>
      <c r="AG200" s="45" t="str">
        <f aca="false">IF(W200="LCR",X200," ")</f>
        <v> </v>
      </c>
      <c r="AH200" s="45" t="str">
        <f aca="false">IF(W200="RP",X200," ")</f>
        <v> </v>
      </c>
      <c r="AI200" s="45" t="str">
        <f aca="false">IF(W200="RV",X200," ")</f>
        <v> </v>
      </c>
      <c r="AJ200" s="45" t="str">
        <f aca="false">IF(W200="RC",X200," ")</f>
        <v> </v>
      </c>
      <c r="AK200" s="45" t="str">
        <f aca="false">IF(W200="RT",X200," ")</f>
        <v> </v>
      </c>
      <c r="AL200" s="45" t="str">
        <f aca="false">IF(W200="DV",X200," ")</f>
        <v> </v>
      </c>
      <c r="AM200" s="45" t="str">
        <f aca="false">IF(W200="DL",X200," ")</f>
        <v> </v>
      </c>
      <c r="AN200" s="45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2007-03-02T15:27:34Z</cp:lastPrinted>
  <dcterms:modified xsi:type="dcterms:W3CDTF">2025-04-03T23:05:26Z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