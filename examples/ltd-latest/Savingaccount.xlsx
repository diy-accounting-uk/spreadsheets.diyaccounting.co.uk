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" sheetId="1" state="visible" r:id="rId3"/>
    <sheet name="Dec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<sst xmlns="http://schemas.openxmlformats.org/spreadsheetml/2006/main" count="888" uniqueCount="65">
  <si>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</si>
  <si>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</si>
  <si>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</si>
  <si>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</si>
  <si>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</si>
  <si>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SAVINGS ACCOUNT STATEMENT RECEIPTS</t>
  </si>
  <si>
    <t xml:space="preserve">Enter Purchase Invoice No.</t>
  </si>
  <si>
    <t xml:space="preserve">Cheque number  Direct Debit</t>
  </si>
  <si>
    <t xml:space="preserve">SAVINGS ACCOUNT STATEMENT PAYMENTS</t>
  </si>
  <si>
    <t xml:space="preserve">&lt;  Statement Bank Balance</t>
  </si>
  <si>
    <t xml:space="preserve">Amounts received from each Source</t>
  </si>
  <si>
    <t xml:space="preserve">Transfers From Current</t>
  </si>
  <si>
    <t xml:space="preserve">Transfers From Cr Card</t>
  </si>
  <si>
    <t xml:space="preserve">Transfers From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</si>
  <si>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</si>
  <si>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</si>
  <si>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</si>
  <si>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</si>
  <si>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</si>
  <si>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 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</si>
  <si>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</si>
  <si>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</si>
  <si>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</si>
  <si>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Current</t>
  </si>
  <si>
    <t xml:space="preserve">Transfers      To     Credit Card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</si>
  <si>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</si>
  <si>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</si>
  <si>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</si>
  <si>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</si>
  <si>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</si>
  <si>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</si>
  <si>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</si>
  <si>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</si>
  <si>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</si>
  <si>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</si>
  <si>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</si>
  <si>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</si>
  <si>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</si>
  <si>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</si>
  <si>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</si>
  <si>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</si>
  <si>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BD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</si>
  <si>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</si>
  <si>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</si>
  <si>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</si>
  <si>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</si>
  <si>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</si>
  <si>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</si>
  <si>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</si>
  <si>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</si>
  <si>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</si>
  <si>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</si>
  <si>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</si>
  <si>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</si>
  <si>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</si>
  <si>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</si>
  <si>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</si>
  <si>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</si>
  <si>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HSBC Savings</t>
  </si>
  <si>
    <t xml:space="preserve">BNK-SAV-003</t>
  </si>
  <si>
    <t xml:space="preserve">Savings interest</t>
  </si>
  <si>
    <t xml:space="preserve">Internal transfer</t>
  </si>
  <si>
    <t xml:space="preserve">BNK-SAV-002</t>
  </si>
  <si>
    <t xml:space="preserve">Transfer from current account</t>
  </si>
  <si>
    <t xml:space="preserve">BNK-SAV-004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</si>
</sst>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77048af5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46327</v>
          </cell>
        </row>
        <row r="10">
          <cell r="B10">
            <v>46356</v>
          </cell>
        </row>
        <row r="11">
          <cell r="B11">
            <v>46357</v>
          </cell>
        </row>
        <row r="12">
          <cell r="B12">
            <v>46387</v>
          </cell>
        </row>
        <row r="13">
          <cell r="B13">
            <v>46388</v>
          </cell>
        </row>
        <row r="14">
          <cell r="B14">
            <v>46418</v>
          </cell>
        </row>
        <row r="15">
          <cell r="B15">
            <v>46419</v>
          </cell>
        </row>
        <row r="16">
          <cell r="B16">
            <v>46446</v>
          </cell>
        </row>
        <row r="17">
          <cell r="B17">
            <v>46447</v>
          </cell>
        </row>
        <row r="18">
          <cell r="B18">
            <v>46477</v>
          </cell>
        </row>
        <row r="19">
          <cell r="B19">
            <v>46478</v>
          </cell>
        </row>
        <row r="20">
          <cell r="B20">
            <v>46507</v>
          </cell>
        </row>
        <row r="21">
          <cell r="B21">
            <v>46508</v>
          </cell>
        </row>
        <row r="22">
          <cell r="B22">
            <v>46538</v>
          </cell>
        </row>
        <row r="23">
          <cell r="B23">
            <v>46539</v>
          </cell>
        </row>
        <row r="24">
          <cell r="B24">
            <v>46568</v>
          </cell>
        </row>
        <row r="25">
          <cell r="B25">
            <v>46569</v>
          </cell>
        </row>
        <row r="26">
          <cell r="B26">
            <v>46599</v>
          </cell>
        </row>
        <row r="27">
          <cell r="B27">
            <v>46600</v>
          </cell>
        </row>
        <row r="28">
          <cell r="B28">
            <v>46630</v>
          </cell>
        </row>
        <row r="29">
          <cell r="B29">
            <v>46631</v>
          </cell>
        </row>
        <row r="30">
          <cell r="B30">
            <v>46660</v>
          </cell>
        </row>
        <row r="31">
          <cell r="B31">
            <v>46661</v>
          </cell>
        </row>
        <row r="32">
          <cell r="B32">
            <v>46691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 t="n">
        <v>5000</v>
      </c>
      <c r="B1" s="8" t="s">
        <v>0</v>
      </c>
      <c r="C1" s="9" t="n">
        <f aca="false">[1]Admin!$B$9</f>
        <v>46327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5000</v>
      </c>
      <c r="B2" s="18" t="s">
        <v>2</v>
      </c>
      <c r="C2" s="9" t="n">
        <f aca="false">[1]Admin!$B$10</f>
        <v>46356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46356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Nov!A2</f>
        <v>5000</v>
      </c>
      <c r="B1" s="8" t="s">
        <v>0</v>
      </c>
      <c r="C1" s="9" t="n">
        <f aca="false">[1]Admin!$B$11</f>
        <v>46357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5000</v>
      </c>
      <c r="B2" s="18" t="s">
        <v>2</v>
      </c>
      <c r="C2" s="9" t="n">
        <f aca="false">[1]Admin!$B$12</f>
        <v>46387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46387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Dec!A2</f>
        <v>5000</v>
      </c>
      <c r="B1" s="8" t="s">
        <v>0</v>
      </c>
      <c r="C1" s="9" t="n">
        <f aca="false">[1]Admin!$B$13</f>
        <v>46388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5000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46418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Jan!A2</f>
        <v>5000</v>
      </c>
      <c r="B1" s="8" t="s">
        <v>0</v>
      </c>
      <c r="C1" s="9" t="n">
        <f aca="false">[1]Admin!$B$15</f>
        <v>46419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5000</v>
      </c>
      <c r="B2" s="18" t="s">
        <v>2</v>
      </c>
      <c r="C2" s="9" t="n">
        <f aca="false">[1]Admin!$B$16</f>
        <v>46446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46446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Feb!A2</f>
        <v>5000</v>
      </c>
      <c r="B1" s="8" t="s">
        <v>0</v>
      </c>
      <c r="C1" s="9" t="n">
        <f aca="false">[1]Admin!$B$17</f>
        <v>46447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5000</v>
      </c>
      <c r="B2" s="18" t="s">
        <v>2</v>
      </c>
      <c r="C2" s="9" t="n">
        <f aca="false">[1]Admin!$B$18</f>
        <v>46477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46477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5000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Mar!A2</f>
        <v>5000</v>
      </c>
      <c r="B1" s="8" t="s">
        <v>0</v>
      </c>
      <c r="C1" s="9" t="n">
        <f aca="false">[1]Admin!$B$19</f>
        <v>46478</v>
      </c>
      <c r="D1" s="10" t="s">
        <v>1</v>
      </c>
      <c r="E1" s="11" t="n">
        <f aca="false">F1-SUM(G1:Q1)</f>
        <v>0</v>
      </c>
      <c r="F1" s="12" t="n">
        <f aca="false">SUM(F6:F200)</f>
        <v>125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125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[1]Admin!$B$20</f>
        <v>46507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46507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46507</v>
      </c>
      <c r="B6" s="2" t="s">
        <v>58</v>
      </c>
      <c r="C6" s="3" t="s">
        <v>59</v>
      </c>
      <c r="D6" s="4" t="s">
        <v>60</v>
      </c>
      <c r="E6" s="5" t="s">
        <v>44</v>
      </c>
      <c r="F6" s="6" t="n">
        <v>125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n">
        <f aca="false">IF(E6="K",F6," ")</f>
        <v>125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Apr!A2</f>
        <v>5125</v>
      </c>
      <c r="B1" s="8" t="s">
        <v>0</v>
      </c>
      <c r="C1" s="9" t="n">
        <f aca="false">[1]Admin!$B$21</f>
        <v>46508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[1]Admin!$B$22</f>
        <v>46538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46538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May!A2</f>
        <v>5125</v>
      </c>
      <c r="B1" s="8" t="s">
        <v>0</v>
      </c>
      <c r="C1" s="9" t="n">
        <f aca="false">[1]Admin!$B$23</f>
        <v>46539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[1]Admin!$B$24</f>
        <v>46568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46568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Jun!A2</f>
        <v>5125</v>
      </c>
      <c r="B1" s="8" t="s">
        <v>0</v>
      </c>
      <c r="C1" s="9" t="n">
        <f aca="false">[1]Admin!$B$25</f>
        <v>46569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[1]Admin!$B$26</f>
        <v>46599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46599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Jul!A2</f>
        <v>5125</v>
      </c>
      <c r="B1" s="8" t="s">
        <v>0</v>
      </c>
      <c r="C1" s="9" t="n">
        <f aca="false">[1]Admin!$B$27</f>
        <v>46600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[1]Admin!$B$28</f>
        <v>46630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46630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Aug!A2</f>
        <v>5125</v>
      </c>
      <c r="B1" s="8" t="s">
        <v>0</v>
      </c>
      <c r="C1" s="9" t="n">
        <f aca="false">[1]Admin!$B$29</f>
        <v>46631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5125</v>
      </c>
      <c r="B2" s="18" t="s">
        <v>2</v>
      </c>
      <c r="C2" s="9" t="n">
        <f aca="false">[1]Admin!$B$30</f>
        <v>46660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46660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5125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6" t="n">
        <f aca="false">Sep!A2</f>
        <v>5125</v>
      </c>
      <c r="B1" s="8" t="s">
        <v>0</v>
      </c>
      <c r="C1" s="9" t="n">
        <f aca="false">[1]Admin!$B$31</f>
        <v>46661</v>
      </c>
      <c r="D1" s="10" t="s">
        <v>1</v>
      </c>
      <c r="E1" s="11" t="n">
        <f aca="false">F1-SUM(G1:Q1)</f>
        <v>0</v>
      </c>
      <c r="F1" s="12" t="n">
        <f aca="false">SUM(F6:F200)</f>
        <v>5150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150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5000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10275</v>
      </c>
      <c r="B2" s="18" t="s">
        <v>2</v>
      </c>
      <c r="C2" s="9" t="n">
        <f aca="false">[1]Admin!$B$32</f>
        <v>46691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46691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customFormat="false" ht="19.5" hidden="false" customHeight="true" outlineLevel="0" collapsed="false">
      <c r="A4" s="29" t="n">
        <f aca="false">A2-A3</f>
        <v>10275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1" t="n">
        <v>46675</v>
      </c>
      <c r="B6" s="2" t="s">
        <v>61</v>
      </c>
      <c r="C6" s="3" t="s">
        <v>62</v>
      </c>
      <c r="D6" s="4" t="s">
        <v>63</v>
      </c>
      <c r="E6" s="5" t="s">
        <v>50</v>
      </c>
      <c r="F6" s="6" t="n">
        <v>5000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5000</v>
      </c>
      <c r="R6" s="37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A7" s="1" t="n">
        <v>46691</v>
      </c>
      <c r="B7" s="2" t="s">
        <v>58</v>
      </c>
      <c r="C7" s="3" t="s">
        <v>64</v>
      </c>
      <c r="D7" s="4" t="s">
        <v>60</v>
      </c>
      <c r="E7" s="5" t="s">
        <v>44</v>
      </c>
      <c r="F7" s="6" t="n">
        <v>150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n">
        <f aca="false">IF(E7="K",F7," ")</f>
        <v>150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8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8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8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8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8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8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8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8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8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8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8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8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8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8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8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8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8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8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8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8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8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8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8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8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8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8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8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8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8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8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8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8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8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8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8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8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8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8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8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8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8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8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8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8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8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8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8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8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8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8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8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8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8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8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8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8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8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8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8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8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8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8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8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8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8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8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8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8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8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8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8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8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8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8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8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8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8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8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8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8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8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8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8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8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8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8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8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8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8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8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8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8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8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8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8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8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8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8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8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8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8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8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8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8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8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8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8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8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8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8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8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8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8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8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8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8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8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8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8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8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8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8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8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8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8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8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8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8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8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8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8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8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8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8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8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8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8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8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8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8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8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8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8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8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8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8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8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8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8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8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8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8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8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8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8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8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8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8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8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8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8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8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8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8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8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8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8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7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9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8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8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8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8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8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8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8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8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8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8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8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8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8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8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8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8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8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8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8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8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8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8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8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8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IF(E200="BD",F200," ")</f>
        <v> </v>
      </c>
      <c r="I200" s="45" t="str">
        <f aca="false">IF(E200="BC",F200,"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IF(E200="RV",F200," ")</f>
        <v> </v>
      </c>
      <c r="O200" s="45" t="str">
        <f aca="false">IF(E200="RC",F200," ")</f>
        <v> </v>
      </c>
      <c r="P200" s="45" t="str">
        <f aca="false">IF(E200="DL",F200," ")</f>
        <v> </v>
      </c>
      <c r="Q200" s="45" t="str">
        <f aca="false">IF(E200="X",F200," ")</f>
        <v> </v>
      </c>
      <c r="R200" s="39"/>
      <c r="S200" s="40"/>
      <c r="T200" s="43"/>
      <c r="U200" s="42"/>
      <c r="V200" s="42"/>
      <c r="W200" s="45" t="str">
        <f aca="false">IF(X200&lt;&gt;0,"Enter Code"," ")</f>
        <v> </v>
      </c>
      <c r="X200" s="45"/>
      <c r="Y200" s="45" t="str">
        <f aca="false">IF(W200="BB",X200," ")</f>
        <v> </v>
      </c>
      <c r="Z200" s="45" t="str">
        <f aca="false">IF(W200="BD",X200," ")</f>
        <v> </v>
      </c>
      <c r="AA200" s="45" t="str">
        <f aca="false">IF(W200="BC",X200," ")</f>
        <v> </v>
      </c>
      <c r="AB200" s="45" t="str">
        <f aca="false">IF(W200="CR",X200," ")</f>
        <v> </v>
      </c>
      <c r="AC200" s="45" t="str">
        <f aca="false">IF(W200="W",X200," ")</f>
        <v> </v>
      </c>
      <c r="AD200" s="45" t="str">
        <f aca="false">IF(W200="B",X200," ")</f>
        <v> </v>
      </c>
      <c r="AE200" s="45" t="str">
        <f aca="false">IF(W200="J",X200," ")</f>
        <v> </v>
      </c>
      <c r="AF200" s="45" t="str">
        <f aca="false">IF(W200="LDR",X200," ")</f>
        <v> </v>
      </c>
      <c r="AG200" s="45" t="str">
        <f aca="false">IF(W200="LCR",X200," ")</f>
        <v> </v>
      </c>
      <c r="AH200" s="45" t="str">
        <f aca="false">IF(W200="RP",X200," ")</f>
        <v> </v>
      </c>
      <c r="AI200" s="45" t="str">
        <f aca="false">IF(W200="RV",X200," ")</f>
        <v> </v>
      </c>
      <c r="AJ200" s="45" t="str">
        <f aca="false">IF(W200="RC",X200," ")</f>
        <v> </v>
      </c>
      <c r="AK200" s="45" t="str">
        <f aca="false">IF(W200="RT",X200," ")</f>
        <v> </v>
      </c>
      <c r="AL200" s="45" t="str">
        <f aca="false">IF(W200="DV",X200," ")</f>
        <v> </v>
      </c>
      <c r="AM200" s="45" t="str">
        <f aca="false">IF(W200="DL",X200," ")</f>
        <v> </v>
      </c>
      <c r="AN200" s="45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2007-03-02T15:27:34Z</cp:lastPrinted>
  <dcterms:modified xsi:type="dcterms:W3CDTF">2025-04-03T23:05:26Z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