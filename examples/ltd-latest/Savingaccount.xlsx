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<sst xmlns="http://schemas.openxmlformats.org/spreadsheetml/2006/main" count="882" uniqueCount="60">
  <si>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</si>
  <si>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</si>
  <si>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</si>
  <si>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</si>
  <si>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</si>
  <si>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</si>
  <si>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</si>
  <si>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</si>
  <si>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</si>
  <si>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</si>
  <si>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</si>
  <si>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</si>
  <si>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</si>
  <si>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</si>
  <si>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</si>
  <si>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</si>
  <si>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</si>
  <si>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</si>
  <si>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</si>
  <si>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</si>
  <si>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</si>
  <si>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</si>
  <si>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</si>
  <si>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</si>
  <si>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</si>
  <si>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</si>
  <si>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</si>
  <si>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</si>
  <si>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</si>
  <si>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</si>
  <si>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</si>
  <si>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</si>
  <si>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</si>
  <si>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</si>
  <si>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</si>
  <si>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</si>
  <si>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</si>
  <si>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</si>
  <si>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</si>
  <si>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</si>
  <si>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</si>
  <si>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</si>
  <si>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</si>
  <si>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</si>
  <si>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</si>
  <si>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</si>
  <si>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</si>
  <si>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</si>
  <si>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</si>
  <si>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</si>
  <si>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</si>
  <si>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</si>
  <si>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</si>
  <si>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</si>
  <si>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</si>
  <si>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</si>
  <si>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</si>
  <si>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</si>
  <si>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HSBC Savings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</si>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</sst>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46296</v>
          </cell>
        </row>
        <row r="10">
          <cell r="B10">
            <v>46326</v>
          </cell>
        </row>
        <row r="11">
          <cell r="B11">
            <v>46327</v>
          </cell>
        </row>
        <row r="12">
          <cell r="B12">
            <v>46356</v>
          </cell>
        </row>
        <row r="13">
          <cell r="B13">
            <v>46357</v>
          </cell>
        </row>
        <row r="14">
          <cell r="B14">
            <v>46387</v>
          </cell>
        </row>
        <row r="15">
          <cell r="B15">
            <v>46388</v>
          </cell>
        </row>
        <row r="16">
          <cell r="B16">
            <v>46418</v>
          </cell>
        </row>
        <row r="17">
          <cell r="B17">
            <v>46419</v>
          </cell>
        </row>
        <row r="18">
          <cell r="B18">
            <v>46446</v>
          </cell>
        </row>
        <row r="19">
          <cell r="B19">
            <v>46447</v>
          </cell>
        </row>
        <row r="20">
          <cell r="B20">
            <v>46477</v>
          </cell>
        </row>
        <row r="21">
          <cell r="B21">
            <v>46478</v>
          </cell>
        </row>
        <row r="22">
          <cell r="B22">
            <v>46507</v>
          </cell>
        </row>
        <row r="23">
          <cell r="B23">
            <v>46508</v>
          </cell>
        </row>
        <row r="24">
          <cell r="B24">
            <v>46538</v>
          </cell>
        </row>
        <row r="25">
          <cell r="B25">
            <v>46539</v>
          </cell>
        </row>
        <row r="26">
          <cell r="B26">
            <v>46568</v>
          </cell>
        </row>
        <row r="27">
          <cell r="B27">
            <v>46569</v>
          </cell>
        </row>
        <row r="28">
          <cell r="B28">
            <v>46599</v>
          </cell>
        </row>
        <row r="29">
          <cell r="B29">
            <v>46600</v>
          </cell>
        </row>
        <row r="30">
          <cell r="B30">
            <v>46630</v>
          </cell>
        </row>
        <row r="31">
          <cell r="B31">
            <v>46631</v>
          </cell>
        </row>
        <row r="32">
          <cell r="B32">
            <v>46660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B1" s="8" t="s">
        <v>0</v>
      </c>
      <c r="C1" s="9" t="n">
        <f aca="false">[1]Admin!$B$9</f>
        <v>46296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[1]Admin!$B$10</f>
        <v>46326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46326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Oct!A2</f>
        <v>5000</v>
      </c>
      <c r="B1" s="8" t="s">
        <v>0</v>
      </c>
      <c r="C1" s="9" t="n">
        <f aca="false">[1]Admin!$B$11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5000</v>
      </c>
      <c r="B1" s="8" t="s">
        <v>0</v>
      </c>
      <c r="C1" s="9" t="n">
        <f aca="false">[1]Admin!$B$13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[1]Admin!$B$14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5000</v>
      </c>
      <c r="B1" s="8" t="s">
        <v>0</v>
      </c>
      <c r="C1" s="9" t="n">
        <f aca="false">[1]Admin!$B$15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[1]Admin!$B$16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5000</v>
      </c>
      <c r="B1" s="8" t="s">
        <v>0</v>
      </c>
      <c r="C1" s="9" t="n">
        <f aca="false">[1]Admin!$B$17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[1]Admin!$B$18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5000</v>
      </c>
      <c r="B1" s="8" t="s">
        <v>0</v>
      </c>
      <c r="C1" s="9" t="n">
        <f aca="false">[1]Admin!$B$19</f>
        <v>46447</v>
      </c>
      <c r="D1" s="10" t="s">
        <v>1</v>
      </c>
      <c r="E1" s="11" t="n">
        <f aca="false">F1-SUM(G1:Q1)</f>
        <v>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125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[1]Admin!$B$20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46111</v>
      </c>
      <c r="B6" s="2" t="s">
        <v>58</v>
      </c>
      <c r="E6" s="5" t="s">
        <v>44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n">
        <f aca="false">IF(E6="K",F6," ")</f>
        <v>125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5125</v>
      </c>
      <c r="B1" s="8" t="s">
        <v>0</v>
      </c>
      <c r="C1" s="9" t="n">
        <f aca="false">[1]Admin!$B$21</f>
        <v>46478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[1]Admin!$B$22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5125</v>
      </c>
      <c r="B1" s="8" t="s">
        <v>0</v>
      </c>
      <c r="C1" s="9" t="n">
        <f aca="false">[1]Admin!$B$23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[1]Admin!$B$24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May!A2</f>
        <v>5125</v>
      </c>
      <c r="B1" s="8" t="s">
        <v>0</v>
      </c>
      <c r="C1" s="9" t="n">
        <f aca="false">[1]Admin!$B$25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[1]Admin!$B$26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5125</v>
      </c>
      <c r="B1" s="8" t="s">
        <v>0</v>
      </c>
      <c r="C1" s="9" t="n">
        <f aca="false">[1]Admin!$B$27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[1]Admin!$B$28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5125</v>
      </c>
      <c r="B1" s="8" t="s">
        <v>0</v>
      </c>
      <c r="C1" s="9" t="n">
        <f aca="false">[1]Admin!$B$29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[1]Admin!$B$30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5125</v>
      </c>
      <c r="B1" s="8" t="s">
        <v>0</v>
      </c>
      <c r="C1" s="9" t="n">
        <f aca="false">[1]Admin!$B$31</f>
        <v>46631</v>
      </c>
      <c r="D1" s="10" t="s">
        <v>1</v>
      </c>
      <c r="E1" s="11" t="n">
        <f aca="false">F1-SUM(G1:Q1)</f>
        <v>0</v>
      </c>
      <c r="F1" s="12" t="n">
        <f aca="false">SUM(F6:F200)</f>
        <v>5150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10275</v>
      </c>
      <c r="B2" s="18" t="s">
        <v>2</v>
      </c>
      <c r="C2" s="9" t="n">
        <f aca="false">[1]Admin!$B$32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46280</v>
      </c>
      <c r="B6" s="2" t="s">
        <v>59</v>
      </c>
      <c r="E6" s="5" t="s">
        <v>50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46295</v>
      </c>
      <c r="B7" s="2" t="s">
        <v>58</v>
      </c>
      <c r="E7" s="5" t="s">
        <v>44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n">
        <f aca="false">IF(E7="K",F7," ")</f>
        <v>150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