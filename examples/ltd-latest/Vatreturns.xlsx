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<sst xmlns="http://schemas.openxmlformats.org/spreadsheetml/2006/main" count="221" uniqueCount="62">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</sst>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734.208333333333</v>
          </cell>
          <cell r="H1">
            <v>3671.04166666667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4473.25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3671.04166666667</v>
      </c>
      <c r="I10" s="87" t="n">
        <f aca="false">SUM(H8:H10)</f>
        <v>31767.9166666667</v>
      </c>
      <c r="J10" s="87" t="n">
        <f aca="false">[3]Mar!$G$1</f>
        <v>734.208333333333</v>
      </c>
      <c r="K10" s="87" t="n">
        <f aca="false">SUM(J8:J10)</f>
        <v>6353.58333333333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22366.25</v>
      </c>
      <c r="J11" s="87" t="n">
        <f aca="false">[3]Apr!$G$1</f>
        <v>2229.16666666667</v>
      </c>
      <c r="K11" s="87" t="n">
        <f aca="false">SUM(J9:J11)</f>
        <v>4473.25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50655</v>
      </c>
      <c r="J12" s="87" t="n">
        <f aca="false">[3]May!$G$1</f>
        <v>7167.625</v>
      </c>
      <c r="K12" s="87" t="n">
        <f aca="false">SUM(J10:J12)</f>
        <v>10131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26133.3333333333</v>
      </c>
      <c r="E17" s="87" t="n">
        <f aca="false">SUM(D15:D17)</f>
        <v>84299.9999999999</v>
      </c>
      <c r="F17" s="87" t="n">
        <f aca="false">[2]Oct!$G$1</f>
        <v>5226.66666666667</v>
      </c>
      <c r="G17" s="87" t="n">
        <f aca="false">SUM(F15:F17)</f>
        <v>16860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45914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45948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46336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46368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46398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45920</v>
      </c>
      <c r="B5" s="122" t="s">
        <v>53</v>
      </c>
      <c r="C5" s="129" t="s">
        <v>54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45954</v>
      </c>
      <c r="B5" s="122" t="s">
        <v>55</v>
      </c>
      <c r="C5" s="129" t="s">
        <v>56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46341</v>
      </c>
      <c r="B5" s="122" t="s">
        <v>57</v>
      </c>
      <c r="C5" s="129" t="s">
        <v>58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46375</v>
      </c>
      <c r="B5" s="122" t="s">
        <v>59</v>
      </c>
      <c r="C5" s="129" t="s">
        <v>60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46403</v>
      </c>
      <c r="B5" s="122" t="s">
        <v>55</v>
      </c>
      <c r="C5" s="129" t="s">
        <v>61</v>
      </c>
      <c r="D5" s="122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