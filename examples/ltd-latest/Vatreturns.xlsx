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<sst xmlns="http://schemas.openxmlformats.org/spreadsheetml/2006/main" count="221" uniqueCount="62">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</sst>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5106.66666666667</v>
          </cell>
          <cell r="H1">
            <v>25533.3333333333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792.541666666667</v>
          </cell>
          <cell r="H1">
            <v>3962.70833333333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4531.58333333334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12725.0833333333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22657.9166666666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16740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16740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14634.2916666667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83699.9999999999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3962.70833333333</v>
      </c>
      <c r="I10" s="87" t="n">
        <f aca="false">SUM(H8:H10)</f>
        <v>32059.5833333333</v>
      </c>
      <c r="J10" s="87" t="n">
        <f aca="false">[3]Mar!$G$1</f>
        <v>792.541666666667</v>
      </c>
      <c r="K10" s="87" t="n">
        <f aca="false">SUM(J8:J10)</f>
        <v>6411.91666666667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22657.9166666666</v>
      </c>
      <c r="J11" s="87" t="n">
        <f aca="false">[3]Apr!$G$1</f>
        <v>2229.16666666667</v>
      </c>
      <c r="K11" s="87" t="n">
        <f aca="false">SUM(J9:J11)</f>
        <v>4531.58333333334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50946.6666666666</v>
      </c>
      <c r="J12" s="87" t="n">
        <f aca="false">[3]May!$G$1</f>
        <v>7167.625</v>
      </c>
      <c r="K12" s="87" t="n">
        <f aca="false">SUM(J10:J12)</f>
        <v>10189.3333333333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25533.3333333333</v>
      </c>
      <c r="E17" s="87" t="n">
        <f aca="false">SUM(D15:D17)</f>
        <v>83699.9999999999</v>
      </c>
      <c r="F17" s="87" t="n">
        <f aca="false">[2]Oct!$G$1</f>
        <v>5106.66666666667</v>
      </c>
      <c r="G17" s="87" t="n">
        <f aca="false">SUM(F15:F17)</f>
        <v>16740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57166.6666666666</v>
      </c>
      <c r="F18" s="87" t="n">
        <f aca="false">S04Y2!$G$1</f>
        <v>600</v>
      </c>
      <c r="G18" s="87" t="n">
        <f aca="false">SUM(F16:F18)</f>
        <v>11433.3333333333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30033.3333333333</v>
      </c>
      <c r="F19" s="87" t="n">
        <f aca="false">S05Y2!$G$1</f>
        <v>300</v>
      </c>
      <c r="G19" s="87" t="n">
        <f aca="false">SUM(F17:F19)</f>
        <v>6006.66666666667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46279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46313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46701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46733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46763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46285</v>
      </c>
      <c r="B5" s="122" t="s">
        <v>53</v>
      </c>
      <c r="C5" s="129" t="s">
        <v>54</v>
      </c>
      <c r="D5" s="122"/>
      <c r="E5" s="119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46319</v>
      </c>
      <c r="B5" s="122" t="s">
        <v>55</v>
      </c>
      <c r="C5" s="129" t="s">
        <v>56</v>
      </c>
      <c r="D5" s="122"/>
      <c r="E5" s="119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46706</v>
      </c>
      <c r="B5" s="122" t="s">
        <v>57</v>
      </c>
      <c r="C5" s="129" t="s">
        <v>58</v>
      </c>
      <c r="D5" s="122"/>
      <c r="E5" s="119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46740</v>
      </c>
      <c r="B5" s="122" t="s">
        <v>59</v>
      </c>
      <c r="C5" s="129" t="s">
        <v>60</v>
      </c>
      <c r="D5" s="122"/>
      <c r="E5" s="119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46768</v>
      </c>
      <c r="B5" s="122" t="s">
        <v>55</v>
      </c>
      <c r="C5" s="129" t="s">
        <v>61</v>
      </c>
      <c r="D5" s="122"/>
      <c r="E5" s="119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