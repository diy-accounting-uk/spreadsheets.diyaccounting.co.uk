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<sst xmlns="http://schemas.openxmlformats.org/spreadsheetml/2006/main" count="221" uniqueCount="62">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</sst>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2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3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4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5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6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7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8">
        <row r="1">
          <cell r="G1">
            <v>5566.66666666667</v>
          </cell>
          <cell r="H1">
            <v>27833.3333333333</v>
          </cell>
        </row>
        <row r="4">
          <cell r="G4">
            <v>0</v>
          </cell>
        </row>
      </sheetData>
      <sheetData sheetId="9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10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2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2229.16666666667</v>
          </cell>
          <cell r="H1">
            <v>11145.8333333333</v>
          </cell>
        </row>
      </sheetData>
      <sheetData sheetId="2">
        <row r="1">
          <cell r="G1">
            <v>7167.625</v>
          </cell>
          <cell r="H1">
            <v>35838.125</v>
          </cell>
        </row>
      </sheetData>
      <sheetData sheetId="3">
        <row r="1">
          <cell r="G1">
            <v>1153</v>
          </cell>
          <cell r="H1">
            <v>5765</v>
          </cell>
        </row>
      </sheetData>
      <sheetData sheetId="4">
        <row r="1">
          <cell r="G1">
            <v>1575.25</v>
          </cell>
          <cell r="H1">
            <v>7876.25</v>
          </cell>
        </row>
      </sheetData>
      <sheetData sheetId="5">
        <row r="1">
          <cell r="G1">
            <v>751.875</v>
          </cell>
          <cell r="H1">
            <v>3759.375</v>
          </cell>
        </row>
      </sheetData>
      <sheetData sheetId="6">
        <row r="1">
          <cell r="G1">
            <v>732.75</v>
          </cell>
          <cell r="H1">
            <v>3663.75</v>
          </cell>
        </row>
      </sheetData>
      <sheetData sheetId="7">
        <row r="1">
          <cell r="G1">
            <v>621.083333333333</v>
          </cell>
          <cell r="H1">
            <v>3105.41666666667</v>
          </cell>
        </row>
      </sheetData>
      <sheetData sheetId="8">
        <row r="1">
          <cell r="G1">
            <v>851.875</v>
          </cell>
          <cell r="H1">
            <v>4259.375</v>
          </cell>
        </row>
      </sheetData>
      <sheetData sheetId="9">
        <row r="1">
          <cell r="G1">
            <v>1062.5</v>
          </cell>
          <cell r="H1">
            <v>5312.5</v>
          </cell>
        </row>
      </sheetData>
      <sheetData sheetId="10">
        <row r="1">
          <cell r="G1">
            <v>4109.5</v>
          </cell>
          <cell r="H1">
            <v>20547.5</v>
          </cell>
        </row>
      </sheetData>
      <sheetData sheetId="11">
        <row r="1">
          <cell r="G1">
            <v>1509.875</v>
          </cell>
          <cell r="H1">
            <v>7549.375</v>
          </cell>
        </row>
      </sheetData>
      <sheetData sheetId="12">
        <row r="1">
          <cell r="G1">
            <v>792.541666666667</v>
          </cell>
          <cell r="H1">
            <v>3962.70833333333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46446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46538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4531.58333333334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12725.0833333333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22657.9166666666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46630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46783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46812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46295</v>
      </c>
      <c r="C4" s="85" t="n">
        <f aca="false">B5</f>
        <v>46326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IF([2]Nov!$G$4&gt;0,[2]Nov!$G$4,0)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46326</v>
      </c>
      <c r="C5" s="85" t="n">
        <f aca="false">B6</f>
        <v>46356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IF([2]Nov!$G$4&gt;0,[2]Nov!$G$4,0)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46356</v>
      </c>
      <c r="C6" s="85" t="n">
        <f aca="false">B7</f>
        <v>46387</v>
      </c>
      <c r="D6" s="86" t="n">
        <f aca="false">[2]Nov!$H$1</f>
        <v>27833.3333333333</v>
      </c>
      <c r="E6" s="87" t="n">
        <f aca="false">SUM(D4:D6)</f>
        <v>33833.3333333333</v>
      </c>
      <c r="F6" s="87" t="n">
        <f aca="false">[2]Nov!$G$1</f>
        <v>5566.66666666667</v>
      </c>
      <c r="G6" s="87" t="n">
        <f aca="false">SUM(F4:F6)</f>
        <v>6766.66666666667</v>
      </c>
      <c r="H6" s="87" t="n">
        <f aca="false">[3]Nov!$H$1</f>
        <v>4259.375</v>
      </c>
      <c r="I6" s="87" t="n">
        <f aca="false">SUM(H4:H6)</f>
        <v>5859.375</v>
      </c>
      <c r="J6" s="87" t="n">
        <f aca="false">[3]Nov!$G$1</f>
        <v>851.875</v>
      </c>
      <c r="K6" s="87" t="n">
        <f aca="false">SUM(J4:J6)</f>
        <v>1171.875</v>
      </c>
      <c r="L6" s="88"/>
      <c r="M6" s="89" t="n">
        <f aca="false">IF([2]Nov!$G$4&gt;0,[2]Nov!$G$4,0)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46387</v>
      </c>
      <c r="C7" s="85" t="n">
        <f aca="false">B8</f>
        <v>46418</v>
      </c>
      <c r="D7" s="86" t="n">
        <f aca="false">[2]Dec!$H$1</f>
        <v>27433.3333333333</v>
      </c>
      <c r="E7" s="87" t="n">
        <f aca="false">SUM(D5:D7)</f>
        <v>57266.6666666666</v>
      </c>
      <c r="F7" s="87" t="n">
        <f aca="false">[2]Dec!$G$1</f>
        <v>5486.66666666667</v>
      </c>
      <c r="G7" s="87" t="n">
        <f aca="false">SUM(F5:F7)</f>
        <v>11453.3333333333</v>
      </c>
      <c r="H7" s="87" t="n">
        <f aca="false">[3]Dec!$H$1</f>
        <v>5312.5</v>
      </c>
      <c r="I7" s="87" t="n">
        <f aca="false">SUM(H5:H7)</f>
        <v>10571.875</v>
      </c>
      <c r="J7" s="87" t="n">
        <f aca="false">[3]Dec!$G$1</f>
        <v>1062.5</v>
      </c>
      <c r="K7" s="87" t="n">
        <f aca="false">SUM(J5:J7)</f>
        <v>2114.375</v>
      </c>
      <c r="L7" s="88"/>
      <c r="M7" s="89" t="n">
        <f aca="false">IF([2]Dec!$G$4&gt;0,[2]Dec!$G$4,0)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46418</v>
      </c>
      <c r="C8" s="85" t="n">
        <f aca="false">B9</f>
        <v>46446</v>
      </c>
      <c r="D8" s="86" t="n">
        <f aca="false">[2]Jan!$H$1</f>
        <v>29333.3333333333</v>
      </c>
      <c r="E8" s="87" t="n">
        <f aca="false">SUM(D6:D8)</f>
        <v>84599.9999999999</v>
      </c>
      <c r="F8" s="87" t="n">
        <f aca="false">[2]Jan!$G$1</f>
        <v>5866.66666666667</v>
      </c>
      <c r="G8" s="87" t="n">
        <f aca="false">SUM(F6:F8)</f>
        <v>16920</v>
      </c>
      <c r="H8" s="87" t="n">
        <f aca="false">[3]Jan!$H$1</f>
        <v>20547.5</v>
      </c>
      <c r="I8" s="87" t="n">
        <f aca="false">SUM(H6:H8)</f>
        <v>30119.375</v>
      </c>
      <c r="J8" s="87" t="n">
        <f aca="false">[3]Jan!$G$1</f>
        <v>4109.5</v>
      </c>
      <c r="K8" s="87" t="n">
        <f aca="false">SUM(J6:J8)</f>
        <v>6023.875</v>
      </c>
      <c r="L8" s="88"/>
      <c r="M8" s="89" t="n">
        <f aca="false">IF([2]Jan!$G$4&gt;0,[2]Jan!$G$4,0)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46446</v>
      </c>
      <c r="C9" s="85" t="n">
        <f aca="false">B10</f>
        <v>46477</v>
      </c>
      <c r="D9" s="86" t="n">
        <f aca="false">[2]Feb!$H$1</f>
        <v>28133.3333333333</v>
      </c>
      <c r="E9" s="87" t="n">
        <f aca="false">SUM(D7:D9)</f>
        <v>84899.9999999999</v>
      </c>
      <c r="F9" s="87" t="n">
        <f aca="false">[2]Feb!$G$1</f>
        <v>5626.66666666667</v>
      </c>
      <c r="G9" s="87" t="n">
        <f aca="false">SUM(F7:F9)</f>
        <v>16980</v>
      </c>
      <c r="H9" s="87" t="n">
        <f aca="false">[3]Feb!$H$1</f>
        <v>7549.375</v>
      </c>
      <c r="I9" s="87" t="n">
        <f aca="false">SUM(H7:H9)</f>
        <v>33409.375</v>
      </c>
      <c r="J9" s="87" t="n">
        <f aca="false">[3]Feb!$G$1</f>
        <v>1509.875</v>
      </c>
      <c r="K9" s="87" t="n">
        <f aca="false">SUM(J7:J9)</f>
        <v>6681.875</v>
      </c>
      <c r="L9" s="88"/>
      <c r="M9" s="89" t="n">
        <f aca="false">IF([2]Feb!$G$4&gt;0,[2]Feb!$G$4,0)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46477</v>
      </c>
      <c r="C10" s="85" t="n">
        <f aca="false">B11</f>
        <v>46507</v>
      </c>
      <c r="D10" s="86" t="n">
        <f aca="false">[2]Mar!$H$1</f>
        <v>30016.6666666667</v>
      </c>
      <c r="E10" s="87" t="n">
        <f aca="false">SUM(D8:D10)</f>
        <v>87483.3333333333</v>
      </c>
      <c r="F10" s="87" t="n">
        <f aca="false">[2]Mar!$G$1</f>
        <v>6003.33333333333</v>
      </c>
      <c r="G10" s="87" t="n">
        <f aca="false">SUM(F8:F10)</f>
        <v>17496.6666666667</v>
      </c>
      <c r="H10" s="87" t="n">
        <f aca="false">[3]Mar!$H$1</f>
        <v>3962.70833333333</v>
      </c>
      <c r="I10" s="87" t="n">
        <f aca="false">SUM(H8:H10)</f>
        <v>32059.5833333333</v>
      </c>
      <c r="J10" s="87" t="n">
        <f aca="false">[3]Mar!$G$1</f>
        <v>792.541666666667</v>
      </c>
      <c r="K10" s="87" t="n">
        <f aca="false">SUM(J8:J10)</f>
        <v>6411.91666666667</v>
      </c>
      <c r="L10" s="88"/>
      <c r="M10" s="89" t="n">
        <f aca="false">IF([2]Mar!$G$4&gt;0,[2]Mar!$G$4,0)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46507</v>
      </c>
      <c r="C11" s="85" t="n">
        <f aca="false">B12</f>
        <v>46538</v>
      </c>
      <c r="D11" s="86" t="n">
        <f aca="false">[2]Apr!$H$1</f>
        <v>28133.3333333333</v>
      </c>
      <c r="E11" s="87" t="n">
        <f aca="false">SUM(D9:D11)</f>
        <v>86283.3333333333</v>
      </c>
      <c r="F11" s="87" t="n">
        <f aca="false">[2]Apr!$G$1</f>
        <v>5626.66666666667</v>
      </c>
      <c r="G11" s="87" t="n">
        <f aca="false">SUM(F9:F11)</f>
        <v>17256.6666666667</v>
      </c>
      <c r="H11" s="87" t="n">
        <f aca="false">[3]Apr!$H$1</f>
        <v>11145.8333333333</v>
      </c>
      <c r="I11" s="87" t="n">
        <f aca="false">SUM(H9:H11)</f>
        <v>22657.9166666666</v>
      </c>
      <c r="J11" s="87" t="n">
        <f aca="false">[3]Apr!$G$1</f>
        <v>2229.16666666667</v>
      </c>
      <c r="K11" s="87" t="n">
        <f aca="false">SUM(J9:J11)</f>
        <v>4531.58333333334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46538</v>
      </c>
      <c r="C12" s="85" t="n">
        <f aca="false">B13</f>
        <v>46568</v>
      </c>
      <c r="D12" s="86" t="n">
        <f aca="false">[2]May!$H$1</f>
        <v>42133.3333333333</v>
      </c>
      <c r="E12" s="87" t="n">
        <f aca="false">SUM(D10:D12)</f>
        <v>100283.333333333</v>
      </c>
      <c r="F12" s="87" t="n">
        <f aca="false">[2]May!$G$1</f>
        <v>8426.66666666667</v>
      </c>
      <c r="G12" s="87" t="n">
        <f aca="false">SUM(F10:F12)</f>
        <v>20056.6666666667</v>
      </c>
      <c r="H12" s="87" t="n">
        <f aca="false">[3]May!$H$1</f>
        <v>35838.125</v>
      </c>
      <c r="I12" s="87" t="n">
        <f aca="false">SUM(H10:H12)</f>
        <v>50946.6666666666</v>
      </c>
      <c r="J12" s="87" t="n">
        <f aca="false">[3]May!$G$1</f>
        <v>7167.625</v>
      </c>
      <c r="K12" s="87" t="n">
        <f aca="false">SUM(J10:J12)</f>
        <v>10189.3333333333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46568</v>
      </c>
      <c r="C13" s="85" t="n">
        <f aca="false">B14</f>
        <v>46599</v>
      </c>
      <c r="D13" s="86" t="n">
        <f aca="false">[2]Jun!$H$1</f>
        <v>29433.3333333333</v>
      </c>
      <c r="E13" s="87" t="n">
        <f aca="false">SUM(D11:D13)</f>
        <v>99699.9999999999</v>
      </c>
      <c r="F13" s="87" t="n">
        <f aca="false">[2]Jun!$G$1</f>
        <v>5886.66666666667</v>
      </c>
      <c r="G13" s="87" t="n">
        <f aca="false">SUM(F11:F13)</f>
        <v>19940</v>
      </c>
      <c r="H13" s="87" t="n">
        <f aca="false">[3]Jun!$H$1</f>
        <v>5765</v>
      </c>
      <c r="I13" s="87" t="n">
        <f aca="false">SUM(H11:H13)</f>
        <v>52748.9583333333</v>
      </c>
      <c r="J13" s="87" t="n">
        <f aca="false">[3]Jun!$G$1</f>
        <v>1153</v>
      </c>
      <c r="K13" s="87" t="n">
        <f aca="false">SUM(J11:J13)</f>
        <v>10549.7916666667</v>
      </c>
      <c r="L13" s="88"/>
      <c r="M13" s="89" t="n">
        <f aca="false">IF([2]Jun!$G$4&gt;0,[2]Jun!$G$4,0)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46599</v>
      </c>
      <c r="C14" s="85" t="n">
        <f aca="false">B15</f>
        <v>46630</v>
      </c>
      <c r="D14" s="86" t="n">
        <f aca="false">[2]Jul!$H$1</f>
        <v>27333.3333333333</v>
      </c>
      <c r="E14" s="87" t="n">
        <f aca="false">SUM(D12:D14)</f>
        <v>98899.9999999999</v>
      </c>
      <c r="F14" s="87" t="n">
        <f aca="false">[2]Jul!$G$1</f>
        <v>5466.66666666667</v>
      </c>
      <c r="G14" s="87" t="n">
        <f aca="false">SUM(F12:F14)</f>
        <v>19780</v>
      </c>
      <c r="H14" s="87" t="n">
        <f aca="false">[3]Jul!$H$1</f>
        <v>7876.25</v>
      </c>
      <c r="I14" s="87" t="n">
        <f aca="false">SUM(H12:H14)</f>
        <v>49479.375</v>
      </c>
      <c r="J14" s="87" t="n">
        <f aca="false">[3]Jul!$G$1</f>
        <v>1575.25</v>
      </c>
      <c r="K14" s="87" t="n">
        <f aca="false">SUM(J12:J14)</f>
        <v>9895.875</v>
      </c>
      <c r="L14" s="88"/>
      <c r="M14" s="89" t="n">
        <f aca="false">IF([2]Jul!$G$4&gt;0,[2]Jul!$G$4,0)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46630</v>
      </c>
      <c r="C15" s="85" t="n">
        <f aca="false">B16</f>
        <v>46660</v>
      </c>
      <c r="D15" s="86" t="n">
        <f aca="false">[2]Aug!$H$1</f>
        <v>29533.3333333333</v>
      </c>
      <c r="E15" s="87" t="n">
        <f aca="false">SUM(D13:D15)</f>
        <v>86299.9999999999</v>
      </c>
      <c r="F15" s="87" t="n">
        <f aca="false">[2]Aug!$G$1</f>
        <v>5906.66666666667</v>
      </c>
      <c r="G15" s="87" t="n">
        <f aca="false">SUM(F13:F15)</f>
        <v>17260</v>
      </c>
      <c r="H15" s="87" t="n">
        <f aca="false">[3]Aug!$H$1</f>
        <v>3759.375</v>
      </c>
      <c r="I15" s="87" t="n">
        <f aca="false">SUM(H13:H15)</f>
        <v>17400.625</v>
      </c>
      <c r="J15" s="87" t="n">
        <f aca="false">[3]Aug!$G$1</f>
        <v>751.875</v>
      </c>
      <c r="K15" s="87" t="n">
        <f aca="false">SUM(J13:J15)</f>
        <v>3480.125</v>
      </c>
      <c r="L15" s="88"/>
      <c r="M15" s="89" t="n">
        <f aca="false">IF([2]Aug!$G$4&gt;0,[2]Aug!$G$4,0)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46660</v>
      </c>
      <c r="C16" s="85" t="n">
        <f aca="false">B17</f>
        <v>46691</v>
      </c>
      <c r="D16" s="86" t="n">
        <f aca="false">[2]Sep!$H$1</f>
        <v>28633.3333333333</v>
      </c>
      <c r="E16" s="87" t="n">
        <f aca="false">SUM(D14:D16)</f>
        <v>85499.9999999999</v>
      </c>
      <c r="F16" s="87" t="n">
        <f aca="false">[2]Sep!$G$1</f>
        <v>5726.66666666667</v>
      </c>
      <c r="G16" s="87" t="n">
        <f aca="false">SUM(F14:F16)</f>
        <v>17100</v>
      </c>
      <c r="H16" s="87" t="n">
        <f aca="false">[3]Sep!$H$1</f>
        <v>3663.75</v>
      </c>
      <c r="I16" s="87" t="n">
        <f aca="false">SUM(H14:H16)</f>
        <v>15299.375</v>
      </c>
      <c r="J16" s="87" t="n">
        <f aca="false">[3]Sep!$G$1</f>
        <v>732.75</v>
      </c>
      <c r="K16" s="87" t="n">
        <f aca="false">SUM(J14:J16)</f>
        <v>3059.875</v>
      </c>
      <c r="L16" s="88"/>
      <c r="M16" s="89" t="n">
        <f aca="false">IF([2]Sep!$G$4&gt;0,[2]Sep!$G$4,0)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46691</v>
      </c>
      <c r="C17" s="85" t="n">
        <f aca="false">B18</f>
        <v>46721</v>
      </c>
      <c r="D17" s="86" t="n">
        <f aca="false">[2]Oct!$H$1</f>
        <v>26133.3333333333</v>
      </c>
      <c r="E17" s="87" t="n">
        <f aca="false">SUM(D15:D17)</f>
        <v>84299.9999999999</v>
      </c>
      <c r="F17" s="87" t="n">
        <f aca="false">[2]Oct!$G$1</f>
        <v>5226.66666666667</v>
      </c>
      <c r="G17" s="87" t="n">
        <f aca="false">SUM(F15:F17)</f>
        <v>16860</v>
      </c>
      <c r="H17" s="87" t="n">
        <f aca="false">[3]Oct!$H$1</f>
        <v>3105.41666666667</v>
      </c>
      <c r="I17" s="87" t="n">
        <f aca="false">SUM(H15:H17)</f>
        <v>10528.5416666667</v>
      </c>
      <c r="J17" s="87" t="n">
        <f aca="false">[3]Oct!$G$1</f>
        <v>621.083333333333</v>
      </c>
      <c r="K17" s="87" t="n">
        <f aca="false">SUM(J15:J17)</f>
        <v>2105.70833333333</v>
      </c>
      <c r="L17" s="88"/>
      <c r="M17" s="89" t="n">
        <f aca="false">IF([2]Oct!$G$4&gt;0,[2]Oct!$G$4,0)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46721</v>
      </c>
      <c r="C18" s="85" t="n">
        <f aca="false">B19</f>
        <v>46752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IF([2]Oct!$G$4&gt;0,[2]Oct!$G$4,0)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46752</v>
      </c>
      <c r="C19" s="85" t="n">
        <f aca="false">[1]Admin!$B$38</f>
        <v>46783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IF([2]Oct!$G$4&gt;0,[2]Oct!$G$4,0)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46783</v>
      </c>
      <c r="C20" s="91" t="n">
        <f aca="false">[1]Admin!$B$40</f>
        <v>46812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IF([2]Oct!$G$4&gt;0,[2]Oct!$G$4,0)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46279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46313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46701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46733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46763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46285</v>
      </c>
      <c r="B5" s="122" t="s">
        <v>53</v>
      </c>
      <c r="C5" s="129" t="s">
        <v>54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46319</v>
      </c>
      <c r="B5" s="122" t="s">
        <v>55</v>
      </c>
      <c r="C5" s="129" t="s">
        <v>56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46706</v>
      </c>
      <c r="B5" s="122" t="s">
        <v>57</v>
      </c>
      <c r="C5" s="129" t="s">
        <v>58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46740</v>
      </c>
      <c r="B5" s="122" t="s">
        <v>59</v>
      </c>
      <c r="C5" s="129" t="s">
        <v>60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46768</v>
      </c>
      <c r="B5" s="122" t="s">
        <v>55</v>
      </c>
      <c r="C5" s="129" t="s">
        <v>61</v>
      </c>
      <c r="D5" s="122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