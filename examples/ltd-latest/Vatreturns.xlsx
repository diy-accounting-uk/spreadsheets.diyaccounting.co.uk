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S06Y2" sheetId="11" state="visible" r:id="rId13"/>
    <sheet name="P02Y1" sheetId="12" state="visible" r:id="rId14"/>
    <sheet name="P03Y1" sheetId="13" state="visible" r:id="rId15"/>
    <sheet name="P04Y2" sheetId="14" state="visible" r:id="rId16"/>
    <sheet name="P05Y2" sheetId="15" state="visible" r:id="rId17"/>
    <sheet name="P06Y2" sheetId="16" state="visible" r:id="rId18"/>
  </sheets>
  <externalReferences>
    <externalReference r:id="rId19"/>
    <externalReference r:id="rId20"/>
    <externalReference r:id="rId21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VATQtr2!$A$1:$I$31</definedName>
    <definedName function="false" hidden="false" localSheetId="2" name="_xlnm.Print_Area" vbProcedure="false">VATQtr3!$A$1:$I$31</definedName>
    <definedName function="false" hidden="false" localSheetId="3" name="_xlnm.Print_Area" vbProcedure="false">VATQtr4!$A$1:$I$31</definedName>
    <definedName function="false" hidden="false" localSheetId="4" name="_xlnm.Print_Area" vbProcedure="false">VATQtr5!$A$1:$I$31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VATQtr2!$A$1:$I$31</definedName>
    <definedName function="false" hidden="false" localSheetId="2" name="_xlnm_Print_Area" vbProcedure="false">VATQtr3!$A$1:$I$31</definedName>
    <definedName function="false" hidden="false" localSheetId="3" name="_xlnm_Print_Area" vbProcedure="false">VATQtr4!$A$1:$I$31</definedName>
    <definedName function="false" hidden="false" localSheetId="4" name="_xlnm_Print_Area" vbProcedure="false">VATQtr5!$A$1:$I$31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<sst xmlns="http://schemas.openxmlformats.org/spreadsheetml/2006/main" count="221" uniqueCount="62">
  <si>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</si>
  <si>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</si>
  <si>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</si>
  <si>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</si>
  <si>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</si>
  <si>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</si>
  <si>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</si>
  <si>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</si>
  <si>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</si>
  <si>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</si>
  <si>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</si>
  <si>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</si>
  <si>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Revenue &amp; Customs on or before the due date to avoid surcharges</t>
  </si>
  <si>
    <t xml:space="preserve">Make cheques payable to "H M Revenue &amp; Customs" and write your VAT registration number on the back</t>
  </si>
  <si>
    <t xml:space="preserve">Quote your VAT registration number as a reference if paying direct by bank</t>
  </si>
  <si>
    <t xml:space="preserve">Account Name: HMRC VAT: Account No: 11963155 Sort Code: 08 32 00</t>
  </si>
  <si>
    <t xml:space="preserve">box8</t>
  </si>
  <si>
    <t xml:space="preserve">box9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</si>
  <si>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</si>
  <si>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</si>
  <si>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</si>
  <si>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</si>
  <si>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</si>
  <si>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</si>
  <si>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</si>
  <si>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</si>
  <si>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</si>
  <si>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</si>
  <si>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</si>
  <si>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</si>
  <si>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</si>
  <si>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</si>
  <si>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</si>
  <si>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</si>
  <si>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</si>
  <si>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</si>
  <si>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</si>
  <si>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</si>
  <si>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</si>
  <si>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</si>
  <si>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</si>
  <si>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</si>
  <si>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</si>
  <si>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</si>
  <si>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</si>
  <si>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</si>
  <si>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INV-1303</t>
  </si>
  <si>
    <t xml:space="preserve">Purchase Date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</si>
  <si>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</si>
  <si>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</si>
  <si>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</si>
  <si>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</si>
  <si>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</si>
  <si>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</si>
  <si>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</si>
  <si>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</si>
  <si>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</si>
  <si>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</si>
  <si>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</si>
  <si>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</si>
  <si>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</si>
  <si>
    <t xml:space="preserve">WS-2606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</si>
</sst>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6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19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1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3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externalLink" Target="externalLinks/externalLink1.xml"/><Relationship Id="rId20" Type="http://schemas.openxmlformats.org/officeDocument/2006/relationships/externalLink" Target="externalLinks/externalLink2.xml"/><Relationship Id="rId21" Type="http://schemas.openxmlformats.org/officeDocument/2006/relationships/externalLink" Target="externalLinks/externalLink3.xml"/><Relationship Id="rId22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46265</v>
          </cell>
        </row>
        <row r="8">
          <cell r="B8">
            <v>46295</v>
          </cell>
        </row>
        <row r="10">
          <cell r="B10">
            <v>46326</v>
          </cell>
        </row>
        <row r="12">
          <cell r="B12">
            <v>46356</v>
          </cell>
        </row>
        <row r="14">
          <cell r="B14">
            <v>46387</v>
          </cell>
        </row>
        <row r="16">
          <cell r="B16">
            <v>46418</v>
          </cell>
        </row>
        <row r="18">
          <cell r="B18">
            <v>46446</v>
          </cell>
        </row>
        <row r="20">
          <cell r="B20">
            <v>46477</v>
          </cell>
        </row>
        <row r="22">
          <cell r="B22">
            <v>46507</v>
          </cell>
        </row>
        <row r="24">
          <cell r="B24">
            <v>46538</v>
          </cell>
        </row>
        <row r="26">
          <cell r="B26">
            <v>46568</v>
          </cell>
        </row>
        <row r="28">
          <cell r="B28">
            <v>46599</v>
          </cell>
        </row>
        <row r="30">
          <cell r="B30">
            <v>46630</v>
          </cell>
        </row>
        <row r="32">
          <cell r="B32">
            <v>46660</v>
          </cell>
        </row>
        <row r="34">
          <cell r="B34">
            <v>46691</v>
          </cell>
        </row>
        <row r="36">
          <cell r="B36">
            <v>46721</v>
          </cell>
        </row>
        <row r="38">
          <cell r="B38">
            <v>46752</v>
          </cell>
        </row>
        <row r="40">
          <cell r="B40">
            <v>46783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8426.66666666667</v>
          </cell>
          <cell r="H1">
            <v>42133.3333333333</v>
          </cell>
        </row>
        <row r="4">
          <cell r="G4">
            <v>0</v>
          </cell>
        </row>
      </sheetData>
      <sheetData sheetId="2">
        <row r="1">
          <cell r="G1">
            <v>5886.66666666667</v>
          </cell>
          <cell r="H1">
            <v>29433.3333333333</v>
          </cell>
        </row>
        <row r="4">
          <cell r="G4">
            <v>0</v>
          </cell>
        </row>
      </sheetData>
      <sheetData sheetId="3">
        <row r="1">
          <cell r="G1">
            <v>5466.66666666667</v>
          </cell>
          <cell r="H1">
            <v>27333.3333333333</v>
          </cell>
        </row>
        <row r="4">
          <cell r="G4">
            <v>0</v>
          </cell>
        </row>
      </sheetData>
      <sheetData sheetId="4">
        <row r="1">
          <cell r="G1">
            <v>5906.66666666667</v>
          </cell>
          <cell r="H1">
            <v>29533.3333333333</v>
          </cell>
        </row>
        <row r="4">
          <cell r="G4">
            <v>0</v>
          </cell>
        </row>
      </sheetData>
      <sheetData sheetId="5">
        <row r="1">
          <cell r="G1">
            <v>5726.66666666667</v>
          </cell>
          <cell r="H1">
            <v>28633.3333333333</v>
          </cell>
        </row>
        <row r="4">
          <cell r="G4">
            <v>0</v>
          </cell>
        </row>
      </sheetData>
      <sheetData sheetId="6">
        <row r="1">
          <cell r="G1">
            <v>5226.66666666667</v>
          </cell>
          <cell r="H1">
            <v>26133.3333333333</v>
          </cell>
        </row>
        <row r="4">
          <cell r="G4">
            <v>0</v>
          </cell>
        </row>
      </sheetData>
      <sheetData sheetId="7">
        <row r="1">
          <cell r="G1">
            <v>5566.66666666667</v>
          </cell>
          <cell r="H1">
            <v>27833.3333333333</v>
          </cell>
        </row>
      </sheetData>
      <sheetData sheetId="8">
        <row r="1">
          <cell r="G1">
            <v>5486.66666666667</v>
          </cell>
          <cell r="H1">
            <v>27433.3333333333</v>
          </cell>
        </row>
        <row r="4">
          <cell r="G4">
            <v>0</v>
          </cell>
        </row>
      </sheetData>
      <sheetData sheetId="9">
        <row r="1">
          <cell r="G1">
            <v>5866.66666666667</v>
          </cell>
          <cell r="H1">
            <v>29333.3333333333</v>
          </cell>
        </row>
        <row r="4">
          <cell r="G4">
            <v>0</v>
          </cell>
        </row>
      </sheetData>
      <sheetData sheetId="10">
        <row r="1">
          <cell r="G1">
            <v>5626.66666666667</v>
          </cell>
          <cell r="H1">
            <v>28133.3333333333</v>
          </cell>
        </row>
        <row r="4">
          <cell r="G4">
            <v>0</v>
          </cell>
        </row>
      </sheetData>
      <sheetData sheetId="11">
        <row r="1">
          <cell r="G1">
            <v>6003.33333333333</v>
          </cell>
          <cell r="H1">
            <v>30016.6666666667</v>
          </cell>
        </row>
        <row r="4">
          <cell r="G4">
            <v>0</v>
          </cell>
        </row>
      </sheetData>
      <sheetData sheetId="12">
        <row r="1">
          <cell r="G1">
            <v>5626.66666666667</v>
          </cell>
          <cell r="H1">
            <v>28133.3333333333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7167.625</v>
          </cell>
          <cell r="H1">
            <v>35838.125</v>
          </cell>
        </row>
      </sheetData>
      <sheetData sheetId="2">
        <row r="1">
          <cell r="G1">
            <v>1153</v>
          </cell>
          <cell r="H1">
            <v>5765</v>
          </cell>
        </row>
      </sheetData>
      <sheetData sheetId="3">
        <row r="1">
          <cell r="G1">
            <v>1575.25</v>
          </cell>
          <cell r="H1">
            <v>7876.25</v>
          </cell>
        </row>
      </sheetData>
      <sheetData sheetId="4">
        <row r="1">
          <cell r="G1">
            <v>751.875</v>
          </cell>
          <cell r="H1">
            <v>3759.375</v>
          </cell>
        </row>
      </sheetData>
      <sheetData sheetId="5">
        <row r="1">
          <cell r="G1">
            <v>732.75</v>
          </cell>
          <cell r="H1">
            <v>3663.75</v>
          </cell>
        </row>
      </sheetData>
      <sheetData sheetId="6">
        <row r="1">
          <cell r="G1">
            <v>621.083333333333</v>
          </cell>
          <cell r="H1">
            <v>3105.41666666667</v>
          </cell>
        </row>
      </sheetData>
      <sheetData sheetId="7">
        <row r="1">
          <cell r="G1">
            <v>851.875</v>
          </cell>
          <cell r="H1">
            <v>4259.375</v>
          </cell>
        </row>
      </sheetData>
      <sheetData sheetId="8">
        <row r="1">
          <cell r="G1">
            <v>1062.5</v>
          </cell>
          <cell r="H1">
            <v>5312.5</v>
          </cell>
        </row>
      </sheetData>
      <sheetData sheetId="9">
        <row r="1">
          <cell r="G1">
            <v>4109.5</v>
          </cell>
          <cell r="H1">
            <v>20547.5</v>
          </cell>
        </row>
      </sheetData>
      <sheetData sheetId="10">
        <row r="1">
          <cell r="G1">
            <v>1509.875</v>
          </cell>
          <cell r="H1">
            <v>7549.375</v>
          </cell>
        </row>
      </sheetData>
      <sheetData sheetId="11">
        <row r="1">
          <cell r="G1">
            <v>734.208333333333</v>
          </cell>
          <cell r="H1">
            <v>3671.04166666667</v>
          </cell>
        </row>
      </sheetData>
      <sheetData sheetId="12">
        <row r="1">
          <cell r="G1">
            <v>2229.16666666667</v>
          </cell>
          <cell r="H1">
            <v>11145.8333333333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46418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16920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6023.875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46752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10896.125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30119.375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46507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17256.6666666667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4473.25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46752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12783.4166666667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22366.25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46599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19780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9895.875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46752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9884.12500000001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49479.375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46660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46691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16860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2105.70833333333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46752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14754.2916666667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10528.5416666667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46752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46783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1100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1100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180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46752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920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5500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900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18</v>
      </c>
      <c r="C2" s="74" t="s">
        <v>19</v>
      </c>
      <c r="D2" s="75" t="s">
        <v>20</v>
      </c>
      <c r="E2" s="75" t="s">
        <v>21</v>
      </c>
      <c r="F2" s="75" t="s">
        <v>22</v>
      </c>
      <c r="G2" s="76" t="s">
        <v>23</v>
      </c>
      <c r="H2" s="75" t="s">
        <v>24</v>
      </c>
      <c r="I2" s="75" t="s">
        <v>25</v>
      </c>
      <c r="J2" s="75" t="s">
        <v>26</v>
      </c>
      <c r="K2" s="76" t="s">
        <v>27</v>
      </c>
      <c r="L2" s="77"/>
      <c r="M2" s="78" t="s">
        <v>28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[1]Admin!$B$6</f>
        <v>46265</v>
      </c>
      <c r="C4" s="85" t="n">
        <f aca="false">B5</f>
        <v>46295</v>
      </c>
      <c r="D4" s="86" t="n">
        <f aca="false">S02Y1!$H$1</f>
        <v>4000</v>
      </c>
      <c r="E4" s="87"/>
      <c r="F4" s="87" t="n">
        <f aca="false">S02Y1!$G$1</f>
        <v>800</v>
      </c>
      <c r="G4" s="87"/>
      <c r="H4" s="87" t="n">
        <f aca="false">P02Y1!$H$1</f>
        <v>600</v>
      </c>
      <c r="I4" s="87"/>
      <c r="J4" s="87" t="n">
        <f aca="false">P02Y1!$G$1</f>
        <v>120</v>
      </c>
      <c r="K4" s="87"/>
      <c r="L4" s="88"/>
      <c r="M4" s="89" t="n">
        <f aca="false">IF([2]Oct!$G$4&gt;0,[2]Oct!$G$4,0)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[1]Admin!$B$8</f>
        <v>46295</v>
      </c>
      <c r="C5" s="85" t="n">
        <f aca="false">B6</f>
        <v>46326</v>
      </c>
      <c r="D5" s="86" t="n">
        <f aca="false">S03Y1!$H$1</f>
        <v>2000</v>
      </c>
      <c r="E5" s="87"/>
      <c r="F5" s="87" t="n">
        <f aca="false">S03Y1!$G$1</f>
        <v>400</v>
      </c>
      <c r="G5" s="87"/>
      <c r="H5" s="87" t="n">
        <f aca="false">P03Y1!$H$1</f>
        <v>1000</v>
      </c>
      <c r="I5" s="87"/>
      <c r="J5" s="87" t="n">
        <f aca="false">P03Y1!$G$1</f>
        <v>200</v>
      </c>
      <c r="K5" s="87"/>
      <c r="L5" s="88"/>
      <c r="M5" s="89" t="n">
        <f aca="false">IF([2]Oct!$G$4&gt;0,[2]Oct!$G$4,0)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[1]Admin!$B$10</f>
        <v>46326</v>
      </c>
      <c r="C6" s="85" t="n">
        <f aca="false">B7</f>
        <v>46356</v>
      </c>
      <c r="D6" s="86" t="n">
        <f aca="false">[2]Oct!$H$1</f>
        <v>27833.3333333333</v>
      </c>
      <c r="E6" s="87" t="n">
        <f aca="false">SUM(D4:D6)</f>
        <v>33833.3333333333</v>
      </c>
      <c r="F6" s="87" t="n">
        <f aca="false">[2]Oct!$G$1</f>
        <v>5566.66666666667</v>
      </c>
      <c r="G6" s="87" t="n">
        <f aca="false">SUM(F4:F6)</f>
        <v>6766.66666666667</v>
      </c>
      <c r="H6" s="87" t="n">
        <f aca="false">[3]Oct!$H$1</f>
        <v>4259.375</v>
      </c>
      <c r="I6" s="87" t="n">
        <f aca="false">SUM(H4:H6)</f>
        <v>5859.375</v>
      </c>
      <c r="J6" s="87" t="n">
        <f aca="false">[3]Oct!$G$1</f>
        <v>851.875</v>
      </c>
      <c r="K6" s="87" t="n">
        <f aca="false">SUM(J4:J6)</f>
        <v>1171.875</v>
      </c>
      <c r="L6" s="88"/>
      <c r="M6" s="89" t="n">
        <f aca="false">IF([2]Oct!$G$4&gt;0,[2]Oct!$G$4,0)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[1]Admin!$B$12</f>
        <v>46356</v>
      </c>
      <c r="C7" s="85" t="n">
        <f aca="false">B8</f>
        <v>46387</v>
      </c>
      <c r="D7" s="86" t="n">
        <f aca="false">[2]Nov!$H$1</f>
        <v>27433.3333333333</v>
      </c>
      <c r="E7" s="87" t="n">
        <f aca="false">SUM(D5:D7)</f>
        <v>57266.6666666666</v>
      </c>
      <c r="F7" s="87" t="n">
        <f aca="false">[2]Nov!$G$1</f>
        <v>5486.66666666667</v>
      </c>
      <c r="G7" s="87" t="n">
        <f aca="false">SUM(F5:F7)</f>
        <v>11453.3333333333</v>
      </c>
      <c r="H7" s="87" t="n">
        <f aca="false">[3]Nov!$H$1</f>
        <v>5312.5</v>
      </c>
      <c r="I7" s="87" t="n">
        <f aca="false">SUM(H5:H7)</f>
        <v>10571.875</v>
      </c>
      <c r="J7" s="87" t="n">
        <f aca="false">[3]Nov!$G$1</f>
        <v>1062.5</v>
      </c>
      <c r="K7" s="87" t="n">
        <f aca="false">SUM(J5:J7)</f>
        <v>2114.375</v>
      </c>
      <c r="L7" s="88"/>
      <c r="M7" s="89" t="n">
        <f aca="false">IF([2]Nov!$G$4&gt;0,[2]Nov!$G$4,0)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[1]Admin!$B$14</f>
        <v>46387</v>
      </c>
      <c r="C8" s="85" t="n">
        <f aca="false">B9</f>
        <v>46418</v>
      </c>
      <c r="D8" s="86" t="n">
        <f aca="false">[2]Dec!$H$1</f>
        <v>29333.3333333333</v>
      </c>
      <c r="E8" s="87" t="n">
        <f aca="false">SUM(D6:D8)</f>
        <v>84599.9999999999</v>
      </c>
      <c r="F8" s="87" t="n">
        <f aca="false">[2]Dec!$G$1</f>
        <v>5866.66666666667</v>
      </c>
      <c r="G8" s="87" t="n">
        <f aca="false">SUM(F6:F8)</f>
        <v>16920</v>
      </c>
      <c r="H8" s="87" t="n">
        <f aca="false">[3]Dec!$H$1</f>
        <v>20547.5</v>
      </c>
      <c r="I8" s="87" t="n">
        <f aca="false">SUM(H6:H8)</f>
        <v>30119.375</v>
      </c>
      <c r="J8" s="87" t="n">
        <f aca="false">[3]Dec!$G$1</f>
        <v>4109.5</v>
      </c>
      <c r="K8" s="87" t="n">
        <f aca="false">SUM(J6:J8)</f>
        <v>6023.875</v>
      </c>
      <c r="L8" s="88"/>
      <c r="M8" s="89" t="n">
        <f aca="false">IF([2]Dec!$G$4&gt;0,[2]Dec!$G$4,0)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[1]Admin!$B$16</f>
        <v>46418</v>
      </c>
      <c r="C9" s="85" t="n">
        <f aca="false">B10</f>
        <v>46446</v>
      </c>
      <c r="D9" s="86" t="n">
        <f aca="false">[2]Jan!$H$1</f>
        <v>28133.3333333333</v>
      </c>
      <c r="E9" s="87" t="n">
        <f aca="false">SUM(D7:D9)</f>
        <v>84899.9999999999</v>
      </c>
      <c r="F9" s="87" t="n">
        <f aca="false">[2]Jan!$G$1</f>
        <v>5626.66666666667</v>
      </c>
      <c r="G9" s="87" t="n">
        <f aca="false">SUM(F7:F9)</f>
        <v>16980</v>
      </c>
      <c r="H9" s="87" t="n">
        <f aca="false">[3]Jan!$H$1</f>
        <v>7549.375</v>
      </c>
      <c r="I9" s="87" t="n">
        <f aca="false">SUM(H7:H9)</f>
        <v>33409.375</v>
      </c>
      <c r="J9" s="87" t="n">
        <f aca="false">[3]Jan!$G$1</f>
        <v>1509.875</v>
      </c>
      <c r="K9" s="87" t="n">
        <f aca="false">SUM(J7:J9)</f>
        <v>6681.875</v>
      </c>
      <c r="L9" s="88"/>
      <c r="M9" s="89" t="n">
        <f aca="false">IF([2]Jan!$G$4&gt;0,[2]Jan!$G$4,0)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[1]Admin!$B$18</f>
        <v>46446</v>
      </c>
      <c r="C10" s="85" t="n">
        <f aca="false">B11</f>
        <v>46477</v>
      </c>
      <c r="D10" s="86" t="n">
        <f aca="false">[2]Feb!$H$1</f>
        <v>30016.6666666667</v>
      </c>
      <c r="E10" s="87" t="n">
        <f aca="false">SUM(D8:D10)</f>
        <v>87483.3333333333</v>
      </c>
      <c r="F10" s="87" t="n">
        <f aca="false">[2]Feb!$G$1</f>
        <v>6003.33333333333</v>
      </c>
      <c r="G10" s="87" t="n">
        <f aca="false">SUM(F8:F10)</f>
        <v>17496.6666666667</v>
      </c>
      <c r="H10" s="87" t="n">
        <f aca="false">[3]Feb!$H$1</f>
        <v>3671.04166666667</v>
      </c>
      <c r="I10" s="87" t="n">
        <f aca="false">SUM(H8:H10)</f>
        <v>31767.9166666667</v>
      </c>
      <c r="J10" s="87" t="n">
        <f aca="false">[3]Feb!$G$1</f>
        <v>734.208333333333</v>
      </c>
      <c r="K10" s="87" t="n">
        <f aca="false">SUM(J8:J10)</f>
        <v>6353.58333333333</v>
      </c>
      <c r="L10" s="88"/>
      <c r="M10" s="89" t="n">
        <f aca="false">IF([2]Feb!$G$4&gt;0,[2]Feb!$G$4,0)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[1]Admin!$B$20</f>
        <v>46477</v>
      </c>
      <c r="C11" s="85" t="n">
        <f aca="false">B12</f>
        <v>46507</v>
      </c>
      <c r="D11" s="86" t="n">
        <f aca="false">[2]Mar!$H$1</f>
        <v>28133.3333333333</v>
      </c>
      <c r="E11" s="87" t="n">
        <f aca="false">SUM(D9:D11)</f>
        <v>86283.3333333333</v>
      </c>
      <c r="F11" s="87" t="n">
        <f aca="false">[2]Mar!$G$1</f>
        <v>5626.66666666667</v>
      </c>
      <c r="G11" s="87" t="n">
        <f aca="false">SUM(F9:F11)</f>
        <v>17256.6666666667</v>
      </c>
      <c r="H11" s="87" t="n">
        <f aca="false">[3]Mar!$H$1</f>
        <v>11145.8333333333</v>
      </c>
      <c r="I11" s="87" t="n">
        <f aca="false">SUM(H9:H11)</f>
        <v>22366.25</v>
      </c>
      <c r="J11" s="87" t="n">
        <f aca="false">[3]Mar!$G$1</f>
        <v>2229.16666666667</v>
      </c>
      <c r="K11" s="87" t="n">
        <f aca="false">SUM(J9:J11)</f>
        <v>4473.25</v>
      </c>
      <c r="L11" s="88"/>
      <c r="M11" s="89" t="n">
        <f aca="false">IF([2]Mar!$G$4&gt;0,[2]Mar!$G$4,0)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[1]Admin!$B$22</f>
        <v>46507</v>
      </c>
      <c r="C12" s="85" t="n">
        <f aca="false">B13</f>
        <v>46538</v>
      </c>
      <c r="D12" s="86" t="n">
        <f aca="false">[2]Apr!$H$1</f>
        <v>42133.3333333333</v>
      </c>
      <c r="E12" s="87" t="n">
        <f aca="false">SUM(D10:D12)</f>
        <v>100283.333333333</v>
      </c>
      <c r="F12" s="87" t="n">
        <f aca="false">[2]Apr!$G$1</f>
        <v>8426.66666666667</v>
      </c>
      <c r="G12" s="87" t="n">
        <f aca="false">SUM(F10:F12)</f>
        <v>20056.6666666667</v>
      </c>
      <c r="H12" s="87" t="n">
        <f aca="false">[3]Apr!$H$1</f>
        <v>35838.125</v>
      </c>
      <c r="I12" s="87" t="n">
        <f aca="false">SUM(H10:H12)</f>
        <v>50655</v>
      </c>
      <c r="J12" s="87" t="n">
        <f aca="false">[3]Apr!$G$1</f>
        <v>7167.625</v>
      </c>
      <c r="K12" s="87" t="n">
        <f aca="false">SUM(J10:J12)</f>
        <v>10131</v>
      </c>
      <c r="L12" s="88"/>
      <c r="M12" s="89" t="n">
        <f aca="false">IF([2]Apr!$G$4&gt;0,[2]Apr!$G$4,0)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[1]Admin!$B$24</f>
        <v>46538</v>
      </c>
      <c r="C13" s="85" t="n">
        <f aca="false">B14</f>
        <v>46568</v>
      </c>
      <c r="D13" s="86" t="n">
        <f aca="false">[2]May!$H$1</f>
        <v>29433.3333333333</v>
      </c>
      <c r="E13" s="87" t="n">
        <f aca="false">SUM(D11:D13)</f>
        <v>99699.9999999999</v>
      </c>
      <c r="F13" s="87" t="n">
        <f aca="false">[2]May!$G$1</f>
        <v>5886.66666666667</v>
      </c>
      <c r="G13" s="87" t="n">
        <f aca="false">SUM(F11:F13)</f>
        <v>19940</v>
      </c>
      <c r="H13" s="87" t="n">
        <f aca="false">[3]May!$H$1</f>
        <v>5765</v>
      </c>
      <c r="I13" s="87" t="n">
        <f aca="false">SUM(H11:H13)</f>
        <v>52748.9583333333</v>
      </c>
      <c r="J13" s="87" t="n">
        <f aca="false">[3]May!$G$1</f>
        <v>1153</v>
      </c>
      <c r="K13" s="87" t="n">
        <f aca="false">SUM(J11:J13)</f>
        <v>10549.7916666667</v>
      </c>
      <c r="L13" s="88"/>
      <c r="M13" s="89" t="n">
        <f aca="false">IF([2]May!$G$4&gt;0,[2]May!$G$4,0)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[1]Admin!$B$26</f>
        <v>46568</v>
      </c>
      <c r="C14" s="85" t="n">
        <f aca="false">B15</f>
        <v>46599</v>
      </c>
      <c r="D14" s="86" t="n">
        <f aca="false">[2]Jun!$H$1</f>
        <v>27333.3333333333</v>
      </c>
      <c r="E14" s="87" t="n">
        <f aca="false">SUM(D12:D14)</f>
        <v>98899.9999999999</v>
      </c>
      <c r="F14" s="87" t="n">
        <f aca="false">[2]Jun!$G$1</f>
        <v>5466.66666666667</v>
      </c>
      <c r="G14" s="87" t="n">
        <f aca="false">SUM(F12:F14)</f>
        <v>19780</v>
      </c>
      <c r="H14" s="87" t="n">
        <f aca="false">[3]Jun!$H$1</f>
        <v>7876.25</v>
      </c>
      <c r="I14" s="87" t="n">
        <f aca="false">SUM(H12:H14)</f>
        <v>49479.375</v>
      </c>
      <c r="J14" s="87" t="n">
        <f aca="false">[3]Jun!$G$1</f>
        <v>1575.25</v>
      </c>
      <c r="K14" s="87" t="n">
        <f aca="false">SUM(J12:J14)</f>
        <v>9895.875</v>
      </c>
      <c r="L14" s="88"/>
      <c r="M14" s="89" t="n">
        <f aca="false">IF([2]Jun!$G$4&gt;0,[2]Jun!$G$4,0)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[1]Admin!$B$28</f>
        <v>46599</v>
      </c>
      <c r="C15" s="85" t="n">
        <f aca="false">B16</f>
        <v>46630</v>
      </c>
      <c r="D15" s="86" t="n">
        <f aca="false">[2]Jul!$H$1</f>
        <v>29533.3333333333</v>
      </c>
      <c r="E15" s="87" t="n">
        <f aca="false">SUM(D13:D15)</f>
        <v>86299.9999999999</v>
      </c>
      <c r="F15" s="87" t="n">
        <f aca="false">[2]Jul!$G$1</f>
        <v>5906.66666666667</v>
      </c>
      <c r="G15" s="87" t="n">
        <f aca="false">SUM(F13:F15)</f>
        <v>17260</v>
      </c>
      <c r="H15" s="87" t="n">
        <f aca="false">[3]Jul!$H$1</f>
        <v>3759.375</v>
      </c>
      <c r="I15" s="87" t="n">
        <f aca="false">SUM(H13:H15)</f>
        <v>17400.625</v>
      </c>
      <c r="J15" s="87" t="n">
        <f aca="false">[3]Jul!$G$1</f>
        <v>751.875</v>
      </c>
      <c r="K15" s="87" t="n">
        <f aca="false">SUM(J13:J15)</f>
        <v>3480.125</v>
      </c>
      <c r="L15" s="88"/>
      <c r="M15" s="89" t="n">
        <f aca="false">IF([2]Jul!$G$4&gt;0,[2]Jul!$G$4,0)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[1]Admin!$B$30</f>
        <v>46630</v>
      </c>
      <c r="C16" s="85" t="n">
        <f aca="false">B17</f>
        <v>46660</v>
      </c>
      <c r="D16" s="86" t="n">
        <f aca="false">[2]Aug!$H$1</f>
        <v>28633.3333333333</v>
      </c>
      <c r="E16" s="87" t="n">
        <f aca="false">SUM(D14:D16)</f>
        <v>85499.9999999999</v>
      </c>
      <c r="F16" s="87" t="n">
        <f aca="false">[2]Aug!$G$1</f>
        <v>5726.66666666667</v>
      </c>
      <c r="G16" s="87" t="n">
        <f aca="false">SUM(F14:F16)</f>
        <v>17100</v>
      </c>
      <c r="H16" s="87" t="n">
        <f aca="false">[3]Aug!$H$1</f>
        <v>3663.75</v>
      </c>
      <c r="I16" s="87" t="n">
        <f aca="false">SUM(H14:H16)</f>
        <v>15299.375</v>
      </c>
      <c r="J16" s="87" t="n">
        <f aca="false">[3]Aug!$G$1</f>
        <v>732.75</v>
      </c>
      <c r="K16" s="87" t="n">
        <f aca="false">SUM(J14:J16)</f>
        <v>3059.875</v>
      </c>
      <c r="L16" s="88"/>
      <c r="M16" s="89" t="n">
        <f aca="false">IF([2]Aug!$G$4&gt;0,[2]Aug!$G$4,0)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[1]Admin!$B$32</f>
        <v>46660</v>
      </c>
      <c r="C17" s="85" t="n">
        <f aca="false">B18</f>
        <v>46691</v>
      </c>
      <c r="D17" s="86" t="n">
        <f aca="false">[2]Sep!$H$1</f>
        <v>26133.3333333333</v>
      </c>
      <c r="E17" s="87" t="n">
        <f aca="false">SUM(D15:D17)</f>
        <v>84299.9999999999</v>
      </c>
      <c r="F17" s="87" t="n">
        <f aca="false">[2]Sep!$G$1</f>
        <v>5226.66666666667</v>
      </c>
      <c r="G17" s="87" t="n">
        <f aca="false">SUM(F15:F17)</f>
        <v>16860</v>
      </c>
      <c r="H17" s="87" t="n">
        <f aca="false">[3]Sep!$H$1</f>
        <v>3105.41666666667</v>
      </c>
      <c r="I17" s="87" t="n">
        <f aca="false">SUM(H15:H17)</f>
        <v>10528.5416666667</v>
      </c>
      <c r="J17" s="87" t="n">
        <f aca="false">[3]Sep!$G$1</f>
        <v>621.083333333333</v>
      </c>
      <c r="K17" s="87" t="n">
        <f aca="false">SUM(J15:J17)</f>
        <v>2105.70833333333</v>
      </c>
      <c r="L17" s="88"/>
      <c r="M17" s="89" t="n">
        <f aca="false">IF([2]Sep!$G$4&gt;0,[2]Sep!$G$4,0)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[1]Admin!$B$34</f>
        <v>46691</v>
      </c>
      <c r="C18" s="85" t="n">
        <f aca="false">B19</f>
        <v>46721</v>
      </c>
      <c r="D18" s="86" t="n">
        <f aca="false">S04Y2!$H$1</f>
        <v>3000</v>
      </c>
      <c r="E18" s="87" t="n">
        <f aca="false">SUM(D16:D18)</f>
        <v>57766.6666666666</v>
      </c>
      <c r="F18" s="87" t="n">
        <f aca="false">S04Y2!$G$1</f>
        <v>600</v>
      </c>
      <c r="G18" s="87" t="n">
        <f aca="false">SUM(F16:F18)</f>
        <v>11553.3333333333</v>
      </c>
      <c r="H18" s="87" t="n">
        <f aca="false">P04Y2!$H$1</f>
        <v>200</v>
      </c>
      <c r="I18" s="87" t="n">
        <f aca="false">SUM(H16:H18)</f>
        <v>6969.16666666667</v>
      </c>
      <c r="J18" s="87" t="n">
        <f aca="false">P04Y2!$G$1</f>
        <v>40</v>
      </c>
      <c r="K18" s="87" t="n">
        <f aca="false">SUM(J16:J18)</f>
        <v>1393.83333333333</v>
      </c>
      <c r="L18" s="88"/>
      <c r="M18" s="89" t="n">
        <f aca="false">IF([2]Sep!$G$4&gt;0,[2]Sep!$G$4,0)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[1]Admin!$B$36</f>
        <v>46721</v>
      </c>
      <c r="C19" s="85" t="n">
        <f aca="false">[1]Admin!$B$38</f>
        <v>46752</v>
      </c>
      <c r="D19" s="86" t="n">
        <f aca="false">S05Y2!$H$1</f>
        <v>1500</v>
      </c>
      <c r="E19" s="87" t="n">
        <f aca="false">SUM(D17:D19)</f>
        <v>30633.3333333333</v>
      </c>
      <c r="F19" s="87" t="n">
        <f aca="false">S05Y2!$G$1</f>
        <v>300</v>
      </c>
      <c r="G19" s="87" t="n">
        <f aca="false">SUM(F17:F19)</f>
        <v>6126.66666666667</v>
      </c>
      <c r="H19" s="87" t="n">
        <f aca="false">P05Y2!$H$1</f>
        <v>300</v>
      </c>
      <c r="I19" s="87" t="n">
        <f aca="false">SUM(H17:H19)</f>
        <v>3605.41666666667</v>
      </c>
      <c r="J19" s="87" t="n">
        <f aca="false">P05Y2!$G$1</f>
        <v>60</v>
      </c>
      <c r="K19" s="87" t="n">
        <f aca="false">SUM(J17:J19)</f>
        <v>721.083333333333</v>
      </c>
      <c r="L19" s="88"/>
      <c r="M19" s="89" t="n">
        <f aca="false">IF([2]Sep!$G$4&gt;0,[2]Sep!$G$4,0)</f>
        <v>0</v>
      </c>
      <c r="N19" s="90"/>
    </row>
    <row r="20" customFormat="false" ht="12" hidden="false" customHeight="false" outlineLevel="0" collapsed="false">
      <c r="A20" s="84"/>
      <c r="B20" s="85" t="n">
        <f aca="false">[1]Admin!$B$38</f>
        <v>46752</v>
      </c>
      <c r="C20" s="91" t="n">
        <f aca="false">[1]Admin!$B$40</f>
        <v>46783</v>
      </c>
      <c r="D20" s="86" t="n">
        <f aca="false">S06Y2!$H$1</f>
        <v>1000</v>
      </c>
      <c r="E20" s="87" t="n">
        <f aca="false">SUM(D18:D20)</f>
        <v>5500</v>
      </c>
      <c r="F20" s="87" t="n">
        <f aca="false">S06Y2!$G$1</f>
        <v>200</v>
      </c>
      <c r="G20" s="87" t="n">
        <f aca="false">SUM(F18:F20)</f>
        <v>1100</v>
      </c>
      <c r="H20" s="87" t="n">
        <f aca="false">P06Y2!$H$1</f>
        <v>400</v>
      </c>
      <c r="I20" s="87" t="n">
        <f aca="false">SUM(H18:H20)</f>
        <v>900</v>
      </c>
      <c r="J20" s="87" t="n">
        <f aca="false">P06Y2!$G$1</f>
        <v>80</v>
      </c>
      <c r="K20" s="87" t="n">
        <f aca="false">SUM(J18:J20)</f>
        <v>180</v>
      </c>
      <c r="L20" s="88"/>
      <c r="M20" s="89" t="n">
        <f aca="false">IF([2]Sep!$G$4&gt;0,[2]Sep!$G$4,0)</f>
        <v>0</v>
      </c>
      <c r="N20" s="90"/>
    </row>
    <row r="21" customFormat="false" ht="9" hidden="false" customHeight="true" outlineLevel="0" collapsed="false">
      <c r="A21" s="92"/>
      <c r="B21" s="93"/>
      <c r="C21" s="93"/>
      <c r="D21" s="94"/>
      <c r="E21" s="94"/>
      <c r="F21" s="94"/>
      <c r="G21" s="94"/>
      <c r="H21" s="94"/>
      <c r="I21" s="94"/>
      <c r="J21" s="94"/>
      <c r="K21" s="94"/>
      <c r="L21" s="95"/>
      <c r="M21" s="96"/>
      <c r="N21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4800</v>
      </c>
      <c r="G1" s="105" t="n">
        <f aca="false">SUM(G5:G500)</f>
        <v>800</v>
      </c>
      <c r="H1" s="105" t="n">
        <f aca="false">SUM(H5:H500)</f>
        <v>4000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A5" s="98" t="n">
        <v>45883</v>
      </c>
      <c r="B5" s="99" t="s">
        <v>38</v>
      </c>
      <c r="C5" s="100" t="s">
        <v>39</v>
      </c>
      <c r="F5" s="99" t="n">
        <v>4800</v>
      </c>
      <c r="G5" s="99" t="n">
        <f aca="false">IF(G$4&gt;0,(IF(F5&lt;&gt;0,F5*G$4/100," ")),IF(F5&lt;&gt;0,F5*G$2/(100+G$2)," "))</f>
        <v>800</v>
      </c>
      <c r="H5" s="99" t="n">
        <f aca="false">IF((F5&lt;&gt;0),F5-G5," ")</f>
        <v>4000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2400</v>
      </c>
      <c r="G1" s="105" t="n">
        <f aca="false">SUM(G5:G500)</f>
        <v>400</v>
      </c>
      <c r="H1" s="105" t="n">
        <f aca="false">SUM(H5:H500)</f>
        <v>2000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A5" s="98" t="n">
        <v>45918</v>
      </c>
      <c r="B5" s="99" t="s">
        <v>41</v>
      </c>
      <c r="C5" s="100" t="s">
        <v>42</v>
      </c>
      <c r="F5" s="99" t="n">
        <v>2400</v>
      </c>
      <c r="G5" s="99" t="n">
        <f aca="false">IF(G$4&gt;0,(IF(F5&lt;&gt;0,F5*G$4/100," ")),IF(F5&lt;&gt;0,F5*G$2/(100+G$2)," "))</f>
        <v>400</v>
      </c>
      <c r="H5" s="99" t="n">
        <f aca="false">IF((F5&lt;&gt;0),F5-G5," ")</f>
        <v>2000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3600</v>
      </c>
      <c r="G1" s="105" t="n">
        <f aca="false">SUM(G5:G500)</f>
        <v>600</v>
      </c>
      <c r="H1" s="105" t="n">
        <f aca="false">SUM(H5:H500)</f>
        <v>3000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46305</v>
      </c>
      <c r="B5" s="99" t="s">
        <v>38</v>
      </c>
      <c r="C5" s="100" t="s">
        <v>43</v>
      </c>
      <c r="F5" s="99" t="n">
        <v>3600</v>
      </c>
      <c r="G5" s="99" t="n">
        <f aca="false">IF(G$4&gt;0,(IF(F5&lt;&gt;0,F5*G$4/100," ")),IF(F5&lt;&gt;0,F5*G$2/(100+G$2)," "))</f>
        <v>600</v>
      </c>
      <c r="H5" s="99" t="n">
        <f aca="false">IF((F5&lt;&gt;0),F5-G5," ")</f>
        <v>3000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1800</v>
      </c>
      <c r="G1" s="105" t="n">
        <f aca="false">SUM(G5:G500)</f>
        <v>300</v>
      </c>
      <c r="H1" s="105" t="n">
        <f aca="false">SUM(H5:H500)</f>
        <v>1500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46338</v>
      </c>
      <c r="B5" s="99" t="s">
        <v>44</v>
      </c>
      <c r="C5" s="100" t="s">
        <v>45</v>
      </c>
      <c r="F5" s="99" t="n">
        <v>1800</v>
      </c>
      <c r="G5" s="99" t="n">
        <f aca="false">IF(G$4&gt;0,(IF(F5&lt;&gt;0,F5*G$4/100," ")),IF(F5&lt;&gt;0,F5*G$2/(100+G$2)," "))</f>
        <v>300</v>
      </c>
      <c r="H5" s="99" t="n">
        <f aca="false">IF((F5&lt;&gt;0),F5-G5," ")</f>
        <v>1500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1200</v>
      </c>
      <c r="G1" s="105" t="n">
        <f aca="false">SUM(G5:G500)</f>
        <v>200</v>
      </c>
      <c r="H1" s="105" t="n">
        <f aca="false">SUM(H5:H500)</f>
        <v>1000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46367</v>
      </c>
      <c r="B5" s="99" t="s">
        <v>41</v>
      </c>
      <c r="C5" s="100" t="s">
        <v>46</v>
      </c>
      <c r="F5" s="99" t="n">
        <v>1200</v>
      </c>
      <c r="G5" s="99" t="n">
        <f aca="false">IF(G$4&gt;0,(IF(F5&lt;&gt;0,F5*G$4/100," ")),IF(F5&lt;&gt;0,F5*G$2/(100+G$2)," "))</f>
        <v>200</v>
      </c>
      <c r="H5" s="99" t="n">
        <f aca="false">IF((F5&lt;&gt;0),F5-G5," ")</f>
        <v>1000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720</v>
      </c>
      <c r="G1" s="105" t="n">
        <f aca="false">SUM(G5:G200)</f>
        <v>120</v>
      </c>
      <c r="H1" s="105" t="n">
        <f aca="false">SUM(H5:H200)</f>
        <v>600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[3]OpeningCreditors!$G$2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45889</v>
      </c>
      <c r="B5" s="122" t="s">
        <v>53</v>
      </c>
      <c r="C5" s="129" t="s">
        <v>54</v>
      </c>
      <c r="D5" s="122"/>
      <c r="F5" s="130" t="n">
        <v>720</v>
      </c>
      <c r="G5" s="123" t="n">
        <f aca="false">IF(F5&lt;&gt;0,F5*G$2/(100+G$2)," ")</f>
        <v>120</v>
      </c>
      <c r="H5" s="123" t="n">
        <f aca="false">IF((F5&lt;&gt;0),F5-G5," ")</f>
        <v>600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1200</v>
      </c>
      <c r="G1" s="105" t="n">
        <f aca="false">SUM(G5:G200)</f>
        <v>200</v>
      </c>
      <c r="H1" s="105" t="n">
        <f aca="false">SUM(H5:H200)</f>
        <v>1000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[3]OpeningCreditors!$G$2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45924</v>
      </c>
      <c r="B5" s="122" t="s">
        <v>55</v>
      </c>
      <c r="C5" s="129" t="s">
        <v>56</v>
      </c>
      <c r="D5" s="122"/>
      <c r="F5" s="130" t="n">
        <v>1200</v>
      </c>
      <c r="G5" s="123" t="n">
        <f aca="false">IF(F5&lt;&gt;0,F5*G$2/(100+G$2)," ")</f>
        <v>200</v>
      </c>
      <c r="H5" s="123" t="n">
        <f aca="false">IF((F5&lt;&gt;0),F5-G5," ")</f>
        <v>1000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240</v>
      </c>
      <c r="G1" s="105" t="n">
        <f aca="false">SUM(G5:G200)</f>
        <v>40</v>
      </c>
      <c r="H1" s="105" t="n">
        <f aca="false">SUM(H5:H200)</f>
        <v>200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46310</v>
      </c>
      <c r="B5" s="122" t="s">
        <v>57</v>
      </c>
      <c r="C5" s="129" t="s">
        <v>58</v>
      </c>
      <c r="D5" s="122"/>
      <c r="F5" s="130" t="n">
        <v>240</v>
      </c>
      <c r="G5" s="123" t="n">
        <f aca="false">IF(F5&lt;&gt;0,F5*G$2/(100+G$2)," ")</f>
        <v>40</v>
      </c>
      <c r="H5" s="123" t="n">
        <f aca="false">IF((F5&lt;&gt;0),F5-G5," ")</f>
        <v>200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360</v>
      </c>
      <c r="G1" s="105" t="n">
        <f aca="false">SUM(G5:G200)</f>
        <v>60</v>
      </c>
      <c r="H1" s="105" t="n">
        <f aca="false">SUM(H5:H200)</f>
        <v>300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46345</v>
      </c>
      <c r="B5" s="122" t="s">
        <v>59</v>
      </c>
      <c r="C5" s="129" t="s">
        <v>60</v>
      </c>
      <c r="D5" s="122"/>
      <c r="F5" s="130" t="n">
        <v>360</v>
      </c>
      <c r="G5" s="123" t="n">
        <f aca="false">IF(F5&lt;&gt;0,F5*G$2/(100+G$2)," ")</f>
        <v>60</v>
      </c>
      <c r="H5" s="123" t="n">
        <f aca="false">IF((F5&lt;&gt;0),F5-G5," ")</f>
        <v>300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480</v>
      </c>
      <c r="G1" s="105" t="n">
        <f aca="false">SUM(G5:G200)</f>
        <v>80</v>
      </c>
      <c r="H1" s="105" t="n">
        <f aca="false">SUM(H5:H200)</f>
        <v>400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46372</v>
      </c>
      <c r="B5" s="122" t="s">
        <v>55</v>
      </c>
      <c r="C5" s="129" t="s">
        <v>61</v>
      </c>
      <c r="D5" s="122"/>
      <c r="F5" s="130" t="n">
        <v>480</v>
      </c>
      <c r="G5" s="123" t="n">
        <f aca="false">IF(F5&lt;&gt;0,F5*G$2/(100+G$2)," ")</f>
        <v>80</v>
      </c>
      <c r="H5" s="123" t="n">
        <f aca="false">IF((F5&lt;&gt;0),F5-G5," ")</f>
        <v>400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Terry Cartwright</dc:creator>
  <dc:description/>
  <dc:language>en-US</dc:language>
  <cp:lastModifiedBy>Cartwright, Antony</cp:lastModifiedBy>
  <cp:lastPrinted>2007-02-10T23:38:25Z</cp:lastPrinted>
  <dcterms:modified xsi:type="dcterms:W3CDTF">2025-04-03T23:06:00Z</dcterms:modified>
  <cp:revision>0</cp:revision>
  <dc:subject/>
  <dc:title>Vat returns FMAN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