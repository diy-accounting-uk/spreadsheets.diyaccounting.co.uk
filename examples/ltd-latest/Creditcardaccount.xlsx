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" sheetId="1" state="visible" r:id="rId3"/>
    <sheet name="Dec" sheetId="2" state="visible" r:id="rId4"/>
    <sheet name="Jan" sheetId="3" state="visible" r:id="rId5"/>
    <sheet name="Feb" sheetId="4" state="visible" r:id="rId6"/>
    <sheet name="Mar" sheetId="5" state="visible" r:id="rId7"/>
    <sheet name="Apr" sheetId="6" state="visible" r:id="rId8"/>
    <sheet name="May" sheetId="7" state="visible" r:id="rId9"/>
    <sheet name="Jun" sheetId="8" state="visible" r:id="rId10"/>
    <sheet name="Jul" sheetId="9" state="visible" r:id="rId11"/>
    <sheet name="Aug" sheetId="10" state="visible" r:id="rId12"/>
    <sheet name="Sep" sheetId="11" state="visible" r:id="rId13"/>
    <sheet name="Oct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Apr!$A$1:$AI$75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Feb!$A$1:$AJ$75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<sst xmlns="http://schemas.openxmlformats.org/spreadsheetml/2006/main" count="908" uniqueCount="72">
  <si>
    <t xml:space="preserve">&lt;  Opening Bank Balance</t>
  </si>
  <si>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</si>
  <si>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</si>
  <si>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</si>
  <si>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</si>
  <si>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COMPANY CREDIT CARD STATEMENT RECEIPTS</t>
  </si>
  <si>
    <t xml:space="preserve">Enter Purchase Invoice No.</t>
  </si>
  <si>
    <t xml:space="preserve">Cheque number  Direct Debit</t>
  </si>
  <si>
    <t xml:space="preserve">COMPANY CREDIT CARD STATEMENT PAYMENTS</t>
  </si>
  <si>
    <t xml:space="preserve">&lt;  Statement Bank Balance</t>
  </si>
  <si>
    <t xml:space="preserve">Amounts received from each Source</t>
  </si>
  <si>
    <t xml:space="preserve">Transfers From Current</t>
  </si>
  <si>
    <t xml:space="preserve">Transfers   From        Savings</t>
  </si>
  <si>
    <t xml:space="preserve">Transfers     From      Cash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</si>
  <si>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</si>
  <si>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</si>
  <si>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</si>
  <si>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</si>
  <si>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HMRC   Vat Refunded</t>
  </si>
  <si>
    <t xml:space="preserve">HMRC CIS Refunded</t>
  </si>
  <si>
    <t xml:space="preserve">Directors Loan Account</t>
  </si>
  <si>
    <t xml:space="preserve">Bank Contra items</t>
  </si>
  <si>
    <t xml:space="preserve">Amounts Paid by invoice number</t>
  </si>
  <si>
    <t xml:space="preserve">Transfers  To   Current</t>
  </si>
  <si>
    <t xml:space="preserve">Transfers      To     Savings</t>
  </si>
  <si>
    <t xml:space="preserve">Transfers      To       Cash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</si>
  <si>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</si>
  <si>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</si>
  <si>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</si>
  <si>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</si>
  <si>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</si>
  <si>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</si>
  <si>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</si>
  <si>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</si>
  <si>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</si>
  <si>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</si>
  <si>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</si>
  <si>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</si>
  <si>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</si>
  <si>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</si>
  <si>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</si>
  <si>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BS</t>
  </si>
  <si>
    <t xml:space="preserve">BC</t>
  </si>
  <si>
    <t xml:space="preserve">DR</t>
  </si>
  <si>
    <t xml:space="preserve">K</t>
  </si>
  <si>
    <t xml:space="preserve">LDR</t>
  </si>
  <si>
    <t xml:space="preserve">LCR</t>
  </si>
  <si>
    <t xml:space="preserve">RV</t>
  </si>
  <si>
    <t xml:space="preserve">RC</t>
  </si>
  <si>
    <t xml:space="preserve">DL</t>
  </si>
  <si>
    <t xml:space="preserve">X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</si>
  <si>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</si>
  <si>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</si>
  <si>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</si>
  <si>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</si>
  <si>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</si>
  <si>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RT</t>
  </si>
  <si>
    <t xml:space="preserve">DV</t>
  </si>
  <si>
    <t xml:space="preserve">Payment from current</t>
  </si>
  <si>
    <t xml:space="preserve">BNK-CC-005</t>
  </si>
  <si>
    <t xml:space="preserve">Credit card payment received</t>
  </si>
  <si>
    <t xml:space="preserve">HSBC</t>
  </si>
  <si>
    <t xml:space="preserve">BNK-CC-004</t>
  </si>
  <si>
    <t xml:space="preserve">Credit card annual fee</t>
  </si>
  <si>
    <t xml:space="preserve">Premier Inn</t>
  </si>
  <si>
    <t xml:space="preserve">BNK-CC-001</t>
  </si>
  <si>
    <t xml:space="preserve">Hotel on credit card</t>
  </si>
  <si>
    <t xml:space="preserve">BNK-CC-006</t>
  </si>
  <si>
    <t xml:space="preserve">BNK-CC-007</t>
  </si>
  <si>
    <t xml:space="preserve">BNK-CC-002</t>
  </si>
  <si>
    <t xml:space="preserve">BNK-CC-008</t>
  </si>
  <si>
    <t xml:space="preserve">BNK-CC-003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</si>
</sst>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46327</v>
          </cell>
        </row>
        <row r="10">
          <cell r="B10">
            <v>46356</v>
          </cell>
        </row>
        <row r="11">
          <cell r="B11">
            <v>46357</v>
          </cell>
        </row>
        <row r="12">
          <cell r="B12">
            <v>46387</v>
          </cell>
        </row>
        <row r="13">
          <cell r="B13">
            <v>46388</v>
          </cell>
        </row>
        <row r="14">
          <cell r="B14">
            <v>46418</v>
          </cell>
        </row>
        <row r="15">
          <cell r="B15">
            <v>46419</v>
          </cell>
        </row>
        <row r="16">
          <cell r="B16">
            <v>46446</v>
          </cell>
        </row>
        <row r="17">
          <cell r="B17">
            <v>46447</v>
          </cell>
        </row>
        <row r="18">
          <cell r="B18">
            <v>46477</v>
          </cell>
        </row>
        <row r="19">
          <cell r="B19">
            <v>46478</v>
          </cell>
        </row>
        <row r="20">
          <cell r="B20">
            <v>46507</v>
          </cell>
        </row>
        <row r="21">
          <cell r="B21">
            <v>46508</v>
          </cell>
        </row>
        <row r="22">
          <cell r="B22">
            <v>46538</v>
          </cell>
        </row>
        <row r="23">
          <cell r="B23">
            <v>46539</v>
          </cell>
        </row>
        <row r="24">
          <cell r="B24">
            <v>46568</v>
          </cell>
        </row>
        <row r="25">
          <cell r="B25">
            <v>46569</v>
          </cell>
        </row>
        <row r="26">
          <cell r="B26">
            <v>46599</v>
          </cell>
        </row>
        <row r="27">
          <cell r="B27">
            <v>46600</v>
          </cell>
        </row>
        <row r="28">
          <cell r="B28">
            <v>46630</v>
          </cell>
        </row>
        <row r="29">
          <cell r="B29">
            <v>46631</v>
          </cell>
        </row>
        <row r="30">
          <cell r="B30">
            <v>46660</v>
          </cell>
        </row>
        <row r="31">
          <cell r="B31">
            <v>46661</v>
          </cell>
        </row>
        <row r="32">
          <cell r="B32">
            <v>46691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7"/>
      <c r="B1" s="8" t="s">
        <v>0</v>
      </c>
      <c r="C1" s="9" t="n">
        <f aca="false">[1]Admin!$B$9</f>
        <v>46327</v>
      </c>
      <c r="D1" s="10" t="s">
        <v>1</v>
      </c>
      <c r="E1" s="11" t="n">
        <f aca="false">F1-SUM(G1:Q1)</f>
        <v>0</v>
      </c>
      <c r="F1" s="12" t="n">
        <f aca="false">SUM(F6:F200)</f>
        <v>500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500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500</v>
      </c>
      <c r="B2" s="18" t="s">
        <v>2</v>
      </c>
      <c r="C2" s="9" t="n">
        <f aca="false">[1]Admin!$B$10</f>
        <v>46356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46356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1" t="n">
        <v>46356</v>
      </c>
      <c r="B6" s="2" t="s">
        <v>58</v>
      </c>
      <c r="C6" s="3" t="s">
        <v>59</v>
      </c>
      <c r="D6" s="4" t="s">
        <v>60</v>
      </c>
      <c r="E6" s="37" t="s">
        <v>50</v>
      </c>
      <c r="F6" s="6" t="n">
        <v>500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500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Nov!A2</f>
        <v>500</v>
      </c>
      <c r="B1" s="8" t="s">
        <v>0</v>
      </c>
      <c r="C1" s="9" t="n">
        <f aca="false">[1]Admin!$B$11</f>
        <v>46357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35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35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465</v>
      </c>
      <c r="B2" s="18" t="s">
        <v>2</v>
      </c>
      <c r="C2" s="9" t="n">
        <f aca="false">[1]Admin!$B$12</f>
        <v>46387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46387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465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S6" s="1" t="n">
        <v>46376</v>
      </c>
      <c r="T6" s="4" t="s">
        <v>61</v>
      </c>
      <c r="U6" s="3" t="s">
        <v>62</v>
      </c>
      <c r="V6" s="3" t="s">
        <v>63</v>
      </c>
      <c r="W6" s="39" t="s">
        <v>53</v>
      </c>
      <c r="X6" s="6" t="n">
        <v>35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n">
        <f aca="false">IF(W6="B",X6," ")</f>
        <v>35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Dec!A2</f>
        <v>465</v>
      </c>
      <c r="B1" s="8" t="s">
        <v>0</v>
      </c>
      <c r="C1" s="9" t="n">
        <f aca="false">[1]Admin!$B$13</f>
        <v>46388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180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180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285</v>
      </c>
      <c r="B2" s="18" t="s">
        <v>2</v>
      </c>
      <c r="C2" s="9" t="n">
        <f aca="false">[1]Admin!$B$14</f>
        <v>46418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46418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285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S6" s="1" t="n">
        <v>46405</v>
      </c>
      <c r="T6" s="4" t="s">
        <v>64</v>
      </c>
      <c r="U6" s="3" t="s">
        <v>65</v>
      </c>
      <c r="V6" s="3" t="s">
        <v>66</v>
      </c>
      <c r="W6" s="39" t="s">
        <v>51</v>
      </c>
      <c r="X6" s="6" t="n">
        <v>180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n">
        <f aca="false">IF(W6="CR",X6," ")</f>
        <v>180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Jan!A2</f>
        <v>285</v>
      </c>
      <c r="B1" s="8" t="s">
        <v>0</v>
      </c>
      <c r="C1" s="9" t="n">
        <f aca="false">[1]Admin!$B$15</f>
        <v>46419</v>
      </c>
      <c r="D1" s="10" t="s">
        <v>1</v>
      </c>
      <c r="E1" s="11" t="n">
        <f aca="false">F1-SUM(G1:Q1)</f>
        <v>0</v>
      </c>
      <c r="F1" s="12" t="n">
        <f aca="false">SUM(F6:F200)</f>
        <v>300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300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585</v>
      </c>
      <c r="B2" s="18" t="s">
        <v>2</v>
      </c>
      <c r="C2" s="9" t="n">
        <f aca="false">[1]Admin!$B$16</f>
        <v>46446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46446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585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1" t="n">
        <v>46446</v>
      </c>
      <c r="B6" s="2" t="s">
        <v>58</v>
      </c>
      <c r="C6" s="3" t="s">
        <v>67</v>
      </c>
      <c r="D6" s="4" t="s">
        <v>60</v>
      </c>
      <c r="E6" s="37" t="s">
        <v>50</v>
      </c>
      <c r="F6" s="6" t="n">
        <v>300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300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Feb!A2</f>
        <v>585</v>
      </c>
      <c r="B1" s="8" t="s">
        <v>0</v>
      </c>
      <c r="C1" s="9" t="n">
        <f aca="false">[1]Admin!$B$17</f>
        <v>46447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585</v>
      </c>
      <c r="B2" s="18" t="s">
        <v>2</v>
      </c>
      <c r="C2" s="9" t="n">
        <f aca="false">[1]Admin!$B$18</f>
        <v>46477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46477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585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Mar!A2</f>
        <v>585</v>
      </c>
      <c r="B1" s="8" t="s">
        <v>0</v>
      </c>
      <c r="C1" s="9" t="n">
        <f aca="false">[1]Admin!$B$19</f>
        <v>46478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585</v>
      </c>
      <c r="B2" s="18" t="s">
        <v>2</v>
      </c>
      <c r="C2" s="9" t="n">
        <f aca="false">[1]Admin!$B$20</f>
        <v>46507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46507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585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Apr!A2</f>
        <v>585</v>
      </c>
      <c r="B1" s="8" t="s">
        <v>0</v>
      </c>
      <c r="C1" s="9" t="n">
        <f aca="false">[1]Admin!$B$21</f>
        <v>46508</v>
      </c>
      <c r="D1" s="10" t="s">
        <v>1</v>
      </c>
      <c r="E1" s="11" t="n">
        <f aca="false">F1-SUM(G1:Q1)</f>
        <v>0</v>
      </c>
      <c r="F1" s="12" t="n">
        <f aca="false">SUM(F6:F200)</f>
        <v>500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500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120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120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965</v>
      </c>
      <c r="B2" s="18" t="s">
        <v>2</v>
      </c>
      <c r="C2" s="9" t="n">
        <f aca="false">[1]Admin!$B$22</f>
        <v>46538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46538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965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1" t="n">
        <v>46538</v>
      </c>
      <c r="B6" s="2" t="s">
        <v>58</v>
      </c>
      <c r="C6" s="3" t="s">
        <v>68</v>
      </c>
      <c r="D6" s="4" t="s">
        <v>60</v>
      </c>
      <c r="E6" s="37" t="s">
        <v>50</v>
      </c>
      <c r="F6" s="6" t="n">
        <v>500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500</v>
      </c>
      <c r="R6" s="38"/>
      <c r="S6" s="1" t="n">
        <v>46525</v>
      </c>
      <c r="T6" s="4" t="s">
        <v>64</v>
      </c>
      <c r="U6" s="3" t="s">
        <v>69</v>
      </c>
      <c r="V6" s="3" t="s">
        <v>66</v>
      </c>
      <c r="W6" s="39" t="s">
        <v>51</v>
      </c>
      <c r="X6" s="6" t="n">
        <v>120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n">
        <f aca="false">IF(W6="CR",X6," ")</f>
        <v>120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May!A2</f>
        <v>965</v>
      </c>
      <c r="B1" s="8" t="s">
        <v>0</v>
      </c>
      <c r="C1" s="9" t="n">
        <f aca="false">[1]Admin!$B$23</f>
        <v>46539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965</v>
      </c>
      <c r="B2" s="18" t="s">
        <v>2</v>
      </c>
      <c r="C2" s="9" t="n">
        <f aca="false">[1]Admin!$B$24</f>
        <v>46568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46568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965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Jun!A2</f>
        <v>965</v>
      </c>
      <c r="B1" s="8" t="s">
        <v>0</v>
      </c>
      <c r="C1" s="9" t="n">
        <f aca="false">[1]Admin!$B$25</f>
        <v>46569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965</v>
      </c>
      <c r="B2" s="18" t="s">
        <v>2</v>
      </c>
      <c r="C2" s="9" t="n">
        <f aca="false">[1]Admin!$B$26</f>
        <v>46599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46599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965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Jul!A2</f>
        <v>965</v>
      </c>
      <c r="B1" s="8" t="s">
        <v>0</v>
      </c>
      <c r="C1" s="9" t="n">
        <f aca="false">[1]Admin!$B$27</f>
        <v>46600</v>
      </c>
      <c r="D1" s="10" t="s">
        <v>1</v>
      </c>
      <c r="E1" s="11" t="n">
        <f aca="false">F1-SUM(G1:Q1)</f>
        <v>0</v>
      </c>
      <c r="F1" s="12" t="n">
        <f aca="false">SUM(F6:F200)</f>
        <v>300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300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1265</v>
      </c>
      <c r="B2" s="18" t="s">
        <v>2</v>
      </c>
      <c r="C2" s="9" t="n">
        <f aca="false">[1]Admin!$B$28</f>
        <v>46630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46630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1265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1" t="n">
        <v>46630</v>
      </c>
      <c r="B6" s="2" t="s">
        <v>58</v>
      </c>
      <c r="C6" s="3" t="s">
        <v>70</v>
      </c>
      <c r="D6" s="4" t="s">
        <v>60</v>
      </c>
      <c r="E6" s="37" t="s">
        <v>50</v>
      </c>
      <c r="F6" s="6" t="n">
        <v>300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300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Aug!A2</f>
        <v>1265</v>
      </c>
      <c r="B1" s="8" t="s">
        <v>0</v>
      </c>
      <c r="C1" s="9" t="n">
        <f aca="false">[1]Admin!$B$29</f>
        <v>46631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240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240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1025</v>
      </c>
      <c r="B2" s="18" t="s">
        <v>2</v>
      </c>
      <c r="C2" s="9" t="n">
        <f aca="false">[1]Admin!$B$30</f>
        <v>46660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46660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1025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S6" s="1" t="n">
        <v>46648</v>
      </c>
      <c r="T6" s="4" t="s">
        <v>64</v>
      </c>
      <c r="U6" s="3" t="s">
        <v>71</v>
      </c>
      <c r="V6" s="3" t="s">
        <v>66</v>
      </c>
      <c r="W6" s="39" t="s">
        <v>51</v>
      </c>
      <c r="X6" s="6" t="n">
        <v>240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n">
        <f aca="false">IF(W6="CR",X6," ")</f>
        <v>240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Sep!A2</f>
        <v>1025</v>
      </c>
      <c r="B1" s="8" t="s">
        <v>0</v>
      </c>
      <c r="C1" s="9" t="n">
        <f aca="false">[1]Admin!$B$31</f>
        <v>46661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1025</v>
      </c>
      <c r="B2" s="18" t="s">
        <v>2</v>
      </c>
      <c r="C2" s="9" t="n">
        <f aca="false">[1]Admin!$B$32</f>
        <v>46691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46691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1025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2007-03-01T02:22:31Z</cp:lastPrinted>
  <dcterms:modified xsi:type="dcterms:W3CDTF">2025-04-03T23:05:18Z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