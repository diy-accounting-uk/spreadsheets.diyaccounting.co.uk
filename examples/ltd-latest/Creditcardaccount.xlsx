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v" sheetId="1" state="visible" r:id="rId3"/>
    <sheet name="Dec" sheetId="2" state="visible" r:id="rId4"/>
    <sheet name="Jan" sheetId="3" state="visible" r:id="rId5"/>
    <sheet name="Feb" sheetId="4" state="visible" r:id="rId6"/>
    <sheet name="Mar" sheetId="5" state="visible" r:id="rId7"/>
    <sheet name="Apr" sheetId="6" state="visible" r:id="rId8"/>
    <sheet name="May" sheetId="7" state="visible" r:id="rId9"/>
    <sheet name="Jun" sheetId="8" state="visible" r:id="rId10"/>
    <sheet name="Jul" sheetId="9" state="visible" r:id="rId11"/>
    <sheet name="Aug" sheetId="10" state="visible" r:id="rId12"/>
    <sheet name="Sep" sheetId="11" state="visible" r:id="rId13"/>
    <sheet name="Oct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<sst xmlns="http://schemas.openxmlformats.org/spreadsheetml/2006/main" count="908" uniqueCount="72">
  <si>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</si>
  <si>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</si>
  <si>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</si>
  <si>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</si>
  <si>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</si>
  <si>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COMPANY CREDIT CARD STATEMENT RECEIPTS</t>
  </si>
  <si>
    <t xml:space="preserve">Enter Purchase Invoice No.</t>
  </si>
  <si>
    <t xml:space="preserve">Cheque number  Direct Debit</t>
  </si>
  <si>
    <t xml:space="preserve">COMPANY CREDIT CARD STATEMENT PAYMENTS</t>
  </si>
  <si>
    <t xml:space="preserve">&lt;  Statement Bank Balance</t>
  </si>
  <si>
    <t xml:space="preserve">Amounts received from each Source</t>
  </si>
  <si>
    <t xml:space="preserve">Transfers From Current</t>
  </si>
  <si>
    <t xml:space="preserve">Transfers   From        Savings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</si>
  <si>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</si>
  <si>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</si>
  <si>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</si>
  <si>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</si>
  <si>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</si>
  <si>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</si>
  <si>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</si>
  <si>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</si>
  <si>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</si>
  <si>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</si>
  <si>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Current</t>
  </si>
  <si>
    <t xml:space="preserve">Transfers      To     Savings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</si>
  <si>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</si>
  <si>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</si>
  <si>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</si>
  <si>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</si>
  <si>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</si>
  <si>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</si>
  <si>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</si>
  <si>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</si>
  <si>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</si>
  <si>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</si>
  <si>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</si>
  <si>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</si>
  <si>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</si>
  <si>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</si>
  <si>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</si>
  <si>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BB</t>
  </si>
  <si>
    <t xml:space="preserve">BS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</si>
  <si>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</si>
  <si>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</si>
  <si>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</si>
  <si>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</si>
  <si>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</si>
  <si>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</si>
  <si>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</si>
  <si>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</si>
  <si>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</si>
  <si>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</si>
  <si>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</si>
  <si>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</si>
  <si>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</si>
  <si>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</si>
  <si>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</si>
  <si>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</si>
  <si>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Payment from current</t>
  </si>
  <si>
    <t xml:space="preserve">BNK-CC-005</t>
  </si>
  <si>
    <t xml:space="preserve">Credit card payment received</t>
  </si>
  <si>
    <t xml:space="preserve">HSBC</t>
  </si>
  <si>
    <t xml:space="preserve">BNK-CC-004</t>
  </si>
  <si>
    <t xml:space="preserve">Credit card annual fee</t>
  </si>
  <si>
    <t xml:space="preserve">Premier Inn</t>
  </si>
  <si>
    <t xml:space="preserve">BNK-CC-001</t>
  </si>
  <si>
    <t xml:space="preserve">Hotel on credit card</t>
  </si>
  <si>
    <t xml:space="preserve">BNK-CC-006</t>
  </si>
  <si>
    <t xml:space="preserve">BNK-CC-007</t>
  </si>
  <si>
    <t xml:space="preserve">BNK-CC-002</t>
  </si>
  <si>
    <t xml:space="preserve">BNK-CC-008</t>
  </si>
  <si>
    <t xml:space="preserve">BNK-CC-003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</si>
</sst>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5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5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6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46327</v>
          </cell>
        </row>
        <row r="10">
          <cell r="B10">
            <v>46356</v>
          </cell>
        </row>
        <row r="11">
          <cell r="B11">
            <v>46357</v>
          </cell>
        </row>
        <row r="12">
          <cell r="B12">
            <v>46387</v>
          </cell>
        </row>
        <row r="13">
          <cell r="B13">
            <v>46388</v>
          </cell>
        </row>
        <row r="14">
          <cell r="B14">
            <v>46418</v>
          </cell>
        </row>
        <row r="15">
          <cell r="B15">
            <v>46419</v>
          </cell>
        </row>
        <row r="16">
          <cell r="B16">
            <v>46446</v>
          </cell>
        </row>
        <row r="17">
          <cell r="B17">
            <v>46447</v>
          </cell>
        </row>
        <row r="18">
          <cell r="B18">
            <v>46477</v>
          </cell>
        </row>
        <row r="19">
          <cell r="B19">
            <v>46478</v>
          </cell>
        </row>
        <row r="20">
          <cell r="B20">
            <v>46507</v>
          </cell>
        </row>
        <row r="21">
          <cell r="B21">
            <v>46508</v>
          </cell>
        </row>
        <row r="22">
          <cell r="B22">
            <v>46538</v>
          </cell>
        </row>
        <row r="23">
          <cell r="B23">
            <v>46539</v>
          </cell>
        </row>
        <row r="24">
          <cell r="B24">
            <v>46568</v>
          </cell>
        </row>
        <row r="25">
          <cell r="B25">
            <v>46569</v>
          </cell>
        </row>
        <row r="26">
          <cell r="B26">
            <v>46599</v>
          </cell>
        </row>
        <row r="27">
          <cell r="B27">
            <v>46600</v>
          </cell>
        </row>
        <row r="28">
          <cell r="B28">
            <v>46630</v>
          </cell>
        </row>
        <row r="29">
          <cell r="B29">
            <v>46631</v>
          </cell>
        </row>
        <row r="30">
          <cell r="B30">
            <v>46660</v>
          </cell>
        </row>
        <row r="31">
          <cell r="B31">
            <v>46661</v>
          </cell>
        </row>
        <row r="32">
          <cell r="B32">
            <v>46691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46327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500</v>
      </c>
      <c r="B2" s="18" t="s">
        <v>2</v>
      </c>
      <c r="C2" s="9" t="n">
        <f aca="false">[1]Admin!$B$10</f>
        <v>46356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46356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500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46356</v>
      </c>
      <c r="B6" s="2" t="s">
        <v>58</v>
      </c>
      <c r="C6" s="3" t="s">
        <v>59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Nov!A2</f>
        <v>500</v>
      </c>
      <c r="B1" s="8" t="s">
        <v>0</v>
      </c>
      <c r="C1" s="9" t="n">
        <f aca="false">[1]Admin!$B$11</f>
        <v>46357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35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35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465</v>
      </c>
      <c r="B2" s="18" t="s">
        <v>2</v>
      </c>
      <c r="C2" s="9" t="n">
        <f aca="false">[1]Admin!$B$12</f>
        <v>46387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46387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465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46376</v>
      </c>
      <c r="T6" s="4" t="s">
        <v>61</v>
      </c>
      <c r="U6" s="3" t="s">
        <v>62</v>
      </c>
      <c r="V6" s="3" t="s">
        <v>63</v>
      </c>
      <c r="W6" s="39" t="s">
        <v>53</v>
      </c>
      <c r="X6" s="6" t="n">
        <v>35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n">
        <f aca="false">IF(W6="B",X6," ")</f>
        <v>35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Dec!A2</f>
        <v>465</v>
      </c>
      <c r="B1" s="8" t="s">
        <v>0</v>
      </c>
      <c r="C1" s="9" t="n">
        <f aca="false">[1]Admin!$B$13</f>
        <v>46388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180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180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285</v>
      </c>
      <c r="B2" s="18" t="s">
        <v>2</v>
      </c>
      <c r="C2" s="9" t="n">
        <f aca="false">[1]Admin!$B$14</f>
        <v>46418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46418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285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46405</v>
      </c>
      <c r="T6" s="4" t="s">
        <v>64</v>
      </c>
      <c r="U6" s="3" t="s">
        <v>65</v>
      </c>
      <c r="V6" s="3" t="s">
        <v>66</v>
      </c>
      <c r="W6" s="39" t="s">
        <v>51</v>
      </c>
      <c r="X6" s="6" t="n">
        <v>180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180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Jan!A2</f>
        <v>285</v>
      </c>
      <c r="B1" s="8" t="s">
        <v>0</v>
      </c>
      <c r="C1" s="9" t="n">
        <f aca="false">[1]Admin!$B$15</f>
        <v>46419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[1]Admin!$B$16</f>
        <v>46446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46446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46446</v>
      </c>
      <c r="B6" s="2" t="s">
        <v>58</v>
      </c>
      <c r="C6" s="3" t="s">
        <v>67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Feb!A2</f>
        <v>585</v>
      </c>
      <c r="B1" s="8" t="s">
        <v>0</v>
      </c>
      <c r="C1" s="9" t="n">
        <f aca="false">[1]Admin!$B$17</f>
        <v>46447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[1]Admin!$B$18</f>
        <v>46477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46477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Mar!A2</f>
        <v>585</v>
      </c>
      <c r="B1" s="8" t="s">
        <v>0</v>
      </c>
      <c r="C1" s="9" t="n">
        <f aca="false">[1]Admin!$B$19</f>
        <v>46478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585</v>
      </c>
      <c r="B2" s="18" t="s">
        <v>2</v>
      </c>
      <c r="C2" s="9" t="n">
        <f aca="false">[1]Admin!$B$20</f>
        <v>46507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46507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585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Apr!A2</f>
        <v>585</v>
      </c>
      <c r="B1" s="8" t="s">
        <v>0</v>
      </c>
      <c r="C1" s="9" t="n">
        <f aca="false">[1]Admin!$B$21</f>
        <v>46508</v>
      </c>
      <c r="D1" s="10" t="s">
        <v>1</v>
      </c>
      <c r="E1" s="11" t="n">
        <f aca="false">F1-SUM(G1:Q1)</f>
        <v>0</v>
      </c>
      <c r="F1" s="12" t="n">
        <f aca="false">SUM(F6:F200)</f>
        <v>500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500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120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120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[1]Admin!$B$22</f>
        <v>46538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46538</v>
      </c>
      <c r="B6" s="2" t="s">
        <v>58</v>
      </c>
      <c r="C6" s="3" t="s">
        <v>68</v>
      </c>
      <c r="D6" s="4" t="s">
        <v>60</v>
      </c>
      <c r="E6" s="37" t="s">
        <v>50</v>
      </c>
      <c r="F6" s="6" t="n">
        <v>500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500</v>
      </c>
      <c r="R6" s="38"/>
      <c r="S6" s="1" t="n">
        <v>46525</v>
      </c>
      <c r="T6" s="4" t="s">
        <v>64</v>
      </c>
      <c r="U6" s="3" t="s">
        <v>69</v>
      </c>
      <c r="V6" s="3" t="s">
        <v>66</v>
      </c>
      <c r="W6" s="39" t="s">
        <v>51</v>
      </c>
      <c r="X6" s="6" t="n">
        <v>120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120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May!A2</f>
        <v>965</v>
      </c>
      <c r="B1" s="8" t="s">
        <v>0</v>
      </c>
      <c r="C1" s="9" t="n">
        <f aca="false">[1]Admin!$B$23</f>
        <v>46539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[1]Admin!$B$24</f>
        <v>46568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46568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Jun!A2</f>
        <v>965</v>
      </c>
      <c r="B1" s="8" t="s">
        <v>0</v>
      </c>
      <c r="C1" s="9" t="n">
        <f aca="false">[1]Admin!$B$25</f>
        <v>46569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965</v>
      </c>
      <c r="B2" s="18" t="s">
        <v>2</v>
      </c>
      <c r="C2" s="9" t="n">
        <f aca="false">[1]Admin!$B$26</f>
        <v>46599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46599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965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Jul!A2</f>
        <v>965</v>
      </c>
      <c r="B1" s="8" t="s">
        <v>0</v>
      </c>
      <c r="C1" s="9" t="n">
        <f aca="false">[1]Admin!$B$27</f>
        <v>46600</v>
      </c>
      <c r="D1" s="10" t="s">
        <v>1</v>
      </c>
      <c r="E1" s="11" t="n">
        <f aca="false">F1-SUM(G1:Q1)</f>
        <v>0</v>
      </c>
      <c r="F1" s="12" t="n">
        <f aca="false">SUM(F6:F200)</f>
        <v>300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300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1265</v>
      </c>
      <c r="B2" s="18" t="s">
        <v>2</v>
      </c>
      <c r="C2" s="9" t="n">
        <f aca="false">[1]Admin!$B$28</f>
        <v>46630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1265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A6" s="1" t="n">
        <v>46630</v>
      </c>
      <c r="B6" s="2" t="s">
        <v>58</v>
      </c>
      <c r="C6" s="3" t="s">
        <v>70</v>
      </c>
      <c r="D6" s="4" t="s">
        <v>60</v>
      </c>
      <c r="E6" s="37" t="s">
        <v>50</v>
      </c>
      <c r="F6" s="6" t="n">
        <v>300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n">
        <f aca="false">IF(E6="X",F6," ")</f>
        <v>300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Aug!A2</f>
        <v>1265</v>
      </c>
      <c r="B1" s="8" t="s">
        <v>0</v>
      </c>
      <c r="C1" s="9" t="n">
        <f aca="false">[1]Admin!$B$29</f>
        <v>46631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240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240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[1]Admin!$B$30</f>
        <v>46660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46660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S6" s="1" t="n">
        <v>46648</v>
      </c>
      <c r="T6" s="4" t="s">
        <v>64</v>
      </c>
      <c r="U6" s="3" t="s">
        <v>71</v>
      </c>
      <c r="V6" s="3" t="s">
        <v>66</v>
      </c>
      <c r="W6" s="39" t="s">
        <v>51</v>
      </c>
      <c r="X6" s="6" t="n">
        <v>240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n">
        <f aca="false">IF(W6="CR",X6," ")</f>
        <v>240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48" t="n">
        <f aca="false">Sep!A2</f>
        <v>1025</v>
      </c>
      <c r="B1" s="8" t="s">
        <v>0</v>
      </c>
      <c r="C1" s="9" t="n">
        <f aca="false">[1]Admin!$B$31</f>
        <v>46661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1025</v>
      </c>
      <c r="B2" s="18" t="s">
        <v>2</v>
      </c>
      <c r="C2" s="9" t="n">
        <f aca="false">[1]Admin!$B$32</f>
        <v>46691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46691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5" customFormat="true" ht="19.5" hidden="false" customHeight="true" outlineLevel="0" collapsed="false">
      <c r="A4" s="29" t="n">
        <f aca="false">A2-A3</f>
        <v>1025</v>
      </c>
      <c r="B4" s="30" t="str">
        <f aca="false">IF(A4=0,"&lt;  Bank  - Statement Balance","  Reconcile Bank Statement")</f>
        <v>  Reconcile Bank Statement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5" customFormat="true" ht="15" hidden="false" customHeight="true" outlineLevel="0" collapsed="false">
      <c r="A5" s="33" t="s">
        <v>37</v>
      </c>
      <c r="B5" s="34" t="s">
        <v>38</v>
      </c>
      <c r="C5" s="35" t="s">
        <v>39</v>
      </c>
      <c r="D5" s="19"/>
      <c r="E5" s="20"/>
      <c r="F5" s="26"/>
      <c r="G5" s="36" t="s">
        <v>40</v>
      </c>
      <c r="H5" s="36" t="s">
        <v>41</v>
      </c>
      <c r="I5" s="36" t="s">
        <v>42</v>
      </c>
      <c r="J5" s="36" t="s">
        <v>43</v>
      </c>
      <c r="K5" s="36" t="s">
        <v>44</v>
      </c>
      <c r="L5" s="36" t="s">
        <v>45</v>
      </c>
      <c r="M5" s="36" t="s">
        <v>46</v>
      </c>
      <c r="N5" s="36" t="s">
        <v>47</v>
      </c>
      <c r="O5" s="36" t="s">
        <v>48</v>
      </c>
      <c r="P5" s="36" t="s">
        <v>49</v>
      </c>
      <c r="Q5" s="36" t="s">
        <v>50</v>
      </c>
      <c r="R5" s="13"/>
      <c r="S5" s="31"/>
      <c r="T5" s="32"/>
      <c r="U5" s="22"/>
      <c r="V5" s="23"/>
      <c r="W5" s="20"/>
      <c r="X5" s="26"/>
      <c r="Y5" s="36" t="s">
        <v>40</v>
      </c>
      <c r="Z5" s="36" t="s">
        <v>41</v>
      </c>
      <c r="AA5" s="36" t="s">
        <v>42</v>
      </c>
      <c r="AB5" s="36" t="s">
        <v>51</v>
      </c>
      <c r="AC5" s="36" t="s">
        <v>52</v>
      </c>
      <c r="AD5" s="36" t="s">
        <v>53</v>
      </c>
      <c r="AE5" s="36" t="s">
        <v>54</v>
      </c>
      <c r="AF5" s="36" t="s">
        <v>45</v>
      </c>
      <c r="AG5" s="36" t="s">
        <v>46</v>
      </c>
      <c r="AH5" s="36" t="s">
        <v>55</v>
      </c>
      <c r="AI5" s="36" t="s">
        <v>47</v>
      </c>
      <c r="AJ5" s="36" t="s">
        <v>48</v>
      </c>
      <c r="AK5" s="36" t="s">
        <v>56</v>
      </c>
      <c r="AL5" s="36" t="s">
        <v>57</v>
      </c>
      <c r="AM5" s="36" t="s">
        <v>49</v>
      </c>
      <c r="AN5" s="36" t="s">
        <v>50</v>
      </c>
    </row>
    <row r="6" customFormat="false" ht="12" hidden="false" customHeight="false" outlineLevel="0" collapsed="false">
      <c r="E6" s="37" t="str">
        <f aca="false">IF(F6&lt;&gt;0,"Enter Code"," ")</f>
        <v> </v>
      </c>
      <c r="G6" s="6" t="str">
        <f aca="false">IF(E6="BB",F6," ")</f>
        <v> </v>
      </c>
      <c r="H6" s="6" t="str">
        <f aca="false">IF(E6="BS",F6,"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8"/>
      <c r="W6" s="39" t="str">
        <f aca="false">IF(X6&lt;&gt;0,"Enter Code"," ")</f>
        <v> </v>
      </c>
      <c r="Y6" s="6" t="str">
        <f aca="false">IF(W6="BB",X6," ")</f>
        <v> </v>
      </c>
      <c r="Z6" s="6" t="str">
        <f aca="false">IF(W6="BS",X6,"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" hidden="false" customHeight="false" outlineLevel="0" collapsed="false">
      <c r="E7" s="5" t="str">
        <f aca="false">IF(F7&lt;&gt;0,"Enter Code"," ")</f>
        <v> </v>
      </c>
      <c r="G7" s="6" t="str">
        <f aca="false">IF(E7="BB",F7," ")</f>
        <v> </v>
      </c>
      <c r="H7" s="6" t="str">
        <f aca="false">IF(E7="BS",F7,"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0"/>
      <c r="W7" s="6" t="str">
        <f aca="false">IF(X7&lt;&gt;0,"Enter Code"," ")</f>
        <v> </v>
      </c>
      <c r="Y7" s="6" t="str">
        <f aca="false">IF(W7="BB",X7," ")</f>
        <v> </v>
      </c>
      <c r="Z7" s="6" t="str">
        <f aca="false">IF(W7="BS",X7,"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" hidden="false" customHeight="false" outlineLevel="0" collapsed="false">
      <c r="E8" s="5" t="str">
        <f aca="false">IF(F8&lt;&gt;0,"Enter Code"," ")</f>
        <v> </v>
      </c>
      <c r="G8" s="6" t="str">
        <f aca="false">IF(E8="BB",F8," ")</f>
        <v> </v>
      </c>
      <c r="H8" s="6" t="str">
        <f aca="false">IF(E8="BS",F8,"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0"/>
      <c r="W8" s="6" t="str">
        <f aca="false">IF(X8&lt;&gt;0,"Enter Code"," ")</f>
        <v> </v>
      </c>
      <c r="Y8" s="6" t="str">
        <f aca="false">IF(W8="BB",X8," ")</f>
        <v> </v>
      </c>
      <c r="Z8" s="6" t="str">
        <f aca="false">IF(W8="BS",X8,"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" hidden="false" customHeight="false" outlineLevel="0" collapsed="false">
      <c r="E9" s="5" t="str">
        <f aca="false">IF(F9&lt;&gt;0,"Enter Code"," ")</f>
        <v> </v>
      </c>
      <c r="G9" s="6" t="str">
        <f aca="false">IF(E9="BB",F9," ")</f>
        <v> </v>
      </c>
      <c r="H9" s="6" t="str">
        <f aca="false">IF(E9="BS",F9,"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0"/>
      <c r="W9" s="6" t="str">
        <f aca="false">IF(X9&lt;&gt;0,"Enter Code"," ")</f>
        <v> </v>
      </c>
      <c r="Y9" s="6" t="str">
        <f aca="false">IF(W9="BB",X9," ")</f>
        <v> </v>
      </c>
      <c r="Z9" s="6" t="str">
        <f aca="false">IF(W9="BS",X9,"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" hidden="false" customHeight="false" outlineLevel="0" collapsed="false">
      <c r="E10" s="5" t="str">
        <f aca="false">IF(F10&lt;&gt;0,"Enter Code"," ")</f>
        <v> </v>
      </c>
      <c r="G10" s="6" t="str">
        <f aca="false">IF(E10="BB",F10," ")</f>
        <v> </v>
      </c>
      <c r="H10" s="6" t="str">
        <f aca="false">IF(E10="BS",F10,"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0"/>
      <c r="W10" s="6" t="str">
        <f aca="false">IF(X10&lt;&gt;0,"Enter Code"," ")</f>
        <v> </v>
      </c>
      <c r="Y10" s="6" t="str">
        <f aca="false">IF(W10="BB",X10," ")</f>
        <v> </v>
      </c>
      <c r="Z10" s="6" t="str">
        <f aca="false">IF(W10="BS",X10,"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" hidden="false" customHeight="false" outlineLevel="0" collapsed="false">
      <c r="E11" s="5" t="str">
        <f aca="false">IF(F11&lt;&gt;0,"Enter Code"," ")</f>
        <v> </v>
      </c>
      <c r="G11" s="6" t="str">
        <f aca="false">IF(E11="BB",F11," ")</f>
        <v> </v>
      </c>
      <c r="H11" s="6" t="str">
        <f aca="false">IF(E11="BS",F11,"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0"/>
      <c r="W11" s="6" t="str">
        <f aca="false">IF(X11&lt;&gt;0,"Enter Code"," ")</f>
        <v> </v>
      </c>
      <c r="Y11" s="6" t="str">
        <f aca="false">IF(W11="BB",X11," ")</f>
        <v> </v>
      </c>
      <c r="Z11" s="6" t="str">
        <f aca="false">IF(W11="BS",X11,"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" hidden="false" customHeight="false" outlineLevel="0" collapsed="false">
      <c r="E12" s="5" t="str">
        <f aca="false">IF(F12&lt;&gt;0,"Enter Code"," ")</f>
        <v> </v>
      </c>
      <c r="G12" s="6" t="str">
        <f aca="false">IF(E12="BB",F12," ")</f>
        <v> </v>
      </c>
      <c r="H12" s="6" t="str">
        <f aca="false">IF(E12="BS",F12,"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0"/>
      <c r="W12" s="6" t="str">
        <f aca="false">IF(X12&lt;&gt;0,"Enter Code"," ")</f>
        <v> </v>
      </c>
      <c r="Y12" s="6" t="str">
        <f aca="false">IF(W12="BB",X12," ")</f>
        <v> </v>
      </c>
      <c r="Z12" s="6" t="str">
        <f aca="false">IF(W12="BS",X12,"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" hidden="false" customHeight="false" outlineLevel="0" collapsed="false">
      <c r="E13" s="5" t="str">
        <f aca="false">IF(F13&lt;&gt;0,"Enter Code"," ")</f>
        <v> </v>
      </c>
      <c r="G13" s="6" t="str">
        <f aca="false">IF(E13="BB",F13," ")</f>
        <v> </v>
      </c>
      <c r="H13" s="6" t="str">
        <f aca="false">IF(E13="BS",F13,"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0"/>
      <c r="W13" s="6" t="str">
        <f aca="false">IF(X13&lt;&gt;0,"Enter Code"," ")</f>
        <v> </v>
      </c>
      <c r="Y13" s="6" t="str">
        <f aca="false">IF(W13="BB",X13," ")</f>
        <v> </v>
      </c>
      <c r="Z13" s="6" t="str">
        <f aca="false">IF(W13="BS",X13,"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" hidden="false" customHeight="false" outlineLevel="0" collapsed="false">
      <c r="E14" s="5" t="str">
        <f aca="false">IF(F14&lt;&gt;0,"Enter Code"," ")</f>
        <v> </v>
      </c>
      <c r="G14" s="6" t="str">
        <f aca="false">IF(E14="BB",F14," ")</f>
        <v> </v>
      </c>
      <c r="H14" s="6" t="str">
        <f aca="false">IF(E14="BS",F14,"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0"/>
      <c r="W14" s="6" t="str">
        <f aca="false">IF(X14&lt;&gt;0,"Enter Code"," ")</f>
        <v> </v>
      </c>
      <c r="Y14" s="6" t="str">
        <f aca="false">IF(W14="BB",X14," ")</f>
        <v> </v>
      </c>
      <c r="Z14" s="6" t="str">
        <f aca="false">IF(W14="BS",X14,"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" hidden="false" customHeight="false" outlineLevel="0" collapsed="false">
      <c r="E15" s="5" t="str">
        <f aca="false">IF(F15&lt;&gt;0,"Enter Code"," ")</f>
        <v> </v>
      </c>
      <c r="G15" s="6" t="str">
        <f aca="false">IF(E15="BB",F15," ")</f>
        <v> </v>
      </c>
      <c r="H15" s="6" t="str">
        <f aca="false">IF(E15="BS",F15,"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0"/>
      <c r="W15" s="6" t="str">
        <f aca="false">IF(X15&lt;&gt;0,"Enter Code"," ")</f>
        <v> </v>
      </c>
      <c r="Y15" s="6" t="str">
        <f aca="false">IF(W15="BB",X15," ")</f>
        <v> </v>
      </c>
      <c r="Z15" s="6" t="str">
        <f aca="false">IF(W15="BS",X15,"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" hidden="false" customHeight="false" outlineLevel="0" collapsed="false">
      <c r="E16" s="5" t="str">
        <f aca="false">IF(F16&lt;&gt;0,"Enter Code"," ")</f>
        <v> </v>
      </c>
      <c r="G16" s="6" t="str">
        <f aca="false">IF(E16="BB",F16," ")</f>
        <v> </v>
      </c>
      <c r="H16" s="6" t="str">
        <f aca="false">IF(E16="BS",F16,"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0"/>
      <c r="W16" s="6" t="str">
        <f aca="false">IF(X16&lt;&gt;0,"Enter Code"," ")</f>
        <v> </v>
      </c>
      <c r="Y16" s="6" t="str">
        <f aca="false">IF(W16="BB",X16," ")</f>
        <v> </v>
      </c>
      <c r="Z16" s="6" t="str">
        <f aca="false">IF(W16="BS",X16,"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" hidden="false" customHeight="false" outlineLevel="0" collapsed="false">
      <c r="E17" s="5" t="str">
        <f aca="false">IF(F17&lt;&gt;0,"Enter Code"," ")</f>
        <v> </v>
      </c>
      <c r="G17" s="6" t="str">
        <f aca="false">IF(E17="BB",F17," ")</f>
        <v> </v>
      </c>
      <c r="H17" s="6" t="str">
        <f aca="false">IF(E17="BS",F17,"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0"/>
      <c r="W17" s="6" t="str">
        <f aca="false">IF(X17&lt;&gt;0,"Enter Code"," ")</f>
        <v> </v>
      </c>
      <c r="Y17" s="6" t="str">
        <f aca="false">IF(W17="BB",X17," ")</f>
        <v> </v>
      </c>
      <c r="Z17" s="6" t="str">
        <f aca="false">IF(W17="BS",X17,"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" hidden="false" customHeight="false" outlineLevel="0" collapsed="false">
      <c r="E18" s="5" t="str">
        <f aca="false">IF(F18&lt;&gt;0,"Enter Code"," ")</f>
        <v> </v>
      </c>
      <c r="G18" s="6" t="str">
        <f aca="false">IF(E18="BB",F18," ")</f>
        <v> </v>
      </c>
      <c r="H18" s="6" t="str">
        <f aca="false">IF(E18="BS",F18,"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0"/>
      <c r="W18" s="6" t="str">
        <f aca="false">IF(X18&lt;&gt;0,"Enter Code"," ")</f>
        <v> </v>
      </c>
      <c r="Y18" s="6" t="str">
        <f aca="false">IF(W18="BB",X18," ")</f>
        <v> </v>
      </c>
      <c r="Z18" s="6" t="str">
        <f aca="false">IF(W18="BS",X18,"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" hidden="false" customHeight="false" outlineLevel="0" collapsed="false">
      <c r="E19" s="5" t="str">
        <f aca="false">IF(F19&lt;&gt;0,"Enter Code"," ")</f>
        <v> </v>
      </c>
      <c r="G19" s="6" t="str">
        <f aca="false">IF(E19="BB",F19," ")</f>
        <v> </v>
      </c>
      <c r="H19" s="6" t="str">
        <f aca="false">IF(E19="BS",F19,"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0"/>
      <c r="W19" s="6" t="str">
        <f aca="false">IF(X19&lt;&gt;0,"Enter Code"," ")</f>
        <v> </v>
      </c>
      <c r="Y19" s="6" t="str">
        <f aca="false">IF(W19="BB",X19," ")</f>
        <v> </v>
      </c>
      <c r="Z19" s="6" t="str">
        <f aca="false">IF(W19="BS",X19,"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" hidden="false" customHeight="false" outlineLevel="0" collapsed="false">
      <c r="E20" s="5" t="str">
        <f aca="false">IF(F20&lt;&gt;0,"Enter Code"," ")</f>
        <v> </v>
      </c>
      <c r="G20" s="6" t="str">
        <f aca="false">IF(E20="BB",F20," ")</f>
        <v> </v>
      </c>
      <c r="H20" s="6" t="str">
        <f aca="false">IF(E20="BS",F20,"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0"/>
      <c r="W20" s="6" t="str">
        <f aca="false">IF(X20&lt;&gt;0,"Enter Code"," ")</f>
        <v> </v>
      </c>
      <c r="Y20" s="6" t="str">
        <f aca="false">IF(W20="BB",X20," ")</f>
        <v> </v>
      </c>
      <c r="Z20" s="6" t="str">
        <f aca="false">IF(W20="BS",X20,"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" hidden="false" customHeight="false" outlineLevel="0" collapsed="false">
      <c r="E21" s="5" t="str">
        <f aca="false">IF(F21&lt;&gt;0,"Enter Code"," ")</f>
        <v> </v>
      </c>
      <c r="G21" s="6" t="str">
        <f aca="false">IF(E21="BB",F21," ")</f>
        <v> </v>
      </c>
      <c r="H21" s="6" t="str">
        <f aca="false">IF(E21="BS",F21,"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0"/>
      <c r="W21" s="6" t="str">
        <f aca="false">IF(X21&lt;&gt;0,"Enter Code"," ")</f>
        <v> </v>
      </c>
      <c r="Y21" s="6" t="str">
        <f aca="false">IF(W21="BB",X21," ")</f>
        <v> </v>
      </c>
      <c r="Z21" s="6" t="str">
        <f aca="false">IF(W21="BS",X21,"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" hidden="false" customHeight="false" outlineLevel="0" collapsed="false">
      <c r="E22" s="5" t="str">
        <f aca="false">IF(F22&lt;&gt;0,"Enter Code"," ")</f>
        <v> </v>
      </c>
      <c r="G22" s="6" t="str">
        <f aca="false">IF(E22="BB",F22," ")</f>
        <v> </v>
      </c>
      <c r="H22" s="6" t="str">
        <f aca="false">IF(E22="BS",F22,"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0"/>
      <c r="W22" s="6" t="str">
        <f aca="false">IF(X22&lt;&gt;0,"Enter Code"," ")</f>
        <v> </v>
      </c>
      <c r="Y22" s="6" t="str">
        <f aca="false">IF(W22="BB",X22," ")</f>
        <v> </v>
      </c>
      <c r="Z22" s="6" t="str">
        <f aca="false">IF(W22="BS",X22,"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" hidden="false" customHeight="false" outlineLevel="0" collapsed="false">
      <c r="E23" s="5" t="str">
        <f aca="false">IF(F23&lt;&gt;0,"Enter Code"," ")</f>
        <v> </v>
      </c>
      <c r="G23" s="6" t="str">
        <f aca="false">IF(E23="BB",F23," ")</f>
        <v> </v>
      </c>
      <c r="H23" s="6" t="str">
        <f aca="false">IF(E23="BS",F23,"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0"/>
      <c r="W23" s="6" t="str">
        <f aca="false">IF(X23&lt;&gt;0,"Enter Code"," ")</f>
        <v> </v>
      </c>
      <c r="Y23" s="6" t="str">
        <f aca="false">IF(W23="BB",X23," ")</f>
        <v> </v>
      </c>
      <c r="Z23" s="6" t="str">
        <f aca="false">IF(W23="BS",X23,"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" hidden="false" customHeight="false" outlineLevel="0" collapsed="false">
      <c r="E24" s="5" t="str">
        <f aca="false">IF(F24&lt;&gt;0,"Enter Code"," ")</f>
        <v> </v>
      </c>
      <c r="G24" s="6" t="str">
        <f aca="false">IF(E24="BB",F24," ")</f>
        <v> </v>
      </c>
      <c r="H24" s="6" t="str">
        <f aca="false">IF(E24="BS",F24,"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0"/>
      <c r="W24" s="6" t="str">
        <f aca="false">IF(X24&lt;&gt;0,"Enter Code"," ")</f>
        <v> </v>
      </c>
      <c r="Y24" s="6" t="str">
        <f aca="false">IF(W24="BB",X24," ")</f>
        <v> </v>
      </c>
      <c r="Z24" s="6" t="str">
        <f aca="false">IF(W24="BS",X24,"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" hidden="false" customHeight="false" outlineLevel="0" collapsed="false">
      <c r="E25" s="5" t="str">
        <f aca="false">IF(F25&lt;&gt;0,"Enter Code"," ")</f>
        <v> </v>
      </c>
      <c r="G25" s="6" t="str">
        <f aca="false">IF(E25="BB",F25," ")</f>
        <v> </v>
      </c>
      <c r="H25" s="6" t="str">
        <f aca="false">IF(E25="BS",F25,"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0"/>
      <c r="W25" s="6" t="str">
        <f aca="false">IF(X25&lt;&gt;0,"Enter Code"," ")</f>
        <v> </v>
      </c>
      <c r="Y25" s="6" t="str">
        <f aca="false">IF(W25="BB",X25," ")</f>
        <v> </v>
      </c>
      <c r="Z25" s="6" t="str">
        <f aca="false">IF(W25="BS",X25,"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" hidden="false" customHeight="false" outlineLevel="0" collapsed="false">
      <c r="E26" s="5" t="str">
        <f aca="false">IF(F26&lt;&gt;0,"Enter Code"," ")</f>
        <v> </v>
      </c>
      <c r="G26" s="6" t="str">
        <f aca="false">IF(E26="BB",F26," ")</f>
        <v> </v>
      </c>
      <c r="H26" s="6" t="str">
        <f aca="false">IF(E26="BS",F26,"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0"/>
      <c r="W26" s="6" t="str">
        <f aca="false">IF(X26&lt;&gt;0,"Enter Code"," ")</f>
        <v> </v>
      </c>
      <c r="Y26" s="6" t="str">
        <f aca="false">IF(W26="BB",X26," ")</f>
        <v> </v>
      </c>
      <c r="Z26" s="6" t="str">
        <f aca="false">IF(W26="BS",X26,"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" hidden="false" customHeight="false" outlineLevel="0" collapsed="false">
      <c r="E27" s="5" t="str">
        <f aca="false">IF(F27&lt;&gt;0,"Enter Code"," ")</f>
        <v> </v>
      </c>
      <c r="G27" s="6" t="str">
        <f aca="false">IF(E27="BB",F27," ")</f>
        <v> </v>
      </c>
      <c r="H27" s="6" t="str">
        <f aca="false">IF(E27="BS",F27,"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0"/>
      <c r="W27" s="6" t="str">
        <f aca="false">IF(X27&lt;&gt;0,"Enter Code"," ")</f>
        <v> </v>
      </c>
      <c r="Y27" s="6" t="str">
        <f aca="false">IF(W27="BB",X27," ")</f>
        <v> </v>
      </c>
      <c r="Z27" s="6" t="str">
        <f aca="false">IF(W27="BS",X27,"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" hidden="false" customHeight="false" outlineLevel="0" collapsed="false">
      <c r="E28" s="5" t="str">
        <f aca="false">IF(F28&lt;&gt;0,"Enter Code"," ")</f>
        <v> </v>
      </c>
      <c r="G28" s="6" t="str">
        <f aca="false">IF(E28="BB",F28," ")</f>
        <v> </v>
      </c>
      <c r="H28" s="6" t="str">
        <f aca="false">IF(E28="BS",F28,"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0"/>
      <c r="W28" s="6" t="str">
        <f aca="false">IF(X28&lt;&gt;0,"Enter Code"," ")</f>
        <v> </v>
      </c>
      <c r="Y28" s="6" t="str">
        <f aca="false">IF(W28="BB",X28," ")</f>
        <v> </v>
      </c>
      <c r="Z28" s="6" t="str">
        <f aca="false">IF(W28="BS",X28,"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" hidden="false" customHeight="false" outlineLevel="0" collapsed="false">
      <c r="E29" s="5" t="str">
        <f aca="false">IF(F29&lt;&gt;0,"Enter Code"," ")</f>
        <v> </v>
      </c>
      <c r="G29" s="6" t="str">
        <f aca="false">IF(E29="BB",F29," ")</f>
        <v> </v>
      </c>
      <c r="H29" s="6" t="str">
        <f aca="false">IF(E29="BS",F29,"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0"/>
      <c r="W29" s="6" t="str">
        <f aca="false">IF(X29&lt;&gt;0,"Enter Code"," ")</f>
        <v> </v>
      </c>
      <c r="Y29" s="6" t="str">
        <f aca="false">IF(W29="BB",X29," ")</f>
        <v> </v>
      </c>
      <c r="Z29" s="6" t="str">
        <f aca="false">IF(W29="BS",X29,"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" hidden="false" customHeight="false" outlineLevel="0" collapsed="false">
      <c r="E30" s="5" t="str">
        <f aca="false">IF(F30&lt;&gt;0,"Enter Code"," ")</f>
        <v> </v>
      </c>
      <c r="G30" s="6" t="str">
        <f aca="false">IF(E30="BB",F30," ")</f>
        <v> </v>
      </c>
      <c r="H30" s="6" t="str">
        <f aca="false">IF(E30="BS",F30,"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0"/>
      <c r="W30" s="6" t="str">
        <f aca="false">IF(X30&lt;&gt;0,"Enter Code"," ")</f>
        <v> </v>
      </c>
      <c r="Y30" s="6" t="str">
        <f aca="false">IF(W30="BB",X30," ")</f>
        <v> </v>
      </c>
      <c r="Z30" s="6" t="str">
        <f aca="false">IF(W30="BS",X30,"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" hidden="false" customHeight="false" outlineLevel="0" collapsed="false">
      <c r="E31" s="5" t="str">
        <f aca="false">IF(F31&lt;&gt;0,"Enter Code"," ")</f>
        <v> </v>
      </c>
      <c r="G31" s="6" t="str">
        <f aca="false">IF(E31="BB",F31," ")</f>
        <v> </v>
      </c>
      <c r="H31" s="6" t="str">
        <f aca="false">IF(E31="BS",F31,"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0"/>
      <c r="W31" s="6" t="str">
        <f aca="false">IF(X31&lt;&gt;0,"Enter Code"," ")</f>
        <v> </v>
      </c>
      <c r="Y31" s="6" t="str">
        <f aca="false">IF(W31="BB",X31," ")</f>
        <v> </v>
      </c>
      <c r="Z31" s="6" t="str">
        <f aca="false">IF(W31="BS",X31,"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" hidden="false" customHeight="false" outlineLevel="0" collapsed="false">
      <c r="E32" s="5" t="str">
        <f aca="false">IF(F32&lt;&gt;0,"Enter Code"," ")</f>
        <v> </v>
      </c>
      <c r="G32" s="6" t="str">
        <f aca="false">IF(E32="BB",F32," ")</f>
        <v> </v>
      </c>
      <c r="H32" s="6" t="str">
        <f aca="false">IF(E32="BS",F32,"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0"/>
      <c r="W32" s="6" t="str">
        <f aca="false">IF(X32&lt;&gt;0,"Enter Code"," ")</f>
        <v> </v>
      </c>
      <c r="Y32" s="6" t="str">
        <f aca="false">IF(W32="BB",X32," ")</f>
        <v> </v>
      </c>
      <c r="Z32" s="6" t="str">
        <f aca="false">IF(W32="BS",X32,"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" hidden="false" customHeight="false" outlineLevel="0" collapsed="false">
      <c r="E33" s="5" t="str">
        <f aca="false">IF(F33&lt;&gt;0,"Enter Code"," ")</f>
        <v> </v>
      </c>
      <c r="G33" s="6" t="str">
        <f aca="false">IF(E33="BB",F33," ")</f>
        <v> </v>
      </c>
      <c r="H33" s="6" t="str">
        <f aca="false">IF(E33="BS",F33,"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0"/>
      <c r="W33" s="6" t="str">
        <f aca="false">IF(X33&lt;&gt;0,"Enter Code"," ")</f>
        <v> </v>
      </c>
      <c r="Y33" s="6" t="str">
        <f aca="false">IF(W33="BB",X33," ")</f>
        <v> </v>
      </c>
      <c r="Z33" s="6" t="str">
        <f aca="false">IF(W33="BS",X33,"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" hidden="false" customHeight="false" outlineLevel="0" collapsed="false">
      <c r="E34" s="5" t="str">
        <f aca="false">IF(F34&lt;&gt;0,"Enter Code"," ")</f>
        <v> </v>
      </c>
      <c r="G34" s="6" t="str">
        <f aca="false">IF(E34="BB",F34," ")</f>
        <v> </v>
      </c>
      <c r="H34" s="6" t="str">
        <f aca="false">IF(E34="BS",F34,"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0"/>
      <c r="W34" s="6" t="str">
        <f aca="false">IF(X34&lt;&gt;0,"Enter Code"," ")</f>
        <v> </v>
      </c>
      <c r="Y34" s="6" t="str">
        <f aca="false">IF(W34="BB",X34," ")</f>
        <v> </v>
      </c>
      <c r="Z34" s="6" t="str">
        <f aca="false">IF(W34="BS",X34,"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" hidden="false" customHeight="false" outlineLevel="0" collapsed="false">
      <c r="E35" s="5" t="str">
        <f aca="false">IF(F35&lt;&gt;0,"Enter Code"," ")</f>
        <v> </v>
      </c>
      <c r="G35" s="6" t="str">
        <f aca="false">IF(E35="BB",F35," ")</f>
        <v> </v>
      </c>
      <c r="H35" s="6" t="str">
        <f aca="false">IF(E35="BS",F35,"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0"/>
      <c r="W35" s="6" t="str">
        <f aca="false">IF(X35&lt;&gt;0,"Enter Code"," ")</f>
        <v> </v>
      </c>
      <c r="Y35" s="6" t="str">
        <f aca="false">IF(W35="BB",X35," ")</f>
        <v> </v>
      </c>
      <c r="Z35" s="6" t="str">
        <f aca="false">IF(W35="BS",X35,"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" hidden="false" customHeight="false" outlineLevel="0" collapsed="false">
      <c r="E36" s="5" t="str">
        <f aca="false">IF(F36&lt;&gt;0,"Enter Code"," ")</f>
        <v> </v>
      </c>
      <c r="G36" s="6" t="str">
        <f aca="false">IF(E36="BB",F36," ")</f>
        <v> </v>
      </c>
      <c r="H36" s="6" t="str">
        <f aca="false">IF(E36="BS",F36,"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0"/>
      <c r="W36" s="6" t="str">
        <f aca="false">IF(X36&lt;&gt;0,"Enter Code"," ")</f>
        <v> </v>
      </c>
      <c r="Y36" s="6" t="str">
        <f aca="false">IF(W36="BB",X36," ")</f>
        <v> </v>
      </c>
      <c r="Z36" s="6" t="str">
        <f aca="false">IF(W36="BS",X36,"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" hidden="false" customHeight="false" outlineLevel="0" collapsed="false">
      <c r="E37" s="5" t="str">
        <f aca="false">IF(F37&lt;&gt;0,"Enter Code"," ")</f>
        <v> </v>
      </c>
      <c r="G37" s="6" t="str">
        <f aca="false">IF(E37="BB",F37," ")</f>
        <v> </v>
      </c>
      <c r="H37" s="6" t="str">
        <f aca="false">IF(E37="BS",F37,"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0"/>
      <c r="W37" s="6" t="str">
        <f aca="false">IF(X37&lt;&gt;0,"Enter Code"," ")</f>
        <v> </v>
      </c>
      <c r="Y37" s="6" t="str">
        <f aca="false">IF(W37="BB",X37," ")</f>
        <v> </v>
      </c>
      <c r="Z37" s="6" t="str">
        <f aca="false">IF(W37="BS",X37,"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" hidden="false" customHeight="false" outlineLevel="0" collapsed="false">
      <c r="E38" s="5" t="str">
        <f aca="false">IF(F38&lt;&gt;0,"Enter Code"," ")</f>
        <v> </v>
      </c>
      <c r="G38" s="6" t="str">
        <f aca="false">IF(E38="BB",F38," ")</f>
        <v> </v>
      </c>
      <c r="H38" s="6" t="str">
        <f aca="false">IF(E38="BS",F38,"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0"/>
      <c r="W38" s="6" t="str">
        <f aca="false">IF(X38&lt;&gt;0,"Enter Code"," ")</f>
        <v> </v>
      </c>
      <c r="Y38" s="6" t="str">
        <f aca="false">IF(W38="BB",X38," ")</f>
        <v> </v>
      </c>
      <c r="Z38" s="6" t="str">
        <f aca="false">IF(W38="BS",X38,"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" hidden="false" customHeight="false" outlineLevel="0" collapsed="false">
      <c r="E39" s="5" t="str">
        <f aca="false">IF(F39&lt;&gt;0,"Enter Code"," ")</f>
        <v> </v>
      </c>
      <c r="G39" s="6" t="str">
        <f aca="false">IF(E39="BB",F39," ")</f>
        <v> </v>
      </c>
      <c r="H39" s="6" t="str">
        <f aca="false">IF(E39="BS",F39,"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0"/>
      <c r="W39" s="6" t="str">
        <f aca="false">IF(X39&lt;&gt;0,"Enter Code"," ")</f>
        <v> </v>
      </c>
      <c r="Y39" s="6" t="str">
        <f aca="false">IF(W39="BB",X39," ")</f>
        <v> </v>
      </c>
      <c r="Z39" s="6" t="str">
        <f aca="false">IF(W39="BS",X39,"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" hidden="false" customHeight="false" outlineLevel="0" collapsed="false">
      <c r="E40" s="5" t="str">
        <f aca="false">IF(F40&lt;&gt;0,"Enter Code"," ")</f>
        <v> </v>
      </c>
      <c r="G40" s="6" t="str">
        <f aca="false">IF(E40="BB",F40," ")</f>
        <v> </v>
      </c>
      <c r="H40" s="6" t="str">
        <f aca="false">IF(E40="BS",F40,"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0"/>
      <c r="W40" s="6" t="str">
        <f aca="false">IF(X40&lt;&gt;0,"Enter Code"," ")</f>
        <v> </v>
      </c>
      <c r="Y40" s="6" t="str">
        <f aca="false">IF(W40="BB",X40," ")</f>
        <v> </v>
      </c>
      <c r="Z40" s="6" t="str">
        <f aca="false">IF(W40="BS",X40,"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" hidden="false" customHeight="false" outlineLevel="0" collapsed="false">
      <c r="E41" s="5" t="str">
        <f aca="false">IF(F41&lt;&gt;0,"Enter Code"," ")</f>
        <v> </v>
      </c>
      <c r="G41" s="6" t="str">
        <f aca="false">IF(E41="BB",F41," ")</f>
        <v> </v>
      </c>
      <c r="H41" s="6" t="str">
        <f aca="false">IF(E41="BS",F41,"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0"/>
      <c r="W41" s="6" t="str">
        <f aca="false">IF(X41&lt;&gt;0,"Enter Code"," ")</f>
        <v> </v>
      </c>
      <c r="Y41" s="6" t="str">
        <f aca="false">IF(W41="BB",X41," ")</f>
        <v> </v>
      </c>
      <c r="Z41" s="6" t="str">
        <f aca="false">IF(W41="BS",X41,"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" hidden="false" customHeight="false" outlineLevel="0" collapsed="false">
      <c r="E42" s="5" t="str">
        <f aca="false">IF(F42&lt;&gt;0,"Enter Code"," ")</f>
        <v> </v>
      </c>
      <c r="G42" s="6" t="str">
        <f aca="false">IF(E42="BB",F42," ")</f>
        <v> </v>
      </c>
      <c r="H42" s="6" t="str">
        <f aca="false">IF(E42="BS",F42,"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0"/>
      <c r="W42" s="6" t="str">
        <f aca="false">IF(X42&lt;&gt;0,"Enter Code"," ")</f>
        <v> </v>
      </c>
      <c r="Y42" s="6" t="str">
        <f aca="false">IF(W42="BB",X42," ")</f>
        <v> </v>
      </c>
      <c r="Z42" s="6" t="str">
        <f aca="false">IF(W42="BS",X42,"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" hidden="false" customHeight="false" outlineLevel="0" collapsed="false">
      <c r="E43" s="5" t="str">
        <f aca="false">IF(F43&lt;&gt;0,"Enter Code"," ")</f>
        <v> </v>
      </c>
      <c r="G43" s="6" t="str">
        <f aca="false">IF(E43="BB",F43," ")</f>
        <v> </v>
      </c>
      <c r="H43" s="6" t="str">
        <f aca="false">IF(E43="BS",F43,"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0"/>
      <c r="W43" s="6" t="str">
        <f aca="false">IF(X43&lt;&gt;0,"Enter Code"," ")</f>
        <v> </v>
      </c>
      <c r="Y43" s="6" t="str">
        <f aca="false">IF(W43="BB",X43," ")</f>
        <v> </v>
      </c>
      <c r="Z43" s="6" t="str">
        <f aca="false">IF(W43="BS",X43,"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" hidden="false" customHeight="false" outlineLevel="0" collapsed="false">
      <c r="E44" s="5" t="str">
        <f aca="false">IF(F44&lt;&gt;0,"Enter Code"," ")</f>
        <v> </v>
      </c>
      <c r="G44" s="6" t="str">
        <f aca="false">IF(E44="BB",F44," ")</f>
        <v> </v>
      </c>
      <c r="H44" s="6" t="str">
        <f aca="false">IF(E44="BS",F44,"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0"/>
      <c r="W44" s="6" t="str">
        <f aca="false">IF(X44&lt;&gt;0,"Enter Code"," ")</f>
        <v> </v>
      </c>
      <c r="Y44" s="6" t="str">
        <f aca="false">IF(W44="BB",X44," ")</f>
        <v> </v>
      </c>
      <c r="Z44" s="6" t="str">
        <f aca="false">IF(W44="BS",X44,"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" hidden="false" customHeight="false" outlineLevel="0" collapsed="false">
      <c r="E45" s="5" t="str">
        <f aca="false">IF(F45&lt;&gt;0,"Enter Code"," ")</f>
        <v> </v>
      </c>
      <c r="G45" s="6" t="str">
        <f aca="false">IF(E45="BB",F45," ")</f>
        <v> </v>
      </c>
      <c r="H45" s="6" t="str">
        <f aca="false">IF(E45="BS",F45,"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0"/>
      <c r="W45" s="6" t="str">
        <f aca="false">IF(X45&lt;&gt;0,"Enter Code"," ")</f>
        <v> </v>
      </c>
      <c r="Y45" s="6" t="str">
        <f aca="false">IF(W45="BB",X45," ")</f>
        <v> </v>
      </c>
      <c r="Z45" s="6" t="str">
        <f aca="false">IF(W45="BS",X45,"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" hidden="false" customHeight="false" outlineLevel="0" collapsed="false">
      <c r="E46" s="5" t="str">
        <f aca="false">IF(F46&lt;&gt;0,"Enter Code"," ")</f>
        <v> </v>
      </c>
      <c r="G46" s="6" t="str">
        <f aca="false">IF(E46="BB",F46," ")</f>
        <v> </v>
      </c>
      <c r="H46" s="6" t="str">
        <f aca="false">IF(E46="BS",F46,"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0"/>
      <c r="W46" s="6" t="str">
        <f aca="false">IF(X46&lt;&gt;0,"Enter Code"," ")</f>
        <v> </v>
      </c>
      <c r="Y46" s="6" t="str">
        <f aca="false">IF(W46="BB",X46," ")</f>
        <v> </v>
      </c>
      <c r="Z46" s="6" t="str">
        <f aca="false">IF(W46="BS",X46,"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" hidden="false" customHeight="false" outlineLevel="0" collapsed="false">
      <c r="E47" s="5" t="str">
        <f aca="false">IF(F47&lt;&gt;0,"Enter Code"," ")</f>
        <v> </v>
      </c>
      <c r="G47" s="6" t="str">
        <f aca="false">IF(E47="BB",F47," ")</f>
        <v> </v>
      </c>
      <c r="H47" s="6" t="str">
        <f aca="false">IF(E47="BS",F47,"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0"/>
      <c r="W47" s="6" t="str">
        <f aca="false">IF(X47&lt;&gt;0,"Enter Code"," ")</f>
        <v> </v>
      </c>
      <c r="Y47" s="6" t="str">
        <f aca="false">IF(W47="BB",X47," ")</f>
        <v> </v>
      </c>
      <c r="Z47" s="6" t="str">
        <f aca="false">IF(W47="BS",X47,"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" hidden="false" customHeight="false" outlineLevel="0" collapsed="false">
      <c r="E48" s="5" t="str">
        <f aca="false">IF(F48&lt;&gt;0,"Enter Code"," ")</f>
        <v> </v>
      </c>
      <c r="G48" s="6" t="str">
        <f aca="false">IF(E48="BB",F48," ")</f>
        <v> </v>
      </c>
      <c r="H48" s="6" t="str">
        <f aca="false">IF(E48="BS",F48,"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0"/>
      <c r="W48" s="6" t="str">
        <f aca="false">IF(X48&lt;&gt;0,"Enter Code"," ")</f>
        <v> </v>
      </c>
      <c r="Y48" s="6" t="str">
        <f aca="false">IF(W48="BB",X48," ")</f>
        <v> </v>
      </c>
      <c r="Z48" s="6" t="str">
        <f aca="false">IF(W48="BS",X48,"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" hidden="false" customHeight="false" outlineLevel="0" collapsed="false">
      <c r="E49" s="5" t="str">
        <f aca="false">IF(F49&lt;&gt;0,"Enter Code"," ")</f>
        <v> </v>
      </c>
      <c r="G49" s="6" t="str">
        <f aca="false">IF(E49="BB",F49," ")</f>
        <v> </v>
      </c>
      <c r="H49" s="6" t="str">
        <f aca="false">IF(E49="BS",F49,"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0"/>
      <c r="W49" s="6" t="str">
        <f aca="false">IF(X49&lt;&gt;0,"Enter Code"," ")</f>
        <v> </v>
      </c>
      <c r="Y49" s="6" t="str">
        <f aca="false">IF(W49="BB",X49," ")</f>
        <v> </v>
      </c>
      <c r="Z49" s="6" t="str">
        <f aca="false">IF(W49="BS",X49,"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" hidden="false" customHeight="false" outlineLevel="0" collapsed="false">
      <c r="E50" s="5" t="str">
        <f aca="false">IF(F50&lt;&gt;0,"Enter Code"," ")</f>
        <v> </v>
      </c>
      <c r="G50" s="6" t="str">
        <f aca="false">IF(E50="BB",F50," ")</f>
        <v> </v>
      </c>
      <c r="H50" s="6" t="str">
        <f aca="false">IF(E50="BS",F50,"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0"/>
      <c r="W50" s="6" t="str">
        <f aca="false">IF(X50&lt;&gt;0,"Enter Code"," ")</f>
        <v> </v>
      </c>
      <c r="Y50" s="6" t="str">
        <f aca="false">IF(W50="BB",X50," ")</f>
        <v> </v>
      </c>
      <c r="Z50" s="6" t="str">
        <f aca="false">IF(W50="BS",X50,"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" hidden="false" customHeight="false" outlineLevel="0" collapsed="false">
      <c r="E51" s="5" t="str">
        <f aca="false">IF(F51&lt;&gt;0,"Enter Code"," ")</f>
        <v> </v>
      </c>
      <c r="G51" s="6" t="str">
        <f aca="false">IF(E51="BB",F51," ")</f>
        <v> </v>
      </c>
      <c r="H51" s="6" t="str">
        <f aca="false">IF(E51="BS",F51,"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0"/>
      <c r="W51" s="6" t="str">
        <f aca="false">IF(X51&lt;&gt;0,"Enter Code"," ")</f>
        <v> </v>
      </c>
      <c r="Y51" s="6" t="str">
        <f aca="false">IF(W51="BB",X51," ")</f>
        <v> </v>
      </c>
      <c r="Z51" s="6" t="str">
        <f aca="false">IF(W51="BS",X51,"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" hidden="false" customHeight="false" outlineLevel="0" collapsed="false">
      <c r="E52" s="5" t="str">
        <f aca="false">IF(F52&lt;&gt;0,"Enter Code"," ")</f>
        <v> </v>
      </c>
      <c r="G52" s="6" t="str">
        <f aca="false">IF(E52="BB",F52," ")</f>
        <v> </v>
      </c>
      <c r="H52" s="6" t="str">
        <f aca="false">IF(E52="BS",F52,"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0"/>
      <c r="W52" s="6" t="str">
        <f aca="false">IF(X52&lt;&gt;0,"Enter Code"," ")</f>
        <v> </v>
      </c>
      <c r="Y52" s="6" t="str">
        <f aca="false">IF(W52="BB",X52," ")</f>
        <v> </v>
      </c>
      <c r="Z52" s="6" t="str">
        <f aca="false">IF(W52="BS",X52,"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" hidden="false" customHeight="false" outlineLevel="0" collapsed="false">
      <c r="E53" s="5" t="str">
        <f aca="false">IF(F53&lt;&gt;0,"Enter Code"," ")</f>
        <v> </v>
      </c>
      <c r="G53" s="6" t="str">
        <f aca="false">IF(E53="BB",F53," ")</f>
        <v> </v>
      </c>
      <c r="H53" s="6" t="str">
        <f aca="false">IF(E53="BS",F53,"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0"/>
      <c r="W53" s="6" t="str">
        <f aca="false">IF(X53&lt;&gt;0,"Enter Code"," ")</f>
        <v> </v>
      </c>
      <c r="Y53" s="6" t="str">
        <f aca="false">IF(W53="BB",X53," ")</f>
        <v> </v>
      </c>
      <c r="Z53" s="6" t="str">
        <f aca="false">IF(W53="BS",X53,"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" hidden="false" customHeight="false" outlineLevel="0" collapsed="false">
      <c r="E54" s="5" t="str">
        <f aca="false">IF(F54&lt;&gt;0,"Enter Code"," ")</f>
        <v> </v>
      </c>
      <c r="G54" s="6" t="str">
        <f aca="false">IF(E54="BB",F54," ")</f>
        <v> </v>
      </c>
      <c r="H54" s="6" t="str">
        <f aca="false">IF(E54="BS",F54,"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0"/>
      <c r="W54" s="6" t="str">
        <f aca="false">IF(X54&lt;&gt;0,"Enter Code"," ")</f>
        <v> </v>
      </c>
      <c r="Y54" s="6" t="str">
        <f aca="false">IF(W54="BB",X54," ")</f>
        <v> </v>
      </c>
      <c r="Z54" s="6" t="str">
        <f aca="false">IF(W54="BS",X54,"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" hidden="false" customHeight="false" outlineLevel="0" collapsed="false">
      <c r="E55" s="5" t="str">
        <f aca="false">IF(F55&lt;&gt;0,"Enter Code"," ")</f>
        <v> </v>
      </c>
      <c r="G55" s="6" t="str">
        <f aca="false">IF(E55="BB",F55," ")</f>
        <v> </v>
      </c>
      <c r="H55" s="6" t="str">
        <f aca="false">IF(E55="BS",F55,"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0"/>
      <c r="W55" s="6" t="str">
        <f aca="false">IF(X55&lt;&gt;0,"Enter Code"," ")</f>
        <v> </v>
      </c>
      <c r="Y55" s="6" t="str">
        <f aca="false">IF(W55="BB",X55," ")</f>
        <v> </v>
      </c>
      <c r="Z55" s="6" t="str">
        <f aca="false">IF(W55="BS",X55,"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" hidden="false" customHeight="false" outlineLevel="0" collapsed="false">
      <c r="E56" s="5" t="str">
        <f aca="false">IF(F56&lt;&gt;0,"Enter Code"," ")</f>
        <v> </v>
      </c>
      <c r="G56" s="6" t="str">
        <f aca="false">IF(E56="BB",F56," ")</f>
        <v> </v>
      </c>
      <c r="H56" s="6" t="str">
        <f aca="false">IF(E56="BS",F56,"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0"/>
      <c r="W56" s="6" t="str">
        <f aca="false">IF(X56&lt;&gt;0,"Enter Code"," ")</f>
        <v> </v>
      </c>
      <c r="Y56" s="6" t="str">
        <f aca="false">IF(W56="BB",X56," ")</f>
        <v> </v>
      </c>
      <c r="Z56" s="6" t="str">
        <f aca="false">IF(W56="BS",X56,"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" hidden="false" customHeight="false" outlineLevel="0" collapsed="false">
      <c r="E57" s="5" t="str">
        <f aca="false">IF(F57&lt;&gt;0,"Enter Code"," ")</f>
        <v> </v>
      </c>
      <c r="G57" s="6" t="str">
        <f aca="false">IF(E57="BB",F57," ")</f>
        <v> </v>
      </c>
      <c r="H57" s="6" t="str">
        <f aca="false">IF(E57="BS",F57,"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0"/>
      <c r="W57" s="6" t="str">
        <f aca="false">IF(X57&lt;&gt;0,"Enter Code"," ")</f>
        <v> </v>
      </c>
      <c r="Y57" s="6" t="str">
        <f aca="false">IF(W57="BB",X57," ")</f>
        <v> </v>
      </c>
      <c r="Z57" s="6" t="str">
        <f aca="false">IF(W57="BS",X57,"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" hidden="false" customHeight="false" outlineLevel="0" collapsed="false">
      <c r="E58" s="5" t="str">
        <f aca="false">IF(F58&lt;&gt;0,"Enter Code"," ")</f>
        <v> </v>
      </c>
      <c r="G58" s="6" t="str">
        <f aca="false">IF(E58="BB",F58," ")</f>
        <v> </v>
      </c>
      <c r="H58" s="6" t="str">
        <f aca="false">IF(E58="BS",F58,"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0"/>
      <c r="W58" s="6" t="str">
        <f aca="false">IF(X58&lt;&gt;0,"Enter Code"," ")</f>
        <v> </v>
      </c>
      <c r="Y58" s="6" t="str">
        <f aca="false">IF(W58="BB",X58," ")</f>
        <v> </v>
      </c>
      <c r="Z58" s="6" t="str">
        <f aca="false">IF(W58="BS",X58,"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" hidden="false" customHeight="false" outlineLevel="0" collapsed="false">
      <c r="E59" s="5" t="str">
        <f aca="false">IF(F59&lt;&gt;0,"Enter Code"," ")</f>
        <v> </v>
      </c>
      <c r="G59" s="6" t="str">
        <f aca="false">IF(E59="BB",F59," ")</f>
        <v> </v>
      </c>
      <c r="H59" s="6" t="str">
        <f aca="false">IF(E59="BS",F59,"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0"/>
      <c r="W59" s="6" t="str">
        <f aca="false">IF(X59&lt;&gt;0,"Enter Code"," ")</f>
        <v> </v>
      </c>
      <c r="Y59" s="6" t="str">
        <f aca="false">IF(W59="BB",X59," ")</f>
        <v> </v>
      </c>
      <c r="Z59" s="6" t="str">
        <f aca="false">IF(W59="BS",X59,"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" hidden="false" customHeight="false" outlineLevel="0" collapsed="false">
      <c r="E60" s="5" t="str">
        <f aca="false">IF(F60&lt;&gt;0,"Enter Code"," ")</f>
        <v> </v>
      </c>
      <c r="G60" s="6" t="str">
        <f aca="false">IF(E60="BB",F60," ")</f>
        <v> </v>
      </c>
      <c r="H60" s="6" t="str">
        <f aca="false">IF(E60="BS",F60,"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0"/>
      <c r="W60" s="6" t="str">
        <f aca="false">IF(X60&lt;&gt;0,"Enter Code"," ")</f>
        <v> </v>
      </c>
      <c r="Y60" s="6" t="str">
        <f aca="false">IF(W60="BB",X60," ")</f>
        <v> </v>
      </c>
      <c r="Z60" s="6" t="str">
        <f aca="false">IF(W60="BS",X60,"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" hidden="false" customHeight="false" outlineLevel="0" collapsed="false">
      <c r="E61" s="5" t="str">
        <f aca="false">IF(F61&lt;&gt;0,"Enter Code"," ")</f>
        <v> </v>
      </c>
      <c r="G61" s="6" t="str">
        <f aca="false">IF(E61="BB",F61," ")</f>
        <v> </v>
      </c>
      <c r="H61" s="6" t="str">
        <f aca="false">IF(E61="BS",F61,"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0"/>
      <c r="W61" s="6" t="str">
        <f aca="false">IF(X61&lt;&gt;0,"Enter Code"," ")</f>
        <v> </v>
      </c>
      <c r="Y61" s="6" t="str">
        <f aca="false">IF(W61="BB",X61," ")</f>
        <v> </v>
      </c>
      <c r="Z61" s="6" t="str">
        <f aca="false">IF(W61="BS",X61,"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" hidden="false" customHeight="false" outlineLevel="0" collapsed="false">
      <c r="E62" s="5" t="str">
        <f aca="false">IF(F62&lt;&gt;0,"Enter Code"," ")</f>
        <v> </v>
      </c>
      <c r="G62" s="6" t="str">
        <f aca="false">IF(E62="BB",F62," ")</f>
        <v> </v>
      </c>
      <c r="H62" s="6" t="str">
        <f aca="false">IF(E62="BS",F62,"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0"/>
      <c r="W62" s="6" t="str">
        <f aca="false">IF(X62&lt;&gt;0,"Enter Code"," ")</f>
        <v> </v>
      </c>
      <c r="Y62" s="6" t="str">
        <f aca="false">IF(W62="BB",X62," ")</f>
        <v> </v>
      </c>
      <c r="Z62" s="6" t="str">
        <f aca="false">IF(W62="BS",X62,"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" hidden="false" customHeight="false" outlineLevel="0" collapsed="false">
      <c r="E63" s="5" t="str">
        <f aca="false">IF(F63&lt;&gt;0,"Enter Code"," ")</f>
        <v> </v>
      </c>
      <c r="G63" s="6" t="str">
        <f aca="false">IF(E63="BB",F63," ")</f>
        <v> </v>
      </c>
      <c r="H63" s="6" t="str">
        <f aca="false">IF(E63="BS",F63,"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0"/>
      <c r="W63" s="6" t="str">
        <f aca="false">IF(X63&lt;&gt;0,"Enter Code"," ")</f>
        <v> </v>
      </c>
      <c r="Y63" s="6" t="str">
        <f aca="false">IF(W63="BB",X63," ")</f>
        <v> </v>
      </c>
      <c r="Z63" s="6" t="str">
        <f aca="false">IF(W63="BS",X63,"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" hidden="false" customHeight="false" outlineLevel="0" collapsed="false">
      <c r="E64" s="5" t="str">
        <f aca="false">IF(F64&lt;&gt;0,"Enter Code"," ")</f>
        <v> </v>
      </c>
      <c r="G64" s="6" t="str">
        <f aca="false">IF(E64="BB",F64," ")</f>
        <v> </v>
      </c>
      <c r="H64" s="6" t="str">
        <f aca="false">IF(E64="BS",F64,"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0"/>
      <c r="W64" s="6" t="str">
        <f aca="false">IF(X64&lt;&gt;0,"Enter Code"," ")</f>
        <v> </v>
      </c>
      <c r="Y64" s="6" t="str">
        <f aca="false">IF(W64="BB",X64," ")</f>
        <v> </v>
      </c>
      <c r="Z64" s="6" t="str">
        <f aca="false">IF(W64="BS",X64,"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" hidden="false" customHeight="false" outlineLevel="0" collapsed="false">
      <c r="E65" s="5" t="str">
        <f aca="false">IF(F65&lt;&gt;0,"Enter Code"," ")</f>
        <v> </v>
      </c>
      <c r="G65" s="6" t="str">
        <f aca="false">IF(E65="BB",F65," ")</f>
        <v> </v>
      </c>
      <c r="H65" s="6" t="str">
        <f aca="false">IF(E65="BS",F65,"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0"/>
      <c r="W65" s="6" t="str">
        <f aca="false">IF(X65&lt;&gt;0,"Enter Code"," ")</f>
        <v> </v>
      </c>
      <c r="Y65" s="6" t="str">
        <f aca="false">IF(W65="BB",X65," ")</f>
        <v> </v>
      </c>
      <c r="Z65" s="6" t="str">
        <f aca="false">IF(W65="BS",X65,"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" hidden="false" customHeight="false" outlineLevel="0" collapsed="false">
      <c r="E66" s="5" t="str">
        <f aca="false">IF(F66&lt;&gt;0,"Enter Code"," ")</f>
        <v> </v>
      </c>
      <c r="G66" s="6" t="str">
        <f aca="false">IF(E66="BB",F66," ")</f>
        <v> </v>
      </c>
      <c r="H66" s="6" t="str">
        <f aca="false">IF(E66="BS",F66,"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0"/>
      <c r="W66" s="6" t="str">
        <f aca="false">IF(X66&lt;&gt;0,"Enter Code"," ")</f>
        <v> </v>
      </c>
      <c r="Y66" s="6" t="str">
        <f aca="false">IF(W66="BB",X66," ")</f>
        <v> </v>
      </c>
      <c r="Z66" s="6" t="str">
        <f aca="false">IF(W66="BS",X66,"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" hidden="false" customHeight="false" outlineLevel="0" collapsed="false">
      <c r="E67" s="5" t="str">
        <f aca="false">IF(F67&lt;&gt;0,"Enter Code"," ")</f>
        <v> </v>
      </c>
      <c r="G67" s="6" t="str">
        <f aca="false">IF(E67="BB",F67," ")</f>
        <v> </v>
      </c>
      <c r="H67" s="6" t="str">
        <f aca="false">IF(E67="BS",F67,"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0"/>
      <c r="W67" s="6" t="str">
        <f aca="false">IF(X67&lt;&gt;0,"Enter Code"," ")</f>
        <v> </v>
      </c>
      <c r="Y67" s="6" t="str">
        <f aca="false">IF(W67="BB",X67," ")</f>
        <v> </v>
      </c>
      <c r="Z67" s="6" t="str">
        <f aca="false">IF(W67="BS",X67,"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" hidden="false" customHeight="false" outlineLevel="0" collapsed="false">
      <c r="E68" s="5" t="str">
        <f aca="false">IF(F68&lt;&gt;0,"Enter Code"," ")</f>
        <v> </v>
      </c>
      <c r="G68" s="6" t="str">
        <f aca="false">IF(E68="BB",F68," ")</f>
        <v> </v>
      </c>
      <c r="H68" s="6" t="str">
        <f aca="false">IF(E68="BS",F68,"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0"/>
      <c r="W68" s="6" t="str">
        <f aca="false">IF(X68&lt;&gt;0,"Enter Code"," ")</f>
        <v> </v>
      </c>
      <c r="Y68" s="6" t="str">
        <f aca="false">IF(W68="BB",X68," ")</f>
        <v> </v>
      </c>
      <c r="Z68" s="6" t="str">
        <f aca="false">IF(W68="BS",X68,"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" hidden="false" customHeight="false" outlineLevel="0" collapsed="false">
      <c r="E69" s="5" t="str">
        <f aca="false">IF(F69&lt;&gt;0,"Enter Code"," ")</f>
        <v> </v>
      </c>
      <c r="G69" s="6" t="str">
        <f aca="false">IF(E69="BB",F69," ")</f>
        <v> </v>
      </c>
      <c r="H69" s="6" t="str">
        <f aca="false">IF(E69="BS",F69,"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0"/>
      <c r="W69" s="6" t="str">
        <f aca="false">IF(X69&lt;&gt;0,"Enter Code"," ")</f>
        <v> </v>
      </c>
      <c r="Y69" s="6" t="str">
        <f aca="false">IF(W69="BB",X69," ")</f>
        <v> </v>
      </c>
      <c r="Z69" s="6" t="str">
        <f aca="false">IF(W69="BS",X69,"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" hidden="false" customHeight="false" outlineLevel="0" collapsed="false">
      <c r="E70" s="5" t="str">
        <f aca="false">IF(F70&lt;&gt;0,"Enter Code"," ")</f>
        <v> </v>
      </c>
      <c r="G70" s="6" t="str">
        <f aca="false">IF(E70="BB",F70," ")</f>
        <v> </v>
      </c>
      <c r="H70" s="6" t="str">
        <f aca="false">IF(E70="BS",F70,"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6" t="str">
        <f aca="false">IF(X70&lt;&gt;0,"Enter Code"," ")</f>
        <v> </v>
      </c>
      <c r="Y70" s="6" t="str">
        <f aca="false">IF(W70="BB",X70," ")</f>
        <v> </v>
      </c>
      <c r="Z70" s="6" t="str">
        <f aca="false">IF(W70="BS",X70,"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" hidden="false" customHeight="false" outlineLevel="0" collapsed="false">
      <c r="E71" s="5" t="str">
        <f aca="false">IF(F71&lt;&gt;0,"Enter Code"," ")</f>
        <v> </v>
      </c>
      <c r="G71" s="6" t="str">
        <f aca="false">IF(E71="BB",F71," ")</f>
        <v> </v>
      </c>
      <c r="H71" s="6" t="str">
        <f aca="false">IF(E71="BS",F71,"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6" t="str">
        <f aca="false">IF(X71&lt;&gt;0,"Enter Code"," ")</f>
        <v> </v>
      </c>
      <c r="Y71" s="6" t="str">
        <f aca="false">IF(W71="BB",X71," ")</f>
        <v> </v>
      </c>
      <c r="Z71" s="6" t="str">
        <f aca="false">IF(W71="BS",X71,"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" hidden="false" customHeight="false" outlineLevel="0" collapsed="false">
      <c r="E72" s="5" t="str">
        <f aca="false">IF(F72&lt;&gt;0,"Enter Code"," ")</f>
        <v> </v>
      </c>
      <c r="G72" s="6" t="str">
        <f aca="false">IF(E72="BB",F72," ")</f>
        <v> </v>
      </c>
      <c r="H72" s="6" t="str">
        <f aca="false">IF(E72="BS",F72,"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6" t="str">
        <f aca="false">IF(X72&lt;&gt;0,"Enter Code"," ")</f>
        <v> </v>
      </c>
      <c r="Y72" s="6" t="str">
        <f aca="false">IF(W72="BB",X72," ")</f>
        <v> </v>
      </c>
      <c r="Z72" s="6" t="str">
        <f aca="false">IF(W72="BS",X72,"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" hidden="false" customHeight="false" outlineLevel="0" collapsed="false">
      <c r="E73" s="5" t="str">
        <f aca="false">IF(F73&lt;&gt;0,"Enter Code"," ")</f>
        <v> </v>
      </c>
      <c r="G73" s="6" t="str">
        <f aca="false">IF(E73="BB",F73," ")</f>
        <v> </v>
      </c>
      <c r="H73" s="6" t="str">
        <f aca="false">IF(E73="BS",F73,"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6" t="str">
        <f aca="false">IF(X73&lt;&gt;0,"Enter Code"," ")</f>
        <v> </v>
      </c>
      <c r="Y73" s="6" t="str">
        <f aca="false">IF(W73="BB",X73," ")</f>
        <v> </v>
      </c>
      <c r="Z73" s="6" t="str">
        <f aca="false">IF(W73="BS",X73,"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" hidden="false" customHeight="false" outlineLevel="0" collapsed="false">
      <c r="E74" s="5" t="str">
        <f aca="false">IF(F74&lt;&gt;0,"Enter Code"," ")</f>
        <v> </v>
      </c>
      <c r="G74" s="6" t="str">
        <f aca="false">IF(E74="BB",F74," ")</f>
        <v> </v>
      </c>
      <c r="H74" s="6" t="str">
        <f aca="false">IF(E74="BS",F74,"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6" t="str">
        <f aca="false">IF(X74&lt;&gt;0,"Enter Code"," ")</f>
        <v> </v>
      </c>
      <c r="Y74" s="6" t="str">
        <f aca="false">IF(W74="BB",X74," ")</f>
        <v> </v>
      </c>
      <c r="Z74" s="6" t="str">
        <f aca="false">IF(W74="BS",X74,"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" hidden="false" customHeight="false" outlineLevel="0" collapsed="false">
      <c r="E75" s="5" t="str">
        <f aca="false">IF(F75&lt;&gt;0,"Enter Code"," ")</f>
        <v> </v>
      </c>
      <c r="G75" s="6" t="str">
        <f aca="false">IF(E75="BB",F75," ")</f>
        <v> </v>
      </c>
      <c r="H75" s="6" t="str">
        <f aca="false">IF(E75="BS",F75,"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6" t="str">
        <f aca="false">IF(X75&lt;&gt;0,"Enter Code"," ")</f>
        <v> </v>
      </c>
      <c r="Y75" s="6" t="str">
        <f aca="false">IF(W75="BB",X75," ")</f>
        <v> </v>
      </c>
      <c r="Z75" s="6" t="str">
        <f aca="false">IF(W75="BS",X75,"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" hidden="false" customHeight="false" outlineLevel="0" collapsed="false">
      <c r="E76" s="5" t="str">
        <f aca="false">IF(F76&lt;&gt;0,"Enter Code"," ")</f>
        <v> </v>
      </c>
      <c r="G76" s="6" t="str">
        <f aca="false">IF(E76="BB",F76," ")</f>
        <v> </v>
      </c>
      <c r="H76" s="6" t="str">
        <f aca="false">IF(E76="BS",F76,"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6" t="str">
        <f aca="false">IF(X76&lt;&gt;0,"Enter Code"," ")</f>
        <v> </v>
      </c>
      <c r="Y76" s="6" t="str">
        <f aca="false">IF(W76="BB",X76," ")</f>
        <v> </v>
      </c>
      <c r="Z76" s="6" t="str">
        <f aca="false">IF(W76="BS",X76,"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" hidden="false" customHeight="false" outlineLevel="0" collapsed="false">
      <c r="E77" s="5" t="str">
        <f aca="false">IF(F77&lt;&gt;0,"Enter Code"," ")</f>
        <v> </v>
      </c>
      <c r="G77" s="6" t="str">
        <f aca="false">IF(E77="BB",F77," ")</f>
        <v> </v>
      </c>
      <c r="H77" s="6" t="str">
        <f aca="false">IF(E77="BS",F77,"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6" t="str">
        <f aca="false">IF(X77&lt;&gt;0,"Enter Code"," ")</f>
        <v> </v>
      </c>
      <c r="Y77" s="6" t="str">
        <f aca="false">IF(W77="BB",X77," ")</f>
        <v> </v>
      </c>
      <c r="Z77" s="6" t="str">
        <f aca="false">IF(W77="BS",X77,"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" hidden="false" customHeight="false" outlineLevel="0" collapsed="false">
      <c r="E78" s="5" t="str">
        <f aca="false">IF(F78&lt;&gt;0,"Enter Code"," ")</f>
        <v> </v>
      </c>
      <c r="G78" s="6" t="str">
        <f aca="false">IF(E78="BB",F78," ")</f>
        <v> </v>
      </c>
      <c r="H78" s="6" t="str">
        <f aca="false">IF(E78="BS",F78,"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6" t="str">
        <f aca="false">IF(X78&lt;&gt;0,"Enter Code"," ")</f>
        <v> </v>
      </c>
      <c r="Y78" s="6" t="str">
        <f aca="false">IF(W78="BB",X78," ")</f>
        <v> </v>
      </c>
      <c r="Z78" s="6" t="str">
        <f aca="false">IF(W78="BS",X78,"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" hidden="false" customHeight="false" outlineLevel="0" collapsed="false">
      <c r="E79" s="5" t="str">
        <f aca="false">IF(F79&lt;&gt;0,"Enter Code"," ")</f>
        <v> </v>
      </c>
      <c r="G79" s="6" t="str">
        <f aca="false">IF(E79="BB",F79," ")</f>
        <v> </v>
      </c>
      <c r="H79" s="6" t="str">
        <f aca="false">IF(E79="BS",F79,"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6" t="str">
        <f aca="false">IF(X79&lt;&gt;0,"Enter Code"," ")</f>
        <v> </v>
      </c>
      <c r="Y79" s="6" t="str">
        <f aca="false">IF(W79="BB",X79," ")</f>
        <v> </v>
      </c>
      <c r="Z79" s="6" t="str">
        <f aca="false">IF(W79="BS",X79,"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" hidden="false" customHeight="false" outlineLevel="0" collapsed="false">
      <c r="E80" s="5" t="str">
        <f aca="false">IF(F80&lt;&gt;0,"Enter Code"," ")</f>
        <v> </v>
      </c>
      <c r="G80" s="6" t="str">
        <f aca="false">IF(E80="BB",F80," ")</f>
        <v> </v>
      </c>
      <c r="H80" s="6" t="str">
        <f aca="false">IF(E80="BS",F80,"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6" t="str">
        <f aca="false">IF(X80&lt;&gt;0,"Enter Code"," ")</f>
        <v> </v>
      </c>
      <c r="Y80" s="6" t="str">
        <f aca="false">IF(W80="BB",X80," ")</f>
        <v> </v>
      </c>
      <c r="Z80" s="6" t="str">
        <f aca="false">IF(W80="BS",X80,"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" hidden="false" customHeight="false" outlineLevel="0" collapsed="false">
      <c r="E81" s="5" t="str">
        <f aca="false">IF(F81&lt;&gt;0,"Enter Code"," ")</f>
        <v> </v>
      </c>
      <c r="G81" s="6" t="str">
        <f aca="false">IF(E81="BB",F81," ")</f>
        <v> </v>
      </c>
      <c r="H81" s="6" t="str">
        <f aca="false">IF(E81="BS",F81,"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6" t="str">
        <f aca="false">IF(X81&lt;&gt;0,"Enter Code"," ")</f>
        <v> </v>
      </c>
      <c r="Y81" s="6" t="str">
        <f aca="false">IF(W81="BB",X81," ")</f>
        <v> </v>
      </c>
      <c r="Z81" s="6" t="str">
        <f aca="false">IF(W81="BS",X81,"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" hidden="false" customHeight="false" outlineLevel="0" collapsed="false">
      <c r="E82" s="5" t="str">
        <f aca="false">IF(F82&lt;&gt;0,"Enter Code"," ")</f>
        <v> </v>
      </c>
      <c r="G82" s="6" t="str">
        <f aca="false">IF(E82="BB",F82," ")</f>
        <v> </v>
      </c>
      <c r="H82" s="6" t="str">
        <f aca="false">IF(E82="BS",F82,"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6" t="str">
        <f aca="false">IF(X82&lt;&gt;0,"Enter Code"," ")</f>
        <v> </v>
      </c>
      <c r="Y82" s="6" t="str">
        <f aca="false">IF(W82="BB",X82," ")</f>
        <v> </v>
      </c>
      <c r="Z82" s="6" t="str">
        <f aca="false">IF(W82="BS",X82,"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" hidden="false" customHeight="false" outlineLevel="0" collapsed="false">
      <c r="E83" s="5" t="str">
        <f aca="false">IF(F83&lt;&gt;0,"Enter Code"," ")</f>
        <v> </v>
      </c>
      <c r="G83" s="6" t="str">
        <f aca="false">IF(E83="BB",F83," ")</f>
        <v> </v>
      </c>
      <c r="H83" s="6" t="str">
        <f aca="false">IF(E83="BS",F83,"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6" t="str">
        <f aca="false">IF(X83&lt;&gt;0,"Enter Code"," ")</f>
        <v> </v>
      </c>
      <c r="Y83" s="6" t="str">
        <f aca="false">IF(W83="BB",X83," ")</f>
        <v> </v>
      </c>
      <c r="Z83" s="6" t="str">
        <f aca="false">IF(W83="BS",X83,"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" hidden="false" customHeight="false" outlineLevel="0" collapsed="false">
      <c r="E84" s="5" t="str">
        <f aca="false">IF(F84&lt;&gt;0,"Enter Code"," ")</f>
        <v> </v>
      </c>
      <c r="G84" s="6" t="str">
        <f aca="false">IF(E84="BB",F84," ")</f>
        <v> </v>
      </c>
      <c r="H84" s="6" t="str">
        <f aca="false">IF(E84="BS",F84,"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6" t="str">
        <f aca="false">IF(X84&lt;&gt;0,"Enter Code"," ")</f>
        <v> </v>
      </c>
      <c r="Y84" s="6" t="str">
        <f aca="false">IF(W84="BB",X84," ")</f>
        <v> </v>
      </c>
      <c r="Z84" s="6" t="str">
        <f aca="false">IF(W84="BS",X84,"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" hidden="false" customHeight="false" outlineLevel="0" collapsed="false">
      <c r="E85" s="5" t="str">
        <f aca="false">IF(F85&lt;&gt;0,"Enter Code"," ")</f>
        <v> </v>
      </c>
      <c r="G85" s="6" t="str">
        <f aca="false">IF(E85="BB",F85," ")</f>
        <v> </v>
      </c>
      <c r="H85" s="6" t="str">
        <f aca="false">IF(E85="BS",F85,"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6" t="str">
        <f aca="false">IF(X85&lt;&gt;0,"Enter Code"," ")</f>
        <v> </v>
      </c>
      <c r="Y85" s="6" t="str">
        <f aca="false">IF(W85="BB",X85," ")</f>
        <v> </v>
      </c>
      <c r="Z85" s="6" t="str">
        <f aca="false">IF(W85="BS",X85,"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" hidden="false" customHeight="false" outlineLevel="0" collapsed="false">
      <c r="E86" s="5" t="str">
        <f aca="false">IF(F86&lt;&gt;0,"Enter Code"," ")</f>
        <v> </v>
      </c>
      <c r="G86" s="6" t="str">
        <f aca="false">IF(E86="BB",F86," ")</f>
        <v> </v>
      </c>
      <c r="H86" s="6" t="str">
        <f aca="false">IF(E86="BS",F86,"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6" t="str">
        <f aca="false">IF(X86&lt;&gt;0,"Enter Code"," ")</f>
        <v> </v>
      </c>
      <c r="Y86" s="6" t="str">
        <f aca="false">IF(W86="BB",X86," ")</f>
        <v> </v>
      </c>
      <c r="Z86" s="6" t="str">
        <f aca="false">IF(W86="BS",X86,"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" hidden="false" customHeight="false" outlineLevel="0" collapsed="false">
      <c r="E87" s="5" t="str">
        <f aca="false">IF(F87&lt;&gt;0,"Enter Code"," ")</f>
        <v> </v>
      </c>
      <c r="G87" s="6" t="str">
        <f aca="false">IF(E87="BB",F87," ")</f>
        <v> </v>
      </c>
      <c r="H87" s="6" t="str">
        <f aca="false">IF(E87="BS",F87,"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6" t="str">
        <f aca="false">IF(X87&lt;&gt;0,"Enter Code"," ")</f>
        <v> </v>
      </c>
      <c r="Y87" s="6" t="str">
        <f aca="false">IF(W87="BB",X87," ")</f>
        <v> </v>
      </c>
      <c r="Z87" s="6" t="str">
        <f aca="false">IF(W87="BS",X87,"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" hidden="false" customHeight="false" outlineLevel="0" collapsed="false">
      <c r="E88" s="5" t="str">
        <f aca="false">IF(F88&lt;&gt;0,"Enter Code"," ")</f>
        <v> </v>
      </c>
      <c r="G88" s="6" t="str">
        <f aca="false">IF(E88="BB",F88," ")</f>
        <v> </v>
      </c>
      <c r="H88" s="6" t="str">
        <f aca="false">IF(E88="BS",F88,"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6" t="str">
        <f aca="false">IF(X88&lt;&gt;0,"Enter Code"," ")</f>
        <v> </v>
      </c>
      <c r="Y88" s="6" t="str">
        <f aca="false">IF(W88="BB",X88," ")</f>
        <v> </v>
      </c>
      <c r="Z88" s="6" t="str">
        <f aca="false">IF(W88="BS",X88,"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" hidden="false" customHeight="false" outlineLevel="0" collapsed="false">
      <c r="E89" s="5" t="str">
        <f aca="false">IF(F89&lt;&gt;0,"Enter Code"," ")</f>
        <v> </v>
      </c>
      <c r="G89" s="6" t="str">
        <f aca="false">IF(E89="BB",F89," ")</f>
        <v> </v>
      </c>
      <c r="H89" s="6" t="str">
        <f aca="false">IF(E89="BS",F89,"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6" t="str">
        <f aca="false">IF(X89&lt;&gt;0,"Enter Code"," ")</f>
        <v> </v>
      </c>
      <c r="Y89" s="6" t="str">
        <f aca="false">IF(W89="BB",X89," ")</f>
        <v> </v>
      </c>
      <c r="Z89" s="6" t="str">
        <f aca="false">IF(W89="BS",X89,"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" hidden="false" customHeight="false" outlineLevel="0" collapsed="false">
      <c r="E90" s="5" t="str">
        <f aca="false">IF(F90&lt;&gt;0,"Enter Code"," ")</f>
        <v> </v>
      </c>
      <c r="G90" s="6" t="str">
        <f aca="false">IF(E90="BB",F90," ")</f>
        <v> </v>
      </c>
      <c r="H90" s="6" t="str">
        <f aca="false">IF(E90="BS",F90,"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6" t="str">
        <f aca="false">IF(X90&lt;&gt;0,"Enter Code"," ")</f>
        <v> </v>
      </c>
      <c r="Y90" s="6" t="str">
        <f aca="false">IF(W90="BB",X90," ")</f>
        <v> </v>
      </c>
      <c r="Z90" s="6" t="str">
        <f aca="false">IF(W90="BS",X90,"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" hidden="false" customHeight="false" outlineLevel="0" collapsed="false">
      <c r="E91" s="5" t="str">
        <f aca="false">IF(F91&lt;&gt;0,"Enter Code"," ")</f>
        <v> </v>
      </c>
      <c r="G91" s="6" t="str">
        <f aca="false">IF(E91="BB",F91," ")</f>
        <v> </v>
      </c>
      <c r="H91" s="6" t="str">
        <f aca="false">IF(E91="BS",F91,"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6" t="str">
        <f aca="false">IF(X91&lt;&gt;0,"Enter Code"," ")</f>
        <v> </v>
      </c>
      <c r="Y91" s="6" t="str">
        <f aca="false">IF(W91="BB",X91," ")</f>
        <v> </v>
      </c>
      <c r="Z91" s="6" t="str">
        <f aca="false">IF(W91="BS",X91,"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" hidden="false" customHeight="false" outlineLevel="0" collapsed="false">
      <c r="E92" s="5" t="str">
        <f aca="false">IF(F92&lt;&gt;0,"Enter Code"," ")</f>
        <v> </v>
      </c>
      <c r="G92" s="6" t="str">
        <f aca="false">IF(E92="BB",F92," ")</f>
        <v> </v>
      </c>
      <c r="H92" s="6" t="str">
        <f aca="false">IF(E92="BS",F92,"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6" t="str">
        <f aca="false">IF(X92&lt;&gt;0,"Enter Code"," ")</f>
        <v> </v>
      </c>
      <c r="Y92" s="6" t="str">
        <f aca="false">IF(W92="BB",X92," ")</f>
        <v> </v>
      </c>
      <c r="Z92" s="6" t="str">
        <f aca="false">IF(W92="BS",X92,"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" hidden="false" customHeight="false" outlineLevel="0" collapsed="false">
      <c r="E93" s="5" t="str">
        <f aca="false">IF(F93&lt;&gt;0,"Enter Code"," ")</f>
        <v> </v>
      </c>
      <c r="G93" s="6" t="str">
        <f aca="false">IF(E93="BB",F93," ")</f>
        <v> </v>
      </c>
      <c r="H93" s="6" t="str">
        <f aca="false">IF(E93="BS",F93,"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6" t="str">
        <f aca="false">IF(X93&lt;&gt;0,"Enter Code"," ")</f>
        <v> </v>
      </c>
      <c r="Y93" s="6" t="str">
        <f aca="false">IF(W93="BB",X93," ")</f>
        <v> </v>
      </c>
      <c r="Z93" s="6" t="str">
        <f aca="false">IF(W93="BS",X93,"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" hidden="false" customHeight="false" outlineLevel="0" collapsed="false">
      <c r="E94" s="5" t="str">
        <f aca="false">IF(F94&lt;&gt;0,"Enter Code"," ")</f>
        <v> </v>
      </c>
      <c r="G94" s="6" t="str">
        <f aca="false">IF(E94="BB",F94," ")</f>
        <v> </v>
      </c>
      <c r="H94" s="6" t="str">
        <f aca="false">IF(E94="BS",F94,"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6" t="str">
        <f aca="false">IF(X94&lt;&gt;0,"Enter Code"," ")</f>
        <v> </v>
      </c>
      <c r="Y94" s="6" t="str">
        <f aca="false">IF(W94="BB",X94," ")</f>
        <v> </v>
      </c>
      <c r="Z94" s="6" t="str">
        <f aca="false">IF(W94="BS",X94,"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" hidden="false" customHeight="false" outlineLevel="0" collapsed="false">
      <c r="E95" s="5" t="str">
        <f aca="false">IF(F95&lt;&gt;0,"Enter Code"," ")</f>
        <v> </v>
      </c>
      <c r="G95" s="6" t="str">
        <f aca="false">IF(E95="BB",F95," ")</f>
        <v> </v>
      </c>
      <c r="H95" s="6" t="str">
        <f aca="false">IF(E95="BS",F95,"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6" t="str">
        <f aca="false">IF(X95&lt;&gt;0,"Enter Code"," ")</f>
        <v> </v>
      </c>
      <c r="Y95" s="6" t="str">
        <f aca="false">IF(W95="BB",X95," ")</f>
        <v> </v>
      </c>
      <c r="Z95" s="6" t="str">
        <f aca="false">IF(W95="BS",X95,"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" hidden="false" customHeight="false" outlineLevel="0" collapsed="false">
      <c r="E96" s="5" t="str">
        <f aca="false">IF(F96&lt;&gt;0,"Enter Code"," ")</f>
        <v> </v>
      </c>
      <c r="G96" s="6" t="str">
        <f aca="false">IF(E96="BB",F96," ")</f>
        <v> </v>
      </c>
      <c r="H96" s="6" t="str">
        <f aca="false">IF(E96="BS",F96,"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6" t="str">
        <f aca="false">IF(X96&lt;&gt;0,"Enter Code"," ")</f>
        <v> </v>
      </c>
      <c r="Y96" s="6" t="str">
        <f aca="false">IF(W96="BB",X96," ")</f>
        <v> </v>
      </c>
      <c r="Z96" s="6" t="str">
        <f aca="false">IF(W96="BS",X96,"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" hidden="false" customHeight="false" outlineLevel="0" collapsed="false">
      <c r="E97" s="5" t="str">
        <f aca="false">IF(F97&lt;&gt;0,"Enter Code"," ")</f>
        <v> </v>
      </c>
      <c r="G97" s="6" t="str">
        <f aca="false">IF(E97="BB",F97," ")</f>
        <v> </v>
      </c>
      <c r="H97" s="6" t="str">
        <f aca="false">IF(E97="BS",F97,"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6" t="str">
        <f aca="false">IF(X97&lt;&gt;0,"Enter Code"," ")</f>
        <v> </v>
      </c>
      <c r="Y97" s="6" t="str">
        <f aca="false">IF(W97="BB",X97," ")</f>
        <v> </v>
      </c>
      <c r="Z97" s="6" t="str">
        <f aca="false">IF(W97="BS",X97,"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" hidden="false" customHeight="false" outlineLevel="0" collapsed="false">
      <c r="E98" s="5" t="str">
        <f aca="false">IF(F98&lt;&gt;0,"Enter Code"," ")</f>
        <v> </v>
      </c>
      <c r="G98" s="6" t="str">
        <f aca="false">IF(E98="BB",F98," ")</f>
        <v> </v>
      </c>
      <c r="H98" s="6" t="str">
        <f aca="false">IF(E98="BS",F98,"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6" t="str">
        <f aca="false">IF(X98&lt;&gt;0,"Enter Code"," ")</f>
        <v> </v>
      </c>
      <c r="Y98" s="6" t="str">
        <f aca="false">IF(W98="BB",X98," ")</f>
        <v> </v>
      </c>
      <c r="Z98" s="6" t="str">
        <f aca="false">IF(W98="BS",X98,"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" hidden="false" customHeight="false" outlineLevel="0" collapsed="false">
      <c r="E99" s="5" t="str">
        <f aca="false">IF(F99&lt;&gt;0,"Enter Code"," ")</f>
        <v> </v>
      </c>
      <c r="G99" s="6" t="str">
        <f aca="false">IF(E99="BB",F99," ")</f>
        <v> </v>
      </c>
      <c r="H99" s="6" t="str">
        <f aca="false">IF(E99="BS",F99,"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6" t="str">
        <f aca="false">IF(X99&lt;&gt;0,"Enter Code"," ")</f>
        <v> </v>
      </c>
      <c r="Y99" s="6" t="str">
        <f aca="false">IF(W99="BB",X99," ")</f>
        <v> </v>
      </c>
      <c r="Z99" s="6" t="str">
        <f aca="false">IF(W99="BS",X99,"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" hidden="false" customHeight="false" outlineLevel="0" collapsed="false">
      <c r="E100" s="5" t="str">
        <f aca="false">IF(F100&lt;&gt;0,"Enter Code"," ")</f>
        <v> </v>
      </c>
      <c r="G100" s="6" t="str">
        <f aca="false">IF(E100="BB",F100," ")</f>
        <v> </v>
      </c>
      <c r="H100" s="6" t="str">
        <f aca="false">IF(E100="BS",F100,"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6" t="str">
        <f aca="false">IF(X100&lt;&gt;0,"Enter Code"," ")</f>
        <v> </v>
      </c>
      <c r="Y100" s="6" t="str">
        <f aca="false">IF(W100="BB",X100," ")</f>
        <v> </v>
      </c>
      <c r="Z100" s="6" t="str">
        <f aca="false">IF(W100="BS",X100,"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" hidden="false" customHeight="false" outlineLevel="0" collapsed="false">
      <c r="E101" s="5" t="str">
        <f aca="false">IF(F101&lt;&gt;0,"Enter Code"," ")</f>
        <v> </v>
      </c>
      <c r="G101" s="6" t="str">
        <f aca="false">IF(E101="BB",F101," ")</f>
        <v> </v>
      </c>
      <c r="H101" s="6" t="str">
        <f aca="false">IF(E101="BS",F101,"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6" t="str">
        <f aca="false">IF(X101&lt;&gt;0,"Enter Code"," ")</f>
        <v> </v>
      </c>
      <c r="Y101" s="6" t="str">
        <f aca="false">IF(W101="BB",X101," ")</f>
        <v> </v>
      </c>
      <c r="Z101" s="6" t="str">
        <f aca="false">IF(W101="BS",X101,"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" hidden="false" customHeight="false" outlineLevel="0" collapsed="false">
      <c r="E102" s="5" t="str">
        <f aca="false">IF(F102&lt;&gt;0,"Enter Code"," ")</f>
        <v> </v>
      </c>
      <c r="G102" s="6" t="str">
        <f aca="false">IF(E102="BB",F102," ")</f>
        <v> </v>
      </c>
      <c r="H102" s="6" t="str">
        <f aca="false">IF(E102="BS",F102,"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6" t="str">
        <f aca="false">IF(X102&lt;&gt;0,"Enter Code"," ")</f>
        <v> </v>
      </c>
      <c r="Y102" s="6" t="str">
        <f aca="false">IF(W102="BB",X102," ")</f>
        <v> </v>
      </c>
      <c r="Z102" s="6" t="str">
        <f aca="false">IF(W102="BS",X102,"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" hidden="false" customHeight="false" outlineLevel="0" collapsed="false">
      <c r="E103" s="5" t="str">
        <f aca="false">IF(F103&lt;&gt;0,"Enter Code"," ")</f>
        <v> </v>
      </c>
      <c r="G103" s="6" t="str">
        <f aca="false">IF(E103="BB",F103," ")</f>
        <v> </v>
      </c>
      <c r="H103" s="6" t="str">
        <f aca="false">IF(E103="BS",F103,"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6" t="str">
        <f aca="false">IF(X103&lt;&gt;0,"Enter Code"," ")</f>
        <v> </v>
      </c>
      <c r="Y103" s="6" t="str">
        <f aca="false">IF(W103="BB",X103," ")</f>
        <v> </v>
      </c>
      <c r="Z103" s="6" t="str">
        <f aca="false">IF(W103="BS",X103,"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" hidden="false" customHeight="false" outlineLevel="0" collapsed="false">
      <c r="E104" s="5" t="str">
        <f aca="false">IF(F104&lt;&gt;0,"Enter Code"," ")</f>
        <v> </v>
      </c>
      <c r="G104" s="6" t="str">
        <f aca="false">IF(E104="BB",F104," ")</f>
        <v> </v>
      </c>
      <c r="H104" s="6" t="str">
        <f aca="false">IF(E104="BS",F104,"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6" t="str">
        <f aca="false">IF(X104&lt;&gt;0,"Enter Code"," ")</f>
        <v> </v>
      </c>
      <c r="Y104" s="6" t="str">
        <f aca="false">IF(W104="BB",X104," ")</f>
        <v> </v>
      </c>
      <c r="Z104" s="6" t="str">
        <f aca="false">IF(W104="BS",X104,"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" hidden="false" customHeight="false" outlineLevel="0" collapsed="false">
      <c r="E105" s="5" t="str">
        <f aca="false">IF(F105&lt;&gt;0,"Enter Code"," ")</f>
        <v> </v>
      </c>
      <c r="G105" s="6" t="str">
        <f aca="false">IF(E105="BB",F105," ")</f>
        <v> </v>
      </c>
      <c r="H105" s="6" t="str">
        <f aca="false">IF(E105="BS",F105,"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6" t="str">
        <f aca="false">IF(X105&lt;&gt;0,"Enter Code"," ")</f>
        <v> </v>
      </c>
      <c r="Y105" s="6" t="str">
        <f aca="false">IF(W105="BB",X105," ")</f>
        <v> </v>
      </c>
      <c r="Z105" s="6" t="str">
        <f aca="false">IF(W105="BS",X105,"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" hidden="false" customHeight="false" outlineLevel="0" collapsed="false">
      <c r="E106" s="5" t="str">
        <f aca="false">IF(F106&lt;&gt;0,"Enter Code"," ")</f>
        <v> </v>
      </c>
      <c r="G106" s="6" t="str">
        <f aca="false">IF(E106="BB",F106," ")</f>
        <v> </v>
      </c>
      <c r="H106" s="6" t="str">
        <f aca="false">IF(E106="BS",F106,"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6" t="str">
        <f aca="false">IF(X106&lt;&gt;0,"Enter Code"," ")</f>
        <v> </v>
      </c>
      <c r="Y106" s="6" t="str">
        <f aca="false">IF(W106="BB",X106," ")</f>
        <v> </v>
      </c>
      <c r="Z106" s="6" t="str">
        <f aca="false">IF(W106="BS",X106,"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" hidden="false" customHeight="false" outlineLevel="0" collapsed="false">
      <c r="E107" s="5" t="str">
        <f aca="false">IF(F107&lt;&gt;0,"Enter Code"," ")</f>
        <v> </v>
      </c>
      <c r="G107" s="6" t="str">
        <f aca="false">IF(E107="BB",F107," ")</f>
        <v> </v>
      </c>
      <c r="H107" s="6" t="str">
        <f aca="false">IF(E107="BS",F107,"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6" t="str">
        <f aca="false">IF(X107&lt;&gt;0,"Enter Code"," ")</f>
        <v> </v>
      </c>
      <c r="Y107" s="6" t="str">
        <f aca="false">IF(W107="BB",X107," ")</f>
        <v> </v>
      </c>
      <c r="Z107" s="6" t="str">
        <f aca="false">IF(W107="BS",X107,"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" hidden="false" customHeight="false" outlineLevel="0" collapsed="false">
      <c r="E108" s="5" t="str">
        <f aca="false">IF(F108&lt;&gt;0,"Enter Code"," ")</f>
        <v> </v>
      </c>
      <c r="G108" s="6" t="str">
        <f aca="false">IF(E108="BB",F108," ")</f>
        <v> </v>
      </c>
      <c r="H108" s="6" t="str">
        <f aca="false">IF(E108="BS",F108,"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6" t="str">
        <f aca="false">IF(X108&lt;&gt;0,"Enter Code"," ")</f>
        <v> </v>
      </c>
      <c r="Y108" s="6" t="str">
        <f aca="false">IF(W108="BB",X108," ")</f>
        <v> </v>
      </c>
      <c r="Z108" s="6" t="str">
        <f aca="false">IF(W108="BS",X108,"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" hidden="false" customHeight="false" outlineLevel="0" collapsed="false">
      <c r="E109" s="5" t="str">
        <f aca="false">IF(F109&lt;&gt;0,"Enter Code"," ")</f>
        <v> </v>
      </c>
      <c r="G109" s="6" t="str">
        <f aca="false">IF(E109="BB",F109," ")</f>
        <v> </v>
      </c>
      <c r="H109" s="6" t="str">
        <f aca="false">IF(E109="BS",F109,"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6" t="str">
        <f aca="false">IF(X109&lt;&gt;0,"Enter Code"," ")</f>
        <v> </v>
      </c>
      <c r="Y109" s="6" t="str">
        <f aca="false">IF(W109="BB",X109," ")</f>
        <v> </v>
      </c>
      <c r="Z109" s="6" t="str">
        <f aca="false">IF(W109="BS",X109,"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" hidden="false" customHeight="false" outlineLevel="0" collapsed="false">
      <c r="E110" s="5" t="str">
        <f aca="false">IF(F110&lt;&gt;0,"Enter Code"," ")</f>
        <v> </v>
      </c>
      <c r="G110" s="6" t="str">
        <f aca="false">IF(E110="BB",F110," ")</f>
        <v> </v>
      </c>
      <c r="H110" s="6" t="str">
        <f aca="false">IF(E110="BS",F110,"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6" t="str">
        <f aca="false">IF(X110&lt;&gt;0,"Enter Code"," ")</f>
        <v> </v>
      </c>
      <c r="Y110" s="6" t="str">
        <f aca="false">IF(W110="BB",X110," ")</f>
        <v> </v>
      </c>
      <c r="Z110" s="6" t="str">
        <f aca="false">IF(W110="BS",X110,"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" hidden="false" customHeight="false" outlineLevel="0" collapsed="false">
      <c r="E111" s="5" t="str">
        <f aca="false">IF(F111&lt;&gt;0,"Enter Code"," ")</f>
        <v> </v>
      </c>
      <c r="G111" s="6" t="str">
        <f aca="false">IF(E111="BB",F111," ")</f>
        <v> </v>
      </c>
      <c r="H111" s="6" t="str">
        <f aca="false">IF(E111="BS",F111,"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6" t="str">
        <f aca="false">IF(X111&lt;&gt;0,"Enter Code"," ")</f>
        <v> </v>
      </c>
      <c r="Y111" s="6" t="str">
        <f aca="false">IF(W111="BB",X111," ")</f>
        <v> </v>
      </c>
      <c r="Z111" s="6" t="str">
        <f aca="false">IF(W111="BS",X111,"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" hidden="false" customHeight="false" outlineLevel="0" collapsed="false">
      <c r="E112" s="5" t="str">
        <f aca="false">IF(F112&lt;&gt;0,"Enter Code"," ")</f>
        <v> </v>
      </c>
      <c r="G112" s="6" t="str">
        <f aca="false">IF(E112="BB",F112," ")</f>
        <v> </v>
      </c>
      <c r="H112" s="6" t="str">
        <f aca="false">IF(E112="BS",F112,"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6" t="str">
        <f aca="false">IF(X112&lt;&gt;0,"Enter Code"," ")</f>
        <v> </v>
      </c>
      <c r="Y112" s="6" t="str">
        <f aca="false">IF(W112="BB",X112," ")</f>
        <v> </v>
      </c>
      <c r="Z112" s="6" t="str">
        <f aca="false">IF(W112="BS",X112,"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" hidden="false" customHeight="false" outlineLevel="0" collapsed="false">
      <c r="E113" s="5" t="str">
        <f aca="false">IF(F113&lt;&gt;0,"Enter Code"," ")</f>
        <v> </v>
      </c>
      <c r="G113" s="6" t="str">
        <f aca="false">IF(E113="BB",F113," ")</f>
        <v> </v>
      </c>
      <c r="H113" s="6" t="str">
        <f aca="false">IF(E113="BS",F113,"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6" t="str">
        <f aca="false">IF(X113&lt;&gt;0,"Enter Code"," ")</f>
        <v> </v>
      </c>
      <c r="Y113" s="6" t="str">
        <f aca="false">IF(W113="BB",X113," ")</f>
        <v> </v>
      </c>
      <c r="Z113" s="6" t="str">
        <f aca="false">IF(W113="BS",X113,"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" hidden="false" customHeight="false" outlineLevel="0" collapsed="false">
      <c r="E114" s="5" t="str">
        <f aca="false">IF(F114&lt;&gt;0,"Enter Code"," ")</f>
        <v> </v>
      </c>
      <c r="G114" s="6" t="str">
        <f aca="false">IF(E114="BB",F114," ")</f>
        <v> </v>
      </c>
      <c r="H114" s="6" t="str">
        <f aca="false">IF(E114="BS",F114,"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6" t="str">
        <f aca="false">IF(X114&lt;&gt;0,"Enter Code"," ")</f>
        <v> </v>
      </c>
      <c r="Y114" s="6" t="str">
        <f aca="false">IF(W114="BB",X114," ")</f>
        <v> </v>
      </c>
      <c r="Z114" s="6" t="str">
        <f aca="false">IF(W114="BS",X114,"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" hidden="false" customHeight="false" outlineLevel="0" collapsed="false">
      <c r="E115" s="5" t="str">
        <f aca="false">IF(F115&lt;&gt;0,"Enter Code"," ")</f>
        <v> </v>
      </c>
      <c r="G115" s="6" t="str">
        <f aca="false">IF(E115="BB",F115," ")</f>
        <v> </v>
      </c>
      <c r="H115" s="6" t="str">
        <f aca="false">IF(E115="BS",F115,"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6" t="str">
        <f aca="false">IF(X115&lt;&gt;0,"Enter Code"," ")</f>
        <v> </v>
      </c>
      <c r="Y115" s="6" t="str">
        <f aca="false">IF(W115="BB",X115," ")</f>
        <v> </v>
      </c>
      <c r="Z115" s="6" t="str">
        <f aca="false">IF(W115="BS",X115,"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" hidden="false" customHeight="false" outlineLevel="0" collapsed="false">
      <c r="E116" s="5" t="str">
        <f aca="false">IF(F116&lt;&gt;0,"Enter Code"," ")</f>
        <v> </v>
      </c>
      <c r="G116" s="6" t="str">
        <f aca="false">IF(E116="BB",F116," ")</f>
        <v> </v>
      </c>
      <c r="H116" s="6" t="str">
        <f aca="false">IF(E116="BS",F116,"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6" t="str">
        <f aca="false">IF(X116&lt;&gt;0,"Enter Code"," ")</f>
        <v> </v>
      </c>
      <c r="Y116" s="6" t="str">
        <f aca="false">IF(W116="BB",X116," ")</f>
        <v> </v>
      </c>
      <c r="Z116" s="6" t="str">
        <f aca="false">IF(W116="BS",X116,"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" hidden="false" customHeight="false" outlineLevel="0" collapsed="false">
      <c r="E117" s="5" t="str">
        <f aca="false">IF(F117&lt;&gt;0,"Enter Code"," ")</f>
        <v> </v>
      </c>
      <c r="G117" s="6" t="str">
        <f aca="false">IF(E117="BB",F117," ")</f>
        <v> </v>
      </c>
      <c r="H117" s="6" t="str">
        <f aca="false">IF(E117="BS",F117,"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6" t="str">
        <f aca="false">IF(X117&lt;&gt;0,"Enter Code"," ")</f>
        <v> </v>
      </c>
      <c r="Y117" s="6" t="str">
        <f aca="false">IF(W117="BB",X117," ")</f>
        <v> </v>
      </c>
      <c r="Z117" s="6" t="str">
        <f aca="false">IF(W117="BS",X117,"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" hidden="false" customHeight="false" outlineLevel="0" collapsed="false">
      <c r="E118" s="5" t="str">
        <f aca="false">IF(F118&lt;&gt;0,"Enter Code"," ")</f>
        <v> </v>
      </c>
      <c r="G118" s="6" t="str">
        <f aca="false">IF(E118="BB",F118," ")</f>
        <v> </v>
      </c>
      <c r="H118" s="6" t="str">
        <f aca="false">IF(E118="BS",F118,"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6" t="str">
        <f aca="false">IF(X118&lt;&gt;0,"Enter Code"," ")</f>
        <v> </v>
      </c>
      <c r="Y118" s="6" t="str">
        <f aca="false">IF(W118="BB",X118," ")</f>
        <v> </v>
      </c>
      <c r="Z118" s="6" t="str">
        <f aca="false">IF(W118="BS",X118,"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" hidden="false" customHeight="false" outlineLevel="0" collapsed="false">
      <c r="E119" s="5" t="str">
        <f aca="false">IF(F119&lt;&gt;0,"Enter Code"," ")</f>
        <v> </v>
      </c>
      <c r="G119" s="6" t="str">
        <f aca="false">IF(E119="BB",F119," ")</f>
        <v> </v>
      </c>
      <c r="H119" s="6" t="str">
        <f aca="false">IF(E119="BS",F119,"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6" t="str">
        <f aca="false">IF(X119&lt;&gt;0,"Enter Code"," ")</f>
        <v> </v>
      </c>
      <c r="Y119" s="6" t="str">
        <f aca="false">IF(W119="BB",X119," ")</f>
        <v> </v>
      </c>
      <c r="Z119" s="6" t="str">
        <f aca="false">IF(W119="BS",X119,"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" hidden="false" customHeight="false" outlineLevel="0" collapsed="false">
      <c r="E120" s="5" t="str">
        <f aca="false">IF(F120&lt;&gt;0,"Enter Code"," ")</f>
        <v> </v>
      </c>
      <c r="G120" s="6" t="str">
        <f aca="false">IF(E120="BB",F120," ")</f>
        <v> </v>
      </c>
      <c r="H120" s="6" t="str">
        <f aca="false">IF(E120="BS",F120,"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6" t="str">
        <f aca="false">IF(X120&lt;&gt;0,"Enter Code"," ")</f>
        <v> </v>
      </c>
      <c r="Y120" s="6" t="str">
        <f aca="false">IF(W120="BB",X120," ")</f>
        <v> </v>
      </c>
      <c r="Z120" s="6" t="str">
        <f aca="false">IF(W120="BS",X120,"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" hidden="false" customHeight="false" outlineLevel="0" collapsed="false">
      <c r="E121" s="5" t="str">
        <f aca="false">IF(F121&lt;&gt;0,"Enter Code"," ")</f>
        <v> </v>
      </c>
      <c r="G121" s="6" t="str">
        <f aca="false">IF(E121="BB",F121," ")</f>
        <v> </v>
      </c>
      <c r="H121" s="6" t="str">
        <f aca="false">IF(E121="BS",F121,"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6" t="str">
        <f aca="false">IF(X121&lt;&gt;0,"Enter Code"," ")</f>
        <v> </v>
      </c>
      <c r="Y121" s="6" t="str">
        <f aca="false">IF(W121="BB",X121," ")</f>
        <v> </v>
      </c>
      <c r="Z121" s="6" t="str">
        <f aca="false">IF(W121="BS",X121,"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" hidden="false" customHeight="false" outlineLevel="0" collapsed="false">
      <c r="E122" s="5" t="str">
        <f aca="false">IF(F122&lt;&gt;0,"Enter Code"," ")</f>
        <v> </v>
      </c>
      <c r="G122" s="6" t="str">
        <f aca="false">IF(E122="BB",F122," ")</f>
        <v> </v>
      </c>
      <c r="H122" s="6" t="str">
        <f aca="false">IF(E122="BS",F122,"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6" t="str">
        <f aca="false">IF(X122&lt;&gt;0,"Enter Code"," ")</f>
        <v> </v>
      </c>
      <c r="Y122" s="6" t="str">
        <f aca="false">IF(W122="BB",X122," ")</f>
        <v> </v>
      </c>
      <c r="Z122" s="6" t="str">
        <f aca="false">IF(W122="BS",X122,"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" hidden="false" customHeight="false" outlineLevel="0" collapsed="false">
      <c r="E123" s="5" t="str">
        <f aca="false">IF(F123&lt;&gt;0,"Enter Code"," ")</f>
        <v> </v>
      </c>
      <c r="G123" s="6" t="str">
        <f aca="false">IF(E123="BB",F123," ")</f>
        <v> </v>
      </c>
      <c r="H123" s="6" t="str">
        <f aca="false">IF(E123="BS",F123,"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6" t="str">
        <f aca="false">IF(X123&lt;&gt;0,"Enter Code"," ")</f>
        <v> </v>
      </c>
      <c r="Y123" s="6" t="str">
        <f aca="false">IF(W123="BB",X123," ")</f>
        <v> </v>
      </c>
      <c r="Z123" s="6" t="str">
        <f aca="false">IF(W123="BS",X123,"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" hidden="false" customHeight="false" outlineLevel="0" collapsed="false">
      <c r="E124" s="5" t="str">
        <f aca="false">IF(F124&lt;&gt;0,"Enter Code"," ")</f>
        <v> </v>
      </c>
      <c r="G124" s="6" t="str">
        <f aca="false">IF(E124="BB",F124," ")</f>
        <v> </v>
      </c>
      <c r="H124" s="6" t="str">
        <f aca="false">IF(E124="BS",F124,"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6" t="str">
        <f aca="false">IF(X124&lt;&gt;0,"Enter Code"," ")</f>
        <v> </v>
      </c>
      <c r="Y124" s="6" t="str">
        <f aca="false">IF(W124="BB",X124," ")</f>
        <v> </v>
      </c>
      <c r="Z124" s="6" t="str">
        <f aca="false">IF(W124="BS",X124,"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" hidden="false" customHeight="false" outlineLevel="0" collapsed="false">
      <c r="E125" s="5" t="str">
        <f aca="false">IF(F125&lt;&gt;0,"Enter Code"," ")</f>
        <v> </v>
      </c>
      <c r="G125" s="6" t="str">
        <f aca="false">IF(E125="BB",F125," ")</f>
        <v> </v>
      </c>
      <c r="H125" s="6" t="str">
        <f aca="false">IF(E125="BS",F125,"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6" t="str">
        <f aca="false">IF(X125&lt;&gt;0,"Enter Code"," ")</f>
        <v> </v>
      </c>
      <c r="Y125" s="6" t="str">
        <f aca="false">IF(W125="BB",X125," ")</f>
        <v> </v>
      </c>
      <c r="Z125" s="6" t="str">
        <f aca="false">IF(W125="BS",X125,"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" hidden="false" customHeight="false" outlineLevel="0" collapsed="false">
      <c r="E126" s="5" t="str">
        <f aca="false">IF(F126&lt;&gt;0,"Enter Code"," ")</f>
        <v> </v>
      </c>
      <c r="G126" s="6" t="str">
        <f aca="false">IF(E126="BB",F126," ")</f>
        <v> </v>
      </c>
      <c r="H126" s="6" t="str">
        <f aca="false">IF(E126="BS",F126,"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6" t="str">
        <f aca="false">IF(X126&lt;&gt;0,"Enter Code"," ")</f>
        <v> </v>
      </c>
      <c r="Y126" s="6" t="str">
        <f aca="false">IF(W126="BB",X126," ")</f>
        <v> </v>
      </c>
      <c r="Z126" s="6" t="str">
        <f aca="false">IF(W126="BS",X126,"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" hidden="false" customHeight="false" outlineLevel="0" collapsed="false">
      <c r="E127" s="5" t="str">
        <f aca="false">IF(F127&lt;&gt;0,"Enter Code"," ")</f>
        <v> </v>
      </c>
      <c r="G127" s="6" t="str">
        <f aca="false">IF(E127="BB",F127," ")</f>
        <v> </v>
      </c>
      <c r="H127" s="6" t="str">
        <f aca="false">IF(E127="BS",F127,"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6" t="str">
        <f aca="false">IF(X127&lt;&gt;0,"Enter Code"," ")</f>
        <v> </v>
      </c>
      <c r="Y127" s="6" t="str">
        <f aca="false">IF(W127="BB",X127," ")</f>
        <v> </v>
      </c>
      <c r="Z127" s="6" t="str">
        <f aca="false">IF(W127="BS",X127,"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" hidden="false" customHeight="false" outlineLevel="0" collapsed="false">
      <c r="E128" s="5" t="str">
        <f aca="false">IF(F128&lt;&gt;0,"Enter Code"," ")</f>
        <v> </v>
      </c>
      <c r="G128" s="6" t="str">
        <f aca="false">IF(E128="BB",F128," ")</f>
        <v> </v>
      </c>
      <c r="H128" s="6" t="str">
        <f aca="false">IF(E128="BS",F128,"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6" t="str">
        <f aca="false">IF(X128&lt;&gt;0,"Enter Code"," ")</f>
        <v> </v>
      </c>
      <c r="Y128" s="6" t="str">
        <f aca="false">IF(W128="BB",X128," ")</f>
        <v> </v>
      </c>
      <c r="Z128" s="6" t="str">
        <f aca="false">IF(W128="BS",X128,"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" hidden="false" customHeight="false" outlineLevel="0" collapsed="false">
      <c r="E129" s="5" t="str">
        <f aca="false">IF(F129&lt;&gt;0,"Enter Code"," ")</f>
        <v> </v>
      </c>
      <c r="G129" s="6" t="str">
        <f aca="false">IF(E129="BB",F129," ")</f>
        <v> </v>
      </c>
      <c r="H129" s="6" t="str">
        <f aca="false">IF(E129="BS",F129,"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6" t="str">
        <f aca="false">IF(X129&lt;&gt;0,"Enter Code"," ")</f>
        <v> </v>
      </c>
      <c r="Y129" s="6" t="str">
        <f aca="false">IF(W129="BB",X129," ")</f>
        <v> </v>
      </c>
      <c r="Z129" s="6" t="str">
        <f aca="false">IF(W129="BS",X129,"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" hidden="false" customHeight="false" outlineLevel="0" collapsed="false">
      <c r="E130" s="5" t="str">
        <f aca="false">IF(F130&lt;&gt;0,"Enter Code"," ")</f>
        <v> </v>
      </c>
      <c r="G130" s="6" t="str">
        <f aca="false">IF(E130="BB",F130," ")</f>
        <v> </v>
      </c>
      <c r="H130" s="6" t="str">
        <f aca="false">IF(E130="BS",F130,"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6" t="str">
        <f aca="false">IF(X130&lt;&gt;0,"Enter Code"," ")</f>
        <v> </v>
      </c>
      <c r="Y130" s="6" t="str">
        <f aca="false">IF(W130="BB",X130," ")</f>
        <v> </v>
      </c>
      <c r="Z130" s="6" t="str">
        <f aca="false">IF(W130="BS",X130,"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" hidden="false" customHeight="false" outlineLevel="0" collapsed="false">
      <c r="E131" s="5" t="str">
        <f aca="false">IF(F131&lt;&gt;0,"Enter Code"," ")</f>
        <v> </v>
      </c>
      <c r="G131" s="6" t="str">
        <f aca="false">IF(E131="BB",F131," ")</f>
        <v> </v>
      </c>
      <c r="H131" s="6" t="str">
        <f aca="false">IF(E131="BS",F131,"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6" t="str">
        <f aca="false">IF(X131&lt;&gt;0,"Enter Code"," ")</f>
        <v> </v>
      </c>
      <c r="Y131" s="6" t="str">
        <f aca="false">IF(W131="BB",X131," ")</f>
        <v> </v>
      </c>
      <c r="Z131" s="6" t="str">
        <f aca="false">IF(W131="BS",X131,"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" hidden="false" customHeight="false" outlineLevel="0" collapsed="false">
      <c r="E132" s="5" t="str">
        <f aca="false">IF(F132&lt;&gt;0,"Enter Code"," ")</f>
        <v> </v>
      </c>
      <c r="G132" s="6" t="str">
        <f aca="false">IF(E132="BB",F132," ")</f>
        <v> </v>
      </c>
      <c r="H132" s="6" t="str">
        <f aca="false">IF(E132="BS",F132,"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6" t="str">
        <f aca="false">IF(X132&lt;&gt;0,"Enter Code"," ")</f>
        <v> </v>
      </c>
      <c r="Y132" s="6" t="str">
        <f aca="false">IF(W132="BB",X132," ")</f>
        <v> </v>
      </c>
      <c r="Z132" s="6" t="str">
        <f aca="false">IF(W132="BS",X132,"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" hidden="false" customHeight="false" outlineLevel="0" collapsed="false">
      <c r="E133" s="5" t="str">
        <f aca="false">IF(F133&lt;&gt;0,"Enter Code"," ")</f>
        <v> </v>
      </c>
      <c r="G133" s="6" t="str">
        <f aca="false">IF(E133="BB",F133," ")</f>
        <v> </v>
      </c>
      <c r="H133" s="6" t="str">
        <f aca="false">IF(E133="BS",F133,"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6" t="str">
        <f aca="false">IF(X133&lt;&gt;0,"Enter Code"," ")</f>
        <v> </v>
      </c>
      <c r="Y133" s="6" t="str">
        <f aca="false">IF(W133="BB",X133," ")</f>
        <v> </v>
      </c>
      <c r="Z133" s="6" t="str">
        <f aca="false">IF(W133="BS",X133,"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" hidden="false" customHeight="false" outlineLevel="0" collapsed="false">
      <c r="E134" s="5" t="str">
        <f aca="false">IF(F134&lt;&gt;0,"Enter Code"," ")</f>
        <v> </v>
      </c>
      <c r="G134" s="6" t="str">
        <f aca="false">IF(E134="BB",F134," ")</f>
        <v> </v>
      </c>
      <c r="H134" s="6" t="str">
        <f aca="false">IF(E134="BS",F134,"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6" t="str">
        <f aca="false">IF(X134&lt;&gt;0,"Enter Code"," ")</f>
        <v> </v>
      </c>
      <c r="Y134" s="6" t="str">
        <f aca="false">IF(W134="BB",X134," ")</f>
        <v> </v>
      </c>
      <c r="Z134" s="6" t="str">
        <f aca="false">IF(W134="BS",X134,"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" hidden="false" customHeight="false" outlineLevel="0" collapsed="false">
      <c r="E135" s="5" t="str">
        <f aca="false">IF(F135&lt;&gt;0,"Enter Code"," ")</f>
        <v> </v>
      </c>
      <c r="G135" s="6" t="str">
        <f aca="false">IF(E135="BB",F135," ")</f>
        <v> </v>
      </c>
      <c r="H135" s="6" t="str">
        <f aca="false">IF(E135="BS",F135,"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6" t="str">
        <f aca="false">IF(X135&lt;&gt;0,"Enter Code"," ")</f>
        <v> </v>
      </c>
      <c r="Y135" s="6" t="str">
        <f aca="false">IF(W135="BB",X135," ")</f>
        <v> </v>
      </c>
      <c r="Z135" s="6" t="str">
        <f aca="false">IF(W135="BS",X135,"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" hidden="false" customHeight="false" outlineLevel="0" collapsed="false">
      <c r="E136" s="5" t="str">
        <f aca="false">IF(F136&lt;&gt;0,"Enter Code"," ")</f>
        <v> </v>
      </c>
      <c r="G136" s="6" t="str">
        <f aca="false">IF(E136="BB",F136," ")</f>
        <v> </v>
      </c>
      <c r="H136" s="6" t="str">
        <f aca="false">IF(E136="BS",F136,"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6" t="str">
        <f aca="false">IF(X136&lt;&gt;0,"Enter Code"," ")</f>
        <v> </v>
      </c>
      <c r="Y136" s="6" t="str">
        <f aca="false">IF(W136="BB",X136," ")</f>
        <v> </v>
      </c>
      <c r="Z136" s="6" t="str">
        <f aca="false">IF(W136="BS",X136,"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" hidden="false" customHeight="false" outlineLevel="0" collapsed="false">
      <c r="E137" s="5" t="str">
        <f aca="false">IF(F137&lt;&gt;0,"Enter Code"," ")</f>
        <v> </v>
      </c>
      <c r="G137" s="6" t="str">
        <f aca="false">IF(E137="BB",F137," ")</f>
        <v> </v>
      </c>
      <c r="H137" s="6" t="str">
        <f aca="false">IF(E137="BS",F137,"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6" t="str">
        <f aca="false">IF(X137&lt;&gt;0,"Enter Code"," ")</f>
        <v> </v>
      </c>
      <c r="Y137" s="6" t="str">
        <f aca="false">IF(W137="BB",X137," ")</f>
        <v> </v>
      </c>
      <c r="Z137" s="6" t="str">
        <f aca="false">IF(W137="BS",X137,"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" hidden="false" customHeight="false" outlineLevel="0" collapsed="false">
      <c r="E138" s="5" t="str">
        <f aca="false">IF(F138&lt;&gt;0,"Enter Code"," ")</f>
        <v> </v>
      </c>
      <c r="G138" s="6" t="str">
        <f aca="false">IF(E138="BB",F138," ")</f>
        <v> </v>
      </c>
      <c r="H138" s="6" t="str">
        <f aca="false">IF(E138="BS",F138,"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6" t="str">
        <f aca="false">IF(X138&lt;&gt;0,"Enter Code"," ")</f>
        <v> </v>
      </c>
      <c r="Y138" s="6" t="str">
        <f aca="false">IF(W138="BB",X138," ")</f>
        <v> </v>
      </c>
      <c r="Z138" s="6" t="str">
        <f aca="false">IF(W138="BS",X138,"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" hidden="false" customHeight="false" outlineLevel="0" collapsed="false">
      <c r="E139" s="5" t="str">
        <f aca="false">IF(F139&lt;&gt;0,"Enter Code"," ")</f>
        <v> </v>
      </c>
      <c r="G139" s="6" t="str">
        <f aca="false">IF(E139="BB",F139," ")</f>
        <v> </v>
      </c>
      <c r="H139" s="6" t="str">
        <f aca="false">IF(E139="BS",F139,"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6" t="str">
        <f aca="false">IF(X139&lt;&gt;0,"Enter Code"," ")</f>
        <v> </v>
      </c>
      <c r="Y139" s="6" t="str">
        <f aca="false">IF(W139="BB",X139," ")</f>
        <v> </v>
      </c>
      <c r="Z139" s="6" t="str">
        <f aca="false">IF(W139="BS",X139,"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" hidden="false" customHeight="false" outlineLevel="0" collapsed="false">
      <c r="E140" s="5" t="str">
        <f aca="false">IF(F140&lt;&gt;0,"Enter Code"," ")</f>
        <v> </v>
      </c>
      <c r="G140" s="6" t="str">
        <f aca="false">IF(E140="BB",F140," ")</f>
        <v> </v>
      </c>
      <c r="H140" s="6" t="str">
        <f aca="false">IF(E140="BS",F140,"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6" t="str">
        <f aca="false">IF(X140&lt;&gt;0,"Enter Code"," ")</f>
        <v> </v>
      </c>
      <c r="Y140" s="6" t="str">
        <f aca="false">IF(W140="BB",X140," ")</f>
        <v> </v>
      </c>
      <c r="Z140" s="6" t="str">
        <f aca="false">IF(W140="BS",X140,"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" hidden="false" customHeight="false" outlineLevel="0" collapsed="false">
      <c r="E141" s="5" t="str">
        <f aca="false">IF(F141&lt;&gt;0,"Enter Code"," ")</f>
        <v> </v>
      </c>
      <c r="G141" s="6" t="str">
        <f aca="false">IF(E141="BB",F141," ")</f>
        <v> </v>
      </c>
      <c r="H141" s="6" t="str">
        <f aca="false">IF(E141="BS",F141,"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6" t="str">
        <f aca="false">IF(X141&lt;&gt;0,"Enter Code"," ")</f>
        <v> </v>
      </c>
      <c r="Y141" s="6" t="str">
        <f aca="false">IF(W141="BB",X141," ")</f>
        <v> </v>
      </c>
      <c r="Z141" s="6" t="str">
        <f aca="false">IF(W141="BS",X141,"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" hidden="false" customHeight="false" outlineLevel="0" collapsed="false">
      <c r="E142" s="5" t="str">
        <f aca="false">IF(F142&lt;&gt;0,"Enter Code"," ")</f>
        <v> </v>
      </c>
      <c r="G142" s="6" t="str">
        <f aca="false">IF(E142="BB",F142," ")</f>
        <v> </v>
      </c>
      <c r="H142" s="6" t="str">
        <f aca="false">IF(E142="BS",F142,"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6" t="str">
        <f aca="false">IF(X142&lt;&gt;0,"Enter Code"," ")</f>
        <v> </v>
      </c>
      <c r="Y142" s="6" t="str">
        <f aca="false">IF(W142="BB",X142," ")</f>
        <v> </v>
      </c>
      <c r="Z142" s="6" t="str">
        <f aca="false">IF(W142="BS",X142,"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" hidden="false" customHeight="false" outlineLevel="0" collapsed="false">
      <c r="E143" s="5" t="str">
        <f aca="false">IF(F143&lt;&gt;0,"Enter Code"," ")</f>
        <v> </v>
      </c>
      <c r="G143" s="6" t="str">
        <f aca="false">IF(E143="BB",F143," ")</f>
        <v> </v>
      </c>
      <c r="H143" s="6" t="str">
        <f aca="false">IF(E143="BS",F143,"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6" t="str">
        <f aca="false">IF(X143&lt;&gt;0,"Enter Code"," ")</f>
        <v> </v>
      </c>
      <c r="Y143" s="6" t="str">
        <f aca="false">IF(W143="BB",X143," ")</f>
        <v> </v>
      </c>
      <c r="Z143" s="6" t="str">
        <f aca="false">IF(W143="BS",X143,"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" hidden="false" customHeight="false" outlineLevel="0" collapsed="false">
      <c r="E144" s="5" t="str">
        <f aca="false">IF(F144&lt;&gt;0,"Enter Code"," ")</f>
        <v> </v>
      </c>
      <c r="G144" s="6" t="str">
        <f aca="false">IF(E144="BB",F144," ")</f>
        <v> </v>
      </c>
      <c r="H144" s="6" t="str">
        <f aca="false">IF(E144="BS",F144,"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6" t="str">
        <f aca="false">IF(X144&lt;&gt;0,"Enter Code"," ")</f>
        <v> </v>
      </c>
      <c r="Y144" s="6" t="str">
        <f aca="false">IF(W144="BB",X144," ")</f>
        <v> </v>
      </c>
      <c r="Z144" s="6" t="str">
        <f aca="false">IF(W144="BS",X144,"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" hidden="false" customHeight="false" outlineLevel="0" collapsed="false">
      <c r="E145" s="5" t="str">
        <f aca="false">IF(F145&lt;&gt;0,"Enter Code"," ")</f>
        <v> </v>
      </c>
      <c r="G145" s="6" t="str">
        <f aca="false">IF(E145="BB",F145," ")</f>
        <v> </v>
      </c>
      <c r="H145" s="6" t="str">
        <f aca="false">IF(E145="BS",F145,"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6" t="str">
        <f aca="false">IF(X145&lt;&gt;0,"Enter Code"," ")</f>
        <v> </v>
      </c>
      <c r="Y145" s="6" t="str">
        <f aca="false">IF(W145="BB",X145," ")</f>
        <v> </v>
      </c>
      <c r="Z145" s="6" t="str">
        <f aca="false">IF(W145="BS",X145,"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" hidden="false" customHeight="false" outlineLevel="0" collapsed="false">
      <c r="E146" s="5" t="str">
        <f aca="false">IF(F146&lt;&gt;0,"Enter Code"," ")</f>
        <v> </v>
      </c>
      <c r="G146" s="6" t="str">
        <f aca="false">IF(E146="BB",F146," ")</f>
        <v> </v>
      </c>
      <c r="H146" s="6" t="str">
        <f aca="false">IF(E146="BS",F146,"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6" t="str">
        <f aca="false">IF(X146&lt;&gt;0,"Enter Code"," ")</f>
        <v> </v>
      </c>
      <c r="Y146" s="6" t="str">
        <f aca="false">IF(W146="BB",X146," ")</f>
        <v> </v>
      </c>
      <c r="Z146" s="6" t="str">
        <f aca="false">IF(W146="BS",X146,"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" hidden="false" customHeight="false" outlineLevel="0" collapsed="false">
      <c r="E147" s="5" t="str">
        <f aca="false">IF(F147&lt;&gt;0,"Enter Code"," ")</f>
        <v> </v>
      </c>
      <c r="G147" s="6" t="str">
        <f aca="false">IF(E147="BB",F147," ")</f>
        <v> </v>
      </c>
      <c r="H147" s="6" t="str">
        <f aca="false">IF(E147="BS",F147,"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6" t="str">
        <f aca="false">IF(X147&lt;&gt;0,"Enter Code"," ")</f>
        <v> </v>
      </c>
      <c r="Y147" s="6" t="str">
        <f aca="false">IF(W147="BB",X147," ")</f>
        <v> </v>
      </c>
      <c r="Z147" s="6" t="str">
        <f aca="false">IF(W147="BS",X147,"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" hidden="false" customHeight="false" outlineLevel="0" collapsed="false">
      <c r="E148" s="5" t="str">
        <f aca="false">IF(F148&lt;&gt;0,"Enter Code"," ")</f>
        <v> </v>
      </c>
      <c r="G148" s="6" t="str">
        <f aca="false">IF(E148="BB",F148," ")</f>
        <v> </v>
      </c>
      <c r="H148" s="6" t="str">
        <f aca="false">IF(E148="BS",F148,"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6" t="str">
        <f aca="false">IF(X148&lt;&gt;0,"Enter Code"," ")</f>
        <v> </v>
      </c>
      <c r="Y148" s="6" t="str">
        <f aca="false">IF(W148="BB",X148," ")</f>
        <v> </v>
      </c>
      <c r="Z148" s="6" t="str">
        <f aca="false">IF(W148="BS",X148,"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" hidden="false" customHeight="false" outlineLevel="0" collapsed="false">
      <c r="E149" s="5" t="str">
        <f aca="false">IF(F149&lt;&gt;0,"Enter Code"," ")</f>
        <v> </v>
      </c>
      <c r="G149" s="6" t="str">
        <f aca="false">IF(E149="BB",F149," ")</f>
        <v> </v>
      </c>
      <c r="H149" s="6" t="str">
        <f aca="false">IF(E149="BS",F149,"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6" t="str">
        <f aca="false">IF(X149&lt;&gt;0,"Enter Code"," ")</f>
        <v> </v>
      </c>
      <c r="Y149" s="6" t="str">
        <f aca="false">IF(W149="BB",X149," ")</f>
        <v> </v>
      </c>
      <c r="Z149" s="6" t="str">
        <f aca="false">IF(W149="BS",X149,"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" hidden="false" customHeight="false" outlineLevel="0" collapsed="false">
      <c r="E150" s="5" t="str">
        <f aca="false">IF(F150&lt;&gt;0,"Enter Code"," ")</f>
        <v> </v>
      </c>
      <c r="G150" s="6" t="str">
        <f aca="false">IF(E150="BB",F150," ")</f>
        <v> </v>
      </c>
      <c r="H150" s="6" t="str">
        <f aca="false">IF(E150="BS",F150,"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6" t="str">
        <f aca="false">IF(X150&lt;&gt;0,"Enter Code"," ")</f>
        <v> </v>
      </c>
      <c r="Y150" s="6" t="str">
        <f aca="false">IF(W150="BB",X150," ")</f>
        <v> </v>
      </c>
      <c r="Z150" s="6" t="str">
        <f aca="false">IF(W150="BS",X150,"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" hidden="false" customHeight="false" outlineLevel="0" collapsed="false">
      <c r="E151" s="5" t="str">
        <f aca="false">IF(F151&lt;&gt;0,"Enter Code"," ")</f>
        <v> </v>
      </c>
      <c r="G151" s="6" t="str">
        <f aca="false">IF(E151="BB",F151," ")</f>
        <v> </v>
      </c>
      <c r="H151" s="6" t="str">
        <f aca="false">IF(E151="BS",F151,"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6" t="str">
        <f aca="false">IF(X151&lt;&gt;0,"Enter Code"," ")</f>
        <v> </v>
      </c>
      <c r="Y151" s="6" t="str">
        <f aca="false">IF(W151="BB",X151," ")</f>
        <v> </v>
      </c>
      <c r="Z151" s="6" t="str">
        <f aca="false">IF(W151="BS",X151,"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" hidden="false" customHeight="false" outlineLevel="0" collapsed="false">
      <c r="E152" s="5" t="str">
        <f aca="false">IF(F152&lt;&gt;0,"Enter Code"," ")</f>
        <v> </v>
      </c>
      <c r="G152" s="6" t="str">
        <f aca="false">IF(E152="BB",F152," ")</f>
        <v> </v>
      </c>
      <c r="H152" s="6" t="str">
        <f aca="false">IF(E152="BS",F152,"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6" t="str">
        <f aca="false">IF(X152&lt;&gt;0,"Enter Code"," ")</f>
        <v> </v>
      </c>
      <c r="Y152" s="6" t="str">
        <f aca="false">IF(W152="BB",X152," ")</f>
        <v> </v>
      </c>
      <c r="Z152" s="6" t="str">
        <f aca="false">IF(W152="BS",X152,"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" hidden="false" customHeight="false" outlineLevel="0" collapsed="false">
      <c r="E153" s="5" t="str">
        <f aca="false">IF(F153&lt;&gt;0,"Enter Code"," ")</f>
        <v> </v>
      </c>
      <c r="G153" s="6" t="str">
        <f aca="false">IF(E153="BB",F153," ")</f>
        <v> </v>
      </c>
      <c r="H153" s="6" t="str">
        <f aca="false">IF(E153="BS",F153,"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6" t="str">
        <f aca="false">IF(X153&lt;&gt;0,"Enter Code"," ")</f>
        <v> </v>
      </c>
      <c r="Y153" s="6" t="str">
        <f aca="false">IF(W153="BB",X153," ")</f>
        <v> </v>
      </c>
      <c r="Z153" s="6" t="str">
        <f aca="false">IF(W153="BS",X153,"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" hidden="false" customHeight="false" outlineLevel="0" collapsed="false">
      <c r="E154" s="5" t="str">
        <f aca="false">IF(F154&lt;&gt;0,"Enter Code"," ")</f>
        <v> </v>
      </c>
      <c r="G154" s="6" t="str">
        <f aca="false">IF(E154="BB",F154," ")</f>
        <v> </v>
      </c>
      <c r="H154" s="6" t="str">
        <f aca="false">IF(E154="BS",F154,"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6" t="str">
        <f aca="false">IF(X154&lt;&gt;0,"Enter Code"," ")</f>
        <v> </v>
      </c>
      <c r="Y154" s="6" t="str">
        <f aca="false">IF(W154="BB",X154," ")</f>
        <v> </v>
      </c>
      <c r="Z154" s="6" t="str">
        <f aca="false">IF(W154="BS",X154,"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" hidden="false" customHeight="false" outlineLevel="0" collapsed="false">
      <c r="E155" s="5" t="str">
        <f aca="false">IF(F155&lt;&gt;0,"Enter Code"," ")</f>
        <v> </v>
      </c>
      <c r="G155" s="6" t="str">
        <f aca="false">IF(E155="BB",F155," ")</f>
        <v> </v>
      </c>
      <c r="H155" s="6" t="str">
        <f aca="false">IF(E155="BS",F155,"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6" t="str">
        <f aca="false">IF(X155&lt;&gt;0,"Enter Code"," ")</f>
        <v> </v>
      </c>
      <c r="Y155" s="6" t="str">
        <f aca="false">IF(W155="BB",X155," ")</f>
        <v> </v>
      </c>
      <c r="Z155" s="6" t="str">
        <f aca="false">IF(W155="BS",X155,"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" hidden="false" customHeight="false" outlineLevel="0" collapsed="false">
      <c r="E156" s="5" t="str">
        <f aca="false">IF(F156&lt;&gt;0,"Enter Code"," ")</f>
        <v> </v>
      </c>
      <c r="G156" s="6" t="str">
        <f aca="false">IF(E156="BB",F156," ")</f>
        <v> </v>
      </c>
      <c r="H156" s="6" t="str">
        <f aca="false">IF(E156="BS",F156,"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6" t="str">
        <f aca="false">IF(X156&lt;&gt;0,"Enter Code"," ")</f>
        <v> </v>
      </c>
      <c r="Y156" s="6" t="str">
        <f aca="false">IF(W156="BB",X156," ")</f>
        <v> </v>
      </c>
      <c r="Z156" s="6" t="str">
        <f aca="false">IF(W156="BS",X156,"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" hidden="false" customHeight="false" outlineLevel="0" collapsed="false">
      <c r="E157" s="5" t="str">
        <f aca="false">IF(F157&lt;&gt;0,"Enter Code"," ")</f>
        <v> </v>
      </c>
      <c r="G157" s="6" t="str">
        <f aca="false">IF(E157="BB",F157," ")</f>
        <v> </v>
      </c>
      <c r="H157" s="6" t="str">
        <f aca="false">IF(E157="BS",F157,"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6" t="str">
        <f aca="false">IF(X157&lt;&gt;0,"Enter Code"," ")</f>
        <v> </v>
      </c>
      <c r="Y157" s="6" t="str">
        <f aca="false">IF(W157="BB",X157," ")</f>
        <v> </v>
      </c>
      <c r="Z157" s="6" t="str">
        <f aca="false">IF(W157="BS",X157,"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" hidden="false" customHeight="false" outlineLevel="0" collapsed="false">
      <c r="E158" s="5" t="str">
        <f aca="false">IF(F158&lt;&gt;0,"Enter Code"," ")</f>
        <v> </v>
      </c>
      <c r="G158" s="6" t="str">
        <f aca="false">IF(E158="BB",F158," ")</f>
        <v> </v>
      </c>
      <c r="H158" s="6" t="str">
        <f aca="false">IF(E158="BS",F158,"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6" t="str">
        <f aca="false">IF(X158&lt;&gt;0,"Enter Code"," ")</f>
        <v> </v>
      </c>
      <c r="Y158" s="6" t="str">
        <f aca="false">IF(W158="BB",X158," ")</f>
        <v> </v>
      </c>
      <c r="Z158" s="6" t="str">
        <f aca="false">IF(W158="BS",X158,"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" hidden="false" customHeight="false" outlineLevel="0" collapsed="false">
      <c r="E159" s="5" t="str">
        <f aca="false">IF(F159&lt;&gt;0,"Enter Code"," ")</f>
        <v> </v>
      </c>
      <c r="G159" s="6" t="str">
        <f aca="false">IF(E159="BB",F159," ")</f>
        <v> </v>
      </c>
      <c r="H159" s="6" t="str">
        <f aca="false">IF(E159="BS",F159,"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6" t="str">
        <f aca="false">IF(X159&lt;&gt;0,"Enter Code"," ")</f>
        <v> </v>
      </c>
      <c r="Y159" s="6" t="str">
        <f aca="false">IF(W159="BB",X159," ")</f>
        <v> </v>
      </c>
      <c r="Z159" s="6" t="str">
        <f aca="false">IF(W159="BS",X159,"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" hidden="false" customHeight="false" outlineLevel="0" collapsed="false">
      <c r="E160" s="5" t="str">
        <f aca="false">IF(F160&lt;&gt;0,"Enter Code"," ")</f>
        <v> </v>
      </c>
      <c r="G160" s="6" t="str">
        <f aca="false">IF(E160="BB",F160," ")</f>
        <v> </v>
      </c>
      <c r="H160" s="6" t="str">
        <f aca="false">IF(E160="BS",F160,"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6" t="str">
        <f aca="false">IF(X160&lt;&gt;0,"Enter Code"," ")</f>
        <v> </v>
      </c>
      <c r="Y160" s="6" t="str">
        <f aca="false">IF(W160="BB",X160," ")</f>
        <v> </v>
      </c>
      <c r="Z160" s="6" t="str">
        <f aca="false">IF(W160="BS",X160,"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" hidden="false" customHeight="false" outlineLevel="0" collapsed="false">
      <c r="E161" s="5" t="str">
        <f aca="false">IF(F161&lt;&gt;0,"Enter Code"," ")</f>
        <v> </v>
      </c>
      <c r="G161" s="6" t="str">
        <f aca="false">IF(E161="BB",F161," ")</f>
        <v> </v>
      </c>
      <c r="H161" s="6" t="str">
        <f aca="false">IF(E161="BS",F161,"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6" t="str">
        <f aca="false">IF(X161&lt;&gt;0,"Enter Code"," ")</f>
        <v> </v>
      </c>
      <c r="Y161" s="6" t="str">
        <f aca="false">IF(W161="BB",X161," ")</f>
        <v> </v>
      </c>
      <c r="Z161" s="6" t="str">
        <f aca="false">IF(W161="BS",X161,"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" hidden="false" customHeight="false" outlineLevel="0" collapsed="false">
      <c r="E162" s="5" t="str">
        <f aca="false">IF(F162&lt;&gt;0,"Enter Code"," ")</f>
        <v> </v>
      </c>
      <c r="G162" s="6" t="str">
        <f aca="false">IF(E162="BB",F162," ")</f>
        <v> </v>
      </c>
      <c r="H162" s="6" t="str">
        <f aca="false">IF(E162="BS",F162,"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6" t="str">
        <f aca="false">IF(X162&lt;&gt;0,"Enter Code"," ")</f>
        <v> </v>
      </c>
      <c r="Y162" s="6" t="str">
        <f aca="false">IF(W162="BB",X162," ")</f>
        <v> </v>
      </c>
      <c r="Z162" s="6" t="str">
        <f aca="false">IF(W162="BS",X162,"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" hidden="false" customHeight="false" outlineLevel="0" collapsed="false">
      <c r="E163" s="5" t="str">
        <f aca="false">IF(F163&lt;&gt;0,"Enter Code"," ")</f>
        <v> </v>
      </c>
      <c r="G163" s="6" t="str">
        <f aca="false">IF(E163="BB",F163," ")</f>
        <v> </v>
      </c>
      <c r="H163" s="6" t="str">
        <f aca="false">IF(E163="BS",F163,"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6" t="str">
        <f aca="false">IF(X163&lt;&gt;0,"Enter Code"," ")</f>
        <v> </v>
      </c>
      <c r="Y163" s="6" t="str">
        <f aca="false">IF(W163="BB",X163," ")</f>
        <v> </v>
      </c>
      <c r="Z163" s="6" t="str">
        <f aca="false">IF(W163="BS",X163,"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" hidden="false" customHeight="false" outlineLevel="0" collapsed="false">
      <c r="E164" s="5" t="str">
        <f aca="false">IF(F164&lt;&gt;0,"Enter Code"," ")</f>
        <v> </v>
      </c>
      <c r="G164" s="6" t="str">
        <f aca="false">IF(E164="BB",F164," ")</f>
        <v> </v>
      </c>
      <c r="H164" s="6" t="str">
        <f aca="false">IF(E164="BS",F164,"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6" t="str">
        <f aca="false">IF(X164&lt;&gt;0,"Enter Code"," ")</f>
        <v> </v>
      </c>
      <c r="Y164" s="6" t="str">
        <f aca="false">IF(W164="BB",X164," ")</f>
        <v> </v>
      </c>
      <c r="Z164" s="6" t="str">
        <f aca="false">IF(W164="BS",X164,"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" hidden="false" customHeight="false" outlineLevel="0" collapsed="false">
      <c r="E165" s="5" t="str">
        <f aca="false">IF(F165&lt;&gt;0,"Enter Code"," ")</f>
        <v> </v>
      </c>
      <c r="G165" s="6" t="str">
        <f aca="false">IF(E165="BB",F165," ")</f>
        <v> </v>
      </c>
      <c r="H165" s="6" t="str">
        <f aca="false">IF(E165="BS",F165,"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6" t="str">
        <f aca="false">IF(X165&lt;&gt;0,"Enter Code"," ")</f>
        <v> </v>
      </c>
      <c r="Y165" s="6" t="str">
        <f aca="false">IF(W165="BB",X165," ")</f>
        <v> </v>
      </c>
      <c r="Z165" s="6" t="str">
        <f aca="false">IF(W165="BS",X165,"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" hidden="false" customHeight="false" outlineLevel="0" collapsed="false">
      <c r="E166" s="5" t="str">
        <f aca="false">IF(F166&lt;&gt;0,"Enter Code"," ")</f>
        <v> </v>
      </c>
      <c r="G166" s="6" t="str">
        <f aca="false">IF(E166="BB",F166," ")</f>
        <v> </v>
      </c>
      <c r="H166" s="6" t="str">
        <f aca="false">IF(E166="BS",F166,"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6" t="str">
        <f aca="false">IF(X166&lt;&gt;0,"Enter Code"," ")</f>
        <v> </v>
      </c>
      <c r="Y166" s="6" t="str">
        <f aca="false">IF(W166="BB",X166," ")</f>
        <v> </v>
      </c>
      <c r="Z166" s="6" t="str">
        <f aca="false">IF(W166="BS",X166,"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" hidden="false" customHeight="false" outlineLevel="0" collapsed="false">
      <c r="E167" s="5" t="str">
        <f aca="false">IF(F167&lt;&gt;0,"Enter Code"," ")</f>
        <v> </v>
      </c>
      <c r="G167" s="6" t="str">
        <f aca="false">IF(E167="BB",F167," ")</f>
        <v> </v>
      </c>
      <c r="H167" s="6" t="str">
        <f aca="false">IF(E167="BS",F167,"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6" t="str">
        <f aca="false">IF(X167&lt;&gt;0,"Enter Code"," ")</f>
        <v> </v>
      </c>
      <c r="Y167" s="6" t="str">
        <f aca="false">IF(W167="BB",X167," ")</f>
        <v> </v>
      </c>
      <c r="Z167" s="6" t="str">
        <f aca="false">IF(W167="BS",X167,"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" hidden="false" customHeight="false" outlineLevel="0" collapsed="false">
      <c r="E168" s="5" t="str">
        <f aca="false">IF(F168&lt;&gt;0,"Enter Code"," ")</f>
        <v> </v>
      </c>
      <c r="G168" s="6" t="str">
        <f aca="false">IF(E168="BB",F168," ")</f>
        <v> </v>
      </c>
      <c r="H168" s="6" t="str">
        <f aca="false">IF(E168="BS",F168,"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6" t="str">
        <f aca="false">IF(X168&lt;&gt;0,"Enter Code"," ")</f>
        <v> </v>
      </c>
      <c r="Y168" s="6" t="str">
        <f aca="false">IF(W168="BB",X168," ")</f>
        <v> </v>
      </c>
      <c r="Z168" s="6" t="str">
        <f aca="false">IF(W168="BS",X168,"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" hidden="false" customHeight="false" outlineLevel="0" collapsed="false">
      <c r="E169" s="5" t="str">
        <f aca="false">IF(F169&lt;&gt;0,"Enter Code"," ")</f>
        <v> </v>
      </c>
      <c r="G169" s="6" t="str">
        <f aca="false">IF(E169="BB",F169," ")</f>
        <v> </v>
      </c>
      <c r="H169" s="6" t="str">
        <f aca="false">IF(E169="BS",F169,"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6" t="str">
        <f aca="false">IF(X169&lt;&gt;0,"Enter Code"," ")</f>
        <v> </v>
      </c>
      <c r="Y169" s="6" t="str">
        <f aca="false">IF(W169="BB",X169," ")</f>
        <v> </v>
      </c>
      <c r="Z169" s="6" t="str">
        <f aca="false">IF(W169="BS",X169,"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" hidden="false" customHeight="false" outlineLevel="0" collapsed="false">
      <c r="E170" s="5" t="str">
        <f aca="false">IF(F170&lt;&gt;0,"Enter Code"," ")</f>
        <v> </v>
      </c>
      <c r="G170" s="6" t="str">
        <f aca="false">IF(E170="BB",F170," ")</f>
        <v> </v>
      </c>
      <c r="H170" s="6" t="str">
        <f aca="false">IF(E170="BS",F170,"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6" t="str">
        <f aca="false">IF(X170&lt;&gt;0,"Enter Code"," ")</f>
        <v> </v>
      </c>
      <c r="Y170" s="6" t="str">
        <f aca="false">IF(W170="BB",X170," ")</f>
        <v> </v>
      </c>
      <c r="Z170" s="6" t="str">
        <f aca="false">IF(W170="BS",X170,"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" hidden="false" customHeight="false" outlineLevel="0" collapsed="false">
      <c r="E171" s="5" t="str">
        <f aca="false">IF(F171&lt;&gt;0,"Enter Code"," ")</f>
        <v> </v>
      </c>
      <c r="G171" s="6" t="str">
        <f aca="false">IF(E171="BB",F171," ")</f>
        <v> </v>
      </c>
      <c r="H171" s="6" t="str">
        <f aca="false">IF(E171="BS",F171,"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6" t="str">
        <f aca="false">IF(X171&lt;&gt;0,"Enter Code"," ")</f>
        <v> </v>
      </c>
      <c r="Y171" s="6" t="str">
        <f aca="false">IF(W171="BB",X171," ")</f>
        <v> </v>
      </c>
      <c r="Z171" s="6" t="str">
        <f aca="false">IF(W171="BS",X171,"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" hidden="false" customHeight="false" outlineLevel="0" collapsed="false">
      <c r="E172" s="5" t="str">
        <f aca="false">IF(F172&lt;&gt;0,"Enter Code"," ")</f>
        <v> </v>
      </c>
      <c r="G172" s="6" t="str">
        <f aca="false">IF(E172="BB",F172," ")</f>
        <v> </v>
      </c>
      <c r="H172" s="6" t="str">
        <f aca="false">IF(E172="BS",F172,"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6" t="str">
        <f aca="false">IF(X172&lt;&gt;0,"Enter Code"," ")</f>
        <v> </v>
      </c>
      <c r="Y172" s="6" t="str">
        <f aca="false">IF(W172="BB",X172," ")</f>
        <v> </v>
      </c>
      <c r="Z172" s="6" t="str">
        <f aca="false">IF(W172="BS",X172,"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" hidden="false" customHeight="false" outlineLevel="0" collapsed="false">
      <c r="E173" s="5" t="str">
        <f aca="false">IF(F173&lt;&gt;0,"Enter Code"," ")</f>
        <v> </v>
      </c>
      <c r="G173" s="6" t="str">
        <f aca="false">IF(E173="BB",F173," ")</f>
        <v> </v>
      </c>
      <c r="H173" s="6" t="str">
        <f aca="false">IF(E173="BS",F173,"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6" t="str">
        <f aca="false">IF(X173&lt;&gt;0,"Enter Code"," ")</f>
        <v> </v>
      </c>
      <c r="Y173" s="6" t="str">
        <f aca="false">IF(W173="BB",X173," ")</f>
        <v> </v>
      </c>
      <c r="Z173" s="6" t="str">
        <f aca="false">IF(W173="BS",X173,"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" hidden="false" customHeight="false" outlineLevel="0" collapsed="false">
      <c r="E174" s="5" t="str">
        <f aca="false">IF(F174&lt;&gt;0,"Enter Code"," ")</f>
        <v> </v>
      </c>
      <c r="G174" s="6" t="str">
        <f aca="false">IF(E174="BB",F174," ")</f>
        <v> </v>
      </c>
      <c r="H174" s="6" t="str">
        <f aca="false">IF(E174="BS",F174,"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6" t="str">
        <f aca="false">IF(X174&lt;&gt;0,"Enter Code"," ")</f>
        <v> </v>
      </c>
      <c r="Y174" s="6" t="str">
        <f aca="false">IF(W174="BB",X174," ")</f>
        <v> </v>
      </c>
      <c r="Z174" s="6" t="str">
        <f aca="false">IF(W174="BS",X174,"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" hidden="false" customHeight="false" outlineLevel="0" collapsed="false">
      <c r="E175" s="5" t="str">
        <f aca="false">IF(F175&lt;&gt;0,"Enter Code"," ")</f>
        <v> </v>
      </c>
      <c r="G175" s="6" t="str">
        <f aca="false">IF(E175="BB",F175," ")</f>
        <v> </v>
      </c>
      <c r="H175" s="6" t="str">
        <f aca="false">IF(E175="BS",F175,"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1"/>
      <c r="W175" s="6" t="str">
        <f aca="false">IF(X175&lt;&gt;0,"Enter Code"," ")</f>
        <v> </v>
      </c>
      <c r="Y175" s="6" t="str">
        <f aca="false">IF(W175="BB",X175," ")</f>
        <v> </v>
      </c>
      <c r="Z175" s="6" t="str">
        <f aca="false">IF(W175="BS",X175,"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" hidden="false" customHeight="false" outlineLevel="0" collapsed="false">
      <c r="E176" s="5" t="str">
        <f aca="false">IF(F176&lt;&gt;0,"Enter Code"," ")</f>
        <v> </v>
      </c>
      <c r="G176" s="6" t="str">
        <f aca="false">IF(E176="BB",F176," ")</f>
        <v> </v>
      </c>
      <c r="H176" s="6" t="str">
        <f aca="false">IF(E176="BS",F176,"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6" t="str">
        <f aca="false">IF(X176&lt;&gt;0,"Enter Code"," ")</f>
        <v> </v>
      </c>
      <c r="Y176" s="6" t="str">
        <f aca="false">IF(W176="BB",X176," ")</f>
        <v> </v>
      </c>
      <c r="Z176" s="6" t="str">
        <f aca="false">IF(W176="BS",X176,"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" hidden="false" customHeight="false" outlineLevel="0" collapsed="false">
      <c r="E177" s="5" t="str">
        <f aca="false">IF(F177&lt;&gt;0,"Enter Code"," ")</f>
        <v> </v>
      </c>
      <c r="G177" s="6" t="str">
        <f aca="false">IF(E177="BB",F177," ")</f>
        <v> </v>
      </c>
      <c r="H177" s="6" t="str">
        <f aca="false">IF(E177="BS",F177,"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6" t="str">
        <f aca="false">IF(X177&lt;&gt;0,"Enter Code"," ")</f>
        <v> </v>
      </c>
      <c r="Y177" s="6" t="str">
        <f aca="false">IF(W177="BB",X177," ")</f>
        <v> </v>
      </c>
      <c r="Z177" s="6" t="str">
        <f aca="false">IF(W177="BS",X177,"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" hidden="false" customHeight="false" outlineLevel="0" collapsed="false">
      <c r="E178" s="5" t="str">
        <f aca="false">IF(F178&lt;&gt;0,"Enter Code"," ")</f>
        <v> </v>
      </c>
      <c r="G178" s="6" t="str">
        <f aca="false">IF(E178="BB",F178," ")</f>
        <v> </v>
      </c>
      <c r="H178" s="6" t="str">
        <f aca="false">IF(E178="BS",F178,"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6" t="str">
        <f aca="false">IF(X178&lt;&gt;0,"Enter Code"," ")</f>
        <v> </v>
      </c>
      <c r="Y178" s="6" t="str">
        <f aca="false">IF(W178="BB",X178," ")</f>
        <v> </v>
      </c>
      <c r="Z178" s="6" t="str">
        <f aca="false">IF(W178="BS",X178,"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" hidden="false" customHeight="false" outlineLevel="0" collapsed="false">
      <c r="E179" s="5" t="str">
        <f aca="false">IF(F179&lt;&gt;0,"Enter Code"," ")</f>
        <v> </v>
      </c>
      <c r="G179" s="6" t="str">
        <f aca="false">IF(E179="BB",F179," ")</f>
        <v> </v>
      </c>
      <c r="H179" s="6" t="str">
        <f aca="false">IF(E179="BS",F179,"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6" t="str">
        <f aca="false">IF(X179&lt;&gt;0,"Enter Code"," ")</f>
        <v> </v>
      </c>
      <c r="Y179" s="6" t="str">
        <f aca="false">IF(W179="BB",X179," ")</f>
        <v> </v>
      </c>
      <c r="Z179" s="6" t="str">
        <f aca="false">IF(W179="BS",X179,"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" hidden="false" customHeight="false" outlineLevel="0" collapsed="false">
      <c r="E180" s="5" t="str">
        <f aca="false">IF(F180&lt;&gt;0,"Enter Code"," ")</f>
        <v> </v>
      </c>
      <c r="G180" s="6" t="str">
        <f aca="false">IF(E180="BB",F180," ")</f>
        <v> </v>
      </c>
      <c r="H180" s="6" t="str">
        <f aca="false">IF(E180="BS",F180,"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6" t="str">
        <f aca="false">IF(X180&lt;&gt;0,"Enter Code"," ")</f>
        <v> </v>
      </c>
      <c r="Y180" s="6" t="str">
        <f aca="false">IF(W180="BB",X180," ")</f>
        <v> </v>
      </c>
      <c r="Z180" s="6" t="str">
        <f aca="false">IF(W180="BS",X180,"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" hidden="false" customHeight="false" outlineLevel="0" collapsed="false">
      <c r="E181" s="5" t="str">
        <f aca="false">IF(F181&lt;&gt;0,"Enter Code"," ")</f>
        <v> </v>
      </c>
      <c r="G181" s="6" t="str">
        <f aca="false">IF(E181="BB",F181," ")</f>
        <v> </v>
      </c>
      <c r="H181" s="6" t="str">
        <f aca="false">IF(E181="BS",F181,"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6" t="str">
        <f aca="false">IF(X181&lt;&gt;0,"Enter Code"," ")</f>
        <v> </v>
      </c>
      <c r="Y181" s="6" t="str">
        <f aca="false">IF(W181="BB",X181," ")</f>
        <v> </v>
      </c>
      <c r="Z181" s="6" t="str">
        <f aca="false">IF(W181="BS",X181,"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" hidden="false" customHeight="false" outlineLevel="0" collapsed="false">
      <c r="E182" s="5" t="str">
        <f aca="false">IF(F182&lt;&gt;0,"Enter Code"," ")</f>
        <v> </v>
      </c>
      <c r="G182" s="6" t="str">
        <f aca="false">IF(E182="BB",F182," ")</f>
        <v> </v>
      </c>
      <c r="H182" s="6" t="str">
        <f aca="false">IF(E182="BS",F182,"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6" t="str">
        <f aca="false">IF(X182&lt;&gt;0,"Enter Code"," ")</f>
        <v> </v>
      </c>
      <c r="Y182" s="6" t="str">
        <f aca="false">IF(W182="BB",X182," ")</f>
        <v> </v>
      </c>
      <c r="Z182" s="6" t="str">
        <f aca="false">IF(W182="BS",X182,"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" hidden="false" customHeight="false" outlineLevel="0" collapsed="false">
      <c r="E183" s="5" t="str">
        <f aca="false">IF(F183&lt;&gt;0,"Enter Code"," ")</f>
        <v> </v>
      </c>
      <c r="G183" s="6" t="str">
        <f aca="false">IF(E183="BB",F183," ")</f>
        <v> </v>
      </c>
      <c r="H183" s="6" t="str">
        <f aca="false">IF(E183="BS",F183,"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6" t="str">
        <f aca="false">IF(X183&lt;&gt;0,"Enter Code"," ")</f>
        <v> </v>
      </c>
      <c r="Y183" s="6" t="str">
        <f aca="false">IF(W183="BB",X183," ")</f>
        <v> </v>
      </c>
      <c r="Z183" s="6" t="str">
        <f aca="false">IF(W183="BS",X183,"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" hidden="false" customHeight="false" outlineLevel="0" collapsed="false">
      <c r="E184" s="5" t="str">
        <f aca="false">IF(F184&lt;&gt;0,"Enter Code"," ")</f>
        <v> </v>
      </c>
      <c r="G184" s="6" t="str">
        <f aca="false">IF(E184="BB",F184," ")</f>
        <v> </v>
      </c>
      <c r="H184" s="6" t="str">
        <f aca="false">IF(E184="BS",F184,"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6" t="str">
        <f aca="false">IF(X184&lt;&gt;0,"Enter Code"," ")</f>
        <v> </v>
      </c>
      <c r="Y184" s="6" t="str">
        <f aca="false">IF(W184="BB",X184," ")</f>
        <v> </v>
      </c>
      <c r="Z184" s="6" t="str">
        <f aca="false">IF(W184="BS",X184,"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" hidden="false" customHeight="false" outlineLevel="0" collapsed="false">
      <c r="E185" s="5" t="str">
        <f aca="false">IF(F185&lt;&gt;0,"Enter Code"," ")</f>
        <v> </v>
      </c>
      <c r="G185" s="6" t="str">
        <f aca="false">IF(E185="BB",F185," ")</f>
        <v> </v>
      </c>
      <c r="H185" s="6" t="str">
        <f aca="false">IF(E185="BS",F185,"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6" t="str">
        <f aca="false">IF(X185&lt;&gt;0,"Enter Code"," ")</f>
        <v> </v>
      </c>
      <c r="Y185" s="6" t="str">
        <f aca="false">IF(W185="BB",X185," ")</f>
        <v> </v>
      </c>
      <c r="Z185" s="6" t="str">
        <f aca="false">IF(W185="BS",X185,"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" hidden="false" customHeight="false" outlineLevel="0" collapsed="false">
      <c r="E186" s="5" t="str">
        <f aca="false">IF(F186&lt;&gt;0,"Enter Code"," ")</f>
        <v> </v>
      </c>
      <c r="G186" s="6" t="str">
        <f aca="false">IF(E186="BB",F186," ")</f>
        <v> </v>
      </c>
      <c r="H186" s="6" t="str">
        <f aca="false">IF(E186="BS",F186,"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6" t="str">
        <f aca="false">IF(X186&lt;&gt;0,"Enter Code"," ")</f>
        <v> </v>
      </c>
      <c r="Y186" s="6" t="str">
        <f aca="false">IF(W186="BB",X186," ")</f>
        <v> </v>
      </c>
      <c r="Z186" s="6" t="str">
        <f aca="false">IF(W186="BS",X186,"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" hidden="false" customHeight="false" outlineLevel="0" collapsed="false">
      <c r="E187" s="5" t="str">
        <f aca="false">IF(F187&lt;&gt;0,"Enter Code"," ")</f>
        <v> </v>
      </c>
      <c r="G187" s="6" t="str">
        <f aca="false">IF(E187="BB",F187," ")</f>
        <v> </v>
      </c>
      <c r="H187" s="6" t="str">
        <f aca="false">IF(E187="BS",F187,"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6" t="str">
        <f aca="false">IF(X187&lt;&gt;0,"Enter Code"," ")</f>
        <v> </v>
      </c>
      <c r="Y187" s="6" t="str">
        <f aca="false">IF(W187="BB",X187," ")</f>
        <v> </v>
      </c>
      <c r="Z187" s="6" t="str">
        <f aca="false">IF(W187="BS",X187,"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" hidden="false" customHeight="false" outlineLevel="0" collapsed="false">
      <c r="E188" s="5" t="str">
        <f aca="false">IF(F188&lt;&gt;0,"Enter Code"," ")</f>
        <v> </v>
      </c>
      <c r="G188" s="6" t="str">
        <f aca="false">IF(E188="BB",F188," ")</f>
        <v> </v>
      </c>
      <c r="H188" s="6" t="str">
        <f aca="false">IF(E188="BS",F188,"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6" t="str">
        <f aca="false">IF(X188&lt;&gt;0,"Enter Code"," ")</f>
        <v> </v>
      </c>
      <c r="Y188" s="6" t="str">
        <f aca="false">IF(W188="BB",X188," ")</f>
        <v> </v>
      </c>
      <c r="Z188" s="6" t="str">
        <f aca="false">IF(W188="BS",X188,"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" hidden="false" customHeight="false" outlineLevel="0" collapsed="false">
      <c r="E189" s="5" t="str">
        <f aca="false">IF(F189&lt;&gt;0,"Enter Code"," ")</f>
        <v> </v>
      </c>
      <c r="G189" s="6" t="str">
        <f aca="false">IF(E189="BB",F189," ")</f>
        <v> </v>
      </c>
      <c r="H189" s="6" t="str">
        <f aca="false">IF(E189="BS",F189,"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6" t="str">
        <f aca="false">IF(X189&lt;&gt;0,"Enter Code"," ")</f>
        <v> </v>
      </c>
      <c r="Y189" s="6" t="str">
        <f aca="false">IF(W189="BB",X189," ")</f>
        <v> </v>
      </c>
      <c r="Z189" s="6" t="str">
        <f aca="false">IF(W189="BS",X189,"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" hidden="false" customHeight="false" outlineLevel="0" collapsed="false">
      <c r="E190" s="5" t="str">
        <f aca="false">IF(F190&lt;&gt;0,"Enter Code"," ")</f>
        <v> </v>
      </c>
      <c r="G190" s="6" t="str">
        <f aca="false">IF(E190="BB",F190," ")</f>
        <v> </v>
      </c>
      <c r="H190" s="6" t="str">
        <f aca="false">IF(E190="BS",F190,"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6" t="str">
        <f aca="false">IF(X190&lt;&gt;0,"Enter Code"," ")</f>
        <v> </v>
      </c>
      <c r="Y190" s="6" t="str">
        <f aca="false">IF(W190="BB",X190," ")</f>
        <v> </v>
      </c>
      <c r="Z190" s="6" t="str">
        <f aca="false">IF(W190="BS",X190,"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" hidden="false" customHeight="false" outlineLevel="0" collapsed="false">
      <c r="E191" s="5" t="str">
        <f aca="false">IF(F191&lt;&gt;0,"Enter Code"," ")</f>
        <v> </v>
      </c>
      <c r="G191" s="6" t="str">
        <f aca="false">IF(E191="BB",F191," ")</f>
        <v> </v>
      </c>
      <c r="H191" s="6" t="str">
        <f aca="false">IF(E191="BS",F191,"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6" t="str">
        <f aca="false">IF(X191&lt;&gt;0,"Enter Code"," ")</f>
        <v> </v>
      </c>
      <c r="Y191" s="6" t="str">
        <f aca="false">IF(W191="BB",X191," ")</f>
        <v> </v>
      </c>
      <c r="Z191" s="6" t="str">
        <f aca="false">IF(W191="BS",X191,"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" hidden="false" customHeight="false" outlineLevel="0" collapsed="false">
      <c r="E192" s="5" t="str">
        <f aca="false">IF(F192&lt;&gt;0,"Enter Code"," ")</f>
        <v> </v>
      </c>
      <c r="G192" s="6" t="str">
        <f aca="false">IF(E192="BB",F192," ")</f>
        <v> </v>
      </c>
      <c r="H192" s="6" t="str">
        <f aca="false">IF(E192="BS",F192,"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6" t="str">
        <f aca="false">IF(X192&lt;&gt;0,"Enter Code"," ")</f>
        <v> </v>
      </c>
      <c r="Y192" s="6" t="str">
        <f aca="false">IF(W192="BB",X192," ")</f>
        <v> </v>
      </c>
      <c r="Z192" s="6" t="str">
        <f aca="false">IF(W192="BS",X192,"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" hidden="false" customHeight="false" outlineLevel="0" collapsed="false">
      <c r="E193" s="5" t="str">
        <f aca="false">IF(F193&lt;&gt;0,"Enter Code"," ")</f>
        <v> </v>
      </c>
      <c r="G193" s="6" t="str">
        <f aca="false">IF(E193="BB",F193," ")</f>
        <v> </v>
      </c>
      <c r="H193" s="6" t="str">
        <f aca="false">IF(E193="BS",F193,"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6" t="str">
        <f aca="false">IF(X193&lt;&gt;0,"Enter Code"," ")</f>
        <v> </v>
      </c>
      <c r="Y193" s="6" t="str">
        <f aca="false">IF(W193="BB",X193," ")</f>
        <v> </v>
      </c>
      <c r="Z193" s="6" t="str">
        <f aca="false">IF(W193="BS",X193,"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" hidden="false" customHeight="false" outlineLevel="0" collapsed="false">
      <c r="E194" s="5" t="str">
        <f aca="false">IF(F194&lt;&gt;0,"Enter Code"," ")</f>
        <v> </v>
      </c>
      <c r="G194" s="6" t="str">
        <f aca="false">IF(E194="BB",F194," ")</f>
        <v> </v>
      </c>
      <c r="H194" s="6" t="str">
        <f aca="false">IF(E194="BS",F194,"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6" t="str">
        <f aca="false">IF(X194&lt;&gt;0,"Enter Code"," ")</f>
        <v> </v>
      </c>
      <c r="Y194" s="6" t="str">
        <f aca="false">IF(W194="BB",X194," ")</f>
        <v> </v>
      </c>
      <c r="Z194" s="6" t="str">
        <f aca="false">IF(W194="BS",X194,"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" hidden="false" customHeight="false" outlineLevel="0" collapsed="false">
      <c r="E195" s="5" t="str">
        <f aca="false">IF(F195&lt;&gt;0,"Enter Code"," ")</f>
        <v> </v>
      </c>
      <c r="G195" s="6" t="str">
        <f aca="false">IF(E195="BB",F195," ")</f>
        <v> </v>
      </c>
      <c r="H195" s="6" t="str">
        <f aca="false">IF(E195="BS",F195,"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6" t="str">
        <f aca="false">IF(X195&lt;&gt;0,"Enter Code"," ")</f>
        <v> </v>
      </c>
      <c r="Y195" s="6" t="str">
        <f aca="false">IF(W195="BB",X195," ")</f>
        <v> </v>
      </c>
      <c r="Z195" s="6" t="str">
        <f aca="false">IF(W195="BS",X195,"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" hidden="false" customHeight="false" outlineLevel="0" collapsed="false">
      <c r="E196" s="5" t="str">
        <f aca="false">IF(F196&lt;&gt;0,"Enter Code"," ")</f>
        <v> </v>
      </c>
      <c r="G196" s="6" t="str">
        <f aca="false">IF(E196="BB",F196," ")</f>
        <v> </v>
      </c>
      <c r="H196" s="6" t="str">
        <f aca="false">IF(E196="BS",F196,"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6" t="str">
        <f aca="false">IF(X196&lt;&gt;0,"Enter Code"," ")</f>
        <v> </v>
      </c>
      <c r="Y196" s="6" t="str">
        <f aca="false">IF(W196="BB",X196," ")</f>
        <v> </v>
      </c>
      <c r="Z196" s="6" t="str">
        <f aca="false">IF(W196="BS",X196,"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" hidden="false" customHeight="false" outlineLevel="0" collapsed="false">
      <c r="E197" s="5" t="str">
        <f aca="false">IF(F197&lt;&gt;0,"Enter Code"," ")</f>
        <v> </v>
      </c>
      <c r="G197" s="6" t="str">
        <f aca="false">IF(E197="BB",F197," ")</f>
        <v> </v>
      </c>
      <c r="H197" s="6" t="str">
        <f aca="false">IF(E197="BS",F197,"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6" t="str">
        <f aca="false">IF(X197&lt;&gt;0,"Enter Code"," ")</f>
        <v> </v>
      </c>
      <c r="Y197" s="6" t="str">
        <f aca="false">IF(W197="BB",X197," ")</f>
        <v> </v>
      </c>
      <c r="Z197" s="6" t="str">
        <f aca="false">IF(W197="BS",X197,"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" hidden="false" customHeight="false" outlineLevel="0" collapsed="false">
      <c r="E198" s="5" t="str">
        <f aca="false">IF(F198&lt;&gt;0,"Enter Code"," ")</f>
        <v> </v>
      </c>
      <c r="G198" s="6" t="str">
        <f aca="false">IF(E198="BB",F198," ")</f>
        <v> </v>
      </c>
      <c r="H198" s="6" t="str">
        <f aca="false">IF(E198="BS",F198,"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6" t="str">
        <f aca="false">IF(X198&lt;&gt;0,"Enter Code"," ")</f>
        <v> </v>
      </c>
      <c r="Y198" s="6" t="str">
        <f aca="false">IF(W198="BB",X198," ")</f>
        <v> </v>
      </c>
      <c r="Z198" s="6" t="str">
        <f aca="false">IF(W198="BS",X198,"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" hidden="false" customHeight="false" outlineLevel="0" collapsed="false">
      <c r="E199" s="5" t="str">
        <f aca="false">IF(F199&lt;&gt;0,"Enter Code"," ")</f>
        <v> </v>
      </c>
      <c r="G199" s="6" t="str">
        <f aca="false">IF(E199="BB",F199," ")</f>
        <v> </v>
      </c>
      <c r="H199" s="6" t="str">
        <f aca="false">IF(E199="BS",F199,"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6" t="str">
        <f aca="false">IF(X199&lt;&gt;0,"Enter Code"," ")</f>
        <v> </v>
      </c>
      <c r="Y199" s="6" t="str">
        <f aca="false">IF(W199="BB",X199," ")</f>
        <v> </v>
      </c>
      <c r="Z199" s="6" t="str">
        <f aca="false">IF(W199="BS",X199,"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" hidden="false" customHeight="false" outlineLevel="0" collapsed="false">
      <c r="A200" s="42"/>
      <c r="B200" s="43"/>
      <c r="C200" s="44"/>
      <c r="D200" s="45"/>
      <c r="E200" s="46" t="str">
        <f aca="false">IF(F200&lt;&gt;0,"Enter Code"," ")</f>
        <v> </v>
      </c>
      <c r="F200" s="47"/>
      <c r="G200" s="47" t="str">
        <f aca="false">IF(E200="BB",F200," ")</f>
        <v> </v>
      </c>
      <c r="H200" s="47" t="str">
        <f aca="false">IF(E200="BS",F200," ")</f>
        <v> </v>
      </c>
      <c r="I200" s="47" t="str">
        <f aca="false">IF(E200="BC",F200," ")</f>
        <v> </v>
      </c>
      <c r="J200" s="47" t="str">
        <f aca="false">IF(E200="DR",F200," ")</f>
        <v> </v>
      </c>
      <c r="K200" s="47" t="str">
        <f aca="false">IF(E200="K",F200," ")</f>
        <v> </v>
      </c>
      <c r="L200" s="47" t="str">
        <f aca="false">IF(E200="LDR",F200," ")</f>
        <v> </v>
      </c>
      <c r="M200" s="47" t="str">
        <f aca="false">IF(E200="LCR",F200," ")</f>
        <v> </v>
      </c>
      <c r="N200" s="47" t="str">
        <f aca="false">IF(E200="RV",F200," ")</f>
        <v> </v>
      </c>
      <c r="O200" s="47" t="str">
        <f aca="false">IF(E200="RC",F200," ")</f>
        <v> </v>
      </c>
      <c r="P200" s="47" t="str">
        <f aca="false">IF(E200="DL",F200," ")</f>
        <v> </v>
      </c>
      <c r="Q200" s="47" t="str">
        <f aca="false">IF(E200="X",F200," ")</f>
        <v> </v>
      </c>
      <c r="R200" s="41"/>
      <c r="S200" s="42"/>
      <c r="T200" s="45"/>
      <c r="U200" s="44"/>
      <c r="V200" s="44"/>
      <c r="W200" s="47" t="str">
        <f aca="false">IF(X200&lt;&gt;0,"Enter Code"," ")</f>
        <v> </v>
      </c>
      <c r="X200" s="47"/>
      <c r="Y200" s="47" t="str">
        <f aca="false">IF(W200="BB",X200," ")</f>
        <v> </v>
      </c>
      <c r="Z200" s="47" t="str">
        <f aca="false">IF(W200="BS",X200," ")</f>
        <v> </v>
      </c>
      <c r="AA200" s="47" t="str">
        <f aca="false">IF(W200="BC",X200," ")</f>
        <v> </v>
      </c>
      <c r="AB200" s="47" t="str">
        <f aca="false">IF(W200="CR",X200," ")</f>
        <v> </v>
      </c>
      <c r="AC200" s="47" t="str">
        <f aca="false">IF(W200="W",X200," ")</f>
        <v> </v>
      </c>
      <c r="AD200" s="47" t="str">
        <f aca="false">IF(W200="B",X200," ")</f>
        <v> </v>
      </c>
      <c r="AE200" s="47" t="str">
        <f aca="false">IF(W200="J",X200," ")</f>
        <v> </v>
      </c>
      <c r="AF200" s="47" t="str">
        <f aca="false">IF(W200="LDR",X200," ")</f>
        <v> </v>
      </c>
      <c r="AG200" s="47" t="str">
        <f aca="false">IF(W200="LCR",X200," ")</f>
        <v> </v>
      </c>
      <c r="AH200" s="47" t="str">
        <f aca="false">IF(W200="RP",X200," ")</f>
        <v> </v>
      </c>
      <c r="AI200" s="47" t="str">
        <f aca="false">IF(W200="RV",X200," ")</f>
        <v> </v>
      </c>
      <c r="AJ200" s="47" t="str">
        <f aca="false">IF(W200="RC",X200," ")</f>
        <v> </v>
      </c>
      <c r="AK200" s="47" t="str">
        <f aca="false">IF(W200="RT",X200," ")</f>
        <v> </v>
      </c>
      <c r="AL200" s="47" t="str">
        <f aca="false">IF(W200="DV",X200," ")</f>
        <v> </v>
      </c>
      <c r="AM200" s="47" t="str">
        <f aca="false">IF(W200="DL",X200," ")</f>
        <v> </v>
      </c>
      <c r="AN200" s="47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CREDIT CARD STATEMENT.&#10;&#10;CHECK THE AMOUNTS ENTERED AGAINST THE CREDIT CARD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2007-03-01T02:22:31Z</cp:lastPrinted>
  <dcterms:modified xsi:type="dcterms:W3CDTF">2025-04-03T23:05:18Z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